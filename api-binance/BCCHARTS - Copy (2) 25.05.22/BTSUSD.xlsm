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E6A6D810-A5B1-41D7-83FA-7594AA9300F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D136" i="4" s="1"/>
  <c r="C116" i="3"/>
  <c r="C122" i="3"/>
  <c r="C133" i="3" s="1"/>
  <c r="D136" i="3" s="1"/>
  <c r="R765" i="1"/>
  <c r="C136" i="5" l="1"/>
  <c r="C138" i="5" s="1"/>
  <c r="C136" i="4"/>
  <c r="C138" i="4" s="1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S208" i="1" l="1"/>
  <c r="T208" i="1" s="1"/>
  <c r="R207" i="1"/>
  <c r="S207" i="1" l="1"/>
  <c r="T207" i="1" s="1"/>
  <c r="R206" i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<sst xmlns="http://schemas.openxmlformats.org/spreadsheetml/2006/main" count="7286" uniqueCount="34">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</sst>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2.2530000000000001E-2</c:v>
                </c:pt>
                <c:pt idx="1">
                  <c:v>2.3009999999999999E-2</c:v>
                </c:pt>
                <c:pt idx="2">
                  <c:v>2.2790000000000001E-2</c:v>
                </c:pt>
                <c:pt idx="3">
                  <c:v>2.2589999999999999E-2</c:v>
                </c:pt>
                <c:pt idx="4">
                  <c:v>2.2790000000000001E-2</c:v>
                </c:pt>
                <c:pt idx="5">
                  <c:v>2.2499999999999999E-2</c:v>
                </c:pt>
                <c:pt idx="6">
                  <c:v>2.385E-2</c:v>
                </c:pt>
                <c:pt idx="7">
                  <c:v>2.7390000000000001E-2</c:v>
                </c:pt>
                <c:pt idx="8">
                  <c:v>2.8799999999999999E-2</c:v>
                </c:pt>
                <c:pt idx="9">
                  <c:v>2.9489999999999999E-2</c:v>
                </c:pt>
                <c:pt idx="10">
                  <c:v>2.9610000000000001E-2</c:v>
                </c:pt>
                <c:pt idx="11">
                  <c:v>3.1140000000000001E-2</c:v>
                </c:pt>
                <c:pt idx="12">
                  <c:v>3.1419999999999997E-2</c:v>
                </c:pt>
                <c:pt idx="13">
                  <c:v>3.1850000000000003E-2</c:v>
                </c:pt>
                <c:pt idx="14">
                  <c:v>3.0669999999999999E-2</c:v>
                </c:pt>
                <c:pt idx="15">
                  <c:v>3.2239999999999998E-2</c:v>
                </c:pt>
                <c:pt idx="16">
                  <c:v>3.1150000000000001E-2</c:v>
                </c:pt>
                <c:pt idx="17">
                  <c:v>3.007E-2</c:v>
                </c:pt>
                <c:pt idx="18">
                  <c:v>3.1359999999999999E-2</c:v>
                </c:pt>
                <c:pt idx="19">
                  <c:v>3.074E-2</c:v>
                </c:pt>
                <c:pt idx="20">
                  <c:v>3.0759999999999999E-2</c:v>
                </c:pt>
                <c:pt idx="21">
                  <c:v>3.4040000000000001E-2</c:v>
                </c:pt>
                <c:pt idx="22">
                  <c:v>3.4369999999999998E-2</c:v>
                </c:pt>
                <c:pt idx="23">
                  <c:v>3.789E-2</c:v>
                </c:pt>
                <c:pt idx="24">
                  <c:v>3.807E-2</c:v>
                </c:pt>
                <c:pt idx="25">
                  <c:v>3.7150000000000002E-2</c:v>
                </c:pt>
                <c:pt idx="26">
                  <c:v>3.5220000000000001E-2</c:v>
                </c:pt>
                <c:pt idx="27">
                  <c:v>3.3579999999999999E-2</c:v>
                </c:pt>
                <c:pt idx="28">
                  <c:v>3.4279999999999998E-2</c:v>
                </c:pt>
                <c:pt idx="29">
                  <c:v>3.3590000000000002E-2</c:v>
                </c:pt>
                <c:pt idx="30">
                  <c:v>3.44E-2</c:v>
                </c:pt>
                <c:pt idx="31">
                  <c:v>3.8100000000000002E-2</c:v>
                </c:pt>
                <c:pt idx="32">
                  <c:v>3.7940000000000002E-2</c:v>
                </c:pt>
                <c:pt idx="33">
                  <c:v>3.7010000000000001E-2</c:v>
                </c:pt>
                <c:pt idx="34">
                  <c:v>3.5529999999999999E-2</c:v>
                </c:pt>
                <c:pt idx="35">
                  <c:v>3.7569999999999999E-2</c:v>
                </c:pt>
                <c:pt idx="36">
                  <c:v>3.5380000000000002E-2</c:v>
                </c:pt>
                <c:pt idx="37">
                  <c:v>3.4860000000000002E-2</c:v>
                </c:pt>
                <c:pt idx="38">
                  <c:v>3.313E-2</c:v>
                </c:pt>
                <c:pt idx="39">
                  <c:v>3.2660000000000002E-2</c:v>
                </c:pt>
                <c:pt idx="40">
                  <c:v>3.2719999999999999E-2</c:v>
                </c:pt>
                <c:pt idx="41">
                  <c:v>3.2059999999999998E-2</c:v>
                </c:pt>
                <c:pt idx="42">
                  <c:v>3.3869999999999997E-2</c:v>
                </c:pt>
                <c:pt idx="43">
                  <c:v>3.4610000000000002E-2</c:v>
                </c:pt>
                <c:pt idx="44">
                  <c:v>3.3939999999999998E-2</c:v>
                </c:pt>
                <c:pt idx="45">
                  <c:v>3.2149999999999998E-2</c:v>
                </c:pt>
                <c:pt idx="46">
                  <c:v>3.6130000000000002E-2</c:v>
                </c:pt>
                <c:pt idx="47">
                  <c:v>3.3930000000000002E-2</c:v>
                </c:pt>
                <c:pt idx="48">
                  <c:v>3.3709999999999997E-2</c:v>
                </c:pt>
                <c:pt idx="49">
                  <c:v>3.5349999999999999E-2</c:v>
                </c:pt>
                <c:pt idx="50">
                  <c:v>3.8739999999999997E-2</c:v>
                </c:pt>
                <c:pt idx="51">
                  <c:v>3.7159999999999999E-2</c:v>
                </c:pt>
                <c:pt idx="52">
                  <c:v>3.7229999999999999E-2</c:v>
                </c:pt>
                <c:pt idx="53">
                  <c:v>3.6839999999999998E-2</c:v>
                </c:pt>
                <c:pt idx="54">
                  <c:v>4.0430000000000001E-2</c:v>
                </c:pt>
                <c:pt idx="55">
                  <c:v>5.2060000000000002E-2</c:v>
                </c:pt>
                <c:pt idx="56">
                  <c:v>4.9970000000000001E-2</c:v>
                </c:pt>
                <c:pt idx="57">
                  <c:v>4.7870000000000003E-2</c:v>
                </c:pt>
                <c:pt idx="58">
                  <c:v>4.7399999999999998E-2</c:v>
                </c:pt>
                <c:pt idx="59">
                  <c:v>4.8250000000000001E-2</c:v>
                </c:pt>
                <c:pt idx="60">
                  <c:v>4.7969999999999999E-2</c:v>
                </c:pt>
                <c:pt idx="61">
                  <c:v>4.7750000000000001E-2</c:v>
                </c:pt>
                <c:pt idx="62">
                  <c:v>4.7359999999999999E-2</c:v>
                </c:pt>
                <c:pt idx="63">
                  <c:v>5.3289999999999997E-2</c:v>
                </c:pt>
                <c:pt idx="64">
                  <c:v>5.2749999999999998E-2</c:v>
                </c:pt>
                <c:pt idx="65">
                  <c:v>5.3510000000000002E-2</c:v>
                </c:pt>
                <c:pt idx="66">
                  <c:v>5.2389999999999999E-2</c:v>
                </c:pt>
                <c:pt idx="67">
                  <c:v>4.9320000000000003E-2</c:v>
                </c:pt>
                <c:pt idx="68">
                  <c:v>4.9549999999999997E-2</c:v>
                </c:pt>
                <c:pt idx="69">
                  <c:v>4.7910000000000001E-2</c:v>
                </c:pt>
                <c:pt idx="70">
                  <c:v>4.5670000000000002E-2</c:v>
                </c:pt>
                <c:pt idx="71">
                  <c:v>4.9639999999999997E-2</c:v>
                </c:pt>
                <c:pt idx="72">
                  <c:v>5.1389999999999998E-2</c:v>
                </c:pt>
                <c:pt idx="73">
                  <c:v>5.8009999999999999E-2</c:v>
                </c:pt>
                <c:pt idx="74">
                  <c:v>6.0359999999999997E-2</c:v>
                </c:pt>
                <c:pt idx="75">
                  <c:v>5.8560000000000001E-2</c:v>
                </c:pt>
                <c:pt idx="76">
                  <c:v>5.3159999999999999E-2</c:v>
                </c:pt>
                <c:pt idx="77">
                  <c:v>5.5460000000000002E-2</c:v>
                </c:pt>
                <c:pt idx="78">
                  <c:v>4.8410000000000002E-2</c:v>
                </c:pt>
                <c:pt idx="79">
                  <c:v>5.2979999999999999E-2</c:v>
                </c:pt>
                <c:pt idx="80">
                  <c:v>5.3199999999999997E-2</c:v>
                </c:pt>
                <c:pt idx="81">
                  <c:v>5.1319999999999998E-2</c:v>
                </c:pt>
                <c:pt idx="82">
                  <c:v>5.0709999999999998E-2</c:v>
                </c:pt>
                <c:pt idx="83">
                  <c:v>4.9340000000000002E-2</c:v>
                </c:pt>
                <c:pt idx="84">
                  <c:v>4.9910000000000003E-2</c:v>
                </c:pt>
                <c:pt idx="85">
                  <c:v>5.2589999999999998E-2</c:v>
                </c:pt>
                <c:pt idx="86">
                  <c:v>5.4820000000000001E-2</c:v>
                </c:pt>
                <c:pt idx="87">
                  <c:v>5.3120000000000001E-2</c:v>
                </c:pt>
                <c:pt idx="88">
                  <c:v>5.0909999999999997E-2</c:v>
                </c:pt>
                <c:pt idx="89">
                  <c:v>4.8750000000000002E-2</c:v>
                </c:pt>
                <c:pt idx="90">
                  <c:v>4.7070000000000001E-2</c:v>
                </c:pt>
                <c:pt idx="91">
                  <c:v>4.5370000000000001E-2</c:v>
                </c:pt>
                <c:pt idx="92">
                  <c:v>4.3569999999999998E-2</c:v>
                </c:pt>
                <c:pt idx="93">
                  <c:v>4.9759999999999999E-2</c:v>
                </c:pt>
                <c:pt idx="94">
                  <c:v>4.9410000000000003E-2</c:v>
                </c:pt>
                <c:pt idx="95">
                  <c:v>4.7649999999999998E-2</c:v>
                </c:pt>
                <c:pt idx="96">
                  <c:v>4.8259999999999997E-2</c:v>
                </c:pt>
                <c:pt idx="97">
                  <c:v>4.7800000000000002E-2</c:v>
                </c:pt>
                <c:pt idx="98">
                  <c:v>4.8779999999999997E-2</c:v>
                </c:pt>
                <c:pt idx="99">
                  <c:v>5.0959999999999998E-2</c:v>
                </c:pt>
                <c:pt idx="100">
                  <c:v>4.9730000000000003E-2</c:v>
                </c:pt>
                <c:pt idx="101">
                  <c:v>4.9200000000000001E-2</c:v>
                </c:pt>
                <c:pt idx="102">
                  <c:v>4.9979999999999997E-2</c:v>
                </c:pt>
                <c:pt idx="103">
                  <c:v>5.0160000000000003E-2</c:v>
                </c:pt>
                <c:pt idx="104">
                  <c:v>4.8989999999999999E-2</c:v>
                </c:pt>
                <c:pt idx="105">
                  <c:v>4.8050000000000002E-2</c:v>
                </c:pt>
                <c:pt idx="106">
                  <c:v>4.5539999999999997E-2</c:v>
                </c:pt>
                <c:pt idx="107">
                  <c:v>4.335E-2</c:v>
                </c:pt>
                <c:pt idx="108">
                  <c:v>4.5039999999999997E-2</c:v>
                </c:pt>
                <c:pt idx="109">
                  <c:v>4.4850000000000001E-2</c:v>
                </c:pt>
                <c:pt idx="110">
                  <c:v>4.7940000000000003E-2</c:v>
                </c:pt>
                <c:pt idx="111">
                  <c:v>4.7840000000000001E-2</c:v>
                </c:pt>
                <c:pt idx="112">
                  <c:v>4.7079999999999997E-2</c:v>
                </c:pt>
                <c:pt idx="113">
                  <c:v>4.6440000000000002E-2</c:v>
                </c:pt>
                <c:pt idx="114">
                  <c:v>4.5359999999999998E-2</c:v>
                </c:pt>
                <c:pt idx="115">
                  <c:v>4.4260000000000001E-2</c:v>
                </c:pt>
                <c:pt idx="116">
                  <c:v>4.4889999999999999E-2</c:v>
                </c:pt>
                <c:pt idx="117">
                  <c:v>4.367E-2</c:v>
                </c:pt>
                <c:pt idx="118">
                  <c:v>4.2430000000000002E-2</c:v>
                </c:pt>
                <c:pt idx="119">
                  <c:v>3.9539999999999999E-2</c:v>
                </c:pt>
                <c:pt idx="120">
                  <c:v>3.8120000000000001E-2</c:v>
                </c:pt>
                <c:pt idx="121">
                  <c:v>3.6859999999999997E-2</c:v>
                </c:pt>
                <c:pt idx="122">
                  <c:v>3.7600000000000001E-2</c:v>
                </c:pt>
                <c:pt idx="123">
                  <c:v>3.9449999999999999E-2</c:v>
                </c:pt>
                <c:pt idx="124">
                  <c:v>4.0300000000000002E-2</c:v>
                </c:pt>
                <c:pt idx="125">
                  <c:v>4.1959999999999997E-2</c:v>
                </c:pt>
                <c:pt idx="126">
                  <c:v>4.6019999999999998E-2</c:v>
                </c:pt>
                <c:pt idx="127">
                  <c:v>4.4069999999999998E-2</c:v>
                </c:pt>
                <c:pt idx="128">
                  <c:v>3.8350000000000002E-2</c:v>
                </c:pt>
                <c:pt idx="129">
                  <c:v>4.5319999999999999E-2</c:v>
                </c:pt>
                <c:pt idx="130">
                  <c:v>4.9889999999999997E-2</c:v>
                </c:pt>
                <c:pt idx="131">
                  <c:v>5.1180000000000003E-2</c:v>
                </c:pt>
                <c:pt idx="132">
                  <c:v>5.1299999999999998E-2</c:v>
                </c:pt>
                <c:pt idx="133">
                  <c:v>5.2630000000000003E-2</c:v>
                </c:pt>
                <c:pt idx="134">
                  <c:v>5.2859999999999997E-2</c:v>
                </c:pt>
                <c:pt idx="135">
                  <c:v>4.9840000000000002E-2</c:v>
                </c:pt>
                <c:pt idx="136">
                  <c:v>4.648E-2</c:v>
                </c:pt>
                <c:pt idx="137">
                  <c:v>4.8800000000000003E-2</c:v>
                </c:pt>
                <c:pt idx="138">
                  <c:v>4.725E-2</c:v>
                </c:pt>
                <c:pt idx="139">
                  <c:v>4.7109999999999999E-2</c:v>
                </c:pt>
                <c:pt idx="140">
                  <c:v>5.0299999999999997E-2</c:v>
                </c:pt>
                <c:pt idx="141">
                  <c:v>4.8480000000000002E-2</c:v>
                </c:pt>
                <c:pt idx="142">
                  <c:v>4.9579999999999999E-2</c:v>
                </c:pt>
                <c:pt idx="143">
                  <c:v>6.5269999999999995E-2</c:v>
                </c:pt>
                <c:pt idx="144">
                  <c:v>6.6290000000000002E-2</c:v>
                </c:pt>
                <c:pt idx="145">
                  <c:v>6.3250000000000001E-2</c:v>
                </c:pt>
                <c:pt idx="146">
                  <c:v>6.1449999999999998E-2</c:v>
                </c:pt>
                <c:pt idx="147">
                  <c:v>6.0350000000000001E-2</c:v>
                </c:pt>
                <c:pt idx="148">
                  <c:v>6.0749999999999998E-2</c:v>
                </c:pt>
                <c:pt idx="149">
                  <c:v>5.867E-2</c:v>
                </c:pt>
                <c:pt idx="150">
                  <c:v>5.7889999999999997E-2</c:v>
                </c:pt>
                <c:pt idx="151">
                  <c:v>5.8810000000000001E-2</c:v>
                </c:pt>
                <c:pt idx="152">
                  <c:v>5.8889999999999998E-2</c:v>
                </c:pt>
                <c:pt idx="153">
                  <c:v>5.7950000000000002E-2</c:v>
                </c:pt>
                <c:pt idx="154">
                  <c:v>5.5070000000000001E-2</c:v>
                </c:pt>
                <c:pt idx="155">
                  <c:v>6.0380000000000003E-2</c:v>
                </c:pt>
                <c:pt idx="156">
                  <c:v>5.6239999999999998E-2</c:v>
                </c:pt>
                <c:pt idx="157">
                  <c:v>6.25E-2</c:v>
                </c:pt>
                <c:pt idx="158">
                  <c:v>6.0380000000000003E-2</c:v>
                </c:pt>
                <c:pt idx="159">
                  <c:v>5.9520000000000003E-2</c:v>
                </c:pt>
                <c:pt idx="160">
                  <c:v>5.9310000000000002E-2</c:v>
                </c:pt>
                <c:pt idx="161">
                  <c:v>5.7189999999999998E-2</c:v>
                </c:pt>
                <c:pt idx="162">
                  <c:v>5.391E-2</c:v>
                </c:pt>
                <c:pt idx="163">
                  <c:v>5.4789999999999998E-2</c:v>
                </c:pt>
                <c:pt idx="164">
                  <c:v>5.7950000000000002E-2</c:v>
                </c:pt>
                <c:pt idx="165">
                  <c:v>5.9929999999999997E-2</c:v>
                </c:pt>
                <c:pt idx="166">
                  <c:v>5.7729999999999997E-2</c:v>
                </c:pt>
                <c:pt idx="167">
                  <c:v>5.7599999999999998E-2</c:v>
                </c:pt>
                <c:pt idx="168">
                  <c:v>5.4219999999999997E-2</c:v>
                </c:pt>
                <c:pt idx="169">
                  <c:v>5.5710000000000003E-2</c:v>
                </c:pt>
                <c:pt idx="170">
                  <c:v>5.203E-2</c:v>
                </c:pt>
                <c:pt idx="171">
                  <c:v>5.1749999999999997E-2</c:v>
                </c:pt>
                <c:pt idx="172">
                  <c:v>4.8230000000000002E-2</c:v>
                </c:pt>
                <c:pt idx="173">
                  <c:v>4.9189999999999998E-2</c:v>
                </c:pt>
                <c:pt idx="174">
                  <c:v>4.793E-2</c:v>
                </c:pt>
                <c:pt idx="175">
                  <c:v>4.7260000000000003E-2</c:v>
                </c:pt>
                <c:pt idx="176">
                  <c:v>4.4850000000000001E-2</c:v>
                </c:pt>
                <c:pt idx="177">
                  <c:v>4.3770000000000003E-2</c:v>
                </c:pt>
                <c:pt idx="178">
                  <c:v>4.394E-2</c:v>
                </c:pt>
                <c:pt idx="179">
                  <c:v>4.1189999999999997E-2</c:v>
                </c:pt>
                <c:pt idx="180">
                  <c:v>4.2459999999999998E-2</c:v>
                </c:pt>
                <c:pt idx="181">
                  <c:v>4.2999999999999997E-2</c:v>
                </c:pt>
                <c:pt idx="182">
                  <c:v>4.0280000000000003E-2</c:v>
                </c:pt>
                <c:pt idx="183">
                  <c:v>4.0210000000000003E-2</c:v>
                </c:pt>
                <c:pt idx="184">
                  <c:v>0.04</c:v>
                </c:pt>
                <c:pt idx="185">
                  <c:v>3.8769999999999999E-2</c:v>
                </c:pt>
                <c:pt idx="186">
                  <c:v>3.9399999999999998E-2</c:v>
                </c:pt>
                <c:pt idx="187">
                  <c:v>3.9E-2</c:v>
                </c:pt>
                <c:pt idx="188">
                  <c:v>3.7690000000000001E-2</c:v>
                </c:pt>
                <c:pt idx="189">
                  <c:v>3.7080000000000002E-2</c:v>
                </c:pt>
                <c:pt idx="190">
                  <c:v>3.6229999999999998E-2</c:v>
                </c:pt>
                <c:pt idx="191">
                  <c:v>3.4270000000000002E-2</c:v>
                </c:pt>
                <c:pt idx="192">
                  <c:v>3.6639999999999999E-2</c:v>
                </c:pt>
                <c:pt idx="193">
                  <c:v>3.8719999999999997E-2</c:v>
                </c:pt>
                <c:pt idx="194">
                  <c:v>3.8440000000000002E-2</c:v>
                </c:pt>
                <c:pt idx="195">
                  <c:v>3.7449999999999997E-2</c:v>
                </c:pt>
                <c:pt idx="196">
                  <c:v>3.9329999999999997E-2</c:v>
                </c:pt>
                <c:pt idx="197">
                  <c:v>4.0280000000000003E-2</c:v>
                </c:pt>
                <c:pt idx="198">
                  <c:v>4.0629999999999999E-2</c:v>
                </c:pt>
                <c:pt idx="199">
                  <c:v>4.0800000000000003E-2</c:v>
                </c:pt>
                <c:pt idx="200">
                  <c:v>4.1849999999999998E-2</c:v>
                </c:pt>
                <c:pt idx="201">
                  <c:v>4.1790000000000001E-2</c:v>
                </c:pt>
                <c:pt idx="202">
                  <c:v>4.2509999999999999E-2</c:v>
                </c:pt>
                <c:pt idx="203">
                  <c:v>4.1070000000000002E-2</c:v>
                </c:pt>
                <c:pt idx="204">
                  <c:v>4.4420000000000001E-2</c:v>
                </c:pt>
                <c:pt idx="205">
                  <c:v>4.3830000000000001E-2</c:v>
                </c:pt>
                <c:pt idx="206">
                  <c:v>4.2889999999999998E-2</c:v>
                </c:pt>
                <c:pt idx="207">
                  <c:v>4.471E-2</c:v>
                </c:pt>
                <c:pt idx="208">
                  <c:v>4.4940000000000001E-2</c:v>
                </c:pt>
                <c:pt idx="209">
                  <c:v>4.2700000000000002E-2</c:v>
                </c:pt>
                <c:pt idx="210">
                  <c:v>4.2009999999999999E-2</c:v>
                </c:pt>
                <c:pt idx="211">
                  <c:v>4.4749999999999998E-2</c:v>
                </c:pt>
                <c:pt idx="212">
                  <c:v>4.5220000000000003E-2</c:v>
                </c:pt>
                <c:pt idx="213">
                  <c:v>4.3130000000000002E-2</c:v>
                </c:pt>
                <c:pt idx="214">
                  <c:v>4.1980000000000003E-2</c:v>
                </c:pt>
                <c:pt idx="215">
                  <c:v>4.1369999999999997E-2</c:v>
                </c:pt>
                <c:pt idx="216">
                  <c:v>4.079E-2</c:v>
                </c:pt>
                <c:pt idx="217">
                  <c:v>4.5229999999999999E-2</c:v>
                </c:pt>
                <c:pt idx="218">
                  <c:v>4.3950000000000003E-2</c:v>
                </c:pt>
                <c:pt idx="219">
                  <c:v>4.0739999999999998E-2</c:v>
                </c:pt>
                <c:pt idx="220">
                  <c:v>3.8920000000000003E-2</c:v>
                </c:pt>
                <c:pt idx="221">
                  <c:v>5.024E-2</c:v>
                </c:pt>
                <c:pt idx="222">
                  <c:v>4.7419999999999997E-2</c:v>
                </c:pt>
                <c:pt idx="223">
                  <c:v>4.7809999999999998E-2</c:v>
                </c:pt>
                <c:pt idx="224">
                  <c:v>4.9639999999999997E-2</c:v>
                </c:pt>
                <c:pt idx="225">
                  <c:v>5.0250000000000003E-2</c:v>
                </c:pt>
                <c:pt idx="226">
                  <c:v>5.0869999999999999E-2</c:v>
                </c:pt>
                <c:pt idx="227">
                  <c:v>5.3339999999999999E-2</c:v>
                </c:pt>
                <c:pt idx="228">
                  <c:v>4.9579999999999999E-2</c:v>
                </c:pt>
                <c:pt idx="229">
                  <c:v>4.8149999999999998E-2</c:v>
                </c:pt>
                <c:pt idx="230">
                  <c:v>4.7419999999999997E-2</c:v>
                </c:pt>
                <c:pt idx="231">
                  <c:v>5.0900000000000001E-2</c:v>
                </c:pt>
                <c:pt idx="232">
                  <c:v>5.3039999999999997E-2</c:v>
                </c:pt>
                <c:pt idx="233">
                  <c:v>4.9959999999999997E-2</c:v>
                </c:pt>
                <c:pt idx="234">
                  <c:v>5.3530000000000001E-2</c:v>
                </c:pt>
                <c:pt idx="235">
                  <c:v>5.8610000000000002E-2</c:v>
                </c:pt>
                <c:pt idx="236">
                  <c:v>5.4149999999999997E-2</c:v>
                </c:pt>
                <c:pt idx="237">
                  <c:v>5.6140000000000002E-2</c:v>
                </c:pt>
                <c:pt idx="238">
                  <c:v>6.3119999999999996E-2</c:v>
                </c:pt>
                <c:pt idx="239">
                  <c:v>5.8360000000000002E-2</c:v>
                </c:pt>
                <c:pt idx="240">
                  <c:v>5.8099999999999999E-2</c:v>
                </c:pt>
                <c:pt idx="241">
                  <c:v>5.9900000000000002E-2</c:v>
                </c:pt>
                <c:pt idx="242">
                  <c:v>5.6669999999999998E-2</c:v>
                </c:pt>
                <c:pt idx="243">
                  <c:v>5.5660000000000001E-2</c:v>
                </c:pt>
                <c:pt idx="244">
                  <c:v>5.5469999999999998E-2</c:v>
                </c:pt>
                <c:pt idx="245">
                  <c:v>5.774E-2</c:v>
                </c:pt>
                <c:pt idx="246">
                  <c:v>5.935E-2</c:v>
                </c:pt>
                <c:pt idx="247">
                  <c:v>5.3269999999999998E-2</c:v>
                </c:pt>
                <c:pt idx="248">
                  <c:v>5.5469999999999998E-2</c:v>
                </c:pt>
                <c:pt idx="249">
                  <c:v>4.181E-2</c:v>
                </c:pt>
                <c:pt idx="250">
                  <c:v>4.7109999999999999E-2</c:v>
                </c:pt>
                <c:pt idx="251">
                  <c:v>5.246E-2</c:v>
                </c:pt>
                <c:pt idx="252">
                  <c:v>6.5600000000000006E-2</c:v>
                </c:pt>
                <c:pt idx="253">
                  <c:v>5.5710000000000003E-2</c:v>
                </c:pt>
                <c:pt idx="254">
                  <c:v>9.2700000000000005E-2</c:v>
                </c:pt>
                <c:pt idx="255">
                  <c:v>9.5390000000000003E-2</c:v>
                </c:pt>
                <c:pt idx="256">
                  <c:v>0.10310999999999999</c:v>
                </c:pt>
                <c:pt idx="257">
                  <c:v>9.2130000000000004E-2</c:v>
                </c:pt>
                <c:pt idx="258">
                  <c:v>0.10385999999999999</c:v>
                </c:pt>
                <c:pt idx="259">
                  <c:v>9.8419999999999994E-2</c:v>
                </c:pt>
                <c:pt idx="260">
                  <c:v>9.5460000000000003E-2</c:v>
                </c:pt>
                <c:pt idx="261">
                  <c:v>0.11906</c:v>
                </c:pt>
                <c:pt idx="262">
                  <c:v>0.11248</c:v>
                </c:pt>
                <c:pt idx="263">
                  <c:v>0.128</c:v>
                </c:pt>
                <c:pt idx="264">
                  <c:v>0.13370000000000001</c:v>
                </c:pt>
                <c:pt idx="265">
                  <c:v>0.14000000000000001</c:v>
                </c:pt>
                <c:pt idx="266">
                  <c:v>0.14273</c:v>
                </c:pt>
                <c:pt idx="267">
                  <c:v>0.12912000000000001</c:v>
                </c:pt>
                <c:pt idx="268">
                  <c:v>0.11483</c:v>
                </c:pt>
                <c:pt idx="269">
                  <c:v>0.12175</c:v>
                </c:pt>
                <c:pt idx="270">
                  <c:v>0.1229</c:v>
                </c:pt>
                <c:pt idx="271">
                  <c:v>0.12615999999999999</c:v>
                </c:pt>
                <c:pt idx="272">
                  <c:v>0.13078000000000001</c:v>
                </c:pt>
                <c:pt idx="273">
                  <c:v>0.1104</c:v>
                </c:pt>
                <c:pt idx="274">
                  <c:v>0.1147</c:v>
                </c:pt>
                <c:pt idx="275">
                  <c:v>0.12324</c:v>
                </c:pt>
                <c:pt idx="276">
                  <c:v>0.10161000000000001</c:v>
                </c:pt>
                <c:pt idx="277">
                  <c:v>8.4830000000000003E-2</c:v>
                </c:pt>
                <c:pt idx="278">
                  <c:v>8.5169999999999996E-2</c:v>
                </c:pt>
                <c:pt idx="279">
                  <c:v>9.3960000000000002E-2</c:v>
                </c:pt>
                <c:pt idx="280">
                  <c:v>0.10299999999999999</c:v>
                </c:pt>
                <c:pt idx="281">
                  <c:v>0.11112</c:v>
                </c:pt>
                <c:pt idx="282">
                  <c:v>0.11446000000000001</c:v>
                </c:pt>
                <c:pt idx="283">
                  <c:v>0.10854</c:v>
                </c:pt>
                <c:pt idx="284">
                  <c:v>0.12189999999999999</c:v>
                </c:pt>
                <c:pt idx="285">
                  <c:v>0.14213999999999999</c:v>
                </c:pt>
                <c:pt idx="286">
                  <c:v>0.15</c:v>
                </c:pt>
                <c:pt idx="287">
                  <c:v>0.13500000000000001</c:v>
                </c:pt>
                <c:pt idx="288">
                  <c:v>0.124</c:v>
                </c:pt>
                <c:pt idx="289">
                  <c:v>0.12368999999999999</c:v>
                </c:pt>
                <c:pt idx="290">
                  <c:v>0.12271</c:v>
                </c:pt>
                <c:pt idx="291">
                  <c:v>0.12834000000000001</c:v>
                </c:pt>
                <c:pt idx="292">
                  <c:v>0.12620999999999999</c:v>
                </c:pt>
                <c:pt idx="293">
                  <c:v>0.12289</c:v>
                </c:pt>
                <c:pt idx="294">
                  <c:v>0.12313</c:v>
                </c:pt>
                <c:pt idx="295">
                  <c:v>0.11305999999999999</c:v>
                </c:pt>
                <c:pt idx="296">
                  <c:v>0.12814</c:v>
                </c:pt>
                <c:pt idx="297">
                  <c:v>0.13685</c:v>
                </c:pt>
                <c:pt idx="298">
                  <c:v>0.11521000000000001</c:v>
                </c:pt>
                <c:pt idx="299">
                  <c:v>0.1016</c:v>
                </c:pt>
                <c:pt idx="300">
                  <c:v>0.11242000000000001</c:v>
                </c:pt>
                <c:pt idx="301">
                  <c:v>9.1550000000000006E-2</c:v>
                </c:pt>
                <c:pt idx="302">
                  <c:v>9.8580000000000001E-2</c:v>
                </c:pt>
                <c:pt idx="303">
                  <c:v>8.5769999999999999E-2</c:v>
                </c:pt>
                <c:pt idx="304">
                  <c:v>8.6269999999999999E-2</c:v>
                </c:pt>
                <c:pt idx="305">
                  <c:v>8.5459999999999994E-2</c:v>
                </c:pt>
                <c:pt idx="306">
                  <c:v>7.8200000000000006E-2</c:v>
                </c:pt>
                <c:pt idx="307">
                  <c:v>7.399E-2</c:v>
                </c:pt>
                <c:pt idx="308">
                  <c:v>6.6220000000000001E-2</c:v>
                </c:pt>
                <c:pt idx="309">
                  <c:v>6.9500000000000006E-2</c:v>
                </c:pt>
                <c:pt idx="310">
                  <c:v>7.4289999999999995E-2</c:v>
                </c:pt>
                <c:pt idx="311">
                  <c:v>7.6600000000000001E-2</c:v>
                </c:pt>
                <c:pt idx="312">
                  <c:v>8.1460000000000005E-2</c:v>
                </c:pt>
                <c:pt idx="313">
                  <c:v>7.6259999999999994E-2</c:v>
                </c:pt>
                <c:pt idx="314">
                  <c:v>7.3270000000000002E-2</c:v>
                </c:pt>
                <c:pt idx="315">
                  <c:v>7.2669999999999998E-2</c:v>
                </c:pt>
                <c:pt idx="316">
                  <c:v>7.3520000000000002E-2</c:v>
                </c:pt>
                <c:pt idx="317">
                  <c:v>7.4230000000000004E-2</c:v>
                </c:pt>
                <c:pt idx="318">
                  <c:v>7.8200000000000006E-2</c:v>
                </c:pt>
                <c:pt idx="319">
                  <c:v>8.3930000000000005E-2</c:v>
                </c:pt>
                <c:pt idx="320">
                  <c:v>7.4690000000000006E-2</c:v>
                </c:pt>
                <c:pt idx="321">
                  <c:v>7.9670000000000005E-2</c:v>
                </c:pt>
                <c:pt idx="322">
                  <c:v>7.2450000000000001E-2</c:v>
                </c:pt>
                <c:pt idx="323">
                  <c:v>6.1199999999999997E-2</c:v>
                </c:pt>
                <c:pt idx="324">
                  <c:v>6.2810000000000005E-2</c:v>
                </c:pt>
                <c:pt idx="325">
                  <c:v>5.6500000000000002E-2</c:v>
                </c:pt>
                <c:pt idx="326">
                  <c:v>5.5449999999999999E-2</c:v>
                </c:pt>
                <c:pt idx="327">
                  <c:v>5.2049999999999999E-2</c:v>
                </c:pt>
                <c:pt idx="328">
                  <c:v>5.0220000000000001E-2</c:v>
                </c:pt>
                <c:pt idx="329">
                  <c:v>4.8000000000000001E-2</c:v>
                </c:pt>
                <c:pt idx="330">
                  <c:v>4.9450000000000001E-2</c:v>
                </c:pt>
                <c:pt idx="331">
                  <c:v>4.5580000000000002E-2</c:v>
                </c:pt>
                <c:pt idx="332">
                  <c:v>4.7620000000000003E-2</c:v>
                </c:pt>
                <c:pt idx="333">
                  <c:v>4.3409999999999997E-2</c:v>
                </c:pt>
                <c:pt idx="334">
                  <c:v>4.4769999999999997E-2</c:v>
                </c:pt>
                <c:pt idx="335">
                  <c:v>4.2639999999999997E-2</c:v>
                </c:pt>
                <c:pt idx="336">
                  <c:v>4.5199999999999997E-2</c:v>
                </c:pt>
                <c:pt idx="337">
                  <c:v>4.87E-2</c:v>
                </c:pt>
                <c:pt idx="338">
                  <c:v>4.6240000000000003E-2</c:v>
                </c:pt>
                <c:pt idx="339">
                  <c:v>5.4199999999999998E-2</c:v>
                </c:pt>
                <c:pt idx="340">
                  <c:v>5.9290000000000002E-2</c:v>
                </c:pt>
                <c:pt idx="341">
                  <c:v>5.79E-2</c:v>
                </c:pt>
                <c:pt idx="342">
                  <c:v>6.3380000000000006E-2</c:v>
                </c:pt>
                <c:pt idx="343">
                  <c:v>6.3109999999999999E-2</c:v>
                </c:pt>
                <c:pt idx="344">
                  <c:v>6.1330000000000003E-2</c:v>
                </c:pt>
                <c:pt idx="345">
                  <c:v>5.8880000000000002E-2</c:v>
                </c:pt>
                <c:pt idx="346">
                  <c:v>6.0409999999999998E-2</c:v>
                </c:pt>
                <c:pt idx="347">
                  <c:v>7.0059999999999997E-2</c:v>
                </c:pt>
                <c:pt idx="348">
                  <c:v>7.578E-2</c:v>
                </c:pt>
                <c:pt idx="349">
                  <c:v>6.2420000000000003E-2</c:v>
                </c:pt>
                <c:pt idx="350">
                  <c:v>6.5199999999999994E-2</c:v>
                </c:pt>
                <c:pt idx="351">
                  <c:v>5.0470000000000001E-2</c:v>
                </c:pt>
                <c:pt idx="352">
                  <c:v>5.1200000000000002E-2</c:v>
                </c:pt>
                <c:pt idx="353">
                  <c:v>4.6690000000000002E-2</c:v>
                </c:pt>
                <c:pt idx="354">
                  <c:v>4.1880000000000001E-2</c:v>
                </c:pt>
                <c:pt idx="355">
                  <c:v>4.2939999999999999E-2</c:v>
                </c:pt>
                <c:pt idx="356">
                  <c:v>4.7030000000000002E-2</c:v>
                </c:pt>
                <c:pt idx="357">
                  <c:v>4.3229999999999998E-2</c:v>
                </c:pt>
                <c:pt idx="358">
                  <c:v>4.1759999999999999E-2</c:v>
                </c:pt>
                <c:pt idx="359">
                  <c:v>3.9480000000000001E-2</c:v>
                </c:pt>
                <c:pt idx="360">
                  <c:v>3.9550000000000002E-2</c:v>
                </c:pt>
                <c:pt idx="361">
                  <c:v>3.6209999999999999E-2</c:v>
                </c:pt>
                <c:pt idx="362">
                  <c:v>3.6360000000000003E-2</c:v>
                </c:pt>
                <c:pt idx="363">
                  <c:v>5.2069999999999998E-2</c:v>
                </c:pt>
                <c:pt idx="364">
                  <c:v>2.3980000000000001E-2</c:v>
                </c:pt>
                <c:pt idx="365">
                  <c:v>2.2280000000000001E-2</c:v>
                </c:pt>
                <c:pt idx="366">
                  <c:v>2.3400000000000001E-2</c:v>
                </c:pt>
                <c:pt idx="367">
                  <c:v>2.3199999999999998E-2</c:v>
                </c:pt>
                <c:pt idx="368">
                  <c:v>2.4199999999999999E-2</c:v>
                </c:pt>
                <c:pt idx="369">
                  <c:v>2.4330000000000001E-2</c:v>
                </c:pt>
                <c:pt idx="370">
                  <c:v>2.4160000000000001E-2</c:v>
                </c:pt>
                <c:pt idx="371">
                  <c:v>2.3390000000000001E-2</c:v>
                </c:pt>
                <c:pt idx="372">
                  <c:v>2.5749999999999999E-2</c:v>
                </c:pt>
                <c:pt idx="373">
                  <c:v>2.6859999999999998E-2</c:v>
                </c:pt>
                <c:pt idx="374">
                  <c:v>2.58E-2</c:v>
                </c:pt>
                <c:pt idx="375">
                  <c:v>2.545E-2</c:v>
                </c:pt>
                <c:pt idx="376">
                  <c:v>2.5510000000000001E-2</c:v>
                </c:pt>
                <c:pt idx="377">
                  <c:v>2.5250000000000002E-2</c:v>
                </c:pt>
                <c:pt idx="378">
                  <c:v>2.5250000000000002E-2</c:v>
                </c:pt>
                <c:pt idx="379">
                  <c:v>2.581E-2</c:v>
                </c:pt>
                <c:pt idx="380">
                  <c:v>2.46E-2</c:v>
                </c:pt>
                <c:pt idx="381">
                  <c:v>2.495E-2</c:v>
                </c:pt>
                <c:pt idx="382">
                  <c:v>2.8299999999999999E-2</c:v>
                </c:pt>
                <c:pt idx="383">
                  <c:v>3.0040000000000001E-2</c:v>
                </c:pt>
                <c:pt idx="384">
                  <c:v>2.818E-2</c:v>
                </c:pt>
                <c:pt idx="385">
                  <c:v>2.8670000000000001E-2</c:v>
                </c:pt>
                <c:pt idx="386">
                  <c:v>2.6259999999999999E-2</c:v>
                </c:pt>
                <c:pt idx="387">
                  <c:v>2.4719999999999999E-2</c:v>
                </c:pt>
                <c:pt idx="388">
                  <c:v>2.3800000000000002E-2</c:v>
                </c:pt>
                <c:pt idx="389">
                  <c:v>2.444E-2</c:v>
                </c:pt>
                <c:pt idx="390">
                  <c:v>2.2780000000000002E-2</c:v>
                </c:pt>
                <c:pt idx="391">
                  <c:v>2.155E-2</c:v>
                </c:pt>
                <c:pt idx="392">
                  <c:v>2.0660000000000001E-2</c:v>
                </c:pt>
                <c:pt idx="393">
                  <c:v>2.0670000000000001E-2</c:v>
                </c:pt>
                <c:pt idx="394">
                  <c:v>2.145E-2</c:v>
                </c:pt>
                <c:pt idx="395">
                  <c:v>2.2499999999999999E-2</c:v>
                </c:pt>
                <c:pt idx="396">
                  <c:v>2.2290000000000001E-2</c:v>
                </c:pt>
                <c:pt idx="397">
                  <c:v>2.3140000000000001E-2</c:v>
                </c:pt>
                <c:pt idx="398">
                  <c:v>2.2849999999999999E-2</c:v>
                </c:pt>
                <c:pt idx="399">
                  <c:v>2.3179999999999999E-2</c:v>
                </c:pt>
                <c:pt idx="400">
                  <c:v>2.0889999999999999E-2</c:v>
                </c:pt>
                <c:pt idx="401">
                  <c:v>2.4979999999999999E-2</c:v>
                </c:pt>
                <c:pt idx="402">
                  <c:v>2.4129999999999999E-2</c:v>
                </c:pt>
                <c:pt idx="403">
                  <c:v>2.6100000000000002E-2</c:v>
                </c:pt>
                <c:pt idx="404">
                  <c:v>2.4E-2</c:v>
                </c:pt>
                <c:pt idx="405">
                  <c:v>2.2939999999999999E-2</c:v>
                </c:pt>
                <c:pt idx="406">
                  <c:v>2.264E-2</c:v>
                </c:pt>
                <c:pt idx="407">
                  <c:v>2.29E-2</c:v>
                </c:pt>
                <c:pt idx="408">
                  <c:v>2.1850000000000001E-2</c:v>
                </c:pt>
                <c:pt idx="409">
                  <c:v>2.1260000000000001E-2</c:v>
                </c:pt>
                <c:pt idx="410">
                  <c:v>2.1760000000000002E-2</c:v>
                </c:pt>
                <c:pt idx="411">
                  <c:v>2.1700000000000001E-2</c:v>
                </c:pt>
                <c:pt idx="412">
                  <c:v>2.189E-2</c:v>
                </c:pt>
                <c:pt idx="413">
                  <c:v>2.0400000000000001E-2</c:v>
                </c:pt>
                <c:pt idx="414">
                  <c:v>2.0979999999999999E-2</c:v>
                </c:pt>
                <c:pt idx="415">
                  <c:v>2.154E-2</c:v>
                </c:pt>
                <c:pt idx="416">
                  <c:v>2.283E-2</c:v>
                </c:pt>
                <c:pt idx="417">
                  <c:v>2.273E-2</c:v>
                </c:pt>
                <c:pt idx="418">
                  <c:v>2.307E-2</c:v>
                </c:pt>
                <c:pt idx="419">
                  <c:v>2.2380000000000001E-2</c:v>
                </c:pt>
                <c:pt idx="420">
                  <c:v>2.3570000000000001E-2</c:v>
                </c:pt>
                <c:pt idx="421">
                  <c:v>2.3560000000000001E-2</c:v>
                </c:pt>
                <c:pt idx="422">
                  <c:v>2.29E-2</c:v>
                </c:pt>
                <c:pt idx="423">
                  <c:v>2.3910000000000001E-2</c:v>
                </c:pt>
                <c:pt idx="424">
                  <c:v>2.3189999999999999E-2</c:v>
                </c:pt>
                <c:pt idx="425">
                  <c:v>2.3369999999999998E-2</c:v>
                </c:pt>
                <c:pt idx="426">
                  <c:v>2.1989999999999999E-2</c:v>
                </c:pt>
                <c:pt idx="427">
                  <c:v>2.222E-2</c:v>
                </c:pt>
                <c:pt idx="428">
                  <c:v>2.4649999999999998E-2</c:v>
                </c:pt>
                <c:pt idx="429">
                  <c:v>2.6169999999999999E-2</c:v>
                </c:pt>
                <c:pt idx="430">
                  <c:v>2.3640000000000001E-2</c:v>
                </c:pt>
                <c:pt idx="431">
                  <c:v>2.273E-2</c:v>
                </c:pt>
                <c:pt idx="432">
                  <c:v>2.409E-2</c:v>
                </c:pt>
                <c:pt idx="433">
                  <c:v>1.9E-2</c:v>
                </c:pt>
                <c:pt idx="434">
                  <c:v>1.8360000000000001E-2</c:v>
                </c:pt>
                <c:pt idx="435">
                  <c:v>1.839E-2</c:v>
                </c:pt>
                <c:pt idx="436">
                  <c:v>1.89E-2</c:v>
                </c:pt>
                <c:pt idx="437">
                  <c:v>1.891E-2</c:v>
                </c:pt>
                <c:pt idx="438">
                  <c:v>1.7989999999999999E-2</c:v>
                </c:pt>
                <c:pt idx="439">
                  <c:v>1.814E-2</c:v>
                </c:pt>
                <c:pt idx="440">
                  <c:v>1.8630000000000001E-2</c:v>
                </c:pt>
                <c:pt idx="441">
                  <c:v>1.8440000000000002E-2</c:v>
                </c:pt>
                <c:pt idx="442">
                  <c:v>1.9009999999999999E-2</c:v>
                </c:pt>
                <c:pt idx="443">
                  <c:v>1.9130000000000001E-2</c:v>
                </c:pt>
                <c:pt idx="444">
                  <c:v>1.8620000000000001E-2</c:v>
                </c:pt>
                <c:pt idx="445">
                  <c:v>1.8249999999999999E-2</c:v>
                </c:pt>
                <c:pt idx="446">
                  <c:v>1.797E-2</c:v>
                </c:pt>
                <c:pt idx="447">
                  <c:v>1.9359999999999999E-2</c:v>
                </c:pt>
                <c:pt idx="448">
                  <c:v>1.6979999999999999E-2</c:v>
                </c:pt>
                <c:pt idx="449">
                  <c:v>1.5339999999999999E-2</c:v>
                </c:pt>
                <c:pt idx="450">
                  <c:v>1.511E-2</c:v>
                </c:pt>
                <c:pt idx="451">
                  <c:v>1.6160000000000001E-2</c:v>
                </c:pt>
                <c:pt idx="452">
                  <c:v>1.7090000000000001E-2</c:v>
                </c:pt>
                <c:pt idx="453">
                  <c:v>1.678E-2</c:v>
                </c:pt>
                <c:pt idx="454">
                  <c:v>1.6879999999999999E-2</c:v>
                </c:pt>
                <c:pt idx="455">
                  <c:v>1.7059999999999999E-2</c:v>
                </c:pt>
                <c:pt idx="456">
                  <c:v>1.7170000000000001E-2</c:v>
                </c:pt>
                <c:pt idx="457">
                  <c:v>1.84E-2</c:v>
                </c:pt>
                <c:pt idx="458">
                  <c:v>1.8689999999999998E-2</c:v>
                </c:pt>
                <c:pt idx="459">
                  <c:v>1.883E-2</c:v>
                </c:pt>
                <c:pt idx="460">
                  <c:v>1.8720000000000001E-2</c:v>
                </c:pt>
                <c:pt idx="461">
                  <c:v>1.917E-2</c:v>
                </c:pt>
                <c:pt idx="462">
                  <c:v>1.9640000000000001E-2</c:v>
                </c:pt>
                <c:pt idx="463">
                  <c:v>1.8669999999999999E-2</c:v>
                </c:pt>
                <c:pt idx="464">
                  <c:v>1.8149999999999999E-2</c:v>
                </c:pt>
                <c:pt idx="465">
                  <c:v>1.9009999999999999E-2</c:v>
                </c:pt>
                <c:pt idx="466">
                  <c:v>1.8519999999999998E-2</c:v>
                </c:pt>
                <c:pt idx="467">
                  <c:v>1.8839999999999999E-2</c:v>
                </c:pt>
                <c:pt idx="468">
                  <c:v>1.8939999999999999E-2</c:v>
                </c:pt>
                <c:pt idx="469">
                  <c:v>1.9820000000000001E-2</c:v>
                </c:pt>
                <c:pt idx="470">
                  <c:v>1.9300000000000001E-2</c:v>
                </c:pt>
                <c:pt idx="471">
                  <c:v>1.9369999999999998E-2</c:v>
                </c:pt>
                <c:pt idx="472">
                  <c:v>2.0039999999999999E-2</c:v>
                </c:pt>
                <c:pt idx="473">
                  <c:v>2.0070000000000001E-2</c:v>
                </c:pt>
                <c:pt idx="474">
                  <c:v>1.9910000000000001E-2</c:v>
                </c:pt>
                <c:pt idx="475">
                  <c:v>1.9599999999999999E-2</c:v>
                </c:pt>
                <c:pt idx="476">
                  <c:v>1.9570000000000001E-2</c:v>
                </c:pt>
                <c:pt idx="477">
                  <c:v>1.9140000000000001E-2</c:v>
                </c:pt>
                <c:pt idx="478">
                  <c:v>1.9570000000000001E-2</c:v>
                </c:pt>
                <c:pt idx="479">
                  <c:v>2.1160000000000002E-2</c:v>
                </c:pt>
                <c:pt idx="480">
                  <c:v>2.1129999999999999E-2</c:v>
                </c:pt>
                <c:pt idx="481">
                  <c:v>2.1260000000000001E-2</c:v>
                </c:pt>
                <c:pt idx="482">
                  <c:v>2.1350000000000001E-2</c:v>
                </c:pt>
                <c:pt idx="483">
                  <c:v>2.18E-2</c:v>
                </c:pt>
                <c:pt idx="484">
                  <c:v>2.3060000000000001E-2</c:v>
                </c:pt>
                <c:pt idx="485">
                  <c:v>2.4039999999999999E-2</c:v>
                </c:pt>
                <c:pt idx="486">
                  <c:v>2.4289999999999999E-2</c:v>
                </c:pt>
                <c:pt idx="487">
                  <c:v>2.4539999999999999E-2</c:v>
                </c:pt>
                <c:pt idx="488">
                  <c:v>2.4670000000000001E-2</c:v>
                </c:pt>
                <c:pt idx="489">
                  <c:v>2.4140000000000002E-2</c:v>
                </c:pt>
                <c:pt idx="490">
                  <c:v>2.401E-2</c:v>
                </c:pt>
                <c:pt idx="491">
                  <c:v>2.2759999999999999E-2</c:v>
                </c:pt>
                <c:pt idx="492">
                  <c:v>2.5000000000000001E-2</c:v>
                </c:pt>
                <c:pt idx="493">
                  <c:v>2.4060000000000002E-2</c:v>
                </c:pt>
                <c:pt idx="494">
                  <c:v>2.64E-2</c:v>
                </c:pt>
                <c:pt idx="495">
                  <c:v>2.6769999999999999E-2</c:v>
                </c:pt>
                <c:pt idx="496">
                  <c:v>2.947E-2</c:v>
                </c:pt>
                <c:pt idx="497">
                  <c:v>2.6079999999999999E-2</c:v>
                </c:pt>
                <c:pt idx="498">
                  <c:v>2.6849999999999999E-2</c:v>
                </c:pt>
                <c:pt idx="499">
                  <c:v>2.7050000000000001E-2</c:v>
                </c:pt>
                <c:pt idx="500">
                  <c:v>2.8989999999999998E-2</c:v>
                </c:pt>
                <c:pt idx="501">
                  <c:v>2.9229999999999999E-2</c:v>
                </c:pt>
                <c:pt idx="502">
                  <c:v>3.2320000000000002E-2</c:v>
                </c:pt>
                <c:pt idx="503">
                  <c:v>3.5400000000000001E-2</c:v>
                </c:pt>
                <c:pt idx="504">
                  <c:v>3.7229999999999999E-2</c:v>
                </c:pt>
                <c:pt idx="505">
                  <c:v>4.9480000000000003E-2</c:v>
                </c:pt>
                <c:pt idx="506">
                  <c:v>4.9570000000000003E-2</c:v>
                </c:pt>
                <c:pt idx="507">
                  <c:v>5.6770000000000001E-2</c:v>
                </c:pt>
                <c:pt idx="508">
                  <c:v>4.9320000000000003E-2</c:v>
                </c:pt>
                <c:pt idx="509">
                  <c:v>4.8210000000000003E-2</c:v>
                </c:pt>
                <c:pt idx="510">
                  <c:v>3.6970000000000003E-2</c:v>
                </c:pt>
                <c:pt idx="511">
                  <c:v>3.5799999999999998E-2</c:v>
                </c:pt>
                <c:pt idx="512">
                  <c:v>4.99E-2</c:v>
                </c:pt>
                <c:pt idx="513">
                  <c:v>4.8800000000000003E-2</c:v>
                </c:pt>
                <c:pt idx="514">
                  <c:v>5.142E-2</c:v>
                </c:pt>
                <c:pt idx="515">
                  <c:v>2.964E-2</c:v>
                </c:pt>
                <c:pt idx="516">
                  <c:v>2.903E-2</c:v>
                </c:pt>
                <c:pt idx="517">
                  <c:v>2.7660000000000001E-2</c:v>
                </c:pt>
                <c:pt idx="518">
                  <c:v>2.6859999999999998E-2</c:v>
                </c:pt>
                <c:pt idx="519">
                  <c:v>2.81E-2</c:v>
                </c:pt>
                <c:pt idx="520">
                  <c:v>2.7709999999999999E-2</c:v>
                </c:pt>
                <c:pt idx="521">
                  <c:v>3.066E-2</c:v>
                </c:pt>
                <c:pt idx="522">
                  <c:v>3.0870000000000002E-2</c:v>
                </c:pt>
                <c:pt idx="523">
                  <c:v>3.1419999999999997E-2</c:v>
                </c:pt>
                <c:pt idx="524">
                  <c:v>2.945E-2</c:v>
                </c:pt>
                <c:pt idx="525">
                  <c:v>3.0200000000000001E-2</c:v>
                </c:pt>
                <c:pt idx="526">
                  <c:v>2.8809999999999999E-2</c:v>
                </c:pt>
                <c:pt idx="527">
                  <c:v>3.202E-2</c:v>
                </c:pt>
                <c:pt idx="528">
                  <c:v>3.4209999999999997E-2</c:v>
                </c:pt>
                <c:pt idx="529">
                  <c:v>3.4779999999999998E-2</c:v>
                </c:pt>
                <c:pt idx="530">
                  <c:v>3.4369999999999998E-2</c:v>
                </c:pt>
                <c:pt idx="531">
                  <c:v>3.2680000000000001E-2</c:v>
                </c:pt>
                <c:pt idx="532">
                  <c:v>3.4290000000000001E-2</c:v>
                </c:pt>
                <c:pt idx="533">
                  <c:v>3.4459999999999998E-2</c:v>
                </c:pt>
                <c:pt idx="534">
                  <c:v>2.631E-2</c:v>
                </c:pt>
                <c:pt idx="535">
                  <c:v>2.743E-2</c:v>
                </c:pt>
                <c:pt idx="536">
                  <c:v>2.6290000000000001E-2</c:v>
                </c:pt>
                <c:pt idx="537">
                  <c:v>2.6169999999999999E-2</c:v>
                </c:pt>
                <c:pt idx="538">
                  <c:v>2.5590000000000002E-2</c:v>
                </c:pt>
                <c:pt idx="539">
                  <c:v>2.6030000000000001E-2</c:v>
                </c:pt>
                <c:pt idx="540">
                  <c:v>2.615E-2</c:v>
                </c:pt>
                <c:pt idx="541">
                  <c:v>2.5780000000000001E-2</c:v>
                </c:pt>
                <c:pt idx="542">
                  <c:v>2.6100000000000002E-2</c:v>
                </c:pt>
                <c:pt idx="543">
                  <c:v>2.5760000000000002E-2</c:v>
                </c:pt>
                <c:pt idx="544">
                  <c:v>2.7119999999999998E-2</c:v>
                </c:pt>
                <c:pt idx="545">
                  <c:v>2.6290000000000001E-2</c:v>
                </c:pt>
                <c:pt idx="546">
                  <c:v>2.7029999999999998E-2</c:v>
                </c:pt>
                <c:pt idx="547">
                  <c:v>2.5919999999999999E-2</c:v>
                </c:pt>
                <c:pt idx="548">
                  <c:v>2.547E-2</c:v>
                </c:pt>
                <c:pt idx="549">
                  <c:v>2.521E-2</c:v>
                </c:pt>
                <c:pt idx="550">
                  <c:v>2.5319999999999999E-2</c:v>
                </c:pt>
                <c:pt idx="551">
                  <c:v>2.554E-2</c:v>
                </c:pt>
                <c:pt idx="552">
                  <c:v>2.5559999999999999E-2</c:v>
                </c:pt>
                <c:pt idx="553">
                  <c:v>2.4879999999999999E-2</c:v>
                </c:pt>
                <c:pt idx="554">
                  <c:v>2.5489999999999999E-2</c:v>
                </c:pt>
                <c:pt idx="555">
                  <c:v>2.5010000000000001E-2</c:v>
                </c:pt>
                <c:pt idx="556">
                  <c:v>2.4279999999999999E-2</c:v>
                </c:pt>
                <c:pt idx="557">
                  <c:v>2.366E-2</c:v>
                </c:pt>
                <c:pt idx="558">
                  <c:v>2.3820000000000001E-2</c:v>
                </c:pt>
                <c:pt idx="559">
                  <c:v>2.351E-2</c:v>
                </c:pt>
                <c:pt idx="560">
                  <c:v>2.3460000000000002E-2</c:v>
                </c:pt>
                <c:pt idx="561">
                  <c:v>2.3699999999999999E-2</c:v>
                </c:pt>
                <c:pt idx="562">
                  <c:v>2.4140000000000002E-2</c:v>
                </c:pt>
                <c:pt idx="563">
                  <c:v>2.444E-2</c:v>
                </c:pt>
                <c:pt idx="564">
                  <c:v>2.4539999999999999E-2</c:v>
                </c:pt>
                <c:pt idx="565">
                  <c:v>2.5489999999999999E-2</c:v>
                </c:pt>
                <c:pt idx="566">
                  <c:v>2.503E-2</c:v>
                </c:pt>
                <c:pt idx="567">
                  <c:v>2.5100000000000001E-2</c:v>
                </c:pt>
                <c:pt idx="568">
                  <c:v>2.5139999999999999E-2</c:v>
                </c:pt>
                <c:pt idx="569">
                  <c:v>2.3310000000000001E-2</c:v>
                </c:pt>
                <c:pt idx="570">
                  <c:v>2.3609999999999999E-2</c:v>
                </c:pt>
                <c:pt idx="571">
                  <c:v>2.2669999999999999E-2</c:v>
                </c:pt>
                <c:pt idx="572">
                  <c:v>2.3130000000000001E-2</c:v>
                </c:pt>
                <c:pt idx="573">
                  <c:v>2.2790000000000001E-2</c:v>
                </c:pt>
                <c:pt idx="574">
                  <c:v>2.2790000000000001E-2</c:v>
                </c:pt>
                <c:pt idx="575">
                  <c:v>2.2769999999999999E-2</c:v>
                </c:pt>
                <c:pt idx="576">
                  <c:v>2.3040000000000001E-2</c:v>
                </c:pt>
                <c:pt idx="577">
                  <c:v>2.3900000000000001E-2</c:v>
                </c:pt>
                <c:pt idx="578">
                  <c:v>2.4330000000000001E-2</c:v>
                </c:pt>
                <c:pt idx="579">
                  <c:v>2.4160000000000001E-2</c:v>
                </c:pt>
                <c:pt idx="580">
                  <c:v>2.6339999999999999E-2</c:v>
                </c:pt>
                <c:pt idx="581">
                  <c:v>2.53E-2</c:v>
                </c:pt>
                <c:pt idx="582">
                  <c:v>2.623E-2</c:v>
                </c:pt>
                <c:pt idx="583">
                  <c:v>2.614E-2</c:v>
                </c:pt>
                <c:pt idx="584">
                  <c:v>2.5649999999999999E-2</c:v>
                </c:pt>
                <c:pt idx="585">
                  <c:v>2.3619999999999999E-2</c:v>
                </c:pt>
                <c:pt idx="586">
                  <c:v>2.384E-2</c:v>
                </c:pt>
                <c:pt idx="587">
                  <c:v>2.3400000000000001E-2</c:v>
                </c:pt>
                <c:pt idx="588">
                  <c:v>2.4420000000000001E-2</c:v>
                </c:pt>
                <c:pt idx="589">
                  <c:v>2.3560000000000001E-2</c:v>
                </c:pt>
                <c:pt idx="590">
                  <c:v>2.2440000000000002E-2</c:v>
                </c:pt>
                <c:pt idx="591">
                  <c:v>2.2509999999999999E-2</c:v>
                </c:pt>
                <c:pt idx="592">
                  <c:v>2.2270000000000002E-2</c:v>
                </c:pt>
                <c:pt idx="593">
                  <c:v>2.1729999999999999E-2</c:v>
                </c:pt>
                <c:pt idx="594">
                  <c:v>2.1669999999999998E-2</c:v>
                </c:pt>
                <c:pt idx="595">
                  <c:v>2.0899999999999998E-2</c:v>
                </c:pt>
                <c:pt idx="596">
                  <c:v>2.2960000000000001E-2</c:v>
                </c:pt>
                <c:pt idx="597">
                  <c:v>2.24E-2</c:v>
                </c:pt>
                <c:pt idx="598">
                  <c:v>2.2360000000000001E-2</c:v>
                </c:pt>
                <c:pt idx="599">
                  <c:v>2.1739999999999999E-2</c:v>
                </c:pt>
                <c:pt idx="600">
                  <c:v>2.2210000000000001E-2</c:v>
                </c:pt>
                <c:pt idx="601">
                  <c:v>2.239E-2</c:v>
                </c:pt>
                <c:pt idx="602">
                  <c:v>2.299E-2</c:v>
                </c:pt>
                <c:pt idx="603">
                  <c:v>2.324E-2</c:v>
                </c:pt>
                <c:pt idx="604">
                  <c:v>2.2630000000000001E-2</c:v>
                </c:pt>
                <c:pt idx="605">
                  <c:v>2.3099999999999999E-2</c:v>
                </c:pt>
                <c:pt idx="606">
                  <c:v>2.264E-2</c:v>
                </c:pt>
                <c:pt idx="607">
                  <c:v>2.3259999999999999E-2</c:v>
                </c:pt>
                <c:pt idx="608">
                  <c:v>2.2339999999999999E-2</c:v>
                </c:pt>
                <c:pt idx="609">
                  <c:v>2.2079999999999999E-2</c:v>
                </c:pt>
                <c:pt idx="610">
                  <c:v>2.266E-2</c:v>
                </c:pt>
                <c:pt idx="611">
                  <c:v>2.1989999999999999E-2</c:v>
                </c:pt>
                <c:pt idx="612">
                  <c:v>2.086E-2</c:v>
                </c:pt>
                <c:pt idx="613">
                  <c:v>2.0080000000000001E-2</c:v>
                </c:pt>
                <c:pt idx="614">
                  <c:v>2.0219999999999998E-2</c:v>
                </c:pt>
                <c:pt idx="615">
                  <c:v>2.052E-2</c:v>
                </c:pt>
                <c:pt idx="616">
                  <c:v>1.8030000000000001E-2</c:v>
                </c:pt>
                <c:pt idx="617">
                  <c:v>1.9040000000000001E-2</c:v>
                </c:pt>
                <c:pt idx="618">
                  <c:v>1.9120000000000002E-2</c:v>
                </c:pt>
                <c:pt idx="619">
                  <c:v>1.9089999999999999E-2</c:v>
                </c:pt>
                <c:pt idx="620">
                  <c:v>1.891E-2</c:v>
                </c:pt>
                <c:pt idx="621">
                  <c:v>1.8679999999999999E-2</c:v>
                </c:pt>
                <c:pt idx="622">
                  <c:v>1.8610000000000002E-2</c:v>
                </c:pt>
                <c:pt idx="623">
                  <c:v>1.9099999999999999E-2</c:v>
                </c:pt>
                <c:pt idx="624">
                  <c:v>1.9029999999999998E-2</c:v>
                </c:pt>
                <c:pt idx="625">
                  <c:v>1.8169999999999999E-2</c:v>
                </c:pt>
                <c:pt idx="626">
                  <c:v>1.7729999999999999E-2</c:v>
                </c:pt>
                <c:pt idx="627">
                  <c:v>1.8370000000000001E-2</c:v>
                </c:pt>
                <c:pt idx="628">
                  <c:v>2.043E-2</c:v>
                </c:pt>
                <c:pt idx="629">
                  <c:v>2.0420000000000001E-2</c:v>
                </c:pt>
                <c:pt idx="630">
                  <c:v>2.044E-2</c:v>
                </c:pt>
                <c:pt idx="631">
                  <c:v>2.0060000000000001E-2</c:v>
                </c:pt>
                <c:pt idx="632">
                  <c:v>2.0830000000000001E-2</c:v>
                </c:pt>
                <c:pt idx="633">
                  <c:v>2.0029999999999999E-2</c:v>
                </c:pt>
                <c:pt idx="634">
                  <c:v>2.027E-2</c:v>
                </c:pt>
                <c:pt idx="635">
                  <c:v>2.085E-2</c:v>
                </c:pt>
                <c:pt idx="636">
                  <c:v>2.1229999999999999E-2</c:v>
                </c:pt>
                <c:pt idx="637">
                  <c:v>1.9380000000000001E-2</c:v>
                </c:pt>
                <c:pt idx="638">
                  <c:v>2.0160000000000001E-2</c:v>
                </c:pt>
                <c:pt idx="639">
                  <c:v>1.8589999999999999E-2</c:v>
                </c:pt>
                <c:pt idx="640">
                  <c:v>1.7930000000000001E-2</c:v>
                </c:pt>
                <c:pt idx="641">
                  <c:v>1.806E-2</c:v>
                </c:pt>
                <c:pt idx="642">
                  <c:v>1.7520000000000001E-2</c:v>
                </c:pt>
                <c:pt idx="643">
                  <c:v>1.7489999999999999E-2</c:v>
                </c:pt>
                <c:pt idx="644">
                  <c:v>1.7399999999999999E-2</c:v>
                </c:pt>
                <c:pt idx="645">
                  <c:v>1.702E-2</c:v>
                </c:pt>
                <c:pt idx="646">
                  <c:v>1.609E-2</c:v>
                </c:pt>
                <c:pt idx="647">
                  <c:v>1.6109999999999999E-2</c:v>
                </c:pt>
                <c:pt idx="648">
                  <c:v>1.7139999999999999E-2</c:v>
                </c:pt>
                <c:pt idx="649">
                  <c:v>1.78E-2</c:v>
                </c:pt>
                <c:pt idx="650">
                  <c:v>1.7149999999999999E-2</c:v>
                </c:pt>
                <c:pt idx="651">
                  <c:v>1.7170000000000001E-2</c:v>
                </c:pt>
                <c:pt idx="652">
                  <c:v>1.6330000000000001E-2</c:v>
                </c:pt>
                <c:pt idx="653">
                  <c:v>1.6879999999999999E-2</c:v>
                </c:pt>
                <c:pt idx="654">
                  <c:v>1.687E-2</c:v>
                </c:pt>
                <c:pt idx="655">
                  <c:v>1.704E-2</c:v>
                </c:pt>
                <c:pt idx="656">
                  <c:v>1.712E-2</c:v>
                </c:pt>
                <c:pt idx="657">
                  <c:v>1.7219999999999999E-2</c:v>
                </c:pt>
                <c:pt idx="658">
                  <c:v>1.8630000000000001E-2</c:v>
                </c:pt>
                <c:pt idx="659">
                  <c:v>1.8550000000000001E-2</c:v>
                </c:pt>
                <c:pt idx="660">
                  <c:v>1.8110000000000001E-2</c:v>
                </c:pt>
                <c:pt idx="661">
                  <c:v>1.8620000000000001E-2</c:v>
                </c:pt>
                <c:pt idx="662">
                  <c:v>1.7299999999999999E-2</c:v>
                </c:pt>
                <c:pt idx="663">
                  <c:v>1.7829999999999999E-2</c:v>
                </c:pt>
                <c:pt idx="664">
                  <c:v>1.6799999999999999E-2</c:v>
                </c:pt>
                <c:pt idx="665">
                  <c:v>1.6930000000000001E-2</c:v>
                </c:pt>
                <c:pt idx="666">
                  <c:v>1.643E-2</c:v>
                </c:pt>
                <c:pt idx="667">
                  <c:v>1.6129999999999999E-2</c:v>
                </c:pt>
                <c:pt idx="668">
                  <c:v>1.584E-2</c:v>
                </c:pt>
                <c:pt idx="669">
                  <c:v>1.5180000000000001E-2</c:v>
                </c:pt>
                <c:pt idx="670">
                  <c:v>1.601E-2</c:v>
                </c:pt>
                <c:pt idx="671">
                  <c:v>1.5990000000000001E-2</c:v>
                </c:pt>
                <c:pt idx="672">
                  <c:v>1.6629999999999999E-2</c:v>
                </c:pt>
                <c:pt idx="673">
                  <c:v>1.653E-2</c:v>
                </c:pt>
                <c:pt idx="674">
                  <c:v>1.7149999999999999E-2</c:v>
                </c:pt>
                <c:pt idx="675">
                  <c:v>1.7270000000000001E-2</c:v>
                </c:pt>
                <c:pt idx="676">
                  <c:v>1.5769999999999999E-2</c:v>
                </c:pt>
                <c:pt idx="677">
                  <c:v>1.6879999999999999E-2</c:v>
                </c:pt>
                <c:pt idx="678">
                  <c:v>1.7100000000000001E-2</c:v>
                </c:pt>
                <c:pt idx="679">
                  <c:v>1.6930000000000001E-2</c:v>
                </c:pt>
                <c:pt idx="680">
                  <c:v>1.4630000000000001E-2</c:v>
                </c:pt>
                <c:pt idx="681">
                  <c:v>1.451E-2</c:v>
                </c:pt>
                <c:pt idx="682">
                  <c:v>1.307E-2</c:v>
                </c:pt>
                <c:pt idx="683">
                  <c:v>1.506E-2</c:v>
                </c:pt>
                <c:pt idx="684">
                  <c:v>1.4500000000000001E-2</c:v>
                </c:pt>
                <c:pt idx="685">
                  <c:v>1.523E-2</c:v>
                </c:pt>
                <c:pt idx="686">
                  <c:v>1.193E-2</c:v>
                </c:pt>
                <c:pt idx="687">
                  <c:v>2.01E-2</c:v>
                </c:pt>
                <c:pt idx="688">
                  <c:v>2.1229999999999999E-2</c:v>
                </c:pt>
                <c:pt idx="689">
                  <c:v>2.1440000000000001E-2</c:v>
                </c:pt>
                <c:pt idx="690">
                  <c:v>2.154E-2</c:v>
                </c:pt>
                <c:pt idx="691">
                  <c:v>2.5909999999999999E-2</c:v>
                </c:pt>
                <c:pt idx="692">
                  <c:v>2.632E-2</c:v>
                </c:pt>
                <c:pt idx="693">
                  <c:v>2.666E-2</c:v>
                </c:pt>
                <c:pt idx="694">
                  <c:v>2.564E-2</c:v>
                </c:pt>
                <c:pt idx="695">
                  <c:v>2.5430000000000001E-2</c:v>
                </c:pt>
                <c:pt idx="696">
                  <c:v>2.5680000000000001E-2</c:v>
                </c:pt>
                <c:pt idx="697">
                  <c:v>2.4240000000000001E-2</c:v>
                </c:pt>
                <c:pt idx="698">
                  <c:v>2.4109999999999999E-2</c:v>
                </c:pt>
                <c:pt idx="699">
                  <c:v>2.4160000000000001E-2</c:v>
                </c:pt>
                <c:pt idx="700">
                  <c:v>2.478E-2</c:v>
                </c:pt>
                <c:pt idx="701">
                  <c:v>2.4230000000000002E-2</c:v>
                </c:pt>
                <c:pt idx="702">
                  <c:v>2.877E-2</c:v>
                </c:pt>
                <c:pt idx="703">
                  <c:v>3.1309999999999998E-2</c:v>
                </c:pt>
                <c:pt idx="704">
                  <c:v>3.2480000000000002E-2</c:v>
                </c:pt>
                <c:pt idx="705">
                  <c:v>3.1730000000000001E-2</c:v>
                </c:pt>
                <c:pt idx="706">
                  <c:v>3.1870000000000002E-2</c:v>
                </c:pt>
                <c:pt idx="707">
                  <c:v>3.0949999999999998E-2</c:v>
                </c:pt>
                <c:pt idx="708">
                  <c:v>3.099E-2</c:v>
                </c:pt>
                <c:pt idx="709">
                  <c:v>3.3599999999999998E-2</c:v>
                </c:pt>
                <c:pt idx="710">
                  <c:v>3.2680000000000001E-2</c:v>
                </c:pt>
                <c:pt idx="711">
                  <c:v>3.3079999999999998E-2</c:v>
                </c:pt>
                <c:pt idx="712">
                  <c:v>3.458E-2</c:v>
                </c:pt>
                <c:pt idx="713">
                  <c:v>3.9949999999999999E-2</c:v>
                </c:pt>
                <c:pt idx="714">
                  <c:v>3.9539999999999999E-2</c:v>
                </c:pt>
                <c:pt idx="715">
                  <c:v>3.5740000000000001E-2</c:v>
                </c:pt>
                <c:pt idx="716">
                  <c:v>3.653E-2</c:v>
                </c:pt>
                <c:pt idx="717">
                  <c:v>3.4380000000000001E-2</c:v>
                </c:pt>
                <c:pt idx="718">
                  <c:v>3.6200000000000003E-2</c:v>
                </c:pt>
                <c:pt idx="719">
                  <c:v>3.1289999999999998E-2</c:v>
                </c:pt>
                <c:pt idx="720">
                  <c:v>3.2230000000000002E-2</c:v>
                </c:pt>
                <c:pt idx="721">
                  <c:v>3.227E-2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6-4C2F-BFDD-484C20532FC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-10.858609557088608</c:v>
                </c:pt>
                <c:pt idx="1">
                  <c:v>-10.828475541234951</c:v>
                </c:pt>
                <c:pt idx="2">
                  <c:v>-10.620212089090268</c:v>
                </c:pt>
                <c:pt idx="3">
                  <c:v>-11.021211059299226</c:v>
                </c:pt>
                <c:pt idx="4">
                  <c:v>-12.150135949773587</c:v>
                </c:pt>
                <c:pt idx="5">
                  <c:v>-12.706499822034896</c:v>
                </c:pt>
                <c:pt idx="6">
                  <c:v>-13.0164380424042</c:v>
                </c:pt>
                <c:pt idx="7">
                  <c:v>-12.039343932788814</c:v>
                </c:pt>
                <c:pt idx="8">
                  <c:v>-11.72107817471424</c:v>
                </c:pt>
                <c:pt idx="9">
                  <c:v>-11.686828996637315</c:v>
                </c:pt>
                <c:pt idx="10">
                  <c:v>-11.877720785819132</c:v>
                </c:pt>
                <c:pt idx="11">
                  <c:v>-11.62483309302449</c:v>
                </c:pt>
                <c:pt idx="12">
                  <c:v>-11.700530771549742</c:v>
                </c:pt>
                <c:pt idx="13">
                  <c:v>-11.482737880483075</c:v>
                </c:pt>
                <c:pt idx="14">
                  <c:v>-11.763851814198812</c:v>
                </c:pt>
                <c:pt idx="15">
                  <c:v>-11.41715691200946</c:v>
                </c:pt>
                <c:pt idx="16">
                  <c:v>-11.625790718735267</c:v>
                </c:pt>
                <c:pt idx="17">
                  <c:v>-11.893846864597336</c:v>
                </c:pt>
                <c:pt idx="18">
                  <c:v>-11.737339139675216</c:v>
                </c:pt>
                <c:pt idx="19">
                  <c:v>-11.80043443923662</c:v>
                </c:pt>
                <c:pt idx="20">
                  <c:v>-11.917124950845475</c:v>
                </c:pt>
                <c:pt idx="21">
                  <c:v>-11.032246648412141</c:v>
                </c:pt>
                <c:pt idx="22">
                  <c:v>-11.238158592230324</c:v>
                </c:pt>
                <c:pt idx="23">
                  <c:v>-10.525276201782141</c:v>
                </c:pt>
                <c:pt idx="24">
                  <c:v>-9.9986987037608657</c:v>
                </c:pt>
                <c:pt idx="25">
                  <c:v>-11.061925080307665</c:v>
                </c:pt>
                <c:pt idx="26">
                  <c:v>-11.618131624682665</c:v>
                </c:pt>
                <c:pt idx="27">
                  <c:v>-11.784718601266738</c:v>
                </c:pt>
                <c:pt idx="28">
                  <c:v>-11.597645899843659</c:v>
                </c:pt>
                <c:pt idx="29">
                  <c:v>-11.986981548162909</c:v>
                </c:pt>
                <c:pt idx="30">
                  <c:v>-10.169882733997877</c:v>
                </c:pt>
                <c:pt idx="31">
                  <c:v>-9.4780845274991119</c:v>
                </c:pt>
                <c:pt idx="32">
                  <c:v>-8.9023915243930514</c:v>
                </c:pt>
                <c:pt idx="33">
                  <c:v>-9.2575391964912672</c:v>
                </c:pt>
                <c:pt idx="34">
                  <c:v>-9.6613675209440952</c:v>
                </c:pt>
                <c:pt idx="35">
                  <c:v>-9.1315193326568025</c:v>
                </c:pt>
                <c:pt idx="36">
                  <c:v>-9.5357350500294729</c:v>
                </c:pt>
                <c:pt idx="37">
                  <c:v>-9.4399752407686019</c:v>
                </c:pt>
                <c:pt idx="38">
                  <c:v>-9.9353001481563581</c:v>
                </c:pt>
                <c:pt idx="39">
                  <c:v>-10.15815656109873</c:v>
                </c:pt>
                <c:pt idx="40">
                  <c:v>-10.115471025675657</c:v>
                </c:pt>
                <c:pt idx="41">
                  <c:v>-10.2693163853387</c:v>
                </c:pt>
                <c:pt idx="42">
                  <c:v>-9.4861990084902121</c:v>
                </c:pt>
                <c:pt idx="43">
                  <c:v>-9.2158561052736498</c:v>
                </c:pt>
                <c:pt idx="44">
                  <c:v>-9.7663545737736488</c:v>
                </c:pt>
                <c:pt idx="45">
                  <c:v>-10.255643735945522</c:v>
                </c:pt>
                <c:pt idx="46">
                  <c:v>-9.8431107263765245</c:v>
                </c:pt>
                <c:pt idx="47">
                  <c:v>-10.048129986782774</c:v>
                </c:pt>
                <c:pt idx="48">
                  <c:v>-10.087892600620613</c:v>
                </c:pt>
                <c:pt idx="49">
                  <c:v>-9.5862389332538402</c:v>
                </c:pt>
                <c:pt idx="50">
                  <c:v>-8.7842658746500675</c:v>
                </c:pt>
                <c:pt idx="51">
                  <c:v>-9.5645682267128453</c:v>
                </c:pt>
                <c:pt idx="52">
                  <c:v>-9.1695806931362025</c:v>
                </c:pt>
                <c:pt idx="53">
                  <c:v>-10.120629230395817</c:v>
                </c:pt>
                <c:pt idx="54">
                  <c:v>-9.6067236684107407</c:v>
                </c:pt>
                <c:pt idx="55">
                  <c:v>-9.3224385242017327</c:v>
                </c:pt>
                <c:pt idx="56">
                  <c:v>-7.1096475128936367</c:v>
                </c:pt>
                <c:pt idx="57">
                  <c:v>-7.7136515670878119</c:v>
                </c:pt>
                <c:pt idx="58">
                  <c:v>-7.0930026984117571</c:v>
                </c:pt>
                <c:pt idx="59">
                  <c:v>-6.9320917904264618</c:v>
                </c:pt>
                <c:pt idx="60">
                  <c:v>-6.8428122513052489</c:v>
                </c:pt>
                <c:pt idx="61">
                  <c:v>-7.5327227242823644</c:v>
                </c:pt>
                <c:pt idx="62">
                  <c:v>-7.2045602961117945</c:v>
                </c:pt>
                <c:pt idx="63">
                  <c:v>-6.4427109624754308</c:v>
                </c:pt>
                <c:pt idx="64">
                  <c:v>-6.7448697979832417</c:v>
                </c:pt>
                <c:pt idx="65">
                  <c:v>-6.693952695762003</c:v>
                </c:pt>
                <c:pt idx="66">
                  <c:v>-7.0709581112620041</c:v>
                </c:pt>
                <c:pt idx="67">
                  <c:v>-8.0954420979692276</c:v>
                </c:pt>
                <c:pt idx="68">
                  <c:v>-7.1346404922060724</c:v>
                </c:pt>
                <c:pt idx="69">
                  <c:v>-7.3148591706280675</c:v>
                </c:pt>
                <c:pt idx="70">
                  <c:v>-7.5360653680718723</c:v>
                </c:pt>
                <c:pt idx="71">
                  <c:v>-7.100948508432734</c:v>
                </c:pt>
                <c:pt idx="72">
                  <c:v>-6.7642863703399492</c:v>
                </c:pt>
                <c:pt idx="73">
                  <c:v>-6.2379927532132511</c:v>
                </c:pt>
                <c:pt idx="74">
                  <c:v>-5.1952087585465856</c:v>
                </c:pt>
                <c:pt idx="75">
                  <c:v>-5.7322017883256997</c:v>
                </c:pt>
                <c:pt idx="76">
                  <c:v>-7.0612861289346398</c:v>
                </c:pt>
                <c:pt idx="77">
                  <c:v>-6.5425288920832383</c:v>
                </c:pt>
                <c:pt idx="78">
                  <c:v>-8.1624120066673278</c:v>
                </c:pt>
                <c:pt idx="79">
                  <c:v>-7.9873090990051656</c:v>
                </c:pt>
                <c:pt idx="80">
                  <c:v>-7.7217268095294385</c:v>
                </c:pt>
                <c:pt idx="81">
                  <c:v>-8.2415114233093725</c:v>
                </c:pt>
                <c:pt idx="82">
                  <c:v>-7.6821024842027734</c:v>
                </c:pt>
                <c:pt idx="83">
                  <c:v>-7.892527553272541</c:v>
                </c:pt>
                <c:pt idx="84">
                  <c:v>-7.7186610996715075</c:v>
                </c:pt>
                <c:pt idx="85">
                  <c:v>-7.3661094345680587</c:v>
                </c:pt>
                <c:pt idx="86">
                  <c:v>-6.8772071641224271</c:v>
                </c:pt>
                <c:pt idx="87">
                  <c:v>-7.5269282012593575</c:v>
                </c:pt>
                <c:pt idx="88">
                  <c:v>-7.9815767945120379</c:v>
                </c:pt>
                <c:pt idx="89">
                  <c:v>-8.2486791751249395</c:v>
                </c:pt>
                <c:pt idx="90">
                  <c:v>-8.7140034782824749</c:v>
                </c:pt>
                <c:pt idx="91">
                  <c:v>-8.9060512691151601</c:v>
                </c:pt>
                <c:pt idx="92">
                  <c:v>-9.1634532034074674</c:v>
                </c:pt>
                <c:pt idx="93">
                  <c:v>-8.3632953400898717</c:v>
                </c:pt>
                <c:pt idx="94">
                  <c:v>-8.1836994203511289</c:v>
                </c:pt>
                <c:pt idx="95">
                  <c:v>-8.1682456670177963</c:v>
                </c:pt>
                <c:pt idx="96">
                  <c:v>-8.2275953634351886</c:v>
                </c:pt>
                <c:pt idx="97">
                  <c:v>-8.4533431471851852</c:v>
                </c:pt>
                <c:pt idx="98">
                  <c:v>-8.1968389388296305</c:v>
                </c:pt>
                <c:pt idx="99">
                  <c:v>-7.4846117923715019</c:v>
                </c:pt>
                <c:pt idx="100">
                  <c:v>-7.5209028659025368</c:v>
                </c:pt>
                <c:pt idx="101">
                  <c:v>-6.921889479975933</c:v>
                </c:pt>
                <c:pt idx="102">
                  <c:v>-6.3478903737266021</c:v>
                </c:pt>
                <c:pt idx="103">
                  <c:v>-5.9483717920201782</c:v>
                </c:pt>
                <c:pt idx="104">
                  <c:v>-3.4238845633595179</c:v>
                </c:pt>
                <c:pt idx="105">
                  <c:v>-3.3437700748552426</c:v>
                </c:pt>
                <c:pt idx="106">
                  <c:v>-3.9244971464385787</c:v>
                </c:pt>
                <c:pt idx="107">
                  <c:v>-4.3730113723688095</c:v>
                </c:pt>
                <c:pt idx="108">
                  <c:v>-4.5808632531101496</c:v>
                </c:pt>
                <c:pt idx="109">
                  <c:v>-4.5366773161647558</c:v>
                </c:pt>
                <c:pt idx="110">
                  <c:v>-3.9818767988279689</c:v>
                </c:pt>
                <c:pt idx="111">
                  <c:v>-3.2282142716279694</c:v>
                </c:pt>
                <c:pt idx="112">
                  <c:v>-3.3268181877598022</c:v>
                </c:pt>
                <c:pt idx="113">
                  <c:v>-3.485172300743407</c:v>
                </c:pt>
                <c:pt idx="114">
                  <c:v>-3.5711514984576929</c:v>
                </c:pt>
                <c:pt idx="115">
                  <c:v>-3.7173010981735572</c:v>
                </c:pt>
                <c:pt idx="116">
                  <c:v>-3.8967599265423072</c:v>
                </c:pt>
                <c:pt idx="117">
                  <c:v>-4.1134314795197726</c:v>
                </c:pt>
                <c:pt idx="118">
                  <c:v>-4.1484458759121772</c:v>
                </c:pt>
                <c:pt idx="119">
                  <c:v>-4.6809574750562231</c:v>
                </c:pt>
                <c:pt idx="120">
                  <c:v>-5.0105259582130834</c:v>
                </c:pt>
                <c:pt idx="121">
                  <c:v>-5.054465545950837</c:v>
                </c:pt>
                <c:pt idx="122">
                  <c:v>-4.6372479573794072</c:v>
                </c:pt>
                <c:pt idx="123">
                  <c:v>-3.4836893559361082</c:v>
                </c:pt>
                <c:pt idx="124">
                  <c:v>-3.8672890545433423</c:v>
                </c:pt>
                <c:pt idx="125">
                  <c:v>-3.2524081193000192</c:v>
                </c:pt>
                <c:pt idx="126">
                  <c:v>-2.8748552302133605</c:v>
                </c:pt>
                <c:pt idx="127">
                  <c:v>-3.1493775937673165</c:v>
                </c:pt>
                <c:pt idx="128">
                  <c:v>-3.7624599267673169</c:v>
                </c:pt>
                <c:pt idx="129">
                  <c:v>-3.0265737546724023</c:v>
                </c:pt>
                <c:pt idx="130">
                  <c:v>-2.6694050371799207</c:v>
                </c:pt>
                <c:pt idx="131">
                  <c:v>-2.6435839487424202</c:v>
                </c:pt>
                <c:pt idx="132">
                  <c:v>-2.1496431230162787</c:v>
                </c:pt>
                <c:pt idx="133">
                  <c:v>-1.9753327714779858</c:v>
                </c:pt>
                <c:pt idx="134">
                  <c:v>-1.9773617149000826</c:v>
                </c:pt>
                <c:pt idx="135">
                  <c:v>-2.4288067182184085</c:v>
                </c:pt>
                <c:pt idx="136">
                  <c:v>-3.2436187108665573</c:v>
                </c:pt>
                <c:pt idx="137">
                  <c:v>-3.3611810189815738</c:v>
                </c:pt>
                <c:pt idx="138">
                  <c:v>-3.5468609595112564</c:v>
                </c:pt>
                <c:pt idx="139">
                  <c:v>-3.5267612628294378</c:v>
                </c:pt>
                <c:pt idx="140">
                  <c:v>-3.1936872712080788</c:v>
                </c:pt>
                <c:pt idx="141">
                  <c:v>-3.3132102109041388</c:v>
                </c:pt>
                <c:pt idx="142">
                  <c:v>-3.6257098017238105</c:v>
                </c:pt>
                <c:pt idx="143">
                  <c:v>-3.0236220785556616</c:v>
                </c:pt>
                <c:pt idx="144">
                  <c:v>-3.2483981388719183</c:v>
                </c:pt>
                <c:pt idx="145">
                  <c:v>-3.7313234848074042</c:v>
                </c:pt>
                <c:pt idx="146">
                  <c:v>-3.7376640092390581</c:v>
                </c:pt>
                <c:pt idx="147">
                  <c:v>-3.4231850485226389</c:v>
                </c:pt>
                <c:pt idx="148">
                  <c:v>-3.259344941258699</c:v>
                </c:pt>
                <c:pt idx="149">
                  <c:v>-3.6564720887976745</c:v>
                </c:pt>
                <c:pt idx="150">
                  <c:v>-3.679924992962095</c:v>
                </c:pt>
                <c:pt idx="151">
                  <c:v>-3.0666869781497375</c:v>
                </c:pt>
                <c:pt idx="152">
                  <c:v>-3.1610810718001239</c:v>
                </c:pt>
                <c:pt idx="153">
                  <c:v>-3.0880746407248543</c:v>
                </c:pt>
                <c:pt idx="154">
                  <c:v>-3.6557438561070703</c:v>
                </c:pt>
                <c:pt idx="155">
                  <c:v>-3.0165499234827466</c:v>
                </c:pt>
                <c:pt idx="156">
                  <c:v>-3.863929102768461</c:v>
                </c:pt>
                <c:pt idx="157">
                  <c:v>-3.1911419988318688</c:v>
                </c:pt>
                <c:pt idx="158">
                  <c:v>-3.1541003240929659</c:v>
                </c:pt>
                <c:pt idx="159">
                  <c:v>-3.209226702584858</c:v>
                </c:pt>
                <c:pt idx="160">
                  <c:v>-3.2130681053646755</c:v>
                </c:pt>
                <c:pt idx="161">
                  <c:v>-3.5829019068344161</c:v>
                </c:pt>
                <c:pt idx="162">
                  <c:v>-3.9451224155095415</c:v>
                </c:pt>
                <c:pt idx="163">
                  <c:v>-3.9101510489419344</c:v>
                </c:pt>
                <c:pt idx="164">
                  <c:v>-3.1483024322315645</c:v>
                </c:pt>
                <c:pt idx="165">
                  <c:v>-2.4932615902780757</c:v>
                </c:pt>
                <c:pt idx="166">
                  <c:v>-3.4103485244054155</c:v>
                </c:pt>
                <c:pt idx="167">
                  <c:v>-3.4157509858148094</c:v>
                </c:pt>
                <c:pt idx="168">
                  <c:v>-4.072509377250257</c:v>
                </c:pt>
                <c:pt idx="169">
                  <c:v>-4.0554712821885115</c:v>
                </c:pt>
                <c:pt idx="170">
                  <c:v>-4.2067037926727524</c:v>
                </c:pt>
                <c:pt idx="171">
                  <c:v>-4.2500168535272991</c:v>
                </c:pt>
                <c:pt idx="172">
                  <c:v>-4.5536234046939645</c:v>
                </c:pt>
                <c:pt idx="173">
                  <c:v>-3.8145629633475084</c:v>
                </c:pt>
                <c:pt idx="174">
                  <c:v>-3.8357230775360054</c:v>
                </c:pt>
                <c:pt idx="175">
                  <c:v>-4.029340967160282</c:v>
                </c:pt>
                <c:pt idx="176">
                  <c:v>-4.9788457226974749</c:v>
                </c:pt>
                <c:pt idx="177">
                  <c:v>-5.1505628181308101</c:v>
                </c:pt>
                <c:pt idx="178">
                  <c:v>-5.3495367544095007</c:v>
                </c:pt>
                <c:pt idx="179">
                  <c:v>-5.8480327416822266</c:v>
                </c:pt>
                <c:pt idx="180">
                  <c:v>-5.3637628239077388</c:v>
                </c:pt>
                <c:pt idx="181">
                  <c:v>-5.2371893214660714</c:v>
                </c:pt>
                <c:pt idx="182">
                  <c:v>-5.8976744122842533</c:v>
                </c:pt>
                <c:pt idx="183">
                  <c:v>-5.897674412284255</c:v>
                </c:pt>
                <c:pt idx="184">
                  <c:v>-6.1573274356490781</c:v>
                </c:pt>
                <c:pt idx="185">
                  <c:v>-6.6714835030897559</c:v>
                </c:pt>
                <c:pt idx="186">
                  <c:v>-5.5015989768410973</c:v>
                </c:pt>
                <c:pt idx="187">
                  <c:v>-5.8200421077641717</c:v>
                </c:pt>
                <c:pt idx="188">
                  <c:v>-5.8458306040283228</c:v>
                </c:pt>
                <c:pt idx="189">
                  <c:v>-6.2233695330955863</c:v>
                </c:pt>
                <c:pt idx="190">
                  <c:v>-6.6869295230853831</c:v>
                </c:pt>
                <c:pt idx="191">
                  <c:v>-6.9943408129464339</c:v>
                </c:pt>
                <c:pt idx="192">
                  <c:v>-6.6057975199418264</c:v>
                </c:pt>
                <c:pt idx="193">
                  <c:v>-6.3828545132072803</c:v>
                </c:pt>
                <c:pt idx="194">
                  <c:v>-6.0820249546423675</c:v>
                </c:pt>
                <c:pt idx="195">
                  <c:v>-6.0793357879675716</c:v>
                </c:pt>
                <c:pt idx="196">
                  <c:v>-5.3692389414526005</c:v>
                </c:pt>
                <c:pt idx="197">
                  <c:v>-5.2019596250059985</c:v>
                </c:pt>
                <c:pt idx="198">
                  <c:v>-5.4067006985756585</c:v>
                </c:pt>
                <c:pt idx="199">
                  <c:v>-5.075358769586618</c:v>
                </c:pt>
                <c:pt idx="200">
                  <c:v>-4.6786770868702368</c:v>
                </c:pt>
                <c:pt idx="201">
                  <c:v>-4.5694931076455987</c:v>
                </c:pt>
                <c:pt idx="202">
                  <c:v>-4.4879426771910538</c:v>
                </c:pt>
                <c:pt idx="203">
                  <c:v>-4.7245950551693925</c:v>
                </c:pt>
                <c:pt idx="204">
                  <c:v>-4.8189421807518924</c:v>
                </c:pt>
                <c:pt idx="205">
                  <c:v>-4.3764814233989515</c:v>
                </c:pt>
                <c:pt idx="206">
                  <c:v>-3.7266896462236447</c:v>
                </c:pt>
                <c:pt idx="207">
                  <c:v>-3.7009780136903103</c:v>
                </c:pt>
                <c:pt idx="208">
                  <c:v>-3.6748616236762257</c:v>
                </c:pt>
                <c:pt idx="209">
                  <c:v>-3.8026273967380817</c:v>
                </c:pt>
                <c:pt idx="210">
                  <c:v>-3.9805232382795834</c:v>
                </c:pt>
                <c:pt idx="211">
                  <c:v>-3.8087203182484957</c:v>
                </c:pt>
                <c:pt idx="212">
                  <c:v>-3.9948650902398928</c:v>
                </c:pt>
                <c:pt idx="213">
                  <c:v>-4.0884612908182998</c:v>
                </c:pt>
                <c:pt idx="214">
                  <c:v>-3.454141064762279</c:v>
                </c:pt>
                <c:pt idx="215">
                  <c:v>-3.6772396448441294</c:v>
                </c:pt>
                <c:pt idx="216">
                  <c:v>-3.814872509923398</c:v>
                </c:pt>
                <c:pt idx="217">
                  <c:v>-3.4690883250838911</c:v>
                </c:pt>
                <c:pt idx="218">
                  <c:v>-3.5938220963508591</c:v>
                </c:pt>
                <c:pt idx="219">
                  <c:v>-3.9561165423473321</c:v>
                </c:pt>
                <c:pt idx="220">
                  <c:v>-4.8122291099330026</c:v>
                </c:pt>
                <c:pt idx="221">
                  <c:v>-3.8354205175778309</c:v>
                </c:pt>
                <c:pt idx="222">
                  <c:v>-4.1220726728821786</c:v>
                </c:pt>
                <c:pt idx="223">
                  <c:v>-3.9535145599719979</c:v>
                </c:pt>
                <c:pt idx="224">
                  <c:v>-3.3526720233930489</c:v>
                </c:pt>
                <c:pt idx="225">
                  <c:v>-3.2349534664102899</c:v>
                </c:pt>
                <c:pt idx="226">
                  <c:v>-3.0402789291612198</c:v>
                </c:pt>
                <c:pt idx="227">
                  <c:v>-2.4887853584726956</c:v>
                </c:pt>
                <c:pt idx="228">
                  <c:v>-2.4530616197609918</c:v>
                </c:pt>
                <c:pt idx="229">
                  <c:v>-2.8066483156467057</c:v>
                </c:pt>
                <c:pt idx="230">
                  <c:v>-3.1817265658702825</c:v>
                </c:pt>
                <c:pt idx="231">
                  <c:v>-2.8970672185124231</c:v>
                </c:pt>
                <c:pt idx="232">
                  <c:v>-2.9173918000914782</c:v>
                </c:pt>
                <c:pt idx="233">
                  <c:v>-3.3532730565347055</c:v>
                </c:pt>
                <c:pt idx="234">
                  <c:v>-3.3388970277468903</c:v>
                </c:pt>
                <c:pt idx="235">
                  <c:v>-2.9136957769995222</c:v>
                </c:pt>
                <c:pt idx="236">
                  <c:v>-3.6290670854370224</c:v>
                </c:pt>
                <c:pt idx="237">
                  <c:v>-3.4605420908408684</c:v>
                </c:pt>
                <c:pt idx="238">
                  <c:v>-3.1194596866646398</c:v>
                </c:pt>
                <c:pt idx="239">
                  <c:v>-3.4901053887118088</c:v>
                </c:pt>
                <c:pt idx="240">
                  <c:v>-3.5346319477395873</c:v>
                </c:pt>
                <c:pt idx="241">
                  <c:v>-3.5999283888337903</c:v>
                </c:pt>
                <c:pt idx="242">
                  <c:v>-3.9586470190862868</c:v>
                </c:pt>
                <c:pt idx="243">
                  <c:v>-4.1394730810428717</c:v>
                </c:pt>
                <c:pt idx="244">
                  <c:v>-3.8870103431313501</c:v>
                </c:pt>
                <c:pt idx="245">
                  <c:v>-3.0430581832323909</c:v>
                </c:pt>
                <c:pt idx="246">
                  <c:v>-2.2357918798592951</c:v>
                </c:pt>
                <c:pt idx="247">
                  <c:v>-3.1450000642249574</c:v>
                </c:pt>
                <c:pt idx="248">
                  <c:v>-3.3269772282615424</c:v>
                </c:pt>
                <c:pt idx="249">
                  <c:v>-5.0014374205696166</c:v>
                </c:pt>
                <c:pt idx="250">
                  <c:v>-4.9228665794213207</c:v>
                </c:pt>
                <c:pt idx="251">
                  <c:v>-4.2618731520403665</c:v>
                </c:pt>
                <c:pt idx="252">
                  <c:v>-3.6882162753842311</c:v>
                </c:pt>
                <c:pt idx="253">
                  <c:v>-4.6981807561106725</c:v>
                </c:pt>
                <c:pt idx="254">
                  <c:v>-3.5016861989298387</c:v>
                </c:pt>
                <c:pt idx="255">
                  <c:v>-2.9466620676140494</c:v>
                </c:pt>
                <c:pt idx="256">
                  <c:v>-2.6707409088313101</c:v>
                </c:pt>
                <c:pt idx="257">
                  <c:v>-1.8867150283977563</c:v>
                </c:pt>
                <c:pt idx="258">
                  <c:v>-1.404040167420292</c:v>
                </c:pt>
                <c:pt idx="259">
                  <c:v>-1.3783484406282374</c:v>
                </c:pt>
                <c:pt idx="260">
                  <c:v>-1.573587205386541</c:v>
                </c:pt>
                <c:pt idx="261">
                  <c:v>-0.81579651439383016</c:v>
                </c:pt>
                <c:pt idx="262">
                  <c:v>-1.9446594917124287</c:v>
                </c:pt>
                <c:pt idx="263">
                  <c:v>-1.6144032341014096</c:v>
                </c:pt>
                <c:pt idx="264">
                  <c:v>-1.4399083611049681</c:v>
                </c:pt>
                <c:pt idx="265">
                  <c:v>-1.117355664180067</c:v>
                </c:pt>
                <c:pt idx="266">
                  <c:v>-0.32501176050110619</c:v>
                </c:pt>
                <c:pt idx="267">
                  <c:v>-1.3874354191111367</c:v>
                </c:pt>
                <c:pt idx="268">
                  <c:v>-2.6198442834112567</c:v>
                </c:pt>
                <c:pt idx="269">
                  <c:v>-2.7708444515690229</c:v>
                </c:pt>
                <c:pt idx="270">
                  <c:v>-2.4875720766394447</c:v>
                </c:pt>
                <c:pt idx="271">
                  <c:v>-2.1349415105894445</c:v>
                </c:pt>
                <c:pt idx="272">
                  <c:v>-2.1852855081187093</c:v>
                </c:pt>
                <c:pt idx="273">
                  <c:v>-3.1963819147103512</c:v>
                </c:pt>
                <c:pt idx="274">
                  <c:v>-3.2029106157237353</c:v>
                </c:pt>
                <c:pt idx="275">
                  <c:v>-2.9485291432055245</c:v>
                </c:pt>
                <c:pt idx="276">
                  <c:v>-4.445371271280024</c:v>
                </c:pt>
                <c:pt idx="277">
                  <c:v>-5.5581432119793854</c:v>
                </c:pt>
                <c:pt idx="278">
                  <c:v>-5.2889594056281952</c:v>
                </c:pt>
                <c:pt idx="279">
                  <c:v>-4.4408952247710509</c:v>
                </c:pt>
                <c:pt idx="280">
                  <c:v>-4.5846760182869115</c:v>
                </c:pt>
                <c:pt idx="281">
                  <c:v>-3.3999398538928358</c:v>
                </c:pt>
                <c:pt idx="282">
                  <c:v>-1.890177048132835</c:v>
                </c:pt>
                <c:pt idx="283">
                  <c:v>-2.4796392071469202</c:v>
                </c:pt>
                <c:pt idx="284">
                  <c:v>-1.5420685347217997</c:v>
                </c:pt>
                <c:pt idx="285">
                  <c:v>-1.7155450021358514</c:v>
                </c:pt>
                <c:pt idx="286">
                  <c:v>-0.10199886843684092</c:v>
                </c:pt>
                <c:pt idx="287">
                  <c:v>-1.3323376611441573</c:v>
                </c:pt>
                <c:pt idx="288">
                  <c:v>-1.9654275421937657</c:v>
                </c:pt>
                <c:pt idx="289">
                  <c:v>-1.3621492497734762</c:v>
                </c:pt>
                <c:pt idx="290">
                  <c:v>-1.9377910970254106</c:v>
                </c:pt>
                <c:pt idx="291">
                  <c:v>-1.3317630291706699</c:v>
                </c:pt>
                <c:pt idx="292">
                  <c:v>-1.5252491099970524</c:v>
                </c:pt>
                <c:pt idx="293">
                  <c:v>-1.5863697462850128</c:v>
                </c:pt>
                <c:pt idx="294">
                  <c:v>-0.78754247414996381</c:v>
                </c:pt>
                <c:pt idx="295">
                  <c:v>-1.4495589495427725</c:v>
                </c:pt>
                <c:pt idx="296">
                  <c:v>-0.19843371462213719</c:v>
                </c:pt>
                <c:pt idx="297">
                  <c:v>0.602937056245061</c:v>
                </c:pt>
                <c:pt idx="298">
                  <c:v>1.238133300360769E-2</c:v>
                </c:pt>
                <c:pt idx="299">
                  <c:v>-1.4314490260835302</c:v>
                </c:pt>
                <c:pt idx="300">
                  <c:v>0.29331057430783614</c:v>
                </c:pt>
                <c:pt idx="301">
                  <c:v>-0.73069826175210395</c:v>
                </c:pt>
                <c:pt idx="302">
                  <c:v>-7.6536891646240349E-2</c:v>
                </c:pt>
                <c:pt idx="303">
                  <c:v>-1.604520013797395</c:v>
                </c:pt>
                <c:pt idx="304">
                  <c:v>-1.3480923129973923</c:v>
                </c:pt>
                <c:pt idx="305">
                  <c:v>-0.95266554976526818</c:v>
                </c:pt>
                <c:pt idx="306">
                  <c:v>-1.4770272783327301</c:v>
                </c:pt>
                <c:pt idx="307">
                  <c:v>-1.7598189118852723</c:v>
                </c:pt>
                <c:pt idx="308">
                  <c:v>-2.2417009328155055</c:v>
                </c:pt>
                <c:pt idx="309">
                  <c:v>-2.0915801572357964</c:v>
                </c:pt>
                <c:pt idx="310">
                  <c:v>-1.6251439056670645</c:v>
                </c:pt>
                <c:pt idx="311">
                  <c:v>-1.4023964627891345</c:v>
                </c:pt>
                <c:pt idx="312">
                  <c:v>-0.63996466665050533</c:v>
                </c:pt>
                <c:pt idx="313">
                  <c:v>-0.93169203425749347</c:v>
                </c:pt>
                <c:pt idx="314">
                  <c:v>5.1012018846571278E-2</c:v>
                </c:pt>
                <c:pt idx="315">
                  <c:v>1.9863447421375142E-2</c:v>
                </c:pt>
                <c:pt idx="316">
                  <c:v>0.1976921006440486</c:v>
                </c:pt>
                <c:pt idx="317">
                  <c:v>-0.1223806799847148</c:v>
                </c:pt>
                <c:pt idx="318">
                  <c:v>-0.24466972489185823</c:v>
                </c:pt>
                <c:pt idx="319">
                  <c:v>0.89739800488362753</c:v>
                </c:pt>
                <c:pt idx="320">
                  <c:v>-0.23869974451988965</c:v>
                </c:pt>
                <c:pt idx="321">
                  <c:v>1.412907299534113</c:v>
                </c:pt>
                <c:pt idx="322">
                  <c:v>-0.50556150528060018</c:v>
                </c:pt>
                <c:pt idx="323">
                  <c:v>-1.7247960445503123</c:v>
                </c:pt>
                <c:pt idx="324">
                  <c:v>-1.5609017125178131</c:v>
                </c:pt>
                <c:pt idx="325">
                  <c:v>-2.2106267871725125</c:v>
                </c:pt>
                <c:pt idx="326">
                  <c:v>-2.5745656036975637</c:v>
                </c:pt>
                <c:pt idx="327">
                  <c:v>-2.6822200865439796</c:v>
                </c:pt>
                <c:pt idx="328">
                  <c:v>-2.8062033273277636</c:v>
                </c:pt>
                <c:pt idx="329">
                  <c:v>-3.2355972032840485</c:v>
                </c:pt>
                <c:pt idx="330">
                  <c:v>-2.93864351899524</c:v>
                </c:pt>
                <c:pt idx="331">
                  <c:v>-3.027967878212185</c:v>
                </c:pt>
                <c:pt idx="332">
                  <c:v>-2.8814561212648173</c:v>
                </c:pt>
                <c:pt idx="333">
                  <c:v>-3.1156636680126435</c:v>
                </c:pt>
                <c:pt idx="334">
                  <c:v>-3.1640732162270573</c:v>
                </c:pt>
                <c:pt idx="335">
                  <c:v>-3.08821946401084</c:v>
                </c:pt>
                <c:pt idx="336">
                  <c:v>-2.9605392514845232</c:v>
                </c:pt>
                <c:pt idx="337">
                  <c:v>-2.4324378075226907</c:v>
                </c:pt>
                <c:pt idx="338">
                  <c:v>-2.2927157994472185</c:v>
                </c:pt>
                <c:pt idx="339">
                  <c:v>-2.5342575474514204</c:v>
                </c:pt>
                <c:pt idx="340">
                  <c:v>-2.4468459336093407</c:v>
                </c:pt>
                <c:pt idx="341">
                  <c:v>-2.4991495670334656</c:v>
                </c:pt>
                <c:pt idx="342">
                  <c:v>-2.2092480581921374</c:v>
                </c:pt>
                <c:pt idx="343">
                  <c:v>-2.5028041672974006</c:v>
                </c:pt>
                <c:pt idx="344">
                  <c:v>-2.7917618938869202</c:v>
                </c:pt>
                <c:pt idx="345">
                  <c:v>-3.076843256450696</c:v>
                </c:pt>
                <c:pt idx="346">
                  <c:v>-2.8505500460410578</c:v>
                </c:pt>
                <c:pt idx="347">
                  <c:v>-2.6961612903044778</c:v>
                </c:pt>
                <c:pt idx="348">
                  <c:v>-2.0084967412456534</c:v>
                </c:pt>
                <c:pt idx="349">
                  <c:v>-3.2484801985739793</c:v>
                </c:pt>
                <c:pt idx="350">
                  <c:v>-3.3262297530802143</c:v>
                </c:pt>
                <c:pt idx="351">
                  <c:v>-4.8129694789770339</c:v>
                </c:pt>
                <c:pt idx="352">
                  <c:v>-5.0632483261329586</c:v>
                </c:pt>
                <c:pt idx="353">
                  <c:v>-5.5441130033645862</c:v>
                </c:pt>
                <c:pt idx="354">
                  <c:v>-6.3369021005426243</c:v>
                </c:pt>
                <c:pt idx="355">
                  <c:v>-6.4285652732562992</c:v>
                </c:pt>
                <c:pt idx="356">
                  <c:v>-6.2281314623520085</c:v>
                </c:pt>
                <c:pt idx="357">
                  <c:v>-6.7878045029195775</c:v>
                </c:pt>
                <c:pt idx="358">
                  <c:v>-6.5185612165113076</c:v>
                </c:pt>
                <c:pt idx="359">
                  <c:v>-6.5719541859001955</c:v>
                </c:pt>
                <c:pt idx="360">
                  <c:v>-6.8322888787608607</c:v>
                </c:pt>
                <c:pt idx="361">
                  <c:v>-6.6327777503001881</c:v>
                </c:pt>
                <c:pt idx="362">
                  <c:v>-6.987355725362689</c:v>
                </c:pt>
                <c:pt idx="363">
                  <c:v>-3.7147863049028911</c:v>
                </c:pt>
                <c:pt idx="364">
                  <c:v>-5.150877753487463</c:v>
                </c:pt>
                <c:pt idx="365">
                  <c:v>-5.2000317833152279</c:v>
                </c:pt>
                <c:pt idx="366">
                  <c:v>-5.070560133830079</c:v>
                </c:pt>
                <c:pt idx="367">
                  <c:v>-5.1248686920024928</c:v>
                </c:pt>
                <c:pt idx="368">
                  <c:v>-4.9781727697919669</c:v>
                </c:pt>
                <c:pt idx="369">
                  <c:v>-4.8714884782535055</c:v>
                </c:pt>
                <c:pt idx="370">
                  <c:v>-4.9200442514979494</c:v>
                </c:pt>
                <c:pt idx="371">
                  <c:v>-5.0457573479764974</c:v>
                </c:pt>
                <c:pt idx="372">
                  <c:v>-4.9121466345268336</c:v>
                </c:pt>
                <c:pt idx="373">
                  <c:v>-4.9088422317067639</c:v>
                </c:pt>
                <c:pt idx="374">
                  <c:v>-4.8846805983505996</c:v>
                </c:pt>
                <c:pt idx="375">
                  <c:v>-4.9983560350638863</c:v>
                </c:pt>
                <c:pt idx="376">
                  <c:v>-4.9813155018314541</c:v>
                </c:pt>
                <c:pt idx="377">
                  <c:v>-4.8930156572867736</c:v>
                </c:pt>
                <c:pt idx="378">
                  <c:v>-4.9504049562957428</c:v>
                </c:pt>
                <c:pt idx="379">
                  <c:v>-4.9109380474111264</c:v>
                </c:pt>
                <c:pt idx="380">
                  <c:v>-5.0030885331338997</c:v>
                </c:pt>
                <c:pt idx="381">
                  <c:v>-4.9314332020034648</c:v>
                </c:pt>
                <c:pt idx="382">
                  <c:v>-4.887506053003464</c:v>
                </c:pt>
                <c:pt idx="383">
                  <c:v>-4.7488922726204859</c:v>
                </c:pt>
                <c:pt idx="384">
                  <c:v>-4.9227895227680261</c:v>
                </c:pt>
                <c:pt idx="385">
                  <c:v>-4.9526014979987956</c:v>
                </c:pt>
                <c:pt idx="386">
                  <c:v>-4.727520125684034</c:v>
                </c:pt>
                <c:pt idx="387">
                  <c:v>-4.9976180944530473</c:v>
                </c:pt>
                <c:pt idx="388">
                  <c:v>-5.2478616912886018</c:v>
                </c:pt>
                <c:pt idx="389">
                  <c:v>-5.1583168970420266</c:v>
                </c:pt>
                <c:pt idx="390">
                  <c:v>-4.5916341559312572</c:v>
                </c:pt>
                <c:pt idx="391">
                  <c:v>-4.7357504636878112</c:v>
                </c:pt>
                <c:pt idx="392">
                  <c:v>-4.7474625918054594</c:v>
                </c:pt>
                <c:pt idx="393">
                  <c:v>-4.7059534328768882</c:v>
                </c:pt>
                <c:pt idx="394">
                  <c:v>-4.6505626025688311</c:v>
                </c:pt>
                <c:pt idx="395">
                  <c:v>-4.6485028124947556</c:v>
                </c:pt>
                <c:pt idx="396">
                  <c:v>-4.571936907810545</c:v>
                </c:pt>
                <c:pt idx="397">
                  <c:v>-4.4788828584236109</c:v>
                </c:pt>
                <c:pt idx="398">
                  <c:v>-4.5586963823757056</c:v>
                </c:pt>
                <c:pt idx="399">
                  <c:v>-4.4893932802017931</c:v>
                </c:pt>
                <c:pt idx="400">
                  <c:v>-4.6287203324240158</c:v>
                </c:pt>
                <c:pt idx="401">
                  <c:v>-4.4653984235142676</c:v>
                </c:pt>
                <c:pt idx="402">
                  <c:v>-4.5980169933483106</c:v>
                </c:pt>
                <c:pt idx="403">
                  <c:v>-3.9962267002427625</c:v>
                </c:pt>
                <c:pt idx="404">
                  <c:v>-2.6435414906427628</c:v>
                </c:pt>
                <c:pt idx="405">
                  <c:v>-2.65745693929065</c:v>
                </c:pt>
                <c:pt idx="406">
                  <c:v>-2.6917248725377085</c:v>
                </c:pt>
                <c:pt idx="407">
                  <c:v>-2.5876806318354184</c:v>
                </c:pt>
                <c:pt idx="408">
                  <c:v>-2.6589061058009356</c:v>
                </c:pt>
                <c:pt idx="409">
                  <c:v>-2.7372083134179577</c:v>
                </c:pt>
                <c:pt idx="410">
                  <c:v>-2.7058289676284839</c:v>
                </c:pt>
                <c:pt idx="411">
                  <c:v>-2.7319153184570557</c:v>
                </c:pt>
                <c:pt idx="412">
                  <c:v>-2.6321137351713415</c:v>
                </c:pt>
                <c:pt idx="413">
                  <c:v>-2.5692936083091436</c:v>
                </c:pt>
                <c:pt idx="414">
                  <c:v>-2.5584919788189477</c:v>
                </c:pt>
                <c:pt idx="415">
                  <c:v>-2.5868802021300588</c:v>
                </c:pt>
                <c:pt idx="416">
                  <c:v>-2.4975598335091438</c:v>
                </c:pt>
                <c:pt idx="417">
                  <c:v>-2.5293926095091432</c:v>
                </c:pt>
                <c:pt idx="418">
                  <c:v>-2.517126285456512</c:v>
                </c:pt>
                <c:pt idx="419">
                  <c:v>-2.5325283908108425</c:v>
                </c:pt>
                <c:pt idx="420">
                  <c:v>-2.4653747043083793</c:v>
                </c:pt>
                <c:pt idx="421">
                  <c:v>-2.4469656373312803</c:v>
                </c:pt>
                <c:pt idx="422">
                  <c:v>-2.4775722320512799</c:v>
                </c:pt>
                <c:pt idx="423">
                  <c:v>-2.3934517332210916</c:v>
                </c:pt>
                <c:pt idx="424">
                  <c:v>-2.4474015317210918</c:v>
                </c:pt>
                <c:pt idx="425">
                  <c:v>-2.416587445678235</c:v>
                </c:pt>
                <c:pt idx="426">
                  <c:v>-2.4704301715751416</c:v>
                </c:pt>
                <c:pt idx="427">
                  <c:v>-2.4590957547427399</c:v>
                </c:pt>
                <c:pt idx="428">
                  <c:v>-2.3232259813260732</c:v>
                </c:pt>
                <c:pt idx="429">
                  <c:v>-2.2311646704204122</c:v>
                </c:pt>
                <c:pt idx="430">
                  <c:v>-2.3870405645986854</c:v>
                </c:pt>
                <c:pt idx="431">
                  <c:v>-2.5310621318236852</c:v>
                </c:pt>
                <c:pt idx="432">
                  <c:v>-2.4501754758666761</c:v>
                </c:pt>
                <c:pt idx="433">
                  <c:v>-2.5948179560614668</c:v>
                </c:pt>
                <c:pt idx="434">
                  <c:v>-2.6180824455242764</c:v>
                </c:pt>
                <c:pt idx="435">
                  <c:v>-2.6134239938450312</c:v>
                </c:pt>
                <c:pt idx="436">
                  <c:v>-2.5920052919783649</c:v>
                </c:pt>
                <c:pt idx="437">
                  <c:v>-2.6314672822283653</c:v>
                </c:pt>
                <c:pt idx="438">
                  <c:v>-2.7403717991938823</c:v>
                </c:pt>
                <c:pt idx="439">
                  <c:v>-2.6635807568343317</c:v>
                </c:pt>
                <c:pt idx="440">
                  <c:v>-2.6392395028343314</c:v>
                </c:pt>
                <c:pt idx="441">
                  <c:v>-2.6379788093034673</c:v>
                </c:pt>
                <c:pt idx="442">
                  <c:v>-2.5810698643291086</c:v>
                </c:pt>
                <c:pt idx="443">
                  <c:v>-2.489226082073789</c:v>
                </c:pt>
                <c:pt idx="444">
                  <c:v>-2.6141439474919714</c:v>
                </c:pt>
                <c:pt idx="445">
                  <c:v>-2.6388483008919716</c:v>
                </c:pt>
                <c:pt idx="446">
                  <c:v>-2.6237957048503051</c:v>
                </c:pt>
                <c:pt idx="447">
                  <c:v>-2.5150677909771337</c:v>
                </c:pt>
                <c:pt idx="448">
                  <c:v>-2.6818815455249045</c:v>
                </c:pt>
                <c:pt idx="449">
                  <c:v>-2.7540116663499865</c:v>
                </c:pt>
                <c:pt idx="450">
                  <c:v>-2.7938031809499866</c:v>
                </c:pt>
                <c:pt idx="451">
                  <c:v>-2.7889889307817626</c:v>
                </c:pt>
                <c:pt idx="452">
                  <c:v>-2.7391847734217625</c:v>
                </c:pt>
                <c:pt idx="453">
                  <c:v>-2.7478692809217629</c:v>
                </c:pt>
                <c:pt idx="454">
                  <c:v>-2.7167086569217629</c:v>
                </c:pt>
                <c:pt idx="455">
                  <c:v>-2.7195748890796572</c:v>
                </c:pt>
                <c:pt idx="456">
                  <c:v>-2.6845701590225146</c:v>
                </c:pt>
                <c:pt idx="457">
                  <c:v>-2.6173076969425146</c:v>
                </c:pt>
                <c:pt idx="458">
                  <c:v>-2.604534768738433</c:v>
                </c:pt>
                <c:pt idx="459">
                  <c:v>-2.5854292474050995</c:v>
                </c:pt>
                <c:pt idx="460">
                  <c:v>-2.5720423190267212</c:v>
                </c:pt>
                <c:pt idx="461">
                  <c:v>-2.4990578270267214</c:v>
                </c:pt>
                <c:pt idx="462">
                  <c:v>-2.4810355139517215</c:v>
                </c:pt>
                <c:pt idx="463">
                  <c:v>-2.5062774374807542</c:v>
                </c:pt>
                <c:pt idx="464">
                  <c:v>-2.5201428817075575</c:v>
                </c:pt>
                <c:pt idx="465">
                  <c:v>-2.4750072518796009</c:v>
                </c:pt>
                <c:pt idx="466">
                  <c:v>-2.5345639271187315</c:v>
                </c:pt>
                <c:pt idx="467">
                  <c:v>-2.4036620584026811</c:v>
                </c:pt>
                <c:pt idx="468">
                  <c:v>-2.3619710942647489</c:v>
                </c:pt>
                <c:pt idx="469">
                  <c:v>-2.3268886823673127</c:v>
                </c:pt>
                <c:pt idx="470">
                  <c:v>-2.3752288895314924</c:v>
                </c:pt>
                <c:pt idx="471">
                  <c:v>-2.3997622781468779</c:v>
                </c:pt>
                <c:pt idx="472">
                  <c:v>-2.1511338834529998</c:v>
                </c:pt>
                <c:pt idx="473">
                  <c:v>-2.1434829013529995</c:v>
                </c:pt>
                <c:pt idx="474">
                  <c:v>-2.166301657287959</c:v>
                </c:pt>
                <c:pt idx="475">
                  <c:v>-2.1570917352879597</c:v>
                </c:pt>
                <c:pt idx="476">
                  <c:v>-2.1529774290430619</c:v>
                </c:pt>
                <c:pt idx="477">
                  <c:v>-2.2603972151406229</c:v>
                </c:pt>
                <c:pt idx="478">
                  <c:v>-2.2866908199977662</c:v>
                </c:pt>
                <c:pt idx="479">
                  <c:v>-2.1969466055284923</c:v>
                </c:pt>
                <c:pt idx="480">
                  <c:v>-2.1495789821951599</c:v>
                </c:pt>
                <c:pt idx="481">
                  <c:v>-2.1474442008978625</c:v>
                </c:pt>
                <c:pt idx="482">
                  <c:v>-2.1692639278162305</c:v>
                </c:pt>
                <c:pt idx="483">
                  <c:v>-2.1540738875171654</c:v>
                </c:pt>
                <c:pt idx="484">
                  <c:v>-2.0220287569289304</c:v>
                </c:pt>
                <c:pt idx="485">
                  <c:v>-1.9602821172280755</c:v>
                </c:pt>
                <c:pt idx="486">
                  <c:v>-1.9872790102280753</c:v>
                </c:pt>
                <c:pt idx="487">
                  <c:v>-1.8942552983254199</c:v>
                </c:pt>
                <c:pt idx="488">
                  <c:v>-1.9147853829103256</c:v>
                </c:pt>
                <c:pt idx="489">
                  <c:v>-2.0090696192712727</c:v>
                </c:pt>
                <c:pt idx="490">
                  <c:v>-2.0570359362712729</c:v>
                </c:pt>
                <c:pt idx="491">
                  <c:v>-2.1487658832301766</c:v>
                </c:pt>
                <c:pt idx="492">
                  <c:v>-2.0102264605975235</c:v>
                </c:pt>
                <c:pt idx="493">
                  <c:v>-2.1205664820835577</c:v>
                </c:pt>
                <c:pt idx="494">
                  <c:v>-1.8863642978674406</c:v>
                </c:pt>
                <c:pt idx="495">
                  <c:v>-1.9628569937397811</c:v>
                </c:pt>
                <c:pt idx="496">
                  <c:v>-1.689404040757122</c:v>
                </c:pt>
                <c:pt idx="497">
                  <c:v>-2.1845218204881731</c:v>
                </c:pt>
                <c:pt idx="498">
                  <c:v>-2.1831964381950693</c:v>
                </c:pt>
                <c:pt idx="499">
                  <c:v>-2.1568800925447196</c:v>
                </c:pt>
                <c:pt idx="500">
                  <c:v>-1.9157890468083179</c:v>
                </c:pt>
                <c:pt idx="501">
                  <c:v>-1.7836709097612953</c:v>
                </c:pt>
                <c:pt idx="502">
                  <c:v>-1.5928794962779289</c:v>
                </c:pt>
                <c:pt idx="503">
                  <c:v>-1.7369288007687267</c:v>
                </c:pt>
                <c:pt idx="504">
                  <c:v>-1.139441117030507</c:v>
                </c:pt>
                <c:pt idx="505">
                  <c:v>0.95402590703351442</c:v>
                </c:pt>
                <c:pt idx="506">
                  <c:v>0.59603892167504169</c:v>
                </c:pt>
                <c:pt idx="507">
                  <c:v>1.066593683677127</c:v>
                </c:pt>
                <c:pt idx="508">
                  <c:v>0.5878922127977706</c:v>
                </c:pt>
                <c:pt idx="509">
                  <c:v>0.73549581228102345</c:v>
                </c:pt>
                <c:pt idx="510">
                  <c:v>0.46688644388234352</c:v>
                </c:pt>
                <c:pt idx="511">
                  <c:v>0.38043946443533888</c:v>
                </c:pt>
                <c:pt idx="512">
                  <c:v>0.86635064680013363</c:v>
                </c:pt>
                <c:pt idx="513">
                  <c:v>0.59227174792316206</c:v>
                </c:pt>
                <c:pt idx="514">
                  <c:v>2.0479806496223478</c:v>
                </c:pt>
                <c:pt idx="515">
                  <c:v>-0.22330162836600254</c:v>
                </c:pt>
                <c:pt idx="516">
                  <c:v>-0.21062832777289914</c:v>
                </c:pt>
                <c:pt idx="517">
                  <c:v>-0.23688993600069833</c:v>
                </c:pt>
                <c:pt idx="518">
                  <c:v>-0.26766372672797106</c:v>
                </c:pt>
                <c:pt idx="519">
                  <c:v>-0.25395981789267685</c:v>
                </c:pt>
                <c:pt idx="520">
                  <c:v>-0.21074449730008438</c:v>
                </c:pt>
                <c:pt idx="521">
                  <c:v>-0.14814204316316487</c:v>
                </c:pt>
                <c:pt idx="522">
                  <c:v>-0.13885762346167244</c:v>
                </c:pt>
                <c:pt idx="523">
                  <c:v>-0.14113597579003068</c:v>
                </c:pt>
                <c:pt idx="524">
                  <c:v>-0.26284781279003067</c:v>
                </c:pt>
                <c:pt idx="525">
                  <c:v>7.7126599987354605E-2</c:v>
                </c:pt>
                <c:pt idx="526">
                  <c:v>-1.0610056328434833E-2</c:v>
                </c:pt>
                <c:pt idx="527">
                  <c:v>0.15693024877938208</c:v>
                </c:pt>
                <c:pt idx="528">
                  <c:v>0.29018387788490957</c:v>
                </c:pt>
                <c:pt idx="529">
                  <c:v>0.40008917025845109</c:v>
                </c:pt>
                <c:pt idx="530">
                  <c:v>0.44794547550845132</c:v>
                </c:pt>
                <c:pt idx="531">
                  <c:v>0.44328495864683665</c:v>
                </c:pt>
                <c:pt idx="532">
                  <c:v>0.5166291710007459</c:v>
                </c:pt>
                <c:pt idx="533">
                  <c:v>0.66934535287038044</c:v>
                </c:pt>
                <c:pt idx="534">
                  <c:v>-2.1733742979619549E-2</c:v>
                </c:pt>
                <c:pt idx="535">
                  <c:v>4.0803528010765214E-2</c:v>
                </c:pt>
                <c:pt idx="536">
                  <c:v>-4.8946739100345658E-2</c:v>
                </c:pt>
                <c:pt idx="537">
                  <c:v>-5.8675255423875347E-2</c:v>
                </c:pt>
                <c:pt idx="538">
                  <c:v>-8.791383685244647E-2</c:v>
                </c:pt>
                <c:pt idx="539">
                  <c:v>-5.5021288930571746E-2</c:v>
                </c:pt>
                <c:pt idx="540">
                  <c:v>-5.9737552112389972E-2</c:v>
                </c:pt>
                <c:pt idx="541">
                  <c:v>-0.10229330455683433</c:v>
                </c:pt>
                <c:pt idx="542">
                  <c:v>-8.1044010991617121E-2</c:v>
                </c:pt>
                <c:pt idx="543">
                  <c:v>-7.6419944744092569E-2</c:v>
                </c:pt>
                <c:pt idx="544">
                  <c:v>-3.3487350012356225E-3</c:v>
                </c:pt>
                <c:pt idx="545">
                  <c:v>-4.0547736169020576E-2</c:v>
                </c:pt>
                <c:pt idx="546">
                  <c:v>0.11797797254402265</c:v>
                </c:pt>
                <c:pt idx="547">
                  <c:v>0.17580886297415962</c:v>
                </c:pt>
                <c:pt idx="548">
                  <c:v>0.20566837652679146</c:v>
                </c:pt>
                <c:pt idx="549">
                  <c:v>0.19018260620562352</c:v>
                </c:pt>
                <c:pt idx="550">
                  <c:v>0.16514488567296015</c:v>
                </c:pt>
                <c:pt idx="551">
                  <c:v>0.1678545699692566</c:v>
                </c:pt>
                <c:pt idx="552">
                  <c:v>0.13906758148440793</c:v>
                </c:pt>
                <c:pt idx="553">
                  <c:v>0.10860384000164933</c:v>
                </c:pt>
                <c:pt idx="554">
                  <c:v>0.139453202918316</c:v>
                </c:pt>
                <c:pt idx="555">
                  <c:v>0.10008904675031603</c:v>
                </c:pt>
                <c:pt idx="556">
                  <c:v>6.9721501196261887E-2</c:v>
                </c:pt>
                <c:pt idx="557">
                  <c:v>5.2778892729595364E-2</c:v>
                </c:pt>
                <c:pt idx="558">
                  <c:v>7.9015774200669839E-2</c:v>
                </c:pt>
                <c:pt idx="559">
                  <c:v>5.0165236057812458E-2</c:v>
                </c:pt>
                <c:pt idx="560">
                  <c:v>4.3444320952549277E-2</c:v>
                </c:pt>
                <c:pt idx="561">
                  <c:v>1.8933410727697136E-2</c:v>
                </c:pt>
                <c:pt idx="562">
                  <c:v>4.1268371102697259E-2</c:v>
                </c:pt>
                <c:pt idx="563">
                  <c:v>2.6216946176771269E-2</c:v>
                </c:pt>
                <c:pt idx="564">
                  <c:v>8.0296612357098798E-2</c:v>
                </c:pt>
                <c:pt idx="565">
                  <c:v>0.12511500729649275</c:v>
                </c:pt>
                <c:pt idx="566">
                  <c:v>0.10001164712105426</c:v>
                </c:pt>
                <c:pt idx="567">
                  <c:v>6.1317253880313463E-2</c:v>
                </c:pt>
                <c:pt idx="568">
                  <c:v>5.3120912904703665E-2</c:v>
                </c:pt>
                <c:pt idx="569">
                  <c:v>-4.4177086245981316E-2</c:v>
                </c:pt>
                <c:pt idx="570">
                  <c:v>-1.5688346422451996E-2</c:v>
                </c:pt>
                <c:pt idx="571">
                  <c:v>5.5430783352573253E-3</c:v>
                </c:pt>
                <c:pt idx="572">
                  <c:v>-4.042242143909228E-3</c:v>
                </c:pt>
                <c:pt idx="573">
                  <c:v>2.0549271487736425E-3</c:v>
                </c:pt>
                <c:pt idx="574">
                  <c:v>1.8218253579542668E-2</c:v>
                </c:pt>
                <c:pt idx="575">
                  <c:v>3.3667575579542537E-2</c:v>
                </c:pt>
                <c:pt idx="576">
                  <c:v>2.5658052606939888E-2</c:v>
                </c:pt>
                <c:pt idx="577">
                  <c:v>4.7931210499796852E-2</c:v>
                </c:pt>
                <c:pt idx="578">
                  <c:v>4.5138014844624402E-2</c:v>
                </c:pt>
                <c:pt idx="579">
                  <c:v>2.2128843395644641E-2</c:v>
                </c:pt>
                <c:pt idx="580">
                  <c:v>9.5987088025671338E-2</c:v>
                </c:pt>
                <c:pt idx="581">
                  <c:v>2.9096469188756007E-3</c:v>
                </c:pt>
                <c:pt idx="582">
                  <c:v>9.6323967147939268E-3</c:v>
                </c:pt>
                <c:pt idx="583">
                  <c:v>-8.7584783706892641E-2</c:v>
                </c:pt>
                <c:pt idx="584">
                  <c:v>-7.7801779786647263E-2</c:v>
                </c:pt>
                <c:pt idx="585">
                  <c:v>-0.21451052821420885</c:v>
                </c:pt>
                <c:pt idx="586">
                  <c:v>-0.18032618101420866</c:v>
                </c:pt>
                <c:pt idx="587">
                  <c:v>-0.22454424814882412</c:v>
                </c:pt>
                <c:pt idx="588">
                  <c:v>-0.17929815889139838</c:v>
                </c:pt>
                <c:pt idx="589">
                  <c:v>-0.29946646383479492</c:v>
                </c:pt>
                <c:pt idx="590">
                  <c:v>-0.39473769763081495</c:v>
                </c:pt>
                <c:pt idx="591">
                  <c:v>-0.39518952636575488</c:v>
                </c:pt>
                <c:pt idx="592">
                  <c:v>-0.47239587867242144</c:v>
                </c:pt>
                <c:pt idx="593">
                  <c:v>-0.4402388399332911</c:v>
                </c:pt>
                <c:pt idx="594">
                  <c:v>-0.43940896958846337</c:v>
                </c:pt>
                <c:pt idx="595">
                  <c:v>-0.45525380960788076</c:v>
                </c:pt>
                <c:pt idx="596">
                  <c:v>-0.34316596663113652</c:v>
                </c:pt>
                <c:pt idx="597">
                  <c:v>-0.35858673085794068</c:v>
                </c:pt>
                <c:pt idx="598">
                  <c:v>-0.34209767399519564</c:v>
                </c:pt>
                <c:pt idx="599">
                  <c:v>-0.3630294336751958</c:v>
                </c:pt>
                <c:pt idx="600">
                  <c:v>-0.36278513906829912</c:v>
                </c:pt>
                <c:pt idx="601">
                  <c:v>-0.37731386426829921</c:v>
                </c:pt>
                <c:pt idx="602">
                  <c:v>-0.32778716951101772</c:v>
                </c:pt>
                <c:pt idx="603">
                  <c:v>-0.32366295803374501</c:v>
                </c:pt>
                <c:pt idx="604">
                  <c:v>-0.3181985873670784</c:v>
                </c:pt>
                <c:pt idx="605">
                  <c:v>-0.27682890066337484</c:v>
                </c:pt>
                <c:pt idx="606">
                  <c:v>-0.32781698716796187</c:v>
                </c:pt>
                <c:pt idx="607">
                  <c:v>-0.2961635919519619</c:v>
                </c:pt>
                <c:pt idx="608">
                  <c:v>-0.32871291238569678</c:v>
                </c:pt>
                <c:pt idx="609">
                  <c:v>-0.30046882598863789</c:v>
                </c:pt>
                <c:pt idx="610">
                  <c:v>-0.29040562746345788</c:v>
                </c:pt>
                <c:pt idx="611">
                  <c:v>-0.22408216928313007</c:v>
                </c:pt>
                <c:pt idx="612">
                  <c:v>-0.25134258063288362</c:v>
                </c:pt>
                <c:pt idx="613">
                  <c:v>-0.28597560783658732</c:v>
                </c:pt>
                <c:pt idx="614">
                  <c:v>-0.18647993158967374</c:v>
                </c:pt>
                <c:pt idx="615">
                  <c:v>-0.15161486573253069</c:v>
                </c:pt>
                <c:pt idx="616">
                  <c:v>-0.15751064993801014</c:v>
                </c:pt>
                <c:pt idx="617">
                  <c:v>-0.14155352618024622</c:v>
                </c:pt>
                <c:pt idx="618">
                  <c:v>-0.14572914967582154</c:v>
                </c:pt>
                <c:pt idx="619">
                  <c:v>-0.15447227641554756</c:v>
                </c:pt>
                <c:pt idx="620">
                  <c:v>-0.15331860783113188</c:v>
                </c:pt>
                <c:pt idx="621">
                  <c:v>-0.15553269311113185</c:v>
                </c:pt>
                <c:pt idx="622">
                  <c:v>-0.15942938336113177</c:v>
                </c:pt>
                <c:pt idx="623">
                  <c:v>-0.15664794581727223</c:v>
                </c:pt>
                <c:pt idx="624">
                  <c:v>-0.16592606418346936</c:v>
                </c:pt>
                <c:pt idx="625">
                  <c:v>-0.18237728218346935</c:v>
                </c:pt>
                <c:pt idx="626">
                  <c:v>-0.18654765147615221</c:v>
                </c:pt>
                <c:pt idx="627">
                  <c:v>-0.17958175047615219</c:v>
                </c:pt>
                <c:pt idx="628">
                  <c:v>-0.16011153288460295</c:v>
                </c:pt>
                <c:pt idx="629">
                  <c:v>-0.15049763012950093</c:v>
                </c:pt>
                <c:pt idx="630">
                  <c:v>-0.13902869621035199</c:v>
                </c:pt>
                <c:pt idx="631">
                  <c:v>-0.15818365914785201</c:v>
                </c:pt>
                <c:pt idx="632">
                  <c:v>-0.12543485514785208</c:v>
                </c:pt>
                <c:pt idx="633">
                  <c:v>-0.12836475588179719</c:v>
                </c:pt>
                <c:pt idx="634">
                  <c:v>-0.13527912722554711</c:v>
                </c:pt>
                <c:pt idx="635">
                  <c:v>-0.11745444854262023</c:v>
                </c:pt>
                <c:pt idx="636">
                  <c:v>-0.11542348335274674</c:v>
                </c:pt>
                <c:pt idx="637">
                  <c:v>-0.14070721393681751</c:v>
                </c:pt>
                <c:pt idx="638">
                  <c:v>-9.2440890596539746E-2</c:v>
                </c:pt>
                <c:pt idx="639">
                  <c:v>-0.16178200442632695</c:v>
                </c:pt>
                <c:pt idx="640">
                  <c:v>-0.1645665085929936</c:v>
                </c:pt>
                <c:pt idx="641">
                  <c:v>-0.11212657588093131</c:v>
                </c:pt>
                <c:pt idx="642">
                  <c:v>-0.12245044520851753</c:v>
                </c:pt>
                <c:pt idx="643">
                  <c:v>-0.1188990940974065</c:v>
                </c:pt>
                <c:pt idx="644">
                  <c:v>-0.13572452555894493</c:v>
                </c:pt>
                <c:pt idx="645">
                  <c:v>-0.13926886198751631</c:v>
                </c:pt>
                <c:pt idx="646">
                  <c:v>-0.15544416588751633</c:v>
                </c:pt>
                <c:pt idx="647">
                  <c:v>-0.15412289868751633</c:v>
                </c:pt>
                <c:pt idx="648">
                  <c:v>-0.12952446011135735</c:v>
                </c:pt>
                <c:pt idx="649">
                  <c:v>-0.12727378740865461</c:v>
                </c:pt>
                <c:pt idx="650">
                  <c:v>-0.13567717598836479</c:v>
                </c:pt>
                <c:pt idx="651">
                  <c:v>-0.13738716913651286</c:v>
                </c:pt>
                <c:pt idx="652">
                  <c:v>-0.15260215467293675</c:v>
                </c:pt>
                <c:pt idx="653">
                  <c:v>-0.14998393759601369</c:v>
                </c:pt>
                <c:pt idx="654">
                  <c:v>-0.1454303435063585</c:v>
                </c:pt>
                <c:pt idx="655">
                  <c:v>-0.14938197095080291</c:v>
                </c:pt>
                <c:pt idx="656">
                  <c:v>-0.14481567384091285</c:v>
                </c:pt>
                <c:pt idx="657">
                  <c:v>-0.14223206620933387</c:v>
                </c:pt>
                <c:pt idx="658">
                  <c:v>-0.13833756049504817</c:v>
                </c:pt>
                <c:pt idx="659">
                  <c:v>-0.14148730089764555</c:v>
                </c:pt>
                <c:pt idx="660">
                  <c:v>-0.14886796493931223</c:v>
                </c:pt>
                <c:pt idx="661">
                  <c:v>-0.13644057881431226</c:v>
                </c:pt>
                <c:pt idx="662">
                  <c:v>-0.15207962519796006</c:v>
                </c:pt>
                <c:pt idx="663">
                  <c:v>-0.13203557863545995</c:v>
                </c:pt>
                <c:pt idx="664">
                  <c:v>-0.15467635115514497</c:v>
                </c:pt>
                <c:pt idx="665">
                  <c:v>-0.15030308035349207</c:v>
                </c:pt>
                <c:pt idx="666">
                  <c:v>-0.15010337264274826</c:v>
                </c:pt>
                <c:pt idx="667">
                  <c:v>-0.15505980224274832</c:v>
                </c:pt>
                <c:pt idx="668">
                  <c:v>-0.14792935998187876</c:v>
                </c:pt>
                <c:pt idx="669">
                  <c:v>-0.14545145970563567</c:v>
                </c:pt>
                <c:pt idx="670">
                  <c:v>-7.2796813146111916E-2</c:v>
                </c:pt>
                <c:pt idx="671">
                  <c:v>-7.7602636624372806E-2</c:v>
                </c:pt>
                <c:pt idx="672">
                  <c:v>-8.8637682272908358E-2</c:v>
                </c:pt>
                <c:pt idx="673">
                  <c:v>-9.803667174349659E-2</c:v>
                </c:pt>
                <c:pt idx="674">
                  <c:v>-9.6398615876829921E-2</c:v>
                </c:pt>
                <c:pt idx="675">
                  <c:v>-9.6535096664708664E-2</c:v>
                </c:pt>
                <c:pt idx="676">
                  <c:v>-0.10131322048150257</c:v>
                </c:pt>
                <c:pt idx="677">
                  <c:v>-8.5580614554450887E-2</c:v>
                </c:pt>
                <c:pt idx="678">
                  <c:v>-7.6329736031231055E-2</c:v>
                </c:pt>
                <c:pt idx="679">
                  <c:v>-7.0531150262000311E-2</c:v>
                </c:pt>
                <c:pt idx="680">
                  <c:v>-0.13236392785393986</c:v>
                </c:pt>
                <c:pt idx="681">
                  <c:v>-0.14241463522128681</c:v>
                </c:pt>
                <c:pt idx="682">
                  <c:v>-0.16092668101336602</c:v>
                </c:pt>
                <c:pt idx="683">
                  <c:v>-0.14826425244193742</c:v>
                </c:pt>
                <c:pt idx="684">
                  <c:v>-0.13769394795545098</c:v>
                </c:pt>
                <c:pt idx="685">
                  <c:v>-0.10968508951100651</c:v>
                </c:pt>
                <c:pt idx="686">
                  <c:v>-0.12187281460885387</c:v>
                </c:pt>
                <c:pt idx="687">
                  <c:v>-7.5988528046949097E-2</c:v>
                </c:pt>
                <c:pt idx="688">
                  <c:v>-7.5162664498076917E-2</c:v>
                </c:pt>
                <c:pt idx="689">
                  <c:v>-7.2740367256697594E-2</c:v>
                </c:pt>
                <c:pt idx="690">
                  <c:v>-7.2998848324494214E-2</c:v>
                </c:pt>
                <c:pt idx="691">
                  <c:v>-4.0272545662156559E-2</c:v>
                </c:pt>
                <c:pt idx="692">
                  <c:v>-3.3560250831967856E-2</c:v>
                </c:pt>
                <c:pt idx="693">
                  <c:v>-2.5131262296756558E-2</c:v>
                </c:pt>
                <c:pt idx="694">
                  <c:v>-2.1521213197855455E-2</c:v>
                </c:pt>
                <c:pt idx="695">
                  <c:v>-2.176799913333935E-2</c:v>
                </c:pt>
                <c:pt idx="696">
                  <c:v>-1.6321677243431112E-2</c:v>
                </c:pt>
                <c:pt idx="697">
                  <c:v>-1.8285011806184148E-2</c:v>
                </c:pt>
                <c:pt idx="698">
                  <c:v>-1.5287061182330952E-2</c:v>
                </c:pt>
                <c:pt idx="699">
                  <c:v>-5.174488271502911E-3</c:v>
                </c:pt>
                <c:pt idx="700">
                  <c:v>-4.2138700706661021E-3</c:v>
                </c:pt>
                <c:pt idx="701">
                  <c:v>-1.2013511426598313E-2</c:v>
                </c:pt>
                <c:pt idx="702">
                  <c:v>1.432061885825925E-2</c:v>
                </c:pt>
                <c:pt idx="703">
                  <c:v>2.2187572383439106E-2</c:v>
                </c:pt>
                <c:pt idx="704">
                  <c:v>2.7984237260632105E-2</c:v>
                </c:pt>
                <c:pt idx="705">
                  <c:v>2.6241285002567543E-2</c:v>
                </c:pt>
                <c:pt idx="706">
                  <c:v>2.4815170128551802E-2</c:v>
                </c:pt>
                <c:pt idx="707">
                  <c:v>2.4745243914678947E-2</c:v>
                </c:pt>
                <c:pt idx="708">
                  <c:v>2.2892009079235904E-2</c:v>
                </c:pt>
                <c:pt idx="709">
                  <c:v>3.2449106267807344E-2</c:v>
                </c:pt>
                <c:pt idx="710">
                  <c:v>1.8765846321861436E-2</c:v>
                </c:pt>
                <c:pt idx="711">
                  <c:v>-1.1740099722561939E-3</c:v>
                </c:pt>
                <c:pt idx="712">
                  <c:v>3.378865027743848E-3</c:v>
                </c:pt>
                <c:pt idx="713">
                  <c:v>3.095106584518257E-2</c:v>
                </c:pt>
                <c:pt idx="714">
                  <c:v>1.2998051235013046E-2</c:v>
                </c:pt>
                <c:pt idx="715">
                  <c:v>-1.4186498730504061E-2</c:v>
                </c:pt>
                <c:pt idx="716">
                  <c:v>4.1480748944959E-3</c:v>
                </c:pt>
                <c:pt idx="717">
                  <c:v>-2.2116936808068165E-2</c:v>
                </c:pt>
                <c:pt idx="718">
                  <c:v>-2.4782583033953376E-3</c:v>
                </c:pt>
                <c:pt idx="719">
                  <c:v>-2.4195615787266391E-2</c:v>
                </c:pt>
                <c:pt idx="720">
                  <c:v>-2.7616179679481961E-2</c:v>
                </c:pt>
                <c:pt idx="721">
                  <c:v>-4.1138799142758968E-2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86-4C2F-BFDD-484C20532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1069999"/>
        <c:axId val="1961062095"/>
      </c:lineChart>
      <c:dateAx>
        <c:axId val="1961069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062095"/>
        <c:crosses val="autoZero"/>
        <c:auto val="1"/>
        <c:lblOffset val="100"/>
        <c:baseTimeUnit val="days"/>
      </c:dateAx>
      <c:valAx>
        <c:axId val="196106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06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C8729E-A810-4CCF-851C-D845B721DFDD}">
  <sheetPr/>
  <sheetViews>
    <sheetView zoomScale="10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2A2C54-2AE7-4D04-AB2E-CC4A219A26D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0.17458000000000001</v>
      </c>
      <c r="D2" s="4">
        <f>MIN(D3:D1912)</f>
        <v>8.7500000000000008E-3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2.2859999999999998E-2</v>
      </c>
      <c r="C5">
        <v>2.333E-2</v>
      </c>
      <c r="D5">
        <v>2.2509999999999999E-2</v>
      </c>
      <c r="E5">
        <v>2.2530000000000001E-2</v>
      </c>
      <c r="F5">
        <v>3167935</v>
      </c>
      <c r="G5">
        <v>2.2530000000000001E-2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-0.95121951219511558</v>
      </c>
      <c r="Q5">
        <f t="shared" ref="Q5" si="1">F5*P5</f>
        <v>-3013401.5853658332</v>
      </c>
      <c r="R5">
        <f t="shared" ref="R5" si="2">R6+Q5</f>
        <v>-1085860955.7088609</v>
      </c>
      <c r="S5">
        <f t="shared" ref="S5" si="3">R5/100000</f>
        <v>-10858.609557088608</v>
      </c>
      <c r="T5">
        <f t="shared" ref="T5" si="4">S5/1000</f>
        <v>-10.858609557088608</v>
      </c>
    </row>
    <row r="6" spans="1:20" x14ac:dyDescent="0.25">
      <c r="A6" s="5">
        <v>44587</v>
      </c>
      <c r="B6">
        <v>2.283E-2</v>
      </c>
      <c r="C6">
        <v>2.4490000000000001E-2</v>
      </c>
      <c r="D6">
        <v>2.214E-2</v>
      </c>
      <c r="E6">
        <v>2.3009999999999999E-2</v>
      </c>
      <c r="F6">
        <v>80232641.400000006</v>
      </c>
      <c r="G6">
        <v>2.3009999999999999E-2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-0.25957446808510748</v>
      </c>
      <c r="Q6">
        <f t="shared" ref="Q6" si="6">F6*P6</f>
        <v>-20826345.214468174</v>
      </c>
      <c r="R6">
        <f t="shared" ref="R6" si="7">R7+Q6</f>
        <v>-1082847554.1234951</v>
      </c>
      <c r="S6">
        <f t="shared" ref="S6" si="8">R6/100000</f>
        <v>-10828.475541234951</v>
      </c>
      <c r="T6">
        <f t="shared" ref="T6" si="9">S6/1000</f>
        <v>-10.828475541234951</v>
      </c>
    </row>
    <row r="7" spans="1:20" x14ac:dyDescent="0.25">
      <c r="A7" s="5">
        <v>44586</v>
      </c>
      <c r="B7">
        <v>2.266E-2</v>
      </c>
      <c r="C7">
        <v>2.3099999999999999E-2</v>
      </c>
      <c r="D7">
        <v>2.1760000000000002E-2</v>
      </c>
      <c r="E7">
        <v>2.2790000000000001E-2</v>
      </c>
      <c r="F7">
        <v>74630363.900000006</v>
      </c>
      <c r="G7">
        <v>2.2790000000000001E-2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0.53731343283582333</v>
      </c>
      <c r="Q7">
        <f t="shared" ref="Q7" si="11">F7*P7</f>
        <v>40099897.020895705</v>
      </c>
      <c r="R7">
        <f t="shared" ref="R7" si="12">R8+Q7</f>
        <v>-1062021208.9090269</v>
      </c>
      <c r="S7">
        <f t="shared" ref="S7" si="13">R7/100000</f>
        <v>-10620.212089090268</v>
      </c>
      <c r="T7">
        <f t="shared" ref="T7" si="14">S7/1000</f>
        <v>-10.620212089090268</v>
      </c>
    </row>
    <row r="8" spans="1:20" x14ac:dyDescent="0.25">
      <c r="A8" s="5">
        <v>44585</v>
      </c>
      <c r="B8">
        <v>2.2790000000000001E-2</v>
      </c>
      <c r="C8">
        <v>2.3019999999999999E-2</v>
      </c>
      <c r="D8">
        <v>1.9900000000000001E-2</v>
      </c>
      <c r="E8">
        <v>2.2589999999999999E-2</v>
      </c>
      <c r="F8">
        <v>155851577.80000001</v>
      </c>
      <c r="G8">
        <v>2.2589999999999999E-2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0.72435897435897423</v>
      </c>
      <c r="Q8">
        <f t="shared" ref="Q8" si="16">F8*P8</f>
        <v>112892489.04743588</v>
      </c>
      <c r="R8">
        <f t="shared" ref="R8" si="17">R9+Q8</f>
        <v>-1102121105.9299226</v>
      </c>
      <c r="S8">
        <f t="shared" ref="S8" si="18">R8/100000</f>
        <v>-11021.211059299227</v>
      </c>
      <c r="T8">
        <f t="shared" ref="T8" si="19">S8/1000</f>
        <v>-11.021211059299226</v>
      </c>
    </row>
    <row r="9" spans="1:20" x14ac:dyDescent="0.25">
      <c r="A9" s="5">
        <v>44584</v>
      </c>
      <c r="B9">
        <v>2.2519999999999998E-2</v>
      </c>
      <c r="C9">
        <v>2.3449999999999999E-2</v>
      </c>
      <c r="D9">
        <v>2.146E-2</v>
      </c>
      <c r="E9">
        <v>2.2790000000000001E-2</v>
      </c>
      <c r="F9">
        <v>165248374</v>
      </c>
      <c r="G9">
        <v>2.2790000000000001E-2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0.33668341708542932</v>
      </c>
      <c r="Q9">
        <f t="shared" ref="Q9" si="21">F9*P9</f>
        <v>55636387.226131015</v>
      </c>
      <c r="R9">
        <f t="shared" ref="R9" si="22">R10+Q9</f>
        <v>-1215013594.9773586</v>
      </c>
      <c r="S9">
        <f t="shared" ref="S9" si="23">R9/100000</f>
        <v>-12150.135949773587</v>
      </c>
      <c r="T9">
        <f t="shared" ref="T9" si="24">S9/1000</f>
        <v>-12.150135949773587</v>
      </c>
    </row>
    <row r="10" spans="1:20" x14ac:dyDescent="0.25">
      <c r="A10" s="5">
        <v>44583</v>
      </c>
      <c r="B10">
        <v>2.3820000000000001E-2</v>
      </c>
      <c r="C10">
        <v>2.435E-2</v>
      </c>
      <c r="D10">
        <v>2.018E-2</v>
      </c>
      <c r="E10">
        <v>2.2499999999999999E-2</v>
      </c>
      <c r="F10">
        <v>274987740.19999999</v>
      </c>
      <c r="G10">
        <v>2.2499999999999999E-2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0.11270983213429213</v>
      </c>
      <c r="Q10">
        <f t="shared" ref="Q10" si="26">F10*P10</f>
        <v>30993822.036930334</v>
      </c>
      <c r="R10">
        <f t="shared" ref="R10" si="27">R11+Q10</f>
        <v>-1270649982.2034895</v>
      </c>
      <c r="S10">
        <f t="shared" ref="S10" si="28">R10/100000</f>
        <v>-12706.499822034895</v>
      </c>
      <c r="T10">
        <f t="shared" ref="T10" si="29">S10/1000</f>
        <v>-12.706499822034896</v>
      </c>
    </row>
    <row r="11" spans="1:20" x14ac:dyDescent="0.25">
      <c r="A11" s="5">
        <v>44582</v>
      </c>
      <c r="B11">
        <v>2.7380000000000002E-2</v>
      </c>
      <c r="C11">
        <v>2.7550000000000002E-2</v>
      </c>
      <c r="D11">
        <v>2.3E-2</v>
      </c>
      <c r="E11">
        <v>2.385E-2</v>
      </c>
      <c r="F11">
        <v>155992217.5</v>
      </c>
      <c r="G11">
        <v>2.385E-2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-0.62637362637362648</v>
      </c>
      <c r="Q11">
        <f t="shared" ref="Q11" si="31">F11*P11</f>
        <v>-97709410.961538479</v>
      </c>
      <c r="R11">
        <f t="shared" ref="R11" si="32">R12+Q11</f>
        <v>-1301643804.2404199</v>
      </c>
      <c r="S11">
        <f t="shared" ref="S11" si="33">R11/100000</f>
        <v>-13016.438042404199</v>
      </c>
      <c r="T11">
        <f t="shared" ref="T11" si="34">S11/1000</f>
        <v>-13.0164380424042</v>
      </c>
    </row>
    <row r="12" spans="1:20" x14ac:dyDescent="0.25">
      <c r="A12" s="5">
        <v>44581</v>
      </c>
      <c r="B12">
        <v>2.8910000000000002E-2</v>
      </c>
      <c r="C12">
        <v>3.006E-2</v>
      </c>
      <c r="D12">
        <v>2.7109999999999999E-2</v>
      </c>
      <c r="E12">
        <v>2.7390000000000001E-2</v>
      </c>
      <c r="F12">
        <v>39283848.799999997</v>
      </c>
      <c r="G12">
        <v>2.7390000000000001E-2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-0.81016949152542217</v>
      </c>
      <c r="Q12">
        <f t="shared" ref="Q12" si="36">F12*P12</f>
        <v>-31826575.807457563</v>
      </c>
      <c r="R12">
        <f t="shared" ref="R12" si="37">R13+Q12</f>
        <v>-1203934393.2788813</v>
      </c>
      <c r="S12">
        <f t="shared" ref="S12" si="38">R12/100000</f>
        <v>-12039.343932788814</v>
      </c>
      <c r="T12">
        <f t="shared" ref="T12" si="39">S12/1000</f>
        <v>-12.039343932788814</v>
      </c>
    </row>
    <row r="13" spans="1:20" x14ac:dyDescent="0.25">
      <c r="A13" s="5">
        <v>44580</v>
      </c>
      <c r="B13">
        <v>2.9510000000000002E-2</v>
      </c>
      <c r="C13">
        <v>2.9590000000000002E-2</v>
      </c>
      <c r="D13">
        <v>2.8160000000000001E-2</v>
      </c>
      <c r="E13">
        <v>2.8799999999999999E-2</v>
      </c>
      <c r="F13">
        <v>32650883.100000001</v>
      </c>
      <c r="G13">
        <v>2.8799999999999999E-2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-0.10489510489510785</v>
      </c>
      <c r="Q13">
        <f t="shared" ref="Q13" si="41">F13*P13</f>
        <v>-3424917.8076924044</v>
      </c>
      <c r="R13">
        <f t="shared" ref="R13" si="42">R14+Q13</f>
        <v>-1172107817.4714239</v>
      </c>
      <c r="S13">
        <f t="shared" ref="S13" si="43">R13/100000</f>
        <v>-11721.078174714239</v>
      </c>
      <c r="T13">
        <f t="shared" ref="T13" si="44">S13/1000</f>
        <v>-11.72107817471424</v>
      </c>
    </row>
    <row r="14" spans="1:20" x14ac:dyDescent="0.25">
      <c r="A14" s="5">
        <v>44579</v>
      </c>
      <c r="B14">
        <v>2.962E-2</v>
      </c>
      <c r="C14">
        <v>2.9870000000000001E-2</v>
      </c>
      <c r="D14">
        <v>2.844E-2</v>
      </c>
      <c r="E14">
        <v>2.9489999999999999E-2</v>
      </c>
      <c r="F14">
        <v>40742575.899999999</v>
      </c>
      <c r="G14">
        <v>2.9489999999999999E-2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0.46853146853146621</v>
      </c>
      <c r="Q14">
        <f t="shared" ref="Q14" si="46">F14*P14</f>
        <v>19089178.918181721</v>
      </c>
      <c r="R14">
        <f t="shared" ref="R14" si="47">R15+Q14</f>
        <v>-1168682899.6637316</v>
      </c>
      <c r="S14">
        <f t="shared" ref="S14" si="48">R14/100000</f>
        <v>-11686.828996637316</v>
      </c>
      <c r="T14">
        <f t="shared" ref="T14" si="49">S14/1000</f>
        <v>-11.686828996637315</v>
      </c>
    </row>
    <row r="15" spans="1:20" x14ac:dyDescent="0.25">
      <c r="A15" s="5">
        <v>44578</v>
      </c>
      <c r="B15">
        <v>3.1140000000000001E-2</v>
      </c>
      <c r="C15">
        <v>3.1260000000000003E-2</v>
      </c>
      <c r="D15">
        <v>2.9020000000000001E-2</v>
      </c>
      <c r="E15">
        <v>2.9610000000000001E-2</v>
      </c>
      <c r="F15">
        <v>53440418.100000001</v>
      </c>
      <c r="G15">
        <v>2.9610000000000001E-2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-0.47321428571428609</v>
      </c>
      <c r="Q15">
        <f t="shared" ref="Q15" si="51">F15*P15</f>
        <v>-25288769.279464308</v>
      </c>
      <c r="R15">
        <f t="shared" ref="R15" si="52">R16+Q15</f>
        <v>-1187772078.5819132</v>
      </c>
      <c r="S15">
        <f t="shared" ref="S15" si="53">R15/100000</f>
        <v>-11877.720785819132</v>
      </c>
      <c r="T15">
        <f t="shared" ref="T15" si="54">S15/1000</f>
        <v>-11.877720785819132</v>
      </c>
    </row>
    <row r="16" spans="1:20" x14ac:dyDescent="0.25">
      <c r="A16" s="5">
        <v>44577</v>
      </c>
      <c r="B16">
        <v>3.1419999999999997E-2</v>
      </c>
      <c r="C16">
        <v>3.1519999999999999E-2</v>
      </c>
      <c r="D16">
        <v>3.0530000000000002E-2</v>
      </c>
      <c r="E16">
        <v>3.1140000000000001E-2</v>
      </c>
      <c r="F16">
        <v>32582913.800000001</v>
      </c>
      <c r="G16">
        <v>3.1140000000000001E-2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0.23232323232323387</v>
      </c>
      <c r="Q16">
        <f t="shared" ref="Q16" si="56">F16*P16</f>
        <v>7569767.8525253031</v>
      </c>
      <c r="R16">
        <f t="shared" ref="R16" si="57">R17+Q16</f>
        <v>-1162483309.302449</v>
      </c>
      <c r="S16">
        <f t="shared" ref="S16" si="58">R16/100000</f>
        <v>-11624.83309302449</v>
      </c>
      <c r="T16">
        <f t="shared" ref="T16" si="59">S16/1000</f>
        <v>-11.62483309302449</v>
      </c>
    </row>
    <row r="17" spans="1:20" x14ac:dyDescent="0.25">
      <c r="A17" s="5">
        <v>44576</v>
      </c>
      <c r="B17">
        <v>3.1870000000000002E-2</v>
      </c>
      <c r="C17">
        <v>3.2210000000000003E-2</v>
      </c>
      <c r="D17">
        <v>3.1309999999999998E-2</v>
      </c>
      <c r="E17">
        <v>3.1419999999999997E-2</v>
      </c>
      <c r="F17">
        <v>28825529.699999999</v>
      </c>
      <c r="G17">
        <v>3.1419999999999997E-2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-0.7555555555555592</v>
      </c>
      <c r="Q17">
        <f t="shared" ref="Q17" si="61">F17*P17</f>
        <v>-21779289.10666677</v>
      </c>
      <c r="R17">
        <f t="shared" ref="R17" si="62">R18+Q17</f>
        <v>-1170053077.1549742</v>
      </c>
      <c r="S17">
        <f t="shared" ref="S17" si="63">R17/100000</f>
        <v>-11700.530771549742</v>
      </c>
      <c r="T17">
        <f t="shared" ref="T17" si="64">S17/1000</f>
        <v>-11.700530771549742</v>
      </c>
    </row>
    <row r="18" spans="1:20" x14ac:dyDescent="0.25">
      <c r="A18" s="5">
        <v>44575</v>
      </c>
      <c r="B18">
        <v>3.0640000000000001E-2</v>
      </c>
      <c r="C18">
        <v>3.2320000000000002E-2</v>
      </c>
      <c r="D18">
        <v>3.0349999999999999E-2</v>
      </c>
      <c r="E18">
        <v>3.1850000000000003E-2</v>
      </c>
      <c r="F18">
        <v>53766451.399999999</v>
      </c>
      <c r="G18">
        <v>3.1850000000000003E-2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0.5228426395939112</v>
      </c>
      <c r="Q18">
        <f t="shared" ref="Q18" si="66">F18*P18</f>
        <v>28111393.371573742</v>
      </c>
      <c r="R18">
        <f t="shared" ref="R18" si="67">R19+Q18</f>
        <v>-1148273788.0483074</v>
      </c>
      <c r="S18">
        <f t="shared" ref="S18" si="68">R18/100000</f>
        <v>-11482.737880483075</v>
      </c>
      <c r="T18">
        <f t="shared" ref="T18" si="69">S18/1000</f>
        <v>-11.482737880483075</v>
      </c>
    </row>
    <row r="19" spans="1:20" x14ac:dyDescent="0.25">
      <c r="A19" s="5">
        <v>44574</v>
      </c>
      <c r="B19">
        <v>3.2230000000000002E-2</v>
      </c>
      <c r="C19">
        <v>3.2239999999999998E-2</v>
      </c>
      <c r="D19">
        <v>3.0550000000000001E-2</v>
      </c>
      <c r="E19">
        <v>3.0669999999999999E-2</v>
      </c>
      <c r="F19">
        <v>40407888.600000001</v>
      </c>
      <c r="G19">
        <v>3.0669999999999999E-2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-0.85798816568047476</v>
      </c>
      <c r="Q19">
        <f t="shared" ref="Q19" si="71">F19*P19</f>
        <v>-34669490.218934968</v>
      </c>
      <c r="R19">
        <f t="shared" ref="R19" si="72">R20+Q19</f>
        <v>-1176385181.4198811</v>
      </c>
      <c r="S19">
        <f t="shared" ref="S19" si="73">R19/100000</f>
        <v>-11763.851814198812</v>
      </c>
      <c r="T19">
        <f t="shared" ref="T19" si="74">S19/1000</f>
        <v>-11.763851814198812</v>
      </c>
    </row>
    <row r="20" spans="1:20" x14ac:dyDescent="0.25">
      <c r="A20" s="5">
        <v>44573</v>
      </c>
      <c r="B20">
        <v>3.1150000000000001E-2</v>
      </c>
      <c r="C20">
        <v>3.2370000000000003E-2</v>
      </c>
      <c r="D20">
        <v>3.1130000000000001E-2</v>
      </c>
      <c r="E20">
        <v>3.2239999999999998E-2</v>
      </c>
      <c r="F20">
        <v>26398563.300000001</v>
      </c>
      <c r="G20">
        <v>3.2239999999999998E-2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0.79032258064515326</v>
      </c>
      <c r="Q20">
        <f t="shared" ref="Q20" si="76">F20*P20</f>
        <v>20863380.672580432</v>
      </c>
      <c r="R20">
        <f t="shared" ref="R20" si="77">R21+Q20</f>
        <v>-1141715691.2009461</v>
      </c>
      <c r="S20">
        <f t="shared" ref="S20" si="78">R20/100000</f>
        <v>-11417.156912009461</v>
      </c>
      <c r="T20">
        <f t="shared" ref="T20" si="79">S20/1000</f>
        <v>-11.41715691200946</v>
      </c>
    </row>
    <row r="21" spans="1:20" x14ac:dyDescent="0.25">
      <c r="A21" s="5">
        <v>44572</v>
      </c>
      <c r="B21">
        <v>3.007E-2</v>
      </c>
      <c r="C21">
        <v>3.1480000000000001E-2</v>
      </c>
      <c r="D21">
        <v>2.9739999999999999E-2</v>
      </c>
      <c r="E21">
        <v>3.1150000000000001E-2</v>
      </c>
      <c r="F21">
        <v>43186823.5</v>
      </c>
      <c r="G21">
        <v>3.1150000000000001E-2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0.6206896551724137</v>
      </c>
      <c r="Q21">
        <f t="shared" ref="Q21" si="81">F21*P21</f>
        <v>26805614.586206894</v>
      </c>
      <c r="R21">
        <f t="shared" ref="R21" si="82">R22+Q21</f>
        <v>-1162579071.8735266</v>
      </c>
      <c r="S21">
        <f t="shared" ref="S21" si="83">R21/100000</f>
        <v>-11625.790718735267</v>
      </c>
      <c r="T21">
        <f t="shared" ref="T21" si="84">S21/1000</f>
        <v>-11.625790718735267</v>
      </c>
    </row>
    <row r="22" spans="1:20" x14ac:dyDescent="0.25">
      <c r="A22" s="5">
        <v>44571</v>
      </c>
      <c r="B22">
        <v>3.1320000000000001E-2</v>
      </c>
      <c r="C22">
        <v>3.2099999999999997E-2</v>
      </c>
      <c r="D22">
        <v>2.8889999999999999E-2</v>
      </c>
      <c r="E22">
        <v>3.007E-2</v>
      </c>
      <c r="F22">
        <v>59104682</v>
      </c>
      <c r="G22">
        <v>3.007E-2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-0.26479750778816113</v>
      </c>
      <c r="Q22">
        <f t="shared" ref="Q22" si="86">F22*P22</f>
        <v>-15650772.492211787</v>
      </c>
      <c r="R22">
        <f t="shared" ref="R22" si="87">R23+Q22</f>
        <v>-1189384686.4597335</v>
      </c>
      <c r="S22">
        <f t="shared" ref="S22" si="88">R22/100000</f>
        <v>-11893.846864597335</v>
      </c>
      <c r="T22">
        <f t="shared" ref="T22" si="89">S22/1000</f>
        <v>-11.893846864597336</v>
      </c>
    </row>
    <row r="23" spans="1:20" x14ac:dyDescent="0.25">
      <c r="A23" s="5">
        <v>44570</v>
      </c>
      <c r="B23">
        <v>3.0779999999999998E-2</v>
      </c>
      <c r="C23">
        <v>3.209E-2</v>
      </c>
      <c r="D23">
        <v>3.0380000000000001E-2</v>
      </c>
      <c r="E23">
        <v>3.1359999999999999E-2</v>
      </c>
      <c r="F23">
        <v>43157184.899999999</v>
      </c>
      <c r="G23">
        <v>3.1359999999999999E-2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0.14619883040935486</v>
      </c>
      <c r="Q23">
        <f t="shared" ref="Q23" si="91">F23*P23</f>
        <v>6309529.9561402705</v>
      </c>
      <c r="R23">
        <f t="shared" ref="R23" si="92">R24+Q23</f>
        <v>-1173733913.9675217</v>
      </c>
      <c r="S23">
        <f t="shared" ref="S23" si="93">R23/100000</f>
        <v>-11737.339139675216</v>
      </c>
      <c r="T23">
        <f t="shared" ref="T23" si="94">S23/1000</f>
        <v>-11.737339139675216</v>
      </c>
    </row>
    <row r="24" spans="1:20" x14ac:dyDescent="0.25">
      <c r="A24" s="5">
        <v>44569</v>
      </c>
      <c r="B24">
        <v>3.0779999999999998E-2</v>
      </c>
      <c r="C24">
        <v>3.184E-2</v>
      </c>
      <c r="D24">
        <v>2.913E-2</v>
      </c>
      <c r="E24">
        <v>3.074E-2</v>
      </c>
      <c r="F24">
        <v>62006134.600000001</v>
      </c>
      <c r="G24">
        <v>3.074E-2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0.18819188191881916</v>
      </c>
      <c r="Q24">
        <f t="shared" ref="Q24" si="96">F24*P24</f>
        <v>11669051.160885608</v>
      </c>
      <c r="R24">
        <f t="shared" ref="R24" si="97">R25+Q24</f>
        <v>-1180043443.9236619</v>
      </c>
      <c r="S24">
        <f t="shared" ref="S24" si="98">R24/100000</f>
        <v>-11800.43443923662</v>
      </c>
      <c r="T24">
        <f t="shared" ref="T24" si="99">S24/1000</f>
        <v>-11.80043443923662</v>
      </c>
    </row>
    <row r="25" spans="1:20" x14ac:dyDescent="0.25">
      <c r="A25" s="5">
        <v>44568</v>
      </c>
      <c r="B25">
        <v>3.406E-2</v>
      </c>
      <c r="C25">
        <v>3.4189999999999998E-2</v>
      </c>
      <c r="D25">
        <v>2.9989999999999999E-2</v>
      </c>
      <c r="E25">
        <v>3.0759999999999999E-2</v>
      </c>
      <c r="F25">
        <v>139717626.69999999</v>
      </c>
      <c r="G25">
        <v>3.0759999999999999E-2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-0.6333333333333333</v>
      </c>
      <c r="Q25">
        <f t="shared" ref="Q25" si="101">F25*P25</f>
        <v>-88487830.243333325</v>
      </c>
      <c r="R25">
        <f t="shared" ref="R25" si="102">R26+Q25</f>
        <v>-1191712495.0845475</v>
      </c>
      <c r="S25">
        <f t="shared" ref="S25" si="103">R25/100000</f>
        <v>-11917.124950845475</v>
      </c>
      <c r="T25">
        <f t="shared" ref="T25" si="104">S25/1000</f>
        <v>-11.917124950845475</v>
      </c>
    </row>
    <row r="26" spans="1:20" x14ac:dyDescent="0.25">
      <c r="A26" s="5">
        <v>44567</v>
      </c>
      <c r="B26">
        <v>3.4419999999999999E-2</v>
      </c>
      <c r="C26">
        <v>3.4779999999999998E-2</v>
      </c>
      <c r="D26">
        <v>3.2689999999999997E-2</v>
      </c>
      <c r="E26">
        <v>3.4040000000000001E-2</v>
      </c>
      <c r="F26">
        <v>70550157.799999997</v>
      </c>
      <c r="G26">
        <v>3.4040000000000001E-2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0.29186602870813683</v>
      </c>
      <c r="Q26">
        <f t="shared" ref="Q26" si="106">F26*P26</f>
        <v>20591194.381818384</v>
      </c>
      <c r="R26">
        <f t="shared" ref="R26" si="107">R27+Q26</f>
        <v>-1103224664.8412142</v>
      </c>
      <c r="S26">
        <f t="shared" ref="S26" si="108">R26/100000</f>
        <v>-11032.246648412141</v>
      </c>
      <c r="T26">
        <f t="shared" ref="T26" si="109">S26/1000</f>
        <v>-11.032246648412141</v>
      </c>
    </row>
    <row r="27" spans="1:20" x14ac:dyDescent="0.25">
      <c r="A27" s="5">
        <v>44566</v>
      </c>
      <c r="B27">
        <v>3.7920000000000002E-2</v>
      </c>
      <c r="C27">
        <v>4.0430000000000001E-2</v>
      </c>
      <c r="D27">
        <v>3.3000000000000002E-2</v>
      </c>
      <c r="E27">
        <v>3.4369999999999998E-2</v>
      </c>
      <c r="F27">
        <v>112936378.7</v>
      </c>
      <c r="G27">
        <v>3.4369999999999998E-2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-0.63122476446837239</v>
      </c>
      <c r="Q27">
        <f t="shared" ref="Q27" si="111">F27*P27</f>
        <v>-71288239.044818416</v>
      </c>
      <c r="R27">
        <f t="shared" ref="R27" si="112">R28+Q27</f>
        <v>-1123815859.2230325</v>
      </c>
      <c r="S27">
        <f t="shared" ref="S27" si="113">R27/100000</f>
        <v>-11238.158592230324</v>
      </c>
      <c r="T27">
        <f t="shared" ref="T27" si="114">S27/1000</f>
        <v>-11.238158592230324</v>
      </c>
    </row>
    <row r="28" spans="1:20" x14ac:dyDescent="0.25">
      <c r="A28" s="5">
        <v>44565</v>
      </c>
      <c r="B28">
        <v>3.807E-2</v>
      </c>
      <c r="C28">
        <v>3.9669999999999997E-2</v>
      </c>
      <c r="D28">
        <v>3.7319999999999999E-2</v>
      </c>
      <c r="E28">
        <v>3.789E-2</v>
      </c>
      <c r="F28">
        <v>102269183.5</v>
      </c>
      <c r="G28">
        <v>3.789E-2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-0.51489361702127523</v>
      </c>
      <c r="Q28">
        <f t="shared" ref="Q28" si="116">F28*P28</f>
        <v>-52657749.802127518</v>
      </c>
      <c r="R28">
        <f t="shared" ref="R28" si="117">R29+Q28</f>
        <v>-1052527620.1782141</v>
      </c>
      <c r="S28">
        <f t="shared" ref="S28" si="118">R28/100000</f>
        <v>-10525.276201782141</v>
      </c>
      <c r="T28">
        <f t="shared" ref="T28" si="119">S28/1000</f>
        <v>-10.525276201782141</v>
      </c>
    </row>
    <row r="29" spans="1:20" x14ac:dyDescent="0.25">
      <c r="A29" s="5">
        <v>44564</v>
      </c>
      <c r="B29">
        <v>3.7150000000000002E-2</v>
      </c>
      <c r="C29">
        <v>3.8089999999999999E-2</v>
      </c>
      <c r="D29">
        <v>3.6060000000000002E-2</v>
      </c>
      <c r="E29">
        <v>3.807E-2</v>
      </c>
      <c r="F29">
        <v>108459776.09999999</v>
      </c>
      <c r="G29">
        <v>3.807E-2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0.98029556650246386</v>
      </c>
      <c r="Q29">
        <f t="shared" ref="Q29" si="121">F29*P29</f>
        <v>106322637.65467988</v>
      </c>
      <c r="R29">
        <f t="shared" ref="R29" si="122">R30+Q29</f>
        <v>-999869870.37608659</v>
      </c>
      <c r="S29">
        <f t="shared" ref="S29" si="123">R29/100000</f>
        <v>-9998.6987037608651</v>
      </c>
      <c r="T29">
        <f t="shared" ref="T29" si="124">S29/1000</f>
        <v>-9.9986987037608657</v>
      </c>
    </row>
    <row r="30" spans="1:20" x14ac:dyDescent="0.25">
      <c r="A30" s="5">
        <v>44563</v>
      </c>
      <c r="B30">
        <v>3.5229999999999997E-2</v>
      </c>
      <c r="C30">
        <v>3.7780000000000001E-2</v>
      </c>
      <c r="D30">
        <v>3.4419999999999999E-2</v>
      </c>
      <c r="E30">
        <v>3.7150000000000002E-2</v>
      </c>
      <c r="F30">
        <v>88993047.099999994</v>
      </c>
      <c r="G30">
        <v>3.7150000000000002E-2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0.625000000000001</v>
      </c>
      <c r="Q30">
        <f t="shared" ref="Q30" si="126">F30*P30</f>
        <v>55620654.437500082</v>
      </c>
      <c r="R30">
        <f t="shared" ref="R30" si="127">R31+Q30</f>
        <v>-1106192508.0307665</v>
      </c>
      <c r="S30">
        <f t="shared" ref="S30" si="128">R30/100000</f>
        <v>-11061.925080307665</v>
      </c>
      <c r="T30">
        <f t="shared" ref="T30" si="129">S30/1000</f>
        <v>-11.061925080307665</v>
      </c>
    </row>
    <row r="31" spans="1:20" x14ac:dyDescent="0.25">
      <c r="A31" s="5">
        <v>44562</v>
      </c>
      <c r="B31">
        <v>3.3700000000000001E-2</v>
      </c>
      <c r="C31">
        <v>3.5959999999999999E-2</v>
      </c>
      <c r="D31">
        <v>3.3700000000000001E-2</v>
      </c>
      <c r="E31">
        <v>3.5220000000000001E-2</v>
      </c>
      <c r="F31">
        <v>48267508.600000001</v>
      </c>
      <c r="G31">
        <v>3.5220000000000001E-2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0.34513274336283345</v>
      </c>
      <c r="Q31">
        <f t="shared" ref="Q31" si="131">F31*P31</f>
        <v>16658697.658407157</v>
      </c>
      <c r="R31">
        <f t="shared" ref="R31" si="132">R32+Q31</f>
        <v>-1161813162.4682665</v>
      </c>
      <c r="S31">
        <f t="shared" ref="S31" si="133">R31/100000</f>
        <v>-11618.131624682665</v>
      </c>
      <c r="T31">
        <f t="shared" ref="T31" si="134">S31/1000</f>
        <v>-11.618131624682665</v>
      </c>
    </row>
    <row r="32" spans="1:20" x14ac:dyDescent="0.25">
      <c r="A32" s="5">
        <v>44561</v>
      </c>
      <c r="B32">
        <v>3.4290000000000001E-2</v>
      </c>
      <c r="C32">
        <v>3.5000000000000003E-2</v>
      </c>
      <c r="D32">
        <v>3.2919999999999998E-2</v>
      </c>
      <c r="E32">
        <v>3.3579999999999999E-2</v>
      </c>
      <c r="F32">
        <v>51198844.600000001</v>
      </c>
      <c r="G32">
        <v>3.3579999999999999E-2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-0.3653846153846162</v>
      </c>
      <c r="Q32">
        <f t="shared" ref="Q32" si="136">F32*P32</f>
        <v>-18707270.142307736</v>
      </c>
      <c r="R32">
        <f t="shared" ref="R32" si="137">R33+Q32</f>
        <v>-1178471860.1266737</v>
      </c>
      <c r="S32">
        <f t="shared" ref="S32" si="138">R32/100000</f>
        <v>-11784.718601266737</v>
      </c>
      <c r="T32">
        <f t="shared" ref="T32" si="139">S32/1000</f>
        <v>-11.784718601266738</v>
      </c>
    </row>
    <row r="33" spans="1:20" x14ac:dyDescent="0.25">
      <c r="A33" s="5">
        <v>44560</v>
      </c>
      <c r="B33">
        <v>3.3590000000000002E-2</v>
      </c>
      <c r="C33">
        <v>3.4689999999999999E-2</v>
      </c>
      <c r="D33">
        <v>3.2559999999999999E-2</v>
      </c>
      <c r="E33">
        <v>3.4279999999999998E-2</v>
      </c>
      <c r="F33">
        <v>63304193.200000003</v>
      </c>
      <c r="G33">
        <v>3.4279999999999998E-2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0.6150234741784032</v>
      </c>
      <c r="Q33">
        <f t="shared" ref="Q33" si="141">F33*P33</f>
        <v>38933564.831924848</v>
      </c>
      <c r="R33">
        <f t="shared" ref="R33" si="142">R34+Q33</f>
        <v>-1159764589.9843659</v>
      </c>
      <c r="S33">
        <f t="shared" ref="S33" si="143">R33/100000</f>
        <v>-11597.645899843659</v>
      </c>
      <c r="T33">
        <f t="shared" ref="T33" si="144">S33/1000</f>
        <v>-11.597645899843659</v>
      </c>
    </row>
    <row r="34" spans="1:20" x14ac:dyDescent="0.25">
      <c r="A34" s="5">
        <v>44559</v>
      </c>
      <c r="B34">
        <v>3.449E-2</v>
      </c>
      <c r="C34">
        <v>4.0160000000000001E-2</v>
      </c>
      <c r="D34">
        <v>3.3009999999999998E-2</v>
      </c>
      <c r="E34">
        <v>3.3590000000000002E-2</v>
      </c>
      <c r="F34">
        <v>216899107.19999999</v>
      </c>
      <c r="G34">
        <v>3.3590000000000002E-2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-0.83776223776223668</v>
      </c>
      <c r="Q34">
        <f t="shared" ref="Q34" si="146">F34*P34</f>
        <v>-181709881.41650325</v>
      </c>
      <c r="R34">
        <f t="shared" ref="R34" si="147">R35+Q34</f>
        <v>-1198698154.8162909</v>
      </c>
      <c r="S34">
        <f t="shared" ref="S34" si="148">R34/100000</f>
        <v>-11986.981548162908</v>
      </c>
      <c r="T34">
        <f t="shared" ref="T34" si="149">S34/1000</f>
        <v>-11.986981548162909</v>
      </c>
    </row>
    <row r="35" spans="1:20" x14ac:dyDescent="0.25">
      <c r="A35" s="5">
        <v>44558</v>
      </c>
      <c r="B35">
        <v>3.8039999999999997E-2</v>
      </c>
      <c r="C35">
        <v>3.8109999999999998E-2</v>
      </c>
      <c r="D35">
        <v>3.406E-2</v>
      </c>
      <c r="E35">
        <v>3.44E-2</v>
      </c>
      <c r="F35">
        <v>83138953.599999994</v>
      </c>
      <c r="G35">
        <v>3.44E-2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-0.83209876543209871</v>
      </c>
      <c r="Q35">
        <f t="shared" ref="Q35" si="151">F35*P35</f>
        <v>-69179820.649876535</v>
      </c>
      <c r="R35">
        <f t="shared" ref="R35" si="152">R36+Q35</f>
        <v>-1016988273.3997877</v>
      </c>
      <c r="S35">
        <f t="shared" ref="S35" si="153">R35/100000</f>
        <v>-10169.882733997876</v>
      </c>
      <c r="T35">
        <f t="shared" ref="T35" si="154">S35/1000</f>
        <v>-10.169882733997877</v>
      </c>
    </row>
    <row r="36" spans="1:20" x14ac:dyDescent="0.25">
      <c r="A36" s="5">
        <v>44557</v>
      </c>
      <c r="B36">
        <v>3.7960000000000001E-2</v>
      </c>
      <c r="C36">
        <v>4.0370000000000003E-2</v>
      </c>
      <c r="D36">
        <v>3.773E-2</v>
      </c>
      <c r="E36">
        <v>3.8100000000000002E-2</v>
      </c>
      <c r="F36">
        <v>79991027.799999997</v>
      </c>
      <c r="G36">
        <v>3.8100000000000002E-2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-0.71969696969696839</v>
      </c>
      <c r="Q36">
        <f t="shared" ref="Q36" si="156">F36*P36</f>
        <v>-57569300.310605951</v>
      </c>
      <c r="R36">
        <f t="shared" ref="R36" si="157">R37+Q36</f>
        <v>-947808452.74991107</v>
      </c>
      <c r="S36">
        <f t="shared" ref="S36" si="158">R36/100000</f>
        <v>-9478.0845274991116</v>
      </c>
      <c r="T36">
        <f t="shared" ref="T36" si="159">S36/1000</f>
        <v>-9.4780845274991119</v>
      </c>
    </row>
    <row r="37" spans="1:20" x14ac:dyDescent="0.25">
      <c r="A37" s="5">
        <v>44556</v>
      </c>
      <c r="B37">
        <v>3.703E-2</v>
      </c>
      <c r="C37">
        <v>3.8609999999999998E-2</v>
      </c>
      <c r="D37">
        <v>3.637E-2</v>
      </c>
      <c r="E37">
        <v>3.7940000000000002E-2</v>
      </c>
      <c r="F37">
        <v>88392309.5</v>
      </c>
      <c r="G37">
        <v>3.7940000000000002E-2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0.40178571428571669</v>
      </c>
      <c r="Q37">
        <f t="shared" ref="Q37" si="161">F37*P37</f>
        <v>35514767.209821641</v>
      </c>
      <c r="R37">
        <f t="shared" ref="R37" si="162">R38+Q37</f>
        <v>-890239152.43930507</v>
      </c>
      <c r="S37">
        <f t="shared" ref="S37" si="163">R37/100000</f>
        <v>-8902.3915243930514</v>
      </c>
      <c r="T37">
        <f t="shared" ref="T37" si="164">S37/1000</f>
        <v>-8.9023915243930514</v>
      </c>
    </row>
    <row r="38" spans="1:20" x14ac:dyDescent="0.25">
      <c r="A38" s="5">
        <v>44555</v>
      </c>
      <c r="B38">
        <v>3.5529999999999999E-2</v>
      </c>
      <c r="C38">
        <v>3.7310000000000003E-2</v>
      </c>
      <c r="D38">
        <v>3.5189999999999999E-2</v>
      </c>
      <c r="E38">
        <v>3.7010000000000001E-2</v>
      </c>
      <c r="F38">
        <v>56323424.200000003</v>
      </c>
      <c r="G38">
        <v>3.7010000000000001E-2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0.71698113207547065</v>
      </c>
      <c r="Q38">
        <f t="shared" ref="Q38" si="166">F38*P38</f>
        <v>40382832.445282958</v>
      </c>
      <c r="R38">
        <f t="shared" ref="R38" si="167">R39+Q38</f>
        <v>-925753919.64912665</v>
      </c>
      <c r="S38">
        <f t="shared" ref="S38" si="168">R38/100000</f>
        <v>-9257.5391964912669</v>
      </c>
      <c r="T38">
        <f t="shared" ref="T38" si="169">S38/1000</f>
        <v>-9.2575391964912672</v>
      </c>
    </row>
    <row r="39" spans="1:20" x14ac:dyDescent="0.25">
      <c r="A39" s="5">
        <v>44554</v>
      </c>
      <c r="B39">
        <v>3.7569999999999999E-2</v>
      </c>
      <c r="C39">
        <v>3.85E-2</v>
      </c>
      <c r="D39">
        <v>3.4880000000000001E-2</v>
      </c>
      <c r="E39">
        <v>3.5529999999999999E-2</v>
      </c>
      <c r="F39">
        <v>82674588</v>
      </c>
      <c r="G39">
        <v>3.5529999999999999E-2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-0.64088397790055351</v>
      </c>
      <c r="Q39">
        <f t="shared" ref="Q39" si="171">F39*P39</f>
        <v>-52984818.828729369</v>
      </c>
      <c r="R39">
        <f t="shared" ref="R39" si="172">R40+Q39</f>
        <v>-966136752.09440958</v>
      </c>
      <c r="S39">
        <f t="shared" ref="S39" si="173">R39/100000</f>
        <v>-9661.3675209440953</v>
      </c>
      <c r="T39">
        <f t="shared" ref="T39" si="174">S39/1000</f>
        <v>-9.6613675209440952</v>
      </c>
    </row>
    <row r="40" spans="1:20" x14ac:dyDescent="0.25">
      <c r="A40" s="5">
        <v>44553</v>
      </c>
      <c r="B40">
        <v>3.5380000000000002E-2</v>
      </c>
      <c r="C40">
        <v>3.805E-2</v>
      </c>
      <c r="D40">
        <v>3.483E-2</v>
      </c>
      <c r="E40">
        <v>3.7569999999999999E-2</v>
      </c>
      <c r="F40">
        <v>57591796.899999999</v>
      </c>
      <c r="G40">
        <v>3.7569999999999999E-2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0.70186335403726641</v>
      </c>
      <c r="Q40">
        <f t="shared" ref="Q40" si="176">F40*P40</f>
        <v>40421571.73726704</v>
      </c>
      <c r="R40">
        <f t="shared" ref="R40" si="177">R41+Q40</f>
        <v>-913151933.26568019</v>
      </c>
      <c r="S40">
        <f t="shared" ref="S40" si="178">R40/100000</f>
        <v>-9131.5193326568024</v>
      </c>
      <c r="T40">
        <f t="shared" ref="T40" si="179">S40/1000</f>
        <v>-9.1315193326568025</v>
      </c>
    </row>
    <row r="41" spans="1:20" x14ac:dyDescent="0.25">
      <c r="A41" s="5">
        <v>44552</v>
      </c>
      <c r="B41">
        <v>3.483E-2</v>
      </c>
      <c r="C41">
        <v>3.6700000000000003E-2</v>
      </c>
      <c r="D41">
        <v>3.44E-2</v>
      </c>
      <c r="E41">
        <v>3.5380000000000002E-2</v>
      </c>
      <c r="F41">
        <v>64778694.5</v>
      </c>
      <c r="G41">
        <v>3.5380000000000002E-2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-0.14782608695652152</v>
      </c>
      <c r="Q41">
        <f t="shared" ref="Q41" si="181">F41*P41</f>
        <v>-9575980.9260869417</v>
      </c>
      <c r="R41">
        <f t="shared" ref="R41" si="182">R42+Q41</f>
        <v>-953573505.00294721</v>
      </c>
      <c r="S41">
        <f t="shared" ref="S41" si="183">R41/100000</f>
        <v>-9535.7350500294724</v>
      </c>
      <c r="T41">
        <f t="shared" ref="T41" si="184">S41/1000</f>
        <v>-9.5357350500294729</v>
      </c>
    </row>
    <row r="42" spans="1:20" x14ac:dyDescent="0.25">
      <c r="A42" s="5">
        <v>44551</v>
      </c>
      <c r="B42">
        <v>3.3180000000000001E-2</v>
      </c>
      <c r="C42">
        <v>3.5130000000000002E-2</v>
      </c>
      <c r="D42">
        <v>3.2680000000000001E-2</v>
      </c>
      <c r="E42">
        <v>3.4860000000000002E-2</v>
      </c>
      <c r="F42">
        <v>63536441</v>
      </c>
      <c r="G42">
        <v>3.4860000000000002E-2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0.77959183673469445</v>
      </c>
      <c r="Q42">
        <f t="shared" ref="Q42" si="186">F42*P42</f>
        <v>49532490.738775544</v>
      </c>
      <c r="R42">
        <f t="shared" ref="R42" si="187">R43+Q42</f>
        <v>-943997524.07686031</v>
      </c>
      <c r="S42">
        <f t="shared" ref="S42" si="188">R42/100000</f>
        <v>-9439.9752407686028</v>
      </c>
      <c r="T42">
        <f t="shared" ref="T42" si="189">S42/1000</f>
        <v>-9.4399752407686019</v>
      </c>
    </row>
    <row r="43" spans="1:20" x14ac:dyDescent="0.25">
      <c r="A43" s="5">
        <v>44550</v>
      </c>
      <c r="B43">
        <v>3.2629999999999999E-2</v>
      </c>
      <c r="C43">
        <v>3.4119999999999998E-2</v>
      </c>
      <c r="D43">
        <v>3.117E-2</v>
      </c>
      <c r="E43">
        <v>3.313E-2</v>
      </c>
      <c r="F43">
        <v>67775919.400000006</v>
      </c>
      <c r="G43">
        <v>3.313E-2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0.32881355932203488</v>
      </c>
      <c r="Q43">
        <f t="shared" ref="Q43" si="191">F43*P43</f>
        <v>22285641.294237357</v>
      </c>
      <c r="R43">
        <f t="shared" ref="R43" si="192">R44+Q43</f>
        <v>-993530014.8156358</v>
      </c>
      <c r="S43">
        <f t="shared" ref="S43" si="193">R43/100000</f>
        <v>-9935.3001481563588</v>
      </c>
      <c r="T43">
        <f t="shared" ref="T43" si="194">S43/1000</f>
        <v>-9.9353001481563581</v>
      </c>
    </row>
    <row r="44" spans="1:20" x14ac:dyDescent="0.25">
      <c r="A44" s="5">
        <v>44549</v>
      </c>
      <c r="B44">
        <v>3.2689999999999997E-2</v>
      </c>
      <c r="C44">
        <v>3.3239999999999999E-2</v>
      </c>
      <c r="D44">
        <v>3.2199999999999999E-2</v>
      </c>
      <c r="E44">
        <v>3.2660000000000002E-2</v>
      </c>
      <c r="F44">
        <v>36994130.700000003</v>
      </c>
      <c r="G44">
        <v>3.2660000000000002E-2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-0.11538461538461077</v>
      </c>
      <c r="Q44">
        <f t="shared" ref="Q44" si="196">F44*P44</f>
        <v>-4268553.5423075221</v>
      </c>
      <c r="R44">
        <f t="shared" ref="R44" si="197">R45+Q44</f>
        <v>-1015815656.1098732</v>
      </c>
      <c r="S44">
        <f t="shared" ref="S44" si="198">R44/100000</f>
        <v>-10158.156561098731</v>
      </c>
      <c r="T44">
        <f t="shared" ref="T44" si="199">S44/1000</f>
        <v>-10.15815656109873</v>
      </c>
    </row>
    <row r="45" spans="1:20" x14ac:dyDescent="0.25">
      <c r="A45" s="5">
        <v>44548</v>
      </c>
      <c r="B45">
        <v>3.2050000000000002E-2</v>
      </c>
      <c r="C45">
        <v>3.3349999999999998E-2</v>
      </c>
      <c r="D45">
        <v>3.1510000000000003E-2</v>
      </c>
      <c r="E45">
        <v>3.2719999999999999E-2</v>
      </c>
      <c r="F45">
        <v>48806114.100000001</v>
      </c>
      <c r="G45">
        <v>3.2719999999999999E-2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0.31521739130434723</v>
      </c>
      <c r="Q45">
        <f t="shared" ref="Q45" si="201">F45*P45</f>
        <v>15384535.966304319</v>
      </c>
      <c r="R45">
        <f t="shared" ref="R45" si="202">R46+Q45</f>
        <v>-1011547102.5675657</v>
      </c>
      <c r="S45">
        <f t="shared" ref="S45" si="203">R45/100000</f>
        <v>-10115.471025675657</v>
      </c>
      <c r="T45">
        <f t="shared" ref="T45" si="204">S45/1000</f>
        <v>-10.115471025675657</v>
      </c>
    </row>
    <row r="46" spans="1:20" x14ac:dyDescent="0.25">
      <c r="A46" s="5">
        <v>44547</v>
      </c>
      <c r="B46">
        <v>3.3869999999999997E-2</v>
      </c>
      <c r="C46">
        <v>3.5220000000000001E-2</v>
      </c>
      <c r="D46">
        <v>3.1260000000000003E-2</v>
      </c>
      <c r="E46">
        <v>3.2059999999999998E-2</v>
      </c>
      <c r="F46">
        <v>131404441.2</v>
      </c>
      <c r="G46">
        <v>3.2059999999999998E-2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-0.59595959595959824</v>
      </c>
      <c r="Q46">
        <f t="shared" ref="Q46" si="206">F46*P46</f>
        <v>-78311737.684848785</v>
      </c>
      <c r="R46">
        <f t="shared" ref="R46" si="207">R47+Q46</f>
        <v>-1026931638.53387</v>
      </c>
      <c r="S46">
        <f t="shared" ref="S46" si="208">R46/100000</f>
        <v>-10269.3163853387</v>
      </c>
      <c r="T46">
        <f t="shared" ref="T46" si="209">S46/1000</f>
        <v>-10.2693163853387</v>
      </c>
    </row>
    <row r="47" spans="1:20" x14ac:dyDescent="0.25">
      <c r="A47" s="5">
        <v>44546</v>
      </c>
      <c r="B47">
        <v>3.4680000000000002E-2</v>
      </c>
      <c r="C47">
        <v>3.5319999999999997E-2</v>
      </c>
      <c r="D47">
        <v>3.3750000000000002E-2</v>
      </c>
      <c r="E47">
        <v>3.3869999999999997E-2</v>
      </c>
      <c r="F47">
        <v>31912658.5</v>
      </c>
      <c r="G47">
        <v>3.3869999999999997E-2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-0.84713375796178914</v>
      </c>
      <c r="Q47">
        <f t="shared" ref="Q47" si="211">F47*P47</f>
        <v>-27034290.321656235</v>
      </c>
      <c r="R47">
        <f t="shared" ref="R47" si="212">R48+Q47</f>
        <v>-948619900.8490212</v>
      </c>
      <c r="S47">
        <f t="shared" ref="S47" si="213">R47/100000</f>
        <v>-9486.1990084902118</v>
      </c>
      <c r="T47">
        <f t="shared" ref="T47" si="214">S47/1000</f>
        <v>-9.4861990084902121</v>
      </c>
    </row>
    <row r="48" spans="1:20" x14ac:dyDescent="0.25">
      <c r="A48" s="5">
        <v>44545</v>
      </c>
      <c r="B48">
        <v>3.3950000000000001E-2</v>
      </c>
      <c r="C48">
        <v>3.5040000000000002E-2</v>
      </c>
      <c r="D48">
        <v>3.2039999999999999E-2</v>
      </c>
      <c r="E48">
        <v>3.4610000000000002E-2</v>
      </c>
      <c r="F48">
        <v>77172682.5</v>
      </c>
      <c r="G48">
        <v>3.4610000000000002E-2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0.71333333333333371</v>
      </c>
      <c r="Q48">
        <f t="shared" ref="Q48" si="216">F48*P48</f>
        <v>55049846.850000031</v>
      </c>
      <c r="R48">
        <f t="shared" ref="R48" si="217">R49+Q48</f>
        <v>-921585610.52736497</v>
      </c>
      <c r="S48">
        <f t="shared" ref="S48" si="218">R48/100000</f>
        <v>-9215.8561052736495</v>
      </c>
      <c r="T48">
        <f t="shared" ref="T48" si="219">S48/1000</f>
        <v>-9.2158561052736498</v>
      </c>
    </row>
    <row r="49" spans="1:20" x14ac:dyDescent="0.25">
      <c r="A49" s="5">
        <v>44544</v>
      </c>
      <c r="B49">
        <v>3.2140000000000002E-2</v>
      </c>
      <c r="C49">
        <v>3.4160000000000003E-2</v>
      </c>
      <c r="D49">
        <v>3.1600000000000003E-2</v>
      </c>
      <c r="E49">
        <v>3.3939999999999998E-2</v>
      </c>
      <c r="F49">
        <v>59083974.299999997</v>
      </c>
      <c r="G49">
        <v>3.3939999999999998E-2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0.82812499999999611</v>
      </c>
      <c r="Q49">
        <f t="shared" ref="Q49" si="221">F49*P49</f>
        <v>48928916.217187271</v>
      </c>
      <c r="R49">
        <f t="shared" ref="R49" si="222">R50+Q49</f>
        <v>-976635457.37736499</v>
      </c>
      <c r="S49">
        <f t="shared" ref="S49" si="223">R49/100000</f>
        <v>-9766.3545737736495</v>
      </c>
      <c r="T49">
        <f t="shared" ref="T49" si="224">S49/1000</f>
        <v>-9.7663545737736488</v>
      </c>
    </row>
    <row r="50" spans="1:20" x14ac:dyDescent="0.25">
      <c r="A50" s="5">
        <v>44543</v>
      </c>
      <c r="B50">
        <v>3.6130000000000002E-2</v>
      </c>
      <c r="C50">
        <v>3.6650000000000002E-2</v>
      </c>
      <c r="D50">
        <v>3.1359999999999999E-2</v>
      </c>
      <c r="E50">
        <v>3.2149999999999998E-2</v>
      </c>
      <c r="F50">
        <v>58822092.200000003</v>
      </c>
      <c r="G50">
        <v>3.2149999999999998E-2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-0.70132325141776997</v>
      </c>
      <c r="Q50">
        <f t="shared" ref="Q50" si="226">F50*P50</f>
        <v>-41253300.956899844</v>
      </c>
      <c r="R50">
        <f t="shared" ref="R50" si="227">R51+Q50</f>
        <v>-1025564373.5945523</v>
      </c>
      <c r="S50">
        <f t="shared" ref="S50" si="228">R50/100000</f>
        <v>-10255.643735945523</v>
      </c>
      <c r="T50">
        <f t="shared" ref="T50" si="229">S50/1000</f>
        <v>-10.255643735945522</v>
      </c>
    </row>
    <row r="51" spans="1:20" x14ac:dyDescent="0.25">
      <c r="A51" s="5">
        <v>44542</v>
      </c>
      <c r="B51">
        <v>3.5700000000000003E-2</v>
      </c>
      <c r="C51">
        <v>3.6499999999999998E-2</v>
      </c>
      <c r="D51">
        <v>3.458E-2</v>
      </c>
      <c r="E51">
        <v>3.6130000000000002E-2</v>
      </c>
      <c r="F51">
        <v>33359066.100000001</v>
      </c>
      <c r="G51">
        <v>3.6130000000000002E-2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0.61458333333333781</v>
      </c>
      <c r="Q51">
        <f t="shared" ref="Q51" si="231">F51*P51</f>
        <v>20501926.040625151</v>
      </c>
      <c r="R51">
        <f t="shared" ref="R51" si="232">R52+Q51</f>
        <v>-984311072.6376524</v>
      </c>
      <c r="S51">
        <f t="shared" ref="S51" si="233">R51/100000</f>
        <v>-9843.1107263765243</v>
      </c>
      <c r="T51">
        <f t="shared" ref="T51" si="234">S51/1000</f>
        <v>-9.8431107263765245</v>
      </c>
    </row>
    <row r="52" spans="1:20" x14ac:dyDescent="0.25">
      <c r="A52" s="5">
        <v>44541</v>
      </c>
      <c r="B52">
        <v>3.3700000000000001E-2</v>
      </c>
      <c r="C52">
        <v>3.4139999999999997E-2</v>
      </c>
      <c r="D52">
        <v>3.3029999999999997E-2</v>
      </c>
      <c r="E52">
        <v>3.3930000000000002E-2</v>
      </c>
      <c r="F52">
        <v>6396594.4000000004</v>
      </c>
      <c r="G52">
        <v>3.3930000000000002E-2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0.6216216216216307</v>
      </c>
      <c r="Q52">
        <f t="shared" ref="Q52" si="236">F52*P52</f>
        <v>3976261.383783842</v>
      </c>
      <c r="R52">
        <f t="shared" ref="R52" si="237">R53+Q52</f>
        <v>-1004812998.6782775</v>
      </c>
      <c r="S52">
        <f t="shared" ref="S52" si="238">R52/100000</f>
        <v>-10048.129986782775</v>
      </c>
      <c r="T52">
        <f t="shared" ref="T52" si="239">S52/1000</f>
        <v>-10.048129986782774</v>
      </c>
    </row>
    <row r="53" spans="1:20" x14ac:dyDescent="0.25">
      <c r="A53" s="5">
        <v>44540</v>
      </c>
      <c r="B53">
        <v>3.5310000000000001E-2</v>
      </c>
      <c r="C53">
        <v>3.6810000000000002E-2</v>
      </c>
      <c r="D53">
        <v>3.3619999999999997E-2</v>
      </c>
      <c r="E53">
        <v>3.3709999999999997E-2</v>
      </c>
      <c r="F53">
        <v>53165289</v>
      </c>
      <c r="G53">
        <v>3.3709999999999997E-2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-0.94357366771159901</v>
      </c>
      <c r="Q53">
        <f t="shared" ref="Q53" si="241">F53*P53</f>
        <v>-50165366.736677133</v>
      </c>
      <c r="R53">
        <f t="shared" ref="R53" si="242">R54+Q53</f>
        <v>-1008789260.0620613</v>
      </c>
      <c r="S53">
        <f t="shared" ref="S53" si="243">R53/100000</f>
        <v>-10087.892600620613</v>
      </c>
      <c r="T53">
        <f t="shared" ref="T53" si="244">S53/1000</f>
        <v>-10.087892600620613</v>
      </c>
    </row>
    <row r="54" spans="1:20" x14ac:dyDescent="0.25">
      <c r="A54" s="5">
        <v>44539</v>
      </c>
      <c r="B54">
        <v>3.8789999999999998E-2</v>
      </c>
      <c r="C54">
        <v>3.9350000000000003E-2</v>
      </c>
      <c r="D54">
        <v>3.5110000000000002E-2</v>
      </c>
      <c r="E54">
        <v>3.5349999999999999E-2</v>
      </c>
      <c r="F54">
        <v>90435259.799999997</v>
      </c>
      <c r="G54">
        <v>3.5349999999999999E-2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-0.88679245283019004</v>
      </c>
      <c r="Q54">
        <f t="shared" ref="Q54" si="246">F54*P54</f>
        <v>-80197305.860377476</v>
      </c>
      <c r="R54">
        <f t="shared" ref="R54" si="247">R55+Q54</f>
        <v>-958623893.32538414</v>
      </c>
      <c r="S54">
        <f t="shared" ref="S54" si="248">R54/100000</f>
        <v>-9586.2389332538405</v>
      </c>
      <c r="T54">
        <f t="shared" ref="T54" si="249">S54/1000</f>
        <v>-9.5862389332538402</v>
      </c>
    </row>
    <row r="55" spans="1:20" x14ac:dyDescent="0.25">
      <c r="A55" s="5">
        <v>44538</v>
      </c>
      <c r="B55">
        <v>3.7130000000000003E-2</v>
      </c>
      <c r="C55">
        <v>3.9879999999999999E-2</v>
      </c>
      <c r="D55">
        <v>3.542E-2</v>
      </c>
      <c r="E55">
        <v>3.8739999999999997E-2</v>
      </c>
      <c r="F55">
        <v>159639839</v>
      </c>
      <c r="G55">
        <v>3.8739999999999997E-2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0.48878923766816035</v>
      </c>
      <c r="Q55">
        <f t="shared" ref="Q55" si="251">F55*P55</f>
        <v>78030235.206277847</v>
      </c>
      <c r="R55">
        <f t="shared" ref="R55" si="252">R56+Q55</f>
        <v>-878426587.46500671</v>
      </c>
      <c r="S55">
        <f t="shared" ref="S55" si="253">R55/100000</f>
        <v>-8784.2658746500674</v>
      </c>
      <c r="T55">
        <f t="shared" ref="T55" si="254">S55/1000</f>
        <v>-8.7842658746500675</v>
      </c>
    </row>
    <row r="56" spans="1:20" x14ac:dyDescent="0.25">
      <c r="A56" s="5">
        <v>44537</v>
      </c>
      <c r="B56">
        <v>3.7199999999999997E-2</v>
      </c>
      <c r="C56">
        <v>3.9019999999999999E-2</v>
      </c>
      <c r="D56">
        <v>3.628E-2</v>
      </c>
      <c r="E56">
        <v>3.7159999999999999E-2</v>
      </c>
      <c r="F56">
        <v>110435290</v>
      </c>
      <c r="G56">
        <v>3.7159999999999999E-2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-0.35766423357664306</v>
      </c>
      <c r="Q56">
        <f t="shared" ref="Q56" si="256">F56*P56</f>
        <v>-39498753.357664317</v>
      </c>
      <c r="R56">
        <f t="shared" ref="R56" si="257">R57+Q56</f>
        <v>-956456822.67128456</v>
      </c>
      <c r="S56">
        <f t="shared" ref="S56" si="258">R56/100000</f>
        <v>-9564.568226712845</v>
      </c>
      <c r="T56">
        <f t="shared" ref="T56" si="259">S56/1000</f>
        <v>-9.5645682267128453</v>
      </c>
    </row>
    <row r="57" spans="1:20" x14ac:dyDescent="0.25">
      <c r="A57" s="5">
        <v>44536</v>
      </c>
      <c r="B57">
        <v>3.6859999999999997E-2</v>
      </c>
      <c r="C57">
        <v>3.7659999999999999E-2</v>
      </c>
      <c r="D57">
        <v>3.3500000000000002E-2</v>
      </c>
      <c r="E57">
        <v>3.7229999999999999E-2</v>
      </c>
      <c r="F57">
        <v>119889755</v>
      </c>
      <c r="G57">
        <v>3.7229999999999999E-2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0.79326923076923073</v>
      </c>
      <c r="Q57">
        <f t="shared" ref="Q57" si="261">F57*P57</f>
        <v>95104853.725961536</v>
      </c>
      <c r="R57">
        <f t="shared" ref="R57" si="262">R58+Q57</f>
        <v>-916958069.31362021</v>
      </c>
      <c r="S57">
        <f t="shared" ref="S57" si="263">R57/100000</f>
        <v>-9169.5806931362022</v>
      </c>
      <c r="T57">
        <f t="shared" ref="T57" si="264">S57/1000</f>
        <v>-9.1695806931362025</v>
      </c>
    </row>
    <row r="58" spans="1:20" x14ac:dyDescent="0.25">
      <c r="A58" s="5">
        <v>44535</v>
      </c>
      <c r="B58">
        <v>4.0460000000000003E-2</v>
      </c>
      <c r="C58">
        <v>4.1160000000000002E-2</v>
      </c>
      <c r="D58">
        <v>3.5130000000000002E-2</v>
      </c>
      <c r="E58">
        <v>3.6839999999999998E-2</v>
      </c>
      <c r="F58">
        <v>118729905.7</v>
      </c>
      <c r="G58">
        <v>3.6839999999999998E-2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-0.43283582089552369</v>
      </c>
      <c r="Q58">
        <f t="shared" ref="Q58" si="266">F58*P58</f>
        <v>-51390556.198507622</v>
      </c>
      <c r="R58">
        <f t="shared" ref="R58" si="267">R59+Q58</f>
        <v>-1012062923.0395818</v>
      </c>
      <c r="S58">
        <f t="shared" ref="S58" si="268">R58/100000</f>
        <v>-10120.629230395818</v>
      </c>
      <c r="T58">
        <f t="shared" ref="T58" si="269">S58/1000</f>
        <v>-10.120629230395817</v>
      </c>
    </row>
    <row r="59" spans="1:20" x14ac:dyDescent="0.25">
      <c r="A59" s="5">
        <v>44534</v>
      </c>
      <c r="B59">
        <v>5.2049999999999999E-2</v>
      </c>
      <c r="C59">
        <v>5.2690000000000001E-2</v>
      </c>
      <c r="D59">
        <v>3.049E-2</v>
      </c>
      <c r="E59">
        <v>4.0430000000000001E-2</v>
      </c>
      <c r="F59">
        <v>272031474.19999999</v>
      </c>
      <c r="G59">
        <v>4.0430000000000001E-2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-0.10450450450450446</v>
      </c>
      <c r="Q59">
        <f t="shared" ref="Q59" si="271">F59*P59</f>
        <v>-28428514.420900889</v>
      </c>
      <c r="R59">
        <f t="shared" ref="R59" si="272">R60+Q59</f>
        <v>-960672366.84107411</v>
      </c>
      <c r="S59">
        <f t="shared" ref="S59" si="273">R59/100000</f>
        <v>-9606.7236684107411</v>
      </c>
      <c r="T59">
        <f t="shared" ref="T59" si="274">S59/1000</f>
        <v>-9.6067236684107407</v>
      </c>
    </row>
    <row r="60" spans="1:20" x14ac:dyDescent="0.25">
      <c r="A60" s="5">
        <v>44533</v>
      </c>
      <c r="B60">
        <v>5.0029999999999998E-2</v>
      </c>
      <c r="C60">
        <v>5.858E-2</v>
      </c>
      <c r="D60">
        <v>4.9070000000000003E-2</v>
      </c>
      <c r="E60">
        <v>5.2060000000000002E-2</v>
      </c>
      <c r="F60">
        <v>596137181.79999995</v>
      </c>
      <c r="G60">
        <v>5.2060000000000002E-2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-0.37118822292323861</v>
      </c>
      <c r="Q60">
        <f t="shared" ref="Q60" si="276">F60*P60</f>
        <v>-221279101.13080961</v>
      </c>
      <c r="R60">
        <f t="shared" ref="R60" si="277">R61+Q60</f>
        <v>-932243852.42017317</v>
      </c>
      <c r="S60">
        <f t="shared" ref="S60" si="278">R60/100000</f>
        <v>-9322.4385242017324</v>
      </c>
      <c r="T60">
        <f t="shared" ref="T60" si="279">S60/1000</f>
        <v>-9.3224385242017327</v>
      </c>
    </row>
    <row r="61" spans="1:20" x14ac:dyDescent="0.25">
      <c r="A61" s="5">
        <v>44532</v>
      </c>
      <c r="B61">
        <v>4.7849999999999997E-2</v>
      </c>
      <c r="C61">
        <v>5.0810000000000001E-2</v>
      </c>
      <c r="D61">
        <v>4.5659999999999999E-2</v>
      </c>
      <c r="E61">
        <v>4.9970000000000001E-2</v>
      </c>
      <c r="F61">
        <v>89643253</v>
      </c>
      <c r="G61">
        <v>4.9970000000000001E-2</v>
      </c>
      <c r="L61" t="s">
        <v>7</v>
      </c>
      <c r="M61" t="s">
        <v>8</v>
      </c>
      <c r="N61" t="s">
        <v>8</v>
      </c>
      <c r="P61">
        <f t="shared" ref="P61" si="280">IF(C61=D61,0,((E61-D61)-(C61-E61))/(C61-D61))</f>
        <v>0.67378640776699017</v>
      </c>
      <c r="Q61">
        <f t="shared" ref="Q61" si="281">F61*P61</f>
        <v>60400405.419417463</v>
      </c>
      <c r="R61">
        <f t="shared" ref="R61" si="282">R62+Q61</f>
        <v>-710964751.28936362</v>
      </c>
      <c r="S61">
        <f t="shared" ref="S61" si="283">R61/100000</f>
        <v>-7109.6475128936363</v>
      </c>
      <c r="T61">
        <f t="shared" ref="T61" si="284">S61/1000</f>
        <v>-7.1096475128936367</v>
      </c>
    </row>
    <row r="62" spans="1:20" x14ac:dyDescent="0.25">
      <c r="A62" s="5">
        <v>44531</v>
      </c>
      <c r="B62">
        <v>4.743E-2</v>
      </c>
      <c r="C62">
        <v>5.1389999999999998E-2</v>
      </c>
      <c r="D62">
        <v>4.7129999999999998E-2</v>
      </c>
      <c r="E62">
        <v>4.7870000000000003E-2</v>
      </c>
      <c r="F62">
        <v>95106625.200000003</v>
      </c>
      <c r="G62">
        <v>4.7870000000000003E-2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-0.65258215962441102</v>
      </c>
      <c r="Q62">
        <f t="shared" ref="Q62" si="286">F62*P62</f>
        <v>-62064886.867605433</v>
      </c>
      <c r="R62">
        <f t="shared" ref="R62" si="287">R63+Q62</f>
        <v>-771365156.70878112</v>
      </c>
      <c r="S62">
        <f t="shared" ref="S62" si="288">R62/100000</f>
        <v>-7713.6515670878116</v>
      </c>
      <c r="T62">
        <f t="shared" ref="T62" si="289">S62/1000</f>
        <v>-7.7136515670878119</v>
      </c>
    </row>
    <row r="63" spans="1:20" x14ac:dyDescent="0.25">
      <c r="A63" s="5">
        <v>44530</v>
      </c>
      <c r="B63">
        <v>4.8219999999999999E-2</v>
      </c>
      <c r="C63">
        <v>4.929E-2</v>
      </c>
      <c r="D63">
        <v>4.657E-2</v>
      </c>
      <c r="E63">
        <v>4.7399999999999998E-2</v>
      </c>
      <c r="F63">
        <v>41290346.200000003</v>
      </c>
      <c r="G63">
        <v>4.7399999999999998E-2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-0.38970588235294312</v>
      </c>
      <c r="Q63">
        <f t="shared" ref="Q63" si="291">F63*P63</f>
        <v>-16091090.798529493</v>
      </c>
      <c r="R63">
        <f t="shared" ref="R63" si="292">R64+Q63</f>
        <v>-709300269.84117568</v>
      </c>
      <c r="S63">
        <f t="shared" ref="S63" si="293">R63/100000</f>
        <v>-7093.0026984117567</v>
      </c>
      <c r="T63">
        <f t="shared" ref="T63" si="294">S63/1000</f>
        <v>-7.0930026984117571</v>
      </c>
    </row>
    <row r="64" spans="1:20" x14ac:dyDescent="0.25">
      <c r="A64" s="5">
        <v>44529</v>
      </c>
      <c r="B64">
        <v>4.7960000000000003E-2</v>
      </c>
      <c r="C64">
        <v>0.05</v>
      </c>
      <c r="D64">
        <v>4.7030000000000002E-2</v>
      </c>
      <c r="E64">
        <v>4.8250000000000001E-2</v>
      </c>
      <c r="F64">
        <v>50030232.299999997</v>
      </c>
      <c r="G64">
        <v>4.8250000000000001E-2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-0.17845117845117933</v>
      </c>
      <c r="Q64">
        <f t="shared" ref="Q64" si="296">F64*P64</f>
        <v>-8927953.912121255</v>
      </c>
      <c r="R64">
        <f t="shared" ref="R64" si="297">R65+Q64</f>
        <v>-693209179.04264617</v>
      </c>
      <c r="S64">
        <f t="shared" ref="S64" si="298">R64/100000</f>
        <v>-6932.0917904264616</v>
      </c>
      <c r="T64">
        <f t="shared" ref="T64" si="299">S64/1000</f>
        <v>-6.9320917904264618</v>
      </c>
    </row>
    <row r="65" spans="1:20" x14ac:dyDescent="0.25">
      <c r="A65" s="5">
        <v>44528</v>
      </c>
      <c r="B65">
        <v>4.7750000000000001E-2</v>
      </c>
      <c r="C65">
        <v>4.8219999999999999E-2</v>
      </c>
      <c r="D65">
        <v>4.385E-2</v>
      </c>
      <c r="E65">
        <v>4.7969999999999999E-2</v>
      </c>
      <c r="F65">
        <v>77904619.299999997</v>
      </c>
      <c r="G65">
        <v>4.7969999999999999E-2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0.88558352402745988</v>
      </c>
      <c r="Q65">
        <f t="shared" ref="Q65" si="301">F65*P65</f>
        <v>68991047.297711655</v>
      </c>
      <c r="R65">
        <f t="shared" ref="R65" si="302">R66+Q65</f>
        <v>-684281225.13052487</v>
      </c>
      <c r="S65">
        <f t="shared" ref="S65" si="303">R65/100000</f>
        <v>-6842.8122513052485</v>
      </c>
      <c r="T65">
        <f t="shared" ref="T65" si="304">S65/1000</f>
        <v>-6.8428122513052489</v>
      </c>
    </row>
    <row r="66" spans="1:20" x14ac:dyDescent="0.25">
      <c r="A66" s="5">
        <v>44527</v>
      </c>
      <c r="B66">
        <v>4.734E-2</v>
      </c>
      <c r="C66">
        <v>0.05</v>
      </c>
      <c r="D66">
        <v>4.7010000000000003E-2</v>
      </c>
      <c r="E66">
        <v>4.7750000000000001E-2</v>
      </c>
      <c r="F66">
        <v>64980507.299999997</v>
      </c>
      <c r="G66">
        <v>4.7750000000000001E-2</v>
      </c>
      <c r="L66" t="s">
        <v>7</v>
      </c>
      <c r="M66" t="s">
        <v>8</v>
      </c>
      <c r="N66" t="s">
        <v>8</v>
      </c>
      <c r="P66">
        <f t="shared" ref="P66" si="305">IF(C66=D66,0,((E66-D66)-(C66-E66))/(C66-D66))</f>
        <v>-0.50501672240802831</v>
      </c>
      <c r="Q66">
        <f t="shared" ref="Q66" si="306">F66*P66</f>
        <v>-32816242.817056954</v>
      </c>
      <c r="R66">
        <f t="shared" ref="R66" si="307">R67+Q66</f>
        <v>-753272272.42823648</v>
      </c>
      <c r="S66">
        <f t="shared" ref="S66" si="308">R66/100000</f>
        <v>-7532.7227242823647</v>
      </c>
      <c r="T66">
        <f t="shared" ref="T66" si="309">S66/1000</f>
        <v>-7.5327227242823644</v>
      </c>
    </row>
    <row r="67" spans="1:20" x14ac:dyDescent="0.25">
      <c r="A67" s="5">
        <v>44526</v>
      </c>
      <c r="B67">
        <v>5.3370000000000001E-2</v>
      </c>
      <c r="C67">
        <v>5.4109999999999998E-2</v>
      </c>
      <c r="D67">
        <v>4.6629999999999998E-2</v>
      </c>
      <c r="E67">
        <v>4.7359999999999999E-2</v>
      </c>
      <c r="F67">
        <v>94661678</v>
      </c>
      <c r="G67">
        <v>4.7359999999999999E-2</v>
      </c>
      <c r="L67" t="s">
        <v>7</v>
      </c>
      <c r="M67" t="s">
        <v>8</v>
      </c>
      <c r="N67" t="s">
        <v>8</v>
      </c>
      <c r="P67">
        <f t="shared" ref="P67" si="310">IF(C67=D67,0,((E67-D67)-(C67-E67))/(C67-D67))</f>
        <v>-0.80481283422459859</v>
      </c>
      <c r="Q67">
        <f t="shared" ref="Q67" si="311">F67*P67</f>
        <v>-76184933.36363633</v>
      </c>
      <c r="R67">
        <f t="shared" ref="R67" si="312">R68+Q67</f>
        <v>-720456029.61117947</v>
      </c>
      <c r="S67">
        <f t="shared" ref="S67" si="313">R67/100000</f>
        <v>-7204.5602961117947</v>
      </c>
      <c r="T67">
        <f t="shared" ref="T67" si="314">S67/1000</f>
        <v>-7.2045602961117945</v>
      </c>
    </row>
    <row r="68" spans="1:20" x14ac:dyDescent="0.25">
      <c r="A68" s="5">
        <v>44525</v>
      </c>
      <c r="B68">
        <v>5.1990000000000001E-2</v>
      </c>
      <c r="C68">
        <v>5.3940000000000002E-2</v>
      </c>
      <c r="D68">
        <v>5.1380000000000002E-2</v>
      </c>
      <c r="E68">
        <v>5.3289999999999997E-2</v>
      </c>
      <c r="F68">
        <v>61391001.5</v>
      </c>
      <c r="G68">
        <v>5.3289999999999997E-2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0.49218749999999623</v>
      </c>
      <c r="Q68">
        <f t="shared" ref="Q68" si="316">F68*P68</f>
        <v>30215883.550781019</v>
      </c>
      <c r="R68">
        <f t="shared" ref="R68" si="317">R69+Q68</f>
        <v>-644271096.2475431</v>
      </c>
      <c r="S68">
        <f t="shared" ref="S68" si="318">R68/100000</f>
        <v>-6442.7109624754312</v>
      </c>
      <c r="T68">
        <f t="shared" ref="T68" si="319">S68/1000</f>
        <v>-6.4427109624754308</v>
      </c>
    </row>
    <row r="69" spans="1:20" x14ac:dyDescent="0.25">
      <c r="A69" s="5">
        <v>44524</v>
      </c>
      <c r="B69">
        <v>5.3530000000000001E-2</v>
      </c>
      <c r="C69">
        <v>5.4109999999999998E-2</v>
      </c>
      <c r="D69">
        <v>5.185E-2</v>
      </c>
      <c r="E69">
        <v>5.2749999999999998E-2</v>
      </c>
      <c r="F69">
        <v>25015793.699999999</v>
      </c>
      <c r="G69">
        <v>5.2749999999999998E-2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-0.20353982300885065</v>
      </c>
      <c r="Q69">
        <f t="shared" ref="Q69" si="321">F69*P69</f>
        <v>-5091710.2221239209</v>
      </c>
      <c r="R69">
        <f t="shared" ref="R69" si="322">R70+Q69</f>
        <v>-674486979.79832411</v>
      </c>
      <c r="S69">
        <f t="shared" ref="S69" si="323">R69/100000</f>
        <v>-6744.8697979832414</v>
      </c>
      <c r="T69">
        <f t="shared" ref="T69" si="324">S69/1000</f>
        <v>-6.7448697979832417</v>
      </c>
    </row>
    <row r="70" spans="1:20" x14ac:dyDescent="0.25">
      <c r="A70" s="5">
        <v>44523</v>
      </c>
      <c r="B70">
        <v>5.2389999999999999E-2</v>
      </c>
      <c r="C70">
        <v>5.4809999999999998E-2</v>
      </c>
      <c r="D70">
        <v>5.0810000000000001E-2</v>
      </c>
      <c r="E70">
        <v>5.3510000000000002E-2</v>
      </c>
      <c r="F70">
        <v>107715833</v>
      </c>
      <c r="G70">
        <v>5.3510000000000002E-2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0.35000000000000164</v>
      </c>
      <c r="Q70">
        <f t="shared" ref="Q70" si="326">F70*P70</f>
        <v>37700541.550000176</v>
      </c>
      <c r="R70">
        <f t="shared" ref="R70" si="327">R71+Q70</f>
        <v>-669395269.57620025</v>
      </c>
      <c r="S70">
        <f t="shared" ref="S70" si="328">R70/100000</f>
        <v>-6693.9526957620028</v>
      </c>
      <c r="T70">
        <f t="shared" ref="T70" si="329">S70/1000</f>
        <v>-6.693952695762003</v>
      </c>
    </row>
    <row r="71" spans="1:20" x14ac:dyDescent="0.25">
      <c r="A71" s="5">
        <v>44522</v>
      </c>
      <c r="B71">
        <v>4.929E-2</v>
      </c>
      <c r="C71">
        <v>5.5E-2</v>
      </c>
      <c r="D71">
        <v>4.7109999999999999E-2</v>
      </c>
      <c r="E71">
        <v>5.2389999999999999E-2</v>
      </c>
      <c r="F71">
        <v>302740773.60000002</v>
      </c>
      <c r="G71">
        <v>5.2389999999999999E-2</v>
      </c>
      <c r="L71" t="s">
        <v>8</v>
      </c>
      <c r="M71" t="s">
        <v>8</v>
      </c>
      <c r="N71" t="s">
        <v>8</v>
      </c>
      <c r="P71">
        <f t="shared" ref="P71" si="330">IF(C71=D71,0,((E71-D71)-(C71-E71))/(C71-D71))</f>
        <v>0.33840304182509484</v>
      </c>
      <c r="Q71">
        <f t="shared" ref="Q71" si="331">F71*P71</f>
        <v>102448398.67072238</v>
      </c>
      <c r="R71">
        <f t="shared" ref="R71" si="332">R72+Q71</f>
        <v>-707095811.12620044</v>
      </c>
      <c r="S71">
        <f t="shared" ref="S71" si="333">R71/100000</f>
        <v>-7070.9581112620044</v>
      </c>
      <c r="T71">
        <f t="shared" ref="T71" si="334">S71/1000</f>
        <v>-7.0709581112620041</v>
      </c>
    </row>
    <row r="72" spans="1:20" x14ac:dyDescent="0.25">
      <c r="A72" s="5">
        <v>44521</v>
      </c>
      <c r="B72">
        <v>4.9529999999999998E-2</v>
      </c>
      <c r="C72">
        <v>5.1920000000000001E-2</v>
      </c>
      <c r="D72">
        <v>4.888E-2</v>
      </c>
      <c r="E72">
        <v>4.9320000000000003E-2</v>
      </c>
      <c r="F72">
        <v>135223929.69999999</v>
      </c>
      <c r="G72">
        <v>4.9320000000000003E-2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-0.7105263157894719</v>
      </c>
      <c r="Q72">
        <f t="shared" ref="Q72" si="336">F72*P72</f>
        <v>-96080160.576315537</v>
      </c>
      <c r="R72">
        <f t="shared" ref="R72" si="337">R73+Q72</f>
        <v>-809544209.7969228</v>
      </c>
      <c r="S72">
        <f t="shared" ref="S72" si="338">R72/100000</f>
        <v>-8095.4420979692277</v>
      </c>
      <c r="T72">
        <f t="shared" ref="T72" si="339">S72/1000</f>
        <v>-8.0954420979692276</v>
      </c>
    </row>
    <row r="73" spans="1:20" x14ac:dyDescent="0.25">
      <c r="A73" s="5">
        <v>44520</v>
      </c>
      <c r="B73">
        <v>4.7969999999999999E-2</v>
      </c>
      <c r="C73">
        <v>5.0959999999999998E-2</v>
      </c>
      <c r="D73">
        <v>4.7050000000000002E-2</v>
      </c>
      <c r="E73">
        <v>4.9549999999999997E-2</v>
      </c>
      <c r="F73">
        <v>64647250.700000003</v>
      </c>
      <c r="G73">
        <v>4.9549999999999997E-2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0.27877237851662268</v>
      </c>
      <c r="Q73">
        <f t="shared" ref="Q73" si="341">F73*P73</f>
        <v>18021867.8421994</v>
      </c>
      <c r="R73">
        <f t="shared" ref="R73" si="342">R74+Q73</f>
        <v>-713464049.22060728</v>
      </c>
      <c r="S73">
        <f t="shared" ref="S73" si="343">R73/100000</f>
        <v>-7134.6404922060728</v>
      </c>
      <c r="T73">
        <f t="shared" ref="T73" si="344">S73/1000</f>
        <v>-7.1346404922060724</v>
      </c>
    </row>
    <row r="74" spans="1:20" x14ac:dyDescent="0.25">
      <c r="A74" s="5">
        <v>44519</v>
      </c>
      <c r="B74">
        <v>4.5670000000000002E-2</v>
      </c>
      <c r="C74">
        <v>4.8809999999999999E-2</v>
      </c>
      <c r="D74">
        <v>4.5339999999999998E-2</v>
      </c>
      <c r="E74">
        <v>4.7910000000000001E-2</v>
      </c>
      <c r="F74">
        <v>45963203.899999999</v>
      </c>
      <c r="G74">
        <v>4.7910000000000001E-2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0.4812680115273788</v>
      </c>
      <c r="Q74">
        <f t="shared" ref="Q74" si="346">F74*P74</f>
        <v>22120619.744380463</v>
      </c>
      <c r="R74">
        <f t="shared" ref="R74" si="347">R75+Q74</f>
        <v>-731485917.06280673</v>
      </c>
      <c r="S74">
        <f t="shared" ref="S74" si="348">R74/100000</f>
        <v>-7314.8591706280677</v>
      </c>
      <c r="T74">
        <f t="shared" ref="T74" si="349">S74/1000</f>
        <v>-7.3148591706280675</v>
      </c>
    </row>
    <row r="75" spans="1:20" x14ac:dyDescent="0.25">
      <c r="A75" s="5">
        <v>44518</v>
      </c>
      <c r="B75">
        <v>4.965E-2</v>
      </c>
      <c r="C75">
        <v>5.0099999999999999E-2</v>
      </c>
      <c r="D75">
        <v>4.453E-2</v>
      </c>
      <c r="E75">
        <v>4.5670000000000002E-2</v>
      </c>
      <c r="F75">
        <v>73665681.099999994</v>
      </c>
      <c r="G75">
        <v>4.5670000000000002E-2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-0.59066427289048384</v>
      </c>
      <c r="Q75">
        <f t="shared" ref="Q75" si="351">F75*P75</f>
        <v>-43511685.963913754</v>
      </c>
      <c r="R75">
        <f t="shared" ref="R75" si="352">R76+Q75</f>
        <v>-753606536.8071872</v>
      </c>
      <c r="S75">
        <f t="shared" ref="S75" si="353">R75/100000</f>
        <v>-7536.0653680718724</v>
      </c>
      <c r="T75">
        <f t="shared" ref="T75" si="354">S75/1000</f>
        <v>-7.5360653680718723</v>
      </c>
    </row>
    <row r="76" spans="1:20" x14ac:dyDescent="0.25">
      <c r="A76" s="5">
        <v>44517</v>
      </c>
      <c r="B76">
        <v>5.1479999999999998E-2</v>
      </c>
      <c r="C76">
        <v>5.1920000000000001E-2</v>
      </c>
      <c r="D76">
        <v>4.9009999999999998E-2</v>
      </c>
      <c r="E76">
        <v>4.9639999999999997E-2</v>
      </c>
      <c r="F76">
        <v>59374958.899999999</v>
      </c>
      <c r="G76">
        <v>4.9639999999999997E-2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-0.56701030927835194</v>
      </c>
      <c r="Q76">
        <f t="shared" ref="Q76" si="356">F76*P76</f>
        <v>-33666213.809278436</v>
      </c>
      <c r="R76">
        <f t="shared" ref="R76" si="357">R77+Q76</f>
        <v>-710094850.8432734</v>
      </c>
      <c r="S76">
        <f t="shared" ref="S76" si="358">R76/100000</f>
        <v>-7100.9485084327343</v>
      </c>
      <c r="T76">
        <f t="shared" ref="T76" si="359">S76/1000</f>
        <v>-7.100948508432734</v>
      </c>
    </row>
    <row r="77" spans="1:20" x14ac:dyDescent="0.25">
      <c r="A77" s="5">
        <v>44516</v>
      </c>
      <c r="B77">
        <v>5.7979999999999997E-2</v>
      </c>
      <c r="C77">
        <v>5.8040000000000001E-2</v>
      </c>
      <c r="D77">
        <v>4.9200000000000001E-2</v>
      </c>
      <c r="E77">
        <v>5.1389999999999998E-2</v>
      </c>
      <c r="F77">
        <v>104314699</v>
      </c>
      <c r="G77">
        <v>5.1389999999999998E-2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-0.5045248868778287</v>
      </c>
      <c r="Q77">
        <f t="shared" ref="Q77" si="361">F77*P77</f>
        <v>-52629361.712669753</v>
      </c>
      <c r="R77">
        <f t="shared" ref="R77" si="362">R78+Q77</f>
        <v>-676428637.03399491</v>
      </c>
      <c r="S77">
        <f t="shared" ref="S77" si="363">R77/100000</f>
        <v>-6764.2863703399489</v>
      </c>
      <c r="T77">
        <f t="shared" ref="T77" si="364">S77/1000</f>
        <v>-6.7642863703399492</v>
      </c>
    </row>
    <row r="78" spans="1:20" x14ac:dyDescent="0.25">
      <c r="A78" s="5">
        <v>44515</v>
      </c>
      <c r="B78">
        <v>6.0389999999999999E-2</v>
      </c>
      <c r="C78">
        <v>6.2600000000000003E-2</v>
      </c>
      <c r="D78">
        <v>5.774E-2</v>
      </c>
      <c r="E78">
        <v>5.8009999999999999E-2</v>
      </c>
      <c r="F78">
        <v>117313199.40000001</v>
      </c>
      <c r="G78">
        <v>5.8009999999999999E-2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-0.88888888888888917</v>
      </c>
      <c r="Q78">
        <f t="shared" ref="Q78" si="366">F78*P78</f>
        <v>-104278399.4666667</v>
      </c>
      <c r="R78">
        <f t="shared" ref="R78" si="367">R79+Q78</f>
        <v>-623799275.32132518</v>
      </c>
      <c r="S78">
        <f t="shared" ref="S78" si="368">R78/100000</f>
        <v>-6237.9927532132515</v>
      </c>
      <c r="T78">
        <f t="shared" ref="T78" si="369">S78/1000</f>
        <v>-6.2379927532132511</v>
      </c>
    </row>
    <row r="79" spans="1:20" x14ac:dyDescent="0.25">
      <c r="A79" s="5">
        <v>44514</v>
      </c>
      <c r="B79">
        <v>5.8479999999999997E-2</v>
      </c>
      <c r="C79">
        <v>6.2E-2</v>
      </c>
      <c r="D79">
        <v>5.7020000000000001E-2</v>
      </c>
      <c r="E79">
        <v>6.0359999999999997E-2</v>
      </c>
      <c r="F79">
        <v>157307369.90000001</v>
      </c>
      <c r="G79">
        <v>6.0359999999999997E-2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0.34136546184738831</v>
      </c>
      <c r="Q79">
        <f t="shared" ref="Q79" si="371">F79*P79</f>
        <v>53699302.97791145</v>
      </c>
      <c r="R79">
        <f t="shared" ref="R79" si="372">R80+Q79</f>
        <v>-519520875.85465848</v>
      </c>
      <c r="S79">
        <f t="shared" ref="S79" si="373">R79/100000</f>
        <v>-5195.2087585465852</v>
      </c>
      <c r="T79">
        <f t="shared" ref="T79" si="374">S79/1000</f>
        <v>-5.1952087585465856</v>
      </c>
    </row>
    <row r="80" spans="1:20" x14ac:dyDescent="0.25">
      <c r="A80" s="5">
        <v>44513</v>
      </c>
      <c r="B80">
        <v>5.3039999999999997E-2</v>
      </c>
      <c r="C80">
        <v>0.06</v>
      </c>
      <c r="D80">
        <v>5.2839999999999998E-2</v>
      </c>
      <c r="E80">
        <v>5.8560000000000001E-2</v>
      </c>
      <c r="F80">
        <v>222342146.69999999</v>
      </c>
      <c r="G80">
        <v>5.8560000000000001E-2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0.59776536312849249</v>
      </c>
      <c r="Q80">
        <f t="shared" ref="Q80" si="376">F80*P80</f>
        <v>132908434.06089404</v>
      </c>
      <c r="R80">
        <f t="shared" ref="R80" si="377">R81+Q80</f>
        <v>-573220178.83256996</v>
      </c>
      <c r="S80">
        <f t="shared" ref="S80" si="378">R80/100000</f>
        <v>-5732.2017883256995</v>
      </c>
      <c r="T80">
        <f t="shared" ref="T80" si="379">S80/1000</f>
        <v>-5.7322017883256997</v>
      </c>
    </row>
    <row r="81" spans="1:20" x14ac:dyDescent="0.25">
      <c r="A81" s="5">
        <v>44512</v>
      </c>
      <c r="B81">
        <v>5.5509999999999997E-2</v>
      </c>
      <c r="C81">
        <v>5.8790000000000002E-2</v>
      </c>
      <c r="D81">
        <v>5.058E-2</v>
      </c>
      <c r="E81">
        <v>5.3159999999999999E-2</v>
      </c>
      <c r="F81">
        <v>139639243.09999999</v>
      </c>
      <c r="G81">
        <v>5.3159999999999999E-2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-0.37149817295980553</v>
      </c>
      <c r="Q81">
        <f t="shared" ref="Q81" si="381">F81*P81</f>
        <v>-51875723.685140125</v>
      </c>
      <c r="R81">
        <f t="shared" ref="R81" si="382">R82+Q81</f>
        <v>-706128612.89346397</v>
      </c>
      <c r="S81">
        <f t="shared" ref="S81" si="383">R81/100000</f>
        <v>-7061.2861289346401</v>
      </c>
      <c r="T81">
        <f t="shared" ref="T81" si="384">S81/1000</f>
        <v>-7.0612861289346398</v>
      </c>
    </row>
    <row r="82" spans="1:20" x14ac:dyDescent="0.25">
      <c r="A82" s="5">
        <v>44511</v>
      </c>
      <c r="B82">
        <v>4.8379999999999999E-2</v>
      </c>
      <c r="C82">
        <v>5.8639999999999998E-2</v>
      </c>
      <c r="D82">
        <v>4.7579999999999997E-2</v>
      </c>
      <c r="E82">
        <v>5.5460000000000002E-2</v>
      </c>
      <c r="F82">
        <v>381189515.89999998</v>
      </c>
      <c r="G82">
        <v>5.5460000000000002E-2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0.42495479204340048</v>
      </c>
      <c r="Q82">
        <f t="shared" ref="Q82" si="386">F82*P82</f>
        <v>161988311.45840898</v>
      </c>
      <c r="R82">
        <f t="shared" ref="R82" si="387">R83+Q82</f>
        <v>-654252889.20832384</v>
      </c>
      <c r="S82">
        <f t="shared" ref="S82" si="388">R82/100000</f>
        <v>-6542.5288920832381</v>
      </c>
      <c r="T82">
        <f t="shared" ref="T82" si="389">S82/1000</f>
        <v>-6.5425288920832383</v>
      </c>
    </row>
    <row r="83" spans="1:20" x14ac:dyDescent="0.25">
      <c r="A83" s="5">
        <v>44510</v>
      </c>
      <c r="B83">
        <v>5.3069999999999999E-2</v>
      </c>
      <c r="C83">
        <v>5.3879999999999997E-2</v>
      </c>
      <c r="D83">
        <v>4.4999999999999998E-2</v>
      </c>
      <c r="E83">
        <v>4.8410000000000002E-2</v>
      </c>
      <c r="F83">
        <v>75481253.400000006</v>
      </c>
      <c r="G83">
        <v>4.8410000000000002E-2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-0.23198198198198114</v>
      </c>
      <c r="Q83">
        <f t="shared" ref="Q83" si="391">F83*P83</f>
        <v>-17510290.766216155</v>
      </c>
      <c r="R83">
        <f t="shared" ref="R83" si="392">R84+Q83</f>
        <v>-816241200.66673279</v>
      </c>
      <c r="S83">
        <f t="shared" ref="S83" si="393">R83/100000</f>
        <v>-8162.4120066673277</v>
      </c>
      <c r="T83">
        <f t="shared" ref="T83" si="394">S83/1000</f>
        <v>-8.1624120066673278</v>
      </c>
    </row>
    <row r="84" spans="1:20" x14ac:dyDescent="0.25">
      <c r="A84" s="5">
        <v>44509</v>
      </c>
      <c r="B84">
        <v>5.3190000000000001E-2</v>
      </c>
      <c r="C84">
        <v>5.509E-2</v>
      </c>
      <c r="D84">
        <v>5.1999999999999998E-2</v>
      </c>
      <c r="E84">
        <v>5.2979999999999999E-2</v>
      </c>
      <c r="F84">
        <v>72623829.599999994</v>
      </c>
      <c r="G84">
        <v>5.2979999999999999E-2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-0.36569579288025833</v>
      </c>
      <c r="Q84">
        <f t="shared" ref="Q84" si="396">F84*P84</f>
        <v>-26558228.947572771</v>
      </c>
      <c r="R84">
        <f t="shared" ref="R84" si="397">R85+Q84</f>
        <v>-798730909.90051663</v>
      </c>
      <c r="S84">
        <f t="shared" ref="S84" si="398">R84/100000</f>
        <v>-7987.309099005166</v>
      </c>
      <c r="T84">
        <f t="shared" ref="T84" si="399">S84/1000</f>
        <v>-7.9873090990051656</v>
      </c>
    </row>
    <row r="85" spans="1:20" x14ac:dyDescent="0.25">
      <c r="A85" s="5">
        <v>44508</v>
      </c>
      <c r="B85">
        <v>5.1299999999999998E-2</v>
      </c>
      <c r="C85">
        <v>5.3749999999999999E-2</v>
      </c>
      <c r="D85">
        <v>5.0659999999999997E-2</v>
      </c>
      <c r="E85">
        <v>5.3199999999999997E-2</v>
      </c>
      <c r="F85">
        <v>80710274.200000003</v>
      </c>
      <c r="G85">
        <v>5.3199999999999997E-2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0.64401294498381789</v>
      </c>
      <c r="Q85">
        <f t="shared" ref="Q85" si="401">F85*P85</f>
        <v>51978461.377993457</v>
      </c>
      <c r="R85">
        <f t="shared" ref="R85" si="402">R86+Q85</f>
        <v>-772172680.9529438</v>
      </c>
      <c r="S85">
        <f t="shared" ref="S85" si="403">R85/100000</f>
        <v>-7721.7268095294385</v>
      </c>
      <c r="T85">
        <f t="shared" ref="T85" si="404">S85/1000</f>
        <v>-7.7217268095294385</v>
      </c>
    </row>
    <row r="86" spans="1:20" x14ac:dyDescent="0.25">
      <c r="A86" s="5">
        <v>44507</v>
      </c>
      <c r="B86">
        <v>5.0610000000000002E-2</v>
      </c>
      <c r="C86">
        <v>5.3969999999999997E-2</v>
      </c>
      <c r="D86">
        <v>5.0029999999999998E-2</v>
      </c>
      <c r="E86">
        <v>5.1319999999999998E-2</v>
      </c>
      <c r="F86">
        <v>162064060.30000001</v>
      </c>
      <c r="G86">
        <v>5.1319999999999998E-2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-0.34517766497461938</v>
      </c>
      <c r="Q86">
        <f t="shared" ref="Q86" si="406">F86*P86</f>
        <v>-55940893.910659917</v>
      </c>
      <c r="R86">
        <f t="shared" ref="R86" si="407">R87+Q86</f>
        <v>-824151142.33093727</v>
      </c>
      <c r="S86">
        <f t="shared" ref="S86" si="408">R86/100000</f>
        <v>-8241.5114233093718</v>
      </c>
      <c r="T86">
        <f t="shared" ref="T86" si="409">S86/1000</f>
        <v>-8.2415114233093725</v>
      </c>
    </row>
    <row r="87" spans="1:20" x14ac:dyDescent="0.25">
      <c r="A87" s="5">
        <v>44506</v>
      </c>
      <c r="B87">
        <v>4.9320000000000003E-2</v>
      </c>
      <c r="C87">
        <v>5.2499999999999998E-2</v>
      </c>
      <c r="D87">
        <v>4.777E-2</v>
      </c>
      <c r="E87">
        <v>5.0709999999999998E-2</v>
      </c>
      <c r="F87">
        <v>86548745.799999997</v>
      </c>
      <c r="G87">
        <v>5.0709999999999998E-2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0.24312896405919635</v>
      </c>
      <c r="Q87">
        <f t="shared" ref="Q87" si="411">F87*P87</f>
        <v>21042506.906976718</v>
      </c>
      <c r="R87">
        <f t="shared" ref="R87" si="412">R88+Q87</f>
        <v>-768210248.42027736</v>
      </c>
      <c r="S87">
        <f t="shared" ref="S87" si="413">R87/100000</f>
        <v>-7682.1024842027737</v>
      </c>
      <c r="T87">
        <f t="shared" ref="T87" si="414">S87/1000</f>
        <v>-7.6821024842027734</v>
      </c>
    </row>
    <row r="88" spans="1:20" x14ac:dyDescent="0.25">
      <c r="A88" s="5">
        <v>44505</v>
      </c>
      <c r="B88">
        <v>4.9880000000000001E-2</v>
      </c>
      <c r="C88">
        <v>5.0529999999999999E-2</v>
      </c>
      <c r="D88">
        <v>4.8599999999999997E-2</v>
      </c>
      <c r="E88">
        <v>4.9340000000000002E-2</v>
      </c>
      <c r="F88">
        <v>74569390.099999994</v>
      </c>
      <c r="G88">
        <v>4.9340000000000002E-2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-0.23316062176165378</v>
      </c>
      <c r="Q88">
        <f t="shared" ref="Q88" si="416">F88*P88</f>
        <v>-17386645.360103309</v>
      </c>
      <c r="R88">
        <f t="shared" ref="R88" si="417">R89+Q88</f>
        <v>-789252755.32725406</v>
      </c>
      <c r="S88">
        <f t="shared" ref="S88" si="418">R88/100000</f>
        <v>-7892.5275532725409</v>
      </c>
      <c r="T88">
        <f t="shared" ref="T88" si="419">S88/1000</f>
        <v>-7.892527553272541</v>
      </c>
    </row>
    <row r="89" spans="1:20" x14ac:dyDescent="0.25">
      <c r="A89" s="5">
        <v>44504</v>
      </c>
      <c r="B89">
        <v>5.2589999999999998E-2</v>
      </c>
      <c r="C89">
        <v>5.3350000000000002E-2</v>
      </c>
      <c r="D89">
        <v>4.8710000000000003E-2</v>
      </c>
      <c r="E89">
        <v>4.9910000000000003E-2</v>
      </c>
      <c r="F89">
        <v>73028559.200000003</v>
      </c>
      <c r="G89">
        <v>4.9910000000000003E-2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-0.48275862068965514</v>
      </c>
      <c r="Q89">
        <f t="shared" ref="Q89" si="421">F89*P89</f>
        <v>-35255166.510344826</v>
      </c>
      <c r="R89">
        <f t="shared" ref="R89" si="422">R90+Q89</f>
        <v>-771866109.96715069</v>
      </c>
      <c r="S89">
        <f t="shared" ref="S89" si="423">R89/100000</f>
        <v>-7718.6610996715071</v>
      </c>
      <c r="T89">
        <f t="shared" ref="T89" si="424">S89/1000</f>
        <v>-7.7186610996715075</v>
      </c>
    </row>
    <row r="90" spans="1:20" x14ac:dyDescent="0.25">
      <c r="A90" s="5">
        <v>44503</v>
      </c>
      <c r="B90">
        <v>5.4859999999999999E-2</v>
      </c>
      <c r="C90">
        <v>5.6430000000000001E-2</v>
      </c>
      <c r="D90">
        <v>5.1740000000000001E-2</v>
      </c>
      <c r="E90">
        <v>5.2589999999999998E-2</v>
      </c>
      <c r="F90">
        <v>76687346.099999994</v>
      </c>
      <c r="G90">
        <v>5.2589999999999998E-2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-0.637526652452027</v>
      </c>
      <c r="Q90">
        <f t="shared" ref="Q90" si="426">F90*P90</f>
        <v>-48890227.044563003</v>
      </c>
      <c r="R90">
        <f t="shared" ref="R90" si="427">R91+Q90</f>
        <v>-736610943.45680583</v>
      </c>
      <c r="S90">
        <f t="shared" ref="S90" si="428">R90/100000</f>
        <v>-7366.1094345680585</v>
      </c>
      <c r="T90">
        <f t="shared" ref="T90" si="429">S90/1000</f>
        <v>-7.3661094345680587</v>
      </c>
    </row>
    <row r="91" spans="1:20" x14ac:dyDescent="0.25">
      <c r="A91" s="5">
        <v>44502</v>
      </c>
      <c r="B91">
        <v>5.3179999999999998E-2</v>
      </c>
      <c r="C91">
        <v>5.5E-2</v>
      </c>
      <c r="D91">
        <v>5.2589999999999998E-2</v>
      </c>
      <c r="E91">
        <v>5.4820000000000001E-2</v>
      </c>
      <c r="F91">
        <v>76381839</v>
      </c>
      <c r="G91">
        <v>5.4820000000000001E-2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0.85062240663900468</v>
      </c>
      <c r="Q91">
        <f t="shared" ref="Q91" si="431">F91*P91</f>
        <v>64972103.713692985</v>
      </c>
      <c r="R91">
        <f t="shared" ref="R91" si="432">R92+Q91</f>
        <v>-687720716.41224277</v>
      </c>
      <c r="S91">
        <f t="shared" ref="S91" si="433">R91/100000</f>
        <v>-6877.2071641224275</v>
      </c>
      <c r="T91">
        <f t="shared" ref="T91" si="434">S91/1000</f>
        <v>-6.8772071641224271</v>
      </c>
    </row>
    <row r="92" spans="1:20" x14ac:dyDescent="0.25">
      <c r="A92" s="5">
        <v>44501</v>
      </c>
      <c r="B92">
        <v>5.092E-2</v>
      </c>
      <c r="C92">
        <v>5.5E-2</v>
      </c>
      <c r="D92">
        <v>4.8469999999999999E-2</v>
      </c>
      <c r="E92">
        <v>5.3120000000000001E-2</v>
      </c>
      <c r="F92">
        <v>107178892.2</v>
      </c>
      <c r="G92">
        <v>5.3120000000000001E-2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0.42419601837672299</v>
      </c>
      <c r="Q92">
        <f t="shared" ref="Q92" si="436">F92*P92</f>
        <v>45464859.325268015</v>
      </c>
      <c r="R92">
        <f t="shared" ref="R92" si="437">R93+Q92</f>
        <v>-752692820.12593579</v>
      </c>
      <c r="S92">
        <f t="shared" ref="S92" si="438">R92/100000</f>
        <v>-7526.9282012593576</v>
      </c>
      <c r="T92">
        <f t="shared" ref="T92" si="439">S92/1000</f>
        <v>-7.5269282012593575</v>
      </c>
    </row>
    <row r="93" spans="1:20" x14ac:dyDescent="0.25">
      <c r="A93" s="5">
        <v>44500</v>
      </c>
      <c r="B93">
        <v>4.8750000000000002E-2</v>
      </c>
      <c r="C93">
        <v>5.2780000000000001E-2</v>
      </c>
      <c r="D93">
        <v>4.7509999999999997E-2</v>
      </c>
      <c r="E93">
        <v>5.0909999999999997E-2</v>
      </c>
      <c r="F93">
        <v>92001931.099999994</v>
      </c>
      <c r="G93">
        <v>5.0909999999999997E-2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0.29032258064516042</v>
      </c>
      <c r="Q93">
        <f t="shared" ref="Q93" si="441">F93*P93</f>
        <v>26710238.061290242</v>
      </c>
      <c r="R93">
        <f t="shared" ref="R93" si="442">R94+Q93</f>
        <v>-798157679.45120382</v>
      </c>
      <c r="S93">
        <f t="shared" ref="S93" si="443">R93/100000</f>
        <v>-7981.5767945120378</v>
      </c>
      <c r="T93">
        <f t="shared" ref="T93" si="444">S93/1000</f>
        <v>-7.9815767945120379</v>
      </c>
    </row>
    <row r="94" spans="1:20" x14ac:dyDescent="0.25">
      <c r="A94" s="5">
        <v>44499</v>
      </c>
      <c r="B94">
        <v>4.6969999999999998E-2</v>
      </c>
      <c r="C94">
        <v>4.8840000000000001E-2</v>
      </c>
      <c r="D94">
        <v>4.5920000000000002E-2</v>
      </c>
      <c r="E94">
        <v>4.8750000000000002E-2</v>
      </c>
      <c r="F94">
        <v>49589305.299999997</v>
      </c>
      <c r="G94">
        <v>4.8750000000000002E-2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0.93835616438356173</v>
      </c>
      <c r="Q94">
        <f t="shared" ref="Q94" si="446">F94*P94</f>
        <v>46532430.315753423</v>
      </c>
      <c r="R94">
        <f t="shared" ref="R94" si="447">R95+Q94</f>
        <v>-824867917.51249409</v>
      </c>
      <c r="S94">
        <f t="shared" ref="S94" si="448">R94/100000</f>
        <v>-8248.6791751249402</v>
      </c>
      <c r="T94">
        <f t="shared" ref="T94" si="449">S94/1000</f>
        <v>-8.2486791751249395</v>
      </c>
    </row>
    <row r="95" spans="1:20" x14ac:dyDescent="0.25">
      <c r="A95" s="5">
        <v>44498</v>
      </c>
      <c r="B95">
        <v>4.539E-2</v>
      </c>
      <c r="C95">
        <v>4.7870000000000003E-2</v>
      </c>
      <c r="D95">
        <v>4.53E-2</v>
      </c>
      <c r="E95">
        <v>4.7070000000000001E-2</v>
      </c>
      <c r="F95">
        <v>50882765.200000003</v>
      </c>
      <c r="G95">
        <v>4.7070000000000001E-2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0.37743190661478504</v>
      </c>
      <c r="Q95">
        <f t="shared" ref="Q95" si="451">F95*P95</f>
        <v>19204779.083268434</v>
      </c>
      <c r="R95">
        <f t="shared" ref="R95" si="452">R96+Q95</f>
        <v>-871400347.82824755</v>
      </c>
      <c r="S95">
        <f t="shared" ref="S95" si="453">R95/100000</f>
        <v>-8714.003478282475</v>
      </c>
      <c r="T95">
        <f t="shared" ref="T95" si="454">S95/1000</f>
        <v>-8.7140034782824749</v>
      </c>
    </row>
    <row r="96" spans="1:20" x14ac:dyDescent="0.25">
      <c r="A96" s="5">
        <v>44497</v>
      </c>
      <c r="B96">
        <v>4.36E-2</v>
      </c>
      <c r="C96">
        <v>4.6300000000000001E-2</v>
      </c>
      <c r="D96">
        <v>4.3049999999999998E-2</v>
      </c>
      <c r="E96">
        <v>4.5370000000000001E-2</v>
      </c>
      <c r="F96">
        <v>60183905.5</v>
      </c>
      <c r="G96">
        <v>4.5370000000000001E-2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0.42769230769230804</v>
      </c>
      <c r="Q96">
        <f t="shared" ref="Q96" si="456">F96*P96</f>
        <v>25740193.429230791</v>
      </c>
      <c r="R96">
        <f t="shared" ref="R96" si="457">R97+Q96</f>
        <v>-890605126.91151595</v>
      </c>
      <c r="S96">
        <f t="shared" ref="S96" si="458">R96/100000</f>
        <v>-8906.0512691151598</v>
      </c>
      <c r="T96">
        <f t="shared" ref="T96" si="459">S96/1000</f>
        <v>-8.9060512691151601</v>
      </c>
    </row>
    <row r="97" spans="1:20" x14ac:dyDescent="0.25">
      <c r="A97" s="5">
        <v>44496</v>
      </c>
      <c r="B97">
        <v>4.9779999999999998E-2</v>
      </c>
      <c r="C97">
        <v>5.169E-2</v>
      </c>
      <c r="D97">
        <v>4.2369999999999998E-2</v>
      </c>
      <c r="E97">
        <v>4.3569999999999998E-2</v>
      </c>
      <c r="F97">
        <v>107766926.09999999</v>
      </c>
      <c r="G97">
        <v>4.3569999999999998E-2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-0.74248927038626622</v>
      </c>
      <c r="Q97">
        <f t="shared" ref="Q97" si="461">F97*P97</f>
        <v>-80015786.331759661</v>
      </c>
      <c r="R97">
        <f t="shared" ref="R97" si="462">R98+Q97</f>
        <v>-916345320.34074676</v>
      </c>
      <c r="S97">
        <f t="shared" ref="S97" si="463">R97/100000</f>
        <v>-9163.4532034074673</v>
      </c>
      <c r="T97">
        <f t="shared" ref="T97" si="464">S97/1000</f>
        <v>-9.1634532034074674</v>
      </c>
    </row>
    <row r="98" spans="1:20" x14ac:dyDescent="0.25">
      <c r="A98" s="5">
        <v>44495</v>
      </c>
      <c r="B98">
        <v>4.9390000000000003E-2</v>
      </c>
      <c r="C98">
        <v>5.1720000000000002E-2</v>
      </c>
      <c r="D98">
        <v>4.8390000000000002E-2</v>
      </c>
      <c r="E98">
        <v>4.9759999999999999E-2</v>
      </c>
      <c r="F98">
        <v>101365154.7</v>
      </c>
      <c r="G98">
        <v>4.9759999999999999E-2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-0.17717717717717935</v>
      </c>
      <c r="Q98">
        <f t="shared" ref="Q98" si="466">F98*P98</f>
        <v>-17959591.973874096</v>
      </c>
      <c r="R98">
        <f t="shared" ref="R98" si="467">R99+Q98</f>
        <v>-836329534.00898707</v>
      </c>
      <c r="S98">
        <f t="shared" ref="S98" si="468">R98/100000</f>
        <v>-8363.2953400898714</v>
      </c>
      <c r="T98">
        <f t="shared" ref="T98" si="469">S98/1000</f>
        <v>-8.3632953400898717</v>
      </c>
    </row>
    <row r="99" spans="1:20" x14ac:dyDescent="0.25">
      <c r="A99" s="5">
        <v>44494</v>
      </c>
      <c r="B99">
        <v>4.761E-2</v>
      </c>
      <c r="C99">
        <v>5.1479999999999998E-2</v>
      </c>
      <c r="D99">
        <v>4.743E-2</v>
      </c>
      <c r="E99">
        <v>4.9410000000000003E-2</v>
      </c>
      <c r="F99">
        <v>69541890</v>
      </c>
      <c r="G99">
        <v>4.9410000000000003E-2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-2.2222222222220471E-2</v>
      </c>
      <c r="Q99">
        <f t="shared" ref="Q99" si="471">F99*P99</f>
        <v>-1545375.3333332115</v>
      </c>
      <c r="R99">
        <f t="shared" ref="R99" si="472">R100+Q99</f>
        <v>-818369942.03511298</v>
      </c>
      <c r="S99">
        <f t="shared" ref="S99" si="473">R99/100000</f>
        <v>-8183.6994203511294</v>
      </c>
      <c r="T99">
        <f t="shared" ref="T99" si="474">S99/1000</f>
        <v>-8.1836994203511289</v>
      </c>
    </row>
    <row r="100" spans="1:20" x14ac:dyDescent="0.25">
      <c r="A100" s="5">
        <v>44493</v>
      </c>
      <c r="B100">
        <v>4.827E-2</v>
      </c>
      <c r="C100">
        <v>4.8619999999999997E-2</v>
      </c>
      <c r="D100">
        <v>4.632E-2</v>
      </c>
      <c r="E100">
        <v>4.7649999999999998E-2</v>
      </c>
      <c r="F100">
        <v>37917861.600000001</v>
      </c>
      <c r="G100">
        <v>4.7649999999999998E-2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0.15652173913043468</v>
      </c>
      <c r="Q100">
        <f t="shared" ref="Q100" si="476">F100*P100</f>
        <v>5934969.6417391272</v>
      </c>
      <c r="R100">
        <f t="shared" ref="R100" si="477">R101+Q100</f>
        <v>-816824566.70177972</v>
      </c>
      <c r="S100">
        <f t="shared" ref="S100" si="478">R100/100000</f>
        <v>-8168.2456670177971</v>
      </c>
      <c r="T100">
        <f t="shared" ref="T100" si="479">S100/1000</f>
        <v>-8.1682456670177963</v>
      </c>
    </row>
    <row r="101" spans="1:20" x14ac:dyDescent="0.25">
      <c r="A101" s="5">
        <v>44492</v>
      </c>
      <c r="B101">
        <v>4.7840000000000001E-2</v>
      </c>
      <c r="C101">
        <v>4.8300000000000003E-2</v>
      </c>
      <c r="D101">
        <v>4.7019999999999999E-2</v>
      </c>
      <c r="E101">
        <v>4.8259999999999997E-2</v>
      </c>
      <c r="F101">
        <v>24079763.600000001</v>
      </c>
      <c r="G101">
        <v>4.8259999999999997E-2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0.9374999999999919</v>
      </c>
      <c r="Q101">
        <f t="shared" ref="Q101" si="481">F101*P101</f>
        <v>22574778.374999806</v>
      </c>
      <c r="R101">
        <f t="shared" ref="R101" si="482">R102+Q101</f>
        <v>-822759536.34351885</v>
      </c>
      <c r="S101">
        <f t="shared" ref="S101" si="483">R101/100000</f>
        <v>-8227.5953634351881</v>
      </c>
      <c r="T101">
        <f t="shared" ref="T101" si="484">S101/1000</f>
        <v>-8.2275953634351886</v>
      </c>
    </row>
    <row r="102" spans="1:20" x14ac:dyDescent="0.25">
      <c r="A102" s="5">
        <v>44491</v>
      </c>
      <c r="B102">
        <v>4.8820000000000002E-2</v>
      </c>
      <c r="C102">
        <v>4.9829999999999999E-2</v>
      </c>
      <c r="D102">
        <v>4.7129999999999998E-2</v>
      </c>
      <c r="E102">
        <v>4.7800000000000002E-2</v>
      </c>
      <c r="F102">
        <v>50923629.600000001</v>
      </c>
      <c r="G102">
        <v>4.7800000000000002E-2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-0.50370370370370099</v>
      </c>
      <c r="Q102">
        <f t="shared" ref="Q102" si="486">F102*P102</f>
        <v>-25650420.835555419</v>
      </c>
      <c r="R102">
        <f t="shared" ref="R102" si="487">R103+Q102</f>
        <v>-845334314.71851861</v>
      </c>
      <c r="S102">
        <f t="shared" ref="S102" si="488">R102/100000</f>
        <v>-8453.3431471851854</v>
      </c>
      <c r="T102">
        <f t="shared" ref="T102" si="489">S102/1000</f>
        <v>-8.4533431471851852</v>
      </c>
    </row>
    <row r="103" spans="1:20" x14ac:dyDescent="0.25">
      <c r="A103" s="5">
        <v>44490</v>
      </c>
      <c r="B103">
        <v>5.0900000000000001E-2</v>
      </c>
      <c r="C103">
        <v>5.2600000000000001E-2</v>
      </c>
      <c r="D103">
        <v>4.854E-2</v>
      </c>
      <c r="E103">
        <v>4.8779999999999997E-2</v>
      </c>
      <c r="F103">
        <v>80772128.900000006</v>
      </c>
      <c r="G103">
        <v>4.8779999999999997E-2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-0.8817733990147798</v>
      </c>
      <c r="Q103">
        <f t="shared" ref="Q103" si="491">F103*P103</f>
        <v>-71222714.645812929</v>
      </c>
      <c r="R103">
        <f t="shared" ref="R103" si="492">R104+Q103</f>
        <v>-819683893.88296318</v>
      </c>
      <c r="S103">
        <f t="shared" ref="S103" si="493">R103/100000</f>
        <v>-8196.8389388296309</v>
      </c>
      <c r="T103">
        <f t="shared" ref="T103" si="494">S103/1000</f>
        <v>-8.1968389388296305</v>
      </c>
    </row>
    <row r="104" spans="1:20" x14ac:dyDescent="0.25">
      <c r="A104" s="5">
        <v>44489</v>
      </c>
      <c r="B104">
        <v>4.972E-2</v>
      </c>
      <c r="C104">
        <v>5.2339999999999998E-2</v>
      </c>
      <c r="D104">
        <v>4.9439999999999998E-2</v>
      </c>
      <c r="E104">
        <v>5.0959999999999998E-2</v>
      </c>
      <c r="F104">
        <v>75174366.599999994</v>
      </c>
      <c r="G104">
        <v>5.0959999999999998E-2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4.8275862068965947E-2</v>
      </c>
      <c r="Q104">
        <f t="shared" ref="Q104" si="496">F104*P104</f>
        <v>3629107.3531034803</v>
      </c>
      <c r="R104">
        <f t="shared" ref="R104" si="497">R105+Q104</f>
        <v>-748461179.23715019</v>
      </c>
      <c r="S104">
        <f t="shared" ref="S104" si="498">R104/100000</f>
        <v>-7484.6117923715019</v>
      </c>
      <c r="T104">
        <f t="shared" ref="T104" si="499">S104/1000</f>
        <v>-7.4846117923715019</v>
      </c>
    </row>
    <row r="105" spans="1:20" x14ac:dyDescent="0.25">
      <c r="A105" s="5">
        <v>44488</v>
      </c>
      <c r="B105">
        <v>4.922E-2</v>
      </c>
      <c r="C105">
        <v>5.2220000000000003E-2</v>
      </c>
      <c r="D105">
        <v>4.895E-2</v>
      </c>
      <c r="E105">
        <v>4.9730000000000003E-2</v>
      </c>
      <c r="F105">
        <v>114548173.8</v>
      </c>
      <c r="G105">
        <v>4.9730000000000003E-2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-0.52293577981651229</v>
      </c>
      <c r="Q105">
        <f t="shared" ref="Q105" si="501">F105*P105</f>
        <v>-59901338.592660382</v>
      </c>
      <c r="R105">
        <f t="shared" ref="R105" si="502">R106+Q105</f>
        <v>-752090286.59025371</v>
      </c>
      <c r="S105">
        <f t="shared" ref="S105" si="503">R105/100000</f>
        <v>-7520.9028659025371</v>
      </c>
      <c r="T105">
        <f t="shared" ref="T105" si="504">S105/1000</f>
        <v>-7.5209028659025368</v>
      </c>
    </row>
    <row r="106" spans="1:20" x14ac:dyDescent="0.25">
      <c r="A106" s="5">
        <v>44487</v>
      </c>
      <c r="B106">
        <v>4.9979999999999997E-2</v>
      </c>
      <c r="C106">
        <v>5.185E-2</v>
      </c>
      <c r="D106">
        <v>4.8120000000000003E-2</v>
      </c>
      <c r="E106">
        <v>4.9200000000000001E-2</v>
      </c>
      <c r="F106">
        <v>136370488.30000001</v>
      </c>
      <c r="G106">
        <v>4.9200000000000001E-2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-0.42091152815013488</v>
      </c>
      <c r="Q106">
        <f t="shared" ref="Q106" si="506">F106*P106</f>
        <v>-57399910.624933094</v>
      </c>
      <c r="R106">
        <f t="shared" ref="R106" si="507">R107+Q106</f>
        <v>-692188947.99759328</v>
      </c>
      <c r="S106">
        <f t="shared" ref="S106" si="508">R106/100000</f>
        <v>-6921.8894799759328</v>
      </c>
      <c r="T106">
        <f t="shared" ref="T106" si="509">S106/1000</f>
        <v>-6.921889479975933</v>
      </c>
    </row>
    <row r="107" spans="1:20" x14ac:dyDescent="0.25">
      <c r="A107" s="5">
        <v>44486</v>
      </c>
      <c r="B107">
        <v>5.0259999999999999E-2</v>
      </c>
      <c r="C107">
        <v>5.373E-2</v>
      </c>
      <c r="D107">
        <v>4.8280000000000003E-2</v>
      </c>
      <c r="E107">
        <v>4.9979999999999997E-2</v>
      </c>
      <c r="F107">
        <v>106213476.59999999</v>
      </c>
      <c r="G107">
        <v>4.9979999999999997E-2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-0.37614678899082776</v>
      </c>
      <c r="Q107">
        <f t="shared" ref="Q107" si="511">F107*P107</f>
        <v>-39951858.170642421</v>
      </c>
      <c r="R107">
        <f t="shared" ref="R107" si="512">R108+Q107</f>
        <v>-634789037.37266016</v>
      </c>
      <c r="S107">
        <f t="shared" ref="S107" si="513">R107/100000</f>
        <v>-6347.8903737266019</v>
      </c>
      <c r="T107">
        <f t="shared" ref="T107" si="514">S107/1000</f>
        <v>-6.3478903737266021</v>
      </c>
    </row>
    <row r="108" spans="1:20" x14ac:dyDescent="0.25">
      <c r="A108" s="5">
        <v>44485</v>
      </c>
      <c r="B108">
        <v>4.9029999999999997E-2</v>
      </c>
      <c r="C108">
        <v>5.8939999999999999E-2</v>
      </c>
      <c r="D108">
        <v>4.895E-2</v>
      </c>
      <c r="E108">
        <v>5.0160000000000003E-2</v>
      </c>
      <c r="F108">
        <v>333152277.60000002</v>
      </c>
      <c r="G108">
        <v>5.0160000000000003E-2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-0.75775775775775722</v>
      </c>
      <c r="Q108">
        <f t="shared" ref="Q108" si="516">F108*P108</f>
        <v>-252448722.86606592</v>
      </c>
      <c r="R108">
        <f t="shared" ref="R108" si="517">R109+Q108</f>
        <v>-594837179.20201778</v>
      </c>
      <c r="S108">
        <f t="shared" ref="S108" si="518">R108/100000</f>
        <v>-5948.371792020178</v>
      </c>
      <c r="T108">
        <f t="shared" ref="T108" si="519">S108/1000</f>
        <v>-5.9483717920201782</v>
      </c>
    </row>
    <row r="109" spans="1:20" x14ac:dyDescent="0.25">
      <c r="A109" s="5">
        <v>44484</v>
      </c>
      <c r="B109">
        <v>4.8070000000000002E-2</v>
      </c>
      <c r="C109">
        <v>5.2040000000000003E-2</v>
      </c>
      <c r="D109">
        <v>4.6190000000000002E-2</v>
      </c>
      <c r="E109">
        <v>4.8989999999999999E-2</v>
      </c>
      <c r="F109">
        <v>187467903.09999999</v>
      </c>
      <c r="G109">
        <v>4.8989999999999999E-2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-4.273504273504395E-2</v>
      </c>
      <c r="Q109">
        <f t="shared" ref="Q109" si="521">F109*P109</f>
        <v>-8011448.8504275782</v>
      </c>
      <c r="R109">
        <f t="shared" ref="R109" si="522">R110+Q109</f>
        <v>-342388456.33595181</v>
      </c>
      <c r="S109">
        <f t="shared" ref="S109" si="523">R109/100000</f>
        <v>-3423.8845633595179</v>
      </c>
      <c r="T109">
        <f t="shared" ref="T109" si="524">S109/1000</f>
        <v>-3.4238845633595179</v>
      </c>
    </row>
    <row r="110" spans="1:20" x14ac:dyDescent="0.25">
      <c r="A110" s="5">
        <v>44483</v>
      </c>
      <c r="B110">
        <v>4.5499999999999999E-2</v>
      </c>
      <c r="C110">
        <v>4.8619999999999997E-2</v>
      </c>
      <c r="D110">
        <v>4.5019999999999998E-2</v>
      </c>
      <c r="E110">
        <v>4.8050000000000002E-2</v>
      </c>
      <c r="F110">
        <v>84984449.5</v>
      </c>
      <c r="G110">
        <v>4.8050000000000002E-2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0.68333333333333657</v>
      </c>
      <c r="Q110">
        <f t="shared" ref="Q110" si="526">F110*P110</f>
        <v>58072707.158333607</v>
      </c>
      <c r="R110">
        <f t="shared" ref="R110" si="527">R111+Q110</f>
        <v>-334377007.48552424</v>
      </c>
      <c r="S110">
        <f t="shared" ref="S110" si="528">R110/100000</f>
        <v>-3343.7700748552425</v>
      </c>
      <c r="T110">
        <f t="shared" ref="T110" si="529">S110/1000</f>
        <v>-3.3437700748552426</v>
      </c>
    </row>
    <row r="111" spans="1:20" x14ac:dyDescent="0.25">
      <c r="A111" s="5">
        <v>44482</v>
      </c>
      <c r="B111">
        <v>4.335E-2</v>
      </c>
      <c r="C111">
        <v>4.6100000000000002E-2</v>
      </c>
      <c r="D111">
        <v>4.2659999999999997E-2</v>
      </c>
      <c r="E111">
        <v>4.5539999999999997E-2</v>
      </c>
      <c r="F111">
        <v>66503833.5</v>
      </c>
      <c r="G111">
        <v>4.5539999999999997E-2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0.67441860465116044</v>
      </c>
      <c r="Q111">
        <f t="shared" ref="Q111" si="531">F111*P111</f>
        <v>44851422.593023099</v>
      </c>
      <c r="R111">
        <f t="shared" ref="R111" si="532">R112+Q111</f>
        <v>-392449714.64385784</v>
      </c>
      <c r="S111">
        <f t="shared" ref="S111" si="533">R111/100000</f>
        <v>-3924.4971464385785</v>
      </c>
      <c r="T111">
        <f t="shared" ref="T111" si="534">S111/1000</f>
        <v>-3.9244971464385787</v>
      </c>
    </row>
    <row r="112" spans="1:20" x14ac:dyDescent="0.25">
      <c r="A112" s="5">
        <v>44481</v>
      </c>
      <c r="B112">
        <v>4.505E-2</v>
      </c>
      <c r="C112">
        <v>4.505E-2</v>
      </c>
      <c r="D112">
        <v>4.0719999999999999E-2</v>
      </c>
      <c r="E112">
        <v>4.335E-2</v>
      </c>
      <c r="F112">
        <v>96774047.700000003</v>
      </c>
      <c r="G112">
        <v>4.335E-2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0.21478060046189379</v>
      </c>
      <c r="Q112">
        <f t="shared" ref="Q112" si="536">F112*P112</f>
        <v>20785188.074133951</v>
      </c>
      <c r="R112">
        <f t="shared" ref="R112" si="537">R113+Q112</f>
        <v>-437301137.23688096</v>
      </c>
      <c r="S112">
        <f t="shared" ref="S112" si="538">R112/100000</f>
        <v>-4373.0113723688091</v>
      </c>
      <c r="T112">
        <f t="shared" ref="T112" si="539">S112/1000</f>
        <v>-4.3730113723688095</v>
      </c>
    </row>
    <row r="113" spans="1:20" x14ac:dyDescent="0.25">
      <c r="A113" s="5">
        <v>44480</v>
      </c>
      <c r="B113">
        <v>4.48E-2</v>
      </c>
      <c r="C113">
        <v>4.6679999999999999E-2</v>
      </c>
      <c r="D113">
        <v>4.3749999999999997E-2</v>
      </c>
      <c r="E113">
        <v>4.5039999999999997E-2</v>
      </c>
      <c r="F113">
        <v>36989941.5</v>
      </c>
      <c r="G113">
        <v>4.5039999999999997E-2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-0.11945392491467674</v>
      </c>
      <c r="Q113">
        <f t="shared" ref="Q113" si="541">F113*P113</f>
        <v>-4418593.6945392853</v>
      </c>
      <c r="R113">
        <f t="shared" ref="R113" si="542">R114+Q113</f>
        <v>-458086325.31101489</v>
      </c>
      <c r="S113">
        <f t="shared" ref="S113" si="543">R113/100000</f>
        <v>-4580.8632531101493</v>
      </c>
      <c r="T113">
        <f t="shared" ref="T113" si="544">S113/1000</f>
        <v>-4.5808632531101496</v>
      </c>
    </row>
    <row r="114" spans="1:20" x14ac:dyDescent="0.25">
      <c r="A114" s="5">
        <v>44479</v>
      </c>
      <c r="B114">
        <v>4.7940000000000003E-2</v>
      </c>
      <c r="C114">
        <v>4.8410000000000002E-2</v>
      </c>
      <c r="D114">
        <v>4.4549999999999999E-2</v>
      </c>
      <c r="E114">
        <v>4.4850000000000001E-2</v>
      </c>
      <c r="F114">
        <v>65691104.200000003</v>
      </c>
      <c r="G114">
        <v>4.4850000000000001E-2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-0.8445595854922272</v>
      </c>
      <c r="Q114">
        <f t="shared" ref="Q114" si="546">F114*P114</f>
        <v>-55480051.733678706</v>
      </c>
      <c r="R114">
        <f t="shared" ref="R114" si="547">R115+Q114</f>
        <v>-453667731.61647558</v>
      </c>
      <c r="S114">
        <f t="shared" ref="S114" si="548">R114/100000</f>
        <v>-4536.6773161647561</v>
      </c>
      <c r="T114">
        <f t="shared" ref="T114" si="549">S114/1000</f>
        <v>-4.5366773161647558</v>
      </c>
    </row>
    <row r="115" spans="1:20" x14ac:dyDescent="0.25">
      <c r="A115" s="5">
        <v>44478</v>
      </c>
      <c r="B115">
        <v>4.793E-2</v>
      </c>
      <c r="C115">
        <v>5.1999999999999998E-2</v>
      </c>
      <c r="D115">
        <v>4.7300000000000002E-2</v>
      </c>
      <c r="E115">
        <v>4.7940000000000003E-2</v>
      </c>
      <c r="F115">
        <v>103573505.2</v>
      </c>
      <c r="G115">
        <v>4.7940000000000003E-2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-0.72765957446808416</v>
      </c>
      <c r="Q115">
        <f t="shared" ref="Q115" si="551">F115*P115</f>
        <v>-75366252.719999909</v>
      </c>
      <c r="R115">
        <f t="shared" ref="R115" si="552">R116+Q115</f>
        <v>-398187679.88279688</v>
      </c>
      <c r="S115">
        <f t="shared" ref="S115" si="553">R115/100000</f>
        <v>-3981.8767988279687</v>
      </c>
      <c r="T115">
        <f t="shared" ref="T115" si="554">S115/1000</f>
        <v>-3.9818767988279689</v>
      </c>
    </row>
    <row r="116" spans="1:20" x14ac:dyDescent="0.25">
      <c r="A116" s="5">
        <v>44477</v>
      </c>
      <c r="B116">
        <v>4.7109999999999999E-2</v>
      </c>
      <c r="C116">
        <v>4.9160000000000002E-2</v>
      </c>
      <c r="D116">
        <v>4.6050000000000001E-2</v>
      </c>
      <c r="E116">
        <v>4.7840000000000001E-2</v>
      </c>
      <c r="F116">
        <v>65246421.100000001</v>
      </c>
      <c r="G116">
        <v>4.7840000000000001E-2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0.1511254019292598</v>
      </c>
      <c r="Q116">
        <f t="shared" ref="Q116" si="556">F116*P116</f>
        <v>9860391.6131832376</v>
      </c>
      <c r="R116">
        <f t="shared" ref="R116" si="557">R117+Q116</f>
        <v>-322821427.16279697</v>
      </c>
      <c r="S116">
        <f t="shared" ref="S116" si="558">R116/100000</f>
        <v>-3228.2142716279695</v>
      </c>
      <c r="T116">
        <f t="shared" ref="T116" si="559">S116/1000</f>
        <v>-3.2282142716279694</v>
      </c>
    </row>
    <row r="117" spans="1:20" x14ac:dyDescent="0.25">
      <c r="A117" s="5">
        <v>44476</v>
      </c>
      <c r="B117">
        <v>4.6449999999999998E-2</v>
      </c>
      <c r="C117">
        <v>4.8899999999999999E-2</v>
      </c>
      <c r="D117">
        <v>4.4630000000000003E-2</v>
      </c>
      <c r="E117">
        <v>4.7079999999999997E-2</v>
      </c>
      <c r="F117">
        <v>107328898.8</v>
      </c>
      <c r="G117">
        <v>4.7079999999999997E-2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0.14754098360655557</v>
      </c>
      <c r="Q117">
        <f t="shared" ref="Q117" si="561">F117*P117</f>
        <v>15835411.298360461</v>
      </c>
      <c r="R117">
        <f t="shared" ref="R117" si="562">R118+Q117</f>
        <v>-332681818.77598023</v>
      </c>
      <c r="S117">
        <f t="shared" ref="S117" si="563">R117/100000</f>
        <v>-3326.8181877598022</v>
      </c>
      <c r="T117">
        <f t="shared" ref="T117" si="564">S117/1000</f>
        <v>-3.3268181877598022</v>
      </c>
    </row>
    <row r="118" spans="1:20" x14ac:dyDescent="0.25">
      <c r="A118" s="5">
        <v>44475</v>
      </c>
      <c r="B118">
        <v>4.5420000000000002E-2</v>
      </c>
      <c r="C118">
        <v>5.0340000000000003E-2</v>
      </c>
      <c r="D118">
        <v>4.215E-2</v>
      </c>
      <c r="E118">
        <v>4.6440000000000002E-2</v>
      </c>
      <c r="F118">
        <v>180556315.19999999</v>
      </c>
      <c r="G118">
        <v>4.6440000000000002E-2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4.7619047619047783E-2</v>
      </c>
      <c r="Q118">
        <f t="shared" ref="Q118" si="566">F118*P118</f>
        <v>8597919.7714286</v>
      </c>
      <c r="R118">
        <f t="shared" ref="R118" si="567">R119+Q118</f>
        <v>-348517230.0743407</v>
      </c>
      <c r="S118">
        <f t="shared" ref="S118" si="568">R118/100000</f>
        <v>-3485.172300743407</v>
      </c>
      <c r="T118">
        <f t="shared" ref="T118" si="569">S118/1000</f>
        <v>-3.485172300743407</v>
      </c>
    </row>
    <row r="119" spans="1:20" x14ac:dyDescent="0.25">
      <c r="A119" s="5">
        <v>44474</v>
      </c>
      <c r="B119">
        <v>4.4420000000000001E-2</v>
      </c>
      <c r="C119">
        <v>4.65E-2</v>
      </c>
      <c r="D119">
        <v>4.3790000000000003E-2</v>
      </c>
      <c r="E119">
        <v>4.5359999999999998E-2</v>
      </c>
      <c r="F119">
        <v>92108236.099999994</v>
      </c>
      <c r="G119">
        <v>4.5359999999999998E-2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0.1586715867158647</v>
      </c>
      <c r="Q119">
        <f t="shared" ref="Q119" si="571">F119*P119</f>
        <v>14614959.971586488</v>
      </c>
      <c r="R119">
        <f t="shared" ref="R119" si="572">R120+Q119</f>
        <v>-357115149.84576929</v>
      </c>
      <c r="S119">
        <f t="shared" ref="S119" si="573">R119/100000</f>
        <v>-3571.1514984576929</v>
      </c>
      <c r="T119">
        <f t="shared" ref="T119" si="574">S119/1000</f>
        <v>-3.5711514984576929</v>
      </c>
    </row>
    <row r="120" spans="1:20" x14ac:dyDescent="0.25">
      <c r="A120" s="5">
        <v>44473</v>
      </c>
      <c r="B120">
        <v>4.5039999999999997E-2</v>
      </c>
      <c r="C120">
        <v>4.5350000000000001E-2</v>
      </c>
      <c r="D120">
        <v>4.215E-2</v>
      </c>
      <c r="E120">
        <v>4.4260000000000001E-2</v>
      </c>
      <c r="F120">
        <v>56300808.899999999</v>
      </c>
      <c r="G120">
        <v>4.4260000000000001E-2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0.31874999999999987</v>
      </c>
      <c r="Q120">
        <f t="shared" ref="Q120" si="576">F120*P120</f>
        <v>17945882.836874992</v>
      </c>
      <c r="R120">
        <f t="shared" ref="R120" si="577">R121+Q120</f>
        <v>-371730109.81735575</v>
      </c>
      <c r="S120">
        <f t="shared" ref="S120" si="578">R120/100000</f>
        <v>-3717.3010981735574</v>
      </c>
      <c r="T120">
        <f t="shared" ref="T120" si="579">S120/1000</f>
        <v>-3.7173010981735572</v>
      </c>
    </row>
    <row r="121" spans="1:20" x14ac:dyDescent="0.25">
      <c r="A121" s="5">
        <v>44472</v>
      </c>
      <c r="B121">
        <v>4.3659999999999997E-2</v>
      </c>
      <c r="C121">
        <v>4.6059999999999997E-2</v>
      </c>
      <c r="D121">
        <v>4.2509999999999999E-2</v>
      </c>
      <c r="E121">
        <v>4.4889999999999999E-2</v>
      </c>
      <c r="F121">
        <v>63568926.700000003</v>
      </c>
      <c r="G121">
        <v>4.4889999999999999E-2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0.3408450704225362</v>
      </c>
      <c r="Q121">
        <f t="shared" ref="Q121" si="581">F121*P121</f>
        <v>21667155.297746543</v>
      </c>
      <c r="R121">
        <f t="shared" ref="R121" si="582">R122+Q121</f>
        <v>-389675992.65423071</v>
      </c>
      <c r="S121">
        <f t="shared" ref="S121" si="583">R121/100000</f>
        <v>-3896.7599265423073</v>
      </c>
      <c r="T121">
        <f t="shared" ref="T121" si="584">S121/1000</f>
        <v>-3.8967599265423072</v>
      </c>
    </row>
    <row r="122" spans="1:20" x14ac:dyDescent="0.25">
      <c r="A122" s="5">
        <v>44471</v>
      </c>
      <c r="B122">
        <v>4.2430000000000002E-2</v>
      </c>
      <c r="C122">
        <v>4.5519999999999998E-2</v>
      </c>
      <c r="D122">
        <v>4.1570000000000003E-2</v>
      </c>
      <c r="E122">
        <v>4.367E-2</v>
      </c>
      <c r="F122">
        <v>55322746.299999997</v>
      </c>
      <c r="G122">
        <v>4.367E-2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6.3291139240506458E-2</v>
      </c>
      <c r="Q122">
        <f t="shared" ref="Q122" si="586">F122*P122</f>
        <v>3501439.6392405131</v>
      </c>
      <c r="R122">
        <f t="shared" ref="R122" si="587">R123+Q122</f>
        <v>-411343147.95197725</v>
      </c>
      <c r="S122">
        <f t="shared" ref="S122" si="588">R122/100000</f>
        <v>-4113.4314795197724</v>
      </c>
      <c r="T122">
        <f t="shared" ref="T122" si="589">S122/1000</f>
        <v>-4.1134314795197726</v>
      </c>
    </row>
    <row r="123" spans="1:20" x14ac:dyDescent="0.25">
      <c r="A123" s="5">
        <v>44470</v>
      </c>
      <c r="B123">
        <v>3.9510000000000003E-2</v>
      </c>
      <c r="C123">
        <v>4.2529999999999998E-2</v>
      </c>
      <c r="D123">
        <v>3.8920000000000003E-2</v>
      </c>
      <c r="E123">
        <v>4.2430000000000002E-2</v>
      </c>
      <c r="F123">
        <v>56374395.100000001</v>
      </c>
      <c r="G123">
        <v>4.2430000000000002E-2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0.9445983379501407</v>
      </c>
      <c r="Q123">
        <f t="shared" ref="Q123" si="591">F123*P123</f>
        <v>53251159.914404556</v>
      </c>
      <c r="R123">
        <f t="shared" ref="R123" si="592">R124+Q123</f>
        <v>-414844587.59121776</v>
      </c>
      <c r="S123">
        <f t="shared" ref="S123" si="593">R123/100000</f>
        <v>-4148.4458759121771</v>
      </c>
      <c r="T123">
        <f t="shared" ref="T123" si="594">S123/1000</f>
        <v>-4.1484458759121772</v>
      </c>
    </row>
    <row r="124" spans="1:20" x14ac:dyDescent="0.25">
      <c r="A124" s="5">
        <v>44469</v>
      </c>
      <c r="B124">
        <v>3.8120000000000001E-2</v>
      </c>
      <c r="C124">
        <v>3.9940000000000003E-2</v>
      </c>
      <c r="D124">
        <v>3.7900000000000003E-2</v>
      </c>
      <c r="E124">
        <v>3.9539999999999999E-2</v>
      </c>
      <c r="F124">
        <v>54219331.100000001</v>
      </c>
      <c r="G124">
        <v>3.9539999999999999E-2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0.60784313725489758</v>
      </c>
      <c r="Q124">
        <f t="shared" ref="Q124" si="596">F124*P124</f>
        <v>32956848.31568604</v>
      </c>
      <c r="R124">
        <f t="shared" ref="R124" si="597">R125+Q124</f>
        <v>-468095747.50562233</v>
      </c>
      <c r="S124">
        <f t="shared" ref="S124" si="598">R124/100000</f>
        <v>-4680.9574750562233</v>
      </c>
      <c r="T124">
        <f t="shared" ref="T124" si="599">S124/1000</f>
        <v>-4.6809574750562231</v>
      </c>
    </row>
    <row r="125" spans="1:20" x14ac:dyDescent="0.25">
      <c r="A125" s="5">
        <v>44468</v>
      </c>
      <c r="B125">
        <v>3.6850000000000001E-2</v>
      </c>
      <c r="C125">
        <v>3.968E-2</v>
      </c>
      <c r="D125">
        <v>3.6209999999999999E-2</v>
      </c>
      <c r="E125">
        <v>3.8120000000000001E-2</v>
      </c>
      <c r="F125">
        <v>43562962.700000003</v>
      </c>
      <c r="G125">
        <v>3.8120000000000001E-2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0.1008645533141219</v>
      </c>
      <c r="Q125">
        <f t="shared" ref="Q125" si="601">F125*P125</f>
        <v>4393958.7737752544</v>
      </c>
      <c r="R125">
        <f t="shared" ref="R125" si="602">R126+Q125</f>
        <v>-501052595.82130837</v>
      </c>
      <c r="S125">
        <f t="shared" ref="S125" si="603">R125/100000</f>
        <v>-5010.5259582130839</v>
      </c>
      <c r="T125">
        <f t="shared" ref="T125" si="604">S125/1000</f>
        <v>-5.0105259582130834</v>
      </c>
    </row>
    <row r="126" spans="1:20" x14ac:dyDescent="0.25">
      <c r="A126" s="5">
        <v>44467</v>
      </c>
      <c r="B126">
        <v>3.7629999999999997E-2</v>
      </c>
      <c r="C126">
        <v>3.884E-2</v>
      </c>
      <c r="D126">
        <v>3.653E-2</v>
      </c>
      <c r="E126">
        <v>3.6859999999999997E-2</v>
      </c>
      <c r="F126">
        <v>58410462.399999999</v>
      </c>
      <c r="G126">
        <v>3.6859999999999997E-2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-0.71428571428571686</v>
      </c>
      <c r="Q126">
        <f t="shared" ref="Q126" si="606">F126*P126</f>
        <v>-41721758.857143007</v>
      </c>
      <c r="R126">
        <f t="shared" ref="R126" si="607">R127+Q126</f>
        <v>-505446554.59508365</v>
      </c>
      <c r="S126">
        <f t="shared" ref="S126" si="608">R126/100000</f>
        <v>-5054.4655459508367</v>
      </c>
      <c r="T126">
        <f t="shared" ref="T126" si="609">S126/1000</f>
        <v>-5.054465545950837</v>
      </c>
    </row>
    <row r="127" spans="1:20" x14ac:dyDescent="0.25">
      <c r="A127" s="5">
        <v>44466</v>
      </c>
      <c r="B127">
        <v>3.9410000000000001E-2</v>
      </c>
      <c r="C127">
        <v>4.1340000000000002E-2</v>
      </c>
      <c r="D127">
        <v>3.746E-2</v>
      </c>
      <c r="E127">
        <v>3.7600000000000001E-2</v>
      </c>
      <c r="F127">
        <v>124327982.59999999</v>
      </c>
      <c r="G127">
        <v>3.7600000000000001E-2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-0.92783505154639112</v>
      </c>
      <c r="Q127">
        <f t="shared" ref="Q127" si="611">F127*P127</f>
        <v>-115355860.14432982</v>
      </c>
      <c r="R127">
        <f t="shared" ref="R127" si="612">R128+Q127</f>
        <v>-463724795.73794067</v>
      </c>
      <c r="S127">
        <f t="shared" ref="S127" si="613">R127/100000</f>
        <v>-4637.2479573794071</v>
      </c>
      <c r="T127">
        <f t="shared" ref="T127" si="614">S127/1000</f>
        <v>-4.6372479573794072</v>
      </c>
    </row>
    <row r="128" spans="1:20" x14ac:dyDescent="0.25">
      <c r="A128" s="5">
        <v>44465</v>
      </c>
      <c r="B128">
        <v>4.0340000000000001E-2</v>
      </c>
      <c r="C128">
        <v>4.0480000000000002E-2</v>
      </c>
      <c r="D128">
        <v>3.6609999999999997E-2</v>
      </c>
      <c r="E128">
        <v>3.9449999999999999E-2</v>
      </c>
      <c r="F128">
        <v>82018278.099999994</v>
      </c>
      <c r="G128">
        <v>3.9449999999999999E-2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0.46770025839793194</v>
      </c>
      <c r="Q128">
        <f t="shared" ref="Q128" si="616">F128*P128</f>
        <v>38359969.860723443</v>
      </c>
      <c r="R128">
        <f t="shared" ref="R128" si="617">R129+Q128</f>
        <v>-348368935.59361082</v>
      </c>
      <c r="S128">
        <f t="shared" ref="S128" si="618">R128/100000</f>
        <v>-3483.6893559361083</v>
      </c>
      <c r="T128">
        <f t="shared" ref="T128" si="619">S128/1000</f>
        <v>-3.4836893559361082</v>
      </c>
    </row>
    <row r="129" spans="1:20" x14ac:dyDescent="0.25">
      <c r="A129" s="5">
        <v>44464</v>
      </c>
      <c r="B129">
        <v>4.199E-2</v>
      </c>
      <c r="C129">
        <v>4.299E-2</v>
      </c>
      <c r="D129">
        <v>3.9620000000000002E-2</v>
      </c>
      <c r="E129">
        <v>4.0300000000000002E-2</v>
      </c>
      <c r="F129">
        <v>103091977.7</v>
      </c>
      <c r="G129">
        <v>4.0300000000000002E-2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-0.5964391691394656</v>
      </c>
      <c r="Q129">
        <f t="shared" ref="Q129" si="621">F129*P129</f>
        <v>-61488093.524332315</v>
      </c>
      <c r="R129">
        <f t="shared" ref="R129" si="622">R130+Q129</f>
        <v>-386728905.45433426</v>
      </c>
      <c r="S129">
        <f t="shared" ref="S129" si="623">R129/100000</f>
        <v>-3867.2890545433424</v>
      </c>
      <c r="T129">
        <f t="shared" ref="T129" si="624">S129/1000</f>
        <v>-3.8672890545433423</v>
      </c>
    </row>
    <row r="130" spans="1:20" x14ac:dyDescent="0.25">
      <c r="A130" s="5">
        <v>44463</v>
      </c>
      <c r="B130">
        <v>4.6059999999999997E-2</v>
      </c>
      <c r="C130">
        <v>4.684E-2</v>
      </c>
      <c r="D130">
        <v>3.9570000000000001E-2</v>
      </c>
      <c r="E130">
        <v>4.1959999999999997E-2</v>
      </c>
      <c r="F130">
        <v>110233313.40000001</v>
      </c>
      <c r="G130">
        <v>4.1959999999999997E-2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-0.34250343878954698</v>
      </c>
      <c r="Q130">
        <f t="shared" ref="Q130" si="626">F130*P130</f>
        <v>-37755288.908665851</v>
      </c>
      <c r="R130">
        <f t="shared" ref="R130" si="627">R131+Q130</f>
        <v>-325240811.93000191</v>
      </c>
      <c r="S130">
        <f t="shared" ref="S130" si="628">R130/100000</f>
        <v>-3252.4081193000193</v>
      </c>
      <c r="T130">
        <f t="shared" ref="T130" si="629">S130/1000</f>
        <v>-3.2524081193000192</v>
      </c>
    </row>
    <row r="131" spans="1:20" x14ac:dyDescent="0.25">
      <c r="A131" s="5">
        <v>44462</v>
      </c>
      <c r="B131">
        <v>4.4019999999999997E-2</v>
      </c>
      <c r="C131">
        <v>4.7320000000000001E-2</v>
      </c>
      <c r="D131">
        <v>4.3150000000000001E-2</v>
      </c>
      <c r="E131">
        <v>4.6019999999999998E-2</v>
      </c>
      <c r="F131">
        <v>72914538.599999994</v>
      </c>
      <c r="G131">
        <v>4.6019999999999998E-2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0.37649880095923138</v>
      </c>
      <c r="Q131">
        <f t="shared" ref="Q131" si="631">F131*P131</f>
        <v>27452236.355395593</v>
      </c>
      <c r="R131">
        <f t="shared" ref="R131" si="632">R132+Q131</f>
        <v>-287485523.02133608</v>
      </c>
      <c r="S131">
        <f t="shared" ref="S131" si="633">R131/100000</f>
        <v>-2874.8552302133608</v>
      </c>
      <c r="T131">
        <f t="shared" ref="T131" si="634">S131/1000</f>
        <v>-2.8748552302133605</v>
      </c>
    </row>
    <row r="132" spans="1:20" x14ac:dyDescent="0.25">
      <c r="A132" s="5">
        <v>44461</v>
      </c>
      <c r="B132">
        <v>3.848E-2</v>
      </c>
      <c r="C132">
        <v>4.4069999999999998E-2</v>
      </c>
      <c r="D132">
        <v>3.764E-2</v>
      </c>
      <c r="E132">
        <v>4.4069999999999998E-2</v>
      </c>
      <c r="F132">
        <v>61308233.299999997</v>
      </c>
      <c r="G132">
        <v>4.4069999999999998E-2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1</v>
      </c>
      <c r="Q132">
        <f t="shared" ref="Q132" si="636">F132*P132</f>
        <v>61308233.299999997</v>
      </c>
      <c r="R132">
        <f t="shared" ref="R132" si="637">R133+Q132</f>
        <v>-314937759.37673169</v>
      </c>
      <c r="S132">
        <f t="shared" ref="S132" si="638">R132/100000</f>
        <v>-3149.3775937673167</v>
      </c>
      <c r="T132">
        <f t="shared" ref="T132" si="639">S132/1000</f>
        <v>-3.1493775937673165</v>
      </c>
    </row>
    <row r="133" spans="1:20" x14ac:dyDescent="0.25">
      <c r="A133" s="5">
        <v>44460</v>
      </c>
      <c r="B133">
        <v>4.2110000000000002E-2</v>
      </c>
      <c r="C133">
        <v>4.3540000000000002E-2</v>
      </c>
      <c r="D133">
        <v>3.764E-2</v>
      </c>
      <c r="E133">
        <v>3.8350000000000002E-2</v>
      </c>
      <c r="F133">
        <v>96913580.700000003</v>
      </c>
      <c r="G133">
        <v>3.8350000000000002E-2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-0.75932203389830444</v>
      </c>
      <c r="Q133">
        <f t="shared" ref="Q133" si="641">F133*P133</f>
        <v>-73588617.209491462</v>
      </c>
      <c r="R133">
        <f t="shared" ref="R133" si="642">R134+Q133</f>
        <v>-376245992.67673171</v>
      </c>
      <c r="S133">
        <f t="shared" ref="S133" si="643">R133/100000</f>
        <v>-3762.459926767317</v>
      </c>
      <c r="T133">
        <f t="shared" ref="T133" si="644">S133/1000</f>
        <v>-3.7624599267673169</v>
      </c>
    </row>
    <row r="134" spans="1:20" x14ac:dyDescent="0.25">
      <c r="A134" s="5">
        <v>44459</v>
      </c>
      <c r="B134">
        <v>4.9860000000000002E-2</v>
      </c>
      <c r="C134">
        <v>4.9910000000000003E-2</v>
      </c>
      <c r="D134">
        <v>4.4589999999999998E-2</v>
      </c>
      <c r="E134">
        <v>4.5319999999999999E-2</v>
      </c>
      <c r="F134">
        <v>49226362.100000001</v>
      </c>
      <c r="G134">
        <v>4.5319999999999999E-2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-0.72556390977443586</v>
      </c>
      <c r="Q134">
        <f t="shared" ref="Q134" si="646">F134*P134</f>
        <v>-35716871.74924811</v>
      </c>
      <c r="R134">
        <f t="shared" ref="R134" si="647">R135+Q134</f>
        <v>-302657375.46724021</v>
      </c>
      <c r="S134">
        <f t="shared" ref="S134" si="648">R134/100000</f>
        <v>-3026.5737546724022</v>
      </c>
      <c r="T134">
        <f t="shared" ref="T134" si="649">S134/1000</f>
        <v>-3.0265737546724023</v>
      </c>
    </row>
    <row r="135" spans="1:20" x14ac:dyDescent="0.25">
      <c r="A135" s="5">
        <v>44458</v>
      </c>
      <c r="B135">
        <v>5.1209999999999999E-2</v>
      </c>
      <c r="C135">
        <v>5.1589999999999997E-2</v>
      </c>
      <c r="D135">
        <v>4.8390000000000002E-2</v>
      </c>
      <c r="E135">
        <v>4.9889999999999997E-2</v>
      </c>
      <c r="F135">
        <v>41313741.5</v>
      </c>
      <c r="G135">
        <v>4.9889999999999997E-2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-6.2500000000001901E-2</v>
      </c>
      <c r="Q135">
        <f t="shared" ref="Q135" si="651">F135*P135</f>
        <v>-2582108.8437500787</v>
      </c>
      <c r="R135">
        <f t="shared" ref="R135" si="652">R136+Q135</f>
        <v>-266940503.7179921</v>
      </c>
      <c r="S135">
        <f t="shared" ref="S135" si="653">R135/100000</f>
        <v>-2669.4050371799208</v>
      </c>
      <c r="T135">
        <f t="shared" ref="T135" si="654">S135/1000</f>
        <v>-2.6694050371799207</v>
      </c>
    </row>
    <row r="136" spans="1:20" x14ac:dyDescent="0.25">
      <c r="A136" s="5">
        <v>44457</v>
      </c>
      <c r="B136">
        <v>5.1360000000000003E-2</v>
      </c>
      <c r="C136">
        <v>5.4980000000000001E-2</v>
      </c>
      <c r="D136">
        <v>5.0160000000000003E-2</v>
      </c>
      <c r="E136">
        <v>5.1180000000000003E-2</v>
      </c>
      <c r="F136">
        <v>85640100</v>
      </c>
      <c r="G136">
        <v>5.1180000000000003E-2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-0.57676348547717826</v>
      </c>
      <c r="Q136">
        <f t="shared" ref="Q136" si="656">F136*P136</f>
        <v>-49394082.572614096</v>
      </c>
      <c r="R136">
        <f t="shared" ref="R136" si="657">R137+Q136</f>
        <v>-264358394.87424201</v>
      </c>
      <c r="S136">
        <f t="shared" ref="S136" si="658">R136/100000</f>
        <v>-2643.58394874242</v>
      </c>
      <c r="T136">
        <f t="shared" ref="T136" si="659">S136/1000</f>
        <v>-2.6435839487424202</v>
      </c>
    </row>
    <row r="137" spans="1:20" x14ac:dyDescent="0.25">
      <c r="A137" s="5">
        <v>44456</v>
      </c>
      <c r="B137">
        <v>5.2630000000000003E-2</v>
      </c>
      <c r="C137">
        <v>5.4030000000000002E-2</v>
      </c>
      <c r="D137">
        <v>4.9459999999999997E-2</v>
      </c>
      <c r="E137">
        <v>5.1299999999999998E-2</v>
      </c>
      <c r="F137">
        <v>89505427.700000003</v>
      </c>
      <c r="G137">
        <v>5.1299999999999998E-2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-0.19474835886214464</v>
      </c>
      <c r="Q137">
        <f t="shared" ref="Q137" si="661">F137*P137</f>
        <v>-17431035.153829344</v>
      </c>
      <c r="R137">
        <f t="shared" ref="R137" si="662">R138+Q137</f>
        <v>-214964312.3016279</v>
      </c>
      <c r="S137">
        <f t="shared" ref="S137" si="663">R137/100000</f>
        <v>-2149.6431230162789</v>
      </c>
      <c r="T137">
        <f t="shared" ref="T137" si="664">S137/1000</f>
        <v>-2.1496431230162787</v>
      </c>
    </row>
    <row r="138" spans="1:20" x14ac:dyDescent="0.25">
      <c r="A138" s="5">
        <v>44455</v>
      </c>
      <c r="B138">
        <v>5.2900000000000003E-2</v>
      </c>
      <c r="C138">
        <v>5.4390000000000001E-2</v>
      </c>
      <c r="D138">
        <v>5.0860000000000002E-2</v>
      </c>
      <c r="E138">
        <v>5.2630000000000003E-2</v>
      </c>
      <c r="F138">
        <v>71621702.799999997</v>
      </c>
      <c r="G138">
        <v>5.2630000000000003E-2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2.8328611898025685E-3</v>
      </c>
      <c r="Q138">
        <f t="shared" ref="Q138" si="666">F138*P138</f>
        <v>202894.34220969395</v>
      </c>
      <c r="R138">
        <f t="shared" ref="R138" si="667">R139+Q138</f>
        <v>-197533277.14779857</v>
      </c>
      <c r="S138">
        <f t="shared" ref="S138" si="668">R138/100000</f>
        <v>-1975.3327714779857</v>
      </c>
      <c r="T138">
        <f t="shared" ref="T138" si="669">S138/1000</f>
        <v>-1.9753327714779858</v>
      </c>
    </row>
    <row r="139" spans="1:20" x14ac:dyDescent="0.25">
      <c r="A139" s="5">
        <v>44454</v>
      </c>
      <c r="B139">
        <v>4.9779999999999998E-2</v>
      </c>
      <c r="C139">
        <v>5.4850000000000003E-2</v>
      </c>
      <c r="D139">
        <v>4.863E-2</v>
      </c>
      <c r="E139">
        <v>5.2859999999999997E-2</v>
      </c>
      <c r="F139">
        <v>125356603.59999999</v>
      </c>
      <c r="G139">
        <v>5.2859999999999997E-2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0.36012861736334256</v>
      </c>
      <c r="Q139">
        <f t="shared" ref="Q139" si="671">F139*P139</f>
        <v>45144500.33183261</v>
      </c>
      <c r="R139">
        <f t="shared" ref="R139" si="672">R140+Q139</f>
        <v>-197736171.49000826</v>
      </c>
      <c r="S139">
        <f t="shared" ref="S139" si="673">R139/100000</f>
        <v>-1977.3617149000827</v>
      </c>
      <c r="T139">
        <f t="shared" ref="T139" si="674">S139/1000</f>
        <v>-1.9773617149000826</v>
      </c>
    </row>
    <row r="140" spans="1:20" x14ac:dyDescent="0.25">
      <c r="A140" s="5">
        <v>44453</v>
      </c>
      <c r="B140">
        <v>4.6510000000000003E-2</v>
      </c>
      <c r="C140">
        <v>4.9860000000000002E-2</v>
      </c>
      <c r="D140">
        <v>4.5539999999999997E-2</v>
      </c>
      <c r="E140">
        <v>4.9840000000000002E-2</v>
      </c>
      <c r="F140">
        <v>82242705.799999997</v>
      </c>
      <c r="G140">
        <v>4.9840000000000002E-2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0.99074074074074114</v>
      </c>
      <c r="Q140">
        <f t="shared" ref="Q140" si="676">F140*P140</f>
        <v>81481199.264814839</v>
      </c>
      <c r="R140">
        <f t="shared" ref="R140" si="677">R141+Q140</f>
        <v>-242880671.82184088</v>
      </c>
      <c r="S140">
        <f t="shared" ref="S140" si="678">R140/100000</f>
        <v>-2428.8067182184086</v>
      </c>
      <c r="T140">
        <f t="shared" ref="T140" si="679">S140/1000</f>
        <v>-2.4288067182184085</v>
      </c>
    </row>
    <row r="141" spans="1:20" x14ac:dyDescent="0.25">
      <c r="A141" s="5">
        <v>44452</v>
      </c>
      <c r="B141">
        <v>4.8800000000000003E-2</v>
      </c>
      <c r="C141">
        <v>4.9279999999999997E-2</v>
      </c>
      <c r="D141">
        <v>4.3020000000000003E-2</v>
      </c>
      <c r="E141">
        <v>4.648E-2</v>
      </c>
      <c r="F141">
        <v>111506068</v>
      </c>
      <c r="G141">
        <v>4.648E-2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0.10543130990415359</v>
      </c>
      <c r="Q141">
        <f t="shared" ref="Q141" si="681">F141*P141</f>
        <v>11756230.811501624</v>
      </c>
      <c r="R141">
        <f t="shared" ref="R141" si="682">R142+Q141</f>
        <v>-324361871.08665574</v>
      </c>
      <c r="S141">
        <f t="shared" ref="S141" si="683">R141/100000</f>
        <v>-3243.6187108665572</v>
      </c>
      <c r="T141">
        <f t="shared" ref="T141" si="684">S141/1000</f>
        <v>-3.2436187108665573</v>
      </c>
    </row>
    <row r="142" spans="1:20" x14ac:dyDescent="0.25">
      <c r="A142" s="5">
        <v>44451</v>
      </c>
      <c r="B142">
        <v>4.7230000000000001E-2</v>
      </c>
      <c r="C142">
        <v>5.067E-2</v>
      </c>
      <c r="D142">
        <v>4.6289999999999998E-2</v>
      </c>
      <c r="E142">
        <v>4.8800000000000003E-2</v>
      </c>
      <c r="F142">
        <v>127074709.3</v>
      </c>
      <c r="G142">
        <v>4.8800000000000003E-2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0.14611872146118912</v>
      </c>
      <c r="Q142">
        <f t="shared" ref="Q142" si="686">F142*P142</f>
        <v>18567994.052968279</v>
      </c>
      <c r="R142">
        <f t="shared" ref="R142" si="687">R143+Q142</f>
        <v>-336118101.89815736</v>
      </c>
      <c r="S142">
        <f t="shared" ref="S142" si="688">R142/100000</f>
        <v>-3361.1810189815737</v>
      </c>
      <c r="T142">
        <f t="shared" ref="T142" si="689">S142/1000</f>
        <v>-3.3611810189815738</v>
      </c>
    </row>
    <row r="143" spans="1:20" x14ac:dyDescent="0.25">
      <c r="A143" s="5">
        <v>44450</v>
      </c>
      <c r="B143">
        <v>4.709E-2</v>
      </c>
      <c r="C143">
        <v>4.8860000000000001E-2</v>
      </c>
      <c r="D143">
        <v>4.5780000000000001E-2</v>
      </c>
      <c r="E143">
        <v>4.725E-2</v>
      </c>
      <c r="F143">
        <v>44219332.700000003</v>
      </c>
      <c r="G143">
        <v>4.725E-2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-4.5454545454545865E-2</v>
      </c>
      <c r="Q143">
        <f t="shared" ref="Q143" si="691">F143*P143</f>
        <v>-2009969.6681818364</v>
      </c>
      <c r="R143">
        <f t="shared" ref="R143" si="692">R144+Q143</f>
        <v>-354686095.95112562</v>
      </c>
      <c r="S143">
        <f t="shared" ref="S143" si="693">R143/100000</f>
        <v>-3546.8609595112562</v>
      </c>
      <c r="T143">
        <f t="shared" ref="T143" si="694">S143/1000</f>
        <v>-3.5468609595112564</v>
      </c>
    </row>
    <row r="144" spans="1:20" x14ac:dyDescent="0.25">
      <c r="A144" s="5">
        <v>44449</v>
      </c>
      <c r="B144">
        <v>5.0290000000000001E-2</v>
      </c>
      <c r="C144">
        <v>5.1429999999999997E-2</v>
      </c>
      <c r="D144">
        <v>4.5249999999999999E-2</v>
      </c>
      <c r="E144">
        <v>4.7109999999999999E-2</v>
      </c>
      <c r="F144">
        <v>83674685.700000003</v>
      </c>
      <c r="G144">
        <v>4.7109999999999999E-2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-0.39805825242718412</v>
      </c>
      <c r="Q144">
        <f t="shared" ref="Q144" si="696">F144*P144</f>
        <v>-33307399.162135895</v>
      </c>
      <c r="R144">
        <f t="shared" ref="R144" si="697">R145+Q144</f>
        <v>-352676126.28294379</v>
      </c>
      <c r="S144">
        <f t="shared" ref="S144" si="698">R144/100000</f>
        <v>-3526.7612628294378</v>
      </c>
      <c r="T144">
        <f t="shared" ref="T144" si="699">S144/1000</f>
        <v>-3.5267612628294378</v>
      </c>
    </row>
    <row r="145" spans="1:20" x14ac:dyDescent="0.25">
      <c r="A145" s="5">
        <v>44448</v>
      </c>
      <c r="B145">
        <v>4.8520000000000001E-2</v>
      </c>
      <c r="C145">
        <v>5.2659999999999998E-2</v>
      </c>
      <c r="D145">
        <v>4.7329999999999997E-2</v>
      </c>
      <c r="E145">
        <v>5.0299999999999997E-2</v>
      </c>
      <c r="F145">
        <v>104435617.8</v>
      </c>
      <c r="G145">
        <v>5.0299999999999997E-2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0.11444652908067529</v>
      </c>
      <c r="Q145">
        <f t="shared" ref="Q145" si="701">F145*P145</f>
        <v>11952293.96960599</v>
      </c>
      <c r="R145">
        <f t="shared" ref="R145" si="702">R146+Q145</f>
        <v>-319368727.12080789</v>
      </c>
      <c r="S145">
        <f t="shared" ref="S145" si="703">R145/100000</f>
        <v>-3193.687271208079</v>
      </c>
      <c r="T145">
        <f t="shared" ref="T145" si="704">S145/1000</f>
        <v>-3.1936872712080788</v>
      </c>
    </row>
    <row r="146" spans="1:20" x14ac:dyDescent="0.25">
      <c r="A146" s="5">
        <v>44447</v>
      </c>
      <c r="B146">
        <v>4.9669999999999999E-2</v>
      </c>
      <c r="C146">
        <v>5.1020000000000003E-2</v>
      </c>
      <c r="D146">
        <v>4.3700000000000003E-2</v>
      </c>
      <c r="E146">
        <v>4.8480000000000002E-2</v>
      </c>
      <c r="F146">
        <v>102120402</v>
      </c>
      <c r="G146">
        <v>4.8480000000000002E-2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0.30601092896174847</v>
      </c>
      <c r="Q146">
        <f t="shared" ref="Q146" si="706">F146*P146</f>
        <v>31249959.081967197</v>
      </c>
      <c r="R146">
        <f t="shared" ref="R146" si="707">R147+Q146</f>
        <v>-331321021.09041387</v>
      </c>
      <c r="S146">
        <f t="shared" ref="S146" si="708">R146/100000</f>
        <v>-3313.2102109041389</v>
      </c>
      <c r="T146">
        <f t="shared" ref="T146" si="709">S146/1000</f>
        <v>-3.3132102109041388</v>
      </c>
    </row>
    <row r="147" spans="1:20" x14ac:dyDescent="0.25">
      <c r="A147" s="5">
        <v>44446</v>
      </c>
      <c r="B147">
        <v>6.5269999999999995E-2</v>
      </c>
      <c r="C147">
        <v>6.5939999999999999E-2</v>
      </c>
      <c r="D147">
        <v>4.1200000000000001E-2</v>
      </c>
      <c r="E147">
        <v>4.9579999999999999E-2</v>
      </c>
      <c r="F147">
        <v>186662284.09999999</v>
      </c>
      <c r="G147">
        <v>4.9579999999999999E-2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-0.32255456750202111</v>
      </c>
      <c r="Q147">
        <f t="shared" ref="Q147" si="711">F147*P147</f>
        <v>-60208772.316814892</v>
      </c>
      <c r="R147">
        <f t="shared" ref="R147" si="712">R148+Q147</f>
        <v>-362570980.17238104</v>
      </c>
      <c r="S147">
        <f t="shared" ref="S147" si="713">R147/100000</f>
        <v>-3625.7098017238104</v>
      </c>
      <c r="T147">
        <f t="shared" ref="T147" si="714">S147/1000</f>
        <v>-3.6257098017238105</v>
      </c>
    </row>
    <row r="148" spans="1:20" x14ac:dyDescent="0.25">
      <c r="A148" s="5">
        <v>44445</v>
      </c>
      <c r="B148">
        <v>6.6290000000000002E-2</v>
      </c>
      <c r="C148">
        <v>6.8500000000000005E-2</v>
      </c>
      <c r="D148">
        <v>5.9520000000000003E-2</v>
      </c>
      <c r="E148">
        <v>6.5269999999999995E-2</v>
      </c>
      <c r="F148">
        <v>80098770.700000003</v>
      </c>
      <c r="G148">
        <v>6.5269999999999995E-2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0.28062360801781516</v>
      </c>
      <c r="Q148">
        <f t="shared" ref="Q148" si="716">F148*P148</f>
        <v>22477606.031625658</v>
      </c>
      <c r="R148">
        <f t="shared" ref="R148" si="717">R149+Q148</f>
        <v>-302362207.85556614</v>
      </c>
      <c r="S148">
        <f t="shared" ref="S148" si="718">R148/100000</f>
        <v>-3023.6220785556616</v>
      </c>
      <c r="T148">
        <f t="shared" ref="T148" si="719">S148/1000</f>
        <v>-3.0236220785556616</v>
      </c>
    </row>
    <row r="149" spans="1:20" x14ac:dyDescent="0.25">
      <c r="A149" s="5">
        <v>44444</v>
      </c>
      <c r="B149">
        <v>6.3270000000000007E-2</v>
      </c>
      <c r="C149">
        <v>6.7339999999999997E-2</v>
      </c>
      <c r="D149">
        <v>6.2689999999999996E-2</v>
      </c>
      <c r="E149">
        <v>6.6290000000000002E-2</v>
      </c>
      <c r="F149">
        <v>88062857.200000003</v>
      </c>
      <c r="G149">
        <v>6.6290000000000002E-2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0.54838709677419561</v>
      </c>
      <c r="Q149">
        <f t="shared" ref="Q149" si="721">F149*P149</f>
        <v>48292534.593548574</v>
      </c>
      <c r="R149">
        <f t="shared" ref="R149" si="722">R150+Q149</f>
        <v>-324839813.88719183</v>
      </c>
      <c r="S149">
        <f t="shared" ref="S149" si="723">R149/100000</f>
        <v>-3248.3981388719185</v>
      </c>
      <c r="T149">
        <f t="shared" ref="T149" si="724">S149/1000</f>
        <v>-3.2483981388719183</v>
      </c>
    </row>
    <row r="150" spans="1:20" x14ac:dyDescent="0.25">
      <c r="A150" s="5">
        <v>44443</v>
      </c>
      <c r="B150">
        <v>6.139E-2</v>
      </c>
      <c r="C150">
        <v>6.5320000000000003E-2</v>
      </c>
      <c r="D150">
        <v>6.1150000000000003E-2</v>
      </c>
      <c r="E150">
        <v>6.3250000000000001E-2</v>
      </c>
      <c r="F150">
        <v>88133289.599999994</v>
      </c>
      <c r="G150">
        <v>6.3250000000000001E-2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7.1942446043154213E-3</v>
      </c>
      <c r="Q150">
        <f t="shared" ref="Q150" si="726">F150*P150</f>
        <v>634052.4431653684</v>
      </c>
      <c r="R150">
        <f t="shared" ref="R150" si="727">R151+Q150</f>
        <v>-373132348.48074043</v>
      </c>
      <c r="S150">
        <f t="shared" ref="S150" si="728">R150/100000</f>
        <v>-3731.3234848074044</v>
      </c>
      <c r="T150">
        <f t="shared" ref="T150" si="729">S150/1000</f>
        <v>-3.7313234848074042</v>
      </c>
    </row>
    <row r="151" spans="1:20" x14ac:dyDescent="0.25">
      <c r="A151" s="5">
        <v>44442</v>
      </c>
      <c r="B151">
        <v>6.0389999999999999E-2</v>
      </c>
      <c r="C151">
        <v>6.6000000000000003E-2</v>
      </c>
      <c r="D151">
        <v>5.9299999999999999E-2</v>
      </c>
      <c r="E151">
        <v>6.1449999999999998E-2</v>
      </c>
      <c r="F151">
        <v>87792043.200000003</v>
      </c>
      <c r="G151">
        <v>6.1449999999999998E-2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-0.3582089552238813</v>
      </c>
      <c r="Q151">
        <f t="shared" ref="Q151" si="731">F151*P151</f>
        <v>-31447896.071641855</v>
      </c>
      <c r="R151">
        <f t="shared" ref="R151" si="732">R152+Q151</f>
        <v>-373766400.92390579</v>
      </c>
      <c r="S151">
        <f t="shared" ref="S151" si="733">R151/100000</f>
        <v>-3737.664009239058</v>
      </c>
      <c r="T151">
        <f t="shared" ref="T151" si="734">S151/1000</f>
        <v>-3.7376640092390581</v>
      </c>
    </row>
    <row r="152" spans="1:20" x14ac:dyDescent="0.25">
      <c r="A152" s="5">
        <v>44441</v>
      </c>
      <c r="B152">
        <v>6.0760000000000002E-2</v>
      </c>
      <c r="C152">
        <v>6.2E-2</v>
      </c>
      <c r="D152">
        <v>5.9310000000000002E-2</v>
      </c>
      <c r="E152">
        <v>6.0350000000000001E-2</v>
      </c>
      <c r="F152">
        <v>72250801.400000006</v>
      </c>
      <c r="G152">
        <v>6.0350000000000001E-2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-0.22676579925650553</v>
      </c>
      <c r="Q152">
        <f t="shared" ref="Q152" si="736">F152*P152</f>
        <v>-16384010.72639405</v>
      </c>
      <c r="R152">
        <f t="shared" ref="R152" si="737">R153+Q152</f>
        <v>-342318504.85226393</v>
      </c>
      <c r="S152">
        <f t="shared" ref="S152" si="738">R152/100000</f>
        <v>-3423.1850485226391</v>
      </c>
      <c r="T152">
        <f t="shared" ref="T152" si="739">S152/1000</f>
        <v>-3.4231850485226389</v>
      </c>
    </row>
    <row r="153" spans="1:20" x14ac:dyDescent="0.25">
      <c r="A153" s="5">
        <v>44440</v>
      </c>
      <c r="B153">
        <v>5.8659999999999997E-2</v>
      </c>
      <c r="C153">
        <v>6.1449999999999998E-2</v>
      </c>
      <c r="D153">
        <v>5.6959999999999997E-2</v>
      </c>
      <c r="E153">
        <v>6.0749999999999998E-2</v>
      </c>
      <c r="F153">
        <v>57705530.5</v>
      </c>
      <c r="G153">
        <v>6.0749999999999998E-2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0.68819599109131446</v>
      </c>
      <c r="Q153">
        <f t="shared" ref="Q153" si="741">F153*P153</f>
        <v>39712714.753897578</v>
      </c>
      <c r="R153">
        <f t="shared" ref="R153" si="742">R154+Q153</f>
        <v>-325934494.12586987</v>
      </c>
      <c r="S153">
        <f t="shared" ref="S153" si="743">R153/100000</f>
        <v>-3259.3449412586988</v>
      </c>
      <c r="T153">
        <f t="shared" ref="T153" si="744">S153/1000</f>
        <v>-3.259344941258699</v>
      </c>
    </row>
    <row r="154" spans="1:20" x14ac:dyDescent="0.25">
      <c r="A154" s="5">
        <v>44439</v>
      </c>
      <c r="B154">
        <v>5.7880000000000001E-2</v>
      </c>
      <c r="C154">
        <v>6.0470000000000003E-2</v>
      </c>
      <c r="D154">
        <v>5.6759999999999998E-2</v>
      </c>
      <c r="E154">
        <v>5.867E-2</v>
      </c>
      <c r="F154">
        <v>79100249.5</v>
      </c>
      <c r="G154">
        <v>5.867E-2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2.9649595687331224E-2</v>
      </c>
      <c r="Q154">
        <f t="shared" ref="Q154" si="746">F154*P154</f>
        <v>2345290.4164420236</v>
      </c>
      <c r="R154">
        <f t="shared" ref="R154" si="747">R155+Q154</f>
        <v>-365647208.87976748</v>
      </c>
      <c r="S154">
        <f t="shared" ref="S154" si="748">R154/100000</f>
        <v>-3656.4720887976746</v>
      </c>
      <c r="T154">
        <f t="shared" ref="T154" si="749">S154/1000</f>
        <v>-3.6564720887976745</v>
      </c>
    </row>
    <row r="155" spans="1:20" x14ac:dyDescent="0.25">
      <c r="A155" s="5">
        <v>44438</v>
      </c>
      <c r="B155">
        <v>5.8869999999999999E-2</v>
      </c>
      <c r="C155">
        <v>6.1629999999999997E-2</v>
      </c>
      <c r="D155">
        <v>5.7259999999999998E-2</v>
      </c>
      <c r="E155">
        <v>5.7889999999999997E-2</v>
      </c>
      <c r="F155">
        <v>86168814.299999997</v>
      </c>
      <c r="G155">
        <v>5.7889999999999997E-2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-0.71167048054919968</v>
      </c>
      <c r="Q155">
        <f t="shared" ref="Q155" si="751">F155*P155</f>
        <v>-61323801.48123575</v>
      </c>
      <c r="R155">
        <f t="shared" ref="R155" si="752">R156+Q155</f>
        <v>-367992499.29620951</v>
      </c>
      <c r="S155">
        <f t="shared" ref="S155" si="753">R155/100000</f>
        <v>-3679.9249929620951</v>
      </c>
      <c r="T155">
        <f t="shared" ref="T155" si="754">S155/1000</f>
        <v>-3.679924992962095</v>
      </c>
    </row>
    <row r="156" spans="1:20" x14ac:dyDescent="0.25">
      <c r="A156" s="5">
        <v>44437</v>
      </c>
      <c r="B156">
        <v>5.8930000000000003E-2</v>
      </c>
      <c r="C156">
        <v>6.0420000000000001E-2</v>
      </c>
      <c r="D156">
        <v>5.6529999999999997E-2</v>
      </c>
      <c r="E156">
        <v>5.8810000000000001E-2</v>
      </c>
      <c r="F156">
        <v>54804929</v>
      </c>
      <c r="G156">
        <v>5.8810000000000001E-2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0.17223650385604194</v>
      </c>
      <c r="Q156">
        <f t="shared" ref="Q156" si="756">F156*P156</f>
        <v>9439409.3650386054</v>
      </c>
      <c r="R156">
        <f t="shared" ref="R156" si="757">R157+Q156</f>
        <v>-306668697.81497377</v>
      </c>
      <c r="S156">
        <f t="shared" ref="S156" si="758">R156/100000</f>
        <v>-3066.6869781497376</v>
      </c>
      <c r="T156">
        <f t="shared" ref="T156" si="759">S156/1000</f>
        <v>-3.0666869781497375</v>
      </c>
    </row>
    <row r="157" spans="1:20" x14ac:dyDescent="0.25">
      <c r="A157" s="5">
        <v>44436</v>
      </c>
      <c r="B157">
        <v>5.7959999999999998E-2</v>
      </c>
      <c r="C157">
        <v>6.1899999999999997E-2</v>
      </c>
      <c r="D157">
        <v>5.6320000000000002E-2</v>
      </c>
      <c r="E157">
        <v>5.8889999999999998E-2</v>
      </c>
      <c r="F157">
        <v>92585428.5</v>
      </c>
      <c r="G157">
        <v>5.8889999999999998E-2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-7.885304659498267E-2</v>
      </c>
      <c r="Q157">
        <f t="shared" ref="Q157" si="761">F157*P157</f>
        <v>-7300643.1075269366</v>
      </c>
      <c r="R157">
        <f t="shared" ref="R157" si="762">R158+Q157</f>
        <v>-316108107.1800124</v>
      </c>
      <c r="S157">
        <f t="shared" ref="S157" si="763">R157/100000</f>
        <v>-3161.0810718001239</v>
      </c>
      <c r="T157">
        <f t="shared" ref="T157" si="764">S157/1000</f>
        <v>-3.1610810718001239</v>
      </c>
    </row>
    <row r="158" spans="1:20" x14ac:dyDescent="0.25">
      <c r="A158" s="5">
        <v>44435</v>
      </c>
      <c r="B158">
        <v>5.5169999999999997E-2</v>
      </c>
      <c r="C158">
        <v>5.8979999999999998E-2</v>
      </c>
      <c r="D158">
        <v>5.2569999999999999E-2</v>
      </c>
      <c r="E158">
        <v>5.7950000000000002E-2</v>
      </c>
      <c r="F158">
        <v>83649647.599999994</v>
      </c>
      <c r="G158">
        <v>5.7950000000000002E-2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0.67862714508580457</v>
      </c>
      <c r="Q158">
        <f t="shared" ref="Q158" si="766">F158*P158</f>
        <v>56766921.53822162</v>
      </c>
      <c r="R158">
        <f t="shared" ref="R158" si="767">R159+Q158</f>
        <v>-308807464.07248545</v>
      </c>
      <c r="S158">
        <f t="shared" ref="S158" si="768">R158/100000</f>
        <v>-3088.0746407248544</v>
      </c>
      <c r="T158">
        <f t="shared" ref="T158" si="769">S158/1000</f>
        <v>-3.0880746407248543</v>
      </c>
    </row>
    <row r="159" spans="1:20" x14ac:dyDescent="0.25">
      <c r="A159" s="5">
        <v>44434</v>
      </c>
      <c r="B159">
        <v>6.0359999999999997E-2</v>
      </c>
      <c r="C159">
        <v>6.1400000000000003E-2</v>
      </c>
      <c r="D159">
        <v>5.3999999999999999E-2</v>
      </c>
      <c r="E159">
        <v>5.5070000000000001E-2</v>
      </c>
      <c r="F159">
        <v>89924621.700000003</v>
      </c>
      <c r="G159">
        <v>5.5070000000000001E-2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-0.71081081081081054</v>
      </c>
      <c r="Q159">
        <f t="shared" ref="Q159" si="771">F159*P159</f>
        <v>-63919393.262432411</v>
      </c>
      <c r="R159">
        <f t="shared" ref="R159" si="772">R160+Q159</f>
        <v>-365574385.61070704</v>
      </c>
      <c r="S159">
        <f t="shared" ref="S159" si="773">R159/100000</f>
        <v>-3655.7438561070703</v>
      </c>
      <c r="T159">
        <f t="shared" ref="T159" si="774">S159/1000</f>
        <v>-3.6557438561070703</v>
      </c>
    </row>
    <row r="160" spans="1:20" x14ac:dyDescent="0.25">
      <c r="A160" s="5">
        <v>44433</v>
      </c>
      <c r="B160">
        <v>5.62E-2</v>
      </c>
      <c r="C160">
        <v>6.2330000000000003E-2</v>
      </c>
      <c r="D160">
        <v>5.3929999999999999E-2</v>
      </c>
      <c r="E160">
        <v>6.0380000000000003E-2</v>
      </c>
      <c r="F160">
        <v>158177446.80000001</v>
      </c>
      <c r="G160">
        <v>6.0380000000000003E-2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0.53571428571428592</v>
      </c>
      <c r="Q160">
        <f t="shared" ref="Q160" si="776">F160*P160</f>
        <v>84737917.928571463</v>
      </c>
      <c r="R160">
        <f t="shared" ref="R160" si="777">R161+Q160</f>
        <v>-301654992.34827465</v>
      </c>
      <c r="S160">
        <f t="shared" ref="S160" si="778">R160/100000</f>
        <v>-3016.5499234827466</v>
      </c>
      <c r="T160">
        <f t="shared" ref="T160" si="779">S160/1000</f>
        <v>-3.0165499234827466</v>
      </c>
    </row>
    <row r="161" spans="1:20" x14ac:dyDescent="0.25">
      <c r="A161" s="5">
        <v>44432</v>
      </c>
      <c r="B161">
        <v>6.2480000000000001E-2</v>
      </c>
      <c r="C161">
        <v>6.318E-2</v>
      </c>
      <c r="D161">
        <v>5.561E-2</v>
      </c>
      <c r="E161">
        <v>5.6239999999999998E-2</v>
      </c>
      <c r="F161">
        <v>80713128</v>
      </c>
      <c r="G161">
        <v>5.6239999999999998E-2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-0.83355350066050238</v>
      </c>
      <c r="Q161">
        <f t="shared" ref="Q161" si="781">F161*P161</f>
        <v>-67278710.393659219</v>
      </c>
      <c r="R161">
        <f t="shared" ref="R161" si="782">R162+Q161</f>
        <v>-386392910.27684611</v>
      </c>
      <c r="S161">
        <f t="shared" ref="S161" si="783">R161/100000</f>
        <v>-3863.9291027684612</v>
      </c>
      <c r="T161">
        <f t="shared" ref="T161" si="784">S161/1000</f>
        <v>-3.863929102768461</v>
      </c>
    </row>
    <row r="162" spans="1:20" x14ac:dyDescent="0.25">
      <c r="A162" s="5">
        <v>44431</v>
      </c>
      <c r="B162">
        <v>6.1269999999999998E-2</v>
      </c>
      <c r="C162">
        <v>6.4479999999999996E-2</v>
      </c>
      <c r="D162">
        <v>6.0650000000000003E-2</v>
      </c>
      <c r="E162">
        <v>6.25E-2</v>
      </c>
      <c r="F162">
        <v>109130472.5</v>
      </c>
      <c r="G162">
        <v>6.25E-2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-3.3942558746735879E-2</v>
      </c>
      <c r="Q162">
        <f t="shared" ref="Q162" si="786">F162*P162</f>
        <v>-3704167.4738902943</v>
      </c>
      <c r="R162">
        <f t="shared" ref="R162" si="787">R163+Q162</f>
        <v>-319114199.88318688</v>
      </c>
      <c r="S162">
        <f t="shared" ref="S162" si="788">R162/100000</f>
        <v>-3191.1419988318689</v>
      </c>
      <c r="T162">
        <f t="shared" ref="T162" si="789">S162/1000</f>
        <v>-3.1911419988318688</v>
      </c>
    </row>
    <row r="163" spans="1:20" x14ac:dyDescent="0.25">
      <c r="A163" s="5">
        <v>44430</v>
      </c>
      <c r="B163">
        <v>5.9540000000000003E-2</v>
      </c>
      <c r="C163">
        <v>6.096E-2</v>
      </c>
      <c r="D163">
        <v>5.9110000000000003E-2</v>
      </c>
      <c r="E163">
        <v>6.0380000000000003E-2</v>
      </c>
      <c r="F163">
        <v>14780260.9</v>
      </c>
      <c r="G163">
        <v>6.0380000000000003E-2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0.37297297297297516</v>
      </c>
      <c r="Q163">
        <f t="shared" ref="Q163" si="791">F163*P163</f>
        <v>5512637.8491892219</v>
      </c>
      <c r="R163">
        <f t="shared" ref="R163" si="792">R164+Q163</f>
        <v>-315410032.40929657</v>
      </c>
      <c r="S163">
        <f t="shared" ref="S163" si="793">R163/100000</f>
        <v>-3154.1003240929658</v>
      </c>
      <c r="T163">
        <f t="shared" ref="T163" si="794">S163/1000</f>
        <v>-3.1541003240929659</v>
      </c>
    </row>
    <row r="164" spans="1:20" x14ac:dyDescent="0.25">
      <c r="A164" s="5">
        <v>44429</v>
      </c>
      <c r="B164">
        <v>5.9339999999999997E-2</v>
      </c>
      <c r="C164">
        <v>6.1690000000000002E-2</v>
      </c>
      <c r="D164">
        <v>5.7329999999999999E-2</v>
      </c>
      <c r="E164">
        <v>5.9520000000000003E-2</v>
      </c>
      <c r="F164">
        <v>83742580.599999994</v>
      </c>
      <c r="G164">
        <v>5.9520000000000003E-2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4.5871559633041542E-3</v>
      </c>
      <c r="Q164">
        <f t="shared" ref="Q164" si="796">F164*P164</f>
        <v>384140.27798176877</v>
      </c>
      <c r="R164">
        <f t="shared" ref="R164" si="797">R165+Q164</f>
        <v>-320922670.25848579</v>
      </c>
      <c r="S164">
        <f t="shared" ref="S164" si="798">R164/100000</f>
        <v>-3209.2267025848578</v>
      </c>
      <c r="T164">
        <f t="shared" ref="T164" si="799">S164/1000</f>
        <v>-3.209226702584858</v>
      </c>
    </row>
    <row r="165" spans="1:20" x14ac:dyDescent="0.25">
      <c r="A165" s="5">
        <v>44428</v>
      </c>
      <c r="B165">
        <v>5.722E-2</v>
      </c>
      <c r="C165">
        <v>5.9970000000000002E-2</v>
      </c>
      <c r="D165">
        <v>5.6500000000000002E-2</v>
      </c>
      <c r="E165">
        <v>5.9310000000000002E-2</v>
      </c>
      <c r="F165">
        <v>59689455.399999999</v>
      </c>
      <c r="G165">
        <v>5.9310000000000002E-2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0.61959654178674306</v>
      </c>
      <c r="Q165">
        <f t="shared" ref="Q165" si="801">F165*P165</f>
        <v>36983380.146974035</v>
      </c>
      <c r="R165">
        <f t="shared" ref="R165" si="802">R166+Q165</f>
        <v>-321306810.53646755</v>
      </c>
      <c r="S165">
        <f t="shared" ref="S165" si="803">R165/100000</f>
        <v>-3213.0681053646754</v>
      </c>
      <c r="T165">
        <f t="shared" ref="T165" si="804">S165/1000</f>
        <v>-3.2130681053646755</v>
      </c>
    </row>
    <row r="166" spans="1:20" x14ac:dyDescent="0.25">
      <c r="A166" s="5">
        <v>44427</v>
      </c>
      <c r="B166">
        <v>5.423E-2</v>
      </c>
      <c r="C166">
        <v>5.8630000000000002E-2</v>
      </c>
      <c r="D166">
        <v>5.2720000000000003E-2</v>
      </c>
      <c r="E166">
        <v>5.7189999999999998E-2</v>
      </c>
      <c r="F166">
        <v>70650930.900000006</v>
      </c>
      <c r="G166">
        <v>5.7189999999999998E-2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0.51269035532994789</v>
      </c>
      <c r="Q166">
        <f t="shared" ref="Q166" si="806">F166*P166</f>
        <v>36222050.867512599</v>
      </c>
      <c r="R166">
        <f t="shared" ref="R166" si="807">R167+Q166</f>
        <v>-358290190.68344158</v>
      </c>
      <c r="S166">
        <f t="shared" ref="S166" si="808">R166/100000</f>
        <v>-3582.901906834416</v>
      </c>
      <c r="T166">
        <f t="shared" ref="T166" si="809">S166/1000</f>
        <v>-3.5829019068344161</v>
      </c>
    </row>
    <row r="167" spans="1:20" x14ac:dyDescent="0.25">
      <c r="A167" s="5">
        <v>44426</v>
      </c>
      <c r="B167">
        <v>5.4870000000000002E-2</v>
      </c>
      <c r="C167">
        <v>5.74E-2</v>
      </c>
      <c r="D167">
        <v>5.067E-2</v>
      </c>
      <c r="E167">
        <v>5.391E-2</v>
      </c>
      <c r="F167">
        <v>94142918.799999997</v>
      </c>
      <c r="G167">
        <v>5.391E-2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-3.7147102526003006E-2</v>
      </c>
      <c r="Q167">
        <f t="shared" ref="Q167" si="811">F167*P167</f>
        <v>-3497136.6567607759</v>
      </c>
      <c r="R167">
        <f t="shared" ref="R167" si="812">R168+Q167</f>
        <v>-394512241.55095416</v>
      </c>
      <c r="S167">
        <f t="shared" ref="S167" si="813">R167/100000</f>
        <v>-3945.1224155095415</v>
      </c>
      <c r="T167">
        <f t="shared" ref="T167" si="814">S167/1000</f>
        <v>-3.9451224155095415</v>
      </c>
    </row>
    <row r="168" spans="1:20" x14ac:dyDescent="0.25">
      <c r="A168" s="5">
        <v>44425</v>
      </c>
      <c r="B168">
        <v>5.8029999999999998E-2</v>
      </c>
      <c r="C168">
        <v>6.241E-2</v>
      </c>
      <c r="D168">
        <v>5.4019999999999999E-2</v>
      </c>
      <c r="E168">
        <v>5.4789999999999998E-2</v>
      </c>
      <c r="F168">
        <v>93312553.200000003</v>
      </c>
      <c r="G168">
        <v>5.4789999999999998E-2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-0.81644815256257453</v>
      </c>
      <c r="Q168">
        <f t="shared" ref="Q168" si="816">F168*P168</f>
        <v>-76184861.671036959</v>
      </c>
      <c r="R168">
        <f t="shared" ref="R168" si="817">R169+Q168</f>
        <v>-391015104.89419341</v>
      </c>
      <c r="S168">
        <f t="shared" ref="S168" si="818">R168/100000</f>
        <v>-3910.1510489419343</v>
      </c>
      <c r="T168">
        <f t="shared" ref="T168" si="819">S168/1000</f>
        <v>-3.9101510489419344</v>
      </c>
    </row>
    <row r="169" spans="1:20" x14ac:dyDescent="0.25">
      <c r="A169" s="5">
        <v>44424</v>
      </c>
      <c r="B169">
        <v>6.0040000000000003E-2</v>
      </c>
      <c r="C169">
        <v>6.1800000000000001E-2</v>
      </c>
      <c r="D169">
        <v>5.7500000000000002E-2</v>
      </c>
      <c r="E169">
        <v>5.7950000000000002E-2</v>
      </c>
      <c r="F169">
        <v>82843400.599999994</v>
      </c>
      <c r="G169">
        <v>5.7950000000000002E-2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-0.79069767441860506</v>
      </c>
      <c r="Q169">
        <f t="shared" ref="Q169" si="821">F169*P169</f>
        <v>-65504084.195348866</v>
      </c>
      <c r="R169">
        <f t="shared" ref="R169" si="822">R170+Q169</f>
        <v>-314830243.22315645</v>
      </c>
      <c r="S169">
        <f t="shared" ref="S169" si="823">R169/100000</f>
        <v>-3148.3024322315646</v>
      </c>
      <c r="T169">
        <f t="shared" ref="T169" si="824">S169/1000</f>
        <v>-3.1483024322315645</v>
      </c>
    </row>
    <row r="170" spans="1:20" x14ac:dyDescent="0.25">
      <c r="A170" s="5">
        <v>44423</v>
      </c>
      <c r="B170">
        <v>5.7729999999999997E-2</v>
      </c>
      <c r="C170">
        <v>6.0639999999999999E-2</v>
      </c>
      <c r="D170">
        <v>5.5300000000000002E-2</v>
      </c>
      <c r="E170">
        <v>5.9929999999999997E-2</v>
      </c>
      <c r="F170">
        <v>124929699.7</v>
      </c>
      <c r="G170">
        <v>5.9929999999999997E-2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0.73408239700374434</v>
      </c>
      <c r="Q170">
        <f t="shared" ref="Q170" si="826">F170*P170</f>
        <v>91708693.412733957</v>
      </c>
      <c r="R170">
        <f t="shared" ref="R170" si="827">R171+Q170</f>
        <v>-249326159.02780759</v>
      </c>
      <c r="S170">
        <f t="shared" ref="S170" si="828">R170/100000</f>
        <v>-2493.2615902780758</v>
      </c>
      <c r="T170">
        <f t="shared" ref="T170" si="829">S170/1000</f>
        <v>-2.4932615902780757</v>
      </c>
    </row>
    <row r="171" spans="1:20" x14ac:dyDescent="0.25">
      <c r="A171" s="5">
        <v>44422</v>
      </c>
      <c r="B171">
        <v>5.7599999999999998E-2</v>
      </c>
      <c r="C171">
        <v>5.9950000000000003E-2</v>
      </c>
      <c r="D171">
        <v>5.5480000000000002E-2</v>
      </c>
      <c r="E171">
        <v>5.7729999999999997E-2</v>
      </c>
      <c r="F171">
        <v>80496675</v>
      </c>
      <c r="G171">
        <v>5.7729999999999997E-2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6.7114093959705495E-3</v>
      </c>
      <c r="Q171">
        <f t="shared" ref="Q171" si="831">F171*P171</f>
        <v>540246.14093938761</v>
      </c>
      <c r="R171">
        <f t="shared" ref="R171" si="832">R172+Q171</f>
        <v>-341034852.44054157</v>
      </c>
      <c r="S171">
        <f t="shared" ref="S171" si="833">R171/100000</f>
        <v>-3410.3485244054154</v>
      </c>
      <c r="T171">
        <f t="shared" ref="T171" si="834">S171/1000</f>
        <v>-3.4103485244054155</v>
      </c>
    </row>
    <row r="172" spans="1:20" x14ac:dyDescent="0.25">
      <c r="A172" s="5">
        <v>44421</v>
      </c>
      <c r="B172">
        <v>5.4219999999999997E-2</v>
      </c>
      <c r="C172">
        <v>5.7770000000000002E-2</v>
      </c>
      <c r="D172">
        <v>5.3199999999999997E-2</v>
      </c>
      <c r="E172">
        <v>5.7599999999999998E-2</v>
      </c>
      <c r="F172">
        <v>70954748.200000003</v>
      </c>
      <c r="G172">
        <v>5.7599999999999998E-2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0.92560175054704452</v>
      </c>
      <c r="Q172">
        <f t="shared" ref="Q172" si="836">F172*P172</f>
        <v>65675839.143544756</v>
      </c>
      <c r="R172">
        <f t="shared" ref="R172" si="837">R173+Q172</f>
        <v>-341575098.58148098</v>
      </c>
      <c r="S172">
        <f t="shared" ref="S172" si="838">R172/100000</f>
        <v>-3415.7509858148096</v>
      </c>
      <c r="T172">
        <f t="shared" ref="T172" si="839">S172/1000</f>
        <v>-3.4157509858148094</v>
      </c>
    </row>
    <row r="173" spans="1:20" x14ac:dyDescent="0.25">
      <c r="A173" s="5">
        <v>44420</v>
      </c>
      <c r="B173">
        <v>5.5739999999999998E-2</v>
      </c>
      <c r="C173">
        <v>5.8000000000000003E-2</v>
      </c>
      <c r="D173">
        <v>5.0549999999999998E-2</v>
      </c>
      <c r="E173">
        <v>5.4219999999999997E-2</v>
      </c>
      <c r="F173">
        <v>115394371.09999999</v>
      </c>
      <c r="G173">
        <v>5.4219999999999997E-2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-1.4765100671141725E-2</v>
      </c>
      <c r="Q173">
        <f t="shared" ref="Q173" si="841">F173*P173</f>
        <v>-1703809.5061745872</v>
      </c>
      <c r="R173">
        <f t="shared" ref="R173" si="842">R174+Q173</f>
        <v>-407250937.72502571</v>
      </c>
      <c r="S173">
        <f t="shared" ref="S173" si="843">R173/100000</f>
        <v>-4072.5093772502573</v>
      </c>
      <c r="T173">
        <f t="shared" ref="T173" si="844">S173/1000</f>
        <v>-4.072509377250257</v>
      </c>
    </row>
    <row r="174" spans="1:20" x14ac:dyDescent="0.25">
      <c r="A174" s="5">
        <v>44419</v>
      </c>
      <c r="B174">
        <v>5.1999999999999998E-2</v>
      </c>
      <c r="C174">
        <v>5.8810000000000001E-2</v>
      </c>
      <c r="D174">
        <v>5.1830000000000001E-2</v>
      </c>
      <c r="E174">
        <v>5.5710000000000003E-2</v>
      </c>
      <c r="F174">
        <v>135333708.09999999</v>
      </c>
      <c r="G174">
        <v>5.5710000000000003E-2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0.11174785100286574</v>
      </c>
      <c r="Q174">
        <f t="shared" ref="Q174" si="846">F174*P174</f>
        <v>15123251.048424125</v>
      </c>
      <c r="R174">
        <f t="shared" ref="R174" si="847">R175+Q174</f>
        <v>-405547128.21885115</v>
      </c>
      <c r="S174">
        <f t="shared" ref="S174" si="848">R174/100000</f>
        <v>-4055.4712821885114</v>
      </c>
      <c r="T174">
        <f t="shared" ref="T174" si="849">S174/1000</f>
        <v>-4.0554712821885115</v>
      </c>
    </row>
    <row r="175" spans="1:20" x14ac:dyDescent="0.25">
      <c r="A175" s="5">
        <v>44418</v>
      </c>
      <c r="B175">
        <v>5.1810000000000002E-2</v>
      </c>
      <c r="C175">
        <v>5.3859999999999998E-2</v>
      </c>
      <c r="D175">
        <v>5.0009999999999999E-2</v>
      </c>
      <c r="E175">
        <v>5.203E-2</v>
      </c>
      <c r="F175">
        <v>87765939.099999994</v>
      </c>
      <c r="G175">
        <v>5.203E-2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4.9350649350650054E-2</v>
      </c>
      <c r="Q175">
        <f t="shared" ref="Q175" si="851">F175*P175</f>
        <v>4331306.0854546065</v>
      </c>
      <c r="R175">
        <f t="shared" ref="R175" si="852">R176+Q175</f>
        <v>-420670379.26727527</v>
      </c>
      <c r="S175">
        <f t="shared" ref="S175" si="853">R175/100000</f>
        <v>-4206.7037926727526</v>
      </c>
      <c r="T175">
        <f t="shared" ref="T175" si="854">S175/1000</f>
        <v>-4.2067037926727524</v>
      </c>
    </row>
    <row r="176" spans="1:20" x14ac:dyDescent="0.25">
      <c r="A176" s="5">
        <v>44417</v>
      </c>
      <c r="B176">
        <v>4.8280000000000003E-2</v>
      </c>
      <c r="C176">
        <v>5.466E-2</v>
      </c>
      <c r="D176">
        <v>4.6379999999999998E-2</v>
      </c>
      <c r="E176">
        <v>5.1749999999999997E-2</v>
      </c>
      <c r="F176">
        <v>102189522.09999999</v>
      </c>
      <c r="G176">
        <v>5.1749999999999997E-2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0.29710144927536186</v>
      </c>
      <c r="Q176">
        <f t="shared" ref="Q176" si="856">F176*P176</f>
        <v>30360655.116666619</v>
      </c>
      <c r="R176">
        <f t="shared" ref="R176" si="857">R177+Q176</f>
        <v>-425001685.35272986</v>
      </c>
      <c r="S176">
        <f t="shared" ref="S176" si="858">R176/100000</f>
        <v>-4250.0168535272987</v>
      </c>
      <c r="T176">
        <f t="shared" ref="T176" si="859">S176/1000</f>
        <v>-4.2500168535272991</v>
      </c>
    </row>
    <row r="177" spans="1:20" x14ac:dyDescent="0.25">
      <c r="A177" s="5">
        <v>44416</v>
      </c>
      <c r="B177">
        <v>4.9239999999999999E-2</v>
      </c>
      <c r="C177">
        <v>5.2580000000000002E-2</v>
      </c>
      <c r="D177">
        <v>4.7500000000000001E-2</v>
      </c>
      <c r="E177">
        <v>4.8230000000000002E-2</v>
      </c>
      <c r="F177">
        <v>103713454.2</v>
      </c>
      <c r="G177">
        <v>4.8230000000000002E-2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-0.71259842519684991</v>
      </c>
      <c r="Q177">
        <f t="shared" ref="Q177" si="861">F177*P177</f>
        <v>-73906044.134645626</v>
      </c>
      <c r="R177">
        <f t="shared" ref="R177" si="862">R178+Q177</f>
        <v>-455362340.46939647</v>
      </c>
      <c r="S177">
        <f t="shared" ref="S177" si="863">R177/100000</f>
        <v>-4553.6234046939644</v>
      </c>
      <c r="T177">
        <f t="shared" ref="T177" si="864">S177/1000</f>
        <v>-4.5536234046939645</v>
      </c>
    </row>
    <row r="178" spans="1:20" x14ac:dyDescent="0.25">
      <c r="A178" s="5">
        <v>44415</v>
      </c>
      <c r="B178">
        <v>4.8039999999999999E-2</v>
      </c>
      <c r="C178">
        <v>5.0700000000000002E-2</v>
      </c>
      <c r="D178">
        <v>4.7570000000000001E-2</v>
      </c>
      <c r="E178">
        <v>4.9189999999999998E-2</v>
      </c>
      <c r="F178">
        <v>60210143.100000001</v>
      </c>
      <c r="G178">
        <v>4.9189999999999998E-2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3.514376996804857E-2</v>
      </c>
      <c r="Q178">
        <f t="shared" ref="Q178" si="866">F178*P178</f>
        <v>2116011.4188496871</v>
      </c>
      <c r="R178">
        <f t="shared" ref="R178" si="867">R179+Q178</f>
        <v>-381456296.33475083</v>
      </c>
      <c r="S178">
        <f t="shared" ref="S178" si="868">R178/100000</f>
        <v>-3814.5629633475082</v>
      </c>
      <c r="T178">
        <f t="shared" ref="T178" si="869">S178/1000</f>
        <v>-3.8145629633475084</v>
      </c>
    </row>
    <row r="179" spans="1:20" x14ac:dyDescent="0.25">
      <c r="A179" s="5">
        <v>44414</v>
      </c>
      <c r="B179">
        <v>4.7320000000000001E-2</v>
      </c>
      <c r="C179">
        <v>4.9110000000000001E-2</v>
      </c>
      <c r="D179">
        <v>4.5650000000000003E-2</v>
      </c>
      <c r="E179">
        <v>4.793E-2</v>
      </c>
      <c r="F179">
        <v>60901627.100000001</v>
      </c>
      <c r="G179">
        <v>4.793E-2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0.31791907514450796</v>
      </c>
      <c r="Q179">
        <f t="shared" ref="Q179" si="871">F179*P179</f>
        <v>19361788.962427702</v>
      </c>
      <c r="R179">
        <f t="shared" ref="R179" si="872">R180+Q179</f>
        <v>-383572307.75360054</v>
      </c>
      <c r="S179">
        <f t="shared" ref="S179" si="873">R179/100000</f>
        <v>-3835.7230775360053</v>
      </c>
      <c r="T179">
        <f t="shared" ref="T179" si="874">S179/1000</f>
        <v>-3.8357230775360054</v>
      </c>
    </row>
    <row r="180" spans="1:20" x14ac:dyDescent="0.25">
      <c r="A180" s="5">
        <v>44413</v>
      </c>
      <c r="B180">
        <v>4.4909999999999999E-2</v>
      </c>
      <c r="C180">
        <v>4.7489999999999997E-2</v>
      </c>
      <c r="D180">
        <v>4.3860000000000003E-2</v>
      </c>
      <c r="E180">
        <v>4.7260000000000003E-2</v>
      </c>
      <c r="F180">
        <v>108728778</v>
      </c>
      <c r="G180">
        <v>4.7260000000000003E-2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0.8732782369146036</v>
      </c>
      <c r="Q180">
        <f t="shared" ref="Q180" si="876">F180*P180</f>
        <v>94950475.553719342</v>
      </c>
      <c r="R180">
        <f t="shared" ref="R180" si="877">R181+Q180</f>
        <v>-402934096.71602821</v>
      </c>
      <c r="S180">
        <f t="shared" ref="S180" si="878">R180/100000</f>
        <v>-4029.3409671602822</v>
      </c>
      <c r="T180">
        <f t="shared" ref="T180" si="879">S180/1000</f>
        <v>-4.029340967160282</v>
      </c>
    </row>
    <row r="181" spans="1:20" x14ac:dyDescent="0.25">
      <c r="A181" s="5">
        <v>44412</v>
      </c>
      <c r="B181">
        <v>4.3770000000000003E-2</v>
      </c>
      <c r="C181">
        <v>4.5999999999999999E-2</v>
      </c>
      <c r="D181">
        <v>4.2999999999999997E-2</v>
      </c>
      <c r="E181">
        <v>4.4850000000000001E-2</v>
      </c>
      <c r="F181">
        <v>73593040.900000006</v>
      </c>
      <c r="G181">
        <v>4.4850000000000001E-2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0.2333333333333352</v>
      </c>
      <c r="Q181">
        <f t="shared" ref="Q181" si="881">F181*P181</f>
        <v>17171709.543333471</v>
      </c>
      <c r="R181">
        <f t="shared" ref="R181" si="882">R182+Q181</f>
        <v>-497884572.26974756</v>
      </c>
      <c r="S181">
        <f t="shared" ref="S181" si="883">R181/100000</f>
        <v>-4978.8457226974751</v>
      </c>
      <c r="T181">
        <f t="shared" ref="T181" si="884">S181/1000</f>
        <v>-4.9788457226974749</v>
      </c>
    </row>
    <row r="182" spans="1:20" x14ac:dyDescent="0.25">
      <c r="A182" s="5">
        <v>44411</v>
      </c>
      <c r="B182">
        <v>4.3950000000000003E-2</v>
      </c>
      <c r="C182">
        <v>4.4679999999999997E-2</v>
      </c>
      <c r="D182">
        <v>4.163E-2</v>
      </c>
      <c r="E182">
        <v>4.3770000000000003E-2</v>
      </c>
      <c r="F182">
        <v>49339065.5</v>
      </c>
      <c r="G182">
        <v>4.3770000000000003E-2</v>
      </c>
      <c r="L182" t="s">
        <v>8</v>
      </c>
      <c r="M182" t="s">
        <v>8</v>
      </c>
      <c r="N182" t="s">
        <v>7</v>
      </c>
      <c r="P182">
        <f t="shared" ref="P182" si="885">IF(C182=D182,0,((E182-D182)-(C182-E182))/(C182-D182))</f>
        <v>0.40327868852459342</v>
      </c>
      <c r="Q182">
        <f t="shared" ref="Q182" si="886">F182*P182</f>
        <v>19897393.627869014</v>
      </c>
      <c r="R182">
        <f t="shared" ref="R182" si="887">R183+Q182</f>
        <v>-515056281.81308103</v>
      </c>
      <c r="S182">
        <f t="shared" ref="S182" si="888">R182/100000</f>
        <v>-5150.5628181308102</v>
      </c>
      <c r="T182">
        <f t="shared" ref="T182" si="889">S182/1000</f>
        <v>-5.1505628181308101</v>
      </c>
    </row>
    <row r="183" spans="1:20" x14ac:dyDescent="0.25">
      <c r="A183" s="5">
        <v>44410</v>
      </c>
      <c r="B183">
        <v>4.1180000000000001E-2</v>
      </c>
      <c r="C183">
        <v>4.4920000000000002E-2</v>
      </c>
      <c r="D183">
        <v>4.0300000000000002E-2</v>
      </c>
      <c r="E183">
        <v>4.394E-2</v>
      </c>
      <c r="F183">
        <v>86580882</v>
      </c>
      <c r="G183">
        <v>4.394E-2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0.57575757575757491</v>
      </c>
      <c r="Q183">
        <f t="shared" ref="Q183" si="891">F183*P183</f>
        <v>49849598.727272652</v>
      </c>
      <c r="R183">
        <f t="shared" ref="R183" si="892">R184+Q183</f>
        <v>-534953675.44095004</v>
      </c>
      <c r="S183">
        <f t="shared" ref="S183" si="893">R183/100000</f>
        <v>-5349.5367544095006</v>
      </c>
      <c r="T183">
        <f t="shared" ref="T183" si="894">S183/1000</f>
        <v>-5.3495367544095007</v>
      </c>
    </row>
    <row r="184" spans="1:20" x14ac:dyDescent="0.25">
      <c r="A184" s="5">
        <v>44409</v>
      </c>
      <c r="B184">
        <v>4.2459999999999998E-2</v>
      </c>
      <c r="C184">
        <v>4.4990000000000002E-2</v>
      </c>
      <c r="D184">
        <v>4.0599999999999997E-2</v>
      </c>
      <c r="E184">
        <v>4.1189999999999997E-2</v>
      </c>
      <c r="F184">
        <v>66228814.299999997</v>
      </c>
      <c r="G184">
        <v>4.1189999999999997E-2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-0.73120728929384982</v>
      </c>
      <c r="Q184">
        <f t="shared" ref="Q184" si="896">F184*P184</f>
        <v>-48426991.777448758</v>
      </c>
      <c r="R184">
        <f t="shared" ref="R184" si="897">R185+Q184</f>
        <v>-584803274.16822267</v>
      </c>
      <c r="S184">
        <f t="shared" ref="S184" si="898">R184/100000</f>
        <v>-5848.0327416822265</v>
      </c>
      <c r="T184">
        <f t="shared" ref="T184" si="899">S184/1000</f>
        <v>-5.8480327416822266</v>
      </c>
    </row>
    <row r="185" spans="1:20" x14ac:dyDescent="0.25">
      <c r="A185" s="5">
        <v>44408</v>
      </c>
      <c r="B185">
        <v>4.2970000000000001E-2</v>
      </c>
      <c r="C185">
        <v>4.3889999999999998E-2</v>
      </c>
      <c r="D185">
        <v>4.1489999999999999E-2</v>
      </c>
      <c r="E185">
        <v>4.2459999999999998E-2</v>
      </c>
      <c r="F185">
        <v>66038349.100000001</v>
      </c>
      <c r="G185">
        <v>4.2459999999999998E-2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-0.1916666666666676</v>
      </c>
      <c r="Q185">
        <f t="shared" ref="Q185" si="901">F185*P185</f>
        <v>-12657350.244166728</v>
      </c>
      <c r="R185">
        <f t="shared" ref="R185" si="902">R186+Q185</f>
        <v>-536376282.39077389</v>
      </c>
      <c r="S185">
        <f t="shared" ref="S185" si="903">R185/100000</f>
        <v>-5363.7628239077385</v>
      </c>
      <c r="T185">
        <f t="shared" ref="T185" si="904">S185/1000</f>
        <v>-5.3637628239077388</v>
      </c>
    </row>
    <row r="186" spans="1:20" x14ac:dyDescent="0.25">
      <c r="A186" s="5">
        <v>44407</v>
      </c>
      <c r="B186">
        <v>4.0480000000000002E-2</v>
      </c>
      <c r="C186">
        <v>4.3369999999999999E-2</v>
      </c>
      <c r="D186">
        <v>3.952E-2</v>
      </c>
      <c r="E186">
        <v>4.2999999999999997E-2</v>
      </c>
      <c r="F186">
        <v>81764231.5</v>
      </c>
      <c r="G186">
        <v>4.2999999999999997E-2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0.80779220779220662</v>
      </c>
      <c r="Q186">
        <f t="shared" ref="Q186" si="906">F186*P186</f>
        <v>66048509.081818089</v>
      </c>
      <c r="R186">
        <f t="shared" ref="R186" si="907">R187+Q186</f>
        <v>-523718932.14660716</v>
      </c>
      <c r="S186">
        <f t="shared" ref="S186" si="908">R186/100000</f>
        <v>-5237.1893214660713</v>
      </c>
      <c r="T186">
        <f t="shared" ref="T186" si="909">S186/1000</f>
        <v>-5.2371893214660714</v>
      </c>
    </row>
    <row r="187" spans="1:20" x14ac:dyDescent="0.25">
      <c r="A187" s="5">
        <v>44406</v>
      </c>
      <c r="B187">
        <v>4.0250000000000001E-2</v>
      </c>
      <c r="C187">
        <v>4.1140000000000003E-2</v>
      </c>
      <c r="D187">
        <v>3.9419999999999997E-2</v>
      </c>
      <c r="E187">
        <v>4.0280000000000003E-2</v>
      </c>
      <c r="F187">
        <v>59357345.5</v>
      </c>
      <c r="G187">
        <v>4.0280000000000003E-2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4.0342406418065133E-15</v>
      </c>
      <c r="Q187">
        <f t="shared" ref="Q187" si="911">F187*P187</f>
        <v>2.3946181560585098E-7</v>
      </c>
      <c r="R187">
        <f t="shared" ref="R187" si="912">R188+Q187</f>
        <v>-589767441.22842526</v>
      </c>
      <c r="S187">
        <f t="shared" ref="S187" si="913">R187/100000</f>
        <v>-5897.6744122842529</v>
      </c>
      <c r="T187">
        <f t="shared" ref="T187" si="914">S187/1000</f>
        <v>-5.8976744122842533</v>
      </c>
    </row>
    <row r="188" spans="1:20" x14ac:dyDescent="0.25">
      <c r="A188" s="5">
        <v>44405</v>
      </c>
      <c r="B188">
        <v>3.9910000000000001E-2</v>
      </c>
      <c r="C188">
        <v>4.1189999999999997E-2</v>
      </c>
      <c r="D188">
        <v>3.8120000000000001E-2</v>
      </c>
      <c r="E188">
        <v>4.0210000000000003E-2</v>
      </c>
      <c r="F188">
        <v>71813944.299999997</v>
      </c>
      <c r="G188">
        <v>4.0210000000000003E-2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0.3615635179153121</v>
      </c>
      <c r="Q188">
        <f t="shared" ref="Q188" si="916">F188*P188</f>
        <v>25965302.336482275</v>
      </c>
      <c r="R188">
        <f t="shared" ref="R188" si="917">R189+Q188</f>
        <v>-589767441.2284255</v>
      </c>
      <c r="S188">
        <f t="shared" ref="S188" si="918">R188/100000</f>
        <v>-5897.6744122842547</v>
      </c>
      <c r="T188">
        <f t="shared" ref="T188" si="919">S188/1000</f>
        <v>-5.897674412284255</v>
      </c>
    </row>
    <row r="189" spans="1:20" x14ac:dyDescent="0.25">
      <c r="A189" s="5">
        <v>44404</v>
      </c>
      <c r="B189">
        <v>3.8640000000000001E-2</v>
      </c>
      <c r="C189">
        <v>4.0300000000000002E-2</v>
      </c>
      <c r="D189">
        <v>3.7350000000000001E-2</v>
      </c>
      <c r="E189">
        <v>0.04</v>
      </c>
      <c r="F189">
        <v>64542995.700000003</v>
      </c>
      <c r="G189">
        <v>0.04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0.79661016949152441</v>
      </c>
      <c r="Q189">
        <f t="shared" ref="Q189" si="921">F189*P189</f>
        <v>51415606.744067736</v>
      </c>
      <c r="R189">
        <f t="shared" ref="R189" si="922">R190+Q189</f>
        <v>-615732743.56490779</v>
      </c>
      <c r="S189">
        <f t="shared" ref="S189" si="923">R189/100000</f>
        <v>-6157.3274356490783</v>
      </c>
      <c r="T189">
        <f t="shared" ref="T189" si="924">S189/1000</f>
        <v>-6.1573274356490781</v>
      </c>
    </row>
    <row r="190" spans="1:20" x14ac:dyDescent="0.25">
      <c r="A190" s="5">
        <v>44403</v>
      </c>
      <c r="B190">
        <v>3.934E-2</v>
      </c>
      <c r="C190">
        <v>4.3770000000000003E-2</v>
      </c>
      <c r="D190">
        <v>3.8179999999999999E-2</v>
      </c>
      <c r="E190">
        <v>3.8769999999999999E-2</v>
      </c>
      <c r="F190">
        <v>148291485.30000001</v>
      </c>
      <c r="G190">
        <v>3.8769999999999999E-2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-0.78890876565295176</v>
      </c>
      <c r="Q190">
        <f t="shared" ref="Q190" si="926">F190*P190</f>
        <v>-116988452.62486584</v>
      </c>
      <c r="R190">
        <f t="shared" ref="R190" si="927">R191+Q190</f>
        <v>-667148350.30897558</v>
      </c>
      <c r="S190">
        <f t="shared" ref="S190" si="928">R190/100000</f>
        <v>-6671.4835030897557</v>
      </c>
      <c r="T190">
        <f t="shared" ref="T190" si="929">S190/1000</f>
        <v>-6.6714835030897559</v>
      </c>
    </row>
    <row r="191" spans="1:20" x14ac:dyDescent="0.25">
      <c r="A191" s="5">
        <v>44402</v>
      </c>
      <c r="B191">
        <v>3.8920000000000003E-2</v>
      </c>
      <c r="C191">
        <v>3.9600000000000003E-2</v>
      </c>
      <c r="D191">
        <v>3.7519999999999998E-2</v>
      </c>
      <c r="E191">
        <v>3.9399999999999998E-2</v>
      </c>
      <c r="F191">
        <v>39426292.399999999</v>
      </c>
      <c r="G191">
        <v>3.9399999999999998E-2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0.80769230769230271</v>
      </c>
      <c r="Q191">
        <f t="shared" ref="Q191" si="931">F191*P191</f>
        <v>31844313.092307493</v>
      </c>
      <c r="R191">
        <f t="shared" ref="R191" si="932">R192+Q191</f>
        <v>-550159897.68410969</v>
      </c>
      <c r="S191">
        <f t="shared" ref="S191" si="933">R191/100000</f>
        <v>-5501.5989768410973</v>
      </c>
      <c r="T191">
        <f t="shared" ref="T191" si="934">S191/1000</f>
        <v>-5.5015989768410973</v>
      </c>
    </row>
    <row r="192" spans="1:20" x14ac:dyDescent="0.25">
      <c r="A192" s="5">
        <v>44401</v>
      </c>
      <c r="B192">
        <v>3.771E-2</v>
      </c>
      <c r="C192">
        <v>4.0529999999999997E-2</v>
      </c>
      <c r="D192">
        <v>3.7350000000000001E-2</v>
      </c>
      <c r="E192">
        <v>3.9E-2</v>
      </c>
      <c r="F192">
        <v>68339515.099999994</v>
      </c>
      <c r="G192">
        <v>3.9E-2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3.7735849056604473E-2</v>
      </c>
      <c r="Q192">
        <f t="shared" ref="Q192" si="936">F192*P192</f>
        <v>2578849.6264151419</v>
      </c>
      <c r="R192">
        <f t="shared" ref="R192" si="937">R193+Q192</f>
        <v>-582004210.77641714</v>
      </c>
      <c r="S192">
        <f t="shared" ref="S192" si="938">R192/100000</f>
        <v>-5820.0421077641713</v>
      </c>
      <c r="T192">
        <f t="shared" ref="T192:T197" si="939">S192/1000</f>
        <v>-5.8200421077641717</v>
      </c>
    </row>
    <row r="193" spans="1:20" x14ac:dyDescent="0.25">
      <c r="A193" s="5">
        <v>44400</v>
      </c>
      <c r="B193">
        <v>3.7100000000000001E-2</v>
      </c>
      <c r="C193">
        <v>3.7990000000000003E-2</v>
      </c>
      <c r="D193">
        <v>3.576E-2</v>
      </c>
      <c r="E193">
        <v>3.7690000000000001E-2</v>
      </c>
      <c r="F193">
        <v>51651031.399999999</v>
      </c>
      <c r="G193">
        <v>3.7690000000000001E-2</v>
      </c>
      <c r="L193" t="s">
        <v>8</v>
      </c>
      <c r="M193" t="s">
        <v>7</v>
      </c>
      <c r="N193" t="s">
        <v>7</v>
      </c>
      <c r="P193">
        <f t="shared" ref="P193" si="940">IF(C193=D193,0,((E193-D193)-(C193-E193))/(C193-D193))</f>
        <v>0.73094170403587333</v>
      </c>
      <c r="Q193">
        <f t="shared" ref="Q193" si="941">F193*P193</f>
        <v>37753892.906726398</v>
      </c>
      <c r="R193">
        <f t="shared" ref="R193" si="942">R194+Q193</f>
        <v>-584583060.40283227</v>
      </c>
      <c r="S193">
        <f t="shared" ref="S193" si="943">R193/100000</f>
        <v>-5845.8306040283223</v>
      </c>
      <c r="T193">
        <f t="shared" si="939"/>
        <v>-5.8458306040283228</v>
      </c>
    </row>
    <row r="194" spans="1:20" x14ac:dyDescent="0.25">
      <c r="A194" s="5">
        <v>44399</v>
      </c>
      <c r="B194">
        <v>3.6200000000000003E-2</v>
      </c>
      <c r="C194">
        <v>3.737E-2</v>
      </c>
      <c r="D194">
        <v>3.5409999999999997E-2</v>
      </c>
      <c r="E194">
        <v>3.7080000000000002E-2</v>
      </c>
      <c r="F194">
        <v>65838955.100000001</v>
      </c>
      <c r="G194">
        <v>3.7080000000000002E-2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0.70408163265306323</v>
      </c>
      <c r="Q194">
        <f t="shared" ref="Q194" si="945">F194*P194</f>
        <v>46355998.998979725</v>
      </c>
      <c r="R194">
        <f t="shared" ref="R194" si="946">R195+Q194</f>
        <v>-622336953.30955863</v>
      </c>
      <c r="S194">
        <f t="shared" ref="S194" si="947">R194/100000</f>
        <v>-6223.3695330955861</v>
      </c>
      <c r="T194">
        <f t="shared" si="939"/>
        <v>-6.2233695330955863</v>
      </c>
    </row>
    <row r="195" spans="1:20" x14ac:dyDescent="0.25">
      <c r="A195" s="5">
        <v>44398</v>
      </c>
      <c r="B195">
        <v>3.424E-2</v>
      </c>
      <c r="C195">
        <v>3.7960000000000001E-2</v>
      </c>
      <c r="D195">
        <v>3.3210000000000003E-2</v>
      </c>
      <c r="E195">
        <v>3.6229999999999998E-2</v>
      </c>
      <c r="F195">
        <v>113194079.59999999</v>
      </c>
      <c r="G195">
        <v>3.6229999999999998E-2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0.27157894736841964</v>
      </c>
      <c r="Q195">
        <f t="shared" ref="Q195" si="949">F195*P195</f>
        <v>30741128.986105103</v>
      </c>
      <c r="R195">
        <f t="shared" ref="R195" si="950">R196+Q195</f>
        <v>-668692952.30853832</v>
      </c>
      <c r="S195">
        <f t="shared" ref="S195" si="951">R195/100000</f>
        <v>-6686.9295230853832</v>
      </c>
      <c r="T195">
        <f t="shared" si="939"/>
        <v>-6.6869295230853831</v>
      </c>
    </row>
    <row r="196" spans="1:20" x14ac:dyDescent="0.25">
      <c r="A196" s="5">
        <v>44397</v>
      </c>
      <c r="B196">
        <v>3.6729999999999999E-2</v>
      </c>
      <c r="C196">
        <v>3.7859999999999998E-2</v>
      </c>
      <c r="D196">
        <v>3.3520000000000001E-2</v>
      </c>
      <c r="E196">
        <v>3.4270000000000002E-2</v>
      </c>
      <c r="F196">
        <v>59375982.100000001</v>
      </c>
      <c r="G196">
        <v>3.4270000000000002E-2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-0.65437788018433118</v>
      </c>
      <c r="Q196">
        <f t="shared" ref="Q196" si="953">F196*P196</f>
        <v>-38854329.300460793</v>
      </c>
      <c r="R196">
        <f t="shared" ref="R196" si="954">R197+Q196</f>
        <v>-699434081.2946434</v>
      </c>
      <c r="S196">
        <f t="shared" ref="S196" si="955">R196/100000</f>
        <v>-6994.3408129464342</v>
      </c>
      <c r="T196">
        <f t="shared" si="939"/>
        <v>-6.9943408129464339</v>
      </c>
    </row>
    <row r="197" spans="1:20" x14ac:dyDescent="0.25">
      <c r="A197" s="5">
        <v>44396</v>
      </c>
      <c r="B197">
        <v>3.8629999999999998E-2</v>
      </c>
      <c r="C197">
        <v>3.8929999999999999E-2</v>
      </c>
      <c r="D197">
        <v>3.6179999999999997E-2</v>
      </c>
      <c r="E197">
        <v>3.6639999999999999E-2</v>
      </c>
      <c r="F197">
        <v>33502364.399999999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6">IF(C197=D197,0,((E197-D197)-(C197-E197))/(C197-D197))</f>
        <v>-0.66545454545454419</v>
      </c>
      <c r="Q197">
        <f t="shared" ref="Q197" si="957">F197*P197</f>
        <v>-22294300.673454501</v>
      </c>
      <c r="R197">
        <f t="shared" ref="R197" si="958">R198+Q197</f>
        <v>-660579751.99418259</v>
      </c>
      <c r="S197">
        <f t="shared" ref="S197" si="959">R197/100000</f>
        <v>-6605.7975199418261</v>
      </c>
      <c r="T197">
        <f t="shared" si="939"/>
        <v>-6.6057975199418264</v>
      </c>
    </row>
    <row r="198" spans="1:20" x14ac:dyDescent="0.25">
      <c r="A198" s="5">
        <v>44395</v>
      </c>
      <c r="B198">
        <v>3.85E-2</v>
      </c>
      <c r="C198">
        <v>4.0689999999999997E-2</v>
      </c>
      <c r="D198">
        <v>3.7839999999999999E-2</v>
      </c>
      <c r="E198">
        <v>3.8719999999999997E-2</v>
      </c>
      <c r="F198">
        <v>78657269.900000006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60">IF(C198=D198,0,((E198-D198)-(C198-E198))/(C198-D198))</f>
        <v>-0.38245614035087766</v>
      </c>
      <c r="Q198">
        <f t="shared" ref="Q198:Q261" si="961">F198*P198</f>
        <v>-30082955.856491268</v>
      </c>
      <c r="R198">
        <f t="shared" ref="R198:R261" si="962">R199+Q198</f>
        <v>-638285451.32072806</v>
      </c>
      <c r="S198">
        <f t="shared" ref="S198:S261" si="963">R198/100000</f>
        <v>-6382.8545132072804</v>
      </c>
      <c r="T198">
        <f t="shared" ref="T198:T261" si="964">S198/1000</f>
        <v>-6.3828545132072803</v>
      </c>
    </row>
    <row r="199" spans="1:20" x14ac:dyDescent="0.25">
      <c r="A199" s="5">
        <v>44394</v>
      </c>
      <c r="B199">
        <v>3.7470000000000003E-2</v>
      </c>
      <c r="C199">
        <v>3.968E-2</v>
      </c>
      <c r="D199">
        <v>3.7220000000000003E-2</v>
      </c>
      <c r="E199">
        <v>3.8440000000000002E-2</v>
      </c>
      <c r="F199">
        <v>33076750.100000001</v>
      </c>
      <c r="G199">
        <v>0</v>
      </c>
      <c r="L199" t="s">
        <v>8</v>
      </c>
      <c r="M199" t="s">
        <v>7</v>
      </c>
      <c r="N199" t="s">
        <v>8</v>
      </c>
      <c r="P199">
        <f t="shared" si="960"/>
        <v>-8.1300813008126863E-3</v>
      </c>
      <c r="Q199">
        <f t="shared" si="961"/>
        <v>-268916.66747966415</v>
      </c>
      <c r="R199">
        <f t="shared" si="962"/>
        <v>-608202495.46423674</v>
      </c>
      <c r="S199">
        <f t="shared" si="963"/>
        <v>-6082.0249546423674</v>
      </c>
      <c r="T199">
        <f t="shared" si="964"/>
        <v>-6.0820249546423675</v>
      </c>
    </row>
    <row r="200" spans="1:20" x14ac:dyDescent="0.25">
      <c r="A200" s="5">
        <v>44393</v>
      </c>
      <c r="B200">
        <v>3.9309999999999998E-2</v>
      </c>
      <c r="C200">
        <v>4.0680000000000001E-2</v>
      </c>
      <c r="D200">
        <v>3.7339999999999998E-2</v>
      </c>
      <c r="E200">
        <v>3.7449999999999997E-2</v>
      </c>
      <c r="F200">
        <v>76016777.799999997</v>
      </c>
      <c r="G200">
        <v>0</v>
      </c>
      <c r="L200" t="s">
        <v>7</v>
      </c>
      <c r="M200" t="s">
        <v>7</v>
      </c>
      <c r="N200" t="s">
        <v>8</v>
      </c>
      <c r="P200">
        <f t="shared" si="960"/>
        <v>-0.93413173652694681</v>
      </c>
      <c r="Q200">
        <f t="shared" si="961"/>
        <v>-71009684.651497051</v>
      </c>
      <c r="R200">
        <f t="shared" si="962"/>
        <v>-607933578.7967571</v>
      </c>
      <c r="S200">
        <f t="shared" si="963"/>
        <v>-6079.3357879675714</v>
      </c>
      <c r="T200">
        <f t="shared" si="964"/>
        <v>-6.0793357879675716</v>
      </c>
    </row>
    <row r="201" spans="1:20" x14ac:dyDescent="0.25">
      <c r="A201" s="5">
        <v>44392</v>
      </c>
      <c r="B201">
        <v>4.0280000000000003E-2</v>
      </c>
      <c r="C201">
        <v>4.1309999999999999E-2</v>
      </c>
      <c r="D201">
        <v>3.8219999999999997E-2</v>
      </c>
      <c r="E201">
        <v>3.9329999999999997E-2</v>
      </c>
      <c r="F201">
        <v>59412998.600000001</v>
      </c>
      <c r="G201">
        <v>0</v>
      </c>
      <c r="L201" t="s">
        <v>8</v>
      </c>
      <c r="M201" t="s">
        <v>7</v>
      </c>
      <c r="N201" t="s">
        <v>8</v>
      </c>
      <c r="P201">
        <f t="shared" si="960"/>
        <v>-0.28155339805825308</v>
      </c>
      <c r="Q201">
        <f t="shared" si="961"/>
        <v>-16727931.644660233</v>
      </c>
      <c r="R201">
        <f t="shared" si="962"/>
        <v>-536923894.1452601</v>
      </c>
      <c r="S201">
        <f t="shared" si="963"/>
        <v>-5369.2389414526006</v>
      </c>
      <c r="T201">
        <f t="shared" si="964"/>
        <v>-5.3692389414526005</v>
      </c>
    </row>
    <row r="202" spans="1:20" x14ac:dyDescent="0.25">
      <c r="A202" s="5">
        <v>44391</v>
      </c>
      <c r="B202">
        <v>4.0710000000000003E-2</v>
      </c>
      <c r="C202">
        <v>4.0739999999999998E-2</v>
      </c>
      <c r="D202">
        <v>3.7510000000000002E-2</v>
      </c>
      <c r="E202">
        <v>4.0280000000000003E-2</v>
      </c>
      <c r="F202">
        <v>28628297.300000001</v>
      </c>
      <c r="G202">
        <v>0</v>
      </c>
      <c r="L202" t="s">
        <v>7</v>
      </c>
      <c r="M202" t="s">
        <v>7</v>
      </c>
      <c r="N202" t="s">
        <v>8</v>
      </c>
      <c r="P202">
        <f t="shared" si="960"/>
        <v>0.7151702786377736</v>
      </c>
      <c r="Q202">
        <f t="shared" si="961"/>
        <v>20474107.356966022</v>
      </c>
      <c r="R202">
        <f t="shared" si="962"/>
        <v>-520195962.50059986</v>
      </c>
      <c r="S202">
        <f t="shared" si="963"/>
        <v>-5201.9596250059985</v>
      </c>
      <c r="T202">
        <f t="shared" si="964"/>
        <v>-5.2019596250059985</v>
      </c>
    </row>
    <row r="203" spans="1:20" x14ac:dyDescent="0.25">
      <c r="A203" s="5">
        <v>44390</v>
      </c>
      <c r="B203">
        <v>4.0820000000000002E-2</v>
      </c>
      <c r="C203">
        <v>4.367E-2</v>
      </c>
      <c r="D203">
        <v>4.002E-2</v>
      </c>
      <c r="E203">
        <v>4.0629999999999999E-2</v>
      </c>
      <c r="F203">
        <v>49769466.700000003</v>
      </c>
      <c r="G203">
        <v>0</v>
      </c>
      <c r="L203" t="s">
        <v>7</v>
      </c>
      <c r="M203" t="s">
        <v>8</v>
      </c>
      <c r="N203" t="s">
        <v>8</v>
      </c>
      <c r="P203">
        <f t="shared" si="960"/>
        <v>-0.66575342465753462</v>
      </c>
      <c r="Q203">
        <f t="shared" si="961"/>
        <v>-33134192.89890413</v>
      </c>
      <c r="R203">
        <f t="shared" si="962"/>
        <v>-540670069.85756588</v>
      </c>
      <c r="S203">
        <f t="shared" si="963"/>
        <v>-5406.7006985756589</v>
      </c>
      <c r="T203">
        <f t="shared" si="964"/>
        <v>-5.4067006985756585</v>
      </c>
    </row>
    <row r="204" spans="1:20" x14ac:dyDescent="0.25">
      <c r="A204" s="5">
        <v>44389</v>
      </c>
      <c r="B204">
        <v>4.1860000000000001E-2</v>
      </c>
      <c r="C204">
        <v>4.4139999999999999E-2</v>
      </c>
      <c r="D204">
        <v>4.0050000000000002E-2</v>
      </c>
      <c r="E204">
        <v>4.0800000000000003E-2</v>
      </c>
      <c r="F204">
        <v>62642010.899999999</v>
      </c>
      <c r="G204">
        <v>0</v>
      </c>
      <c r="L204" t="s">
        <v>8</v>
      </c>
      <c r="M204" t="s">
        <v>8</v>
      </c>
      <c r="N204" t="s">
        <v>8</v>
      </c>
      <c r="P204">
        <f t="shared" si="960"/>
        <v>-0.63325183374083061</v>
      </c>
      <c r="Q204">
        <f t="shared" si="961"/>
        <v>-39668168.271638095</v>
      </c>
      <c r="R204">
        <f t="shared" si="962"/>
        <v>-507535876.95866179</v>
      </c>
      <c r="S204">
        <f t="shared" si="963"/>
        <v>-5075.3587695866181</v>
      </c>
      <c r="T204">
        <f t="shared" si="964"/>
        <v>-5.075358769586618</v>
      </c>
    </row>
    <row r="205" spans="1:20" x14ac:dyDescent="0.25">
      <c r="A205" s="5">
        <v>44388</v>
      </c>
      <c r="B205">
        <v>4.1860000000000001E-2</v>
      </c>
      <c r="C205">
        <v>4.376E-2</v>
      </c>
      <c r="D205">
        <v>4.1000000000000002E-2</v>
      </c>
      <c r="E205">
        <v>4.1849999999999998E-2</v>
      </c>
      <c r="F205">
        <v>28429036.100000001</v>
      </c>
      <c r="G205">
        <v>0</v>
      </c>
      <c r="L205" t="s">
        <v>8</v>
      </c>
      <c r="M205" t="s">
        <v>7</v>
      </c>
      <c r="N205" t="s">
        <v>8</v>
      </c>
      <c r="P205">
        <f t="shared" si="960"/>
        <v>-0.3840579710144949</v>
      </c>
      <c r="Q205">
        <f t="shared" si="961"/>
        <v>-10918397.922463831</v>
      </c>
      <c r="R205">
        <f t="shared" si="962"/>
        <v>-467867708.6870237</v>
      </c>
      <c r="S205">
        <f t="shared" si="963"/>
        <v>-4678.677086870237</v>
      </c>
      <c r="T205">
        <f t="shared" si="964"/>
        <v>-4.6786770868702368</v>
      </c>
    </row>
    <row r="206" spans="1:20" x14ac:dyDescent="0.25">
      <c r="A206" s="5">
        <v>44387</v>
      </c>
      <c r="B206">
        <v>4.2509999999999999E-2</v>
      </c>
      <c r="C206">
        <v>4.3749999999999997E-2</v>
      </c>
      <c r="D206">
        <v>4.0669999999999998E-2</v>
      </c>
      <c r="E206">
        <v>4.1790000000000001E-2</v>
      </c>
      <c r="F206">
        <v>29901824.5</v>
      </c>
      <c r="G206">
        <v>0</v>
      </c>
      <c r="L206" t="s">
        <v>8</v>
      </c>
      <c r="M206" t="s">
        <v>7</v>
      </c>
      <c r="N206" t="s">
        <v>8</v>
      </c>
      <c r="P206">
        <f t="shared" si="960"/>
        <v>-0.27272727272727065</v>
      </c>
      <c r="Q206">
        <f t="shared" si="961"/>
        <v>-8155043.0454544835</v>
      </c>
      <c r="R206">
        <f t="shared" si="962"/>
        <v>-456949310.76455986</v>
      </c>
      <c r="S206">
        <f t="shared" si="963"/>
        <v>-4569.4931076455987</v>
      </c>
      <c r="T206">
        <f t="shared" si="964"/>
        <v>-4.5694931076455987</v>
      </c>
    </row>
    <row r="207" spans="1:20" x14ac:dyDescent="0.25">
      <c r="A207" s="5">
        <v>44386</v>
      </c>
      <c r="B207">
        <v>4.1059999999999999E-2</v>
      </c>
      <c r="C207">
        <v>4.2770000000000002E-2</v>
      </c>
      <c r="D207">
        <v>0.04</v>
      </c>
      <c r="E207">
        <v>4.2509999999999999E-2</v>
      </c>
      <c r="F207">
        <v>29134537.199999999</v>
      </c>
      <c r="G207">
        <v>0</v>
      </c>
      <c r="L207" t="s">
        <v>8</v>
      </c>
      <c r="M207" t="s">
        <v>7</v>
      </c>
      <c r="N207" t="s">
        <v>8</v>
      </c>
      <c r="P207">
        <f t="shared" si="960"/>
        <v>0.81227436823104471</v>
      </c>
      <c r="Q207">
        <f t="shared" si="961"/>
        <v>23665237.797833871</v>
      </c>
      <c r="R207">
        <f t="shared" si="962"/>
        <v>-448794267.71910536</v>
      </c>
      <c r="S207">
        <f t="shared" si="963"/>
        <v>-4487.9426771910539</v>
      </c>
      <c r="T207">
        <f t="shared" si="964"/>
        <v>-4.4879426771910538</v>
      </c>
    </row>
    <row r="208" spans="1:20" x14ac:dyDescent="0.25">
      <c r="A208" s="5">
        <v>44385</v>
      </c>
      <c r="B208">
        <v>4.4350000000000001E-2</v>
      </c>
      <c r="C208">
        <v>4.4580000000000002E-2</v>
      </c>
      <c r="D208">
        <v>3.6580000000000001E-2</v>
      </c>
      <c r="E208">
        <v>4.1070000000000002E-2</v>
      </c>
      <c r="F208">
        <v>77018061.700000003</v>
      </c>
      <c r="G208">
        <v>0</v>
      </c>
      <c r="L208" t="s">
        <v>7</v>
      </c>
      <c r="M208" t="s">
        <v>7</v>
      </c>
      <c r="N208" t="s">
        <v>8</v>
      </c>
      <c r="P208">
        <f t="shared" si="960"/>
        <v>0.12250000000000021</v>
      </c>
      <c r="Q208">
        <f t="shared" si="961"/>
        <v>9434712.5582500156</v>
      </c>
      <c r="R208">
        <f t="shared" si="962"/>
        <v>-472459505.51693922</v>
      </c>
      <c r="S208">
        <f t="shared" si="963"/>
        <v>-4724.5950551693923</v>
      </c>
      <c r="T208">
        <f t="shared" si="964"/>
        <v>-4.7245950551693925</v>
      </c>
    </row>
    <row r="209" spans="1:20" x14ac:dyDescent="0.25">
      <c r="A209" s="5">
        <v>44384</v>
      </c>
      <c r="B209">
        <v>4.376E-2</v>
      </c>
      <c r="C209">
        <v>4.7359999999999999E-2</v>
      </c>
      <c r="D209">
        <v>4.3279999999999999E-2</v>
      </c>
      <c r="E209">
        <v>4.4420000000000001E-2</v>
      </c>
      <c r="F209">
        <v>100291105</v>
      </c>
      <c r="G209">
        <v>0</v>
      </c>
      <c r="L209" t="s">
        <v>7</v>
      </c>
      <c r="M209" t="s">
        <v>7</v>
      </c>
      <c r="N209" t="s">
        <v>8</v>
      </c>
      <c r="P209">
        <f t="shared" si="960"/>
        <v>-0.44117647058823428</v>
      </c>
      <c r="Q209">
        <f t="shared" si="961"/>
        <v>-44246075.735294014</v>
      </c>
      <c r="R209">
        <f t="shared" si="962"/>
        <v>-481894218.07518923</v>
      </c>
      <c r="S209">
        <f t="shared" si="963"/>
        <v>-4818.942180751892</v>
      </c>
      <c r="T209">
        <f t="shared" si="964"/>
        <v>-4.8189421807518924</v>
      </c>
    </row>
    <row r="210" spans="1:20" x14ac:dyDescent="0.25">
      <c r="A210" s="5">
        <v>44383</v>
      </c>
      <c r="B210">
        <v>4.2880000000000001E-2</v>
      </c>
      <c r="C210">
        <v>4.6899999999999997E-2</v>
      </c>
      <c r="D210">
        <v>4.2849999999999999E-2</v>
      </c>
      <c r="E210">
        <v>4.3830000000000001E-2</v>
      </c>
      <c r="F210">
        <v>125916588.40000001</v>
      </c>
      <c r="G210">
        <v>0</v>
      </c>
      <c r="L210" t="s">
        <v>8</v>
      </c>
      <c r="M210" t="s">
        <v>7</v>
      </c>
      <c r="N210" t="s">
        <v>8</v>
      </c>
      <c r="P210">
        <f t="shared" si="960"/>
        <v>-0.51604938271604828</v>
      </c>
      <c r="Q210">
        <f t="shared" si="961"/>
        <v>-64979177.717530727</v>
      </c>
      <c r="R210">
        <f t="shared" si="962"/>
        <v>-437648142.33989519</v>
      </c>
      <c r="S210">
        <f t="shared" si="963"/>
        <v>-4376.4814233989518</v>
      </c>
      <c r="T210">
        <f t="shared" si="964"/>
        <v>-4.3764814233989515</v>
      </c>
    </row>
    <row r="211" spans="1:20" x14ac:dyDescent="0.25">
      <c r="A211" s="5">
        <v>44382</v>
      </c>
      <c r="B211">
        <v>4.4650000000000002E-2</v>
      </c>
      <c r="C211">
        <v>4.4650000000000002E-2</v>
      </c>
      <c r="D211">
        <v>4.1349999999999998E-2</v>
      </c>
      <c r="E211">
        <v>4.2889999999999998E-2</v>
      </c>
      <c r="F211">
        <v>38567448.799999997</v>
      </c>
      <c r="G211">
        <v>0</v>
      </c>
      <c r="L211" t="s">
        <v>7</v>
      </c>
      <c r="M211" t="s">
        <v>7</v>
      </c>
      <c r="N211" t="s">
        <v>8</v>
      </c>
      <c r="P211">
        <f t="shared" si="960"/>
        <v>-6.6666666666668067E-2</v>
      </c>
      <c r="Q211">
        <f t="shared" si="961"/>
        <v>-2571163.253333387</v>
      </c>
      <c r="R211">
        <f t="shared" si="962"/>
        <v>-372668964.62236446</v>
      </c>
      <c r="S211">
        <f t="shared" si="963"/>
        <v>-3726.6896462236446</v>
      </c>
      <c r="T211">
        <f t="shared" si="964"/>
        <v>-3.7266896462236447</v>
      </c>
    </row>
    <row r="212" spans="1:20" x14ac:dyDescent="0.25">
      <c r="A212" s="5">
        <v>44381</v>
      </c>
      <c r="B212">
        <v>4.4819999999999999E-2</v>
      </c>
      <c r="C212">
        <v>4.6219999999999997E-2</v>
      </c>
      <c r="D212">
        <v>4.3380000000000002E-2</v>
      </c>
      <c r="E212">
        <v>4.471E-2</v>
      </c>
      <c r="F212">
        <v>41205859.799999997</v>
      </c>
      <c r="G212">
        <v>0</v>
      </c>
      <c r="L212" t="s">
        <v>7</v>
      </c>
      <c r="M212" t="s">
        <v>7</v>
      </c>
      <c r="N212" t="s">
        <v>8</v>
      </c>
      <c r="P212">
        <f t="shared" si="960"/>
        <v>-6.3380281690140816E-2</v>
      </c>
      <c r="Q212">
        <f t="shared" si="961"/>
        <v>-2611639.0014084494</v>
      </c>
      <c r="R212">
        <f t="shared" si="962"/>
        <v>-370097801.36903107</v>
      </c>
      <c r="S212">
        <f t="shared" si="963"/>
        <v>-3700.9780136903105</v>
      </c>
      <c r="T212">
        <f t="shared" si="964"/>
        <v>-3.7009780136903103</v>
      </c>
    </row>
    <row r="213" spans="1:20" x14ac:dyDescent="0.25">
      <c r="A213" s="5">
        <v>44380</v>
      </c>
      <c r="B213">
        <v>4.2700000000000002E-2</v>
      </c>
      <c r="C213">
        <v>4.648E-2</v>
      </c>
      <c r="D213">
        <v>4.163E-2</v>
      </c>
      <c r="E213">
        <v>4.4940000000000001E-2</v>
      </c>
      <c r="F213">
        <v>35009265.5</v>
      </c>
      <c r="G213">
        <v>0</v>
      </c>
      <c r="L213" t="s">
        <v>8</v>
      </c>
      <c r="M213" t="s">
        <v>7</v>
      </c>
      <c r="N213" t="s">
        <v>8</v>
      </c>
      <c r="P213">
        <f t="shared" si="960"/>
        <v>0.36494845360824757</v>
      </c>
      <c r="Q213">
        <f t="shared" si="961"/>
        <v>12776577.306185571</v>
      </c>
      <c r="R213">
        <f t="shared" si="962"/>
        <v>-367486162.36762261</v>
      </c>
      <c r="S213">
        <f t="shared" si="963"/>
        <v>-3674.8616236762259</v>
      </c>
      <c r="T213">
        <f t="shared" si="964"/>
        <v>-3.6748616236762257</v>
      </c>
    </row>
    <row r="214" spans="1:20" x14ac:dyDescent="0.25">
      <c r="A214" s="5">
        <v>44379</v>
      </c>
      <c r="B214">
        <v>4.2020000000000002E-2</v>
      </c>
      <c r="C214">
        <v>4.2790000000000002E-2</v>
      </c>
      <c r="D214">
        <v>4.0259999999999997E-2</v>
      </c>
      <c r="E214">
        <v>4.2700000000000002E-2</v>
      </c>
      <c r="F214">
        <v>19152190.600000001</v>
      </c>
      <c r="G214">
        <v>0</v>
      </c>
      <c r="L214" t="s">
        <v>7</v>
      </c>
      <c r="M214" t="s">
        <v>7</v>
      </c>
      <c r="N214" t="s">
        <v>8</v>
      </c>
      <c r="P214">
        <f t="shared" si="960"/>
        <v>0.92885375494071176</v>
      </c>
      <c r="Q214">
        <f t="shared" si="961"/>
        <v>17789584.154150207</v>
      </c>
      <c r="R214">
        <f t="shared" si="962"/>
        <v>-380262739.67380816</v>
      </c>
      <c r="S214">
        <f t="shared" si="963"/>
        <v>-3802.6273967380816</v>
      </c>
      <c r="T214">
        <f t="shared" si="964"/>
        <v>-3.8026273967380817</v>
      </c>
    </row>
    <row r="215" spans="1:20" x14ac:dyDescent="0.25">
      <c r="A215" s="5">
        <v>44378</v>
      </c>
      <c r="B215">
        <v>4.487E-2</v>
      </c>
      <c r="C215">
        <v>4.4920000000000002E-2</v>
      </c>
      <c r="D215">
        <v>4.1059999999999999E-2</v>
      </c>
      <c r="E215">
        <v>4.2009999999999999E-2</v>
      </c>
      <c r="F215">
        <v>33834656.700000003</v>
      </c>
      <c r="G215">
        <v>0</v>
      </c>
      <c r="L215" t="s">
        <v>7</v>
      </c>
      <c r="M215" t="s">
        <v>7</v>
      </c>
      <c r="N215" t="s">
        <v>8</v>
      </c>
      <c r="P215">
        <f t="shared" si="960"/>
        <v>-0.50777202072538918</v>
      </c>
      <c r="Q215">
        <f t="shared" si="961"/>
        <v>-17180292.003108829</v>
      </c>
      <c r="R215">
        <f t="shared" si="962"/>
        <v>-398052323.82795835</v>
      </c>
      <c r="S215">
        <f t="shared" si="963"/>
        <v>-3980.5232382795834</v>
      </c>
      <c r="T215">
        <f t="shared" si="964"/>
        <v>-3.9805232382795834</v>
      </c>
    </row>
    <row r="216" spans="1:20" x14ac:dyDescent="0.25">
      <c r="A216" s="5">
        <v>44377</v>
      </c>
      <c r="B216">
        <v>4.5199999999999997E-2</v>
      </c>
      <c r="C216">
        <v>4.6390000000000001E-2</v>
      </c>
      <c r="D216">
        <v>4.1739999999999999E-2</v>
      </c>
      <c r="E216">
        <v>4.4749999999999998E-2</v>
      </c>
      <c r="F216">
        <v>63180524.799999997</v>
      </c>
      <c r="G216">
        <v>0</v>
      </c>
      <c r="L216" t="s">
        <v>7</v>
      </c>
      <c r="M216" t="s">
        <v>7</v>
      </c>
      <c r="N216" t="s">
        <v>8</v>
      </c>
      <c r="P216">
        <f t="shared" si="960"/>
        <v>0.2946236559139776</v>
      </c>
      <c r="Q216">
        <f t="shared" si="961"/>
        <v>18614477.199139729</v>
      </c>
      <c r="R216">
        <f t="shared" si="962"/>
        <v>-380872031.82484955</v>
      </c>
      <c r="S216">
        <f t="shared" si="963"/>
        <v>-3808.7203182484955</v>
      </c>
      <c r="T216">
        <f t="shared" si="964"/>
        <v>-3.8087203182484957</v>
      </c>
    </row>
    <row r="217" spans="1:20" x14ac:dyDescent="0.25">
      <c r="A217" s="5">
        <v>44376</v>
      </c>
      <c r="B217">
        <v>4.3139999999999998E-2</v>
      </c>
      <c r="C217">
        <v>4.6920000000000003E-2</v>
      </c>
      <c r="D217">
        <v>4.3029999999999999E-2</v>
      </c>
      <c r="E217">
        <v>4.5220000000000003E-2</v>
      </c>
      <c r="F217">
        <v>74303922.5</v>
      </c>
      <c r="G217">
        <v>0</v>
      </c>
      <c r="L217" t="s">
        <v>7</v>
      </c>
      <c r="M217" t="s">
        <v>8</v>
      </c>
      <c r="N217" t="s">
        <v>8</v>
      </c>
      <c r="P217">
        <f t="shared" si="960"/>
        <v>0.12596401028277732</v>
      </c>
      <c r="Q217">
        <f t="shared" si="961"/>
        <v>9359620.0578406882</v>
      </c>
      <c r="R217">
        <f t="shared" si="962"/>
        <v>-399486509.02398926</v>
      </c>
      <c r="S217">
        <f t="shared" si="963"/>
        <v>-3994.8650902398927</v>
      </c>
      <c r="T217">
        <f t="shared" si="964"/>
        <v>-3.9948650902398928</v>
      </c>
    </row>
    <row r="218" spans="1:20" x14ac:dyDescent="0.25">
      <c r="A218" s="5">
        <v>44375</v>
      </c>
      <c r="B218">
        <v>4.1950000000000001E-2</v>
      </c>
      <c r="C218">
        <v>4.8669999999999998E-2</v>
      </c>
      <c r="D218">
        <v>4.1529999999999997E-2</v>
      </c>
      <c r="E218">
        <v>4.3130000000000002E-2</v>
      </c>
      <c r="F218">
        <v>114950416.59999999</v>
      </c>
      <c r="G218">
        <v>0</v>
      </c>
      <c r="L218" t="s">
        <v>8</v>
      </c>
      <c r="M218" t="s">
        <v>8</v>
      </c>
      <c r="N218" t="s">
        <v>8</v>
      </c>
      <c r="P218">
        <f t="shared" si="960"/>
        <v>-0.55182072829131534</v>
      </c>
      <c r="Q218">
        <f t="shared" si="961"/>
        <v>-63432022.6056021</v>
      </c>
      <c r="R218">
        <f t="shared" si="962"/>
        <v>-408846129.08182997</v>
      </c>
      <c r="S218">
        <f t="shared" si="963"/>
        <v>-4088.4612908182999</v>
      </c>
      <c r="T218">
        <f t="shared" si="964"/>
        <v>-4.0884612908182998</v>
      </c>
    </row>
    <row r="219" spans="1:20" x14ac:dyDescent="0.25">
      <c r="A219" s="5">
        <v>44374</v>
      </c>
      <c r="B219">
        <v>4.1399999999999999E-2</v>
      </c>
      <c r="C219">
        <v>4.2250000000000003E-2</v>
      </c>
      <c r="D219">
        <v>3.9440000000000003E-2</v>
      </c>
      <c r="E219">
        <v>4.1980000000000003E-2</v>
      </c>
      <c r="F219">
        <v>27617048.899999999</v>
      </c>
      <c r="G219">
        <v>0</v>
      </c>
      <c r="L219" t="s">
        <v>8</v>
      </c>
      <c r="M219" t="s">
        <v>7</v>
      </c>
      <c r="N219" t="s">
        <v>7</v>
      </c>
      <c r="P219">
        <f t="shared" si="960"/>
        <v>0.80782918149466232</v>
      </c>
      <c r="Q219">
        <f t="shared" si="961"/>
        <v>22309858.008185063</v>
      </c>
      <c r="R219">
        <f t="shared" si="962"/>
        <v>-345414106.47622788</v>
      </c>
      <c r="S219">
        <f t="shared" si="963"/>
        <v>-3454.1410647622788</v>
      </c>
      <c r="T219">
        <f t="shared" si="964"/>
        <v>-3.454141064762279</v>
      </c>
    </row>
    <row r="220" spans="1:20" x14ac:dyDescent="0.25">
      <c r="A220" s="5">
        <v>44373</v>
      </c>
      <c r="B220">
        <v>4.0770000000000001E-2</v>
      </c>
      <c r="C220">
        <v>4.2279999999999998E-2</v>
      </c>
      <c r="D220">
        <v>3.9E-2</v>
      </c>
      <c r="E220">
        <v>4.1369999999999997E-2</v>
      </c>
      <c r="F220">
        <v>30920260.100000001</v>
      </c>
      <c r="G220">
        <v>0</v>
      </c>
      <c r="L220" t="s">
        <v>7</v>
      </c>
      <c r="M220" t="s">
        <v>7</v>
      </c>
      <c r="N220" t="s">
        <v>7</v>
      </c>
      <c r="P220">
        <f t="shared" si="960"/>
        <v>0.4451219512195112</v>
      </c>
      <c r="Q220">
        <f t="shared" si="961"/>
        <v>13763286.507926799</v>
      </c>
      <c r="R220">
        <f t="shared" si="962"/>
        <v>-367723964.48441297</v>
      </c>
      <c r="S220">
        <f t="shared" si="963"/>
        <v>-3677.2396448441295</v>
      </c>
      <c r="T220">
        <f t="shared" si="964"/>
        <v>-3.6772396448441294</v>
      </c>
    </row>
    <row r="221" spans="1:20" x14ac:dyDescent="0.25">
      <c r="A221" s="5">
        <v>44372</v>
      </c>
      <c r="B221">
        <v>4.5339999999999998E-2</v>
      </c>
      <c r="C221">
        <v>4.6510000000000003E-2</v>
      </c>
      <c r="D221">
        <v>4.0030000000000003E-2</v>
      </c>
      <c r="E221">
        <v>4.079E-2</v>
      </c>
      <c r="F221">
        <v>45175030.600000001</v>
      </c>
      <c r="G221">
        <v>0</v>
      </c>
      <c r="L221" t="s">
        <v>7</v>
      </c>
      <c r="M221" t="s">
        <v>8</v>
      </c>
      <c r="N221" t="s">
        <v>7</v>
      </c>
      <c r="P221">
        <f t="shared" si="960"/>
        <v>-0.76543209876543306</v>
      </c>
      <c r="Q221">
        <f t="shared" si="961"/>
        <v>-34578418.48395066</v>
      </c>
      <c r="R221">
        <f t="shared" si="962"/>
        <v>-381487250.99233979</v>
      </c>
      <c r="S221">
        <f t="shared" si="963"/>
        <v>-3814.872509923398</v>
      </c>
      <c r="T221">
        <f t="shared" si="964"/>
        <v>-3.814872509923398</v>
      </c>
    </row>
    <row r="222" spans="1:20" x14ac:dyDescent="0.25">
      <c r="A222" s="5">
        <v>44371</v>
      </c>
      <c r="B222">
        <v>4.3999999999999997E-2</v>
      </c>
      <c r="C222">
        <v>4.7019999999999999E-2</v>
      </c>
      <c r="D222">
        <v>4.2599999999999999E-2</v>
      </c>
      <c r="E222">
        <v>4.5229999999999999E-2</v>
      </c>
      <c r="F222">
        <v>65633722.5</v>
      </c>
      <c r="G222">
        <v>0</v>
      </c>
      <c r="L222" t="s">
        <v>8</v>
      </c>
      <c r="M222" t="s">
        <v>8</v>
      </c>
      <c r="N222" t="s">
        <v>7</v>
      </c>
      <c r="P222">
        <f t="shared" si="960"/>
        <v>0.19004524886877838</v>
      </c>
      <c r="Q222">
        <f t="shared" si="961"/>
        <v>12473377.12669684</v>
      </c>
      <c r="R222">
        <f t="shared" si="962"/>
        <v>-346908832.50838912</v>
      </c>
      <c r="S222">
        <f t="shared" si="963"/>
        <v>-3469.088325083891</v>
      </c>
      <c r="T222">
        <f t="shared" si="964"/>
        <v>-3.4690883250838911</v>
      </c>
    </row>
    <row r="223" spans="1:20" x14ac:dyDescent="0.25">
      <c r="A223" s="5">
        <v>44370</v>
      </c>
      <c r="B223">
        <v>4.0739999999999998E-2</v>
      </c>
      <c r="C223">
        <v>4.4470000000000003E-2</v>
      </c>
      <c r="D223">
        <v>3.8800000000000001E-2</v>
      </c>
      <c r="E223">
        <v>4.3950000000000003E-2</v>
      </c>
      <c r="F223">
        <v>44367376</v>
      </c>
      <c r="G223">
        <v>0</v>
      </c>
      <c r="L223" t="s">
        <v>8</v>
      </c>
      <c r="M223" t="s">
        <v>8</v>
      </c>
      <c r="N223" t="s">
        <v>7</v>
      </c>
      <c r="P223">
        <f t="shared" si="960"/>
        <v>0.81657848324515014</v>
      </c>
      <c r="Q223">
        <f t="shared" si="961"/>
        <v>36229444.599647276</v>
      </c>
      <c r="R223">
        <f t="shared" si="962"/>
        <v>-359382209.63508594</v>
      </c>
      <c r="S223">
        <f t="shared" si="963"/>
        <v>-3593.8220963508593</v>
      </c>
      <c r="T223">
        <f t="shared" si="964"/>
        <v>-3.5938220963508591</v>
      </c>
    </row>
    <row r="224" spans="1:20" x14ac:dyDescent="0.25">
      <c r="A224" s="5">
        <v>44369</v>
      </c>
      <c r="B224">
        <v>3.8890000000000001E-2</v>
      </c>
      <c r="C224">
        <v>4.1599999999999998E-2</v>
      </c>
      <c r="D224">
        <v>3.5180000000000003E-2</v>
      </c>
      <c r="E224">
        <v>4.0739999999999998E-2</v>
      </c>
      <c r="F224">
        <v>116941333.7</v>
      </c>
      <c r="G224">
        <v>0</v>
      </c>
      <c r="L224" t="s">
        <v>7</v>
      </c>
      <c r="M224" t="s">
        <v>7</v>
      </c>
      <c r="N224" t="s">
        <v>7</v>
      </c>
      <c r="P224">
        <f t="shared" si="960"/>
        <v>0.73208722741433008</v>
      </c>
      <c r="Q224">
        <f t="shared" si="961"/>
        <v>85611256.758566961</v>
      </c>
      <c r="R224">
        <f t="shared" si="962"/>
        <v>-395611654.23473322</v>
      </c>
      <c r="S224">
        <f t="shared" si="963"/>
        <v>-3956.1165423473321</v>
      </c>
      <c r="T224">
        <f t="shared" si="964"/>
        <v>-3.9561165423473321</v>
      </c>
    </row>
    <row r="225" spans="1:20" x14ac:dyDescent="0.25">
      <c r="A225" s="5">
        <v>44368</v>
      </c>
      <c r="B225">
        <v>5.0270000000000002E-2</v>
      </c>
      <c r="C225">
        <v>5.0410000000000003E-2</v>
      </c>
      <c r="D225">
        <v>3.8809999999999997E-2</v>
      </c>
      <c r="E225">
        <v>3.8920000000000003E-2</v>
      </c>
      <c r="F225">
        <v>99569241.400000006</v>
      </c>
      <c r="G225">
        <v>0</v>
      </c>
      <c r="L225" t="s">
        <v>7</v>
      </c>
      <c r="M225" t="s">
        <v>7</v>
      </c>
      <c r="N225" t="s">
        <v>7</v>
      </c>
      <c r="P225">
        <f t="shared" si="960"/>
        <v>-0.98103448275861971</v>
      </c>
      <c r="Q225">
        <f t="shared" si="961"/>
        <v>-97680859.235517144</v>
      </c>
      <c r="R225">
        <f t="shared" si="962"/>
        <v>-481222910.9933002</v>
      </c>
      <c r="S225">
        <f t="shared" si="963"/>
        <v>-4812.2291099330023</v>
      </c>
      <c r="T225">
        <f t="shared" si="964"/>
        <v>-4.8122291099330026</v>
      </c>
    </row>
    <row r="226" spans="1:20" x14ac:dyDescent="0.25">
      <c r="A226" s="5">
        <v>44367</v>
      </c>
      <c r="B226">
        <v>4.7359999999999999E-2</v>
      </c>
      <c r="C226">
        <v>5.0939999999999999E-2</v>
      </c>
      <c r="D226">
        <v>4.4499999999999998E-2</v>
      </c>
      <c r="E226">
        <v>5.024E-2</v>
      </c>
      <c r="F226">
        <v>36627775.399999999</v>
      </c>
      <c r="G226">
        <v>0</v>
      </c>
      <c r="L226" t="s">
        <v>7</v>
      </c>
      <c r="M226" t="s">
        <v>7</v>
      </c>
      <c r="N226" t="s">
        <v>7</v>
      </c>
      <c r="P226">
        <f t="shared" si="960"/>
        <v>0.78260869565217417</v>
      </c>
      <c r="Q226">
        <f t="shared" si="961"/>
        <v>28665215.530434791</v>
      </c>
      <c r="R226">
        <f t="shared" si="962"/>
        <v>-383542051.75778306</v>
      </c>
      <c r="S226">
        <f t="shared" si="963"/>
        <v>-3835.4205175778307</v>
      </c>
      <c r="T226">
        <f t="shared" si="964"/>
        <v>-3.8354205175778309</v>
      </c>
    </row>
    <row r="227" spans="1:20" x14ac:dyDescent="0.25">
      <c r="A227" s="5">
        <v>44366</v>
      </c>
      <c r="B227">
        <v>4.7910000000000001E-2</v>
      </c>
      <c r="C227">
        <v>5.0009999999999999E-2</v>
      </c>
      <c r="D227">
        <v>4.6670000000000003E-2</v>
      </c>
      <c r="E227">
        <v>4.7419999999999997E-2</v>
      </c>
      <c r="F227">
        <v>30596961.800000001</v>
      </c>
      <c r="G227">
        <v>0</v>
      </c>
      <c r="L227" t="s">
        <v>7</v>
      </c>
      <c r="M227" t="s">
        <v>7</v>
      </c>
      <c r="N227" t="s">
        <v>7</v>
      </c>
      <c r="P227">
        <f t="shared" si="960"/>
        <v>-0.5508982035928176</v>
      </c>
      <c r="Q227">
        <f t="shared" si="961"/>
        <v>-16855811.291018065</v>
      </c>
      <c r="R227">
        <f t="shared" si="962"/>
        <v>-412207267.28821784</v>
      </c>
      <c r="S227">
        <f t="shared" si="963"/>
        <v>-4122.0726728821783</v>
      </c>
      <c r="T227">
        <f t="shared" si="964"/>
        <v>-4.1220726728821786</v>
      </c>
    </row>
    <row r="228" spans="1:20" x14ac:dyDescent="0.25">
      <c r="A228" s="5">
        <v>44365</v>
      </c>
      <c r="B228">
        <v>4.9639999999999997E-2</v>
      </c>
      <c r="C228">
        <v>5.2920000000000002E-2</v>
      </c>
      <c r="D228">
        <v>4.7030000000000002E-2</v>
      </c>
      <c r="E228">
        <v>4.7809999999999998E-2</v>
      </c>
      <c r="F228">
        <v>81731236.5</v>
      </c>
      <c r="G228">
        <v>0</v>
      </c>
      <c r="L228" t="s">
        <v>7</v>
      </c>
      <c r="M228" t="s">
        <v>7</v>
      </c>
      <c r="N228" t="s">
        <v>7</v>
      </c>
      <c r="P228">
        <f t="shared" si="960"/>
        <v>-0.73514431239388933</v>
      </c>
      <c r="Q228">
        <f t="shared" si="961"/>
        <v>-60084253.65789485</v>
      </c>
      <c r="R228">
        <f t="shared" si="962"/>
        <v>-395351455.99719977</v>
      </c>
      <c r="S228">
        <f t="shared" si="963"/>
        <v>-3953.5145599719976</v>
      </c>
      <c r="T228">
        <f t="shared" si="964"/>
        <v>-3.9535145599719979</v>
      </c>
    </row>
    <row r="229" spans="1:20" x14ac:dyDescent="0.25">
      <c r="A229" s="5">
        <v>44364</v>
      </c>
      <c r="B229">
        <v>5.0299999999999997E-2</v>
      </c>
      <c r="C229">
        <v>5.2089999999999997E-2</v>
      </c>
      <c r="D229">
        <v>4.861E-2</v>
      </c>
      <c r="E229">
        <v>4.9639999999999997E-2</v>
      </c>
      <c r="F229">
        <v>28849336.5</v>
      </c>
      <c r="G229">
        <v>0</v>
      </c>
      <c r="L229" t="s">
        <v>7</v>
      </c>
      <c r="M229" t="s">
        <v>7</v>
      </c>
      <c r="N229" t="s">
        <v>7</v>
      </c>
      <c r="P229">
        <f t="shared" si="960"/>
        <v>-0.40804597701149592</v>
      </c>
      <c r="Q229">
        <f t="shared" si="961"/>
        <v>-11771855.698275911</v>
      </c>
      <c r="R229">
        <f t="shared" si="962"/>
        <v>-335267202.33930492</v>
      </c>
      <c r="S229">
        <f t="shared" si="963"/>
        <v>-3352.6720233930491</v>
      </c>
      <c r="T229">
        <f t="shared" si="964"/>
        <v>-3.3526720233930489</v>
      </c>
    </row>
    <row r="230" spans="1:20" x14ac:dyDescent="0.25">
      <c r="A230" s="5">
        <v>44363</v>
      </c>
      <c r="B230">
        <v>5.0849999999999999E-2</v>
      </c>
      <c r="C230">
        <v>5.3920000000000003E-2</v>
      </c>
      <c r="D230">
        <v>4.854E-2</v>
      </c>
      <c r="E230">
        <v>5.0250000000000003E-2</v>
      </c>
      <c r="F230">
        <v>53436174</v>
      </c>
      <c r="G230">
        <v>0</v>
      </c>
      <c r="L230" t="s">
        <v>7</v>
      </c>
      <c r="M230" t="s">
        <v>7</v>
      </c>
      <c r="N230" t="s">
        <v>7</v>
      </c>
      <c r="P230">
        <f t="shared" si="960"/>
        <v>-0.36431226765799174</v>
      </c>
      <c r="Q230">
        <f t="shared" si="961"/>
        <v>-19467453.724907018</v>
      </c>
      <c r="R230">
        <f t="shared" si="962"/>
        <v>-323495346.641029</v>
      </c>
      <c r="S230">
        <f t="shared" si="963"/>
        <v>-3234.9534664102898</v>
      </c>
      <c r="T230">
        <f t="shared" si="964"/>
        <v>-3.2349534664102899</v>
      </c>
    </row>
    <row r="231" spans="1:20" x14ac:dyDescent="0.25">
      <c r="A231" s="5">
        <v>44362</v>
      </c>
      <c r="B231">
        <v>5.3379999999999997E-2</v>
      </c>
      <c r="C231">
        <v>5.432E-2</v>
      </c>
      <c r="D231">
        <v>5.0659999999999997E-2</v>
      </c>
      <c r="E231">
        <v>5.0869999999999999E-2</v>
      </c>
      <c r="F231">
        <v>62298347.799999997</v>
      </c>
      <c r="G231">
        <v>0</v>
      </c>
      <c r="L231" t="s">
        <v>7</v>
      </c>
      <c r="M231" t="s">
        <v>8</v>
      </c>
      <c r="N231" t="s">
        <v>7</v>
      </c>
      <c r="P231">
        <f t="shared" si="960"/>
        <v>-0.88524590163934336</v>
      </c>
      <c r="Q231">
        <f t="shared" si="961"/>
        <v>-55149357.068852402</v>
      </c>
      <c r="R231">
        <f t="shared" si="962"/>
        <v>-304027892.91612196</v>
      </c>
      <c r="S231">
        <f t="shared" si="963"/>
        <v>-3040.2789291612198</v>
      </c>
      <c r="T231">
        <f t="shared" si="964"/>
        <v>-3.0402789291612198</v>
      </c>
    </row>
    <row r="232" spans="1:20" x14ac:dyDescent="0.25">
      <c r="A232" s="5">
        <v>44361</v>
      </c>
      <c r="B232">
        <v>4.9700000000000001E-2</v>
      </c>
      <c r="C232">
        <v>5.8700000000000002E-2</v>
      </c>
      <c r="D232">
        <v>4.8189999999999997E-2</v>
      </c>
      <c r="E232">
        <v>5.3339999999999999E-2</v>
      </c>
      <c r="F232">
        <v>178788806.59999999</v>
      </c>
      <c r="G232">
        <v>0</v>
      </c>
      <c r="L232" t="s">
        <v>8</v>
      </c>
      <c r="M232" t="s">
        <v>8</v>
      </c>
      <c r="N232" t="s">
        <v>7</v>
      </c>
      <c r="P232">
        <f t="shared" si="960"/>
        <v>-1.9980970504281801E-2</v>
      </c>
      <c r="Q232">
        <f t="shared" si="961"/>
        <v>-3572373.8711703434</v>
      </c>
      <c r="R232">
        <f t="shared" si="962"/>
        <v>-248878535.84726954</v>
      </c>
      <c r="S232">
        <f t="shared" si="963"/>
        <v>-2488.7853584726954</v>
      </c>
      <c r="T232">
        <f t="shared" si="964"/>
        <v>-2.4887853584726956</v>
      </c>
    </row>
    <row r="233" spans="1:20" x14ac:dyDescent="0.25">
      <c r="A233" s="5">
        <v>44360</v>
      </c>
      <c r="B233">
        <v>4.8219999999999999E-2</v>
      </c>
      <c r="C233">
        <v>0.05</v>
      </c>
      <c r="D233">
        <v>4.5100000000000001E-2</v>
      </c>
      <c r="E233">
        <v>4.9579999999999999E-2</v>
      </c>
      <c r="F233">
        <v>42674256.399999999</v>
      </c>
      <c r="G233">
        <v>0</v>
      </c>
      <c r="L233" t="s">
        <v>8</v>
      </c>
      <c r="M233" t="s">
        <v>7</v>
      </c>
      <c r="N233" t="s">
        <v>7</v>
      </c>
      <c r="P233">
        <f t="shared" si="960"/>
        <v>0.82857142857142707</v>
      </c>
      <c r="Q233">
        <f t="shared" si="961"/>
        <v>35358669.588571362</v>
      </c>
      <c r="R233">
        <f t="shared" si="962"/>
        <v>-245306161.97609919</v>
      </c>
      <c r="S233">
        <f t="shared" si="963"/>
        <v>-2453.061619760992</v>
      </c>
      <c r="T233">
        <f t="shared" si="964"/>
        <v>-2.4530616197609918</v>
      </c>
    </row>
    <row r="234" spans="1:20" x14ac:dyDescent="0.25">
      <c r="A234" s="5">
        <v>44359</v>
      </c>
      <c r="B234">
        <v>4.7530000000000003E-2</v>
      </c>
      <c r="C234">
        <v>4.9059999999999999E-2</v>
      </c>
      <c r="D234">
        <v>4.4139999999999999E-2</v>
      </c>
      <c r="E234">
        <v>4.8149999999999998E-2</v>
      </c>
      <c r="F234">
        <v>59528548.100000001</v>
      </c>
      <c r="G234">
        <v>0</v>
      </c>
      <c r="L234" t="s">
        <v>7</v>
      </c>
      <c r="M234" t="s">
        <v>7</v>
      </c>
      <c r="N234" t="s">
        <v>7</v>
      </c>
      <c r="P234">
        <f t="shared" si="960"/>
        <v>0.63008130081300773</v>
      </c>
      <c r="Q234">
        <f t="shared" si="961"/>
        <v>37507825.022357702</v>
      </c>
      <c r="R234">
        <f t="shared" si="962"/>
        <v>-280664831.56467056</v>
      </c>
      <c r="S234">
        <f t="shared" si="963"/>
        <v>-2806.6483156467057</v>
      </c>
      <c r="T234">
        <f t="shared" si="964"/>
        <v>-2.8066483156467057</v>
      </c>
    </row>
    <row r="235" spans="1:20" x14ac:dyDescent="0.25">
      <c r="A235" s="5">
        <v>44358</v>
      </c>
      <c r="B235">
        <v>5.0970000000000001E-2</v>
      </c>
      <c r="C235">
        <v>5.2589999999999998E-2</v>
      </c>
      <c r="D235">
        <v>4.6609999999999999E-2</v>
      </c>
      <c r="E235">
        <v>4.7419999999999997E-2</v>
      </c>
      <c r="F235">
        <v>39042727</v>
      </c>
      <c r="G235">
        <v>0</v>
      </c>
      <c r="L235" t="s">
        <v>7</v>
      </c>
      <c r="M235" t="s">
        <v>8</v>
      </c>
      <c r="N235" t="s">
        <v>7</v>
      </c>
      <c r="P235">
        <f t="shared" si="960"/>
        <v>-0.7290969899665557</v>
      </c>
      <c r="Q235">
        <f t="shared" si="961"/>
        <v>-28465934.735785972</v>
      </c>
      <c r="R235">
        <f t="shared" si="962"/>
        <v>-318172656.58702826</v>
      </c>
      <c r="S235">
        <f t="shared" si="963"/>
        <v>-3181.7265658702827</v>
      </c>
      <c r="T235">
        <f t="shared" si="964"/>
        <v>-3.1817265658702825</v>
      </c>
    </row>
    <row r="236" spans="1:20" x14ac:dyDescent="0.25">
      <c r="A236" s="5">
        <v>44357</v>
      </c>
      <c r="B236">
        <v>5.3010000000000002E-2</v>
      </c>
      <c r="C236">
        <v>5.3190000000000001E-2</v>
      </c>
      <c r="D236">
        <v>4.8320000000000002E-2</v>
      </c>
      <c r="E236">
        <v>5.0900000000000001E-2</v>
      </c>
      <c r="F236">
        <v>34131280.100000001</v>
      </c>
      <c r="G236">
        <v>0</v>
      </c>
      <c r="L236" t="s">
        <v>7</v>
      </c>
      <c r="M236" t="s">
        <v>8</v>
      </c>
      <c r="N236" t="s">
        <v>7</v>
      </c>
      <c r="P236">
        <f t="shared" si="960"/>
        <v>5.954825462012292E-2</v>
      </c>
      <c r="Q236">
        <f t="shared" si="961"/>
        <v>2032458.1579055346</v>
      </c>
      <c r="R236">
        <f t="shared" si="962"/>
        <v>-289706721.8512423</v>
      </c>
      <c r="S236">
        <f t="shared" si="963"/>
        <v>-2897.0672185124231</v>
      </c>
      <c r="T236">
        <f t="shared" si="964"/>
        <v>-2.8970672185124231</v>
      </c>
    </row>
    <row r="237" spans="1:20" x14ac:dyDescent="0.25">
      <c r="A237" s="5">
        <v>44356</v>
      </c>
      <c r="B237">
        <v>4.9959999999999997E-2</v>
      </c>
      <c r="C237">
        <v>5.5E-2</v>
      </c>
      <c r="D237">
        <v>4.7690000000000003E-2</v>
      </c>
      <c r="E237">
        <v>5.3039999999999997E-2</v>
      </c>
      <c r="F237">
        <v>93990914</v>
      </c>
      <c r="G237">
        <v>0</v>
      </c>
      <c r="L237" t="s">
        <v>8</v>
      </c>
      <c r="M237" t="s">
        <v>8</v>
      </c>
      <c r="N237" t="s">
        <v>7</v>
      </c>
      <c r="P237">
        <f t="shared" si="960"/>
        <v>0.46374829001367873</v>
      </c>
      <c r="Q237">
        <f t="shared" si="961"/>
        <v>43588125.644322738</v>
      </c>
      <c r="R237">
        <f t="shared" si="962"/>
        <v>-291739180.00914782</v>
      </c>
      <c r="S237">
        <f t="shared" si="963"/>
        <v>-2917.3918000914782</v>
      </c>
      <c r="T237">
        <f t="shared" si="964"/>
        <v>-2.9173918000914782</v>
      </c>
    </row>
    <row r="238" spans="1:20" x14ac:dyDescent="0.25">
      <c r="A238" s="5">
        <v>44355</v>
      </c>
      <c r="B238">
        <v>5.3539999999999997E-2</v>
      </c>
      <c r="C238">
        <v>5.4829999999999997E-2</v>
      </c>
      <c r="D238">
        <v>4.5310000000000003E-2</v>
      </c>
      <c r="E238">
        <v>4.9959999999999997E-2</v>
      </c>
      <c r="F238">
        <v>62208997.299999997</v>
      </c>
      <c r="G238">
        <v>0</v>
      </c>
      <c r="L238" t="s">
        <v>7</v>
      </c>
      <c r="M238" t="s">
        <v>7</v>
      </c>
      <c r="N238" t="s">
        <v>7</v>
      </c>
      <c r="P238">
        <f t="shared" si="960"/>
        <v>-2.3109243697479524E-2</v>
      </c>
      <c r="Q238">
        <f t="shared" si="961"/>
        <v>-1437602.8787815457</v>
      </c>
      <c r="R238">
        <f t="shared" si="962"/>
        <v>-335327305.65347058</v>
      </c>
      <c r="S238">
        <f t="shared" si="963"/>
        <v>-3353.2730565347056</v>
      </c>
      <c r="T238">
        <f t="shared" si="964"/>
        <v>-3.3532730565347055</v>
      </c>
    </row>
    <row r="239" spans="1:20" x14ac:dyDescent="0.25">
      <c r="A239" s="5">
        <v>44354</v>
      </c>
      <c r="B239">
        <v>5.8610000000000002E-2</v>
      </c>
      <c r="C239">
        <v>6.0999999999999999E-2</v>
      </c>
      <c r="D239">
        <v>5.2449999999999997E-2</v>
      </c>
      <c r="E239">
        <v>5.3530000000000001E-2</v>
      </c>
      <c r="F239">
        <v>56893125.100000001</v>
      </c>
      <c r="G239">
        <v>0</v>
      </c>
      <c r="L239" t="s">
        <v>8</v>
      </c>
      <c r="M239" t="s">
        <v>7</v>
      </c>
      <c r="N239" t="s">
        <v>8</v>
      </c>
      <c r="P239">
        <f t="shared" si="960"/>
        <v>-0.74736842105263057</v>
      </c>
      <c r="Q239">
        <f t="shared" si="961"/>
        <v>-42520125.074736789</v>
      </c>
      <c r="R239">
        <f t="shared" si="962"/>
        <v>-333889702.77468902</v>
      </c>
      <c r="S239">
        <f t="shared" si="963"/>
        <v>-3338.8970277468902</v>
      </c>
      <c r="T239">
        <f t="shared" si="964"/>
        <v>-3.3388970277468903</v>
      </c>
    </row>
    <row r="240" spans="1:20" x14ac:dyDescent="0.25">
      <c r="A240" s="5">
        <v>44353</v>
      </c>
      <c r="B240">
        <v>5.4019999999999999E-2</v>
      </c>
      <c r="C240">
        <v>5.9540000000000003E-2</v>
      </c>
      <c r="D240">
        <v>5.3780000000000001E-2</v>
      </c>
      <c r="E240">
        <v>5.8610000000000002E-2</v>
      </c>
      <c r="F240">
        <v>105654839.40000001</v>
      </c>
      <c r="G240">
        <v>0</v>
      </c>
      <c r="L240" t="s">
        <v>8</v>
      </c>
      <c r="M240" t="s">
        <v>7</v>
      </c>
      <c r="N240" t="s">
        <v>8</v>
      </c>
      <c r="P240">
        <f t="shared" si="960"/>
        <v>0.67708333333333326</v>
      </c>
      <c r="Q240">
        <f t="shared" si="961"/>
        <v>71537130.84375</v>
      </c>
      <c r="R240">
        <f t="shared" si="962"/>
        <v>-291369577.69995224</v>
      </c>
      <c r="S240">
        <f t="shared" si="963"/>
        <v>-2913.6957769995224</v>
      </c>
      <c r="T240">
        <f t="shared" si="964"/>
        <v>-2.9136957769995222</v>
      </c>
    </row>
    <row r="241" spans="1:20" x14ac:dyDescent="0.25">
      <c r="A241" s="5">
        <v>44352</v>
      </c>
      <c r="B241">
        <v>5.6320000000000002E-2</v>
      </c>
      <c r="C241">
        <v>5.8409999999999997E-2</v>
      </c>
      <c r="D241">
        <v>5.2170000000000001E-2</v>
      </c>
      <c r="E241">
        <v>5.4149999999999997E-2</v>
      </c>
      <c r="F241">
        <v>46122630.100000001</v>
      </c>
      <c r="G241">
        <v>0</v>
      </c>
      <c r="L241" t="s">
        <v>7</v>
      </c>
      <c r="M241" t="s">
        <v>7</v>
      </c>
      <c r="N241" t="s">
        <v>8</v>
      </c>
      <c r="P241">
        <f t="shared" si="960"/>
        <v>-0.36538461538461631</v>
      </c>
      <c r="Q241">
        <f t="shared" si="961"/>
        <v>-16852499.459615428</v>
      </c>
      <c r="R241">
        <f t="shared" si="962"/>
        <v>-362906708.54370224</v>
      </c>
      <c r="S241">
        <f t="shared" si="963"/>
        <v>-3629.0670854370223</v>
      </c>
      <c r="T241">
        <f t="shared" si="964"/>
        <v>-3.6290670854370224</v>
      </c>
    </row>
    <row r="242" spans="1:20" x14ac:dyDescent="0.25">
      <c r="A242" s="5">
        <v>44351</v>
      </c>
      <c r="B242">
        <v>6.3119999999999996E-2</v>
      </c>
      <c r="C242">
        <v>6.3479999999999995E-2</v>
      </c>
      <c r="D242">
        <v>5.3719999999999997E-2</v>
      </c>
      <c r="E242">
        <v>5.6140000000000002E-2</v>
      </c>
      <c r="F242">
        <v>67661875.299999997</v>
      </c>
      <c r="G242">
        <v>0</v>
      </c>
      <c r="L242" t="s">
        <v>7</v>
      </c>
      <c r="M242" t="s">
        <v>8</v>
      </c>
      <c r="N242" t="s">
        <v>8</v>
      </c>
      <c r="P242">
        <f t="shared" si="960"/>
        <v>-0.50409836065573643</v>
      </c>
      <c r="Q242">
        <f t="shared" si="961"/>
        <v>-34108240.417622864</v>
      </c>
      <c r="R242">
        <f t="shared" si="962"/>
        <v>-346054209.08408684</v>
      </c>
      <c r="S242">
        <f t="shared" si="963"/>
        <v>-3460.5420908408682</v>
      </c>
      <c r="T242">
        <f t="shared" si="964"/>
        <v>-3.4605420908408684</v>
      </c>
    </row>
    <row r="243" spans="1:20" x14ac:dyDescent="0.25">
      <c r="A243" s="5">
        <v>44350</v>
      </c>
      <c r="B243">
        <v>5.833E-2</v>
      </c>
      <c r="C243">
        <v>6.3789999999999999E-2</v>
      </c>
      <c r="D243">
        <v>5.7430000000000002E-2</v>
      </c>
      <c r="E243">
        <v>6.3119999999999996E-2</v>
      </c>
      <c r="F243">
        <v>46958300.100000001</v>
      </c>
      <c r="G243">
        <v>0</v>
      </c>
      <c r="L243" t="s">
        <v>8</v>
      </c>
      <c r="M243" t="s">
        <v>8</v>
      </c>
      <c r="N243" t="s">
        <v>8</v>
      </c>
      <c r="P243">
        <f t="shared" si="960"/>
        <v>0.78930817610062765</v>
      </c>
      <c r="Q243">
        <f t="shared" si="961"/>
        <v>37064570.204716921</v>
      </c>
      <c r="R243">
        <f t="shared" si="962"/>
        <v>-311945968.66646397</v>
      </c>
      <c r="S243">
        <f t="shared" si="963"/>
        <v>-3119.4596866646398</v>
      </c>
      <c r="T243">
        <f t="shared" si="964"/>
        <v>-3.1194596866646398</v>
      </c>
    </row>
    <row r="244" spans="1:20" x14ac:dyDescent="0.25">
      <c r="A244" s="5">
        <v>44349</v>
      </c>
      <c r="B244">
        <v>5.8090000000000003E-2</v>
      </c>
      <c r="C244">
        <v>6.0269999999999997E-2</v>
      </c>
      <c r="D244">
        <v>5.595E-2</v>
      </c>
      <c r="E244">
        <v>5.8360000000000002E-2</v>
      </c>
      <c r="F244">
        <v>38470947</v>
      </c>
      <c r="G244">
        <v>0</v>
      </c>
      <c r="L244" t="s">
        <v>8</v>
      </c>
      <c r="M244" t="s">
        <v>7</v>
      </c>
      <c r="N244" t="s">
        <v>8</v>
      </c>
      <c r="P244">
        <f t="shared" si="960"/>
        <v>0.11574074074074252</v>
      </c>
      <c r="Q244">
        <f t="shared" si="961"/>
        <v>4452655.902777846</v>
      </c>
      <c r="R244">
        <f t="shared" si="962"/>
        <v>-349010538.87118089</v>
      </c>
      <c r="S244">
        <f t="shared" si="963"/>
        <v>-3490.1053887118087</v>
      </c>
      <c r="T244">
        <f t="shared" si="964"/>
        <v>-3.4901053887118088</v>
      </c>
    </row>
    <row r="245" spans="1:20" x14ac:dyDescent="0.25">
      <c r="A245" s="5">
        <v>44348</v>
      </c>
      <c r="B245">
        <v>5.9729999999999998E-2</v>
      </c>
      <c r="C245">
        <v>6.0519999999999997E-2</v>
      </c>
      <c r="D245">
        <v>5.5E-2</v>
      </c>
      <c r="E245">
        <v>5.8099999999999999E-2</v>
      </c>
      <c r="F245">
        <v>53005346.299999997</v>
      </c>
      <c r="G245">
        <v>0</v>
      </c>
      <c r="L245" t="s">
        <v>7</v>
      </c>
      <c r="M245" t="s">
        <v>7</v>
      </c>
      <c r="N245" t="s">
        <v>8</v>
      </c>
      <c r="P245">
        <f t="shared" si="960"/>
        <v>0.12318840579710152</v>
      </c>
      <c r="Q245">
        <f t="shared" si="961"/>
        <v>6529644.109420293</v>
      </c>
      <c r="R245">
        <f t="shared" si="962"/>
        <v>-353463194.77395874</v>
      </c>
      <c r="S245">
        <f t="shared" si="963"/>
        <v>-3534.6319477395873</v>
      </c>
      <c r="T245">
        <f t="shared" si="964"/>
        <v>-3.5346319477395873</v>
      </c>
    </row>
    <row r="246" spans="1:20" x14ac:dyDescent="0.25">
      <c r="A246" s="5">
        <v>44347</v>
      </c>
      <c r="B246">
        <v>5.645E-2</v>
      </c>
      <c r="C246">
        <v>6.1120000000000001E-2</v>
      </c>
      <c r="D246">
        <v>5.4109999999999998E-2</v>
      </c>
      <c r="E246">
        <v>5.9900000000000002E-2</v>
      </c>
      <c r="F246">
        <v>55024455.100000001</v>
      </c>
      <c r="G246">
        <v>0</v>
      </c>
      <c r="L246" t="s">
        <v>8</v>
      </c>
      <c r="M246" t="s">
        <v>7</v>
      </c>
      <c r="N246" t="s">
        <v>8</v>
      </c>
      <c r="P246">
        <f t="shared" si="960"/>
        <v>0.65192582025677648</v>
      </c>
      <c r="Q246">
        <f t="shared" si="961"/>
        <v>35871863.025249667</v>
      </c>
      <c r="R246">
        <f t="shared" si="962"/>
        <v>-359992838.88337904</v>
      </c>
      <c r="S246">
        <f t="shared" si="963"/>
        <v>-3599.9283888337905</v>
      </c>
      <c r="T246">
        <f t="shared" si="964"/>
        <v>-3.5999283888337903</v>
      </c>
    </row>
    <row r="247" spans="1:20" x14ac:dyDescent="0.25">
      <c r="A247" s="5">
        <v>44346</v>
      </c>
      <c r="B247">
        <v>5.5750000000000001E-2</v>
      </c>
      <c r="C247">
        <v>5.8779999999999999E-2</v>
      </c>
      <c r="D247">
        <v>5.1869999999999999E-2</v>
      </c>
      <c r="E247">
        <v>5.6669999999999998E-2</v>
      </c>
      <c r="F247">
        <v>46450114.799999997</v>
      </c>
      <c r="G247">
        <v>0</v>
      </c>
      <c r="L247" t="s">
        <v>8</v>
      </c>
      <c r="M247" t="s">
        <v>7</v>
      </c>
      <c r="N247" t="s">
        <v>8</v>
      </c>
      <c r="P247">
        <f t="shared" si="960"/>
        <v>0.38929088277858148</v>
      </c>
      <c r="Q247">
        <f t="shared" si="961"/>
        <v>18082606.195658453</v>
      </c>
      <c r="R247">
        <f t="shared" si="962"/>
        <v>-395864701.9086287</v>
      </c>
      <c r="S247">
        <f t="shared" si="963"/>
        <v>-3958.6470190862869</v>
      </c>
      <c r="T247">
        <f t="shared" si="964"/>
        <v>-3.9586470190862868</v>
      </c>
    </row>
    <row r="248" spans="1:20" x14ac:dyDescent="0.25">
      <c r="A248" s="5">
        <v>44345</v>
      </c>
      <c r="B248">
        <v>5.5399999999999998E-2</v>
      </c>
      <c r="C248">
        <v>6.1940000000000002E-2</v>
      </c>
      <c r="D248">
        <v>5.1090000000000003E-2</v>
      </c>
      <c r="E248">
        <v>5.5660000000000001E-2</v>
      </c>
      <c r="F248">
        <v>160188345.40000001</v>
      </c>
      <c r="G248">
        <v>0</v>
      </c>
      <c r="L248" t="s">
        <v>7</v>
      </c>
      <c r="M248" t="s">
        <v>7</v>
      </c>
      <c r="N248" t="s">
        <v>8</v>
      </c>
      <c r="P248">
        <f t="shared" si="960"/>
        <v>-0.15760368663594501</v>
      </c>
      <c r="Q248">
        <f t="shared" si="961"/>
        <v>-25246273.791152123</v>
      </c>
      <c r="R248">
        <f t="shared" si="962"/>
        <v>-413947308.10428715</v>
      </c>
      <c r="S248">
        <f t="shared" si="963"/>
        <v>-4139.4730810428719</v>
      </c>
      <c r="T248">
        <f t="shared" si="964"/>
        <v>-4.1394730810428717</v>
      </c>
    </row>
    <row r="249" spans="1:20" x14ac:dyDescent="0.25">
      <c r="A249" s="5">
        <v>44344</v>
      </c>
      <c r="B249">
        <v>5.7770000000000002E-2</v>
      </c>
      <c r="C249">
        <v>6.5229999999999996E-2</v>
      </c>
      <c r="D249">
        <v>5.1769999999999997E-2</v>
      </c>
      <c r="E249">
        <v>5.5469999999999998E-2</v>
      </c>
      <c r="F249">
        <v>187452080.40000001</v>
      </c>
      <c r="G249">
        <v>0</v>
      </c>
      <c r="L249" t="s">
        <v>8</v>
      </c>
      <c r="M249" t="s">
        <v>8</v>
      </c>
      <c r="N249" t="s">
        <v>8</v>
      </c>
      <c r="P249">
        <f t="shared" si="960"/>
        <v>-0.45022288261515575</v>
      </c>
      <c r="Q249">
        <f t="shared" si="961"/>
        <v>-84395215.98989594</v>
      </c>
      <c r="R249">
        <f t="shared" si="962"/>
        <v>-388701034.31313503</v>
      </c>
      <c r="S249">
        <f t="shared" si="963"/>
        <v>-3887.0103431313501</v>
      </c>
      <c r="T249">
        <f t="shared" si="964"/>
        <v>-3.8870103431313501</v>
      </c>
    </row>
    <row r="250" spans="1:20" x14ac:dyDescent="0.25">
      <c r="A250" s="5">
        <v>44343</v>
      </c>
      <c r="B250">
        <v>5.9409999999999998E-2</v>
      </c>
      <c r="C250">
        <v>6.3890000000000002E-2</v>
      </c>
      <c r="D250">
        <v>5.6009999999999997E-2</v>
      </c>
      <c r="E250">
        <v>5.774E-2</v>
      </c>
      <c r="F250">
        <v>143919874.90000001</v>
      </c>
      <c r="G250">
        <v>0</v>
      </c>
      <c r="L250" t="s">
        <v>8</v>
      </c>
      <c r="M250" t="s">
        <v>8</v>
      </c>
      <c r="N250" t="s">
        <v>8</v>
      </c>
      <c r="P250">
        <f t="shared" si="960"/>
        <v>-0.56091370558375597</v>
      </c>
      <c r="Q250">
        <f t="shared" si="961"/>
        <v>-80726630.337309599</v>
      </c>
      <c r="R250">
        <f t="shared" si="962"/>
        <v>-304305818.32323909</v>
      </c>
      <c r="S250">
        <f t="shared" si="963"/>
        <v>-3043.058183232391</v>
      </c>
      <c r="T250">
        <f t="shared" si="964"/>
        <v>-3.0430581832323909</v>
      </c>
    </row>
    <row r="251" spans="1:20" x14ac:dyDescent="0.25">
      <c r="A251" s="5">
        <v>44342</v>
      </c>
      <c r="B251">
        <v>5.3429999999999998E-2</v>
      </c>
      <c r="C251">
        <v>5.953E-2</v>
      </c>
      <c r="D251">
        <v>5.1900000000000002E-2</v>
      </c>
      <c r="E251">
        <v>5.935E-2</v>
      </c>
      <c r="F251">
        <v>95423087.299999997</v>
      </c>
      <c r="G251">
        <v>0</v>
      </c>
      <c r="L251" t="s">
        <v>8</v>
      </c>
      <c r="M251" t="s">
        <v>8</v>
      </c>
      <c r="N251" t="s">
        <v>8</v>
      </c>
      <c r="P251">
        <f t="shared" si="960"/>
        <v>0.95281782437745755</v>
      </c>
      <c r="Q251">
        <f t="shared" si="961"/>
        <v>90920818.436566204</v>
      </c>
      <c r="R251">
        <f t="shared" si="962"/>
        <v>-223579187.98592952</v>
      </c>
      <c r="S251">
        <f t="shared" si="963"/>
        <v>-2235.791879859295</v>
      </c>
      <c r="T251">
        <f t="shared" si="964"/>
        <v>-2.2357918798592951</v>
      </c>
    </row>
    <row r="252" spans="1:20" x14ac:dyDescent="0.25">
      <c r="A252" s="5">
        <v>44341</v>
      </c>
      <c r="B252">
        <v>5.5300000000000002E-2</v>
      </c>
      <c r="C252">
        <v>5.7419999999999999E-2</v>
      </c>
      <c r="D252">
        <v>4.7579999999999997E-2</v>
      </c>
      <c r="E252">
        <v>5.3269999999999998E-2</v>
      </c>
      <c r="F252">
        <v>116276317.8</v>
      </c>
      <c r="G252">
        <v>0</v>
      </c>
      <c r="L252" t="s">
        <v>7</v>
      </c>
      <c r="M252" t="s">
        <v>7</v>
      </c>
      <c r="N252" t="s">
        <v>8</v>
      </c>
      <c r="P252">
        <f t="shared" si="960"/>
        <v>0.15650406504065034</v>
      </c>
      <c r="Q252">
        <f t="shared" si="961"/>
        <v>18197716.403658528</v>
      </c>
      <c r="R252">
        <f t="shared" si="962"/>
        <v>-314500006.42249572</v>
      </c>
      <c r="S252">
        <f t="shared" si="963"/>
        <v>-3145.0000642249574</v>
      </c>
      <c r="T252">
        <f t="shared" si="964"/>
        <v>-3.1450000642249574</v>
      </c>
    </row>
    <row r="253" spans="1:20" x14ac:dyDescent="0.25">
      <c r="A253" s="5">
        <v>44340</v>
      </c>
      <c r="B253">
        <v>4.1750000000000002E-2</v>
      </c>
      <c r="C253">
        <v>5.7099999999999998E-2</v>
      </c>
      <c r="D253">
        <v>4.1000000000000002E-2</v>
      </c>
      <c r="E253">
        <v>5.5469999999999998E-2</v>
      </c>
      <c r="F253">
        <v>209959572.40000001</v>
      </c>
      <c r="G253">
        <v>0</v>
      </c>
      <c r="L253" t="s">
        <v>8</v>
      </c>
      <c r="M253" t="s">
        <v>8</v>
      </c>
      <c r="N253" t="s">
        <v>8</v>
      </c>
      <c r="P253">
        <f t="shared" si="960"/>
        <v>0.79751552795031055</v>
      </c>
      <c r="Q253">
        <f t="shared" si="961"/>
        <v>167446019.23080745</v>
      </c>
      <c r="R253">
        <f t="shared" si="962"/>
        <v>-332697722.82615423</v>
      </c>
      <c r="S253">
        <f t="shared" si="963"/>
        <v>-3326.9772282615422</v>
      </c>
      <c r="T253">
        <f t="shared" si="964"/>
        <v>-3.3269772282615424</v>
      </c>
    </row>
    <row r="254" spans="1:20" x14ac:dyDescent="0.25">
      <c r="A254" s="5">
        <v>44339</v>
      </c>
      <c r="B254">
        <v>4.7140000000000001E-2</v>
      </c>
      <c r="C254">
        <v>4.9579999999999999E-2</v>
      </c>
      <c r="D254">
        <v>3.4610000000000002E-2</v>
      </c>
      <c r="E254">
        <v>4.181E-2</v>
      </c>
      <c r="F254">
        <v>206351840.69999999</v>
      </c>
      <c r="G254">
        <v>0</v>
      </c>
      <c r="L254" t="s">
        <v>7</v>
      </c>
      <c r="M254" t="s">
        <v>7</v>
      </c>
      <c r="N254" t="s">
        <v>7</v>
      </c>
      <c r="P254">
        <f t="shared" si="960"/>
        <v>-3.8076152304609298E-2</v>
      </c>
      <c r="Q254">
        <f t="shared" si="961"/>
        <v>-7857084.1148296753</v>
      </c>
      <c r="R254">
        <f t="shared" si="962"/>
        <v>-500143742.05696166</v>
      </c>
      <c r="S254">
        <f t="shared" si="963"/>
        <v>-5001.4374205696167</v>
      </c>
      <c r="T254">
        <f t="shared" si="964"/>
        <v>-5.0014374205696166</v>
      </c>
    </row>
    <row r="255" spans="1:20" x14ac:dyDescent="0.25">
      <c r="A255" s="5">
        <v>44338</v>
      </c>
      <c r="B255">
        <v>5.237E-2</v>
      </c>
      <c r="C255">
        <v>5.4480000000000001E-2</v>
      </c>
      <c r="D255">
        <v>4.5240000000000002E-2</v>
      </c>
      <c r="E255">
        <v>4.7109999999999999E-2</v>
      </c>
      <c r="F255">
        <v>111046895.8</v>
      </c>
      <c r="G255">
        <v>0</v>
      </c>
      <c r="L255" t="s">
        <v>8</v>
      </c>
      <c r="M255" t="s">
        <v>7</v>
      </c>
      <c r="N255" t="s">
        <v>7</v>
      </c>
      <c r="P255">
        <f t="shared" si="960"/>
        <v>-0.5952380952380959</v>
      </c>
      <c r="Q255">
        <f t="shared" si="961"/>
        <v>-66099342.738095313</v>
      </c>
      <c r="R255">
        <f t="shared" si="962"/>
        <v>-492286657.942132</v>
      </c>
      <c r="S255">
        <f t="shared" si="963"/>
        <v>-4922.8665794213202</v>
      </c>
      <c r="T255">
        <f t="shared" si="964"/>
        <v>-4.9228665794213207</v>
      </c>
    </row>
    <row r="256" spans="1:20" x14ac:dyDescent="0.25">
      <c r="A256" s="5">
        <v>44337</v>
      </c>
      <c r="B256">
        <v>6.5670000000000006E-2</v>
      </c>
      <c r="C256">
        <v>6.9000000000000006E-2</v>
      </c>
      <c r="D256">
        <v>4.4630000000000003E-2</v>
      </c>
      <c r="E256">
        <v>5.246E-2</v>
      </c>
      <c r="F256">
        <v>160505374.09999999</v>
      </c>
      <c r="G256">
        <v>0</v>
      </c>
      <c r="L256" t="s">
        <v>7</v>
      </c>
      <c r="M256" t="s">
        <v>8</v>
      </c>
      <c r="N256" t="s">
        <v>7</v>
      </c>
      <c r="P256">
        <f t="shared" si="960"/>
        <v>-0.35740664751743983</v>
      </c>
      <c r="Q256">
        <f t="shared" si="961"/>
        <v>-57365687.665613517</v>
      </c>
      <c r="R256">
        <f t="shared" si="962"/>
        <v>-426187315.20403665</v>
      </c>
      <c r="S256">
        <f t="shared" si="963"/>
        <v>-4261.8731520403662</v>
      </c>
      <c r="T256">
        <f t="shared" si="964"/>
        <v>-4.2618731520403665</v>
      </c>
    </row>
    <row r="257" spans="1:20" x14ac:dyDescent="0.25">
      <c r="A257" s="5">
        <v>44336</v>
      </c>
      <c r="B257">
        <v>5.5219999999999998E-2</v>
      </c>
      <c r="C257">
        <v>6.8019999999999997E-2</v>
      </c>
      <c r="D257">
        <v>4.9450000000000001E-2</v>
      </c>
      <c r="E257">
        <v>6.5600000000000006E-2</v>
      </c>
      <c r="F257">
        <v>136598983.30000001</v>
      </c>
      <c r="G257">
        <v>0</v>
      </c>
      <c r="L257" t="s">
        <v>8</v>
      </c>
      <c r="M257" t="s">
        <v>8</v>
      </c>
      <c r="N257" t="s">
        <v>8</v>
      </c>
      <c r="P257">
        <f t="shared" si="960"/>
        <v>0.73936456650511662</v>
      </c>
      <c r="Q257">
        <f t="shared" si="961"/>
        <v>100996448.07264417</v>
      </c>
      <c r="R257">
        <f t="shared" si="962"/>
        <v>-368821627.53842312</v>
      </c>
      <c r="S257">
        <f t="shared" si="963"/>
        <v>-3688.2162753842313</v>
      </c>
      <c r="T257">
        <f t="shared" si="964"/>
        <v>-3.6882162753842311</v>
      </c>
    </row>
    <row r="258" spans="1:20" x14ac:dyDescent="0.25">
      <c r="A258" s="5">
        <v>44335</v>
      </c>
      <c r="B258">
        <v>9.2810000000000004E-2</v>
      </c>
      <c r="C258">
        <v>9.425E-2</v>
      </c>
      <c r="D258">
        <v>4.249E-2</v>
      </c>
      <c r="E258">
        <v>5.5710000000000003E-2</v>
      </c>
      <c r="F258">
        <v>244591462.40000001</v>
      </c>
      <c r="G258">
        <v>0</v>
      </c>
      <c r="L258" t="s">
        <v>7</v>
      </c>
      <c r="M258" t="s">
        <v>7</v>
      </c>
      <c r="N258" t="s">
        <v>7</v>
      </c>
      <c r="P258">
        <f t="shared" si="960"/>
        <v>-0.48918083462132911</v>
      </c>
      <c r="Q258">
        <f t="shared" si="961"/>
        <v>-119649455.71808344</v>
      </c>
      <c r="R258">
        <f t="shared" si="962"/>
        <v>-469818075.6110673</v>
      </c>
      <c r="S258">
        <f t="shared" si="963"/>
        <v>-4698.1807561106725</v>
      </c>
      <c r="T258">
        <f t="shared" si="964"/>
        <v>-4.6981807561106725</v>
      </c>
    </row>
    <row r="259" spans="1:20" x14ac:dyDescent="0.25">
      <c r="A259" s="5">
        <v>44334</v>
      </c>
      <c r="B259">
        <v>9.5699999999999993E-2</v>
      </c>
      <c r="C259">
        <v>0.1007</v>
      </c>
      <c r="D259">
        <v>9.1200000000000003E-2</v>
      </c>
      <c r="E259">
        <v>9.2700000000000005E-2</v>
      </c>
      <c r="F259">
        <v>81118911.5</v>
      </c>
      <c r="G259">
        <v>0</v>
      </c>
      <c r="L259" t="s">
        <v>8</v>
      </c>
      <c r="M259" t="s">
        <v>7</v>
      </c>
      <c r="N259" t="s">
        <v>7</v>
      </c>
      <c r="P259">
        <f t="shared" si="960"/>
        <v>-0.68421052631578905</v>
      </c>
      <c r="Q259">
        <f t="shared" si="961"/>
        <v>-55502413.131578915</v>
      </c>
      <c r="R259">
        <f t="shared" si="962"/>
        <v>-350168619.89298385</v>
      </c>
      <c r="S259">
        <f t="shared" si="963"/>
        <v>-3501.6861989298386</v>
      </c>
      <c r="T259">
        <f t="shared" si="964"/>
        <v>-3.5016861989298387</v>
      </c>
    </row>
    <row r="260" spans="1:20" x14ac:dyDescent="0.25">
      <c r="A260" s="5">
        <v>44333</v>
      </c>
      <c r="B260">
        <v>0.10301</v>
      </c>
      <c r="C260">
        <v>0.10321</v>
      </c>
      <c r="D260">
        <v>0.09</v>
      </c>
      <c r="E260">
        <v>9.5390000000000003E-2</v>
      </c>
      <c r="F260">
        <v>149996646.40000001</v>
      </c>
      <c r="G260">
        <v>0</v>
      </c>
      <c r="L260" t="s">
        <v>7</v>
      </c>
      <c r="M260" t="s">
        <v>7</v>
      </c>
      <c r="N260" t="s">
        <v>7</v>
      </c>
      <c r="P260">
        <f t="shared" si="960"/>
        <v>-0.18395155185465464</v>
      </c>
      <c r="Q260">
        <f t="shared" si="961"/>
        <v>-27592115.878273897</v>
      </c>
      <c r="R260">
        <f t="shared" si="962"/>
        <v>-294666206.76140493</v>
      </c>
      <c r="S260">
        <f t="shared" si="963"/>
        <v>-2946.6620676140492</v>
      </c>
      <c r="T260">
        <f t="shared" si="964"/>
        <v>-2.9466620676140494</v>
      </c>
    </row>
    <row r="261" spans="1:20" x14ac:dyDescent="0.25">
      <c r="A261" s="5">
        <v>44332</v>
      </c>
      <c r="B261">
        <v>9.2079999999999995E-2</v>
      </c>
      <c r="C261">
        <v>0.12180000000000001</v>
      </c>
      <c r="D261">
        <v>9.1399999999999995E-2</v>
      </c>
      <c r="E261">
        <v>0.10310999999999999</v>
      </c>
      <c r="F261">
        <v>341466859.10000002</v>
      </c>
      <c r="G261">
        <v>0</v>
      </c>
      <c r="L261" t="s">
        <v>8</v>
      </c>
      <c r="M261" t="s">
        <v>8</v>
      </c>
      <c r="N261" t="s">
        <v>7</v>
      </c>
      <c r="P261">
        <f t="shared" si="960"/>
        <v>-0.22960526315789512</v>
      </c>
      <c r="Q261">
        <f t="shared" si="961"/>
        <v>-78402588.043355405</v>
      </c>
      <c r="R261">
        <f t="shared" si="962"/>
        <v>-267074090.88313103</v>
      </c>
      <c r="S261">
        <f t="shared" si="963"/>
        <v>-2670.7409088313102</v>
      </c>
      <c r="T261">
        <f t="shared" si="964"/>
        <v>-2.6707409088313101</v>
      </c>
    </row>
    <row r="262" spans="1:20" x14ac:dyDescent="0.25">
      <c r="A262" s="5">
        <v>44331</v>
      </c>
      <c r="B262">
        <v>0.10394</v>
      </c>
      <c r="C262">
        <v>0.10524</v>
      </c>
      <c r="D262">
        <v>9.1039999999999996E-2</v>
      </c>
      <c r="E262">
        <v>9.2130000000000004E-2</v>
      </c>
      <c r="F262">
        <v>57021489.399999999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-0.8464788732394356</v>
      </c>
      <c r="Q262">
        <f t="shared" ref="Q262:Q325" si="966">F262*P262</f>
        <v>-48267486.097746417</v>
      </c>
      <c r="R262">
        <f t="shared" ref="R262:R325" si="967">R263+Q262</f>
        <v>-188671502.83977562</v>
      </c>
      <c r="S262">
        <f t="shared" ref="S262:S325" si="968">R262/100000</f>
        <v>-1886.7150283977562</v>
      </c>
      <c r="T262">
        <f t="shared" ref="T262:T325" si="969">S262/1000</f>
        <v>-1.8867150283977563</v>
      </c>
    </row>
    <row r="263" spans="1:20" x14ac:dyDescent="0.25">
      <c r="A263" s="5">
        <v>44330</v>
      </c>
      <c r="B263">
        <v>9.8659999999999998E-2</v>
      </c>
      <c r="C263">
        <v>0.11</v>
      </c>
      <c r="D263">
        <v>9.8169999999999993E-2</v>
      </c>
      <c r="E263">
        <v>0.10385999999999999</v>
      </c>
      <c r="F263">
        <v>67540695.099999994</v>
      </c>
      <c r="G263">
        <v>0</v>
      </c>
      <c r="L263" t="s">
        <v>8</v>
      </c>
      <c r="M263" t="s">
        <v>8</v>
      </c>
      <c r="N263" t="s">
        <v>7</v>
      </c>
      <c r="P263">
        <f t="shared" si="965"/>
        <v>-3.8038884192730826E-2</v>
      </c>
      <c r="Q263">
        <f t="shared" si="966"/>
        <v>-2569172.6792054423</v>
      </c>
      <c r="R263">
        <f t="shared" si="967"/>
        <v>-140404016.74202919</v>
      </c>
      <c r="S263">
        <f t="shared" si="968"/>
        <v>-1404.0401674202919</v>
      </c>
      <c r="T263">
        <f t="shared" si="969"/>
        <v>-1.404040167420292</v>
      </c>
    </row>
    <row r="264" spans="1:20" x14ac:dyDescent="0.25">
      <c r="A264" s="5">
        <v>44329</v>
      </c>
      <c r="B264">
        <v>9.5460000000000003E-2</v>
      </c>
      <c r="C264">
        <v>0.10573</v>
      </c>
      <c r="D264">
        <v>8.8270000000000001E-2</v>
      </c>
      <c r="E264">
        <v>9.8419999999999994E-2</v>
      </c>
      <c r="F264">
        <v>120030592.7</v>
      </c>
      <c r="G264">
        <v>0</v>
      </c>
      <c r="L264" t="s">
        <v>7</v>
      </c>
      <c r="M264" t="s">
        <v>7</v>
      </c>
      <c r="N264" t="s">
        <v>7</v>
      </c>
      <c r="P264">
        <f t="shared" si="965"/>
        <v>0.16265750286368733</v>
      </c>
      <c r="Q264">
        <f t="shared" si="966"/>
        <v>19523876.475830339</v>
      </c>
      <c r="R264">
        <f t="shared" si="967"/>
        <v>-137834844.06282374</v>
      </c>
      <c r="S264">
        <f t="shared" si="968"/>
        <v>-1378.3484406282373</v>
      </c>
      <c r="T264">
        <f t="shared" si="969"/>
        <v>-1.3783484406282374</v>
      </c>
    </row>
    <row r="265" spans="1:20" x14ac:dyDescent="0.25">
      <c r="A265" s="5">
        <v>44328</v>
      </c>
      <c r="B265">
        <v>0.11915000000000001</v>
      </c>
      <c r="C265">
        <v>0.12199</v>
      </c>
      <c r="D265">
        <v>9.3179999999999999E-2</v>
      </c>
      <c r="E265">
        <v>9.5460000000000003E-2</v>
      </c>
      <c r="F265">
        <v>90028659</v>
      </c>
      <c r="G265">
        <v>0</v>
      </c>
      <c r="L265" t="s">
        <v>8</v>
      </c>
      <c r="M265" t="s">
        <v>7</v>
      </c>
      <c r="N265" t="s">
        <v>7</v>
      </c>
      <c r="P265">
        <f t="shared" si="965"/>
        <v>-0.84172162443595944</v>
      </c>
      <c r="Q265">
        <f t="shared" si="966"/>
        <v>-75779069.099271059</v>
      </c>
      <c r="R265">
        <f t="shared" si="967"/>
        <v>-157358720.53865409</v>
      </c>
      <c r="S265">
        <f t="shared" si="968"/>
        <v>-1573.587205386541</v>
      </c>
      <c r="T265">
        <f t="shared" si="969"/>
        <v>-1.573587205386541</v>
      </c>
    </row>
    <row r="266" spans="1:20" x14ac:dyDescent="0.25">
      <c r="A266" s="5">
        <v>44327</v>
      </c>
      <c r="B266">
        <v>0.11237999999999999</v>
      </c>
      <c r="C266">
        <v>0.11978999999999999</v>
      </c>
      <c r="D266">
        <v>0.10667</v>
      </c>
      <c r="E266">
        <v>0.11906</v>
      </c>
      <c r="F266">
        <v>127021288.7</v>
      </c>
      <c r="G266">
        <v>0</v>
      </c>
      <c r="L266" t="s">
        <v>8</v>
      </c>
      <c r="M266" t="s">
        <v>8</v>
      </c>
      <c r="N266" t="s">
        <v>7</v>
      </c>
      <c r="P266">
        <f t="shared" si="965"/>
        <v>0.88871951219512269</v>
      </c>
      <c r="Q266">
        <f t="shared" si="966"/>
        <v>112886297.73185985</v>
      </c>
      <c r="R266">
        <f t="shared" si="967"/>
        <v>-81579651.439383015</v>
      </c>
      <c r="S266">
        <f t="shared" si="968"/>
        <v>-815.79651439383019</v>
      </c>
      <c r="T266">
        <f t="shared" si="969"/>
        <v>-0.81579651439383016</v>
      </c>
    </row>
    <row r="267" spans="1:20" x14ac:dyDescent="0.25">
      <c r="A267" s="5">
        <v>44326</v>
      </c>
      <c r="B267">
        <v>0.12811</v>
      </c>
      <c r="C267">
        <v>0.13594000000000001</v>
      </c>
      <c r="D267">
        <v>0.1</v>
      </c>
      <c r="E267">
        <v>0.11248</v>
      </c>
      <c r="F267">
        <v>108100272.3</v>
      </c>
      <c r="G267">
        <v>0</v>
      </c>
      <c r="L267" t="s">
        <v>7</v>
      </c>
      <c r="M267" t="s">
        <v>7</v>
      </c>
      <c r="N267" t="s">
        <v>7</v>
      </c>
      <c r="P267">
        <f t="shared" si="965"/>
        <v>-0.30550918196995042</v>
      </c>
      <c r="Q267">
        <f t="shared" si="966"/>
        <v>-33025625.76110189</v>
      </c>
      <c r="R267">
        <f t="shared" si="967"/>
        <v>-194465949.17124286</v>
      </c>
      <c r="S267">
        <f t="shared" si="968"/>
        <v>-1944.6594917124287</v>
      </c>
      <c r="T267">
        <f t="shared" si="969"/>
        <v>-1.9446594917124287</v>
      </c>
    </row>
    <row r="268" spans="1:20" x14ac:dyDescent="0.25">
      <c r="A268" s="5">
        <v>44325</v>
      </c>
      <c r="B268">
        <v>0.13369</v>
      </c>
      <c r="C268">
        <v>0.13827</v>
      </c>
      <c r="D268">
        <v>0.12141</v>
      </c>
      <c r="E268">
        <v>0.128</v>
      </c>
      <c r="F268">
        <v>79945205.400000006</v>
      </c>
      <c r="G268">
        <v>0</v>
      </c>
      <c r="L268" t="s">
        <v>7</v>
      </c>
      <c r="M268" t="s">
        <v>7</v>
      </c>
      <c r="N268" t="s">
        <v>8</v>
      </c>
      <c r="P268">
        <f t="shared" si="965"/>
        <v>-0.21826809015421131</v>
      </c>
      <c r="Q268">
        <f t="shared" si="966"/>
        <v>-17449487.299644142</v>
      </c>
      <c r="R268">
        <f t="shared" si="967"/>
        <v>-161440323.41014096</v>
      </c>
      <c r="S268">
        <f t="shared" si="968"/>
        <v>-1614.4032341014097</v>
      </c>
      <c r="T268">
        <f t="shared" si="969"/>
        <v>-1.6144032341014096</v>
      </c>
    </row>
    <row r="269" spans="1:20" x14ac:dyDescent="0.25">
      <c r="A269" s="5">
        <v>44324</v>
      </c>
      <c r="B269">
        <v>0.14000000000000001</v>
      </c>
      <c r="C269">
        <v>0.14430000000000001</v>
      </c>
      <c r="D269">
        <v>0.12912000000000001</v>
      </c>
      <c r="E269">
        <v>0.13370000000000001</v>
      </c>
      <c r="F269">
        <v>81334716.599999994</v>
      </c>
      <c r="G269">
        <v>0</v>
      </c>
      <c r="L269" t="s">
        <v>7</v>
      </c>
      <c r="M269" t="s">
        <v>7</v>
      </c>
      <c r="N269" t="s">
        <v>8</v>
      </c>
      <c r="P269">
        <f t="shared" si="965"/>
        <v>-0.39657444005270076</v>
      </c>
      <c r="Q269">
        <f t="shared" si="966"/>
        <v>-32255269.692490105</v>
      </c>
      <c r="R269">
        <f t="shared" si="967"/>
        <v>-143990836.11049682</v>
      </c>
      <c r="S269">
        <f t="shared" si="968"/>
        <v>-1439.9083611049682</v>
      </c>
      <c r="T269">
        <f t="shared" si="969"/>
        <v>-1.4399083611049681</v>
      </c>
    </row>
    <row r="270" spans="1:20" x14ac:dyDescent="0.25">
      <c r="A270" s="5">
        <v>44323</v>
      </c>
      <c r="B270">
        <v>0.14273</v>
      </c>
      <c r="C270">
        <v>0.158</v>
      </c>
      <c r="D270">
        <v>0.13333</v>
      </c>
      <c r="E270">
        <v>0.14000000000000001</v>
      </c>
      <c r="F270">
        <v>172525367.19999999</v>
      </c>
      <c r="G270">
        <v>0</v>
      </c>
      <c r="L270" t="s">
        <v>8</v>
      </c>
      <c r="M270" t="s">
        <v>8</v>
      </c>
      <c r="N270" t="s">
        <v>8</v>
      </c>
      <c r="P270">
        <f t="shared" si="965"/>
        <v>-0.45926226185650509</v>
      </c>
      <c r="Q270">
        <f t="shared" si="966"/>
        <v>-79234390.367896095</v>
      </c>
      <c r="R270">
        <f t="shared" si="967"/>
        <v>-111735566.41800672</v>
      </c>
      <c r="S270">
        <f t="shared" si="968"/>
        <v>-1117.3556641800672</v>
      </c>
      <c r="T270">
        <f t="shared" si="969"/>
        <v>-1.117355664180067</v>
      </c>
    </row>
    <row r="271" spans="1:20" x14ac:dyDescent="0.25">
      <c r="A271" s="5">
        <v>44322</v>
      </c>
      <c r="B271">
        <v>0.12912999999999999</v>
      </c>
      <c r="C271">
        <v>0.14763999999999999</v>
      </c>
      <c r="D271">
        <v>0.12451</v>
      </c>
      <c r="E271">
        <v>0.14273</v>
      </c>
      <c r="F271">
        <v>184627041.5</v>
      </c>
      <c r="G271">
        <v>0</v>
      </c>
      <c r="L271" t="s">
        <v>8</v>
      </c>
      <c r="M271" t="s">
        <v>8</v>
      </c>
      <c r="N271" t="s">
        <v>8</v>
      </c>
      <c r="P271">
        <f t="shared" si="965"/>
        <v>0.5754431474275834</v>
      </c>
      <c r="Q271">
        <f t="shared" si="966"/>
        <v>106242365.86100306</v>
      </c>
      <c r="R271">
        <f t="shared" si="967"/>
        <v>-32501176.050110623</v>
      </c>
      <c r="S271">
        <f t="shared" si="968"/>
        <v>-325.01176050110621</v>
      </c>
      <c r="T271">
        <f t="shared" si="969"/>
        <v>-0.32501176050110619</v>
      </c>
    </row>
    <row r="272" spans="1:20" x14ac:dyDescent="0.25">
      <c r="A272" s="5">
        <v>44321</v>
      </c>
      <c r="B272">
        <v>0.11469</v>
      </c>
      <c r="C272">
        <v>0.13</v>
      </c>
      <c r="D272">
        <v>0.11314</v>
      </c>
      <c r="E272">
        <v>0.12912000000000001</v>
      </c>
      <c r="F272">
        <v>137605387.09999999</v>
      </c>
      <c r="G272">
        <v>0</v>
      </c>
      <c r="L272" t="s">
        <v>8</v>
      </c>
      <c r="M272" t="s">
        <v>8</v>
      </c>
      <c r="N272" t="s">
        <v>8</v>
      </c>
      <c r="P272">
        <f t="shared" si="965"/>
        <v>0.89561091340450871</v>
      </c>
      <c r="Q272">
        <f t="shared" si="966"/>
        <v>123240886.43001199</v>
      </c>
      <c r="R272">
        <f t="shared" si="967"/>
        <v>-138743541.91111368</v>
      </c>
      <c r="S272">
        <f t="shared" si="968"/>
        <v>-1387.4354191111368</v>
      </c>
      <c r="T272">
        <f t="shared" si="969"/>
        <v>-1.3874354191111367</v>
      </c>
    </row>
    <row r="273" spans="1:20" x14ac:dyDescent="0.25">
      <c r="A273" s="5">
        <v>44320</v>
      </c>
      <c r="B273">
        <v>0.12182999999999999</v>
      </c>
      <c r="C273">
        <v>0.12182999999999999</v>
      </c>
      <c r="D273">
        <v>0.10553999999999999</v>
      </c>
      <c r="E273">
        <v>0.11483</v>
      </c>
      <c r="F273">
        <v>107414530.09999999</v>
      </c>
      <c r="G273">
        <v>0</v>
      </c>
      <c r="L273" t="s">
        <v>7</v>
      </c>
      <c r="M273" t="s">
        <v>7</v>
      </c>
      <c r="N273" t="s">
        <v>8</v>
      </c>
      <c r="P273">
        <f t="shared" si="965"/>
        <v>0.14057704112952821</v>
      </c>
      <c r="Q273">
        <f t="shared" si="966"/>
        <v>15100016.815776644</v>
      </c>
      <c r="R273">
        <f t="shared" si="967"/>
        <v>-261984428.34112567</v>
      </c>
      <c r="S273">
        <f t="shared" si="968"/>
        <v>-2619.8442834112566</v>
      </c>
      <c r="T273">
        <f t="shared" si="969"/>
        <v>-2.6198442834112567</v>
      </c>
    </row>
    <row r="274" spans="1:20" x14ac:dyDescent="0.25">
      <c r="A274" s="5">
        <v>44319</v>
      </c>
      <c r="B274">
        <v>0.12274</v>
      </c>
      <c r="C274">
        <v>0.12892000000000001</v>
      </c>
      <c r="D274">
        <v>0.11898</v>
      </c>
      <c r="E274">
        <v>0.12175</v>
      </c>
      <c r="F274">
        <v>63993804.700000003</v>
      </c>
      <c r="G274">
        <v>0</v>
      </c>
      <c r="L274" t="s">
        <v>7</v>
      </c>
      <c r="M274" t="s">
        <v>8</v>
      </c>
      <c r="N274" t="s">
        <v>8</v>
      </c>
      <c r="P274">
        <f t="shared" si="965"/>
        <v>-0.44265593561368338</v>
      </c>
      <c r="Q274">
        <f t="shared" si="966"/>
        <v>-28327237.49295783</v>
      </c>
      <c r="R274">
        <f t="shared" si="967"/>
        <v>-277084445.15690231</v>
      </c>
      <c r="S274">
        <f t="shared" si="968"/>
        <v>-2770.844451569023</v>
      </c>
      <c r="T274">
        <f t="shared" si="969"/>
        <v>-2.7708444515690229</v>
      </c>
    </row>
    <row r="275" spans="1:20" x14ac:dyDescent="0.25">
      <c r="A275" s="5">
        <v>44318</v>
      </c>
      <c r="B275">
        <v>0.12614</v>
      </c>
      <c r="C275">
        <v>0.13400000000000001</v>
      </c>
      <c r="D275">
        <v>0.11799999999999999</v>
      </c>
      <c r="E275">
        <v>0.1229</v>
      </c>
      <c r="F275">
        <v>91001436.400000006</v>
      </c>
      <c r="G275">
        <v>0</v>
      </c>
      <c r="L275" t="s">
        <v>8</v>
      </c>
      <c r="M275" t="s">
        <v>8</v>
      </c>
      <c r="N275" t="s">
        <v>8</v>
      </c>
      <c r="P275">
        <f t="shared" si="965"/>
        <v>-0.38750000000000034</v>
      </c>
      <c r="Q275">
        <f t="shared" si="966"/>
        <v>-35263056.605000034</v>
      </c>
      <c r="R275">
        <f t="shared" si="967"/>
        <v>-248757207.66394448</v>
      </c>
      <c r="S275">
        <f t="shared" si="968"/>
        <v>-2487.5720766394447</v>
      </c>
      <c r="T275">
        <f t="shared" si="969"/>
        <v>-2.4875720766394447</v>
      </c>
    </row>
    <row r="276" spans="1:20" x14ac:dyDescent="0.25">
      <c r="A276" s="5">
        <v>44317</v>
      </c>
      <c r="B276">
        <v>0.13078000000000001</v>
      </c>
      <c r="C276">
        <v>0.13388</v>
      </c>
      <c r="D276">
        <v>0.11781999999999999</v>
      </c>
      <c r="E276">
        <v>0.12615999999999999</v>
      </c>
      <c r="F276">
        <v>130407193.59999999</v>
      </c>
      <c r="G276">
        <v>0</v>
      </c>
      <c r="L276" t="s">
        <v>7</v>
      </c>
      <c r="M276" t="s">
        <v>8</v>
      </c>
      <c r="N276" t="s">
        <v>8</v>
      </c>
      <c r="P276">
        <f t="shared" si="965"/>
        <v>3.8605230386052014E-2</v>
      </c>
      <c r="Q276">
        <f t="shared" si="966"/>
        <v>5034399.7529264875</v>
      </c>
      <c r="R276">
        <f t="shared" si="967"/>
        <v>-213494151.05894443</v>
      </c>
      <c r="S276">
        <f t="shared" si="968"/>
        <v>-2134.9415105894445</v>
      </c>
      <c r="T276">
        <f t="shared" si="969"/>
        <v>-2.1349415105894445</v>
      </c>
    </row>
    <row r="277" spans="1:20" x14ac:dyDescent="0.25">
      <c r="A277" s="5">
        <v>44316</v>
      </c>
      <c r="B277">
        <v>0.11051999999999999</v>
      </c>
      <c r="C277">
        <v>0.13569999999999999</v>
      </c>
      <c r="D277">
        <v>0.10771</v>
      </c>
      <c r="E277">
        <v>0.13078000000000001</v>
      </c>
      <c r="F277">
        <v>155926107</v>
      </c>
      <c r="G277">
        <v>0</v>
      </c>
      <c r="L277" t="s">
        <v>8</v>
      </c>
      <c r="M277" t="s">
        <v>8</v>
      </c>
      <c r="N277" t="s">
        <v>8</v>
      </c>
      <c r="P277">
        <f t="shared" si="965"/>
        <v>0.6484458735262606</v>
      </c>
      <c r="Q277">
        <f t="shared" si="966"/>
        <v>101109640.65916418</v>
      </c>
      <c r="R277">
        <f t="shared" si="967"/>
        <v>-218528550.81187093</v>
      </c>
      <c r="S277">
        <f t="shared" si="968"/>
        <v>-2185.2855081187095</v>
      </c>
      <c r="T277">
        <f t="shared" si="969"/>
        <v>-2.1852855081187093</v>
      </c>
    </row>
    <row r="278" spans="1:20" x14ac:dyDescent="0.25">
      <c r="A278" s="5">
        <v>44315</v>
      </c>
      <c r="B278">
        <v>0.11462</v>
      </c>
      <c r="C278">
        <v>0.11557000000000001</v>
      </c>
      <c r="D278">
        <v>0.10511</v>
      </c>
      <c r="E278">
        <v>0.1104</v>
      </c>
      <c r="F278">
        <v>56908510.5</v>
      </c>
      <c r="G278">
        <v>0</v>
      </c>
      <c r="L278" t="s">
        <v>7</v>
      </c>
      <c r="M278" t="s">
        <v>7</v>
      </c>
      <c r="N278" t="s">
        <v>8</v>
      </c>
      <c r="P278">
        <f t="shared" si="965"/>
        <v>1.1472275334607551E-2</v>
      </c>
      <c r="Q278">
        <f t="shared" si="966"/>
        <v>652870.10133840481</v>
      </c>
      <c r="R278">
        <f t="shared" si="967"/>
        <v>-319638191.47103512</v>
      </c>
      <c r="S278">
        <f t="shared" si="968"/>
        <v>-3196.3819147103513</v>
      </c>
      <c r="T278">
        <f t="shared" si="969"/>
        <v>-3.1963819147103512</v>
      </c>
    </row>
    <row r="279" spans="1:20" x14ac:dyDescent="0.25">
      <c r="A279" s="5">
        <v>44314</v>
      </c>
      <c r="B279">
        <v>0.12338</v>
      </c>
      <c r="C279">
        <v>0.12620999999999999</v>
      </c>
      <c r="D279">
        <v>0.10699</v>
      </c>
      <c r="E279">
        <v>0.1147</v>
      </c>
      <c r="F279">
        <v>128663471.09999999</v>
      </c>
      <c r="G279">
        <v>0</v>
      </c>
      <c r="L279" t="s">
        <v>7</v>
      </c>
      <c r="M279" t="s">
        <v>8</v>
      </c>
      <c r="N279" t="s">
        <v>8</v>
      </c>
      <c r="P279">
        <f t="shared" si="965"/>
        <v>-0.19771071800208118</v>
      </c>
      <c r="Q279">
        <f t="shared" si="966"/>
        <v>-25438147.251821019</v>
      </c>
      <c r="R279">
        <f t="shared" si="967"/>
        <v>-320291061.57237351</v>
      </c>
      <c r="S279">
        <f t="shared" si="968"/>
        <v>-3202.9106157237352</v>
      </c>
      <c r="T279">
        <f t="shared" si="969"/>
        <v>-3.2029106157237353</v>
      </c>
    </row>
    <row r="280" spans="1:20" x14ac:dyDescent="0.25">
      <c r="A280" s="5">
        <v>44313</v>
      </c>
      <c r="B280">
        <v>0.10144</v>
      </c>
      <c r="C280">
        <v>0.12767999999999999</v>
      </c>
      <c r="D280">
        <v>9.9760000000000001E-2</v>
      </c>
      <c r="E280">
        <v>0.12324</v>
      </c>
      <c r="F280">
        <v>219494917.09999999</v>
      </c>
      <c r="G280">
        <v>0</v>
      </c>
      <c r="L280" t="s">
        <v>8</v>
      </c>
      <c r="M280" t="s">
        <v>8</v>
      </c>
      <c r="N280" t="s">
        <v>8</v>
      </c>
      <c r="P280">
        <f t="shared" si="965"/>
        <v>0.68194842406876877</v>
      </c>
      <c r="Q280">
        <f t="shared" si="966"/>
        <v>149684212.80745003</v>
      </c>
      <c r="R280">
        <f t="shared" si="967"/>
        <v>-294852914.32055247</v>
      </c>
      <c r="S280">
        <f t="shared" si="968"/>
        <v>-2948.5291432055246</v>
      </c>
      <c r="T280">
        <f t="shared" si="969"/>
        <v>-2.9485291432055245</v>
      </c>
    </row>
    <row r="281" spans="1:20" x14ac:dyDescent="0.25">
      <c r="A281" s="5">
        <v>44312</v>
      </c>
      <c r="B281">
        <v>8.4839999999999999E-2</v>
      </c>
      <c r="C281">
        <v>0.10263</v>
      </c>
      <c r="D281">
        <v>8.387E-2</v>
      </c>
      <c r="E281">
        <v>0.10161000000000001</v>
      </c>
      <c r="F281">
        <v>124854076.59999999</v>
      </c>
      <c r="G281">
        <v>0</v>
      </c>
      <c r="L281" t="s">
        <v>8</v>
      </c>
      <c r="M281" t="s">
        <v>8</v>
      </c>
      <c r="N281" t="s">
        <v>7</v>
      </c>
      <c r="P281">
        <f t="shared" si="965"/>
        <v>0.89125799573560838</v>
      </c>
      <c r="Q281">
        <f t="shared" si="966"/>
        <v>111277194.06993611</v>
      </c>
      <c r="R281">
        <f t="shared" si="967"/>
        <v>-444537127.12800246</v>
      </c>
      <c r="S281">
        <f t="shared" si="968"/>
        <v>-4445.3712712800243</v>
      </c>
      <c r="T281">
        <f t="shared" si="969"/>
        <v>-4.445371271280024</v>
      </c>
    </row>
    <row r="282" spans="1:20" x14ac:dyDescent="0.25">
      <c r="A282" s="5">
        <v>44311</v>
      </c>
      <c r="B282">
        <v>8.5209999999999994E-2</v>
      </c>
      <c r="C282">
        <v>9.3840000000000007E-2</v>
      </c>
      <c r="D282">
        <v>8.0399999999999999E-2</v>
      </c>
      <c r="E282">
        <v>8.4830000000000003E-2</v>
      </c>
      <c r="F282">
        <v>78991929.200000003</v>
      </c>
      <c r="G282">
        <v>0</v>
      </c>
      <c r="L282" t="s">
        <v>7</v>
      </c>
      <c r="M282" t="s">
        <v>7</v>
      </c>
      <c r="N282" t="s">
        <v>7</v>
      </c>
      <c r="P282">
        <f t="shared" si="965"/>
        <v>-0.34077380952380937</v>
      </c>
      <c r="Q282">
        <f t="shared" si="966"/>
        <v>-26918380.635119036</v>
      </c>
      <c r="R282">
        <f t="shared" si="967"/>
        <v>-555814321.19793856</v>
      </c>
      <c r="S282">
        <f t="shared" si="968"/>
        <v>-5558.1432119793853</v>
      </c>
      <c r="T282">
        <f t="shared" si="969"/>
        <v>-5.5581432119793854</v>
      </c>
    </row>
    <row r="283" spans="1:20" x14ac:dyDescent="0.25">
      <c r="A283" s="5">
        <v>44310</v>
      </c>
      <c r="B283">
        <v>9.3960000000000002E-2</v>
      </c>
      <c r="C283">
        <v>9.4229999999999994E-2</v>
      </c>
      <c r="D283">
        <v>8.3589999999999998E-2</v>
      </c>
      <c r="E283">
        <v>8.5169999999999996E-2</v>
      </c>
      <c r="F283">
        <v>120633728.40000001</v>
      </c>
      <c r="G283">
        <v>0</v>
      </c>
      <c r="L283" t="s">
        <v>8</v>
      </c>
      <c r="M283" t="s">
        <v>7</v>
      </c>
      <c r="N283" t="s">
        <v>7</v>
      </c>
      <c r="P283">
        <f t="shared" si="965"/>
        <v>-0.70300751879699275</v>
      </c>
      <c r="Q283">
        <f t="shared" si="966"/>
        <v>-84806418.085714325</v>
      </c>
      <c r="R283">
        <f t="shared" si="967"/>
        <v>-528895940.56281948</v>
      </c>
      <c r="S283">
        <f t="shared" si="968"/>
        <v>-5288.9594056281949</v>
      </c>
      <c r="T283">
        <f t="shared" si="969"/>
        <v>-5.2889594056281952</v>
      </c>
    </row>
    <row r="284" spans="1:20" x14ac:dyDescent="0.25">
      <c r="A284" s="5">
        <v>44309</v>
      </c>
      <c r="B284">
        <v>0.10303</v>
      </c>
      <c r="C284">
        <v>0.10506</v>
      </c>
      <c r="D284">
        <v>8.1100000000000005E-2</v>
      </c>
      <c r="E284">
        <v>9.3960000000000002E-2</v>
      </c>
      <c r="F284">
        <v>195737943.90000001</v>
      </c>
      <c r="G284">
        <v>0</v>
      </c>
      <c r="L284" t="s">
        <v>7</v>
      </c>
      <c r="M284" t="s">
        <v>7</v>
      </c>
      <c r="N284" t="s">
        <v>7</v>
      </c>
      <c r="P284">
        <f t="shared" si="965"/>
        <v>7.3455759599332135E-2</v>
      </c>
      <c r="Q284">
        <f t="shared" si="966"/>
        <v>14378079.35158596</v>
      </c>
      <c r="R284">
        <f t="shared" si="967"/>
        <v>-444089522.47710514</v>
      </c>
      <c r="S284">
        <f t="shared" si="968"/>
        <v>-4440.8952247710513</v>
      </c>
      <c r="T284">
        <f t="shared" si="969"/>
        <v>-4.4408952247710509</v>
      </c>
    </row>
    <row r="285" spans="1:20" x14ac:dyDescent="0.25">
      <c r="A285" s="5">
        <v>44308</v>
      </c>
      <c r="B285">
        <v>0.11137</v>
      </c>
      <c r="C285">
        <v>0.12076000000000001</v>
      </c>
      <c r="D285">
        <v>0.10051</v>
      </c>
      <c r="E285">
        <v>0.10299999999999999</v>
      </c>
      <c r="F285">
        <v>157111377.40000001</v>
      </c>
      <c r="G285">
        <v>0</v>
      </c>
      <c r="L285" t="s">
        <v>7</v>
      </c>
      <c r="M285" t="s">
        <v>7</v>
      </c>
      <c r="N285" t="s">
        <v>7</v>
      </c>
      <c r="P285">
        <f t="shared" si="965"/>
        <v>-0.7540740740740749</v>
      </c>
      <c r="Q285">
        <f t="shared" si="966"/>
        <v>-118473616.43940754</v>
      </c>
      <c r="R285">
        <f t="shared" si="967"/>
        <v>-458467601.82869112</v>
      </c>
      <c r="S285">
        <f t="shared" si="968"/>
        <v>-4584.6760182869111</v>
      </c>
      <c r="T285">
        <f t="shared" si="969"/>
        <v>-4.5846760182869115</v>
      </c>
    </row>
    <row r="286" spans="1:20" x14ac:dyDescent="0.25">
      <c r="A286" s="5">
        <v>44307</v>
      </c>
      <c r="B286">
        <v>0.11447</v>
      </c>
      <c r="C286">
        <v>0.126</v>
      </c>
      <c r="D286">
        <v>0.1105</v>
      </c>
      <c r="E286">
        <v>0.11112</v>
      </c>
      <c r="F286">
        <v>164104652.80000001</v>
      </c>
      <c r="G286">
        <v>0</v>
      </c>
      <c r="L286" t="s">
        <v>8</v>
      </c>
      <c r="M286" t="s">
        <v>8</v>
      </c>
      <c r="N286" t="s">
        <v>7</v>
      </c>
      <c r="P286">
        <f t="shared" si="965"/>
        <v>-0.9200000000000006</v>
      </c>
      <c r="Q286">
        <f t="shared" si="966"/>
        <v>-150976280.57600009</v>
      </c>
      <c r="R286">
        <f t="shared" si="967"/>
        <v>-339993985.3892836</v>
      </c>
      <c r="S286">
        <f t="shared" si="968"/>
        <v>-3399.9398538928358</v>
      </c>
      <c r="T286">
        <f t="shared" si="969"/>
        <v>-3.3999398538928358</v>
      </c>
    </row>
    <row r="287" spans="1:20" x14ac:dyDescent="0.25">
      <c r="A287" s="5">
        <v>44306</v>
      </c>
      <c r="B287">
        <v>0.10841000000000001</v>
      </c>
      <c r="C287">
        <v>0.12071999999999999</v>
      </c>
      <c r="D287">
        <v>9.8000000000000004E-2</v>
      </c>
      <c r="E287">
        <v>0.11446000000000001</v>
      </c>
      <c r="F287">
        <v>131299806.40000001</v>
      </c>
      <c r="G287">
        <v>0</v>
      </c>
      <c r="L287" t="s">
        <v>7</v>
      </c>
      <c r="M287" t="s">
        <v>7</v>
      </c>
      <c r="N287" t="s">
        <v>7</v>
      </c>
      <c r="P287">
        <f t="shared" si="965"/>
        <v>0.44894366197183183</v>
      </c>
      <c r="Q287">
        <f t="shared" si="966"/>
        <v>58946215.901408568</v>
      </c>
      <c r="R287">
        <f t="shared" si="967"/>
        <v>-189017704.8132835</v>
      </c>
      <c r="S287">
        <f t="shared" si="968"/>
        <v>-1890.1770481328351</v>
      </c>
      <c r="T287">
        <f t="shared" si="969"/>
        <v>-1.890177048132835</v>
      </c>
    </row>
    <row r="288" spans="1:20" x14ac:dyDescent="0.25">
      <c r="A288" s="5">
        <v>44305</v>
      </c>
      <c r="B288">
        <v>0.12189999999999999</v>
      </c>
      <c r="C288">
        <v>0.12984000000000001</v>
      </c>
      <c r="D288">
        <v>0.105</v>
      </c>
      <c r="E288">
        <v>0.10854</v>
      </c>
      <c r="F288">
        <v>131133195.40000001</v>
      </c>
      <c r="G288">
        <v>0</v>
      </c>
      <c r="L288" t="s">
        <v>8</v>
      </c>
      <c r="M288" t="s">
        <v>8</v>
      </c>
      <c r="N288" t="s">
        <v>7</v>
      </c>
      <c r="P288">
        <f t="shared" si="965"/>
        <v>-0.71497584541062809</v>
      </c>
      <c r="Q288">
        <f t="shared" si="966"/>
        <v>-93757067.242512092</v>
      </c>
      <c r="R288">
        <f t="shared" si="967"/>
        <v>-247963920.71469206</v>
      </c>
      <c r="S288">
        <f t="shared" si="968"/>
        <v>-2479.6392071469204</v>
      </c>
      <c r="T288">
        <f t="shared" si="969"/>
        <v>-2.4796392071469202</v>
      </c>
    </row>
    <row r="289" spans="1:20" x14ac:dyDescent="0.25">
      <c r="A289" s="5">
        <v>44304</v>
      </c>
      <c r="B289">
        <v>0.14196</v>
      </c>
      <c r="C289">
        <v>0.14410000000000001</v>
      </c>
      <c r="D289">
        <v>9.6280000000000004E-2</v>
      </c>
      <c r="E289">
        <v>0.12189999999999999</v>
      </c>
      <c r="F289">
        <v>242562709.69999999</v>
      </c>
      <c r="G289">
        <v>0</v>
      </c>
      <c r="L289" t="s">
        <v>7</v>
      </c>
      <c r="M289" t="s">
        <v>7</v>
      </c>
      <c r="N289" t="s">
        <v>7</v>
      </c>
      <c r="P289">
        <f t="shared" si="965"/>
        <v>7.151819322459177E-2</v>
      </c>
      <c r="Q289">
        <f t="shared" si="966"/>
        <v>17347646.741405159</v>
      </c>
      <c r="R289">
        <f t="shared" si="967"/>
        <v>-154206853.47217998</v>
      </c>
      <c r="S289">
        <f t="shared" si="968"/>
        <v>-1542.0685347217998</v>
      </c>
      <c r="T289">
        <f t="shared" si="969"/>
        <v>-1.5420685347217997</v>
      </c>
    </row>
    <row r="290" spans="1:20" x14ac:dyDescent="0.25">
      <c r="A290" s="5">
        <v>44303</v>
      </c>
      <c r="B290">
        <v>0.14999000000000001</v>
      </c>
      <c r="C290">
        <v>0.17458000000000001</v>
      </c>
      <c r="D290">
        <v>0.13922999999999999</v>
      </c>
      <c r="E290">
        <v>0.14213999999999999</v>
      </c>
      <c r="F290">
        <v>193155624.19999999</v>
      </c>
      <c r="G290">
        <v>0</v>
      </c>
      <c r="L290" t="s">
        <v>8</v>
      </c>
      <c r="M290" t="s">
        <v>8</v>
      </c>
      <c r="N290" t="s">
        <v>8</v>
      </c>
      <c r="P290">
        <f t="shared" si="965"/>
        <v>-0.83536067892503574</v>
      </c>
      <c r="Q290">
        <f t="shared" si="966"/>
        <v>-161354613.36990106</v>
      </c>
      <c r="R290">
        <f t="shared" si="967"/>
        <v>-171554500.21358514</v>
      </c>
      <c r="S290">
        <f t="shared" si="968"/>
        <v>-1715.5450021358513</v>
      </c>
      <c r="T290">
        <f t="shared" si="969"/>
        <v>-1.7155450021358514</v>
      </c>
    </row>
    <row r="291" spans="1:20" x14ac:dyDescent="0.25">
      <c r="A291" s="5">
        <v>44302</v>
      </c>
      <c r="B291">
        <v>0.13519999999999999</v>
      </c>
      <c r="C291">
        <v>0.1537</v>
      </c>
      <c r="D291">
        <v>0.125</v>
      </c>
      <c r="E291">
        <v>0.15</v>
      </c>
      <c r="F291">
        <v>165778043.90000001</v>
      </c>
      <c r="G291">
        <v>0</v>
      </c>
      <c r="L291" t="s">
        <v>8</v>
      </c>
      <c r="M291" t="s">
        <v>8</v>
      </c>
      <c r="N291" t="s">
        <v>8</v>
      </c>
      <c r="P291">
        <f t="shared" si="965"/>
        <v>0.74216027874564405</v>
      </c>
      <c r="Q291">
        <f t="shared" si="966"/>
        <v>123033879.27073163</v>
      </c>
      <c r="R291">
        <f t="shared" si="967"/>
        <v>-10199886.843684092</v>
      </c>
      <c r="S291">
        <f t="shared" si="968"/>
        <v>-101.99886843684092</v>
      </c>
      <c r="T291">
        <f t="shared" si="969"/>
        <v>-0.10199886843684092</v>
      </c>
    </row>
    <row r="292" spans="1:20" x14ac:dyDescent="0.25">
      <c r="A292" s="5">
        <v>44301</v>
      </c>
      <c r="B292">
        <v>0.12418</v>
      </c>
      <c r="C292">
        <v>0.13800000000000001</v>
      </c>
      <c r="D292">
        <v>0.12268</v>
      </c>
      <c r="E292">
        <v>0.13500000000000001</v>
      </c>
      <c r="F292">
        <v>104065847.40000001</v>
      </c>
      <c r="G292">
        <v>0</v>
      </c>
      <c r="L292" t="s">
        <v>7</v>
      </c>
      <c r="M292" t="s">
        <v>8</v>
      </c>
      <c r="N292" t="s">
        <v>7</v>
      </c>
      <c r="P292">
        <f t="shared" si="965"/>
        <v>0.60835509138381205</v>
      </c>
      <c r="Q292">
        <f t="shared" si="966"/>
        <v>63308988.104960844</v>
      </c>
      <c r="R292">
        <f t="shared" si="967"/>
        <v>-133233766.11441572</v>
      </c>
      <c r="S292">
        <f t="shared" si="968"/>
        <v>-1332.3376611441572</v>
      </c>
      <c r="T292">
        <f t="shared" si="969"/>
        <v>-1.3323376611441573</v>
      </c>
    </row>
    <row r="293" spans="1:20" x14ac:dyDescent="0.25">
      <c r="A293" s="5">
        <v>44300</v>
      </c>
      <c r="B293">
        <v>0.12361999999999999</v>
      </c>
      <c r="C293">
        <v>0.13739999999999999</v>
      </c>
      <c r="D293">
        <v>0.11946</v>
      </c>
      <c r="E293">
        <v>0.124</v>
      </c>
      <c r="F293">
        <v>122153640.7</v>
      </c>
      <c r="G293">
        <v>0</v>
      </c>
      <c r="L293" t="s">
        <v>8</v>
      </c>
      <c r="M293" t="s">
        <v>8</v>
      </c>
      <c r="N293" t="s">
        <v>7</v>
      </c>
      <c r="P293">
        <f t="shared" si="965"/>
        <v>-0.49386845039018917</v>
      </c>
      <c r="Q293">
        <f t="shared" si="966"/>
        <v>-60327829.242028944</v>
      </c>
      <c r="R293">
        <f t="shared" si="967"/>
        <v>-196542754.21937656</v>
      </c>
      <c r="S293">
        <f t="shared" si="968"/>
        <v>-1965.4275421937657</v>
      </c>
      <c r="T293">
        <f t="shared" si="969"/>
        <v>-1.9654275421937657</v>
      </c>
    </row>
    <row r="294" spans="1:20" x14ac:dyDescent="0.25">
      <c r="A294" s="5">
        <v>44299</v>
      </c>
      <c r="B294">
        <v>0.12278</v>
      </c>
      <c r="C294">
        <v>0.1249</v>
      </c>
      <c r="D294">
        <v>0.11327</v>
      </c>
      <c r="E294">
        <v>0.12368999999999999</v>
      </c>
      <c r="F294">
        <v>72689627.400000006</v>
      </c>
      <c r="G294">
        <v>0</v>
      </c>
      <c r="L294" t="s">
        <v>7</v>
      </c>
      <c r="M294" t="s">
        <v>8</v>
      </c>
      <c r="N294" t="s">
        <v>7</v>
      </c>
      <c r="P294">
        <f t="shared" si="965"/>
        <v>0.79191745485812515</v>
      </c>
      <c r="Q294">
        <f t="shared" si="966"/>
        <v>57564184.725193441</v>
      </c>
      <c r="R294">
        <f t="shared" si="967"/>
        <v>-136214924.97734761</v>
      </c>
      <c r="S294">
        <f t="shared" si="968"/>
        <v>-1362.1492497734762</v>
      </c>
      <c r="T294">
        <f t="shared" si="969"/>
        <v>-1.3621492497734762</v>
      </c>
    </row>
    <row r="295" spans="1:20" x14ac:dyDescent="0.25">
      <c r="A295" s="5">
        <v>44298</v>
      </c>
      <c r="B295">
        <v>0.1283</v>
      </c>
      <c r="C295">
        <v>0.13486999999999999</v>
      </c>
      <c r="D295">
        <v>0.12</v>
      </c>
      <c r="E295">
        <v>0.12271</v>
      </c>
      <c r="F295">
        <v>95361242</v>
      </c>
      <c r="G295">
        <v>0</v>
      </c>
      <c r="L295" t="s">
        <v>8</v>
      </c>
      <c r="M295" t="s">
        <v>8</v>
      </c>
      <c r="N295" t="s">
        <v>7</v>
      </c>
      <c r="P295">
        <f t="shared" si="965"/>
        <v>-0.63550773369199665</v>
      </c>
      <c r="Q295">
        <f t="shared" si="966"/>
        <v>-60602806.785474047</v>
      </c>
      <c r="R295">
        <f t="shared" si="967"/>
        <v>-193779109.70254105</v>
      </c>
      <c r="S295">
        <f t="shared" si="968"/>
        <v>-1937.7910970254106</v>
      </c>
      <c r="T295">
        <f t="shared" si="969"/>
        <v>-1.9377910970254106</v>
      </c>
    </row>
    <row r="296" spans="1:20" x14ac:dyDescent="0.25">
      <c r="A296" s="5">
        <v>44297</v>
      </c>
      <c r="B296">
        <v>0.12614</v>
      </c>
      <c r="C296">
        <v>0.13200000000000001</v>
      </c>
      <c r="D296">
        <v>0.12169000000000001</v>
      </c>
      <c r="E296">
        <v>0.12834000000000001</v>
      </c>
      <c r="F296">
        <v>66717106.799999997</v>
      </c>
      <c r="G296">
        <v>0</v>
      </c>
      <c r="L296" t="s">
        <v>8</v>
      </c>
      <c r="M296" t="s">
        <v>8</v>
      </c>
      <c r="N296" t="s">
        <v>7</v>
      </c>
      <c r="P296">
        <f t="shared" si="965"/>
        <v>0.29000969932104814</v>
      </c>
      <c r="Q296">
        <f t="shared" si="966"/>
        <v>19348608.082638256</v>
      </c>
      <c r="R296">
        <f t="shared" si="967"/>
        <v>-133176302.91706699</v>
      </c>
      <c r="S296">
        <f t="shared" si="968"/>
        <v>-1331.7630291706698</v>
      </c>
      <c r="T296">
        <f t="shared" si="969"/>
        <v>-1.3317630291706699</v>
      </c>
    </row>
    <row r="297" spans="1:20" x14ac:dyDescent="0.25">
      <c r="A297" s="5">
        <v>44296</v>
      </c>
      <c r="B297">
        <v>0.12293999999999999</v>
      </c>
      <c r="C297">
        <v>0.13211000000000001</v>
      </c>
      <c r="D297">
        <v>0.11940000000000001</v>
      </c>
      <c r="E297">
        <v>0.12620999999999999</v>
      </c>
      <c r="F297">
        <v>85367394.200000003</v>
      </c>
      <c r="G297">
        <v>0</v>
      </c>
      <c r="L297" t="s">
        <v>7</v>
      </c>
      <c r="M297" t="s">
        <v>8</v>
      </c>
      <c r="N297" t="s">
        <v>7</v>
      </c>
      <c r="P297">
        <f t="shared" si="965"/>
        <v>7.1597167584576432E-2</v>
      </c>
      <c r="Q297">
        <f t="shared" si="966"/>
        <v>6112063.6287959982</v>
      </c>
      <c r="R297">
        <f t="shared" si="967"/>
        <v>-152524910.99970526</v>
      </c>
      <c r="S297">
        <f t="shared" si="968"/>
        <v>-1525.2491099970525</v>
      </c>
      <c r="T297">
        <f t="shared" si="969"/>
        <v>-1.5252491099970524</v>
      </c>
    </row>
    <row r="298" spans="1:20" x14ac:dyDescent="0.25">
      <c r="A298" s="5">
        <v>44295</v>
      </c>
      <c r="B298">
        <v>0.1231</v>
      </c>
      <c r="C298">
        <v>0.13339000000000001</v>
      </c>
      <c r="D298">
        <v>0.12095</v>
      </c>
      <c r="E298">
        <v>0.12289</v>
      </c>
      <c r="F298">
        <v>116091253.09999999</v>
      </c>
      <c r="G298">
        <v>0</v>
      </c>
      <c r="L298" t="s">
        <v>8</v>
      </c>
      <c r="M298" t="s">
        <v>8</v>
      </c>
      <c r="N298" t="s">
        <v>7</v>
      </c>
      <c r="P298">
        <f t="shared" si="965"/>
        <v>-0.6881028938906758</v>
      </c>
      <c r="Q298">
        <f t="shared" si="966"/>
        <v>-79882727.213504881</v>
      </c>
      <c r="R298">
        <f t="shared" si="967"/>
        <v>-158636974.62850127</v>
      </c>
      <c r="S298">
        <f t="shared" si="968"/>
        <v>-1586.3697462850128</v>
      </c>
      <c r="T298">
        <f t="shared" si="969"/>
        <v>-1.5863697462850128</v>
      </c>
    </row>
    <row r="299" spans="1:20" x14ac:dyDescent="0.25">
      <c r="A299" s="5">
        <v>44294</v>
      </c>
      <c r="B299">
        <v>0.11303000000000001</v>
      </c>
      <c r="C299">
        <v>0.12654000000000001</v>
      </c>
      <c r="D299">
        <v>0.11151999999999999</v>
      </c>
      <c r="E299">
        <v>0.12313</v>
      </c>
      <c r="F299">
        <v>121262042.2</v>
      </c>
      <c r="G299">
        <v>0</v>
      </c>
      <c r="L299" t="s">
        <v>8</v>
      </c>
      <c r="M299" t="s">
        <v>8</v>
      </c>
      <c r="N299" t="s">
        <v>7</v>
      </c>
      <c r="P299">
        <f t="shared" si="965"/>
        <v>0.54593874833555178</v>
      </c>
      <c r="Q299">
        <f t="shared" si="966"/>
        <v>66201647.539280862</v>
      </c>
      <c r="R299">
        <f t="shared" si="967"/>
        <v>-78754247.414996386</v>
      </c>
      <c r="S299">
        <f t="shared" si="968"/>
        <v>-787.54247414996382</v>
      </c>
      <c r="T299">
        <f t="shared" si="969"/>
        <v>-0.78754247414996381</v>
      </c>
    </row>
    <row r="300" spans="1:20" x14ac:dyDescent="0.25">
      <c r="A300" s="5">
        <v>44293</v>
      </c>
      <c r="B300">
        <v>0.12848999999999999</v>
      </c>
      <c r="C300">
        <v>0.13802</v>
      </c>
      <c r="D300">
        <v>0.104</v>
      </c>
      <c r="E300">
        <v>0.11305999999999999</v>
      </c>
      <c r="F300">
        <v>267693588</v>
      </c>
      <c r="G300">
        <v>0</v>
      </c>
      <c r="L300" t="s">
        <v>7</v>
      </c>
      <c r="M300" t="s">
        <v>7</v>
      </c>
      <c r="N300" t="s">
        <v>7</v>
      </c>
      <c r="P300">
        <f t="shared" si="965"/>
        <v>-0.4673721340388009</v>
      </c>
      <c r="Q300">
        <f t="shared" si="966"/>
        <v>-125112523.49206354</v>
      </c>
      <c r="R300">
        <f t="shared" si="967"/>
        <v>-144955894.95427725</v>
      </c>
      <c r="S300">
        <f t="shared" si="968"/>
        <v>-1449.5589495427726</v>
      </c>
      <c r="T300">
        <f t="shared" si="969"/>
        <v>-1.4495589495427725</v>
      </c>
    </row>
    <row r="301" spans="1:20" x14ac:dyDescent="0.25">
      <c r="A301" s="5">
        <v>44292</v>
      </c>
      <c r="B301">
        <v>0.13682</v>
      </c>
      <c r="C301">
        <v>0.14499999999999999</v>
      </c>
      <c r="D301">
        <v>0.12</v>
      </c>
      <c r="E301">
        <v>0.12814</v>
      </c>
      <c r="F301">
        <v>229750794.40000001</v>
      </c>
      <c r="G301">
        <v>0</v>
      </c>
      <c r="L301" t="s">
        <v>7</v>
      </c>
      <c r="M301" t="s">
        <v>7</v>
      </c>
      <c r="N301" t="s">
        <v>8</v>
      </c>
      <c r="P301">
        <f t="shared" si="965"/>
        <v>-0.34879999999999917</v>
      </c>
      <c r="Q301">
        <f t="shared" si="966"/>
        <v>-80137077.086719811</v>
      </c>
      <c r="R301">
        <f t="shared" si="967"/>
        <v>-19843371.462213717</v>
      </c>
      <c r="S301">
        <f t="shared" si="968"/>
        <v>-198.43371462213719</v>
      </c>
      <c r="T301">
        <f t="shared" si="969"/>
        <v>-0.19843371462213719</v>
      </c>
    </row>
    <row r="302" spans="1:20" x14ac:dyDescent="0.25">
      <c r="A302" s="5">
        <v>44291</v>
      </c>
      <c r="B302">
        <v>0.11516</v>
      </c>
      <c r="C302">
        <v>0.15992999999999999</v>
      </c>
      <c r="D302">
        <v>0.10816000000000001</v>
      </c>
      <c r="E302">
        <v>0.13685</v>
      </c>
      <c r="F302">
        <v>544974506.10000002</v>
      </c>
      <c r="G302">
        <v>0</v>
      </c>
      <c r="L302" t="s">
        <v>8</v>
      </c>
      <c r="M302" t="s">
        <v>8</v>
      </c>
      <c r="N302" t="s">
        <v>8</v>
      </c>
      <c r="P302">
        <f t="shared" si="965"/>
        <v>0.10836391732663717</v>
      </c>
      <c r="Q302">
        <f t="shared" si="966"/>
        <v>59055572.324145325</v>
      </c>
      <c r="R302">
        <f t="shared" si="967"/>
        <v>60293705.624506094</v>
      </c>
      <c r="S302">
        <f t="shared" si="968"/>
        <v>602.93705624506094</v>
      </c>
      <c r="T302">
        <f t="shared" si="969"/>
        <v>0.602937056245061</v>
      </c>
    </row>
    <row r="303" spans="1:20" x14ac:dyDescent="0.25">
      <c r="A303" s="5">
        <v>44290</v>
      </c>
      <c r="B303">
        <v>0.10141</v>
      </c>
      <c r="C303">
        <v>0.11687</v>
      </c>
      <c r="D303">
        <v>0.1</v>
      </c>
      <c r="E303">
        <v>0.11521000000000001</v>
      </c>
      <c r="F303">
        <v>179759543.59999999</v>
      </c>
      <c r="G303">
        <v>0</v>
      </c>
      <c r="L303" t="s">
        <v>8</v>
      </c>
      <c r="M303" t="s">
        <v>8</v>
      </c>
      <c r="N303" t="s">
        <v>8</v>
      </c>
      <c r="P303">
        <f t="shared" si="965"/>
        <v>0.80320094842916478</v>
      </c>
      <c r="Q303">
        <f t="shared" si="966"/>
        <v>144383035.90871379</v>
      </c>
      <c r="R303">
        <f t="shared" si="967"/>
        <v>1238133.300360769</v>
      </c>
      <c r="S303">
        <f t="shared" si="968"/>
        <v>12.38133300360769</v>
      </c>
      <c r="T303">
        <f t="shared" si="969"/>
        <v>1.238133300360769E-2</v>
      </c>
    </row>
    <row r="304" spans="1:20" x14ac:dyDescent="0.25">
      <c r="A304" s="5">
        <v>44289</v>
      </c>
      <c r="B304">
        <v>0.11237</v>
      </c>
      <c r="C304">
        <v>0.11429</v>
      </c>
      <c r="D304">
        <v>0.10038999999999999</v>
      </c>
      <c r="E304">
        <v>0.1016</v>
      </c>
      <c r="F304">
        <v>208834132.80000001</v>
      </c>
      <c r="G304">
        <v>0</v>
      </c>
      <c r="L304" t="s">
        <v>7</v>
      </c>
      <c r="M304" t="s">
        <v>7</v>
      </c>
      <c r="N304" t="s">
        <v>8</v>
      </c>
      <c r="P304">
        <f t="shared" si="965"/>
        <v>-0.8258992805755393</v>
      </c>
      <c r="Q304">
        <f t="shared" si="966"/>
        <v>-172475960.03913665</v>
      </c>
      <c r="R304">
        <f t="shared" si="967"/>
        <v>-143144902.60835302</v>
      </c>
      <c r="S304">
        <f t="shared" si="968"/>
        <v>-1431.4490260835303</v>
      </c>
      <c r="T304">
        <f t="shared" si="969"/>
        <v>-1.4314490260835302</v>
      </c>
    </row>
    <row r="305" spans="1:20" x14ac:dyDescent="0.25">
      <c r="A305" s="5">
        <v>44288</v>
      </c>
      <c r="B305">
        <v>9.1380000000000003E-2</v>
      </c>
      <c r="C305">
        <v>0.12673000000000001</v>
      </c>
      <c r="D305">
        <v>9.0359999999999996E-2</v>
      </c>
      <c r="E305">
        <v>0.11242000000000001</v>
      </c>
      <c r="F305">
        <v>480557437</v>
      </c>
      <c r="G305">
        <v>0</v>
      </c>
      <c r="L305" t="s">
        <v>8</v>
      </c>
      <c r="M305" t="s">
        <v>8</v>
      </c>
      <c r="N305" t="s">
        <v>8</v>
      </c>
      <c r="P305">
        <f t="shared" si="965"/>
        <v>0.21308770965081122</v>
      </c>
      <c r="Q305">
        <f t="shared" si="966"/>
        <v>102400883.605994</v>
      </c>
      <c r="R305">
        <f t="shared" si="967"/>
        <v>29331057.430783615</v>
      </c>
      <c r="S305">
        <f t="shared" si="968"/>
        <v>293.31057430783613</v>
      </c>
      <c r="T305">
        <f t="shared" si="969"/>
        <v>0.29331057430783614</v>
      </c>
    </row>
    <row r="306" spans="1:20" x14ac:dyDescent="0.25">
      <c r="A306" s="5">
        <v>44287</v>
      </c>
      <c r="B306">
        <v>9.8610000000000003E-2</v>
      </c>
      <c r="C306">
        <v>0.10198</v>
      </c>
      <c r="D306">
        <v>8.7999999999999995E-2</v>
      </c>
      <c r="E306">
        <v>9.1550000000000006E-2</v>
      </c>
      <c r="F306">
        <v>132924069.09999999</v>
      </c>
      <c r="G306">
        <v>0</v>
      </c>
      <c r="L306" t="s">
        <v>8</v>
      </c>
      <c r="M306" t="s">
        <v>8</v>
      </c>
      <c r="N306" t="s">
        <v>8</v>
      </c>
      <c r="P306">
        <f t="shared" si="965"/>
        <v>-0.49213161659513449</v>
      </c>
      <c r="Q306">
        <f t="shared" si="966"/>
        <v>-65416137.010586359</v>
      </c>
      <c r="R306">
        <f t="shared" si="967"/>
        <v>-73069826.175210387</v>
      </c>
      <c r="S306">
        <f t="shared" si="968"/>
        <v>-730.69826175210392</v>
      </c>
      <c r="T306">
        <f t="shared" si="969"/>
        <v>-0.73069826175210395</v>
      </c>
    </row>
    <row r="307" spans="1:20" x14ac:dyDescent="0.25">
      <c r="A307" s="5">
        <v>44286</v>
      </c>
      <c r="B307">
        <v>8.5809999999999997E-2</v>
      </c>
      <c r="C307">
        <v>0.10264</v>
      </c>
      <c r="D307">
        <v>7.7499999999999999E-2</v>
      </c>
      <c r="E307">
        <v>9.8580000000000001E-2</v>
      </c>
      <c r="F307">
        <v>225696214.40000001</v>
      </c>
      <c r="G307">
        <v>0</v>
      </c>
      <c r="L307" t="s">
        <v>7</v>
      </c>
      <c r="M307" t="s">
        <v>8</v>
      </c>
      <c r="N307" t="s">
        <v>8</v>
      </c>
      <c r="P307">
        <f t="shared" si="965"/>
        <v>0.67700875099443159</v>
      </c>
      <c r="Q307">
        <f t="shared" si="966"/>
        <v>152798312.21511546</v>
      </c>
      <c r="R307">
        <f t="shared" si="967"/>
        <v>-7653689.1646240354</v>
      </c>
      <c r="S307">
        <f t="shared" si="968"/>
        <v>-76.536891646240349</v>
      </c>
      <c r="T307">
        <f t="shared" si="969"/>
        <v>-7.6536891646240349E-2</v>
      </c>
    </row>
    <row r="308" spans="1:20" x14ac:dyDescent="0.25">
      <c r="A308" s="5">
        <v>44285</v>
      </c>
      <c r="B308">
        <v>8.6300000000000002E-2</v>
      </c>
      <c r="C308">
        <v>8.8900000000000007E-2</v>
      </c>
      <c r="D308">
        <v>8.4000000000000005E-2</v>
      </c>
      <c r="E308">
        <v>8.5769999999999999E-2</v>
      </c>
      <c r="F308">
        <v>92389392.200000003</v>
      </c>
      <c r="G308">
        <v>0</v>
      </c>
      <c r="L308" t="s">
        <v>7</v>
      </c>
      <c r="M308" t="s">
        <v>8</v>
      </c>
      <c r="N308" t="s">
        <v>8</v>
      </c>
      <c r="P308">
        <f t="shared" si="965"/>
        <v>-0.27755102040816604</v>
      </c>
      <c r="Q308">
        <f t="shared" si="966"/>
        <v>-25642770.080000255</v>
      </c>
      <c r="R308">
        <f t="shared" si="967"/>
        <v>-160452001.37973949</v>
      </c>
      <c r="S308">
        <f t="shared" si="968"/>
        <v>-1604.520013797395</v>
      </c>
      <c r="T308">
        <f t="shared" si="969"/>
        <v>-1.604520013797395</v>
      </c>
    </row>
    <row r="309" spans="1:20" x14ac:dyDescent="0.25">
      <c r="A309" s="5">
        <v>44284</v>
      </c>
      <c r="B309">
        <v>8.5449999999999998E-2</v>
      </c>
      <c r="C309">
        <v>9.2799999999999994E-2</v>
      </c>
      <c r="D309">
        <v>8.2589999999999997E-2</v>
      </c>
      <c r="E309">
        <v>8.6269999999999999E-2</v>
      </c>
      <c r="F309">
        <v>141659903.59999999</v>
      </c>
      <c r="G309">
        <v>0</v>
      </c>
      <c r="L309" t="s">
        <v>8</v>
      </c>
      <c r="M309" t="s">
        <v>8</v>
      </c>
      <c r="N309" t="s">
        <v>8</v>
      </c>
      <c r="P309">
        <f t="shared" si="965"/>
        <v>-0.27913809990205607</v>
      </c>
      <c r="Q309">
        <f t="shared" si="966"/>
        <v>-39542676.32321243</v>
      </c>
      <c r="R309">
        <f t="shared" si="967"/>
        <v>-134809231.29973924</v>
      </c>
      <c r="S309">
        <f t="shared" si="968"/>
        <v>-1348.0923129973924</v>
      </c>
      <c r="T309">
        <f t="shared" si="969"/>
        <v>-1.3480923129973923</v>
      </c>
    </row>
    <row r="310" spans="1:20" x14ac:dyDescent="0.25">
      <c r="A310" s="5">
        <v>44283</v>
      </c>
      <c r="B310">
        <v>7.8130000000000005E-2</v>
      </c>
      <c r="C310">
        <v>9.0450000000000003E-2</v>
      </c>
      <c r="D310">
        <v>7.7479999999999993E-2</v>
      </c>
      <c r="E310">
        <v>8.5459999999999994E-2</v>
      </c>
      <c r="F310">
        <v>227457244.80000001</v>
      </c>
      <c r="G310">
        <v>0</v>
      </c>
      <c r="L310" t="s">
        <v>8</v>
      </c>
      <c r="M310" t="s">
        <v>8</v>
      </c>
      <c r="N310" t="s">
        <v>7</v>
      </c>
      <c r="P310">
        <f t="shared" si="965"/>
        <v>0.23053199691595919</v>
      </c>
      <c r="Q310">
        <f t="shared" si="966"/>
        <v>52436172.856746174</v>
      </c>
      <c r="R310">
        <f t="shared" si="967"/>
        <v>-95266554.976526827</v>
      </c>
      <c r="S310">
        <f t="shared" si="968"/>
        <v>-952.66554976526822</v>
      </c>
      <c r="T310">
        <f t="shared" si="969"/>
        <v>-0.95266554976526818</v>
      </c>
    </row>
    <row r="311" spans="1:20" x14ac:dyDescent="0.25">
      <c r="A311" s="5">
        <v>44282</v>
      </c>
      <c r="B311">
        <v>7.399E-2</v>
      </c>
      <c r="C311">
        <v>8.4000000000000005E-2</v>
      </c>
      <c r="D311">
        <v>6.9250000000000006E-2</v>
      </c>
      <c r="E311">
        <v>7.8200000000000006E-2</v>
      </c>
      <c r="F311">
        <v>132418304.59999999</v>
      </c>
      <c r="G311">
        <v>0</v>
      </c>
      <c r="L311" t="s">
        <v>8</v>
      </c>
      <c r="M311" t="s">
        <v>8</v>
      </c>
      <c r="N311" t="s">
        <v>7</v>
      </c>
      <c r="P311">
        <f t="shared" si="965"/>
        <v>0.21355932203389832</v>
      </c>
      <c r="Q311">
        <f t="shared" si="966"/>
        <v>28279163.35525424</v>
      </c>
      <c r="R311">
        <f t="shared" si="967"/>
        <v>-147702727.83327299</v>
      </c>
      <c r="S311">
        <f t="shared" si="968"/>
        <v>-1477.02727833273</v>
      </c>
      <c r="T311">
        <f t="shared" si="969"/>
        <v>-1.4770272783327301</v>
      </c>
    </row>
    <row r="312" spans="1:20" x14ac:dyDescent="0.25">
      <c r="A312" s="5">
        <v>44281</v>
      </c>
      <c r="B312">
        <v>6.615E-2</v>
      </c>
      <c r="C312">
        <v>7.5179999999999997E-2</v>
      </c>
      <c r="D312">
        <v>6.615E-2</v>
      </c>
      <c r="E312">
        <v>7.399E-2</v>
      </c>
      <c r="F312">
        <v>65434506</v>
      </c>
      <c r="G312">
        <v>0</v>
      </c>
      <c r="L312" t="s">
        <v>8</v>
      </c>
      <c r="M312" t="s">
        <v>7</v>
      </c>
      <c r="N312" t="s">
        <v>7</v>
      </c>
      <c r="P312">
        <f t="shared" si="965"/>
        <v>0.73643410852713242</v>
      </c>
      <c r="Q312">
        <f t="shared" si="966"/>
        <v>48188202.0930233</v>
      </c>
      <c r="R312">
        <f t="shared" si="967"/>
        <v>-175981891.18852723</v>
      </c>
      <c r="S312">
        <f t="shared" si="968"/>
        <v>-1759.8189118852722</v>
      </c>
      <c r="T312">
        <f t="shared" si="969"/>
        <v>-1.7598189118852723</v>
      </c>
    </row>
    <row r="313" spans="1:20" x14ac:dyDescent="0.25">
      <c r="A313" s="5">
        <v>44280</v>
      </c>
      <c r="B313">
        <v>6.9400000000000003E-2</v>
      </c>
      <c r="C313">
        <v>7.0709999999999995E-2</v>
      </c>
      <c r="D313">
        <v>6.3119999999999996E-2</v>
      </c>
      <c r="E313">
        <v>6.6220000000000001E-2</v>
      </c>
      <c r="F313">
        <v>81972423.5</v>
      </c>
      <c r="G313">
        <v>0</v>
      </c>
      <c r="L313" t="s">
        <v>7</v>
      </c>
      <c r="M313" t="s">
        <v>7</v>
      </c>
      <c r="N313" t="s">
        <v>7</v>
      </c>
      <c r="P313">
        <f t="shared" si="965"/>
        <v>-0.1831357048748338</v>
      </c>
      <c r="Q313">
        <f t="shared" si="966"/>
        <v>-15012077.557970891</v>
      </c>
      <c r="R313">
        <f t="shared" si="967"/>
        <v>-224170093.28155053</v>
      </c>
      <c r="S313">
        <f t="shared" si="968"/>
        <v>-2241.7009328155054</v>
      </c>
      <c r="T313">
        <f t="shared" si="969"/>
        <v>-2.2417009328155055</v>
      </c>
    </row>
    <row r="314" spans="1:20" x14ac:dyDescent="0.25">
      <c r="A314" s="5">
        <v>44279</v>
      </c>
      <c r="B314">
        <v>7.4270000000000003E-2</v>
      </c>
      <c r="C314">
        <v>8.0199999999999994E-2</v>
      </c>
      <c r="D314">
        <v>6.5360000000000001E-2</v>
      </c>
      <c r="E314">
        <v>6.9500000000000006E-2</v>
      </c>
      <c r="F314">
        <v>105516981.3</v>
      </c>
      <c r="G314">
        <v>0</v>
      </c>
      <c r="L314" t="s">
        <v>7</v>
      </c>
      <c r="M314" t="s">
        <v>7</v>
      </c>
      <c r="N314" t="s">
        <v>7</v>
      </c>
      <c r="P314">
        <f t="shared" si="965"/>
        <v>-0.44204851752021468</v>
      </c>
      <c r="Q314">
        <f t="shared" si="966"/>
        <v>-46643625.156873211</v>
      </c>
      <c r="R314">
        <f t="shared" si="967"/>
        <v>-209158015.72357965</v>
      </c>
      <c r="S314">
        <f t="shared" si="968"/>
        <v>-2091.5801572357964</v>
      </c>
      <c r="T314">
        <f t="shared" si="969"/>
        <v>-2.0915801572357964</v>
      </c>
    </row>
    <row r="315" spans="1:20" x14ac:dyDescent="0.25">
      <c r="A315" s="5">
        <v>44278</v>
      </c>
      <c r="B315">
        <v>7.6579999999999995E-2</v>
      </c>
      <c r="C315">
        <v>7.9759999999999998E-2</v>
      </c>
      <c r="D315">
        <v>7.1650000000000005E-2</v>
      </c>
      <c r="E315">
        <v>7.4289999999999995E-2</v>
      </c>
      <c r="F315">
        <v>63833277.799999997</v>
      </c>
      <c r="G315">
        <v>0</v>
      </c>
      <c r="L315" t="s">
        <v>7</v>
      </c>
      <c r="M315" t="s">
        <v>7</v>
      </c>
      <c r="N315" t="s">
        <v>7</v>
      </c>
      <c r="P315">
        <f t="shared" si="965"/>
        <v>-0.34895191122071711</v>
      </c>
      <c r="Q315">
        <f t="shared" si="966"/>
        <v>-22274744.287792973</v>
      </c>
      <c r="R315">
        <f t="shared" si="967"/>
        <v>-162514390.56670645</v>
      </c>
      <c r="S315">
        <f t="shared" si="968"/>
        <v>-1625.1439056670645</v>
      </c>
      <c r="T315">
        <f t="shared" si="969"/>
        <v>-1.6251439056670645</v>
      </c>
    </row>
    <row r="316" spans="1:20" x14ac:dyDescent="0.25">
      <c r="A316" s="5">
        <v>44277</v>
      </c>
      <c r="B316">
        <v>8.1540000000000001E-2</v>
      </c>
      <c r="C316">
        <v>8.6660000000000001E-2</v>
      </c>
      <c r="D316">
        <v>7.4829999999999994E-2</v>
      </c>
      <c r="E316">
        <v>7.6600000000000001E-2</v>
      </c>
      <c r="F316">
        <v>108800580.8</v>
      </c>
      <c r="G316">
        <v>0</v>
      </c>
      <c r="L316" t="s">
        <v>8</v>
      </c>
      <c r="M316" t="s">
        <v>8</v>
      </c>
      <c r="N316" t="s">
        <v>7</v>
      </c>
      <c r="P316">
        <f t="shared" si="965"/>
        <v>-0.70076077768385348</v>
      </c>
      <c r="Q316">
        <f t="shared" si="966"/>
        <v>-76243179.613862932</v>
      </c>
      <c r="R316">
        <f t="shared" si="967"/>
        <v>-140239646.27891347</v>
      </c>
      <c r="S316">
        <f t="shared" si="968"/>
        <v>-1402.3964627891346</v>
      </c>
      <c r="T316">
        <f t="shared" si="969"/>
        <v>-1.4023964627891345</v>
      </c>
    </row>
    <row r="317" spans="1:20" x14ac:dyDescent="0.25">
      <c r="A317" s="5">
        <v>44276</v>
      </c>
      <c r="B317">
        <v>7.6249999999999998E-2</v>
      </c>
      <c r="C317">
        <v>8.591E-2</v>
      </c>
      <c r="D317">
        <v>7.4459999999999998E-2</v>
      </c>
      <c r="E317">
        <v>8.1460000000000005E-2</v>
      </c>
      <c r="F317">
        <v>130991308.2</v>
      </c>
      <c r="G317">
        <v>0</v>
      </c>
      <c r="L317" t="s">
        <v>7</v>
      </c>
      <c r="M317" t="s">
        <v>8</v>
      </c>
      <c r="N317" t="s">
        <v>7</v>
      </c>
      <c r="P317">
        <f t="shared" si="965"/>
        <v>0.22270742358078691</v>
      </c>
      <c r="Q317">
        <f t="shared" si="966"/>
        <v>29172736.760698806</v>
      </c>
      <c r="R317">
        <f t="shared" si="967"/>
        <v>-63996466.665050536</v>
      </c>
      <c r="S317">
        <f t="shared" si="968"/>
        <v>-639.96466665050536</v>
      </c>
      <c r="T317">
        <f t="shared" si="969"/>
        <v>-0.63996466665050533</v>
      </c>
    </row>
    <row r="318" spans="1:20" x14ac:dyDescent="0.25">
      <c r="A318" s="5">
        <v>44275</v>
      </c>
      <c r="B318">
        <v>7.3270000000000002E-2</v>
      </c>
      <c r="C318">
        <v>8.6800000000000002E-2</v>
      </c>
      <c r="D318">
        <v>7.2770000000000001E-2</v>
      </c>
      <c r="E318">
        <v>7.6259999999999994E-2</v>
      </c>
      <c r="F318">
        <v>195565076.09999999</v>
      </c>
      <c r="G318">
        <v>0</v>
      </c>
      <c r="L318" t="s">
        <v>8</v>
      </c>
      <c r="M318" t="s">
        <v>8</v>
      </c>
      <c r="N318" t="s">
        <v>7</v>
      </c>
      <c r="P318">
        <f t="shared" si="965"/>
        <v>-0.5024946543121892</v>
      </c>
      <c r="Q318">
        <f t="shared" si="966"/>
        <v>-98270405.310406476</v>
      </c>
      <c r="R318">
        <f t="shared" si="967"/>
        <v>-93169203.425749347</v>
      </c>
      <c r="S318">
        <f t="shared" si="968"/>
        <v>-931.69203425749345</v>
      </c>
      <c r="T318">
        <f t="shared" si="969"/>
        <v>-0.93169203425749347</v>
      </c>
    </row>
    <row r="319" spans="1:20" x14ac:dyDescent="0.25">
      <c r="A319" s="5">
        <v>44274</v>
      </c>
      <c r="B319">
        <v>7.2739999999999999E-2</v>
      </c>
      <c r="C319">
        <v>7.5620000000000007E-2</v>
      </c>
      <c r="D319">
        <v>7.0540000000000005E-2</v>
      </c>
      <c r="E319">
        <v>7.3270000000000002E-2</v>
      </c>
      <c r="F319">
        <v>41640721.799999997</v>
      </c>
      <c r="G319">
        <v>0</v>
      </c>
      <c r="L319" t="s">
        <v>7</v>
      </c>
      <c r="M319" t="s">
        <v>7</v>
      </c>
      <c r="N319" t="s">
        <v>7</v>
      </c>
      <c r="P319">
        <f t="shared" si="965"/>
        <v>7.4803149606297512E-2</v>
      </c>
      <c r="Q319">
        <f t="shared" si="966"/>
        <v>3114857.1425196142</v>
      </c>
      <c r="R319">
        <f t="shared" si="967"/>
        <v>5101201.8846571278</v>
      </c>
      <c r="S319">
        <f t="shared" si="968"/>
        <v>51.01201884657128</v>
      </c>
      <c r="T319">
        <f t="shared" si="969"/>
        <v>5.1012018846571278E-2</v>
      </c>
    </row>
    <row r="320" spans="1:20" x14ac:dyDescent="0.25">
      <c r="A320" s="5">
        <v>44273</v>
      </c>
      <c r="B320">
        <v>7.3599999999999999E-2</v>
      </c>
      <c r="C320">
        <v>7.7410000000000007E-2</v>
      </c>
      <c r="D320">
        <v>7.0000000000000007E-2</v>
      </c>
      <c r="E320">
        <v>7.2669999999999998E-2</v>
      </c>
      <c r="F320">
        <v>63657503.399999999</v>
      </c>
      <c r="G320">
        <v>0</v>
      </c>
      <c r="L320" t="s">
        <v>8</v>
      </c>
      <c r="M320" t="s">
        <v>7</v>
      </c>
      <c r="N320" t="s">
        <v>7</v>
      </c>
      <c r="P320">
        <f t="shared" si="965"/>
        <v>-0.27935222672064997</v>
      </c>
      <c r="Q320">
        <f t="shared" si="966"/>
        <v>-17782865.322267346</v>
      </c>
      <c r="R320">
        <f t="shared" si="967"/>
        <v>1986344.7421375141</v>
      </c>
      <c r="S320">
        <f t="shared" si="968"/>
        <v>19.863447421375142</v>
      </c>
      <c r="T320">
        <f t="shared" si="969"/>
        <v>1.9863447421375142E-2</v>
      </c>
    </row>
    <row r="321" spans="1:20" x14ac:dyDescent="0.25">
      <c r="A321" s="5">
        <v>44272</v>
      </c>
      <c r="B321">
        <v>7.4230000000000004E-2</v>
      </c>
      <c r="C321">
        <v>7.4749999999999997E-2</v>
      </c>
      <c r="D321">
        <v>6.8769999999999998E-2</v>
      </c>
      <c r="E321">
        <v>7.3520000000000002E-2</v>
      </c>
      <c r="F321">
        <v>54376000.799999997</v>
      </c>
      <c r="G321">
        <v>0</v>
      </c>
      <c r="L321" t="s">
        <v>8</v>
      </c>
      <c r="M321" t="s">
        <v>7</v>
      </c>
      <c r="N321" t="s">
        <v>7</v>
      </c>
      <c r="P321">
        <f t="shared" si="965"/>
        <v>0.58862876254180763</v>
      </c>
      <c r="Q321">
        <f t="shared" si="966"/>
        <v>32007278.06287634</v>
      </c>
      <c r="R321">
        <f t="shared" si="967"/>
        <v>19769210.06440486</v>
      </c>
      <c r="S321">
        <f t="shared" si="968"/>
        <v>197.69210064404859</v>
      </c>
      <c r="T321">
        <f t="shared" si="969"/>
        <v>0.1976921006440486</v>
      </c>
    </row>
    <row r="322" spans="1:20" x14ac:dyDescent="0.25">
      <c r="A322" s="5">
        <v>44271</v>
      </c>
      <c r="B322">
        <v>7.8200000000000006E-2</v>
      </c>
      <c r="C322">
        <v>7.9070000000000001E-2</v>
      </c>
      <c r="D322">
        <v>6.787E-2</v>
      </c>
      <c r="E322">
        <v>7.4230000000000004E-2</v>
      </c>
      <c r="F322">
        <v>90107717.299999997</v>
      </c>
      <c r="G322">
        <v>0</v>
      </c>
      <c r="L322" t="s">
        <v>7</v>
      </c>
      <c r="M322" t="s">
        <v>7</v>
      </c>
      <c r="N322" t="s">
        <v>7</v>
      </c>
      <c r="P322">
        <f t="shared" si="965"/>
        <v>0.13571428571428637</v>
      </c>
      <c r="Q322">
        <f t="shared" si="966"/>
        <v>12228904.490714345</v>
      </c>
      <c r="R322">
        <f t="shared" si="967"/>
        <v>-12238067.99847148</v>
      </c>
      <c r="S322">
        <f t="shared" si="968"/>
        <v>-122.3806799847148</v>
      </c>
      <c r="T322">
        <f t="shared" si="969"/>
        <v>-0.1223806799847148</v>
      </c>
    </row>
    <row r="323" spans="1:20" x14ac:dyDescent="0.25">
      <c r="A323" s="5">
        <v>44270</v>
      </c>
      <c r="B323">
        <v>8.4040000000000004E-2</v>
      </c>
      <c r="C323">
        <v>9.1579999999999995E-2</v>
      </c>
      <c r="D323">
        <v>7.3630000000000001E-2</v>
      </c>
      <c r="E323">
        <v>7.8200000000000006E-2</v>
      </c>
      <c r="F323">
        <v>232691438.69999999</v>
      </c>
      <c r="G323">
        <v>0</v>
      </c>
      <c r="L323" t="s">
        <v>7</v>
      </c>
      <c r="M323" t="s">
        <v>7</v>
      </c>
      <c r="N323" t="s">
        <v>8</v>
      </c>
      <c r="P323">
        <f t="shared" si="965"/>
        <v>-0.49080779944289626</v>
      </c>
      <c r="Q323">
        <f t="shared" si="966"/>
        <v>-114206772.97754858</v>
      </c>
      <c r="R323">
        <f t="shared" si="967"/>
        <v>-24466972.489185825</v>
      </c>
      <c r="S323">
        <f t="shared" si="968"/>
        <v>-244.66972489185824</v>
      </c>
      <c r="T323">
        <f t="shared" si="969"/>
        <v>-0.24466972489185823</v>
      </c>
    </row>
    <row r="324" spans="1:20" x14ac:dyDescent="0.25">
      <c r="A324" s="5">
        <v>44269</v>
      </c>
      <c r="B324">
        <v>7.4759999999999993E-2</v>
      </c>
      <c r="C324">
        <v>9.2499999999999999E-2</v>
      </c>
      <c r="D324">
        <v>6.8610000000000004E-2</v>
      </c>
      <c r="E324">
        <v>8.3930000000000005E-2</v>
      </c>
      <c r="F324">
        <v>402094447.89999998</v>
      </c>
      <c r="G324">
        <v>0</v>
      </c>
      <c r="L324" t="s">
        <v>8</v>
      </c>
      <c r="M324" t="s">
        <v>8</v>
      </c>
      <c r="N324" t="s">
        <v>8</v>
      </c>
      <c r="P324">
        <f t="shared" si="965"/>
        <v>0.28254499790707438</v>
      </c>
      <c r="Q324">
        <f t="shared" si="966"/>
        <v>113609774.94035172</v>
      </c>
      <c r="R324">
        <f t="shared" si="967"/>
        <v>89739800.488362759</v>
      </c>
      <c r="S324">
        <f t="shared" si="968"/>
        <v>897.39800488362755</v>
      </c>
      <c r="T324">
        <f t="shared" si="969"/>
        <v>0.89739800488362753</v>
      </c>
    </row>
    <row r="325" spans="1:20" x14ac:dyDescent="0.25">
      <c r="A325" s="5">
        <v>44268</v>
      </c>
      <c r="B325">
        <v>7.9479999999999995E-2</v>
      </c>
      <c r="C325">
        <v>8.4959999999999994E-2</v>
      </c>
      <c r="D325">
        <v>7.3849999999999999E-2</v>
      </c>
      <c r="E325">
        <v>7.4690000000000006E-2</v>
      </c>
      <c r="F325">
        <v>194584880.80000001</v>
      </c>
      <c r="G325">
        <v>0</v>
      </c>
      <c r="L325" t="s">
        <v>8</v>
      </c>
      <c r="M325" t="s">
        <v>8</v>
      </c>
      <c r="N325" t="s">
        <v>8</v>
      </c>
      <c r="P325">
        <f t="shared" si="965"/>
        <v>-0.84878487848784734</v>
      </c>
      <c r="Q325">
        <f t="shared" si="966"/>
        <v>-165160704.40540028</v>
      </c>
      <c r="R325">
        <f t="shared" si="967"/>
        <v>-23869974.451988965</v>
      </c>
      <c r="S325">
        <f t="shared" si="968"/>
        <v>-238.69974451988966</v>
      </c>
      <c r="T325">
        <f t="shared" si="969"/>
        <v>-0.23869974451988965</v>
      </c>
    </row>
    <row r="326" spans="1:20" x14ac:dyDescent="0.25">
      <c r="A326" s="5">
        <v>44267</v>
      </c>
      <c r="B326">
        <v>7.2450000000000001E-2</v>
      </c>
      <c r="C326">
        <v>8.1699999999999995E-2</v>
      </c>
      <c r="D326">
        <v>6.3890000000000002E-2</v>
      </c>
      <c r="E326">
        <v>7.9670000000000005E-2</v>
      </c>
      <c r="F326">
        <v>248494032.09999999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0.77203818079730591</v>
      </c>
      <c r="Q326">
        <f t="shared" ref="Q326:Q389" si="971">F326*P326</f>
        <v>191846880.48147133</v>
      </c>
      <c r="R326">
        <f t="shared" ref="R326:R389" si="972">R327+Q326</f>
        <v>141290729.95341131</v>
      </c>
      <c r="S326">
        <f t="shared" ref="S326:S389" si="973">R326/100000</f>
        <v>1412.907299534113</v>
      </c>
      <c r="T326">
        <f t="shared" ref="T326:T389" si="974">S326/1000</f>
        <v>1.412907299534113</v>
      </c>
    </row>
    <row r="327" spans="1:20" x14ac:dyDescent="0.25">
      <c r="A327" s="5">
        <v>44266</v>
      </c>
      <c r="B327">
        <v>6.1310000000000003E-2</v>
      </c>
      <c r="C327">
        <v>7.6999999999999999E-2</v>
      </c>
      <c r="D327">
        <v>5.8610000000000002E-2</v>
      </c>
      <c r="E327">
        <v>7.2450000000000001E-2</v>
      </c>
      <c r="F327">
        <v>241353317.30000001</v>
      </c>
      <c r="G327">
        <v>0</v>
      </c>
      <c r="L327" t="s">
        <v>8</v>
      </c>
      <c r="M327" t="s">
        <v>8</v>
      </c>
      <c r="N327" t="s">
        <v>8</v>
      </c>
      <c r="P327">
        <f t="shared" si="970"/>
        <v>0.50516585100598155</v>
      </c>
      <c r="Q327">
        <f t="shared" si="971"/>
        <v>121923453.9269712</v>
      </c>
      <c r="R327">
        <f t="shared" si="972"/>
        <v>-50556150.528060019</v>
      </c>
      <c r="S327">
        <f t="shared" si="973"/>
        <v>-505.56150528060022</v>
      </c>
      <c r="T327">
        <f t="shared" si="974"/>
        <v>-0.50556150528060018</v>
      </c>
    </row>
    <row r="328" spans="1:20" x14ac:dyDescent="0.25">
      <c r="A328" s="5">
        <v>44265</v>
      </c>
      <c r="B328">
        <v>6.2899999999999998E-2</v>
      </c>
      <c r="C328">
        <v>6.7250000000000004E-2</v>
      </c>
      <c r="D328">
        <v>5.6480000000000002E-2</v>
      </c>
      <c r="E328">
        <v>6.1199999999999997E-2</v>
      </c>
      <c r="F328">
        <v>132717440.3</v>
      </c>
      <c r="G328">
        <v>0</v>
      </c>
      <c r="L328" t="s">
        <v>8</v>
      </c>
      <c r="M328" t="s">
        <v>8</v>
      </c>
      <c r="N328" t="s">
        <v>8</v>
      </c>
      <c r="P328">
        <f t="shared" si="970"/>
        <v>-0.12349117920148668</v>
      </c>
      <c r="Q328">
        <f t="shared" si="971"/>
        <v>-16389433.203249909</v>
      </c>
      <c r="R328">
        <f t="shared" si="972"/>
        <v>-172479604.45503122</v>
      </c>
      <c r="S328">
        <f t="shared" si="973"/>
        <v>-1724.7960445503122</v>
      </c>
      <c r="T328">
        <f t="shared" si="974"/>
        <v>-1.7247960445503123</v>
      </c>
    </row>
    <row r="329" spans="1:20" x14ac:dyDescent="0.25">
      <c r="A329" s="5">
        <v>44264</v>
      </c>
      <c r="B329">
        <v>5.6500000000000002E-2</v>
      </c>
      <c r="C329">
        <v>6.5000000000000002E-2</v>
      </c>
      <c r="D329">
        <v>5.5530000000000003E-2</v>
      </c>
      <c r="E329">
        <v>6.2810000000000005E-2</v>
      </c>
      <c r="F329">
        <v>120882052.2</v>
      </c>
      <c r="G329">
        <v>0</v>
      </c>
      <c r="L329" t="s">
        <v>8</v>
      </c>
      <c r="M329" t="s">
        <v>8</v>
      </c>
      <c r="N329" t="s">
        <v>8</v>
      </c>
      <c r="P329">
        <f t="shared" si="970"/>
        <v>0.53748680042238695</v>
      </c>
      <c r="Q329">
        <f t="shared" si="971"/>
        <v>64972507.465469964</v>
      </c>
      <c r="R329">
        <f t="shared" si="972"/>
        <v>-156090171.25178131</v>
      </c>
      <c r="S329">
        <f t="shared" si="973"/>
        <v>-1560.9017125178132</v>
      </c>
      <c r="T329">
        <f t="shared" si="974"/>
        <v>-1.5609017125178131</v>
      </c>
    </row>
    <row r="330" spans="1:20" x14ac:dyDescent="0.25">
      <c r="A330" s="5">
        <v>44263</v>
      </c>
      <c r="B330">
        <v>5.5460000000000002E-2</v>
      </c>
      <c r="C330">
        <v>5.7389999999999997E-2</v>
      </c>
      <c r="D330">
        <v>5.2400000000000002E-2</v>
      </c>
      <c r="E330">
        <v>5.6500000000000002E-2</v>
      </c>
      <c r="F330">
        <v>56574912.600000001</v>
      </c>
      <c r="G330">
        <v>0</v>
      </c>
      <c r="L330" t="s">
        <v>7</v>
      </c>
      <c r="M330" t="s">
        <v>8</v>
      </c>
      <c r="N330" t="s">
        <v>8</v>
      </c>
      <c r="P330">
        <f t="shared" si="970"/>
        <v>0.64328657314629423</v>
      </c>
      <c r="Q330">
        <f t="shared" si="971"/>
        <v>36393881.652505107</v>
      </c>
      <c r="R330">
        <f t="shared" si="972"/>
        <v>-221062678.71725127</v>
      </c>
      <c r="S330">
        <f t="shared" si="973"/>
        <v>-2210.6267871725126</v>
      </c>
      <c r="T330">
        <f t="shared" si="974"/>
        <v>-2.2106267871725125</v>
      </c>
    </row>
    <row r="331" spans="1:20" x14ac:dyDescent="0.25">
      <c r="A331" s="5">
        <v>44262</v>
      </c>
      <c r="B331">
        <v>5.2139999999999999E-2</v>
      </c>
      <c r="C331">
        <v>5.8000000000000003E-2</v>
      </c>
      <c r="D331">
        <v>5.2139999999999999E-2</v>
      </c>
      <c r="E331">
        <v>5.5449999999999999E-2</v>
      </c>
      <c r="F331">
        <v>83007272.299999997</v>
      </c>
      <c r="G331">
        <v>0</v>
      </c>
      <c r="L331" t="s">
        <v>8</v>
      </c>
      <c r="M331" t="s">
        <v>8</v>
      </c>
      <c r="N331" t="s">
        <v>8</v>
      </c>
      <c r="P331">
        <f t="shared" si="970"/>
        <v>0.12969283276450447</v>
      </c>
      <c r="Q331">
        <f t="shared" si="971"/>
        <v>10765448.284641584</v>
      </c>
      <c r="R331">
        <f t="shared" si="972"/>
        <v>-257456560.36975637</v>
      </c>
      <c r="S331">
        <f t="shared" si="973"/>
        <v>-2574.5656036975638</v>
      </c>
      <c r="T331">
        <f t="shared" si="974"/>
        <v>-2.5745656036975637</v>
      </c>
    </row>
    <row r="332" spans="1:20" x14ac:dyDescent="0.25">
      <c r="A332" s="5">
        <v>44261</v>
      </c>
      <c r="B332">
        <v>5.0209999999999998E-2</v>
      </c>
      <c r="C332">
        <v>5.3999999999999999E-2</v>
      </c>
      <c r="D332">
        <v>4.9189999999999998E-2</v>
      </c>
      <c r="E332">
        <v>5.2049999999999999E-2</v>
      </c>
      <c r="F332">
        <v>65533998.700000003</v>
      </c>
      <c r="G332">
        <v>0</v>
      </c>
      <c r="L332" t="s">
        <v>8</v>
      </c>
      <c r="M332" t="s">
        <v>8</v>
      </c>
      <c r="N332" t="s">
        <v>8</v>
      </c>
      <c r="P332">
        <f t="shared" si="970"/>
        <v>0.18918918918918934</v>
      </c>
      <c r="Q332">
        <f t="shared" si="971"/>
        <v>12398324.078378389</v>
      </c>
      <c r="R332">
        <f t="shared" si="972"/>
        <v>-268222008.65439796</v>
      </c>
      <c r="S332">
        <f t="shared" si="973"/>
        <v>-2682.2200865439795</v>
      </c>
      <c r="T332">
        <f t="shared" si="974"/>
        <v>-2.6822200865439796</v>
      </c>
    </row>
    <row r="333" spans="1:20" x14ac:dyDescent="0.25">
      <c r="A333" s="5">
        <v>44260</v>
      </c>
      <c r="B333">
        <v>4.7980000000000002E-2</v>
      </c>
      <c r="C333">
        <v>5.0999999999999997E-2</v>
      </c>
      <c r="D333">
        <v>4.5510000000000002E-2</v>
      </c>
      <c r="E333">
        <v>5.0220000000000001E-2</v>
      </c>
      <c r="F333">
        <v>59984030</v>
      </c>
      <c r="G333">
        <v>0</v>
      </c>
      <c r="L333" t="s">
        <v>7</v>
      </c>
      <c r="M333" t="s">
        <v>8</v>
      </c>
      <c r="N333" t="s">
        <v>8</v>
      </c>
      <c r="P333">
        <f t="shared" si="970"/>
        <v>0.71584699453552036</v>
      </c>
      <c r="Q333">
        <f t="shared" si="971"/>
        <v>42939387.595628493</v>
      </c>
      <c r="R333">
        <f t="shared" si="972"/>
        <v>-280620332.73277634</v>
      </c>
      <c r="S333">
        <f t="shared" si="973"/>
        <v>-2806.2033273277634</v>
      </c>
      <c r="T333">
        <f t="shared" si="974"/>
        <v>-2.8062033273277636</v>
      </c>
    </row>
    <row r="334" spans="1:20" x14ac:dyDescent="0.25">
      <c r="A334" s="5">
        <v>44259</v>
      </c>
      <c r="B334">
        <v>4.9450000000000001E-2</v>
      </c>
      <c r="C334">
        <v>5.2139999999999999E-2</v>
      </c>
      <c r="D334">
        <v>4.6600000000000003E-2</v>
      </c>
      <c r="E334">
        <v>4.8000000000000001E-2</v>
      </c>
      <c r="F334">
        <v>60041000.399999999</v>
      </c>
      <c r="G334">
        <v>0</v>
      </c>
      <c r="L334" t="s">
        <v>7</v>
      </c>
      <c r="M334" t="s">
        <v>8</v>
      </c>
      <c r="N334" t="s">
        <v>8</v>
      </c>
      <c r="P334">
        <f t="shared" si="970"/>
        <v>-0.49458483754512655</v>
      </c>
      <c r="Q334">
        <f t="shared" si="971"/>
        <v>-29695368.428880878</v>
      </c>
      <c r="R334">
        <f t="shared" si="972"/>
        <v>-323559720.32840484</v>
      </c>
      <c r="S334">
        <f t="shared" si="973"/>
        <v>-3235.5972032840486</v>
      </c>
      <c r="T334">
        <f t="shared" si="974"/>
        <v>-3.2355972032840485</v>
      </c>
    </row>
    <row r="335" spans="1:20" x14ac:dyDescent="0.25">
      <c r="A335" s="5">
        <v>44258</v>
      </c>
      <c r="B335">
        <v>4.5539999999999997E-2</v>
      </c>
      <c r="C335">
        <v>5.2999999999999999E-2</v>
      </c>
      <c r="D335">
        <v>4.521E-2</v>
      </c>
      <c r="E335">
        <v>4.9450000000000001E-2</v>
      </c>
      <c r="F335">
        <v>100845907</v>
      </c>
      <c r="G335">
        <v>0</v>
      </c>
      <c r="L335" t="s">
        <v>8</v>
      </c>
      <c r="M335" t="s">
        <v>8</v>
      </c>
      <c r="N335" t="s">
        <v>8</v>
      </c>
      <c r="P335">
        <f t="shared" si="970"/>
        <v>8.8575096277278983E-2</v>
      </c>
      <c r="Q335">
        <f t="shared" si="971"/>
        <v>8932435.9216945227</v>
      </c>
      <c r="R335">
        <f t="shared" si="972"/>
        <v>-293864351.89952397</v>
      </c>
      <c r="S335">
        <f t="shared" si="973"/>
        <v>-2938.6435189952399</v>
      </c>
      <c r="T335">
        <f t="shared" si="974"/>
        <v>-2.93864351899524</v>
      </c>
    </row>
    <row r="336" spans="1:20" x14ac:dyDescent="0.25">
      <c r="A336" s="5">
        <v>44257</v>
      </c>
      <c r="B336">
        <v>4.7620000000000003E-2</v>
      </c>
      <c r="C336">
        <v>4.9799999999999997E-2</v>
      </c>
      <c r="D336">
        <v>4.3339999999999997E-2</v>
      </c>
      <c r="E336">
        <v>4.5580000000000002E-2</v>
      </c>
      <c r="F336">
        <v>47801310.600000001</v>
      </c>
      <c r="G336">
        <v>0</v>
      </c>
      <c r="L336" t="s">
        <v>7</v>
      </c>
      <c r="M336" t="s">
        <v>8</v>
      </c>
      <c r="N336" t="s">
        <v>8</v>
      </c>
      <c r="P336">
        <f t="shared" si="970"/>
        <v>-0.30650154798761431</v>
      </c>
      <c r="Q336">
        <f t="shared" si="971"/>
        <v>-14651175.694736756</v>
      </c>
      <c r="R336">
        <f t="shared" si="972"/>
        <v>-302796787.82121849</v>
      </c>
      <c r="S336">
        <f t="shared" si="973"/>
        <v>-3027.967878212185</v>
      </c>
      <c r="T336">
        <f t="shared" si="974"/>
        <v>-3.027967878212185</v>
      </c>
    </row>
    <row r="337" spans="1:20" x14ac:dyDescent="0.25">
      <c r="A337" s="5">
        <v>44256</v>
      </c>
      <c r="B337">
        <v>4.3409999999999997E-2</v>
      </c>
      <c r="C337">
        <v>4.9730000000000003E-2</v>
      </c>
      <c r="D337">
        <v>4.283E-2</v>
      </c>
      <c r="E337">
        <v>4.7620000000000003E-2</v>
      </c>
      <c r="F337">
        <v>60299704.200000003</v>
      </c>
      <c r="G337">
        <v>0</v>
      </c>
      <c r="L337" t="s">
        <v>8</v>
      </c>
      <c r="M337" t="s">
        <v>8</v>
      </c>
      <c r="N337" t="s">
        <v>8</v>
      </c>
      <c r="P337">
        <f t="shared" si="970"/>
        <v>0.38840579710144935</v>
      </c>
      <c r="Q337">
        <f t="shared" si="971"/>
        <v>23420754.674782615</v>
      </c>
      <c r="R337">
        <f t="shared" si="972"/>
        <v>-288145612.12648171</v>
      </c>
      <c r="S337">
        <f t="shared" si="973"/>
        <v>-2881.4561212648173</v>
      </c>
      <c r="T337">
        <f t="shared" si="974"/>
        <v>-2.8814561212648173</v>
      </c>
    </row>
    <row r="338" spans="1:20" x14ac:dyDescent="0.25">
      <c r="A338" s="5">
        <v>44255</v>
      </c>
      <c r="B338">
        <v>4.4589999999999998E-2</v>
      </c>
      <c r="C338">
        <v>4.5969999999999997E-2</v>
      </c>
      <c r="D338">
        <v>4.0419999999999998E-2</v>
      </c>
      <c r="E338">
        <v>4.3409999999999997E-2</v>
      </c>
      <c r="F338">
        <v>62482091.299999997</v>
      </c>
      <c r="G338">
        <v>0</v>
      </c>
      <c r="L338" t="s">
        <v>7</v>
      </c>
      <c r="M338" t="s">
        <v>7</v>
      </c>
      <c r="N338" t="s">
        <v>8</v>
      </c>
      <c r="P338">
        <f t="shared" si="970"/>
        <v>7.7477477477477449E-2</v>
      </c>
      <c r="Q338">
        <f t="shared" si="971"/>
        <v>4840954.8214414399</v>
      </c>
      <c r="R338">
        <f t="shared" si="972"/>
        <v>-311566366.80126435</v>
      </c>
      <c r="S338">
        <f t="shared" si="973"/>
        <v>-3115.6636680126435</v>
      </c>
      <c r="T338">
        <f t="shared" si="974"/>
        <v>-3.1156636680126435</v>
      </c>
    </row>
    <row r="339" spans="1:20" x14ac:dyDescent="0.25">
      <c r="A339" s="5">
        <v>44254</v>
      </c>
      <c r="B339">
        <v>4.2639999999999997E-2</v>
      </c>
      <c r="C339">
        <v>4.768E-2</v>
      </c>
      <c r="D339">
        <v>4.2500000000000003E-2</v>
      </c>
      <c r="E339">
        <v>4.4769999999999997E-2</v>
      </c>
      <c r="F339">
        <v>61394130.700000003</v>
      </c>
      <c r="G339">
        <v>0</v>
      </c>
      <c r="L339" t="s">
        <v>8</v>
      </c>
      <c r="M339" t="s">
        <v>7</v>
      </c>
      <c r="N339" t="s">
        <v>8</v>
      </c>
      <c r="P339">
        <f t="shared" si="970"/>
        <v>-0.12355212355212529</v>
      </c>
      <c r="Q339">
        <f t="shared" si="971"/>
        <v>-7585375.2216217285</v>
      </c>
      <c r="R339">
        <f t="shared" si="972"/>
        <v>-316407321.62270576</v>
      </c>
      <c r="S339">
        <f t="shared" si="973"/>
        <v>-3164.0732162270574</v>
      </c>
      <c r="T339">
        <f t="shared" si="974"/>
        <v>-3.1640732162270573</v>
      </c>
    </row>
    <row r="340" spans="1:20" x14ac:dyDescent="0.25">
      <c r="A340" s="5">
        <v>44253</v>
      </c>
      <c r="B340">
        <v>4.53E-2</v>
      </c>
      <c r="C340">
        <v>4.6269999999999999E-2</v>
      </c>
      <c r="D340">
        <v>0.04</v>
      </c>
      <c r="E340">
        <v>4.2639999999999997E-2</v>
      </c>
      <c r="F340">
        <v>80864134.599999994</v>
      </c>
      <c r="G340">
        <v>0</v>
      </c>
      <c r="L340" t="s">
        <v>7</v>
      </c>
      <c r="M340" t="s">
        <v>7</v>
      </c>
      <c r="N340" t="s">
        <v>8</v>
      </c>
      <c r="P340">
        <f t="shared" si="970"/>
        <v>-0.15789473684210609</v>
      </c>
      <c r="Q340">
        <f t="shared" si="971"/>
        <v>-12768021.252631644</v>
      </c>
      <c r="R340">
        <f t="shared" si="972"/>
        <v>-308821946.40108401</v>
      </c>
      <c r="S340">
        <f t="shared" si="973"/>
        <v>-3088.2194640108401</v>
      </c>
      <c r="T340">
        <f t="shared" si="974"/>
        <v>-3.08821946401084</v>
      </c>
    </row>
    <row r="341" spans="1:20" x14ac:dyDescent="0.25">
      <c r="A341" s="5">
        <v>44252</v>
      </c>
      <c r="B341">
        <v>4.8730000000000002E-2</v>
      </c>
      <c r="C341">
        <v>5.0999999999999997E-2</v>
      </c>
      <c r="D341">
        <v>4.4450000000000003E-2</v>
      </c>
      <c r="E341">
        <v>4.5199999999999997E-2</v>
      </c>
      <c r="F341">
        <v>68496325.900000006</v>
      </c>
      <c r="G341">
        <v>0</v>
      </c>
      <c r="L341" t="s">
        <v>7</v>
      </c>
      <c r="M341" t="s">
        <v>7</v>
      </c>
      <c r="N341" t="s">
        <v>8</v>
      </c>
      <c r="P341">
        <f t="shared" si="970"/>
        <v>-0.77099236641221547</v>
      </c>
      <c r="Q341">
        <f t="shared" si="971"/>
        <v>-52810144.396183327</v>
      </c>
      <c r="R341">
        <f t="shared" si="972"/>
        <v>-296053925.14845234</v>
      </c>
      <c r="S341">
        <f t="shared" si="973"/>
        <v>-2960.5392514845234</v>
      </c>
      <c r="T341">
        <f t="shared" si="974"/>
        <v>-2.9605392514845232</v>
      </c>
    </row>
    <row r="342" spans="1:20" x14ac:dyDescent="0.25">
      <c r="A342" s="5">
        <v>44251</v>
      </c>
      <c r="B342">
        <v>4.623E-2</v>
      </c>
      <c r="C342">
        <v>5.5E-2</v>
      </c>
      <c r="D342">
        <v>4.3869999999999999E-2</v>
      </c>
      <c r="E342">
        <v>4.87E-2</v>
      </c>
      <c r="F342">
        <v>105789520.40000001</v>
      </c>
      <c r="G342">
        <v>0</v>
      </c>
      <c r="L342" t="s">
        <v>8</v>
      </c>
      <c r="M342" t="s">
        <v>8</v>
      </c>
      <c r="N342" t="s">
        <v>8</v>
      </c>
      <c r="P342">
        <f t="shared" si="970"/>
        <v>-0.13207547169811312</v>
      </c>
      <c r="Q342">
        <f t="shared" si="971"/>
        <v>-13972200.807547161</v>
      </c>
      <c r="R342">
        <f t="shared" si="972"/>
        <v>-243243780.75226903</v>
      </c>
      <c r="S342">
        <f t="shared" si="973"/>
        <v>-2432.4378075226905</v>
      </c>
      <c r="T342">
        <f t="shared" si="974"/>
        <v>-2.4324378075226907</v>
      </c>
    </row>
    <row r="343" spans="1:20" x14ac:dyDescent="0.25">
      <c r="A343" s="5">
        <v>44250</v>
      </c>
      <c r="B343">
        <v>5.4309999999999997E-2</v>
      </c>
      <c r="C343">
        <v>5.4760000000000003E-2</v>
      </c>
      <c r="D343">
        <v>3.5720000000000002E-2</v>
      </c>
      <c r="E343">
        <v>4.6240000000000003E-2</v>
      </c>
      <c r="F343">
        <v>229947744.09999999</v>
      </c>
      <c r="G343">
        <v>0</v>
      </c>
      <c r="L343" t="s">
        <v>7</v>
      </c>
      <c r="M343" t="s">
        <v>7</v>
      </c>
      <c r="N343" t="s">
        <v>7</v>
      </c>
      <c r="P343">
        <f t="shared" si="970"/>
        <v>0.10504201680672277</v>
      </c>
      <c r="Q343">
        <f t="shared" si="971"/>
        <v>24154174.800420187</v>
      </c>
      <c r="R343">
        <f t="shared" si="972"/>
        <v>-229271579.94472188</v>
      </c>
      <c r="S343">
        <f t="shared" si="973"/>
        <v>-2292.7157994472186</v>
      </c>
      <c r="T343">
        <f t="shared" si="974"/>
        <v>-2.2927157994472185</v>
      </c>
    </row>
    <row r="344" spans="1:20" x14ac:dyDescent="0.25">
      <c r="A344" s="5">
        <v>44249</v>
      </c>
      <c r="B344">
        <v>5.9330000000000001E-2</v>
      </c>
      <c r="C344">
        <v>6.5000000000000002E-2</v>
      </c>
      <c r="D344">
        <v>4.4229999999999998E-2</v>
      </c>
      <c r="E344">
        <v>5.4199999999999998E-2</v>
      </c>
      <c r="F344">
        <v>218739665</v>
      </c>
      <c r="G344">
        <v>0</v>
      </c>
      <c r="L344" t="s">
        <v>8</v>
      </c>
      <c r="M344" t="s">
        <v>7</v>
      </c>
      <c r="N344" t="s">
        <v>7</v>
      </c>
      <c r="P344">
        <f t="shared" si="970"/>
        <v>-3.9961482908040642E-2</v>
      </c>
      <c r="Q344">
        <f t="shared" si="971"/>
        <v>-8741161.3842080366</v>
      </c>
      <c r="R344">
        <f t="shared" si="972"/>
        <v>-253425754.74514207</v>
      </c>
      <c r="S344">
        <f t="shared" si="973"/>
        <v>-2534.2575474514206</v>
      </c>
      <c r="T344">
        <f t="shared" si="974"/>
        <v>-2.5342575474514204</v>
      </c>
    </row>
    <row r="345" spans="1:20" x14ac:dyDescent="0.25">
      <c r="A345" s="5">
        <v>44248</v>
      </c>
      <c r="B345">
        <v>5.7799999999999997E-2</v>
      </c>
      <c r="C345">
        <v>6.1519999999999998E-2</v>
      </c>
      <c r="D345">
        <v>5.638E-2</v>
      </c>
      <c r="E345">
        <v>5.9290000000000002E-2</v>
      </c>
      <c r="F345">
        <v>39535393.5</v>
      </c>
      <c r="G345">
        <v>0</v>
      </c>
      <c r="L345" t="s">
        <v>8</v>
      </c>
      <c r="M345" t="s">
        <v>8</v>
      </c>
      <c r="N345" t="s">
        <v>7</v>
      </c>
      <c r="P345">
        <f t="shared" si="970"/>
        <v>0.13229571984435937</v>
      </c>
      <c r="Q345">
        <f t="shared" si="971"/>
        <v>5230363.3424125062</v>
      </c>
      <c r="R345">
        <f t="shared" si="972"/>
        <v>-244684593.36093405</v>
      </c>
      <c r="S345">
        <f t="shared" si="973"/>
        <v>-2446.8459336093406</v>
      </c>
      <c r="T345">
        <f t="shared" si="974"/>
        <v>-2.4468459336093407</v>
      </c>
    </row>
    <row r="346" spans="1:20" x14ac:dyDescent="0.25">
      <c r="A346" s="5">
        <v>44247</v>
      </c>
      <c r="B346">
        <v>6.3380000000000006E-2</v>
      </c>
      <c r="C346">
        <v>6.5240000000000006E-2</v>
      </c>
      <c r="D346">
        <v>5.4399999999999997E-2</v>
      </c>
      <c r="E346">
        <v>5.79E-2</v>
      </c>
      <c r="F346">
        <v>81836780.099999994</v>
      </c>
      <c r="G346">
        <v>0</v>
      </c>
      <c r="L346" t="s">
        <v>7</v>
      </c>
      <c r="M346" t="s">
        <v>8</v>
      </c>
      <c r="N346" t="s">
        <v>7</v>
      </c>
      <c r="P346">
        <f t="shared" si="970"/>
        <v>-0.35424354243542433</v>
      </c>
      <c r="Q346">
        <f t="shared" si="971"/>
        <v>-28990150.884132836</v>
      </c>
      <c r="R346">
        <f t="shared" si="972"/>
        <v>-249914956.70334655</v>
      </c>
      <c r="S346">
        <f t="shared" si="973"/>
        <v>-2499.1495670334657</v>
      </c>
      <c r="T346">
        <f t="shared" si="974"/>
        <v>-2.4991495670334656</v>
      </c>
    </row>
    <row r="347" spans="1:20" x14ac:dyDescent="0.25">
      <c r="A347" s="5">
        <v>44246</v>
      </c>
      <c r="B347">
        <v>6.3149999999999998E-2</v>
      </c>
      <c r="C347">
        <v>6.6570000000000004E-2</v>
      </c>
      <c r="D347">
        <v>5.6120000000000003E-2</v>
      </c>
      <c r="E347">
        <v>6.3380000000000006E-2</v>
      </c>
      <c r="F347">
        <v>75372514.5</v>
      </c>
      <c r="G347">
        <v>0</v>
      </c>
      <c r="L347" t="s">
        <v>8</v>
      </c>
      <c r="M347" t="s">
        <v>7</v>
      </c>
      <c r="N347" t="s">
        <v>7</v>
      </c>
      <c r="P347">
        <f t="shared" si="970"/>
        <v>0.38947368421052669</v>
      </c>
      <c r="Q347">
        <f t="shared" si="971"/>
        <v>29355610.910526343</v>
      </c>
      <c r="R347">
        <f t="shared" si="972"/>
        <v>-220924805.81921372</v>
      </c>
      <c r="S347">
        <f t="shared" si="973"/>
        <v>-2209.2480581921373</v>
      </c>
      <c r="T347">
        <f t="shared" si="974"/>
        <v>-2.2092480581921374</v>
      </c>
    </row>
    <row r="348" spans="1:20" x14ac:dyDescent="0.25">
      <c r="A348" s="5">
        <v>44245</v>
      </c>
      <c r="B348">
        <v>6.148E-2</v>
      </c>
      <c r="C348">
        <v>6.5329999999999999E-2</v>
      </c>
      <c r="D348">
        <v>5.8459999999999998E-2</v>
      </c>
      <c r="E348">
        <v>6.3109999999999999E-2</v>
      </c>
      <c r="F348">
        <v>81692986.900000006</v>
      </c>
      <c r="G348">
        <v>0</v>
      </c>
      <c r="L348" t="s">
        <v>8</v>
      </c>
      <c r="M348" t="s">
        <v>8</v>
      </c>
      <c r="N348" t="s">
        <v>7</v>
      </c>
      <c r="P348">
        <f t="shared" si="970"/>
        <v>0.35371179039301326</v>
      </c>
      <c r="Q348">
        <f t="shared" si="971"/>
        <v>28895772.658951979</v>
      </c>
      <c r="R348">
        <f t="shared" si="972"/>
        <v>-250280416.72974005</v>
      </c>
      <c r="S348">
        <f t="shared" si="973"/>
        <v>-2502.8041672974005</v>
      </c>
      <c r="T348">
        <f t="shared" si="974"/>
        <v>-2.5028041672974006</v>
      </c>
    </row>
    <row r="349" spans="1:20" x14ac:dyDescent="0.25">
      <c r="A349" s="5">
        <v>44244</v>
      </c>
      <c r="B349">
        <v>5.8869999999999999E-2</v>
      </c>
      <c r="C349">
        <v>6.3E-2</v>
      </c>
      <c r="D349">
        <v>5.5160000000000001E-2</v>
      </c>
      <c r="E349">
        <v>6.1330000000000003E-2</v>
      </c>
      <c r="F349">
        <v>49667508.5</v>
      </c>
      <c r="G349">
        <v>0</v>
      </c>
      <c r="L349" t="s">
        <v>7</v>
      </c>
      <c r="M349" t="s">
        <v>8</v>
      </c>
      <c r="N349" t="s">
        <v>7</v>
      </c>
      <c r="P349">
        <f t="shared" si="970"/>
        <v>0.57397959183673519</v>
      </c>
      <c r="Q349">
        <f t="shared" si="971"/>
        <v>28508136.256377574</v>
      </c>
      <c r="R349">
        <f t="shared" si="972"/>
        <v>-279176189.38869202</v>
      </c>
      <c r="S349">
        <f t="shared" si="973"/>
        <v>-2791.76189388692</v>
      </c>
      <c r="T349">
        <f t="shared" si="974"/>
        <v>-2.7917618938869202</v>
      </c>
    </row>
    <row r="350" spans="1:20" x14ac:dyDescent="0.25">
      <c r="A350" s="5">
        <v>44243</v>
      </c>
      <c r="B350">
        <v>6.046E-2</v>
      </c>
      <c r="C350">
        <v>6.4759999999999998E-2</v>
      </c>
      <c r="D350">
        <v>5.5629999999999999E-2</v>
      </c>
      <c r="E350">
        <v>5.8880000000000002E-2</v>
      </c>
      <c r="F350">
        <v>78557300.799999997</v>
      </c>
      <c r="G350">
        <v>0</v>
      </c>
      <c r="L350" t="s">
        <v>8</v>
      </c>
      <c r="M350" t="s">
        <v>8</v>
      </c>
      <c r="N350" t="s">
        <v>7</v>
      </c>
      <c r="P350">
        <f t="shared" si="970"/>
        <v>-0.28806133625410663</v>
      </c>
      <c r="Q350">
        <f t="shared" si="971"/>
        <v>-22629321.040963799</v>
      </c>
      <c r="R350">
        <f t="shared" si="972"/>
        <v>-307684325.6450696</v>
      </c>
      <c r="S350">
        <f t="shared" si="973"/>
        <v>-3076.8432564506961</v>
      </c>
      <c r="T350">
        <f t="shared" si="974"/>
        <v>-3.076843256450696</v>
      </c>
    </row>
    <row r="351" spans="1:20" x14ac:dyDescent="0.25">
      <c r="A351" s="5">
        <v>44242</v>
      </c>
      <c r="B351">
        <v>7.0059999999999997E-2</v>
      </c>
      <c r="C351">
        <v>7.3400000000000007E-2</v>
      </c>
      <c r="D351">
        <v>4.9369999999999997E-2</v>
      </c>
      <c r="E351">
        <v>6.0409999999999998E-2</v>
      </c>
      <c r="F351">
        <v>190254451.30000001</v>
      </c>
      <c r="G351">
        <v>0</v>
      </c>
      <c r="L351" t="s">
        <v>7</v>
      </c>
      <c r="M351" t="s">
        <v>7</v>
      </c>
      <c r="N351" t="s">
        <v>7</v>
      </c>
      <c r="P351">
        <f t="shared" si="970"/>
        <v>-8.1148564294631978E-2</v>
      </c>
      <c r="Q351">
        <f t="shared" si="971"/>
        <v>-15438875.57365798</v>
      </c>
      <c r="R351">
        <f t="shared" si="972"/>
        <v>-285055004.60410577</v>
      </c>
      <c r="S351">
        <f t="shared" si="973"/>
        <v>-2850.5500460410576</v>
      </c>
      <c r="T351">
        <f t="shared" si="974"/>
        <v>-2.8505500460410578</v>
      </c>
    </row>
    <row r="352" spans="1:20" x14ac:dyDescent="0.25">
      <c r="A352" s="5">
        <v>44241</v>
      </c>
      <c r="B352">
        <v>7.5840000000000005E-2</v>
      </c>
      <c r="C352">
        <v>8.1680000000000003E-2</v>
      </c>
      <c r="D352">
        <v>6.6210000000000005E-2</v>
      </c>
      <c r="E352">
        <v>7.0059999999999997E-2</v>
      </c>
      <c r="F352">
        <v>136913392.19999999</v>
      </c>
      <c r="G352">
        <v>0</v>
      </c>
      <c r="L352" t="s">
        <v>7</v>
      </c>
      <c r="M352" t="s">
        <v>7</v>
      </c>
      <c r="N352" t="s">
        <v>8</v>
      </c>
      <c r="P352">
        <f t="shared" si="970"/>
        <v>-0.50226244343891491</v>
      </c>
      <c r="Q352">
        <f t="shared" si="971"/>
        <v>-68766454.905882463</v>
      </c>
      <c r="R352">
        <f t="shared" si="972"/>
        <v>-269616129.03044778</v>
      </c>
      <c r="S352">
        <f t="shared" si="973"/>
        <v>-2696.1612903044779</v>
      </c>
      <c r="T352">
        <f t="shared" si="974"/>
        <v>-2.6961612903044778</v>
      </c>
    </row>
    <row r="353" spans="1:20" x14ac:dyDescent="0.25">
      <c r="A353" s="5">
        <v>44240</v>
      </c>
      <c r="B353">
        <v>6.2489999999999997E-2</v>
      </c>
      <c r="C353">
        <v>8.1000000000000003E-2</v>
      </c>
      <c r="D353">
        <v>6.2359999999999999E-2</v>
      </c>
      <c r="E353">
        <v>7.578E-2</v>
      </c>
      <c r="F353">
        <v>281869410.30000001</v>
      </c>
      <c r="G353">
        <v>0</v>
      </c>
      <c r="L353" t="s">
        <v>8</v>
      </c>
      <c r="M353" t="s">
        <v>8</v>
      </c>
      <c r="N353" t="s">
        <v>8</v>
      </c>
      <c r="P353">
        <f t="shared" si="970"/>
        <v>0.4399141630901286</v>
      </c>
      <c r="Q353">
        <f t="shared" si="971"/>
        <v>123998345.73283258</v>
      </c>
      <c r="R353">
        <f t="shared" si="972"/>
        <v>-200849674.12456533</v>
      </c>
      <c r="S353">
        <f t="shared" si="973"/>
        <v>-2008.4967412456533</v>
      </c>
      <c r="T353">
        <f t="shared" si="974"/>
        <v>-2.0084967412456534</v>
      </c>
    </row>
    <row r="354" spans="1:20" x14ac:dyDescent="0.25">
      <c r="A354" s="5">
        <v>44239</v>
      </c>
      <c r="B354">
        <v>6.5199999999999994E-2</v>
      </c>
      <c r="C354">
        <v>6.6000000000000003E-2</v>
      </c>
      <c r="D354">
        <v>5.7979999999999997E-2</v>
      </c>
      <c r="E354">
        <v>6.2420000000000003E-2</v>
      </c>
      <c r="F354">
        <v>72505979.900000006</v>
      </c>
      <c r="G354">
        <v>0</v>
      </c>
      <c r="L354" t="s">
        <v>7</v>
      </c>
      <c r="M354" t="s">
        <v>8</v>
      </c>
      <c r="N354" t="s">
        <v>8</v>
      </c>
      <c r="P354">
        <f t="shared" si="970"/>
        <v>0.10723192019950198</v>
      </c>
      <c r="Q354">
        <f t="shared" si="971"/>
        <v>7774955.4506234955</v>
      </c>
      <c r="R354">
        <f t="shared" si="972"/>
        <v>-324848019.85739791</v>
      </c>
      <c r="S354">
        <f t="shared" si="973"/>
        <v>-3248.4801985739791</v>
      </c>
      <c r="T354">
        <f t="shared" si="974"/>
        <v>-3.2484801985739793</v>
      </c>
    </row>
    <row r="355" spans="1:20" x14ac:dyDescent="0.25">
      <c r="A355" s="5">
        <v>44238</v>
      </c>
      <c r="B355">
        <v>5.0479999999999997E-2</v>
      </c>
      <c r="C355">
        <v>6.651E-2</v>
      </c>
      <c r="D355">
        <v>4.9840000000000002E-2</v>
      </c>
      <c r="E355">
        <v>6.5199999999999994E-2</v>
      </c>
      <c r="F355">
        <v>176398229.40000001</v>
      </c>
      <c r="G355">
        <v>0</v>
      </c>
      <c r="L355" t="s">
        <v>8</v>
      </c>
      <c r="M355" t="s">
        <v>8</v>
      </c>
      <c r="N355" t="s">
        <v>8</v>
      </c>
      <c r="P355">
        <f t="shared" si="970"/>
        <v>0.84283143371325664</v>
      </c>
      <c r="Q355">
        <f t="shared" si="971"/>
        <v>148673972.58968195</v>
      </c>
      <c r="R355">
        <f t="shared" si="972"/>
        <v>-332622975.30802143</v>
      </c>
      <c r="S355">
        <f t="shared" si="973"/>
        <v>-3326.2297530802143</v>
      </c>
      <c r="T355">
        <f t="shared" si="974"/>
        <v>-3.3262297530802143</v>
      </c>
    </row>
    <row r="356" spans="1:20" x14ac:dyDescent="0.25">
      <c r="A356" s="5">
        <v>44237</v>
      </c>
      <c r="B356">
        <v>5.1279999999999999E-2</v>
      </c>
      <c r="C356">
        <v>5.4219999999999997E-2</v>
      </c>
      <c r="D356">
        <v>4.4600000000000001E-2</v>
      </c>
      <c r="E356">
        <v>5.0470000000000001E-2</v>
      </c>
      <c r="F356">
        <v>113569929.7</v>
      </c>
      <c r="G356">
        <v>0</v>
      </c>
      <c r="L356" t="s">
        <v>7</v>
      </c>
      <c r="M356" t="s">
        <v>7</v>
      </c>
      <c r="N356" t="s">
        <v>8</v>
      </c>
      <c r="P356">
        <f t="shared" si="970"/>
        <v>0.22037422037422086</v>
      </c>
      <c r="Q356">
        <f t="shared" si="971"/>
        <v>25027884.715592571</v>
      </c>
      <c r="R356">
        <f t="shared" si="972"/>
        <v>-481296947.89770335</v>
      </c>
      <c r="S356">
        <f t="shared" si="973"/>
        <v>-4812.9694789770338</v>
      </c>
      <c r="T356">
        <f t="shared" si="974"/>
        <v>-4.8129694789770339</v>
      </c>
    </row>
    <row r="357" spans="1:20" x14ac:dyDescent="0.25">
      <c r="A357" s="5">
        <v>44236</v>
      </c>
      <c r="B357">
        <v>4.6580000000000003E-2</v>
      </c>
      <c r="C357">
        <v>5.398E-2</v>
      </c>
      <c r="D357">
        <v>4.4999999999999998E-2</v>
      </c>
      <c r="E357">
        <v>5.1200000000000002E-2</v>
      </c>
      <c r="F357">
        <v>126262128.7</v>
      </c>
      <c r="G357">
        <v>0</v>
      </c>
      <c r="L357" t="s">
        <v>8</v>
      </c>
      <c r="M357" t="s">
        <v>8</v>
      </c>
      <c r="N357" t="s">
        <v>8</v>
      </c>
      <c r="P357">
        <f t="shared" si="970"/>
        <v>0.38084632516703848</v>
      </c>
      <c r="Q357">
        <f t="shared" si="971"/>
        <v>48086467.723162666</v>
      </c>
      <c r="R357">
        <f t="shared" si="972"/>
        <v>-506324832.61329591</v>
      </c>
      <c r="S357">
        <f t="shared" si="973"/>
        <v>-5063.2483261329589</v>
      </c>
      <c r="T357">
        <f t="shared" si="974"/>
        <v>-5.0632483261329586</v>
      </c>
    </row>
    <row r="358" spans="1:20" x14ac:dyDescent="0.25">
      <c r="A358" s="5">
        <v>44235</v>
      </c>
      <c r="B358">
        <v>4.1939999999999998E-2</v>
      </c>
      <c r="C358">
        <v>5.0990000000000001E-2</v>
      </c>
      <c r="D358">
        <v>3.8969999999999998E-2</v>
      </c>
      <c r="E358">
        <v>4.6690000000000002E-2</v>
      </c>
      <c r="F358">
        <v>278635232.39999998</v>
      </c>
      <c r="G358">
        <v>0</v>
      </c>
      <c r="L358" t="s">
        <v>8</v>
      </c>
      <c r="M358" t="s">
        <v>8</v>
      </c>
      <c r="N358" t="s">
        <v>8</v>
      </c>
      <c r="P358">
        <f t="shared" si="970"/>
        <v>0.28452579034941811</v>
      </c>
      <c r="Q358">
        <f t="shared" si="971"/>
        <v>79278909.717803791</v>
      </c>
      <c r="R358">
        <f t="shared" si="972"/>
        <v>-554411300.33645856</v>
      </c>
      <c r="S358">
        <f t="shared" si="973"/>
        <v>-5544.1130033645859</v>
      </c>
      <c r="T358">
        <f t="shared" si="974"/>
        <v>-5.5441130033645862</v>
      </c>
    </row>
    <row r="359" spans="1:20" x14ac:dyDescent="0.25">
      <c r="A359" s="5">
        <v>44234</v>
      </c>
      <c r="B359">
        <v>4.2950000000000002E-2</v>
      </c>
      <c r="C359">
        <v>4.369E-2</v>
      </c>
      <c r="D359">
        <v>3.9010000000000003E-2</v>
      </c>
      <c r="E359">
        <v>4.1880000000000001E-2</v>
      </c>
      <c r="F359">
        <v>40470155.5</v>
      </c>
      <c r="G359">
        <v>0</v>
      </c>
      <c r="L359" t="s">
        <v>7</v>
      </c>
      <c r="M359" t="s">
        <v>7</v>
      </c>
      <c r="N359" t="s">
        <v>8</v>
      </c>
      <c r="P359">
        <f t="shared" si="970"/>
        <v>0.22649572649572633</v>
      </c>
      <c r="Q359">
        <f t="shared" si="971"/>
        <v>9166317.2713675145</v>
      </c>
      <c r="R359">
        <f t="shared" si="972"/>
        <v>-633690210.0542624</v>
      </c>
      <c r="S359">
        <f t="shared" si="973"/>
        <v>-6336.9021005426239</v>
      </c>
      <c r="T359">
        <f t="shared" si="974"/>
        <v>-6.3369021005426243</v>
      </c>
    </row>
    <row r="360" spans="1:20" x14ac:dyDescent="0.25">
      <c r="A360" s="5">
        <v>44233</v>
      </c>
      <c r="B360">
        <v>4.7030000000000002E-2</v>
      </c>
      <c r="C360">
        <v>4.709E-2</v>
      </c>
      <c r="D360">
        <v>4.1029999999999997E-2</v>
      </c>
      <c r="E360">
        <v>4.2939999999999999E-2</v>
      </c>
      <c r="F360">
        <v>54224504.200000003</v>
      </c>
      <c r="G360">
        <v>0</v>
      </c>
      <c r="L360" t="s">
        <v>7</v>
      </c>
      <c r="M360" t="s">
        <v>8</v>
      </c>
      <c r="N360" t="s">
        <v>8</v>
      </c>
      <c r="P360">
        <f t="shared" si="970"/>
        <v>-0.36963696369636928</v>
      </c>
      <c r="Q360">
        <f t="shared" si="971"/>
        <v>-20043381.090429023</v>
      </c>
      <c r="R360">
        <f t="shared" si="972"/>
        <v>-642856527.32562995</v>
      </c>
      <c r="S360">
        <f t="shared" si="973"/>
        <v>-6428.5652732562994</v>
      </c>
      <c r="T360">
        <f t="shared" si="974"/>
        <v>-6.4285652732562992</v>
      </c>
    </row>
    <row r="361" spans="1:20" x14ac:dyDescent="0.25">
      <c r="A361" s="5">
        <v>44232</v>
      </c>
      <c r="B361">
        <v>4.3229999999999998E-2</v>
      </c>
      <c r="C361">
        <v>4.7750000000000001E-2</v>
      </c>
      <c r="D361">
        <v>4.2200000000000001E-2</v>
      </c>
      <c r="E361">
        <v>4.7030000000000002E-2</v>
      </c>
      <c r="F361">
        <v>75576286.5</v>
      </c>
      <c r="G361">
        <v>0</v>
      </c>
      <c r="L361" t="s">
        <v>7</v>
      </c>
      <c r="M361" t="s">
        <v>8</v>
      </c>
      <c r="N361" t="s">
        <v>8</v>
      </c>
      <c r="P361">
        <f t="shared" si="970"/>
        <v>0.74054054054054108</v>
      </c>
      <c r="Q361">
        <f t="shared" si="971"/>
        <v>55967304.056756794</v>
      </c>
      <c r="R361">
        <f t="shared" si="972"/>
        <v>-622813146.23520088</v>
      </c>
      <c r="S361">
        <f t="shared" si="973"/>
        <v>-6228.1314623520084</v>
      </c>
      <c r="T361">
        <f t="shared" si="974"/>
        <v>-6.2281314623520085</v>
      </c>
    </row>
    <row r="362" spans="1:20" x14ac:dyDescent="0.25">
      <c r="A362" s="5">
        <v>44231</v>
      </c>
      <c r="B362">
        <v>4.1779999999999998E-2</v>
      </c>
      <c r="C362">
        <v>4.7899999999999998E-2</v>
      </c>
      <c r="D362">
        <v>4.0160000000000001E-2</v>
      </c>
      <c r="E362">
        <v>4.3229999999999998E-2</v>
      </c>
      <c r="F362">
        <v>130246439.8</v>
      </c>
      <c r="G362">
        <v>0</v>
      </c>
      <c r="L362" t="s">
        <v>8</v>
      </c>
      <c r="M362" t="s">
        <v>8</v>
      </c>
      <c r="N362" t="s">
        <v>8</v>
      </c>
      <c r="P362">
        <f t="shared" si="970"/>
        <v>-0.2067183462532306</v>
      </c>
      <c r="Q362">
        <f t="shared" si="971"/>
        <v>-26924328.640826955</v>
      </c>
      <c r="R362">
        <f t="shared" si="972"/>
        <v>-678780450.29195774</v>
      </c>
      <c r="S362">
        <f t="shared" si="973"/>
        <v>-6787.8045029195773</v>
      </c>
      <c r="T362">
        <f t="shared" si="974"/>
        <v>-6.7878045029195775</v>
      </c>
    </row>
    <row r="363" spans="1:20" x14ac:dyDescent="0.25">
      <c r="A363" s="5">
        <v>44230</v>
      </c>
      <c r="B363">
        <v>3.9480000000000001E-2</v>
      </c>
      <c r="C363">
        <v>4.3799999999999999E-2</v>
      </c>
      <c r="D363">
        <v>3.9480000000000001E-2</v>
      </c>
      <c r="E363">
        <v>4.1759999999999999E-2</v>
      </c>
      <c r="F363">
        <v>96107344.900000006</v>
      </c>
      <c r="G363">
        <v>0</v>
      </c>
      <c r="L363" t="s">
        <v>8</v>
      </c>
      <c r="M363" t="s">
        <v>8</v>
      </c>
      <c r="N363" t="s">
        <v>7</v>
      </c>
      <c r="P363">
        <f t="shared" si="970"/>
        <v>5.5555555555554928E-2</v>
      </c>
      <c r="Q363">
        <f t="shared" si="971"/>
        <v>5339296.9388888292</v>
      </c>
      <c r="R363">
        <f t="shared" si="972"/>
        <v>-651856121.6511308</v>
      </c>
      <c r="S363">
        <f t="shared" si="973"/>
        <v>-6518.561216511308</v>
      </c>
      <c r="T363">
        <f t="shared" si="974"/>
        <v>-6.5185612165113076</v>
      </c>
    </row>
    <row r="364" spans="1:20" x14ac:dyDescent="0.25">
      <c r="A364" s="5">
        <v>44229</v>
      </c>
      <c r="B364">
        <v>3.9750000000000001E-2</v>
      </c>
      <c r="C364">
        <v>4.3110000000000002E-2</v>
      </c>
      <c r="D364">
        <v>3.5000000000000003E-2</v>
      </c>
      <c r="E364">
        <v>3.9480000000000001E-2</v>
      </c>
      <c r="F364">
        <v>248389924.59999999</v>
      </c>
      <c r="G364">
        <v>0</v>
      </c>
      <c r="L364" t="s">
        <v>7</v>
      </c>
      <c r="M364" t="s">
        <v>7</v>
      </c>
      <c r="N364" t="s">
        <v>7</v>
      </c>
      <c r="P364">
        <f t="shared" si="970"/>
        <v>0.10480887792848294</v>
      </c>
      <c r="Q364">
        <f t="shared" si="971"/>
        <v>26033469.28606648</v>
      </c>
      <c r="R364">
        <f t="shared" si="972"/>
        <v>-657195418.59001958</v>
      </c>
      <c r="S364">
        <f t="shared" si="973"/>
        <v>-6571.9541859001956</v>
      </c>
      <c r="T364">
        <f t="shared" si="974"/>
        <v>-6.5719541859001955</v>
      </c>
    </row>
    <row r="365" spans="1:20" x14ac:dyDescent="0.25">
      <c r="A365" s="5">
        <v>44228</v>
      </c>
      <c r="B365">
        <v>3.6310000000000002E-2</v>
      </c>
      <c r="C365">
        <v>4.5850000000000002E-2</v>
      </c>
      <c r="D365">
        <v>3.4279999999999998E-2</v>
      </c>
      <c r="E365">
        <v>3.9550000000000002E-2</v>
      </c>
      <c r="F365">
        <v>224111044.30000001</v>
      </c>
      <c r="G365">
        <v>0</v>
      </c>
      <c r="L365" t="s">
        <v>8</v>
      </c>
      <c r="M365" t="s">
        <v>8</v>
      </c>
      <c r="N365" t="s">
        <v>7</v>
      </c>
      <c r="P365">
        <f t="shared" si="970"/>
        <v>-8.902333621434709E-2</v>
      </c>
      <c r="Q365">
        <f t="shared" si="971"/>
        <v>-19951112.846067335</v>
      </c>
      <c r="R365">
        <f t="shared" si="972"/>
        <v>-683228887.87608612</v>
      </c>
      <c r="S365">
        <f t="shared" si="973"/>
        <v>-6832.2888787608608</v>
      </c>
      <c r="T365">
        <f t="shared" si="974"/>
        <v>-6.8322888787608607</v>
      </c>
    </row>
    <row r="366" spans="1:20" x14ac:dyDescent="0.25">
      <c r="A366" s="5">
        <v>44227</v>
      </c>
      <c r="B366">
        <v>3.6319999999999998E-2</v>
      </c>
      <c r="C366">
        <v>3.85E-2</v>
      </c>
      <c r="D366">
        <v>3.2739999999999998E-2</v>
      </c>
      <c r="E366">
        <v>3.6209999999999999E-2</v>
      </c>
      <c r="F366">
        <v>173082130.19999999</v>
      </c>
      <c r="G366">
        <v>0</v>
      </c>
      <c r="L366" t="s">
        <v>7</v>
      </c>
      <c r="M366" t="s">
        <v>7</v>
      </c>
      <c r="N366" t="s">
        <v>7</v>
      </c>
      <c r="P366">
        <f t="shared" si="970"/>
        <v>0.20486111111111116</v>
      </c>
      <c r="Q366">
        <f t="shared" si="971"/>
        <v>35457797.506250009</v>
      </c>
      <c r="R366">
        <f t="shared" si="972"/>
        <v>-663277775.03001881</v>
      </c>
      <c r="S366">
        <f t="shared" si="973"/>
        <v>-6632.777750300188</v>
      </c>
      <c r="T366">
        <f t="shared" si="974"/>
        <v>-6.6327777503001881</v>
      </c>
    </row>
    <row r="367" spans="1:20" x14ac:dyDescent="0.25">
      <c r="A367" s="5">
        <v>44226</v>
      </c>
      <c r="B367">
        <v>5.2170000000000001E-2</v>
      </c>
      <c r="C367">
        <v>5.2400000000000002E-2</v>
      </c>
      <c r="D367">
        <v>3.3369999999999997E-2</v>
      </c>
      <c r="E367">
        <v>3.6360000000000003E-2</v>
      </c>
      <c r="F367">
        <v>477218360.69999999</v>
      </c>
      <c r="G367">
        <v>0</v>
      </c>
      <c r="L367" t="s">
        <v>7</v>
      </c>
      <c r="M367" t="s">
        <v>7</v>
      </c>
      <c r="N367" t="s">
        <v>7</v>
      </c>
      <c r="P367">
        <f t="shared" si="970"/>
        <v>-0.68575932737782386</v>
      </c>
      <c r="Q367">
        <f t="shared" si="971"/>
        <v>-327256942.04597974</v>
      </c>
      <c r="R367">
        <f t="shared" si="972"/>
        <v>-698735572.53626883</v>
      </c>
      <c r="S367">
        <f t="shared" si="973"/>
        <v>-6987.3557253626886</v>
      </c>
      <c r="T367">
        <f t="shared" si="974"/>
        <v>-6.987355725362689</v>
      </c>
    </row>
    <row r="368" spans="1:20" x14ac:dyDescent="0.25">
      <c r="A368" s="5">
        <v>44225</v>
      </c>
      <c r="B368">
        <v>2.3949999999999999E-2</v>
      </c>
      <c r="C368">
        <v>7.4999999999999997E-2</v>
      </c>
      <c r="D368">
        <v>2.392E-2</v>
      </c>
      <c r="E368">
        <v>5.2069999999999998E-2</v>
      </c>
      <c r="F368">
        <v>1405278758.5</v>
      </c>
      <c r="G368">
        <v>0</v>
      </c>
      <c r="L368" t="s">
        <v>8</v>
      </c>
      <c r="M368" t="s">
        <v>8</v>
      </c>
      <c r="N368" t="s">
        <v>8</v>
      </c>
      <c r="P368">
        <f t="shared" si="970"/>
        <v>0.10219263899765073</v>
      </c>
      <c r="Q368">
        <f t="shared" si="971"/>
        <v>143609144.8584573</v>
      </c>
      <c r="R368">
        <f t="shared" si="972"/>
        <v>-371478630.49028909</v>
      </c>
      <c r="S368">
        <f t="shared" si="973"/>
        <v>-3714.7863049028911</v>
      </c>
      <c r="T368">
        <f t="shared" si="974"/>
        <v>-3.7147863049028911</v>
      </c>
    </row>
    <row r="369" spans="1:20" x14ac:dyDescent="0.25">
      <c r="A369" s="5">
        <v>44224</v>
      </c>
      <c r="B369">
        <v>2.2259999999999999E-2</v>
      </c>
      <c r="C369">
        <v>2.5669999999999998E-2</v>
      </c>
      <c r="D369">
        <v>2.1780000000000001E-2</v>
      </c>
      <c r="E369">
        <v>2.3980000000000001E-2</v>
      </c>
      <c r="F369">
        <v>37491995.299999997</v>
      </c>
      <c r="G369">
        <v>0</v>
      </c>
      <c r="L369" t="s">
        <v>8</v>
      </c>
      <c r="M369" t="s">
        <v>7</v>
      </c>
      <c r="N369" t="s">
        <v>7</v>
      </c>
      <c r="P369">
        <f t="shared" si="970"/>
        <v>0.13110539845758454</v>
      </c>
      <c r="Q369">
        <f t="shared" si="971"/>
        <v>4915402.9827763867</v>
      </c>
      <c r="R369">
        <f t="shared" si="972"/>
        <v>-515087775.34874636</v>
      </c>
      <c r="S369">
        <f t="shared" si="973"/>
        <v>-5150.8777534874635</v>
      </c>
      <c r="T369">
        <f t="shared" si="974"/>
        <v>-5.150877753487463</v>
      </c>
    </row>
    <row r="370" spans="1:20" x14ac:dyDescent="0.25">
      <c r="A370" s="5">
        <v>44223</v>
      </c>
      <c r="B370">
        <v>2.3439999999999999E-2</v>
      </c>
      <c r="C370">
        <v>2.383E-2</v>
      </c>
      <c r="D370">
        <v>2.181E-2</v>
      </c>
      <c r="E370">
        <v>2.2280000000000001E-2</v>
      </c>
      <c r="F370">
        <v>24215993.699999999</v>
      </c>
      <c r="G370">
        <v>0</v>
      </c>
      <c r="L370" t="s">
        <v>7</v>
      </c>
      <c r="M370" t="s">
        <v>7</v>
      </c>
      <c r="N370" t="s">
        <v>7</v>
      </c>
      <c r="P370">
        <f t="shared" si="970"/>
        <v>-0.53465346534653324</v>
      </c>
      <c r="Q370">
        <f t="shared" si="971"/>
        <v>-12947164.948514817</v>
      </c>
      <c r="R370">
        <f t="shared" si="972"/>
        <v>-520003178.33152276</v>
      </c>
      <c r="S370">
        <f t="shared" si="973"/>
        <v>-5200.0317833152276</v>
      </c>
      <c r="T370">
        <f t="shared" si="974"/>
        <v>-5.2000317833152279</v>
      </c>
    </row>
    <row r="371" spans="1:20" x14ac:dyDescent="0.25">
      <c r="A371" s="5">
        <v>44222</v>
      </c>
      <c r="B371">
        <v>2.3179999999999999E-2</v>
      </c>
      <c r="C371">
        <v>2.3640000000000001E-2</v>
      </c>
      <c r="D371">
        <v>2.248E-2</v>
      </c>
      <c r="E371">
        <v>2.3400000000000001E-2</v>
      </c>
      <c r="F371">
        <v>9264401.0999999996</v>
      </c>
      <c r="G371">
        <v>0</v>
      </c>
      <c r="L371" t="s">
        <v>7</v>
      </c>
      <c r="M371" t="s">
        <v>7</v>
      </c>
      <c r="N371" t="s">
        <v>7</v>
      </c>
      <c r="P371">
        <f t="shared" si="970"/>
        <v>0.58620689655172353</v>
      </c>
      <c r="Q371">
        <f t="shared" si="971"/>
        <v>5430855.8172413735</v>
      </c>
      <c r="R371">
        <f t="shared" si="972"/>
        <v>-507056013.38300794</v>
      </c>
      <c r="S371">
        <f t="shared" si="973"/>
        <v>-5070.5601338300794</v>
      </c>
      <c r="T371">
        <f t="shared" si="974"/>
        <v>-5.070560133830079</v>
      </c>
    </row>
    <row r="372" spans="1:20" x14ac:dyDescent="0.25">
      <c r="A372" s="5">
        <v>44221</v>
      </c>
      <c r="B372">
        <v>2.4119999999999999E-2</v>
      </c>
      <c r="C372">
        <v>2.5000000000000001E-2</v>
      </c>
      <c r="D372">
        <v>2.3099999999999999E-2</v>
      </c>
      <c r="E372">
        <v>2.3199999999999998E-2</v>
      </c>
      <c r="F372">
        <v>16395426.6</v>
      </c>
      <c r="G372">
        <v>0</v>
      </c>
      <c r="L372" t="s">
        <v>7</v>
      </c>
      <c r="M372" t="s">
        <v>7</v>
      </c>
      <c r="N372" t="s">
        <v>7</v>
      </c>
      <c r="P372">
        <f t="shared" si="970"/>
        <v>-0.89473684210526394</v>
      </c>
      <c r="Q372">
        <f t="shared" si="971"/>
        <v>-14669592.221052645</v>
      </c>
      <c r="R372">
        <f t="shared" si="972"/>
        <v>-512486869.20024931</v>
      </c>
      <c r="S372">
        <f t="shared" si="973"/>
        <v>-5124.8686920024929</v>
      </c>
      <c r="T372">
        <f t="shared" si="974"/>
        <v>-5.1248686920024928</v>
      </c>
    </row>
    <row r="373" spans="1:20" x14ac:dyDescent="0.25">
      <c r="A373" s="5">
        <v>44220</v>
      </c>
      <c r="B373">
        <v>2.4389999999999998E-2</v>
      </c>
      <c r="C373">
        <v>2.5729999999999999E-2</v>
      </c>
      <c r="D373">
        <v>2.3779999999999999E-2</v>
      </c>
      <c r="E373">
        <v>2.4199999999999999E-2</v>
      </c>
      <c r="F373">
        <v>18741835</v>
      </c>
      <c r="G373">
        <v>0</v>
      </c>
      <c r="L373" t="s">
        <v>8</v>
      </c>
      <c r="M373" t="s">
        <v>7</v>
      </c>
      <c r="N373" t="s">
        <v>7</v>
      </c>
      <c r="P373">
        <f t="shared" si="970"/>
        <v>-0.5692307692307691</v>
      </c>
      <c r="Q373">
        <f t="shared" si="971"/>
        <v>-10668429.153846152</v>
      </c>
      <c r="R373">
        <f t="shared" si="972"/>
        <v>-497817276.97919667</v>
      </c>
      <c r="S373">
        <f t="shared" si="973"/>
        <v>-4978.1727697919669</v>
      </c>
      <c r="T373">
        <f t="shared" si="974"/>
        <v>-4.9781727697919669</v>
      </c>
    </row>
    <row r="374" spans="1:20" x14ac:dyDescent="0.25">
      <c r="A374" s="5">
        <v>44219</v>
      </c>
      <c r="B374">
        <v>2.4219999999999998E-2</v>
      </c>
      <c r="C374">
        <v>2.461E-2</v>
      </c>
      <c r="D374">
        <v>2.3709999999999998E-2</v>
      </c>
      <c r="E374">
        <v>2.4330000000000001E-2</v>
      </c>
      <c r="F374">
        <v>12852998.800000001</v>
      </c>
      <c r="G374">
        <v>0</v>
      </c>
      <c r="L374" t="s">
        <v>8</v>
      </c>
      <c r="M374" t="s">
        <v>7</v>
      </c>
      <c r="N374" t="s">
        <v>7</v>
      </c>
      <c r="P374">
        <f t="shared" si="970"/>
        <v>0.37777777777778104</v>
      </c>
      <c r="Q374">
        <f t="shared" si="971"/>
        <v>4855577.3244444868</v>
      </c>
      <c r="R374">
        <f t="shared" si="972"/>
        <v>-487148847.82535052</v>
      </c>
      <c r="S374">
        <f t="shared" si="973"/>
        <v>-4871.4884782535055</v>
      </c>
      <c r="T374">
        <f t="shared" si="974"/>
        <v>-4.8714884782535055</v>
      </c>
    </row>
    <row r="375" spans="1:20" x14ac:dyDescent="0.25">
      <c r="A375" s="5">
        <v>44218</v>
      </c>
      <c r="B375">
        <v>2.342E-2</v>
      </c>
      <c r="C375">
        <v>2.4889999999999999E-2</v>
      </c>
      <c r="D375">
        <v>2.1860000000000001E-2</v>
      </c>
      <c r="E375">
        <v>2.4160000000000001E-2</v>
      </c>
      <c r="F375">
        <v>24261826.899999999</v>
      </c>
      <c r="G375">
        <v>0</v>
      </c>
      <c r="L375" t="s">
        <v>7</v>
      </c>
      <c r="M375" t="s">
        <v>7</v>
      </c>
      <c r="N375" t="s">
        <v>7</v>
      </c>
      <c r="P375">
        <f t="shared" si="970"/>
        <v>0.51815181518151909</v>
      </c>
      <c r="Q375">
        <f t="shared" si="971"/>
        <v>12571309.647854807</v>
      </c>
      <c r="R375">
        <f t="shared" si="972"/>
        <v>-492004425.149795</v>
      </c>
      <c r="S375">
        <f t="shared" si="973"/>
        <v>-4920.0442514979495</v>
      </c>
      <c r="T375">
        <f t="shared" si="974"/>
        <v>-4.9200442514979494</v>
      </c>
    </row>
    <row r="376" spans="1:20" x14ac:dyDescent="0.25">
      <c r="A376" s="5">
        <v>44217</v>
      </c>
      <c r="B376">
        <v>2.5749999999999999E-2</v>
      </c>
      <c r="C376">
        <v>2.5999999999999999E-2</v>
      </c>
      <c r="D376">
        <v>2.3019999999999999E-2</v>
      </c>
      <c r="E376">
        <v>2.3390000000000001E-2</v>
      </c>
      <c r="F376">
        <v>17774996.699999999</v>
      </c>
      <c r="G376">
        <v>0</v>
      </c>
      <c r="L376" t="s">
        <v>7</v>
      </c>
      <c r="M376" t="s">
        <v>7</v>
      </c>
      <c r="N376" t="s">
        <v>7</v>
      </c>
      <c r="P376">
        <f t="shared" si="970"/>
        <v>-0.75167785234899176</v>
      </c>
      <c r="Q376">
        <f t="shared" si="971"/>
        <v>-13361071.344966415</v>
      </c>
      <c r="R376">
        <f t="shared" si="972"/>
        <v>-504575734.7976498</v>
      </c>
      <c r="S376">
        <f t="shared" si="973"/>
        <v>-5045.7573479764978</v>
      </c>
      <c r="T376">
        <f t="shared" si="974"/>
        <v>-5.0457573479764974</v>
      </c>
    </row>
    <row r="377" spans="1:20" x14ac:dyDescent="0.25">
      <c r="A377" s="5">
        <v>44216</v>
      </c>
      <c r="B377">
        <v>2.6859999999999998E-2</v>
      </c>
      <c r="C377">
        <v>2.7220000000000001E-2</v>
      </c>
      <c r="D377">
        <v>2.4330000000000001E-2</v>
      </c>
      <c r="E377">
        <v>2.5749999999999999E-2</v>
      </c>
      <c r="F377">
        <v>19099448.300000001</v>
      </c>
      <c r="G377">
        <v>0</v>
      </c>
      <c r="L377" t="s">
        <v>7</v>
      </c>
      <c r="M377" t="s">
        <v>7</v>
      </c>
      <c r="N377" t="s">
        <v>7</v>
      </c>
      <c r="P377">
        <f t="shared" si="970"/>
        <v>-1.7301038062285432E-2</v>
      </c>
      <c r="Q377">
        <f t="shared" si="971"/>
        <v>-330440.2820069528</v>
      </c>
      <c r="R377">
        <f t="shared" si="972"/>
        <v>-491214663.45268339</v>
      </c>
      <c r="S377">
        <f t="shared" si="973"/>
        <v>-4912.1466345268336</v>
      </c>
      <c r="T377">
        <f t="shared" si="974"/>
        <v>-4.9121466345268336</v>
      </c>
    </row>
    <row r="378" spans="1:20" x14ac:dyDescent="0.25">
      <c r="A378" s="5">
        <v>44215</v>
      </c>
      <c r="B378">
        <v>2.5860000000000001E-2</v>
      </c>
      <c r="C378">
        <v>2.843E-2</v>
      </c>
      <c r="D378">
        <v>2.5510000000000001E-2</v>
      </c>
      <c r="E378">
        <v>2.6859999999999998E-2</v>
      </c>
      <c r="F378">
        <v>32069077</v>
      </c>
      <c r="G378">
        <v>0</v>
      </c>
      <c r="L378" t="s">
        <v>8</v>
      </c>
      <c r="M378" t="s">
        <v>8</v>
      </c>
      <c r="N378" t="s">
        <v>7</v>
      </c>
      <c r="P378">
        <f t="shared" si="970"/>
        <v>-7.534246575342636E-2</v>
      </c>
      <c r="Q378">
        <f t="shared" si="971"/>
        <v>-2416163.3356164931</v>
      </c>
      <c r="R378">
        <f t="shared" si="972"/>
        <v>-490884223.17067641</v>
      </c>
      <c r="S378">
        <f t="shared" si="973"/>
        <v>-4908.8422317067643</v>
      </c>
      <c r="T378">
        <f t="shared" si="974"/>
        <v>-4.9088422317067639</v>
      </c>
    </row>
    <row r="379" spans="1:20" x14ac:dyDescent="0.25">
      <c r="A379" s="5">
        <v>44214</v>
      </c>
      <c r="B379">
        <v>2.5520000000000001E-2</v>
      </c>
      <c r="C379">
        <v>2.614E-2</v>
      </c>
      <c r="D379">
        <v>2.4709999999999999E-2</v>
      </c>
      <c r="E379">
        <v>2.58E-2</v>
      </c>
      <c r="F379">
        <v>21674116.600000001</v>
      </c>
      <c r="G379">
        <v>0</v>
      </c>
      <c r="L379" t="s">
        <v>7</v>
      </c>
      <c r="M379" t="s">
        <v>7</v>
      </c>
      <c r="N379" t="s">
        <v>7</v>
      </c>
      <c r="P379">
        <f t="shared" si="970"/>
        <v>0.5244755244755247</v>
      </c>
      <c r="Q379">
        <f t="shared" si="971"/>
        <v>11367543.671328677</v>
      </c>
      <c r="R379">
        <f t="shared" si="972"/>
        <v>-488468059.83505994</v>
      </c>
      <c r="S379">
        <f t="shared" si="973"/>
        <v>-4884.6805983505992</v>
      </c>
      <c r="T379">
        <f t="shared" si="974"/>
        <v>-4.8846805983505996</v>
      </c>
    </row>
    <row r="380" spans="1:20" x14ac:dyDescent="0.25">
      <c r="A380" s="5">
        <v>44213</v>
      </c>
      <c r="B380">
        <v>2.5510000000000001E-2</v>
      </c>
      <c r="C380">
        <v>2.6440000000000002E-2</v>
      </c>
      <c r="D380">
        <v>2.4590000000000001E-2</v>
      </c>
      <c r="E380">
        <v>2.545E-2</v>
      </c>
      <c r="F380">
        <v>24249989.600000001</v>
      </c>
      <c r="G380">
        <v>0</v>
      </c>
      <c r="L380" t="s">
        <v>7</v>
      </c>
      <c r="M380" t="s">
        <v>7</v>
      </c>
      <c r="N380" t="s">
        <v>7</v>
      </c>
      <c r="P380">
        <f t="shared" si="970"/>
        <v>-7.0270270270271121E-2</v>
      </c>
      <c r="Q380">
        <f t="shared" si="971"/>
        <v>-1704053.3232432639</v>
      </c>
      <c r="R380">
        <f t="shared" si="972"/>
        <v>-499835603.5063886</v>
      </c>
      <c r="S380">
        <f t="shared" si="973"/>
        <v>-4998.3560350638863</v>
      </c>
      <c r="T380">
        <f t="shared" si="974"/>
        <v>-4.9983560350638863</v>
      </c>
    </row>
    <row r="381" spans="1:20" x14ac:dyDescent="0.25">
      <c r="A381" s="5">
        <v>44212</v>
      </c>
      <c r="B381">
        <v>2.53E-2</v>
      </c>
      <c r="C381">
        <v>2.7E-2</v>
      </c>
      <c r="D381">
        <v>2.4649999999999998E-2</v>
      </c>
      <c r="E381">
        <v>2.5510000000000001E-2</v>
      </c>
      <c r="F381">
        <v>32937243.600000001</v>
      </c>
      <c r="G381">
        <v>0</v>
      </c>
      <c r="L381" t="s">
        <v>8</v>
      </c>
      <c r="M381" t="s">
        <v>7</v>
      </c>
      <c r="N381" t="s">
        <v>7</v>
      </c>
      <c r="P381">
        <f t="shared" si="970"/>
        <v>-0.2680851063829765</v>
      </c>
      <c r="Q381">
        <f t="shared" si="971"/>
        <v>-8829984.4544680119</v>
      </c>
      <c r="R381">
        <f t="shared" si="972"/>
        <v>-498131550.18314534</v>
      </c>
      <c r="S381">
        <f t="shared" si="973"/>
        <v>-4981.3155018314537</v>
      </c>
      <c r="T381">
        <f t="shared" si="974"/>
        <v>-4.9813155018314541</v>
      </c>
    </row>
    <row r="382" spans="1:20" x14ac:dyDescent="0.25">
      <c r="A382" s="5">
        <v>44211</v>
      </c>
      <c r="B382">
        <v>2.5319999999999999E-2</v>
      </c>
      <c r="C382">
        <v>2.6079999999999999E-2</v>
      </c>
      <c r="D382">
        <v>2.385E-2</v>
      </c>
      <c r="E382">
        <v>2.5250000000000002E-2</v>
      </c>
      <c r="F382">
        <v>22452304.699999999</v>
      </c>
      <c r="G382">
        <v>0</v>
      </c>
      <c r="L382" t="s">
        <v>7</v>
      </c>
      <c r="M382" t="s">
        <v>7</v>
      </c>
      <c r="N382" t="s">
        <v>7</v>
      </c>
      <c r="P382">
        <f t="shared" si="970"/>
        <v>0.25560538116592141</v>
      </c>
      <c r="Q382">
        <f t="shared" si="971"/>
        <v>5738929.9008969087</v>
      </c>
      <c r="R382">
        <f t="shared" si="972"/>
        <v>-489301565.72867733</v>
      </c>
      <c r="S382">
        <f t="shared" si="973"/>
        <v>-4893.0156572867736</v>
      </c>
      <c r="T382">
        <f t="shared" si="974"/>
        <v>-4.8930156572867736</v>
      </c>
    </row>
    <row r="383" spans="1:20" x14ac:dyDescent="0.25">
      <c r="A383" s="5">
        <v>44210</v>
      </c>
      <c r="B383">
        <v>2.589E-2</v>
      </c>
      <c r="C383">
        <v>2.622E-2</v>
      </c>
      <c r="D383">
        <v>2.4660000000000001E-2</v>
      </c>
      <c r="E383">
        <v>2.5250000000000002E-2</v>
      </c>
      <c r="F383">
        <v>16202204.699999999</v>
      </c>
      <c r="G383">
        <v>0</v>
      </c>
      <c r="L383" t="s">
        <v>8</v>
      </c>
      <c r="M383" t="s">
        <v>7</v>
      </c>
      <c r="N383" t="s">
        <v>7</v>
      </c>
      <c r="P383">
        <f t="shared" si="970"/>
        <v>-0.24358974358974272</v>
      </c>
      <c r="Q383">
        <f t="shared" si="971"/>
        <v>-3946690.8884615242</v>
      </c>
      <c r="R383">
        <f t="shared" si="972"/>
        <v>-495040495.62957424</v>
      </c>
      <c r="S383">
        <f t="shared" si="973"/>
        <v>-4950.4049562957425</v>
      </c>
      <c r="T383">
        <f t="shared" si="974"/>
        <v>-4.9504049562957428</v>
      </c>
    </row>
    <row r="384" spans="1:20" x14ac:dyDescent="0.25">
      <c r="A384" s="5">
        <v>44209</v>
      </c>
      <c r="B384">
        <v>2.4590000000000001E-2</v>
      </c>
      <c r="C384">
        <v>2.647E-2</v>
      </c>
      <c r="D384">
        <v>2.3439999999999999E-2</v>
      </c>
      <c r="E384">
        <v>2.581E-2</v>
      </c>
      <c r="F384">
        <v>16328419.4</v>
      </c>
      <c r="G384">
        <v>0</v>
      </c>
      <c r="L384" t="s">
        <v>8</v>
      </c>
      <c r="M384" t="s">
        <v>7</v>
      </c>
      <c r="N384" t="s">
        <v>7</v>
      </c>
      <c r="P384">
        <f t="shared" si="970"/>
        <v>0.56435643564356397</v>
      </c>
      <c r="Q384">
        <f t="shared" si="971"/>
        <v>9215048.5722772218</v>
      </c>
      <c r="R384">
        <f t="shared" si="972"/>
        <v>-491093804.74111271</v>
      </c>
      <c r="S384">
        <f t="shared" si="973"/>
        <v>-4910.9380474111267</v>
      </c>
      <c r="T384">
        <f t="shared" si="974"/>
        <v>-4.9109380474111264</v>
      </c>
    </row>
    <row r="385" spans="1:20" x14ac:dyDescent="0.25">
      <c r="A385" s="5">
        <v>44208</v>
      </c>
      <c r="B385">
        <v>2.494E-2</v>
      </c>
      <c r="C385">
        <v>2.5839999999999998E-2</v>
      </c>
      <c r="D385">
        <v>2.4E-2</v>
      </c>
      <c r="E385">
        <v>2.46E-2</v>
      </c>
      <c r="F385">
        <v>20600907.699999999</v>
      </c>
      <c r="G385">
        <v>0</v>
      </c>
      <c r="L385" t="s">
        <v>8</v>
      </c>
      <c r="M385" t="s">
        <v>7</v>
      </c>
      <c r="N385" t="s">
        <v>7</v>
      </c>
      <c r="P385">
        <f t="shared" si="970"/>
        <v>-0.34782608695652117</v>
      </c>
      <c r="Q385">
        <f t="shared" si="971"/>
        <v>-7165533.1130434666</v>
      </c>
      <c r="R385">
        <f t="shared" si="972"/>
        <v>-500308853.31338996</v>
      </c>
      <c r="S385">
        <f t="shared" si="973"/>
        <v>-5003.0885331338995</v>
      </c>
      <c r="T385">
        <f t="shared" si="974"/>
        <v>-5.0030885331338997</v>
      </c>
    </row>
    <row r="386" spans="1:20" x14ac:dyDescent="0.25">
      <c r="A386" s="5">
        <v>44207</v>
      </c>
      <c r="B386">
        <v>2.8299999999999999E-2</v>
      </c>
      <c r="C386">
        <v>2.8510000000000001E-2</v>
      </c>
      <c r="D386">
        <v>2.2280000000000001E-2</v>
      </c>
      <c r="E386">
        <v>2.495E-2</v>
      </c>
      <c r="F386">
        <v>30749004.300000001</v>
      </c>
      <c r="G386">
        <v>0</v>
      </c>
      <c r="L386" t="s">
        <v>7</v>
      </c>
      <c r="M386" t="s">
        <v>7</v>
      </c>
      <c r="N386" t="s">
        <v>7</v>
      </c>
      <c r="P386">
        <f t="shared" si="970"/>
        <v>-0.14285714285714318</v>
      </c>
      <c r="Q386">
        <f t="shared" si="971"/>
        <v>-4392714.9000000097</v>
      </c>
      <c r="R386">
        <f t="shared" si="972"/>
        <v>-493143320.20034647</v>
      </c>
      <c r="S386">
        <f t="shared" si="973"/>
        <v>-4931.4332020034644</v>
      </c>
      <c r="T386">
        <f t="shared" si="974"/>
        <v>-4.9314332020034648</v>
      </c>
    </row>
    <row r="387" spans="1:20" x14ac:dyDescent="0.25">
      <c r="A387" s="5">
        <v>44206</v>
      </c>
      <c r="B387">
        <v>3.006E-2</v>
      </c>
      <c r="C387">
        <v>3.2779999999999997E-2</v>
      </c>
      <c r="D387">
        <v>2.6200000000000001E-2</v>
      </c>
      <c r="E387">
        <v>2.8299999999999999E-2</v>
      </c>
      <c r="F387">
        <v>38322633.399999999</v>
      </c>
      <c r="G387">
        <v>0</v>
      </c>
      <c r="L387" t="s">
        <v>8</v>
      </c>
      <c r="M387" t="s">
        <v>8</v>
      </c>
      <c r="N387" t="s">
        <v>8</v>
      </c>
      <c r="P387">
        <f t="shared" si="970"/>
        <v>-0.36170212765957471</v>
      </c>
      <c r="Q387">
        <f t="shared" si="971"/>
        <v>-13861378.03829788</v>
      </c>
      <c r="R387">
        <f t="shared" si="972"/>
        <v>-488750605.30034643</v>
      </c>
      <c r="S387">
        <f t="shared" si="973"/>
        <v>-4887.5060530034643</v>
      </c>
      <c r="T387">
        <f t="shared" si="974"/>
        <v>-4.887506053003464</v>
      </c>
    </row>
    <row r="388" spans="1:20" x14ac:dyDescent="0.25">
      <c r="A388" s="5">
        <v>44205</v>
      </c>
      <c r="B388">
        <v>2.8029999999999999E-2</v>
      </c>
      <c r="C388">
        <v>3.1E-2</v>
      </c>
      <c r="D388">
        <v>2.734E-2</v>
      </c>
      <c r="E388">
        <v>3.0040000000000001E-2</v>
      </c>
      <c r="F388">
        <v>36578387.100000001</v>
      </c>
      <c r="G388">
        <v>0</v>
      </c>
      <c r="L388" t="s">
        <v>8</v>
      </c>
      <c r="M388" t="s">
        <v>7</v>
      </c>
      <c r="N388" t="s">
        <v>8</v>
      </c>
      <c r="P388">
        <f t="shared" si="970"/>
        <v>0.4754098360655743</v>
      </c>
      <c r="Q388">
        <f t="shared" si="971"/>
        <v>17389725.014754117</v>
      </c>
      <c r="R388">
        <f t="shared" si="972"/>
        <v>-474889227.26204854</v>
      </c>
      <c r="S388">
        <f t="shared" si="973"/>
        <v>-4748.8922726204855</v>
      </c>
      <c r="T388">
        <f t="shared" si="974"/>
        <v>-4.7488922726204859</v>
      </c>
    </row>
    <row r="389" spans="1:20" x14ac:dyDescent="0.25">
      <c r="A389" s="5">
        <v>44204</v>
      </c>
      <c r="B389">
        <v>2.8670000000000001E-2</v>
      </c>
      <c r="C389">
        <v>3.022E-2</v>
      </c>
      <c r="D389">
        <v>2.58E-2</v>
      </c>
      <c r="E389">
        <v>2.818E-2</v>
      </c>
      <c r="F389">
        <v>38755567.799999997</v>
      </c>
      <c r="G389">
        <v>0</v>
      </c>
      <c r="L389" t="s">
        <v>7</v>
      </c>
      <c r="M389" t="s">
        <v>7</v>
      </c>
      <c r="N389" t="s">
        <v>8</v>
      </c>
      <c r="P389">
        <f t="shared" si="970"/>
        <v>7.6923076923076927E-2</v>
      </c>
      <c r="Q389">
        <f t="shared" si="971"/>
        <v>2981197.5230769231</v>
      </c>
      <c r="R389">
        <f t="shared" si="972"/>
        <v>-492278952.27680266</v>
      </c>
      <c r="S389">
        <f t="shared" si="973"/>
        <v>-4922.7895227680265</v>
      </c>
      <c r="T389">
        <f t="shared" si="974"/>
        <v>-4.9227895227680261</v>
      </c>
    </row>
    <row r="390" spans="1:20" x14ac:dyDescent="0.25">
      <c r="A390" s="5">
        <v>44203</v>
      </c>
      <c r="B390">
        <v>2.6509999999999999E-2</v>
      </c>
      <c r="C390">
        <v>3.3529999999999997E-2</v>
      </c>
      <c r="D390">
        <v>2.6349999999999998E-2</v>
      </c>
      <c r="E390">
        <v>2.8670000000000001E-2</v>
      </c>
      <c r="F390">
        <v>63625364.299999997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-0.35376044568245041</v>
      </c>
      <c r="Q390">
        <f t="shared" ref="Q390:Q453" si="976">F390*P390</f>
        <v>-22508137.23147627</v>
      </c>
      <c r="R390">
        <f t="shared" ref="R390:R453" si="977">R391+Q390</f>
        <v>-495260149.79987961</v>
      </c>
      <c r="S390">
        <f t="shared" ref="S390:S453" si="978">R390/100000</f>
        <v>-4952.6014979987958</v>
      </c>
      <c r="T390">
        <f t="shared" ref="T390:T453" si="979">S390/1000</f>
        <v>-4.9526014979987956</v>
      </c>
    </row>
    <row r="391" spans="1:20" x14ac:dyDescent="0.25">
      <c r="A391" s="5">
        <v>44202</v>
      </c>
      <c r="B391">
        <v>2.461E-2</v>
      </c>
      <c r="C391">
        <v>2.6880000000000001E-2</v>
      </c>
      <c r="D391">
        <v>2.333E-2</v>
      </c>
      <c r="E391">
        <v>2.6259999999999999E-2</v>
      </c>
      <c r="F391">
        <v>41508562.299999997</v>
      </c>
      <c r="G391">
        <v>0</v>
      </c>
      <c r="L391" t="s">
        <v>8</v>
      </c>
      <c r="M391" t="s">
        <v>8</v>
      </c>
      <c r="N391" t="s">
        <v>8</v>
      </c>
      <c r="P391">
        <f t="shared" si="975"/>
        <v>0.65070422535211137</v>
      </c>
      <c r="Q391">
        <f t="shared" si="976"/>
        <v>27009796.876901351</v>
      </c>
      <c r="R391">
        <f t="shared" si="977"/>
        <v>-472752012.56840336</v>
      </c>
      <c r="S391">
        <f t="shared" si="978"/>
        <v>-4727.5201256840337</v>
      </c>
      <c r="T391">
        <f t="shared" si="979"/>
        <v>-4.727520125684034</v>
      </c>
    </row>
    <row r="392" spans="1:20" x14ac:dyDescent="0.25">
      <c r="A392" s="5">
        <v>44201</v>
      </c>
      <c r="B392">
        <v>2.385E-2</v>
      </c>
      <c r="C392">
        <v>2.5000000000000001E-2</v>
      </c>
      <c r="D392">
        <v>2.2749999999999999E-2</v>
      </c>
      <c r="E392">
        <v>2.4719999999999999E-2</v>
      </c>
      <c r="F392">
        <v>33316455.199999999</v>
      </c>
      <c r="G392">
        <v>0</v>
      </c>
      <c r="L392" t="s">
        <v>8</v>
      </c>
      <c r="M392" t="s">
        <v>7</v>
      </c>
      <c r="N392" t="s">
        <v>8</v>
      </c>
      <c r="P392">
        <f t="shared" si="975"/>
        <v>0.75111111111110918</v>
      </c>
      <c r="Q392">
        <f t="shared" si="976"/>
        <v>25024359.683555491</v>
      </c>
      <c r="R392">
        <f t="shared" si="977"/>
        <v>-499761809.44530469</v>
      </c>
      <c r="S392">
        <f t="shared" si="978"/>
        <v>-4997.618094453047</v>
      </c>
      <c r="T392">
        <f t="shared" si="979"/>
        <v>-4.9976180944530473</v>
      </c>
    </row>
    <row r="393" spans="1:20" x14ac:dyDescent="0.25">
      <c r="A393" s="5">
        <v>44200</v>
      </c>
      <c r="B393">
        <v>2.4510000000000001E-2</v>
      </c>
      <c r="C393">
        <v>2.6589999999999999E-2</v>
      </c>
      <c r="D393">
        <v>2.2210000000000001E-2</v>
      </c>
      <c r="E393">
        <v>2.3800000000000002E-2</v>
      </c>
      <c r="F393">
        <v>32683849.899999999</v>
      </c>
      <c r="G393">
        <v>0</v>
      </c>
      <c r="L393" t="s">
        <v>7</v>
      </c>
      <c r="M393" t="s">
        <v>7</v>
      </c>
      <c r="N393" t="s">
        <v>8</v>
      </c>
      <c r="P393">
        <f t="shared" si="975"/>
        <v>-0.27397260273972524</v>
      </c>
      <c r="Q393">
        <f t="shared" si="976"/>
        <v>-8954479.4246575087</v>
      </c>
      <c r="R393">
        <f t="shared" si="977"/>
        <v>-524786169.12886018</v>
      </c>
      <c r="S393">
        <f t="shared" si="978"/>
        <v>-5247.8616912886018</v>
      </c>
      <c r="T393">
        <f t="shared" si="979"/>
        <v>-5.2478616912886018</v>
      </c>
    </row>
    <row r="394" spans="1:20" x14ac:dyDescent="0.25">
      <c r="A394" s="5">
        <v>44199</v>
      </c>
      <c r="B394">
        <v>2.2780000000000002E-2</v>
      </c>
      <c r="C394">
        <v>2.928E-2</v>
      </c>
      <c r="D394">
        <v>2.2780000000000002E-2</v>
      </c>
      <c r="E394">
        <v>2.444E-2</v>
      </c>
      <c r="F394">
        <v>115831377.90000001</v>
      </c>
      <c r="G394">
        <v>0</v>
      </c>
      <c r="L394" t="s">
        <v>8</v>
      </c>
      <c r="M394" t="s">
        <v>8</v>
      </c>
      <c r="N394" t="s">
        <v>8</v>
      </c>
      <c r="P394">
        <f t="shared" si="975"/>
        <v>-0.48923076923076969</v>
      </c>
      <c r="Q394">
        <f t="shared" si="976"/>
        <v>-56668274.111076981</v>
      </c>
      <c r="R394">
        <f t="shared" si="977"/>
        <v>-515831689.70420265</v>
      </c>
      <c r="S394">
        <f t="shared" si="978"/>
        <v>-5158.3168970420265</v>
      </c>
      <c r="T394">
        <f t="shared" si="979"/>
        <v>-5.1583168970420266</v>
      </c>
    </row>
    <row r="395" spans="1:20" x14ac:dyDescent="0.25">
      <c r="A395" s="5">
        <v>44198</v>
      </c>
      <c r="B395">
        <v>2.155E-2</v>
      </c>
      <c r="C395">
        <v>2.3300000000000001E-2</v>
      </c>
      <c r="D395">
        <v>2.0629999999999999E-2</v>
      </c>
      <c r="E395">
        <v>2.2780000000000002E-2</v>
      </c>
      <c r="F395">
        <v>23606781.699999999</v>
      </c>
      <c r="G395">
        <v>0</v>
      </c>
      <c r="L395" t="s">
        <v>8</v>
      </c>
      <c r="M395" t="s">
        <v>8</v>
      </c>
      <c r="N395" t="s">
        <v>7</v>
      </c>
      <c r="P395">
        <f t="shared" si="975"/>
        <v>0.61048689138576839</v>
      </c>
      <c r="Q395">
        <f t="shared" si="976"/>
        <v>14411630.775655445</v>
      </c>
      <c r="R395">
        <f t="shared" si="977"/>
        <v>-459163415.5931257</v>
      </c>
      <c r="S395">
        <f t="shared" si="978"/>
        <v>-4591.6341559312568</v>
      </c>
      <c r="T395">
        <f t="shared" si="979"/>
        <v>-4.5916341559312572</v>
      </c>
    </row>
    <row r="396" spans="1:20" x14ac:dyDescent="0.25">
      <c r="A396" s="5">
        <v>44197</v>
      </c>
      <c r="B396">
        <v>2.0660000000000001E-2</v>
      </c>
      <c r="C396">
        <v>2.23E-2</v>
      </c>
      <c r="D396">
        <v>2.06E-2</v>
      </c>
      <c r="E396">
        <v>2.155E-2</v>
      </c>
      <c r="F396">
        <v>9955308.9000000004</v>
      </c>
      <c r="G396">
        <v>0</v>
      </c>
      <c r="L396" t="s">
        <v>8</v>
      </c>
      <c r="M396" t="s">
        <v>8</v>
      </c>
      <c r="N396" t="s">
        <v>7</v>
      </c>
      <c r="P396">
        <f t="shared" si="975"/>
        <v>0.11764705882352869</v>
      </c>
      <c r="Q396">
        <f t="shared" si="976"/>
        <v>1171212.8117646987</v>
      </c>
      <c r="R396">
        <f t="shared" si="977"/>
        <v>-473575046.36878115</v>
      </c>
      <c r="S396">
        <f t="shared" si="978"/>
        <v>-4735.7504636878111</v>
      </c>
      <c r="T396">
        <f t="shared" si="979"/>
        <v>-4.7357504636878112</v>
      </c>
    </row>
    <row r="397" spans="1:20" x14ac:dyDescent="0.25">
      <c r="A397" s="5">
        <v>44196</v>
      </c>
      <c r="B397">
        <v>2.0920000000000001E-2</v>
      </c>
      <c r="C397">
        <v>2.147E-2</v>
      </c>
      <c r="D397">
        <v>2.035E-2</v>
      </c>
      <c r="E397">
        <v>2.0660000000000001E-2</v>
      </c>
      <c r="F397">
        <v>9298051.5999999996</v>
      </c>
      <c r="G397">
        <v>0</v>
      </c>
      <c r="L397" t="s">
        <v>7</v>
      </c>
      <c r="M397" t="s">
        <v>8</v>
      </c>
      <c r="N397" t="s">
        <v>7</v>
      </c>
      <c r="P397">
        <f t="shared" si="975"/>
        <v>-0.44642857142856895</v>
      </c>
      <c r="Q397">
        <f t="shared" si="976"/>
        <v>-4150915.8928571199</v>
      </c>
      <c r="R397">
        <f t="shared" si="977"/>
        <v>-474746259.18054587</v>
      </c>
      <c r="S397">
        <f t="shared" si="978"/>
        <v>-4747.4625918054589</v>
      </c>
      <c r="T397">
        <f t="shared" si="979"/>
        <v>-4.7474625918054594</v>
      </c>
    </row>
    <row r="398" spans="1:20" x14ac:dyDescent="0.25">
      <c r="A398" s="5">
        <v>44195</v>
      </c>
      <c r="B398">
        <v>2.1440000000000001E-2</v>
      </c>
      <c r="C398">
        <v>2.2360000000000001E-2</v>
      </c>
      <c r="D398">
        <v>2.0250000000000001E-2</v>
      </c>
      <c r="E398">
        <v>2.0670000000000001E-2</v>
      </c>
      <c r="F398">
        <v>9202728.5</v>
      </c>
      <c r="G398">
        <v>0</v>
      </c>
      <c r="L398" t="s">
        <v>8</v>
      </c>
      <c r="M398" t="s">
        <v>8</v>
      </c>
      <c r="N398" t="s">
        <v>7</v>
      </c>
      <c r="P398">
        <f t="shared" si="975"/>
        <v>-0.60189573459715628</v>
      </c>
      <c r="Q398">
        <f t="shared" si="976"/>
        <v>-5539083.0308056865</v>
      </c>
      <c r="R398">
        <f t="shared" si="977"/>
        <v>-470595343.28768873</v>
      </c>
      <c r="S398">
        <f t="shared" si="978"/>
        <v>-4705.9534328768877</v>
      </c>
      <c r="T398">
        <f t="shared" si="979"/>
        <v>-4.7059534328768882</v>
      </c>
    </row>
    <row r="399" spans="1:20" x14ac:dyDescent="0.25">
      <c r="A399" s="5">
        <v>44194</v>
      </c>
      <c r="B399">
        <v>2.249E-2</v>
      </c>
      <c r="C399">
        <v>2.2550000000000001E-2</v>
      </c>
      <c r="D399">
        <v>2.0389999999999998E-2</v>
      </c>
      <c r="E399">
        <v>2.145E-2</v>
      </c>
      <c r="F399">
        <v>11122866.4</v>
      </c>
      <c r="G399">
        <v>0</v>
      </c>
      <c r="L399" t="s">
        <v>7</v>
      </c>
      <c r="M399" t="s">
        <v>8</v>
      </c>
      <c r="N399" t="s">
        <v>7</v>
      </c>
      <c r="P399">
        <f t="shared" si="975"/>
        <v>-1.8518518518517744E-2</v>
      </c>
      <c r="Q399">
        <f t="shared" si="976"/>
        <v>-205979.00740739881</v>
      </c>
      <c r="R399">
        <f t="shared" si="977"/>
        <v>-465056260.25688303</v>
      </c>
      <c r="S399">
        <f t="shared" si="978"/>
        <v>-4650.5626025688307</v>
      </c>
      <c r="T399">
        <f t="shared" si="979"/>
        <v>-4.6505626025688311</v>
      </c>
    </row>
    <row r="400" spans="1:20" x14ac:dyDescent="0.25">
      <c r="A400" s="5">
        <v>44193</v>
      </c>
      <c r="B400">
        <v>2.2370000000000001E-2</v>
      </c>
      <c r="C400">
        <v>2.4E-2</v>
      </c>
      <c r="D400">
        <v>2.2100000000000002E-2</v>
      </c>
      <c r="E400">
        <v>2.2499999999999999E-2</v>
      </c>
      <c r="F400">
        <v>13225019.9</v>
      </c>
      <c r="G400">
        <v>0</v>
      </c>
      <c r="L400" t="s">
        <v>7</v>
      </c>
      <c r="M400" t="s">
        <v>8</v>
      </c>
      <c r="N400" t="s">
        <v>7</v>
      </c>
      <c r="P400">
        <f t="shared" si="975"/>
        <v>-0.57894736842105499</v>
      </c>
      <c r="Q400">
        <f t="shared" si="976"/>
        <v>-7656590.4684210839</v>
      </c>
      <c r="R400">
        <f t="shared" si="977"/>
        <v>-464850281.2494756</v>
      </c>
      <c r="S400">
        <f t="shared" si="978"/>
        <v>-4648.5028124947557</v>
      </c>
      <c r="T400">
        <f t="shared" si="979"/>
        <v>-4.6485028124947556</v>
      </c>
    </row>
    <row r="401" spans="1:20" x14ac:dyDescent="0.25">
      <c r="A401" s="5">
        <v>44192</v>
      </c>
      <c r="B401">
        <v>2.315E-2</v>
      </c>
      <c r="C401">
        <v>2.4E-2</v>
      </c>
      <c r="D401">
        <v>2.2009999999999998E-2</v>
      </c>
      <c r="E401">
        <v>2.2290000000000001E-2</v>
      </c>
      <c r="F401">
        <v>12949479.6</v>
      </c>
      <c r="G401">
        <v>0</v>
      </c>
      <c r="L401" t="s">
        <v>8</v>
      </c>
      <c r="M401" t="s">
        <v>8</v>
      </c>
      <c r="N401" t="s">
        <v>7</v>
      </c>
      <c r="P401">
        <f t="shared" si="975"/>
        <v>-0.71859296482411839</v>
      </c>
      <c r="Q401">
        <f t="shared" si="976"/>
        <v>-9305404.9386934377</v>
      </c>
      <c r="R401">
        <f t="shared" si="977"/>
        <v>-457193690.7810545</v>
      </c>
      <c r="S401">
        <f t="shared" si="978"/>
        <v>-4571.9369078105447</v>
      </c>
      <c r="T401">
        <f t="shared" si="979"/>
        <v>-4.571936907810545</v>
      </c>
    </row>
    <row r="402" spans="1:20" x14ac:dyDescent="0.25">
      <c r="A402" s="5">
        <v>44191</v>
      </c>
      <c r="B402">
        <v>2.2759999999999999E-2</v>
      </c>
      <c r="C402">
        <v>2.3349999999999999E-2</v>
      </c>
      <c r="D402">
        <v>2.1680000000000001E-2</v>
      </c>
      <c r="E402">
        <v>2.3140000000000001E-2</v>
      </c>
      <c r="F402">
        <v>10663086.800000001</v>
      </c>
      <c r="G402">
        <v>0</v>
      </c>
      <c r="L402" t="s">
        <v>7</v>
      </c>
      <c r="M402" t="s">
        <v>8</v>
      </c>
      <c r="N402" t="s">
        <v>7</v>
      </c>
      <c r="P402">
        <f t="shared" si="975"/>
        <v>0.74850299401197762</v>
      </c>
      <c r="Q402">
        <f t="shared" si="976"/>
        <v>7981352.3952095984</v>
      </c>
      <c r="R402">
        <f t="shared" si="977"/>
        <v>-447888285.84236103</v>
      </c>
      <c r="S402">
        <f t="shared" si="978"/>
        <v>-4478.8828584236107</v>
      </c>
      <c r="T402">
        <f t="shared" si="979"/>
        <v>-4.4788828584236109</v>
      </c>
    </row>
    <row r="403" spans="1:20" x14ac:dyDescent="0.25">
      <c r="A403" s="5">
        <v>44190</v>
      </c>
      <c r="B403">
        <v>2.3099999999999999E-2</v>
      </c>
      <c r="C403">
        <v>2.418E-2</v>
      </c>
      <c r="D403">
        <v>2.2339999999999999E-2</v>
      </c>
      <c r="E403">
        <v>2.2849999999999999E-2</v>
      </c>
      <c r="F403">
        <v>15550940</v>
      </c>
      <c r="G403">
        <v>0</v>
      </c>
      <c r="L403" t="s">
        <v>8</v>
      </c>
      <c r="M403" t="s">
        <v>8</v>
      </c>
      <c r="N403" t="s">
        <v>7</v>
      </c>
      <c r="P403">
        <f t="shared" si="975"/>
        <v>-0.44565217391304385</v>
      </c>
      <c r="Q403">
        <f t="shared" si="976"/>
        <v>-6930310.2173913103</v>
      </c>
      <c r="R403">
        <f t="shared" si="977"/>
        <v>-455869638.23757064</v>
      </c>
      <c r="S403">
        <f t="shared" si="978"/>
        <v>-4558.696382375706</v>
      </c>
      <c r="T403">
        <f t="shared" si="979"/>
        <v>-4.5586963823757056</v>
      </c>
    </row>
    <row r="404" spans="1:20" x14ac:dyDescent="0.25">
      <c r="A404" s="5">
        <v>44189</v>
      </c>
      <c r="B404">
        <v>2.0729999999999998E-2</v>
      </c>
      <c r="C404">
        <v>2.4E-2</v>
      </c>
      <c r="D404">
        <v>2.0310000000000002E-2</v>
      </c>
      <c r="E404">
        <v>2.3179999999999999E-2</v>
      </c>
      <c r="F404">
        <v>25078869.399999999</v>
      </c>
      <c r="G404">
        <v>0</v>
      </c>
      <c r="L404" t="s">
        <v>8</v>
      </c>
      <c r="M404" t="s">
        <v>8</v>
      </c>
      <c r="N404" t="s">
        <v>7</v>
      </c>
      <c r="P404">
        <f t="shared" si="975"/>
        <v>0.55555555555555469</v>
      </c>
      <c r="Q404">
        <f t="shared" si="976"/>
        <v>13932705.2222222</v>
      </c>
      <c r="R404">
        <f t="shared" si="977"/>
        <v>-448939328.02017933</v>
      </c>
      <c r="S404">
        <f t="shared" si="978"/>
        <v>-4489.3932802017935</v>
      </c>
      <c r="T404">
        <f t="shared" si="979"/>
        <v>-4.4893932802017931</v>
      </c>
    </row>
    <row r="405" spans="1:20" x14ac:dyDescent="0.25">
      <c r="A405" s="5">
        <v>44188</v>
      </c>
      <c r="B405">
        <v>2.5020000000000001E-2</v>
      </c>
      <c r="C405">
        <v>2.5579999999999999E-2</v>
      </c>
      <c r="D405">
        <v>2.0039999999999999E-2</v>
      </c>
      <c r="E405">
        <v>2.0889999999999999E-2</v>
      </c>
      <c r="F405">
        <v>23562587.899999999</v>
      </c>
      <c r="G405">
        <v>0</v>
      </c>
      <c r="L405" t="s">
        <v>7</v>
      </c>
      <c r="M405" t="s">
        <v>7</v>
      </c>
      <c r="N405" t="s">
        <v>7</v>
      </c>
      <c r="P405">
        <f t="shared" si="975"/>
        <v>-0.69314079422382668</v>
      </c>
      <c r="Q405">
        <f t="shared" si="976"/>
        <v>-16332190.890974728</v>
      </c>
      <c r="R405">
        <f t="shared" si="977"/>
        <v>-462872033.24240154</v>
      </c>
      <c r="S405">
        <f t="shared" si="978"/>
        <v>-4628.7203324240154</v>
      </c>
      <c r="T405">
        <f t="shared" si="979"/>
        <v>-4.6287203324240158</v>
      </c>
    </row>
    <row r="406" spans="1:20" x14ac:dyDescent="0.25">
      <c r="A406" s="5">
        <v>44187</v>
      </c>
      <c r="B406">
        <v>2.419E-2</v>
      </c>
      <c r="C406">
        <v>2.5250000000000002E-2</v>
      </c>
      <c r="D406">
        <v>2.29E-2</v>
      </c>
      <c r="E406">
        <v>2.4979999999999999E-2</v>
      </c>
      <c r="F406">
        <v>17218433.100000001</v>
      </c>
      <c r="G406">
        <v>0</v>
      </c>
      <c r="L406" t="s">
        <v>7</v>
      </c>
      <c r="M406" t="s">
        <v>7</v>
      </c>
      <c r="N406" t="s">
        <v>7</v>
      </c>
      <c r="P406">
        <f t="shared" si="975"/>
        <v>0.77021276595744448</v>
      </c>
      <c r="Q406">
        <f t="shared" si="976"/>
        <v>13261856.983404215</v>
      </c>
      <c r="R406">
        <f t="shared" si="977"/>
        <v>-446539842.35142684</v>
      </c>
      <c r="S406">
        <f t="shared" si="978"/>
        <v>-4465.398423514268</v>
      </c>
      <c r="T406">
        <f t="shared" si="979"/>
        <v>-4.4653984235142676</v>
      </c>
    </row>
    <row r="407" spans="1:20" x14ac:dyDescent="0.25">
      <c r="A407" s="5">
        <v>44186</v>
      </c>
      <c r="B407">
        <v>2.6179999999999998E-2</v>
      </c>
      <c r="C407">
        <v>3.1E-2</v>
      </c>
      <c r="D407">
        <v>2.3609999999999999E-2</v>
      </c>
      <c r="E407">
        <v>2.4129999999999999E-2</v>
      </c>
      <c r="F407">
        <v>70035122.299999997</v>
      </c>
      <c r="G407">
        <v>0</v>
      </c>
      <c r="L407" t="s">
        <v>7</v>
      </c>
      <c r="M407" t="s">
        <v>7</v>
      </c>
      <c r="N407" t="s">
        <v>7</v>
      </c>
      <c r="P407">
        <f t="shared" si="975"/>
        <v>-0.85926928281461445</v>
      </c>
      <c r="Q407">
        <f t="shared" si="976"/>
        <v>-60179029.31055481</v>
      </c>
      <c r="R407">
        <f t="shared" si="977"/>
        <v>-459801699.33483106</v>
      </c>
      <c r="S407">
        <f t="shared" si="978"/>
        <v>-4598.0169933483103</v>
      </c>
      <c r="T407">
        <f t="shared" si="979"/>
        <v>-4.5980169933483106</v>
      </c>
    </row>
    <row r="408" spans="1:20" x14ac:dyDescent="0.25">
      <c r="A408" s="5">
        <v>44185</v>
      </c>
      <c r="B408">
        <v>2.3959999999999999E-2</v>
      </c>
      <c r="C408">
        <v>3.952E-2</v>
      </c>
      <c r="D408">
        <v>2.2919999999999999E-2</v>
      </c>
      <c r="E408">
        <v>2.6100000000000002E-2</v>
      </c>
      <c r="F408">
        <v>219282953.90000001</v>
      </c>
      <c r="G408">
        <v>0</v>
      </c>
      <c r="L408" t="s">
        <v>8</v>
      </c>
      <c r="M408" t="s">
        <v>8</v>
      </c>
      <c r="N408" t="s">
        <v>8</v>
      </c>
      <c r="P408">
        <f t="shared" si="975"/>
        <v>-0.61686746987951779</v>
      </c>
      <c r="Q408">
        <f t="shared" si="976"/>
        <v>-135268520.95999995</v>
      </c>
      <c r="R408">
        <f t="shared" si="977"/>
        <v>-399622670.02427626</v>
      </c>
      <c r="S408">
        <f t="shared" si="978"/>
        <v>-3996.2267002427625</v>
      </c>
      <c r="T408">
        <f t="shared" si="979"/>
        <v>-3.9962267002427625</v>
      </c>
    </row>
    <row r="409" spans="1:20" x14ac:dyDescent="0.25">
      <c r="A409" s="5">
        <v>44184</v>
      </c>
      <c r="B409">
        <v>2.2929999999999999E-2</v>
      </c>
      <c r="C409">
        <v>2.5000000000000001E-2</v>
      </c>
      <c r="D409">
        <v>2.2870000000000001E-2</v>
      </c>
      <c r="E409">
        <v>2.4E-2</v>
      </c>
      <c r="F409">
        <v>22799927.399999999</v>
      </c>
      <c r="G409">
        <v>0</v>
      </c>
      <c r="L409" t="s">
        <v>8</v>
      </c>
      <c r="M409" t="s">
        <v>8</v>
      </c>
      <c r="N409" t="s">
        <v>7</v>
      </c>
      <c r="P409">
        <f t="shared" si="975"/>
        <v>6.1032863849764404E-2</v>
      </c>
      <c r="Q409">
        <f t="shared" si="976"/>
        <v>1391544.8647887129</v>
      </c>
      <c r="R409">
        <f t="shared" si="977"/>
        <v>-264354149.06427628</v>
      </c>
      <c r="S409">
        <f t="shared" si="978"/>
        <v>-2643.5414906427627</v>
      </c>
      <c r="T409">
        <f t="shared" si="979"/>
        <v>-2.6435414906427628</v>
      </c>
    </row>
    <row r="410" spans="1:20" x14ac:dyDescent="0.25">
      <c r="A410" s="5">
        <v>44183</v>
      </c>
      <c r="B410">
        <v>2.2630000000000001E-2</v>
      </c>
      <c r="C410">
        <v>2.3120000000000002E-2</v>
      </c>
      <c r="D410">
        <v>2.2270000000000002E-2</v>
      </c>
      <c r="E410">
        <v>2.2939999999999999E-2</v>
      </c>
      <c r="F410">
        <v>5944437.4000000004</v>
      </c>
      <c r="G410">
        <v>0</v>
      </c>
      <c r="L410" t="s">
        <v>7</v>
      </c>
      <c r="M410" t="s">
        <v>7</v>
      </c>
      <c r="N410" t="s">
        <v>7</v>
      </c>
      <c r="P410">
        <f t="shared" si="975"/>
        <v>0.57647058823528696</v>
      </c>
      <c r="Q410">
        <f t="shared" si="976"/>
        <v>3426793.3247058401</v>
      </c>
      <c r="R410">
        <f t="shared" si="977"/>
        <v>-265745693.92906499</v>
      </c>
      <c r="S410">
        <f t="shared" si="978"/>
        <v>-2657.4569392906501</v>
      </c>
      <c r="T410">
        <f t="shared" si="979"/>
        <v>-2.65745693929065</v>
      </c>
    </row>
    <row r="411" spans="1:20" x14ac:dyDescent="0.25">
      <c r="A411" s="5">
        <v>44182</v>
      </c>
      <c r="B411">
        <v>2.2870000000000001E-2</v>
      </c>
      <c r="C411">
        <v>2.3709999999999998E-2</v>
      </c>
      <c r="D411">
        <v>2.24E-2</v>
      </c>
      <c r="E411">
        <v>2.264E-2</v>
      </c>
      <c r="F411">
        <v>16421440.4</v>
      </c>
      <c r="G411">
        <v>0</v>
      </c>
      <c r="L411" t="s">
        <v>8</v>
      </c>
      <c r="M411" t="s">
        <v>7</v>
      </c>
      <c r="N411" t="s">
        <v>7</v>
      </c>
      <c r="P411">
        <f t="shared" si="975"/>
        <v>-0.6335877862595406</v>
      </c>
      <c r="Q411">
        <f t="shared" si="976"/>
        <v>-10404424.070228985</v>
      </c>
      <c r="R411">
        <f t="shared" si="977"/>
        <v>-269172487.25377083</v>
      </c>
      <c r="S411">
        <f t="shared" si="978"/>
        <v>-2691.7248725377085</v>
      </c>
      <c r="T411">
        <f t="shared" si="979"/>
        <v>-2.6917248725377085</v>
      </c>
    </row>
    <row r="412" spans="1:20" x14ac:dyDescent="0.25">
      <c r="A412" s="5">
        <v>44181</v>
      </c>
      <c r="B412">
        <v>2.1839999999999998E-2</v>
      </c>
      <c r="C412">
        <v>2.3060000000000001E-2</v>
      </c>
      <c r="D412">
        <v>2.1319999999999999E-2</v>
      </c>
      <c r="E412">
        <v>2.29E-2</v>
      </c>
      <c r="F412">
        <v>8727628.5</v>
      </c>
      <c r="G412">
        <v>0</v>
      </c>
      <c r="L412" t="s">
        <v>8</v>
      </c>
      <c r="M412" t="s">
        <v>7</v>
      </c>
      <c r="N412" t="s">
        <v>7</v>
      </c>
      <c r="P412">
        <f t="shared" si="975"/>
        <v>0.81609195402298829</v>
      </c>
      <c r="Q412">
        <f t="shared" si="976"/>
        <v>7122547.3965517227</v>
      </c>
      <c r="R412">
        <f t="shared" si="977"/>
        <v>-258768063.18354183</v>
      </c>
      <c r="S412">
        <f t="shared" si="978"/>
        <v>-2587.6806318354184</v>
      </c>
      <c r="T412">
        <f t="shared" si="979"/>
        <v>-2.5876806318354184</v>
      </c>
    </row>
    <row r="413" spans="1:20" x14ac:dyDescent="0.25">
      <c r="A413" s="5">
        <v>44180</v>
      </c>
      <c r="B413">
        <v>2.1239999999999998E-2</v>
      </c>
      <c r="C413">
        <v>2.198E-2</v>
      </c>
      <c r="D413">
        <v>2.104E-2</v>
      </c>
      <c r="E413">
        <v>2.1850000000000001E-2</v>
      </c>
      <c r="F413">
        <v>10824128.699999999</v>
      </c>
      <c r="G413">
        <v>0</v>
      </c>
      <c r="L413" t="s">
        <v>7</v>
      </c>
      <c r="M413" t="s">
        <v>7</v>
      </c>
      <c r="N413" t="s">
        <v>7</v>
      </c>
      <c r="P413">
        <f t="shared" si="975"/>
        <v>0.72340425531915276</v>
      </c>
      <c r="Q413">
        <f t="shared" si="976"/>
        <v>7830220.7617021687</v>
      </c>
      <c r="R413">
        <f t="shared" si="977"/>
        <v>-265890610.58009356</v>
      </c>
      <c r="S413">
        <f t="shared" si="978"/>
        <v>-2658.9061058009356</v>
      </c>
      <c r="T413">
        <f t="shared" si="979"/>
        <v>-2.6589061058009356</v>
      </c>
    </row>
    <row r="414" spans="1:20" x14ac:dyDescent="0.25">
      <c r="A414" s="5">
        <v>44179</v>
      </c>
      <c r="B414">
        <v>2.1700000000000001E-2</v>
      </c>
      <c r="C414">
        <v>2.1780000000000001E-2</v>
      </c>
      <c r="D414">
        <v>2.102E-2</v>
      </c>
      <c r="E414">
        <v>2.1260000000000001E-2</v>
      </c>
      <c r="F414">
        <v>8517251</v>
      </c>
      <c r="G414">
        <v>0</v>
      </c>
      <c r="L414" t="s">
        <v>7</v>
      </c>
      <c r="M414" t="s">
        <v>7</v>
      </c>
      <c r="N414" t="s">
        <v>7</v>
      </c>
      <c r="P414">
        <f t="shared" si="975"/>
        <v>-0.36842105263157748</v>
      </c>
      <c r="Q414">
        <f t="shared" si="976"/>
        <v>-3137934.578947356</v>
      </c>
      <c r="R414">
        <f t="shared" si="977"/>
        <v>-273720831.34179574</v>
      </c>
      <c r="S414">
        <f t="shared" si="978"/>
        <v>-2737.2083134179575</v>
      </c>
      <c r="T414">
        <f t="shared" si="979"/>
        <v>-2.7372083134179577</v>
      </c>
    </row>
    <row r="415" spans="1:20" x14ac:dyDescent="0.25">
      <c r="A415" s="5">
        <v>44178</v>
      </c>
      <c r="B415">
        <v>2.162E-2</v>
      </c>
      <c r="C415">
        <v>2.198E-2</v>
      </c>
      <c r="D415">
        <v>2.128E-2</v>
      </c>
      <c r="E415">
        <v>2.1760000000000002E-2</v>
      </c>
      <c r="F415">
        <v>7023248.2999999998</v>
      </c>
      <c r="G415">
        <v>0</v>
      </c>
      <c r="L415" t="s">
        <v>7</v>
      </c>
      <c r="M415" t="s">
        <v>7</v>
      </c>
      <c r="N415" t="s">
        <v>7</v>
      </c>
      <c r="P415">
        <f t="shared" si="975"/>
        <v>0.37142857142857655</v>
      </c>
      <c r="Q415">
        <f t="shared" si="976"/>
        <v>2608635.0828571785</v>
      </c>
      <c r="R415">
        <f t="shared" si="977"/>
        <v>-270582896.76284838</v>
      </c>
      <c r="S415">
        <f t="shared" si="978"/>
        <v>-2705.828967628484</v>
      </c>
      <c r="T415">
        <f t="shared" si="979"/>
        <v>-2.7058289676284839</v>
      </c>
    </row>
    <row r="416" spans="1:20" x14ac:dyDescent="0.25">
      <c r="A416" s="5">
        <v>44177</v>
      </c>
      <c r="B416">
        <v>2.189E-2</v>
      </c>
      <c r="C416">
        <v>2.3060000000000001E-2</v>
      </c>
      <c r="D416">
        <v>2.1170000000000001E-2</v>
      </c>
      <c r="E416">
        <v>2.1700000000000001E-2</v>
      </c>
      <c r="F416">
        <v>22725902.699999999</v>
      </c>
      <c r="G416">
        <v>0</v>
      </c>
      <c r="L416" t="s">
        <v>7</v>
      </c>
      <c r="M416" t="s">
        <v>7</v>
      </c>
      <c r="N416" t="s">
        <v>7</v>
      </c>
      <c r="P416">
        <f t="shared" si="975"/>
        <v>-0.4391534391534398</v>
      </c>
      <c r="Q416">
        <f t="shared" si="976"/>
        <v>-9980158.3285714425</v>
      </c>
      <c r="R416">
        <f t="shared" si="977"/>
        <v>-273191531.84570557</v>
      </c>
      <c r="S416">
        <f t="shared" si="978"/>
        <v>-2731.9153184570555</v>
      </c>
      <c r="T416">
        <f t="shared" si="979"/>
        <v>-2.7319153184570557</v>
      </c>
    </row>
    <row r="417" spans="1:20" x14ac:dyDescent="0.25">
      <c r="A417" s="5">
        <v>44176</v>
      </c>
      <c r="B417">
        <v>2.0459999999999999E-2</v>
      </c>
      <c r="C417">
        <v>2.4850000000000001E-2</v>
      </c>
      <c r="D417">
        <v>1.9480000000000001E-2</v>
      </c>
      <c r="E417">
        <v>2.189E-2</v>
      </c>
      <c r="F417">
        <v>61335287.5</v>
      </c>
      <c r="G417">
        <v>0</v>
      </c>
      <c r="L417" t="s">
        <v>8</v>
      </c>
      <c r="M417" t="s">
        <v>8</v>
      </c>
      <c r="N417" t="s">
        <v>7</v>
      </c>
      <c r="P417">
        <f t="shared" si="975"/>
        <v>-0.10242085661080109</v>
      </c>
      <c r="Q417">
        <f t="shared" si="976"/>
        <v>-6282012.6862197611</v>
      </c>
      <c r="R417">
        <f t="shared" si="977"/>
        <v>-263211373.51713413</v>
      </c>
      <c r="S417">
        <f t="shared" si="978"/>
        <v>-2632.1137351713414</v>
      </c>
      <c r="T417">
        <f t="shared" si="979"/>
        <v>-2.6321137351713415</v>
      </c>
    </row>
    <row r="418" spans="1:20" x14ac:dyDescent="0.25">
      <c r="A418" s="5">
        <v>44175</v>
      </c>
      <c r="B418">
        <v>2.0889999999999999E-2</v>
      </c>
      <c r="C418">
        <v>2.0990000000000002E-2</v>
      </c>
      <c r="D418">
        <v>1.9970000000000002E-2</v>
      </c>
      <c r="E418">
        <v>2.0400000000000001E-2</v>
      </c>
      <c r="F418">
        <v>6886038.7999999998</v>
      </c>
      <c r="G418">
        <v>0</v>
      </c>
      <c r="L418" t="s">
        <v>7</v>
      </c>
      <c r="M418" t="s">
        <v>7</v>
      </c>
      <c r="N418" t="s">
        <v>7</v>
      </c>
      <c r="P418">
        <f t="shared" si="975"/>
        <v>-0.1568627450980396</v>
      </c>
      <c r="Q418">
        <f t="shared" si="976"/>
        <v>-1080162.9490196104</v>
      </c>
      <c r="R418">
        <f t="shared" si="977"/>
        <v>-256929360.83091438</v>
      </c>
      <c r="S418">
        <f t="shared" si="978"/>
        <v>-2569.2936083091436</v>
      </c>
      <c r="T418">
        <f t="shared" si="979"/>
        <v>-2.5692936083091436</v>
      </c>
    </row>
    <row r="419" spans="1:20" x14ac:dyDescent="0.25">
      <c r="A419" s="5">
        <v>44174</v>
      </c>
      <c r="B419">
        <v>2.154E-2</v>
      </c>
      <c r="C419">
        <v>2.154E-2</v>
      </c>
      <c r="D419">
        <v>1.9740000000000001E-2</v>
      </c>
      <c r="E419">
        <v>2.0979999999999999E-2</v>
      </c>
      <c r="F419">
        <v>7514529.7000000002</v>
      </c>
      <c r="G419">
        <v>0</v>
      </c>
      <c r="L419" t="s">
        <v>7</v>
      </c>
      <c r="M419" t="s">
        <v>7</v>
      </c>
      <c r="N419" t="s">
        <v>7</v>
      </c>
      <c r="P419">
        <f t="shared" si="975"/>
        <v>0.37777777777777599</v>
      </c>
      <c r="Q419">
        <f t="shared" si="976"/>
        <v>2838822.3311110977</v>
      </c>
      <c r="R419">
        <f t="shared" si="977"/>
        <v>-255849197.88189477</v>
      </c>
      <c r="S419">
        <f t="shared" si="978"/>
        <v>-2558.4919788189477</v>
      </c>
      <c r="T419">
        <f t="shared" si="979"/>
        <v>-2.5584919788189477</v>
      </c>
    </row>
    <row r="420" spans="1:20" x14ac:dyDescent="0.25">
      <c r="A420" s="5">
        <v>44173</v>
      </c>
      <c r="B420">
        <v>2.283E-2</v>
      </c>
      <c r="C420">
        <v>2.4400000000000002E-2</v>
      </c>
      <c r="D420">
        <v>2.1340000000000001E-2</v>
      </c>
      <c r="E420">
        <v>2.154E-2</v>
      </c>
      <c r="F420">
        <v>10275200.300000001</v>
      </c>
      <c r="G420">
        <v>0</v>
      </c>
      <c r="L420" t="s">
        <v>7</v>
      </c>
      <c r="M420" t="s">
        <v>8</v>
      </c>
      <c r="N420" t="s">
        <v>8</v>
      </c>
      <c r="P420">
        <f t="shared" si="975"/>
        <v>-0.86928104575163478</v>
      </c>
      <c r="Q420">
        <f t="shared" si="976"/>
        <v>-8932036.8620915115</v>
      </c>
      <c r="R420">
        <f t="shared" si="977"/>
        <v>-258688020.21300587</v>
      </c>
      <c r="S420">
        <f t="shared" si="978"/>
        <v>-2586.8802021300589</v>
      </c>
      <c r="T420">
        <f t="shared" si="979"/>
        <v>-2.5868802021300588</v>
      </c>
    </row>
    <row r="421" spans="1:20" x14ac:dyDescent="0.25">
      <c r="A421" s="5">
        <v>44172</v>
      </c>
      <c r="B421">
        <v>2.2710000000000001E-2</v>
      </c>
      <c r="C421">
        <v>2.298E-2</v>
      </c>
      <c r="D421">
        <v>2.2280000000000001E-2</v>
      </c>
      <c r="E421">
        <v>2.283E-2</v>
      </c>
      <c r="F421">
        <v>5570735.7999999998</v>
      </c>
      <c r="G421">
        <v>0</v>
      </c>
      <c r="L421" t="s">
        <v>7</v>
      </c>
      <c r="M421" t="s">
        <v>8</v>
      </c>
      <c r="N421" t="s">
        <v>8</v>
      </c>
      <c r="P421">
        <f t="shared" si="975"/>
        <v>0.57142857142856862</v>
      </c>
      <c r="Q421">
        <f t="shared" si="976"/>
        <v>3183277.5999999843</v>
      </c>
      <c r="R421">
        <f t="shared" si="977"/>
        <v>-249755983.35091436</v>
      </c>
      <c r="S421">
        <f t="shared" si="978"/>
        <v>-2497.5598335091436</v>
      </c>
      <c r="T421">
        <f t="shared" si="979"/>
        <v>-2.4975598335091438</v>
      </c>
    </row>
    <row r="422" spans="1:20" x14ac:dyDescent="0.25">
      <c r="A422" s="5">
        <v>44171</v>
      </c>
      <c r="B422">
        <v>2.3009999999999999E-2</v>
      </c>
      <c r="C422">
        <v>2.3199999999999998E-2</v>
      </c>
      <c r="D422">
        <v>2.2440000000000002E-2</v>
      </c>
      <c r="E422">
        <v>2.273E-2</v>
      </c>
      <c r="F422">
        <v>5179114.5999999996</v>
      </c>
      <c r="G422">
        <v>0</v>
      </c>
      <c r="L422" t="s">
        <v>7</v>
      </c>
      <c r="M422" t="s">
        <v>8</v>
      </c>
      <c r="N422" t="s">
        <v>8</v>
      </c>
      <c r="P422">
        <f t="shared" si="975"/>
        <v>-0.23684210526315838</v>
      </c>
      <c r="Q422">
        <f t="shared" si="976"/>
        <v>-1226632.4052631604</v>
      </c>
      <c r="R422">
        <f t="shared" si="977"/>
        <v>-252939260.95091435</v>
      </c>
      <c r="S422">
        <f t="shared" si="978"/>
        <v>-2529.3926095091433</v>
      </c>
      <c r="T422">
        <f t="shared" si="979"/>
        <v>-2.5293926095091432</v>
      </c>
    </row>
    <row r="423" spans="1:20" x14ac:dyDescent="0.25">
      <c r="A423" s="5">
        <v>44170</v>
      </c>
      <c r="B423">
        <v>2.231E-2</v>
      </c>
      <c r="C423">
        <v>2.3480000000000001E-2</v>
      </c>
      <c r="D423">
        <v>2.2210000000000001E-2</v>
      </c>
      <c r="E423">
        <v>2.307E-2</v>
      </c>
      <c r="F423">
        <v>4346816.4000000004</v>
      </c>
      <c r="G423">
        <v>0</v>
      </c>
      <c r="L423" t="s">
        <v>7</v>
      </c>
      <c r="M423" t="s">
        <v>8</v>
      </c>
      <c r="N423" t="s">
        <v>8</v>
      </c>
      <c r="P423">
        <f t="shared" si="975"/>
        <v>0.35433070866141647</v>
      </c>
      <c r="Q423">
        <f t="shared" si="976"/>
        <v>1540210.5354330672</v>
      </c>
      <c r="R423">
        <f t="shared" si="977"/>
        <v>-251712628.5456512</v>
      </c>
      <c r="S423">
        <f t="shared" si="978"/>
        <v>-2517.1262854565121</v>
      </c>
      <c r="T423">
        <f t="shared" si="979"/>
        <v>-2.517126285456512</v>
      </c>
    </row>
    <row r="424" spans="1:20" x14ac:dyDescent="0.25">
      <c r="A424" s="5">
        <v>44169</v>
      </c>
      <c r="B424">
        <v>2.3599999999999999E-2</v>
      </c>
      <c r="C424">
        <v>2.4219999999999998E-2</v>
      </c>
      <c r="D424">
        <v>2.2190000000000001E-2</v>
      </c>
      <c r="E424">
        <v>2.2380000000000001E-2</v>
      </c>
      <c r="F424">
        <v>8261938.4000000004</v>
      </c>
      <c r="G424">
        <v>0</v>
      </c>
      <c r="L424" t="s">
        <v>7</v>
      </c>
      <c r="M424" t="s">
        <v>8</v>
      </c>
      <c r="N424" t="s">
        <v>8</v>
      </c>
      <c r="P424">
        <f t="shared" si="975"/>
        <v>-0.81280788177339958</v>
      </c>
      <c r="Q424">
        <f t="shared" si="976"/>
        <v>-6715368.65024631</v>
      </c>
      <c r="R424">
        <f t="shared" si="977"/>
        <v>-253252839.08108425</v>
      </c>
      <c r="S424">
        <f t="shared" si="978"/>
        <v>-2532.5283908108427</v>
      </c>
      <c r="T424">
        <f t="shared" si="979"/>
        <v>-2.5325283908108425</v>
      </c>
    </row>
    <row r="425" spans="1:20" x14ac:dyDescent="0.25">
      <c r="A425" s="5">
        <v>44168</v>
      </c>
      <c r="B425">
        <v>2.3570000000000001E-2</v>
      </c>
      <c r="C425">
        <v>2.443E-2</v>
      </c>
      <c r="D425">
        <v>2.3120000000000002E-2</v>
      </c>
      <c r="E425">
        <v>2.3570000000000001E-2</v>
      </c>
      <c r="F425">
        <v>5881921.4000000004</v>
      </c>
      <c r="G425">
        <v>0</v>
      </c>
      <c r="L425" t="s">
        <v>7</v>
      </c>
      <c r="M425" t="s">
        <v>8</v>
      </c>
      <c r="N425" t="s">
        <v>8</v>
      </c>
      <c r="P425">
        <f t="shared" si="975"/>
        <v>-0.31297709923664202</v>
      </c>
      <c r="Q425">
        <f t="shared" si="976"/>
        <v>-1840906.6977099285</v>
      </c>
      <c r="R425">
        <f t="shared" si="977"/>
        <v>-246537470.43083793</v>
      </c>
      <c r="S425">
        <f t="shared" si="978"/>
        <v>-2465.3747043083795</v>
      </c>
      <c r="T425">
        <f t="shared" si="979"/>
        <v>-2.4653747043083793</v>
      </c>
    </row>
    <row r="426" spans="1:20" x14ac:dyDescent="0.25">
      <c r="A426" s="5">
        <v>44167</v>
      </c>
      <c r="B426">
        <v>2.2890000000000001E-2</v>
      </c>
      <c r="C426">
        <v>2.3800000000000002E-2</v>
      </c>
      <c r="D426">
        <v>2.2800000000000001E-2</v>
      </c>
      <c r="E426">
        <v>2.3560000000000001E-2</v>
      </c>
      <c r="F426">
        <v>5885883.5999999996</v>
      </c>
      <c r="G426">
        <v>0</v>
      </c>
      <c r="L426" t="s">
        <v>7</v>
      </c>
      <c r="M426" t="s">
        <v>8</v>
      </c>
      <c r="N426" t="s">
        <v>8</v>
      </c>
      <c r="P426">
        <f t="shared" si="975"/>
        <v>0.51999999999999913</v>
      </c>
      <c r="Q426">
        <f t="shared" si="976"/>
        <v>3060659.4719999945</v>
      </c>
      <c r="R426">
        <f t="shared" si="977"/>
        <v>-244696563.73312801</v>
      </c>
      <c r="S426">
        <f t="shared" si="978"/>
        <v>-2446.96563733128</v>
      </c>
      <c r="T426">
        <f t="shared" si="979"/>
        <v>-2.4469656373312803</v>
      </c>
    </row>
    <row r="427" spans="1:20" x14ac:dyDescent="0.25">
      <c r="A427" s="5">
        <v>44166</v>
      </c>
      <c r="B427">
        <v>2.3879999999999998E-2</v>
      </c>
      <c r="C427">
        <v>2.4979999999999999E-2</v>
      </c>
      <c r="D427">
        <v>2.2329999999999999E-2</v>
      </c>
      <c r="E427">
        <v>2.29E-2</v>
      </c>
      <c r="F427">
        <v>14762869</v>
      </c>
      <c r="G427">
        <v>0</v>
      </c>
      <c r="L427" t="s">
        <v>8</v>
      </c>
      <c r="M427" t="s">
        <v>8</v>
      </c>
      <c r="N427" t="s">
        <v>8</v>
      </c>
      <c r="P427">
        <f t="shared" si="975"/>
        <v>-0.56981132075471608</v>
      </c>
      <c r="Q427">
        <f t="shared" si="976"/>
        <v>-8412049.883018855</v>
      </c>
      <c r="R427">
        <f t="shared" si="977"/>
        <v>-247757223.20512801</v>
      </c>
      <c r="S427">
        <f t="shared" si="978"/>
        <v>-2477.57223205128</v>
      </c>
      <c r="T427">
        <f t="shared" si="979"/>
        <v>-2.4775722320512799</v>
      </c>
    </row>
    <row r="428" spans="1:20" x14ac:dyDescent="0.25">
      <c r="A428" s="5">
        <v>44165</v>
      </c>
      <c r="B428">
        <v>2.3120000000000002E-2</v>
      </c>
      <c r="C428">
        <v>2.4279999999999999E-2</v>
      </c>
      <c r="D428">
        <v>2.2800000000000001E-2</v>
      </c>
      <c r="E428">
        <v>2.3910000000000001E-2</v>
      </c>
      <c r="F428">
        <v>10789959.699999999</v>
      </c>
      <c r="G428">
        <v>0</v>
      </c>
      <c r="L428" t="s">
        <v>8</v>
      </c>
      <c r="M428" t="s">
        <v>7</v>
      </c>
      <c r="N428" t="s">
        <v>8</v>
      </c>
      <c r="P428">
        <f t="shared" si="975"/>
        <v>0.50000000000000122</v>
      </c>
      <c r="Q428">
        <f t="shared" si="976"/>
        <v>5394979.8500000127</v>
      </c>
      <c r="R428">
        <f t="shared" si="977"/>
        <v>-239345173.32210916</v>
      </c>
      <c r="S428">
        <f t="shared" si="978"/>
        <v>-2393.4517332210917</v>
      </c>
      <c r="T428">
        <f t="shared" si="979"/>
        <v>-2.3934517332210916</v>
      </c>
    </row>
    <row r="429" spans="1:20" x14ac:dyDescent="0.25">
      <c r="A429" s="5">
        <v>44164</v>
      </c>
      <c r="B429">
        <v>2.3369999999999998E-2</v>
      </c>
      <c r="C429">
        <v>2.4119999999999999E-2</v>
      </c>
      <c r="D429">
        <v>2.2720000000000001E-2</v>
      </c>
      <c r="E429">
        <v>2.3189999999999999E-2</v>
      </c>
      <c r="F429">
        <v>9378200.0999999996</v>
      </c>
      <c r="G429">
        <v>0</v>
      </c>
      <c r="L429" t="s">
        <v>8</v>
      </c>
      <c r="M429" t="s">
        <v>7</v>
      </c>
      <c r="N429" t="s">
        <v>8</v>
      </c>
      <c r="P429">
        <f t="shared" si="975"/>
        <v>-0.3285714285714304</v>
      </c>
      <c r="Q429">
        <f t="shared" si="976"/>
        <v>-3081408.6042857314</v>
      </c>
      <c r="R429">
        <f t="shared" si="977"/>
        <v>-244740153.17210919</v>
      </c>
      <c r="S429">
        <f t="shared" si="978"/>
        <v>-2447.4015317210919</v>
      </c>
      <c r="T429">
        <f t="shared" si="979"/>
        <v>-2.4474015317210918</v>
      </c>
    </row>
    <row r="430" spans="1:20" x14ac:dyDescent="0.25">
      <c r="A430" s="5">
        <v>44163</v>
      </c>
      <c r="B430">
        <v>2.1989999999999999E-2</v>
      </c>
      <c r="C430">
        <v>2.3650000000000001E-2</v>
      </c>
      <c r="D430">
        <v>2.171E-2</v>
      </c>
      <c r="E430">
        <v>2.3369999999999998E-2</v>
      </c>
      <c r="F430">
        <v>7569194.7999999998</v>
      </c>
      <c r="G430">
        <v>0</v>
      </c>
      <c r="L430" t="s">
        <v>8</v>
      </c>
      <c r="M430" t="s">
        <v>7</v>
      </c>
      <c r="N430" t="s">
        <v>8</v>
      </c>
      <c r="P430">
        <f t="shared" si="975"/>
        <v>0.71134020618556459</v>
      </c>
      <c r="Q430">
        <f t="shared" si="976"/>
        <v>5384272.589690703</v>
      </c>
      <c r="R430">
        <f t="shared" si="977"/>
        <v>-241658744.56782347</v>
      </c>
      <c r="S430">
        <f t="shared" si="978"/>
        <v>-2416.5874456782349</v>
      </c>
      <c r="T430">
        <f t="shared" si="979"/>
        <v>-2.416587445678235</v>
      </c>
    </row>
    <row r="431" spans="1:20" x14ac:dyDescent="0.25">
      <c r="A431" s="5">
        <v>44162</v>
      </c>
      <c r="B431">
        <v>2.223E-2</v>
      </c>
      <c r="C431">
        <v>2.3E-2</v>
      </c>
      <c r="D431">
        <v>2.121E-2</v>
      </c>
      <c r="E431">
        <v>2.1989999999999999E-2</v>
      </c>
      <c r="F431">
        <v>8821133.0999999996</v>
      </c>
      <c r="G431">
        <v>0</v>
      </c>
      <c r="L431" t="s">
        <v>8</v>
      </c>
      <c r="M431" t="s">
        <v>7</v>
      </c>
      <c r="N431" t="s">
        <v>8</v>
      </c>
      <c r="P431">
        <f t="shared" si="975"/>
        <v>-0.12849162011173243</v>
      </c>
      <c r="Q431">
        <f t="shared" si="976"/>
        <v>-1133441.6832402286</v>
      </c>
      <c r="R431">
        <f t="shared" si="977"/>
        <v>-247043017.15751418</v>
      </c>
      <c r="S431">
        <f t="shared" si="978"/>
        <v>-2470.4301715751417</v>
      </c>
      <c r="T431">
        <f t="shared" si="979"/>
        <v>-2.4704301715751416</v>
      </c>
    </row>
    <row r="432" spans="1:20" x14ac:dyDescent="0.25">
      <c r="A432" s="5">
        <v>44161</v>
      </c>
      <c r="B432">
        <v>2.4649999999999998E-2</v>
      </c>
      <c r="C432">
        <v>2.6339999999999999E-2</v>
      </c>
      <c r="D432">
        <v>2.0580000000000001E-2</v>
      </c>
      <c r="E432">
        <v>2.222E-2</v>
      </c>
      <c r="F432">
        <v>31556850.600000001</v>
      </c>
      <c r="G432">
        <v>0</v>
      </c>
      <c r="L432" t="s">
        <v>7</v>
      </c>
      <c r="M432" t="s">
        <v>7</v>
      </c>
      <c r="N432" t="s">
        <v>8</v>
      </c>
      <c r="P432">
        <f t="shared" si="975"/>
        <v>-0.43055555555555564</v>
      </c>
      <c r="Q432">
        <f t="shared" si="976"/>
        <v>-13586977.341666671</v>
      </c>
      <c r="R432">
        <f t="shared" si="977"/>
        <v>-245909575.47427395</v>
      </c>
      <c r="S432">
        <f t="shared" si="978"/>
        <v>-2459.0957547427397</v>
      </c>
      <c r="T432">
        <f t="shared" si="979"/>
        <v>-2.4590957547427399</v>
      </c>
    </row>
    <row r="433" spans="1:20" x14ac:dyDescent="0.25">
      <c r="A433" s="5">
        <v>44160</v>
      </c>
      <c r="B433">
        <v>2.622E-2</v>
      </c>
      <c r="C433">
        <v>2.6700000000000002E-2</v>
      </c>
      <c r="D433">
        <v>2.4049999999999998E-2</v>
      </c>
      <c r="E433">
        <v>2.4649999999999998E-2</v>
      </c>
      <c r="F433">
        <v>16824998.199999999</v>
      </c>
      <c r="G433">
        <v>0</v>
      </c>
      <c r="L433" t="s">
        <v>7</v>
      </c>
      <c r="M433" t="s">
        <v>8</v>
      </c>
      <c r="N433" t="s">
        <v>8</v>
      </c>
      <c r="P433">
        <f t="shared" si="975"/>
        <v>-0.54716981132075537</v>
      </c>
      <c r="Q433">
        <f t="shared" si="976"/>
        <v>-9206131.0905660484</v>
      </c>
      <c r="R433">
        <f t="shared" si="977"/>
        <v>-232322598.13260728</v>
      </c>
      <c r="S433">
        <f t="shared" si="978"/>
        <v>-2323.225981326073</v>
      </c>
      <c r="T433">
        <f t="shared" si="979"/>
        <v>-2.3232259813260732</v>
      </c>
    </row>
    <row r="434" spans="1:20" x14ac:dyDescent="0.25">
      <c r="A434" s="5">
        <v>44159</v>
      </c>
      <c r="B434">
        <v>2.351E-2</v>
      </c>
      <c r="C434">
        <v>2.699E-2</v>
      </c>
      <c r="D434">
        <v>2.3400000000000001E-2</v>
      </c>
      <c r="E434">
        <v>2.6169999999999999E-2</v>
      </c>
      <c r="F434">
        <v>28697151.800000001</v>
      </c>
      <c r="G434">
        <v>0</v>
      </c>
      <c r="L434" t="s">
        <v>8</v>
      </c>
      <c r="M434" t="s">
        <v>8</v>
      </c>
      <c r="N434" t="s">
        <v>8</v>
      </c>
      <c r="P434">
        <f t="shared" si="975"/>
        <v>0.5431754874651803</v>
      </c>
      <c r="Q434">
        <f t="shared" si="976"/>
        <v>15587589.417827277</v>
      </c>
      <c r="R434">
        <f t="shared" si="977"/>
        <v>-223116467.04204124</v>
      </c>
      <c r="S434">
        <f t="shared" si="978"/>
        <v>-2231.1646704204122</v>
      </c>
      <c r="T434">
        <f t="shared" si="979"/>
        <v>-2.2311646704204122</v>
      </c>
    </row>
    <row r="435" spans="1:20" x14ac:dyDescent="0.25">
      <c r="A435" s="5">
        <v>44158</v>
      </c>
      <c r="B435">
        <v>2.2540000000000001E-2</v>
      </c>
      <c r="C435">
        <v>2.3869999999999999E-2</v>
      </c>
      <c r="D435">
        <v>2.147E-2</v>
      </c>
      <c r="E435">
        <v>2.3640000000000001E-2</v>
      </c>
      <c r="F435">
        <v>17817101.100000001</v>
      </c>
      <c r="G435">
        <v>0</v>
      </c>
      <c r="L435" t="s">
        <v>8</v>
      </c>
      <c r="M435" t="s">
        <v>7</v>
      </c>
      <c r="N435" t="s">
        <v>8</v>
      </c>
      <c r="P435">
        <f t="shared" si="975"/>
        <v>0.80833333333333535</v>
      </c>
      <c r="Q435">
        <f t="shared" si="976"/>
        <v>14402156.722500037</v>
      </c>
      <c r="R435">
        <f t="shared" si="977"/>
        <v>-238704056.45986852</v>
      </c>
      <c r="S435">
        <f t="shared" si="978"/>
        <v>-2387.0405645986853</v>
      </c>
      <c r="T435">
        <f t="shared" si="979"/>
        <v>-2.3870405645986854</v>
      </c>
    </row>
    <row r="436" spans="1:20" x14ac:dyDescent="0.25">
      <c r="A436" s="5">
        <v>44157</v>
      </c>
      <c r="B436">
        <v>2.419E-2</v>
      </c>
      <c r="C436">
        <v>2.5870000000000001E-2</v>
      </c>
      <c r="D436">
        <v>2.052E-2</v>
      </c>
      <c r="E436">
        <v>2.273E-2</v>
      </c>
      <c r="F436">
        <v>46531570.899999999</v>
      </c>
      <c r="G436">
        <v>0</v>
      </c>
      <c r="L436" t="s">
        <v>7</v>
      </c>
      <c r="M436" t="s">
        <v>7</v>
      </c>
      <c r="N436" t="s">
        <v>8</v>
      </c>
      <c r="P436">
        <f t="shared" si="975"/>
        <v>-0.17383177570093461</v>
      </c>
      <c r="Q436">
        <f t="shared" si="976"/>
        <v>-8088665.5957009355</v>
      </c>
      <c r="R436">
        <f t="shared" si="977"/>
        <v>-253106213.18236855</v>
      </c>
      <c r="S436">
        <f t="shared" si="978"/>
        <v>-2531.0621318236854</v>
      </c>
      <c r="T436">
        <f t="shared" si="979"/>
        <v>-2.5310621318236852</v>
      </c>
    </row>
    <row r="437" spans="1:20" x14ac:dyDescent="0.25">
      <c r="A437" s="5">
        <v>44156</v>
      </c>
      <c r="B437">
        <v>1.9029999999999998E-2</v>
      </c>
      <c r="C437">
        <v>2.784E-2</v>
      </c>
      <c r="D437">
        <v>1.9009999999999999E-2</v>
      </c>
      <c r="E437">
        <v>2.409E-2</v>
      </c>
      <c r="F437">
        <v>96029556.400000006</v>
      </c>
      <c r="G437">
        <v>0</v>
      </c>
      <c r="L437" t="s">
        <v>8</v>
      </c>
      <c r="M437" t="s">
        <v>8</v>
      </c>
      <c r="N437" t="s">
        <v>8</v>
      </c>
      <c r="P437">
        <f t="shared" si="975"/>
        <v>0.15062287655719153</v>
      </c>
      <c r="Q437">
        <f t="shared" si="976"/>
        <v>14464248.019479062</v>
      </c>
      <c r="R437">
        <f t="shared" si="977"/>
        <v>-245017547.5866676</v>
      </c>
      <c r="S437">
        <f t="shared" si="978"/>
        <v>-2450.1754758666762</v>
      </c>
      <c r="T437">
        <f t="shared" si="979"/>
        <v>-2.4501754758666761</v>
      </c>
    </row>
    <row r="438" spans="1:20" x14ac:dyDescent="0.25">
      <c r="A438" s="5">
        <v>44155</v>
      </c>
      <c r="B438">
        <v>1.8370000000000001E-2</v>
      </c>
      <c r="C438">
        <v>1.9519999999999999E-2</v>
      </c>
      <c r="D438">
        <v>1.831E-2</v>
      </c>
      <c r="E438">
        <v>1.9E-2</v>
      </c>
      <c r="F438">
        <v>16558842.5</v>
      </c>
      <c r="G438">
        <v>0</v>
      </c>
      <c r="L438" t="s">
        <v>8</v>
      </c>
      <c r="M438" t="s">
        <v>8</v>
      </c>
      <c r="N438" t="s">
        <v>7</v>
      </c>
      <c r="P438">
        <f t="shared" si="975"/>
        <v>0.14049586776859513</v>
      </c>
      <c r="Q438">
        <f t="shared" si="976"/>
        <v>2326448.9462809931</v>
      </c>
      <c r="R438">
        <f t="shared" si="977"/>
        <v>-259481795.60614666</v>
      </c>
      <c r="S438">
        <f t="shared" si="978"/>
        <v>-2594.8179560614667</v>
      </c>
      <c r="T438">
        <f t="shared" si="979"/>
        <v>-2.5948179560614668</v>
      </c>
    </row>
    <row r="439" spans="1:20" x14ac:dyDescent="0.25">
      <c r="A439" s="5">
        <v>44154</v>
      </c>
      <c r="B439">
        <v>1.8380000000000001E-2</v>
      </c>
      <c r="C439">
        <v>1.864E-2</v>
      </c>
      <c r="D439">
        <v>1.8110000000000001E-2</v>
      </c>
      <c r="E439">
        <v>1.8360000000000001E-2</v>
      </c>
      <c r="F439">
        <v>8229931.2999999998</v>
      </c>
      <c r="G439">
        <v>0</v>
      </c>
      <c r="L439" t="s">
        <v>8</v>
      </c>
      <c r="M439" t="s">
        <v>8</v>
      </c>
      <c r="N439" t="s">
        <v>7</v>
      </c>
      <c r="P439">
        <f t="shared" si="975"/>
        <v>-5.6603773584903434E-2</v>
      </c>
      <c r="Q439">
        <f t="shared" si="976"/>
        <v>-465845.16792450997</v>
      </c>
      <c r="R439">
        <f t="shared" si="977"/>
        <v>-261808244.55242765</v>
      </c>
      <c r="S439">
        <f t="shared" si="978"/>
        <v>-2618.0824455242764</v>
      </c>
      <c r="T439">
        <f t="shared" si="979"/>
        <v>-2.6180824455242764</v>
      </c>
    </row>
    <row r="440" spans="1:20" x14ac:dyDescent="0.25">
      <c r="A440" s="5">
        <v>44153</v>
      </c>
      <c r="B440">
        <v>1.89E-2</v>
      </c>
      <c r="C440">
        <v>1.89E-2</v>
      </c>
      <c r="D440">
        <v>1.7999999999999999E-2</v>
      </c>
      <c r="E440">
        <v>1.839E-2</v>
      </c>
      <c r="F440">
        <v>16064026.4</v>
      </c>
      <c r="G440">
        <v>0</v>
      </c>
      <c r="L440" t="s">
        <v>8</v>
      </c>
      <c r="M440" t="s">
        <v>8</v>
      </c>
      <c r="N440" t="s">
        <v>7</v>
      </c>
      <c r="P440">
        <f t="shared" si="975"/>
        <v>-0.13333333333333153</v>
      </c>
      <c r="Q440">
        <f t="shared" si="976"/>
        <v>-2141870.1866666377</v>
      </c>
      <c r="R440">
        <f t="shared" si="977"/>
        <v>-261342399.38450313</v>
      </c>
      <c r="S440">
        <f t="shared" si="978"/>
        <v>-2613.4239938450314</v>
      </c>
      <c r="T440">
        <f t="shared" si="979"/>
        <v>-2.6134239938450312</v>
      </c>
    </row>
    <row r="441" spans="1:20" x14ac:dyDescent="0.25">
      <c r="A441" s="5">
        <v>44152</v>
      </c>
      <c r="B441">
        <v>1.8890000000000001E-2</v>
      </c>
      <c r="C441">
        <v>1.9199999999999998E-2</v>
      </c>
      <c r="D441">
        <v>1.84E-2</v>
      </c>
      <c r="E441">
        <v>1.89E-2</v>
      </c>
      <c r="F441">
        <v>15784796.1</v>
      </c>
      <c r="G441">
        <v>0</v>
      </c>
      <c r="L441" t="s">
        <v>8</v>
      </c>
      <c r="M441" t="s">
        <v>8</v>
      </c>
      <c r="N441" t="s">
        <v>7</v>
      </c>
      <c r="P441">
        <f t="shared" si="975"/>
        <v>0.25000000000000328</v>
      </c>
      <c r="Q441">
        <f t="shared" si="976"/>
        <v>3946199.0250000516</v>
      </c>
      <c r="R441">
        <f t="shared" si="977"/>
        <v>-259200529.19783649</v>
      </c>
      <c r="S441">
        <f t="shared" si="978"/>
        <v>-2592.0052919783648</v>
      </c>
      <c r="T441">
        <f t="shared" si="979"/>
        <v>-2.5920052919783649</v>
      </c>
    </row>
    <row r="442" spans="1:20" x14ac:dyDescent="0.25">
      <c r="A442" s="5">
        <v>44151</v>
      </c>
      <c r="B442">
        <v>1.7999999999999999E-2</v>
      </c>
      <c r="C442">
        <v>1.8960000000000001E-2</v>
      </c>
      <c r="D442">
        <v>1.78E-2</v>
      </c>
      <c r="E442">
        <v>1.891E-2</v>
      </c>
      <c r="F442">
        <v>11917852.800000001</v>
      </c>
      <c r="G442">
        <v>0</v>
      </c>
      <c r="L442" t="s">
        <v>7</v>
      </c>
      <c r="M442" t="s">
        <v>8</v>
      </c>
      <c r="N442" t="s">
        <v>7</v>
      </c>
      <c r="P442">
        <f t="shared" si="975"/>
        <v>0.91379310344827347</v>
      </c>
      <c r="Q442">
        <f t="shared" si="976"/>
        <v>10890451.696551695</v>
      </c>
      <c r="R442">
        <f t="shared" si="977"/>
        <v>-263146728.22283655</v>
      </c>
      <c r="S442">
        <f t="shared" si="978"/>
        <v>-2631.4672822283655</v>
      </c>
      <c r="T442">
        <f t="shared" si="979"/>
        <v>-2.6314672822283653</v>
      </c>
    </row>
    <row r="443" spans="1:20" x14ac:dyDescent="0.25">
      <c r="A443" s="5">
        <v>44150</v>
      </c>
      <c r="B443">
        <v>1.8110000000000001E-2</v>
      </c>
      <c r="C443">
        <v>1.8759999999999999E-2</v>
      </c>
      <c r="D443">
        <v>1.787E-2</v>
      </c>
      <c r="E443">
        <v>1.7989999999999999E-2</v>
      </c>
      <c r="F443">
        <v>10514465.800000001</v>
      </c>
      <c r="G443">
        <v>0</v>
      </c>
      <c r="L443" t="s">
        <v>7</v>
      </c>
      <c r="M443" t="s">
        <v>8</v>
      </c>
      <c r="N443" t="s">
        <v>7</v>
      </c>
      <c r="P443">
        <f t="shared" si="975"/>
        <v>-0.73033707865168807</v>
      </c>
      <c r="Q443">
        <f t="shared" si="976"/>
        <v>-7679104.2359550847</v>
      </c>
      <c r="R443">
        <f t="shared" si="977"/>
        <v>-274037179.91938823</v>
      </c>
      <c r="S443">
        <f t="shared" si="978"/>
        <v>-2740.3717991938825</v>
      </c>
      <c r="T443">
        <f t="shared" si="979"/>
        <v>-2.7403717991938823</v>
      </c>
    </row>
    <row r="444" spans="1:20" x14ac:dyDescent="0.25">
      <c r="A444" s="5">
        <v>44149</v>
      </c>
      <c r="B444">
        <v>1.857E-2</v>
      </c>
      <c r="C444">
        <v>1.865E-2</v>
      </c>
      <c r="D444">
        <v>1.7840000000000002E-2</v>
      </c>
      <c r="E444">
        <v>1.814E-2</v>
      </c>
      <c r="F444">
        <v>9388769.4000000004</v>
      </c>
      <c r="G444">
        <v>0</v>
      </c>
      <c r="L444" t="s">
        <v>7</v>
      </c>
      <c r="M444" t="s">
        <v>8</v>
      </c>
      <c r="N444" t="s">
        <v>7</v>
      </c>
      <c r="P444">
        <f t="shared" si="975"/>
        <v>-0.25925925925926213</v>
      </c>
      <c r="Q444">
        <f t="shared" si="976"/>
        <v>-2434125.4000000269</v>
      </c>
      <c r="R444">
        <f t="shared" si="977"/>
        <v>-266358075.68343315</v>
      </c>
      <c r="S444">
        <f t="shared" si="978"/>
        <v>-2663.5807568343316</v>
      </c>
      <c r="T444">
        <f t="shared" si="979"/>
        <v>-2.6635807568343317</v>
      </c>
    </row>
    <row r="445" spans="1:20" x14ac:dyDescent="0.25">
      <c r="A445" s="5">
        <v>44148</v>
      </c>
      <c r="B445">
        <v>1.8540000000000001E-2</v>
      </c>
      <c r="C445">
        <v>1.9040000000000001E-2</v>
      </c>
      <c r="D445">
        <v>1.823E-2</v>
      </c>
      <c r="E445">
        <v>1.8630000000000001E-2</v>
      </c>
      <c r="F445">
        <v>10211617.6</v>
      </c>
      <c r="G445">
        <v>0</v>
      </c>
      <c r="L445" t="s">
        <v>7</v>
      </c>
      <c r="M445" t="s">
        <v>8</v>
      </c>
      <c r="N445" t="s">
        <v>7</v>
      </c>
      <c r="P445">
        <f t="shared" si="975"/>
        <v>-1.2345679012345151E-2</v>
      </c>
      <c r="Q445">
        <f t="shared" si="976"/>
        <v>-126069.35308641435</v>
      </c>
      <c r="R445">
        <f t="shared" si="977"/>
        <v>-263923950.28343311</v>
      </c>
      <c r="S445">
        <f t="shared" si="978"/>
        <v>-2639.2395028343312</v>
      </c>
      <c r="T445">
        <f t="shared" si="979"/>
        <v>-2.6392395028343314</v>
      </c>
    </row>
    <row r="446" spans="1:20" x14ac:dyDescent="0.25">
      <c r="A446" s="5">
        <v>44147</v>
      </c>
      <c r="B446">
        <v>1.8970000000000001E-2</v>
      </c>
      <c r="C446">
        <v>1.8970000000000001E-2</v>
      </c>
      <c r="D446">
        <v>1.8190000000000001E-2</v>
      </c>
      <c r="E446">
        <v>1.8440000000000002E-2</v>
      </c>
      <c r="F446">
        <v>15853206.1</v>
      </c>
      <c r="G446">
        <v>0</v>
      </c>
      <c r="L446" t="s">
        <v>7</v>
      </c>
      <c r="M446" t="s">
        <v>8</v>
      </c>
      <c r="N446" t="s">
        <v>7</v>
      </c>
      <c r="P446">
        <f t="shared" si="975"/>
        <v>-0.35897435897435792</v>
      </c>
      <c r="Q446">
        <f t="shared" si="976"/>
        <v>-5690894.4974358808</v>
      </c>
      <c r="R446">
        <f t="shared" si="977"/>
        <v>-263797880.9303467</v>
      </c>
      <c r="S446">
        <f t="shared" si="978"/>
        <v>-2637.9788093034672</v>
      </c>
      <c r="T446">
        <f t="shared" si="979"/>
        <v>-2.6379788093034673</v>
      </c>
    </row>
    <row r="447" spans="1:20" x14ac:dyDescent="0.25">
      <c r="A447" s="5">
        <v>44146</v>
      </c>
      <c r="B447">
        <v>1.9109999999999999E-2</v>
      </c>
      <c r="C447">
        <v>1.9859999999999999E-2</v>
      </c>
      <c r="D447">
        <v>1.8919999999999999E-2</v>
      </c>
      <c r="E447">
        <v>1.9009999999999999E-2</v>
      </c>
      <c r="F447">
        <v>11359625.699999999</v>
      </c>
      <c r="G447">
        <v>0</v>
      </c>
      <c r="L447" t="s">
        <v>8</v>
      </c>
      <c r="M447" t="s">
        <v>8</v>
      </c>
      <c r="N447" t="s">
        <v>7</v>
      </c>
      <c r="P447">
        <f t="shared" si="975"/>
        <v>-0.80851063829787273</v>
      </c>
      <c r="Q447">
        <f t="shared" si="976"/>
        <v>-9184378.2255319189</v>
      </c>
      <c r="R447">
        <f t="shared" si="977"/>
        <v>-258106986.43291083</v>
      </c>
      <c r="S447">
        <f t="shared" si="978"/>
        <v>-2581.0698643291084</v>
      </c>
      <c r="T447">
        <f t="shared" si="979"/>
        <v>-2.5810698643291086</v>
      </c>
    </row>
    <row r="448" spans="1:20" x14ac:dyDescent="0.25">
      <c r="A448" s="5">
        <v>44145</v>
      </c>
      <c r="B448">
        <v>1.8620000000000001E-2</v>
      </c>
      <c r="C448">
        <v>1.9259999999999999E-2</v>
      </c>
      <c r="D448">
        <v>1.8159999999999999E-2</v>
      </c>
      <c r="E448">
        <v>1.9130000000000001E-2</v>
      </c>
      <c r="F448">
        <v>16358291.9</v>
      </c>
      <c r="G448">
        <v>0</v>
      </c>
      <c r="L448" t="s">
        <v>8</v>
      </c>
      <c r="M448" t="s">
        <v>8</v>
      </c>
      <c r="N448" t="s">
        <v>7</v>
      </c>
      <c r="P448">
        <f t="shared" si="975"/>
        <v>0.763636363636367</v>
      </c>
      <c r="Q448">
        <f t="shared" si="976"/>
        <v>12491786.541818237</v>
      </c>
      <c r="R448">
        <f t="shared" si="977"/>
        <v>-248922608.20737892</v>
      </c>
      <c r="S448">
        <f t="shared" si="978"/>
        <v>-2489.2260820737893</v>
      </c>
      <c r="T448">
        <f t="shared" si="979"/>
        <v>-2.489226082073789</v>
      </c>
    </row>
    <row r="449" spans="1:20" x14ac:dyDescent="0.25">
      <c r="A449" s="5">
        <v>44144</v>
      </c>
      <c r="B449">
        <v>1.8259999999999998E-2</v>
      </c>
      <c r="C449">
        <v>1.9220000000000001E-2</v>
      </c>
      <c r="D449">
        <v>1.772E-2</v>
      </c>
      <c r="E449">
        <v>1.8620000000000001E-2</v>
      </c>
      <c r="F449">
        <v>12352176.699999999</v>
      </c>
      <c r="G449">
        <v>0</v>
      </c>
      <c r="L449" t="s">
        <v>8</v>
      </c>
      <c r="M449" t="s">
        <v>8</v>
      </c>
      <c r="N449" t="s">
        <v>7</v>
      </c>
      <c r="P449">
        <f t="shared" si="975"/>
        <v>0.20000000000000093</v>
      </c>
      <c r="Q449">
        <f t="shared" si="976"/>
        <v>2470435.3400000115</v>
      </c>
      <c r="R449">
        <f t="shared" si="977"/>
        <v>-261414394.74919716</v>
      </c>
      <c r="S449">
        <f t="shared" si="978"/>
        <v>-2614.1439474919716</v>
      </c>
      <c r="T449">
        <f t="shared" si="979"/>
        <v>-2.6141439474919714</v>
      </c>
    </row>
    <row r="450" spans="1:20" x14ac:dyDescent="0.25">
      <c r="A450" s="5">
        <v>44143</v>
      </c>
      <c r="B450">
        <v>1.7909999999999999E-2</v>
      </c>
      <c r="C450">
        <v>1.883E-2</v>
      </c>
      <c r="D450">
        <v>1.787E-2</v>
      </c>
      <c r="E450">
        <v>1.8249999999999999E-2</v>
      </c>
      <c r="F450">
        <v>7225246.0999999996</v>
      </c>
      <c r="G450">
        <v>0</v>
      </c>
      <c r="L450" t="s">
        <v>7</v>
      </c>
      <c r="M450" t="s">
        <v>8</v>
      </c>
      <c r="N450" t="s">
        <v>7</v>
      </c>
      <c r="P450">
        <f t="shared" si="975"/>
        <v>-0.2083333333333359</v>
      </c>
      <c r="Q450">
        <f t="shared" si="976"/>
        <v>-1505259.6041666851</v>
      </c>
      <c r="R450">
        <f t="shared" si="977"/>
        <v>-263884830.08919716</v>
      </c>
      <c r="S450">
        <f t="shared" si="978"/>
        <v>-2638.8483008919716</v>
      </c>
      <c r="T450">
        <f t="shared" si="979"/>
        <v>-2.6388483008919716</v>
      </c>
    </row>
    <row r="451" spans="1:20" x14ac:dyDescent="0.25">
      <c r="A451" s="5">
        <v>44142</v>
      </c>
      <c r="B451">
        <v>1.9439999999999999E-2</v>
      </c>
      <c r="C451">
        <v>1.975E-2</v>
      </c>
      <c r="D451">
        <v>1.77E-2</v>
      </c>
      <c r="E451">
        <v>1.797E-2</v>
      </c>
      <c r="F451">
        <v>14761074.4</v>
      </c>
      <c r="G451">
        <v>0</v>
      </c>
      <c r="L451" t="s">
        <v>7</v>
      </c>
      <c r="M451" t="s">
        <v>8</v>
      </c>
      <c r="N451" t="s">
        <v>7</v>
      </c>
      <c r="P451">
        <f t="shared" si="975"/>
        <v>-0.73658536585365908</v>
      </c>
      <c r="Q451">
        <f t="shared" si="976"/>
        <v>-10872791.387317082</v>
      </c>
      <c r="R451">
        <f t="shared" si="977"/>
        <v>-262379570.48503047</v>
      </c>
      <c r="S451">
        <f t="shared" si="978"/>
        <v>-2623.7957048503049</v>
      </c>
      <c r="T451">
        <f t="shared" si="979"/>
        <v>-2.6237957048503051</v>
      </c>
    </row>
    <row r="452" spans="1:20" x14ac:dyDescent="0.25">
      <c r="A452" s="5">
        <v>44141</v>
      </c>
      <c r="B452">
        <v>1.7000000000000001E-2</v>
      </c>
      <c r="C452">
        <v>2.0049999999999998E-2</v>
      </c>
      <c r="D452">
        <v>1.6910000000000001E-2</v>
      </c>
      <c r="E452">
        <v>1.9359999999999999E-2</v>
      </c>
      <c r="F452">
        <v>29761090.300000001</v>
      </c>
      <c r="G452">
        <v>0</v>
      </c>
      <c r="L452" t="s">
        <v>8</v>
      </c>
      <c r="M452" t="s">
        <v>8</v>
      </c>
      <c r="N452" t="s">
        <v>7</v>
      </c>
      <c r="P452">
        <f t="shared" si="975"/>
        <v>0.56050955414012715</v>
      </c>
      <c r="Q452">
        <f t="shared" si="976"/>
        <v>16681375.454777064</v>
      </c>
      <c r="R452">
        <f t="shared" si="977"/>
        <v>-251506779.09771338</v>
      </c>
      <c r="S452">
        <f t="shared" si="978"/>
        <v>-2515.0677909771339</v>
      </c>
      <c r="T452">
        <f t="shared" si="979"/>
        <v>-2.5150677909771337</v>
      </c>
    </row>
    <row r="453" spans="1:20" x14ac:dyDescent="0.25">
      <c r="A453" s="5">
        <v>44140</v>
      </c>
      <c r="B453">
        <v>1.5350000000000001E-2</v>
      </c>
      <c r="C453">
        <v>1.8069999999999999E-2</v>
      </c>
      <c r="D453">
        <v>1.504E-2</v>
      </c>
      <c r="E453">
        <v>1.6979999999999999E-2</v>
      </c>
      <c r="F453">
        <v>25712266.600000001</v>
      </c>
      <c r="G453">
        <v>0</v>
      </c>
      <c r="L453" t="s">
        <v>8</v>
      </c>
      <c r="M453" t="s">
        <v>8</v>
      </c>
      <c r="N453" t="s">
        <v>7</v>
      </c>
      <c r="P453">
        <f t="shared" si="975"/>
        <v>0.28052805280527998</v>
      </c>
      <c r="Q453">
        <f t="shared" si="976"/>
        <v>7213012.0825082371</v>
      </c>
      <c r="R453">
        <f t="shared" si="977"/>
        <v>-268188154.55249044</v>
      </c>
      <c r="S453">
        <f t="shared" si="978"/>
        <v>-2681.8815455249046</v>
      </c>
      <c r="T453">
        <f t="shared" si="979"/>
        <v>-2.6818815455249045</v>
      </c>
    </row>
    <row r="454" spans="1:20" x14ac:dyDescent="0.25">
      <c r="A454" s="5">
        <v>44139</v>
      </c>
      <c r="B454">
        <v>1.516E-2</v>
      </c>
      <c r="C454">
        <v>1.5559999999999999E-2</v>
      </c>
      <c r="D454">
        <v>1.4760000000000001E-2</v>
      </c>
      <c r="E454">
        <v>1.5339999999999999E-2</v>
      </c>
      <c r="F454">
        <v>8842558.8000000007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80">IF(C454=D454,0,((E454-D454)-(C454-E454))/(C454-D454))</f>
        <v>0.44999999999999979</v>
      </c>
      <c r="Q454">
        <f t="shared" ref="Q454:Q517" si="981">F454*P454</f>
        <v>3979151.4599999986</v>
      </c>
      <c r="R454">
        <f t="shared" ref="R454:R517" si="982">R455+Q454</f>
        <v>-275401166.63499868</v>
      </c>
      <c r="S454">
        <f t="shared" ref="S454:S517" si="983">R454/100000</f>
        <v>-2754.0116663499866</v>
      </c>
      <c r="T454">
        <f t="shared" ref="T454:T517" si="984">S454/1000</f>
        <v>-2.7540116663499865</v>
      </c>
    </row>
    <row r="455" spans="1:20" x14ac:dyDescent="0.25">
      <c r="A455" s="5">
        <v>44138</v>
      </c>
      <c r="B455">
        <v>1.6109999999999999E-2</v>
      </c>
      <c r="C455">
        <v>1.6209999999999999E-2</v>
      </c>
      <c r="D455">
        <v>1.4069999999999999E-2</v>
      </c>
      <c r="E455">
        <v>1.511E-2</v>
      </c>
      <c r="F455">
        <v>17170825.600000001</v>
      </c>
      <c r="G455">
        <v>0</v>
      </c>
      <c r="L455" t="s">
        <v>7</v>
      </c>
      <c r="M455" t="s">
        <v>7</v>
      </c>
      <c r="N455" t="s">
        <v>7</v>
      </c>
      <c r="P455">
        <f t="shared" si="980"/>
        <v>-2.8037383177568959E-2</v>
      </c>
      <c r="Q455">
        <f t="shared" si="981"/>
        <v>-481425.01682241046</v>
      </c>
      <c r="R455">
        <f t="shared" si="982"/>
        <v>-279380318.09499866</v>
      </c>
      <c r="S455">
        <f t="shared" si="983"/>
        <v>-2793.8031809499867</v>
      </c>
      <c r="T455">
        <f t="shared" si="984"/>
        <v>-2.7938031809499866</v>
      </c>
    </row>
    <row r="456" spans="1:20" x14ac:dyDescent="0.25">
      <c r="A456" s="5">
        <v>44137</v>
      </c>
      <c r="B456">
        <v>1.7129999999999999E-2</v>
      </c>
      <c r="C456">
        <v>1.7260000000000001E-2</v>
      </c>
      <c r="D456">
        <v>1.601E-2</v>
      </c>
      <c r="E456">
        <v>1.6160000000000001E-2</v>
      </c>
      <c r="F456">
        <v>6553178.5999999996</v>
      </c>
      <c r="G456">
        <v>0</v>
      </c>
      <c r="L456" t="s">
        <v>7</v>
      </c>
      <c r="M456" t="s">
        <v>7</v>
      </c>
      <c r="N456" t="s">
        <v>7</v>
      </c>
      <c r="P456">
        <f t="shared" si="980"/>
        <v>-0.7599999999999989</v>
      </c>
      <c r="Q456">
        <f t="shared" si="981"/>
        <v>-4980415.7359999921</v>
      </c>
      <c r="R456">
        <f t="shared" si="982"/>
        <v>-278898893.07817626</v>
      </c>
      <c r="S456">
        <f t="shared" si="983"/>
        <v>-2788.9889307817625</v>
      </c>
      <c r="T456">
        <f t="shared" si="984"/>
        <v>-2.7889889307817626</v>
      </c>
    </row>
    <row r="457" spans="1:20" x14ac:dyDescent="0.25">
      <c r="A457" s="5">
        <v>44136</v>
      </c>
      <c r="B457">
        <v>1.6750000000000001E-2</v>
      </c>
      <c r="C457">
        <v>1.7299999999999999E-2</v>
      </c>
      <c r="D457">
        <v>1.6740000000000001E-2</v>
      </c>
      <c r="E457">
        <v>1.7090000000000001E-2</v>
      </c>
      <c r="F457">
        <v>3473803</v>
      </c>
      <c r="G457">
        <v>0</v>
      </c>
      <c r="L457" t="s">
        <v>7</v>
      </c>
      <c r="M457" t="s">
        <v>7</v>
      </c>
      <c r="N457" t="s">
        <v>7</v>
      </c>
      <c r="P457">
        <f t="shared" si="980"/>
        <v>0.25000000000000311</v>
      </c>
      <c r="Q457">
        <f t="shared" si="981"/>
        <v>868450.75000001083</v>
      </c>
      <c r="R457">
        <f t="shared" si="982"/>
        <v>-273918477.34217626</v>
      </c>
      <c r="S457">
        <f t="shared" si="983"/>
        <v>-2739.1847734217627</v>
      </c>
      <c r="T457">
        <f t="shared" si="984"/>
        <v>-2.7391847734217625</v>
      </c>
    </row>
    <row r="458" spans="1:20" x14ac:dyDescent="0.25">
      <c r="A458" s="5">
        <v>44135</v>
      </c>
      <c r="B458">
        <v>1.6879999999999999E-2</v>
      </c>
      <c r="C458">
        <v>1.728E-2</v>
      </c>
      <c r="D458">
        <v>1.6719999999999999E-2</v>
      </c>
      <c r="E458">
        <v>1.678E-2</v>
      </c>
      <c r="F458">
        <v>3965897.6</v>
      </c>
      <c r="G458">
        <v>0</v>
      </c>
      <c r="L458" t="s">
        <v>7</v>
      </c>
      <c r="M458" t="s">
        <v>7</v>
      </c>
      <c r="N458" t="s">
        <v>7</v>
      </c>
      <c r="P458">
        <f t="shared" si="980"/>
        <v>-0.78571428571428259</v>
      </c>
      <c r="Q458">
        <f t="shared" si="981"/>
        <v>-3116062.3999999878</v>
      </c>
      <c r="R458">
        <f t="shared" si="982"/>
        <v>-274786928.09217626</v>
      </c>
      <c r="S458">
        <f t="shared" si="983"/>
        <v>-2747.8692809217628</v>
      </c>
      <c r="T458">
        <f t="shared" si="984"/>
        <v>-2.7478692809217629</v>
      </c>
    </row>
    <row r="459" spans="1:20" x14ac:dyDescent="0.25">
      <c r="A459" s="5">
        <v>44134</v>
      </c>
      <c r="B459">
        <v>1.7049999999999999E-2</v>
      </c>
      <c r="C459">
        <v>1.7239999999999998E-2</v>
      </c>
      <c r="D459">
        <v>1.6480000000000002E-2</v>
      </c>
      <c r="E459">
        <v>1.6879999999999999E-2</v>
      </c>
      <c r="F459">
        <v>5445841.0999999996</v>
      </c>
      <c r="G459">
        <v>0</v>
      </c>
      <c r="L459" t="s">
        <v>7</v>
      </c>
      <c r="M459" t="s">
        <v>7</v>
      </c>
      <c r="N459" t="s">
        <v>7</v>
      </c>
      <c r="P459">
        <f t="shared" si="980"/>
        <v>5.2631578947366496E-2</v>
      </c>
      <c r="Q459">
        <f t="shared" si="981"/>
        <v>286623.2157894632</v>
      </c>
      <c r="R459">
        <f t="shared" si="982"/>
        <v>-271670865.69217628</v>
      </c>
      <c r="S459">
        <f t="shared" si="983"/>
        <v>-2716.7086569217627</v>
      </c>
      <c r="T459">
        <f t="shared" si="984"/>
        <v>-2.7167086569217629</v>
      </c>
    </row>
    <row r="460" spans="1:20" x14ac:dyDescent="0.25">
      <c r="A460" s="5">
        <v>44133</v>
      </c>
      <c r="B460">
        <v>1.7149999999999999E-2</v>
      </c>
      <c r="C460">
        <v>1.7569999999999999E-2</v>
      </c>
      <c r="D460">
        <v>1.687E-2</v>
      </c>
      <c r="E460">
        <v>1.7059999999999999E-2</v>
      </c>
      <c r="F460">
        <v>7657284.7000000002</v>
      </c>
      <c r="G460">
        <v>0</v>
      </c>
      <c r="L460" t="s">
        <v>7</v>
      </c>
      <c r="M460" t="s">
        <v>7</v>
      </c>
      <c r="N460" t="s">
        <v>7</v>
      </c>
      <c r="P460">
        <f t="shared" si="980"/>
        <v>-0.45714285714285885</v>
      </c>
      <c r="Q460">
        <f t="shared" si="981"/>
        <v>-3500473.0057142987</v>
      </c>
      <c r="R460">
        <f t="shared" si="982"/>
        <v>-271957488.90796572</v>
      </c>
      <c r="S460">
        <f t="shared" si="983"/>
        <v>-2719.5748890796572</v>
      </c>
      <c r="T460">
        <f t="shared" si="984"/>
        <v>-2.7195748890796572</v>
      </c>
    </row>
    <row r="461" spans="1:20" x14ac:dyDescent="0.25">
      <c r="A461" s="5">
        <v>44132</v>
      </c>
      <c r="B461">
        <v>1.84E-2</v>
      </c>
      <c r="C461">
        <v>1.8579999999999999E-2</v>
      </c>
      <c r="D461">
        <v>1.7080000000000001E-2</v>
      </c>
      <c r="E461">
        <v>1.7170000000000001E-2</v>
      </c>
      <c r="F461">
        <v>7643461.5999999996</v>
      </c>
      <c r="G461">
        <v>0</v>
      </c>
      <c r="L461" t="s">
        <v>7</v>
      </c>
      <c r="M461" t="s">
        <v>7</v>
      </c>
      <c r="N461" t="s">
        <v>7</v>
      </c>
      <c r="P461">
        <f t="shared" si="980"/>
        <v>-0.88000000000000012</v>
      </c>
      <c r="Q461">
        <f t="shared" si="981"/>
        <v>-6726246.2080000006</v>
      </c>
      <c r="R461">
        <f t="shared" si="982"/>
        <v>-268457015.90225142</v>
      </c>
      <c r="S461">
        <f t="shared" si="983"/>
        <v>-2684.5701590225144</v>
      </c>
      <c r="T461">
        <f t="shared" si="984"/>
        <v>-2.6845701590225146</v>
      </c>
    </row>
    <row r="462" spans="1:20" x14ac:dyDescent="0.25">
      <c r="A462" s="5">
        <v>44131</v>
      </c>
      <c r="B462">
        <v>1.8689999999999998E-2</v>
      </c>
      <c r="C462">
        <v>1.8689999999999998E-2</v>
      </c>
      <c r="D462">
        <v>1.8200000000000001E-2</v>
      </c>
      <c r="E462">
        <v>1.84E-2</v>
      </c>
      <c r="F462">
        <v>6954149.7999999998</v>
      </c>
      <c r="G462">
        <v>0</v>
      </c>
      <c r="L462" t="s">
        <v>7</v>
      </c>
      <c r="M462" t="s">
        <v>7</v>
      </c>
      <c r="N462" t="s">
        <v>7</v>
      </c>
      <c r="P462">
        <f t="shared" si="980"/>
        <v>-0.18367346938775567</v>
      </c>
      <c r="Q462">
        <f t="shared" si="981"/>
        <v>-1277292.8204081671</v>
      </c>
      <c r="R462">
        <f t="shared" si="982"/>
        <v>-261730769.69425145</v>
      </c>
      <c r="S462">
        <f t="shared" si="983"/>
        <v>-2617.3076969425147</v>
      </c>
      <c r="T462">
        <f t="shared" si="984"/>
        <v>-2.6173076969425146</v>
      </c>
    </row>
    <row r="463" spans="1:20" x14ac:dyDescent="0.25">
      <c r="A463" s="5">
        <v>44130</v>
      </c>
      <c r="B463">
        <v>1.8839999999999999E-2</v>
      </c>
      <c r="C463">
        <v>1.9029999999999998E-2</v>
      </c>
      <c r="D463">
        <v>1.8519999999999998E-2</v>
      </c>
      <c r="E463">
        <v>1.8689999999999998E-2</v>
      </c>
      <c r="F463">
        <v>5731656.4000000004</v>
      </c>
      <c r="G463">
        <v>0</v>
      </c>
      <c r="L463" t="s">
        <v>7</v>
      </c>
      <c r="M463" t="s">
        <v>7</v>
      </c>
      <c r="N463" t="s">
        <v>7</v>
      </c>
      <c r="P463">
        <f t="shared" si="980"/>
        <v>-0.33333333333333331</v>
      </c>
      <c r="Q463">
        <f t="shared" si="981"/>
        <v>-1910552.1333333333</v>
      </c>
      <c r="R463">
        <f t="shared" si="982"/>
        <v>-260453476.87384328</v>
      </c>
      <c r="S463">
        <f t="shared" si="983"/>
        <v>-2604.5347687384328</v>
      </c>
      <c r="T463">
        <f t="shared" si="984"/>
        <v>-2.604534768738433</v>
      </c>
    </row>
    <row r="464" spans="1:20" x14ac:dyDescent="0.25">
      <c r="A464" s="5">
        <v>44129</v>
      </c>
      <c r="B464">
        <v>1.8720000000000001E-2</v>
      </c>
      <c r="C464">
        <v>1.9300000000000001E-2</v>
      </c>
      <c r="D464">
        <v>1.856E-2</v>
      </c>
      <c r="E464">
        <v>1.883E-2</v>
      </c>
      <c r="F464">
        <v>4953163.5</v>
      </c>
      <c r="G464">
        <v>0</v>
      </c>
      <c r="L464" t="s">
        <v>7</v>
      </c>
      <c r="M464" t="s">
        <v>7</v>
      </c>
      <c r="N464" t="s">
        <v>7</v>
      </c>
      <c r="P464">
        <f t="shared" si="980"/>
        <v>-0.27027027027027295</v>
      </c>
      <c r="Q464">
        <f t="shared" si="981"/>
        <v>-1338692.8378378511</v>
      </c>
      <c r="R464">
        <f t="shared" si="982"/>
        <v>-258542924.74050996</v>
      </c>
      <c r="S464">
        <f t="shared" si="983"/>
        <v>-2585.4292474050994</v>
      </c>
      <c r="T464">
        <f t="shared" si="984"/>
        <v>-2.5854292474050995</v>
      </c>
    </row>
    <row r="465" spans="1:20" x14ac:dyDescent="0.25">
      <c r="A465" s="5">
        <v>44128</v>
      </c>
      <c r="B465">
        <v>1.917E-2</v>
      </c>
      <c r="C465">
        <v>1.9400000000000001E-2</v>
      </c>
      <c r="D465">
        <v>1.8669999999999999E-2</v>
      </c>
      <c r="E465">
        <v>1.8720000000000001E-2</v>
      </c>
      <c r="F465">
        <v>8456933.1999999993</v>
      </c>
      <c r="G465">
        <v>0</v>
      </c>
      <c r="L465" t="s">
        <v>7</v>
      </c>
      <c r="M465" t="s">
        <v>7</v>
      </c>
      <c r="N465" t="s">
        <v>7</v>
      </c>
      <c r="P465">
        <f t="shared" si="980"/>
        <v>-0.86301369863013333</v>
      </c>
      <c r="Q465">
        <f t="shared" si="981"/>
        <v>-7298449.1999999685</v>
      </c>
      <c r="R465">
        <f t="shared" si="982"/>
        <v>-257204231.90267211</v>
      </c>
      <c r="S465">
        <f t="shared" si="983"/>
        <v>-2572.0423190267211</v>
      </c>
      <c r="T465">
        <f t="shared" si="984"/>
        <v>-2.5720423190267212</v>
      </c>
    </row>
    <row r="466" spans="1:20" x14ac:dyDescent="0.25">
      <c r="A466" s="5">
        <v>44127</v>
      </c>
      <c r="B466">
        <v>1.9640000000000001E-2</v>
      </c>
      <c r="C466">
        <v>1.9699999999999999E-2</v>
      </c>
      <c r="D466">
        <v>1.89E-2</v>
      </c>
      <c r="E466">
        <v>1.917E-2</v>
      </c>
      <c r="F466">
        <v>5545327.0999999996</v>
      </c>
      <c r="G466">
        <v>0</v>
      </c>
      <c r="L466" t="s">
        <v>8</v>
      </c>
      <c r="M466" t="s">
        <v>7</v>
      </c>
      <c r="N466" t="s">
        <v>7</v>
      </c>
      <c r="P466">
        <f t="shared" si="980"/>
        <v>-0.32500000000000034</v>
      </c>
      <c r="Q466">
        <f t="shared" si="981"/>
        <v>-1802231.3075000017</v>
      </c>
      <c r="R466">
        <f t="shared" si="982"/>
        <v>-249905782.70267215</v>
      </c>
      <c r="S466">
        <f t="shared" si="983"/>
        <v>-2499.0578270267215</v>
      </c>
      <c r="T466">
        <f t="shared" si="984"/>
        <v>-2.4990578270267214</v>
      </c>
    </row>
    <row r="467" spans="1:20" x14ac:dyDescent="0.25">
      <c r="A467" s="5">
        <v>44126</v>
      </c>
      <c r="B467">
        <v>1.8669999999999999E-2</v>
      </c>
      <c r="C467">
        <v>2.0199999999999999E-2</v>
      </c>
      <c r="D467">
        <v>1.865E-2</v>
      </c>
      <c r="E467">
        <v>1.9640000000000001E-2</v>
      </c>
      <c r="F467">
        <v>9098832.9000000004</v>
      </c>
      <c r="G467">
        <v>0</v>
      </c>
      <c r="L467" t="s">
        <v>8</v>
      </c>
      <c r="M467" t="s">
        <v>7</v>
      </c>
      <c r="N467" t="s">
        <v>7</v>
      </c>
      <c r="P467">
        <f t="shared" si="980"/>
        <v>0.27741935483871194</v>
      </c>
      <c r="Q467">
        <f t="shared" si="981"/>
        <v>2524192.3529032464</v>
      </c>
      <c r="R467">
        <f t="shared" si="982"/>
        <v>-248103551.39517215</v>
      </c>
      <c r="S467">
        <f t="shared" si="983"/>
        <v>-2481.0355139517214</v>
      </c>
      <c r="T467">
        <f t="shared" si="984"/>
        <v>-2.4810355139517215</v>
      </c>
    </row>
    <row r="468" spans="1:20" x14ac:dyDescent="0.25">
      <c r="A468" s="5">
        <v>44125</v>
      </c>
      <c r="B468">
        <v>1.8120000000000001E-2</v>
      </c>
      <c r="C468">
        <v>1.908E-2</v>
      </c>
      <c r="D468">
        <v>1.8110000000000001E-2</v>
      </c>
      <c r="E468">
        <v>1.8669999999999999E-2</v>
      </c>
      <c r="F468">
        <v>8966320.5999999996</v>
      </c>
      <c r="G468">
        <v>0</v>
      </c>
      <c r="L468" t="s">
        <v>7</v>
      </c>
      <c r="M468" t="s">
        <v>7</v>
      </c>
      <c r="N468" t="s">
        <v>7</v>
      </c>
      <c r="P468">
        <f t="shared" si="980"/>
        <v>0.15463917525772944</v>
      </c>
      <c r="Q468">
        <f t="shared" si="981"/>
        <v>1386544.4226803896</v>
      </c>
      <c r="R468">
        <f t="shared" si="982"/>
        <v>-250627743.7480754</v>
      </c>
      <c r="S468">
        <f t="shared" si="983"/>
        <v>-2506.2774374807541</v>
      </c>
      <c r="T468">
        <f t="shared" si="984"/>
        <v>-2.5062774374807542</v>
      </c>
    </row>
    <row r="469" spans="1:20" x14ac:dyDescent="0.25">
      <c r="A469" s="5">
        <v>44124</v>
      </c>
      <c r="B469">
        <v>1.9E-2</v>
      </c>
      <c r="C469">
        <v>1.9E-2</v>
      </c>
      <c r="D469">
        <v>1.8069999999999999E-2</v>
      </c>
      <c r="E469">
        <v>1.8149999999999999E-2</v>
      </c>
      <c r="F469">
        <v>5451446.2000000002</v>
      </c>
      <c r="G469">
        <v>0</v>
      </c>
      <c r="L469" t="s">
        <v>7</v>
      </c>
      <c r="M469" t="s">
        <v>7</v>
      </c>
      <c r="N469" t="s">
        <v>7</v>
      </c>
      <c r="P469">
        <f t="shared" si="980"/>
        <v>-0.82795698924731143</v>
      </c>
      <c r="Q469">
        <f t="shared" si="981"/>
        <v>-4513562.9827956967</v>
      </c>
      <c r="R469">
        <f t="shared" si="982"/>
        <v>-252014288.17075577</v>
      </c>
      <c r="S469">
        <f t="shared" si="983"/>
        <v>-2520.1428817075575</v>
      </c>
      <c r="T469">
        <f t="shared" si="984"/>
        <v>-2.5201428817075575</v>
      </c>
    </row>
    <row r="470" spans="1:20" x14ac:dyDescent="0.25">
      <c r="A470" s="5">
        <v>44123</v>
      </c>
      <c r="B470">
        <v>1.8519999999999998E-2</v>
      </c>
      <c r="C470">
        <v>1.9179999999999999E-2</v>
      </c>
      <c r="D470">
        <v>1.8259999999999998E-2</v>
      </c>
      <c r="E470">
        <v>1.9009999999999999E-2</v>
      </c>
      <c r="F470">
        <v>9446920.9000000004</v>
      </c>
      <c r="G470">
        <v>0</v>
      </c>
      <c r="L470" t="s">
        <v>7</v>
      </c>
      <c r="M470" t="s">
        <v>7</v>
      </c>
      <c r="N470" t="s">
        <v>7</v>
      </c>
      <c r="P470">
        <f t="shared" si="980"/>
        <v>0.6304347826086959</v>
      </c>
      <c r="Q470">
        <f t="shared" si="981"/>
        <v>5955667.5239130463</v>
      </c>
      <c r="R470">
        <f t="shared" si="982"/>
        <v>-247500725.18796009</v>
      </c>
      <c r="S470">
        <f t="shared" si="983"/>
        <v>-2475.007251879601</v>
      </c>
      <c r="T470">
        <f t="shared" si="984"/>
        <v>-2.4750072518796009</v>
      </c>
    </row>
    <row r="471" spans="1:20" x14ac:dyDescent="0.25">
      <c r="A471" s="5">
        <v>44122</v>
      </c>
      <c r="B471">
        <v>1.883E-2</v>
      </c>
      <c r="C471">
        <v>1.9259999999999999E-2</v>
      </c>
      <c r="D471">
        <v>1.8450000000000001E-2</v>
      </c>
      <c r="E471">
        <v>1.8519999999999998E-2</v>
      </c>
      <c r="F471">
        <v>15825449.800000001</v>
      </c>
      <c r="G471">
        <v>0</v>
      </c>
      <c r="L471" t="s">
        <v>7</v>
      </c>
      <c r="M471" t="s">
        <v>7</v>
      </c>
      <c r="N471" t="s">
        <v>7</v>
      </c>
      <c r="P471">
        <f t="shared" si="980"/>
        <v>-0.82716049382716716</v>
      </c>
      <c r="Q471">
        <f t="shared" si="981"/>
        <v>-13090186.871605044</v>
      </c>
      <c r="R471">
        <f t="shared" si="982"/>
        <v>-253456392.71187314</v>
      </c>
      <c r="S471">
        <f t="shared" si="983"/>
        <v>-2534.5639271187315</v>
      </c>
      <c r="T471">
        <f t="shared" si="984"/>
        <v>-2.5345639271187315</v>
      </c>
    </row>
    <row r="472" spans="1:20" x14ac:dyDescent="0.25">
      <c r="A472" s="5">
        <v>44121</v>
      </c>
      <c r="B472">
        <v>1.8950000000000002E-2</v>
      </c>
      <c r="C472">
        <v>1.907E-2</v>
      </c>
      <c r="D472">
        <v>1.8780000000000002E-2</v>
      </c>
      <c r="E472">
        <v>1.8839999999999999E-2</v>
      </c>
      <c r="F472">
        <v>7111988</v>
      </c>
      <c r="G472">
        <v>0</v>
      </c>
      <c r="L472" t="s">
        <v>7</v>
      </c>
      <c r="M472" t="s">
        <v>7</v>
      </c>
      <c r="N472" t="s">
        <v>7</v>
      </c>
      <c r="P472">
        <f t="shared" si="980"/>
        <v>-0.58620689655173897</v>
      </c>
      <c r="Q472">
        <f t="shared" si="981"/>
        <v>-4169096.413793209</v>
      </c>
      <c r="R472">
        <f t="shared" si="982"/>
        <v>-240366205.84026811</v>
      </c>
      <c r="S472">
        <f t="shared" si="983"/>
        <v>-2403.6620584026809</v>
      </c>
      <c r="T472">
        <f t="shared" si="984"/>
        <v>-2.4036620584026811</v>
      </c>
    </row>
    <row r="473" spans="1:20" x14ac:dyDescent="0.25">
      <c r="A473" s="5">
        <v>44120</v>
      </c>
      <c r="B473">
        <v>1.983E-2</v>
      </c>
      <c r="C473">
        <v>1.9869999999999999E-2</v>
      </c>
      <c r="D473">
        <v>1.8700000000000001E-2</v>
      </c>
      <c r="E473">
        <v>1.8939999999999999E-2</v>
      </c>
      <c r="F473">
        <v>5948756.7999999998</v>
      </c>
      <c r="G473">
        <v>0</v>
      </c>
      <c r="L473" t="s">
        <v>7</v>
      </c>
      <c r="M473" t="s">
        <v>7</v>
      </c>
      <c r="N473" t="s">
        <v>7</v>
      </c>
      <c r="P473">
        <f t="shared" si="980"/>
        <v>-0.58974358974359364</v>
      </c>
      <c r="Q473">
        <f t="shared" si="981"/>
        <v>-3508241.1897436129</v>
      </c>
      <c r="R473">
        <f t="shared" si="982"/>
        <v>-236197109.4264749</v>
      </c>
      <c r="S473">
        <f t="shared" si="983"/>
        <v>-2361.9710942647489</v>
      </c>
      <c r="T473">
        <f t="shared" si="984"/>
        <v>-2.3619710942647489</v>
      </c>
    </row>
    <row r="474" spans="1:20" x14ac:dyDescent="0.25">
      <c r="A474" s="5">
        <v>44119</v>
      </c>
      <c r="B474">
        <v>1.9230000000000001E-2</v>
      </c>
      <c r="C474">
        <v>2.019E-2</v>
      </c>
      <c r="D474">
        <v>1.8849999999999999E-2</v>
      </c>
      <c r="E474">
        <v>1.9820000000000001E-2</v>
      </c>
      <c r="F474">
        <v>10795979.6</v>
      </c>
      <c r="G474">
        <v>0</v>
      </c>
      <c r="L474" t="s">
        <v>7</v>
      </c>
      <c r="M474" t="s">
        <v>7</v>
      </c>
      <c r="N474" t="s">
        <v>7</v>
      </c>
      <c r="P474">
        <f t="shared" si="980"/>
        <v>0.44776119402985293</v>
      </c>
      <c r="Q474">
        <f t="shared" si="981"/>
        <v>4834020.7164179338</v>
      </c>
      <c r="R474">
        <f t="shared" si="982"/>
        <v>-232688868.23673129</v>
      </c>
      <c r="S474">
        <f t="shared" si="983"/>
        <v>-2326.8886823673129</v>
      </c>
      <c r="T474">
        <f t="shared" si="984"/>
        <v>-2.3268886823673127</v>
      </c>
    </row>
    <row r="475" spans="1:20" x14ac:dyDescent="0.25">
      <c r="A475" s="5">
        <v>44118</v>
      </c>
      <c r="B475">
        <v>1.9380000000000001E-2</v>
      </c>
      <c r="C475">
        <v>1.9519999999999999E-2</v>
      </c>
      <c r="D475">
        <v>1.9E-2</v>
      </c>
      <c r="E475">
        <v>1.9300000000000001E-2</v>
      </c>
      <c r="F475">
        <v>15946702.6</v>
      </c>
      <c r="G475">
        <v>0</v>
      </c>
      <c r="L475" t="s">
        <v>7</v>
      </c>
      <c r="M475" t="s">
        <v>7</v>
      </c>
      <c r="N475" t="s">
        <v>7</v>
      </c>
      <c r="P475">
        <f t="shared" si="980"/>
        <v>0.15384615384616104</v>
      </c>
      <c r="Q475">
        <f t="shared" si="981"/>
        <v>2453338.8615385764</v>
      </c>
      <c r="R475">
        <f t="shared" si="982"/>
        <v>-237522888.95314923</v>
      </c>
      <c r="S475">
        <f t="shared" si="983"/>
        <v>-2375.2288895314923</v>
      </c>
      <c r="T475">
        <f t="shared" si="984"/>
        <v>-2.3752288895314924</v>
      </c>
    </row>
    <row r="476" spans="1:20" x14ac:dyDescent="0.25">
      <c r="A476" s="5">
        <v>44117</v>
      </c>
      <c r="B476">
        <v>2.0039999999999999E-2</v>
      </c>
      <c r="C476">
        <v>2.0320000000000001E-2</v>
      </c>
      <c r="D476">
        <v>1.934E-2</v>
      </c>
      <c r="E476">
        <v>1.9369999999999998E-2</v>
      </c>
      <c r="F476">
        <v>26484329</v>
      </c>
      <c r="G476">
        <v>0</v>
      </c>
      <c r="L476" t="s">
        <v>8</v>
      </c>
      <c r="M476" t="s">
        <v>7</v>
      </c>
      <c r="N476" t="s">
        <v>7</v>
      </c>
      <c r="P476">
        <f t="shared" si="980"/>
        <v>-0.93877551020408423</v>
      </c>
      <c r="Q476">
        <f t="shared" si="981"/>
        <v>-24862839.469387826</v>
      </c>
      <c r="R476">
        <f t="shared" si="982"/>
        <v>-239976227.81468782</v>
      </c>
      <c r="S476">
        <f t="shared" si="983"/>
        <v>-2399.7622781468781</v>
      </c>
      <c r="T476">
        <f t="shared" si="984"/>
        <v>-2.3997622781468779</v>
      </c>
    </row>
    <row r="477" spans="1:20" x14ac:dyDescent="0.25">
      <c r="A477" s="5">
        <v>44116</v>
      </c>
      <c r="B477">
        <v>2.0070000000000001E-2</v>
      </c>
      <c r="C477">
        <v>2.0459999999999999E-2</v>
      </c>
      <c r="D477">
        <v>1.966E-2</v>
      </c>
      <c r="E477">
        <v>2.0039999999999999E-2</v>
      </c>
      <c r="F477">
        <v>15301964.199999999</v>
      </c>
      <c r="G477">
        <v>0</v>
      </c>
      <c r="L477" t="s">
        <v>8</v>
      </c>
      <c r="M477" t="s">
        <v>7</v>
      </c>
      <c r="N477" t="s">
        <v>7</v>
      </c>
      <c r="P477">
        <f t="shared" si="980"/>
        <v>-5.0000000000002383E-2</v>
      </c>
      <c r="Q477">
        <f t="shared" si="981"/>
        <v>-765098.2100000364</v>
      </c>
      <c r="R477">
        <f t="shared" si="982"/>
        <v>-215113388.34529999</v>
      </c>
      <c r="S477">
        <f t="shared" si="983"/>
        <v>-2151.1338834529997</v>
      </c>
      <c r="T477">
        <f t="shared" si="984"/>
        <v>-2.1511338834529998</v>
      </c>
    </row>
    <row r="478" spans="1:20" x14ac:dyDescent="0.25">
      <c r="A478" s="5">
        <v>44115</v>
      </c>
      <c r="B478">
        <v>1.9900000000000001E-2</v>
      </c>
      <c r="C478">
        <v>2.0590000000000001E-2</v>
      </c>
      <c r="D478">
        <v>1.9359999999999999E-2</v>
      </c>
      <c r="E478">
        <v>2.0070000000000001E-2</v>
      </c>
      <c r="F478">
        <v>14772142</v>
      </c>
      <c r="G478">
        <v>0</v>
      </c>
      <c r="L478" t="s">
        <v>8</v>
      </c>
      <c r="M478" t="s">
        <v>7</v>
      </c>
      <c r="N478" t="s">
        <v>7</v>
      </c>
      <c r="P478">
        <f t="shared" si="980"/>
        <v>0.15447154471544908</v>
      </c>
      <c r="Q478">
        <f t="shared" si="981"/>
        <v>2281875.5934959631</v>
      </c>
      <c r="R478">
        <f t="shared" si="982"/>
        <v>-214348290.13529995</v>
      </c>
      <c r="S478">
        <f t="shared" si="983"/>
        <v>-2143.4829013529993</v>
      </c>
      <c r="T478">
        <f t="shared" si="984"/>
        <v>-2.1434829013529995</v>
      </c>
    </row>
    <row r="479" spans="1:20" x14ac:dyDescent="0.25">
      <c r="A479" s="5">
        <v>44114</v>
      </c>
      <c r="B479">
        <v>1.9609999999999999E-2</v>
      </c>
      <c r="C479">
        <v>2.0299999999999999E-2</v>
      </c>
      <c r="D479">
        <v>1.9550000000000001E-2</v>
      </c>
      <c r="E479">
        <v>1.9910000000000001E-2</v>
      </c>
      <c r="F479">
        <v>23024805</v>
      </c>
      <c r="G479">
        <v>0</v>
      </c>
      <c r="L479" t="s">
        <v>8</v>
      </c>
      <c r="M479" t="s">
        <v>7</v>
      </c>
      <c r="N479" t="s">
        <v>7</v>
      </c>
      <c r="P479">
        <f t="shared" si="980"/>
        <v>-3.9999999999998523E-2</v>
      </c>
      <c r="Q479">
        <f t="shared" si="981"/>
        <v>-920992.19999996596</v>
      </c>
      <c r="R479">
        <f t="shared" si="982"/>
        <v>-216630165.72879592</v>
      </c>
      <c r="S479">
        <f t="shared" si="983"/>
        <v>-2166.3016572879592</v>
      </c>
      <c r="T479">
        <f t="shared" si="984"/>
        <v>-2.166301657287959</v>
      </c>
    </row>
    <row r="480" spans="1:20" x14ac:dyDescent="0.25">
      <c r="A480" s="5">
        <v>44113</v>
      </c>
      <c r="B480">
        <v>1.9570000000000001E-2</v>
      </c>
      <c r="C480">
        <v>1.985E-2</v>
      </c>
      <c r="D480">
        <v>1.9359999999999999E-2</v>
      </c>
      <c r="E480">
        <v>1.9599999999999999E-2</v>
      </c>
      <c r="F480">
        <v>20160100.600000001</v>
      </c>
      <c r="G480">
        <v>0</v>
      </c>
      <c r="L480" t="s">
        <v>8</v>
      </c>
      <c r="M480" t="s">
        <v>7</v>
      </c>
      <c r="N480" t="s">
        <v>7</v>
      </c>
      <c r="P480">
        <f t="shared" si="980"/>
        <v>-2.0408163265305257E-2</v>
      </c>
      <c r="Q480">
        <f t="shared" si="981"/>
        <v>-411430.62448977848</v>
      </c>
      <c r="R480">
        <f t="shared" si="982"/>
        <v>-215709173.52879596</v>
      </c>
      <c r="S480">
        <f t="shared" si="983"/>
        <v>-2157.0917352879596</v>
      </c>
      <c r="T480">
        <f t="shared" si="984"/>
        <v>-2.1570917352879597</v>
      </c>
    </row>
    <row r="481" spans="1:20" x14ac:dyDescent="0.25">
      <c r="A481" s="5">
        <v>44112</v>
      </c>
      <c r="B481">
        <v>1.9140000000000001E-2</v>
      </c>
      <c r="C481">
        <v>1.967E-2</v>
      </c>
      <c r="D481">
        <v>1.8849999999999999E-2</v>
      </c>
      <c r="E481">
        <v>1.9570000000000001E-2</v>
      </c>
      <c r="F481">
        <v>14207133</v>
      </c>
      <c r="G481">
        <v>0</v>
      </c>
      <c r="L481" t="s">
        <v>7</v>
      </c>
      <c r="M481" t="s">
        <v>7</v>
      </c>
      <c r="N481" t="s">
        <v>7</v>
      </c>
      <c r="P481">
        <f t="shared" si="980"/>
        <v>0.75609756097561165</v>
      </c>
      <c r="Q481">
        <f t="shared" si="981"/>
        <v>10741978.609756125</v>
      </c>
      <c r="R481">
        <f t="shared" si="982"/>
        <v>-215297742.90430617</v>
      </c>
      <c r="S481">
        <f t="shared" si="983"/>
        <v>-2152.9774290430619</v>
      </c>
      <c r="T481">
        <f t="shared" si="984"/>
        <v>-2.1529774290430619</v>
      </c>
    </row>
    <row r="482" spans="1:20" x14ac:dyDescent="0.25">
      <c r="A482" s="5">
        <v>44111</v>
      </c>
      <c r="B482">
        <v>1.951E-2</v>
      </c>
      <c r="C482">
        <v>1.959E-2</v>
      </c>
      <c r="D482">
        <v>1.847E-2</v>
      </c>
      <c r="E482">
        <v>1.9140000000000001E-2</v>
      </c>
      <c r="F482">
        <v>13385835.199999999</v>
      </c>
      <c r="G482">
        <v>0</v>
      </c>
      <c r="L482" t="s">
        <v>7</v>
      </c>
      <c r="M482" t="s">
        <v>7</v>
      </c>
      <c r="N482" t="s">
        <v>7</v>
      </c>
      <c r="P482">
        <f t="shared" si="980"/>
        <v>0.19642857142857281</v>
      </c>
      <c r="Q482">
        <f t="shared" si="981"/>
        <v>2629360.4857143043</v>
      </c>
      <c r="R482">
        <f t="shared" si="982"/>
        <v>-226039721.51406229</v>
      </c>
      <c r="S482">
        <f t="shared" si="983"/>
        <v>-2260.3972151406228</v>
      </c>
      <c r="T482">
        <f t="shared" si="984"/>
        <v>-2.2603972151406229</v>
      </c>
    </row>
    <row r="483" spans="1:20" x14ac:dyDescent="0.25">
      <c r="A483" s="5">
        <v>44110</v>
      </c>
      <c r="B483">
        <v>2.1160000000000002E-2</v>
      </c>
      <c r="C483">
        <v>2.12E-2</v>
      </c>
      <c r="D483">
        <v>1.941E-2</v>
      </c>
      <c r="E483">
        <v>1.9570000000000001E-2</v>
      </c>
      <c r="F483">
        <v>10928037</v>
      </c>
      <c r="G483">
        <v>0</v>
      </c>
      <c r="L483" t="s">
        <v>7</v>
      </c>
      <c r="M483" t="s">
        <v>7</v>
      </c>
      <c r="N483" t="s">
        <v>7</v>
      </c>
      <c r="P483">
        <f t="shared" si="980"/>
        <v>-0.82122905027932913</v>
      </c>
      <c r="Q483">
        <f t="shared" si="981"/>
        <v>-8974421.4469273686</v>
      </c>
      <c r="R483">
        <f t="shared" si="982"/>
        <v>-228669081.9997766</v>
      </c>
      <c r="S483">
        <f t="shared" si="983"/>
        <v>-2286.6908199977661</v>
      </c>
      <c r="T483">
        <f t="shared" si="984"/>
        <v>-2.2866908199977662</v>
      </c>
    </row>
    <row r="484" spans="1:20" x14ac:dyDescent="0.25">
      <c r="A484" s="5">
        <v>44109</v>
      </c>
      <c r="B484">
        <v>2.1180000000000001E-2</v>
      </c>
      <c r="C484">
        <v>2.1409999999999998E-2</v>
      </c>
      <c r="D484">
        <v>2.111E-2</v>
      </c>
      <c r="E484">
        <v>2.1160000000000002E-2</v>
      </c>
      <c r="F484">
        <v>7105143.5</v>
      </c>
      <c r="G484">
        <v>0</v>
      </c>
      <c r="L484" t="s">
        <v>7</v>
      </c>
      <c r="M484" t="s">
        <v>7</v>
      </c>
      <c r="N484" t="s">
        <v>7</v>
      </c>
      <c r="P484">
        <f t="shared" si="980"/>
        <v>-0.66666666666665508</v>
      </c>
      <c r="Q484">
        <f t="shared" si="981"/>
        <v>-4736762.3333332511</v>
      </c>
      <c r="R484">
        <f t="shared" si="982"/>
        <v>-219694660.55284923</v>
      </c>
      <c r="S484">
        <f t="shared" si="983"/>
        <v>-2196.9466055284925</v>
      </c>
      <c r="T484">
        <f t="shared" si="984"/>
        <v>-2.1969466055284923</v>
      </c>
    </row>
    <row r="485" spans="1:20" x14ac:dyDescent="0.25">
      <c r="A485" s="5">
        <v>44108</v>
      </c>
      <c r="B485">
        <v>2.1260000000000001E-2</v>
      </c>
      <c r="C485">
        <v>2.1319999999999999E-2</v>
      </c>
      <c r="D485">
        <v>2.095E-2</v>
      </c>
      <c r="E485">
        <v>2.1129999999999999E-2</v>
      </c>
      <c r="F485">
        <v>7898690.7999999998</v>
      </c>
      <c r="G485">
        <v>0</v>
      </c>
      <c r="L485" t="s">
        <v>7</v>
      </c>
      <c r="M485" t="s">
        <v>7</v>
      </c>
      <c r="N485" t="s">
        <v>7</v>
      </c>
      <c r="P485">
        <f t="shared" si="980"/>
        <v>-2.7027027027026012E-2</v>
      </c>
      <c r="Q485">
        <f t="shared" si="981"/>
        <v>-213478.1297297217</v>
      </c>
      <c r="R485">
        <f t="shared" si="982"/>
        <v>-214957898.21951598</v>
      </c>
      <c r="S485">
        <f t="shared" si="983"/>
        <v>-2149.5789821951598</v>
      </c>
      <c r="T485">
        <f t="shared" si="984"/>
        <v>-2.1495789821951599</v>
      </c>
    </row>
    <row r="486" spans="1:20" x14ac:dyDescent="0.25">
      <c r="A486" s="5">
        <v>44107</v>
      </c>
      <c r="B486">
        <v>2.1309999999999999E-2</v>
      </c>
      <c r="C486">
        <v>2.146E-2</v>
      </c>
      <c r="D486">
        <v>2.0969999999999999E-2</v>
      </c>
      <c r="E486">
        <v>2.1260000000000001E-2</v>
      </c>
      <c r="F486">
        <v>11879629.1</v>
      </c>
      <c r="G486">
        <v>0</v>
      </c>
      <c r="L486" t="s">
        <v>7</v>
      </c>
      <c r="M486" t="s">
        <v>7</v>
      </c>
      <c r="N486" t="s">
        <v>7</v>
      </c>
      <c r="P486">
        <f t="shared" si="980"/>
        <v>0.18367346938776147</v>
      </c>
      <c r="Q486">
        <f t="shared" si="981"/>
        <v>2181972.6918368102</v>
      </c>
      <c r="R486">
        <f t="shared" si="982"/>
        <v>-214744420.08978626</v>
      </c>
      <c r="S486">
        <f t="shared" si="983"/>
        <v>-2147.4442008978626</v>
      </c>
      <c r="T486">
        <f t="shared" si="984"/>
        <v>-2.1474442008978625</v>
      </c>
    </row>
    <row r="487" spans="1:20" x14ac:dyDescent="0.25">
      <c r="A487" s="5">
        <v>44106</v>
      </c>
      <c r="B487">
        <v>2.1749999999999999E-2</v>
      </c>
      <c r="C487">
        <v>2.249E-2</v>
      </c>
      <c r="D487">
        <v>2.035E-2</v>
      </c>
      <c r="E487">
        <v>2.1350000000000001E-2</v>
      </c>
      <c r="F487">
        <v>23219061.600000001</v>
      </c>
      <c r="G487">
        <v>0</v>
      </c>
      <c r="L487" t="s">
        <v>7</v>
      </c>
      <c r="M487" t="s">
        <v>7</v>
      </c>
      <c r="N487" t="s">
        <v>7</v>
      </c>
      <c r="P487">
        <f t="shared" si="980"/>
        <v>-6.5420560747662518E-2</v>
      </c>
      <c r="Q487">
        <f t="shared" si="981"/>
        <v>-1519004.0299065181</v>
      </c>
      <c r="R487">
        <f t="shared" si="982"/>
        <v>-216926392.78162307</v>
      </c>
      <c r="S487">
        <f t="shared" si="983"/>
        <v>-2169.2639278162305</v>
      </c>
      <c r="T487">
        <f t="shared" si="984"/>
        <v>-2.1692639278162305</v>
      </c>
    </row>
    <row r="488" spans="1:20" x14ac:dyDescent="0.25">
      <c r="A488" s="5">
        <v>44105</v>
      </c>
      <c r="B488">
        <v>2.308E-2</v>
      </c>
      <c r="C488">
        <v>2.349E-2</v>
      </c>
      <c r="D488">
        <v>2.128E-2</v>
      </c>
      <c r="E488">
        <v>2.18E-2</v>
      </c>
      <c r="F488">
        <v>24941858</v>
      </c>
      <c r="G488">
        <v>0</v>
      </c>
      <c r="L488" t="s">
        <v>7</v>
      </c>
      <c r="M488" t="s">
        <v>7</v>
      </c>
      <c r="N488" t="s">
        <v>7</v>
      </c>
      <c r="P488">
        <f t="shared" si="980"/>
        <v>-0.52941176470588269</v>
      </c>
      <c r="Q488">
        <f t="shared" si="981"/>
        <v>-13204513.058823537</v>
      </c>
      <c r="R488">
        <f t="shared" si="982"/>
        <v>-215407388.75171655</v>
      </c>
      <c r="S488">
        <f t="shared" si="983"/>
        <v>-2154.0738875171655</v>
      </c>
      <c r="T488">
        <f t="shared" si="984"/>
        <v>-2.1540738875171654</v>
      </c>
    </row>
    <row r="489" spans="1:20" x14ac:dyDescent="0.25">
      <c r="A489" s="5">
        <v>44104</v>
      </c>
      <c r="B489">
        <v>2.4E-2</v>
      </c>
      <c r="C489">
        <v>2.4039999999999999E-2</v>
      </c>
      <c r="D489">
        <v>2.2870000000000001E-2</v>
      </c>
      <c r="E489">
        <v>2.3060000000000001E-2</v>
      </c>
      <c r="F489">
        <v>9144755.5</v>
      </c>
      <c r="G489">
        <v>0</v>
      </c>
      <c r="L489" t="s">
        <v>7</v>
      </c>
      <c r="M489" t="s">
        <v>7</v>
      </c>
      <c r="N489" t="s">
        <v>7</v>
      </c>
      <c r="P489">
        <f t="shared" si="980"/>
        <v>-0.67521367521367592</v>
      </c>
      <c r="Q489">
        <f t="shared" si="981"/>
        <v>-6174663.9700854765</v>
      </c>
      <c r="R489">
        <f t="shared" si="982"/>
        <v>-202202875.69289303</v>
      </c>
      <c r="S489">
        <f t="shared" si="983"/>
        <v>-2022.0287569289303</v>
      </c>
      <c r="T489">
        <f t="shared" si="984"/>
        <v>-2.0220287569289304</v>
      </c>
    </row>
    <row r="490" spans="1:20" x14ac:dyDescent="0.25">
      <c r="A490" s="5">
        <v>44103</v>
      </c>
      <c r="B490">
        <v>2.4279999999999999E-2</v>
      </c>
      <c r="C490">
        <v>2.4369999999999999E-2</v>
      </c>
      <c r="D490">
        <v>2.35E-2</v>
      </c>
      <c r="E490">
        <v>2.4039999999999999E-2</v>
      </c>
      <c r="F490">
        <v>11184427.1</v>
      </c>
      <c r="G490">
        <v>0</v>
      </c>
      <c r="L490" t="s">
        <v>7</v>
      </c>
      <c r="M490" t="s">
        <v>7</v>
      </c>
      <c r="N490" t="s">
        <v>7</v>
      </c>
      <c r="P490">
        <f t="shared" si="980"/>
        <v>0.24137931034482593</v>
      </c>
      <c r="Q490">
        <f t="shared" si="981"/>
        <v>2699689.2999999812</v>
      </c>
      <c r="R490">
        <f t="shared" si="982"/>
        <v>-196028211.72280756</v>
      </c>
      <c r="S490">
        <f t="shared" si="983"/>
        <v>-1960.2821172280755</v>
      </c>
      <c r="T490">
        <f t="shared" si="984"/>
        <v>-1.9602821172280755</v>
      </c>
    </row>
    <row r="491" spans="1:20" x14ac:dyDescent="0.25">
      <c r="A491" s="5">
        <v>44102</v>
      </c>
      <c r="B491">
        <v>2.46E-2</v>
      </c>
      <c r="C491">
        <v>2.528E-2</v>
      </c>
      <c r="D491">
        <v>2.4150000000000001E-2</v>
      </c>
      <c r="E491">
        <v>2.4289999999999999E-2</v>
      </c>
      <c r="F491">
        <v>12366681.699999999</v>
      </c>
      <c r="G491">
        <v>0</v>
      </c>
      <c r="L491" t="s">
        <v>8</v>
      </c>
      <c r="M491" t="s">
        <v>7</v>
      </c>
      <c r="N491" t="s">
        <v>7</v>
      </c>
      <c r="P491">
        <f t="shared" si="980"/>
        <v>-0.7522123893805347</v>
      </c>
      <c r="Q491">
        <f t="shared" si="981"/>
        <v>-9302371.1902655326</v>
      </c>
      <c r="R491">
        <f t="shared" si="982"/>
        <v>-198727901.02280754</v>
      </c>
      <c r="S491">
        <f t="shared" si="983"/>
        <v>-1987.2790102280753</v>
      </c>
      <c r="T491">
        <f t="shared" si="984"/>
        <v>-1.9872790102280753</v>
      </c>
    </row>
    <row r="492" spans="1:20" x14ac:dyDescent="0.25">
      <c r="A492" s="5">
        <v>44101</v>
      </c>
      <c r="B492">
        <v>2.4670000000000001E-2</v>
      </c>
      <c r="C492">
        <v>2.52E-2</v>
      </c>
      <c r="D492">
        <v>2.3609999999999999E-2</v>
      </c>
      <c r="E492">
        <v>2.4539999999999999E-2</v>
      </c>
      <c r="F492">
        <v>12089938.699999999</v>
      </c>
      <c r="G492">
        <v>0</v>
      </c>
      <c r="L492" t="s">
        <v>7</v>
      </c>
      <c r="M492" t="s">
        <v>7</v>
      </c>
      <c r="N492" t="s">
        <v>7</v>
      </c>
      <c r="P492">
        <f t="shared" si="980"/>
        <v>0.1698113207547165</v>
      </c>
      <c r="Q492">
        <f t="shared" si="981"/>
        <v>2053008.4584905601</v>
      </c>
      <c r="R492">
        <f t="shared" si="982"/>
        <v>-189425529.832542</v>
      </c>
      <c r="S492">
        <f t="shared" si="983"/>
        <v>-1894.25529832542</v>
      </c>
      <c r="T492">
        <f t="shared" si="984"/>
        <v>-1.8942552983254199</v>
      </c>
    </row>
    <row r="493" spans="1:20" x14ac:dyDescent="0.25">
      <c r="A493" s="5">
        <v>44100</v>
      </c>
      <c r="B493">
        <v>2.4199999999999999E-2</v>
      </c>
      <c r="C493">
        <v>2.5149999999999999E-2</v>
      </c>
      <c r="D493">
        <v>2.3460000000000002E-2</v>
      </c>
      <c r="E493">
        <v>2.4670000000000001E-2</v>
      </c>
      <c r="F493">
        <v>21827446.5</v>
      </c>
      <c r="G493">
        <v>0</v>
      </c>
      <c r="L493" t="s">
        <v>8</v>
      </c>
      <c r="M493" t="s">
        <v>7</v>
      </c>
      <c r="N493" t="s">
        <v>7</v>
      </c>
      <c r="P493">
        <f t="shared" si="980"/>
        <v>0.43195266272189514</v>
      </c>
      <c r="Q493">
        <f t="shared" si="981"/>
        <v>9428423.6360947099</v>
      </c>
      <c r="R493">
        <f t="shared" si="982"/>
        <v>-191478538.29103255</v>
      </c>
      <c r="S493">
        <f t="shared" si="983"/>
        <v>-1914.7853829103256</v>
      </c>
      <c r="T493">
        <f t="shared" si="984"/>
        <v>-1.9147853829103256</v>
      </c>
    </row>
    <row r="494" spans="1:20" x14ac:dyDescent="0.25">
      <c r="A494" s="5">
        <v>44099</v>
      </c>
      <c r="B494">
        <v>2.3959999999999999E-2</v>
      </c>
      <c r="C494">
        <v>2.4539999999999999E-2</v>
      </c>
      <c r="D494">
        <v>2.298E-2</v>
      </c>
      <c r="E494">
        <v>2.4140000000000002E-2</v>
      </c>
      <c r="F494">
        <v>9845717.6999999993</v>
      </c>
      <c r="G494">
        <v>0</v>
      </c>
      <c r="L494" t="s">
        <v>8</v>
      </c>
      <c r="M494" t="s">
        <v>7</v>
      </c>
      <c r="N494" t="s">
        <v>7</v>
      </c>
      <c r="P494">
        <f t="shared" si="980"/>
        <v>0.48717948717948989</v>
      </c>
      <c r="Q494">
        <f t="shared" si="981"/>
        <v>4796631.7000000263</v>
      </c>
      <c r="R494">
        <f t="shared" si="982"/>
        <v>-200906961.92712727</v>
      </c>
      <c r="S494">
        <f t="shared" si="983"/>
        <v>-2009.0696192712728</v>
      </c>
      <c r="T494">
        <f t="shared" si="984"/>
        <v>-2.0090696192712727</v>
      </c>
    </row>
    <row r="495" spans="1:20" x14ac:dyDescent="0.25">
      <c r="A495" s="5">
        <v>44098</v>
      </c>
      <c r="B495">
        <v>2.298E-2</v>
      </c>
      <c r="C495">
        <v>2.4060000000000002E-2</v>
      </c>
      <c r="D495">
        <v>2.2599999999999999E-2</v>
      </c>
      <c r="E495">
        <v>2.401E-2</v>
      </c>
      <c r="F495">
        <v>9847479.5999999996</v>
      </c>
      <c r="G495">
        <v>0</v>
      </c>
      <c r="L495" t="s">
        <v>7</v>
      </c>
      <c r="M495" t="s">
        <v>7</v>
      </c>
      <c r="N495" t="s">
        <v>7</v>
      </c>
      <c r="P495">
        <f t="shared" si="980"/>
        <v>0.93150684931506667</v>
      </c>
      <c r="Q495">
        <f t="shared" si="981"/>
        <v>9172994.6958903931</v>
      </c>
      <c r="R495">
        <f t="shared" si="982"/>
        <v>-205703593.62712729</v>
      </c>
      <c r="S495">
        <f t="shared" si="983"/>
        <v>-2057.0359362712729</v>
      </c>
      <c r="T495">
        <f t="shared" si="984"/>
        <v>-2.0570359362712729</v>
      </c>
    </row>
    <row r="496" spans="1:20" x14ac:dyDescent="0.25">
      <c r="A496" s="5">
        <v>44097</v>
      </c>
      <c r="B496">
        <v>2.513E-2</v>
      </c>
      <c r="C496">
        <v>2.53E-2</v>
      </c>
      <c r="D496">
        <v>2.2360000000000001E-2</v>
      </c>
      <c r="E496">
        <v>2.2759999999999999E-2</v>
      </c>
      <c r="F496">
        <v>19032986.100000001</v>
      </c>
      <c r="G496">
        <v>0</v>
      </c>
      <c r="L496" t="s">
        <v>7</v>
      </c>
      <c r="M496" t="s">
        <v>7</v>
      </c>
      <c r="N496" t="s">
        <v>7</v>
      </c>
      <c r="P496">
        <f t="shared" si="980"/>
        <v>-0.72789115646258651</v>
      </c>
      <c r="Q496">
        <f t="shared" si="981"/>
        <v>-13853942.263265336</v>
      </c>
      <c r="R496">
        <f t="shared" si="982"/>
        <v>-214876588.32301769</v>
      </c>
      <c r="S496">
        <f t="shared" si="983"/>
        <v>-2148.7658832301768</v>
      </c>
      <c r="T496">
        <f t="shared" si="984"/>
        <v>-2.1487658832301766</v>
      </c>
    </row>
    <row r="497" spans="1:20" x14ac:dyDescent="0.25">
      <c r="A497" s="5">
        <v>44096</v>
      </c>
      <c r="B497">
        <v>2.41E-2</v>
      </c>
      <c r="C497">
        <v>2.5159999999999998E-2</v>
      </c>
      <c r="D497">
        <v>2.3369999999999998E-2</v>
      </c>
      <c r="E497">
        <v>2.5000000000000001E-2</v>
      </c>
      <c r="F497">
        <v>13435961.800000001</v>
      </c>
      <c r="G497">
        <v>0</v>
      </c>
      <c r="L497" t="s">
        <v>8</v>
      </c>
      <c r="M497" t="s">
        <v>7</v>
      </c>
      <c r="N497" t="s">
        <v>7</v>
      </c>
      <c r="P497">
        <f t="shared" si="980"/>
        <v>0.82122905027933302</v>
      </c>
      <c r="Q497">
        <f t="shared" si="981"/>
        <v>11034002.148603398</v>
      </c>
      <c r="R497">
        <f t="shared" si="982"/>
        <v>-201022646.05975235</v>
      </c>
      <c r="S497">
        <f t="shared" si="983"/>
        <v>-2010.2264605975236</v>
      </c>
      <c r="T497">
        <f t="shared" si="984"/>
        <v>-2.0102264605975235</v>
      </c>
    </row>
    <row r="498" spans="1:20" x14ac:dyDescent="0.25">
      <c r="A498" s="5">
        <v>44095</v>
      </c>
      <c r="B498">
        <v>2.6540000000000001E-2</v>
      </c>
      <c r="C498">
        <v>2.8299999999999999E-2</v>
      </c>
      <c r="D498">
        <v>2.2839999999999999E-2</v>
      </c>
      <c r="E498">
        <v>2.4060000000000002E-2</v>
      </c>
      <c r="F498">
        <v>42342514.100000001</v>
      </c>
      <c r="G498">
        <v>0</v>
      </c>
      <c r="L498" t="s">
        <v>7</v>
      </c>
      <c r="M498" t="s">
        <v>7</v>
      </c>
      <c r="N498" t="s">
        <v>7</v>
      </c>
      <c r="P498">
        <f t="shared" si="980"/>
        <v>-0.55311355311355226</v>
      </c>
      <c r="Q498">
        <f t="shared" si="981"/>
        <v>-23420218.421611685</v>
      </c>
      <c r="R498">
        <f t="shared" si="982"/>
        <v>-212056648.20835575</v>
      </c>
      <c r="S498">
        <f t="shared" si="983"/>
        <v>-2120.5664820835577</v>
      </c>
      <c r="T498">
        <f t="shared" si="984"/>
        <v>-2.1205664820835577</v>
      </c>
    </row>
    <row r="499" spans="1:20" x14ac:dyDescent="0.25">
      <c r="A499" s="5">
        <v>44094</v>
      </c>
      <c r="B499">
        <v>2.6800000000000001E-2</v>
      </c>
      <c r="C499">
        <v>2.682E-2</v>
      </c>
      <c r="D499">
        <v>2.5409999999999999E-2</v>
      </c>
      <c r="E499">
        <v>2.64E-2</v>
      </c>
      <c r="F499">
        <v>18921877.399999999</v>
      </c>
      <c r="G499">
        <v>0</v>
      </c>
      <c r="L499" t="s">
        <v>7</v>
      </c>
      <c r="M499" t="s">
        <v>7</v>
      </c>
      <c r="N499" t="s">
        <v>7</v>
      </c>
      <c r="P499">
        <f t="shared" si="980"/>
        <v>0.40425531914893648</v>
      </c>
      <c r="Q499">
        <f t="shared" si="981"/>
        <v>7649269.5872340482</v>
      </c>
      <c r="R499">
        <f t="shared" si="982"/>
        <v>-188636429.78674406</v>
      </c>
      <c r="S499">
        <f t="shared" si="983"/>
        <v>-1886.3642978674407</v>
      </c>
      <c r="T499">
        <f t="shared" si="984"/>
        <v>-1.8863642978674406</v>
      </c>
    </row>
    <row r="500" spans="1:20" x14ac:dyDescent="0.25">
      <c r="A500" s="5">
        <v>44093</v>
      </c>
      <c r="B500">
        <v>2.9440000000000001E-2</v>
      </c>
      <c r="C500">
        <v>2.972E-2</v>
      </c>
      <c r="D500">
        <v>2.6259999999999999E-2</v>
      </c>
      <c r="E500">
        <v>2.6769999999999999E-2</v>
      </c>
      <c r="F500">
        <v>38776525.299999997</v>
      </c>
      <c r="G500">
        <v>0</v>
      </c>
      <c r="L500" t="s">
        <v>7</v>
      </c>
      <c r="M500" t="s">
        <v>7</v>
      </c>
      <c r="N500" t="s">
        <v>7</v>
      </c>
      <c r="P500">
        <f t="shared" si="980"/>
        <v>-0.70520231213872842</v>
      </c>
      <c r="Q500">
        <f t="shared" si="981"/>
        <v>-27345295.298265897</v>
      </c>
      <c r="R500">
        <f t="shared" si="982"/>
        <v>-196285699.37397811</v>
      </c>
      <c r="S500">
        <f t="shared" si="983"/>
        <v>-1962.856993739781</v>
      </c>
      <c r="T500">
        <f t="shared" si="984"/>
        <v>-1.9628569937397811</v>
      </c>
    </row>
    <row r="501" spans="1:20" x14ac:dyDescent="0.25">
      <c r="A501" s="5">
        <v>44092</v>
      </c>
      <c r="B501">
        <v>2.6159999999999999E-2</v>
      </c>
      <c r="C501">
        <v>2.954E-2</v>
      </c>
      <c r="D501">
        <v>2.545E-2</v>
      </c>
      <c r="E501">
        <v>2.947E-2</v>
      </c>
      <c r="F501">
        <v>51266625.799999997</v>
      </c>
      <c r="G501">
        <v>0</v>
      </c>
      <c r="L501" t="s">
        <v>8</v>
      </c>
      <c r="M501" t="s">
        <v>7</v>
      </c>
      <c r="N501" t="s">
        <v>7</v>
      </c>
      <c r="P501">
        <f t="shared" si="980"/>
        <v>0.96577017114914399</v>
      </c>
      <c r="Q501">
        <f t="shared" si="981"/>
        <v>49511777.973105118</v>
      </c>
      <c r="R501">
        <f t="shared" si="982"/>
        <v>-168940404.0757122</v>
      </c>
      <c r="S501">
        <f t="shared" si="983"/>
        <v>-1689.4040407571219</v>
      </c>
      <c r="T501">
        <f t="shared" si="984"/>
        <v>-1.689404040757122</v>
      </c>
    </row>
    <row r="502" spans="1:20" x14ac:dyDescent="0.25">
      <c r="A502" s="5">
        <v>44091</v>
      </c>
      <c r="B502">
        <v>2.6769999999999999E-2</v>
      </c>
      <c r="C502">
        <v>2.725E-2</v>
      </c>
      <c r="D502">
        <v>2.4930000000000001E-2</v>
      </c>
      <c r="E502">
        <v>2.6079999999999999E-2</v>
      </c>
      <c r="F502">
        <v>15374434.6</v>
      </c>
      <c r="G502">
        <v>0</v>
      </c>
      <c r="L502" t="s">
        <v>7</v>
      </c>
      <c r="M502" t="s">
        <v>7</v>
      </c>
      <c r="N502" t="s">
        <v>7</v>
      </c>
      <c r="P502">
        <f t="shared" si="980"/>
        <v>-8.6206896551735603E-3</v>
      </c>
      <c r="Q502">
        <f t="shared" si="981"/>
        <v>-132538.22931036245</v>
      </c>
      <c r="R502">
        <f t="shared" si="982"/>
        <v>-218452182.04881731</v>
      </c>
      <c r="S502">
        <f t="shared" si="983"/>
        <v>-2184.521820488173</v>
      </c>
      <c r="T502">
        <f t="shared" si="984"/>
        <v>-2.1845218204881731</v>
      </c>
    </row>
    <row r="503" spans="1:20" x14ac:dyDescent="0.25">
      <c r="A503" s="5">
        <v>44090</v>
      </c>
      <c r="B503">
        <v>2.707E-2</v>
      </c>
      <c r="C503">
        <v>2.8400000000000002E-2</v>
      </c>
      <c r="D503">
        <v>2.554E-2</v>
      </c>
      <c r="E503">
        <v>2.6849999999999999E-2</v>
      </c>
      <c r="F503">
        <v>31360311.899999999</v>
      </c>
      <c r="G503">
        <v>0</v>
      </c>
      <c r="L503" t="s">
        <v>7</v>
      </c>
      <c r="M503" t="s">
        <v>7</v>
      </c>
      <c r="N503" t="s">
        <v>7</v>
      </c>
      <c r="P503">
        <f t="shared" si="980"/>
        <v>-8.3916083916085307E-2</v>
      </c>
      <c r="Q503">
        <f t="shared" si="981"/>
        <v>-2631634.5650350084</v>
      </c>
      <c r="R503">
        <f t="shared" si="982"/>
        <v>-218319643.81950694</v>
      </c>
      <c r="S503">
        <f t="shared" si="983"/>
        <v>-2183.1964381950693</v>
      </c>
      <c r="T503">
        <f t="shared" si="984"/>
        <v>-2.1831964381950693</v>
      </c>
    </row>
    <row r="504" spans="1:20" x14ac:dyDescent="0.25">
      <c r="A504" s="5">
        <v>44089</v>
      </c>
      <c r="B504">
        <v>2.8979999999999999E-2</v>
      </c>
      <c r="C504">
        <v>2.9389999999999999E-2</v>
      </c>
      <c r="D504">
        <v>2.7E-2</v>
      </c>
      <c r="E504">
        <v>2.7050000000000001E-2</v>
      </c>
      <c r="F504">
        <v>25161903.899999999</v>
      </c>
      <c r="G504">
        <v>0</v>
      </c>
      <c r="L504" t="s">
        <v>7</v>
      </c>
      <c r="M504" t="s">
        <v>7</v>
      </c>
      <c r="N504" t="s">
        <v>7</v>
      </c>
      <c r="P504">
        <f t="shared" si="980"/>
        <v>-0.95815899581589836</v>
      </c>
      <c r="Q504">
        <f t="shared" si="981"/>
        <v>-24109104.573640134</v>
      </c>
      <c r="R504">
        <f t="shared" si="982"/>
        <v>-215688009.25447193</v>
      </c>
      <c r="S504">
        <f t="shared" si="983"/>
        <v>-2156.8800925447194</v>
      </c>
      <c r="T504">
        <f t="shared" si="984"/>
        <v>-2.1568800925447196</v>
      </c>
    </row>
    <row r="505" spans="1:20" x14ac:dyDescent="0.25">
      <c r="A505" s="5">
        <v>44088</v>
      </c>
      <c r="B505">
        <v>2.9229999999999999E-2</v>
      </c>
      <c r="C505">
        <v>3.1E-2</v>
      </c>
      <c r="D505">
        <v>2.7810000000000001E-2</v>
      </c>
      <c r="E505">
        <v>2.8989999999999998E-2</v>
      </c>
      <c r="F505">
        <v>50777934.600000001</v>
      </c>
      <c r="G505">
        <v>0</v>
      </c>
      <c r="L505" t="s">
        <v>7</v>
      </c>
      <c r="M505" t="s">
        <v>7</v>
      </c>
      <c r="N505" t="s">
        <v>7</v>
      </c>
      <c r="P505">
        <f t="shared" si="980"/>
        <v>-0.26018808777429614</v>
      </c>
      <c r="Q505">
        <f t="shared" si="981"/>
        <v>-13211813.704702269</v>
      </c>
      <c r="R505">
        <f t="shared" si="982"/>
        <v>-191578904.68083179</v>
      </c>
      <c r="S505">
        <f t="shared" si="983"/>
        <v>-1915.7890468083178</v>
      </c>
      <c r="T505">
        <f t="shared" si="984"/>
        <v>-1.9157890468083179</v>
      </c>
    </row>
    <row r="506" spans="1:20" x14ac:dyDescent="0.25">
      <c r="A506" s="5">
        <v>44087</v>
      </c>
      <c r="B506">
        <v>3.2300000000000002E-2</v>
      </c>
      <c r="C506">
        <v>3.261E-2</v>
      </c>
      <c r="D506">
        <v>2.75E-2</v>
      </c>
      <c r="E506">
        <v>2.9229999999999999E-2</v>
      </c>
      <c r="F506">
        <v>59087522.600000001</v>
      </c>
      <c r="G506">
        <v>0</v>
      </c>
      <c r="L506" t="s">
        <v>8</v>
      </c>
      <c r="M506" t="s">
        <v>7</v>
      </c>
      <c r="N506" t="s">
        <v>7</v>
      </c>
      <c r="P506">
        <f t="shared" si="980"/>
        <v>-0.32289628180039182</v>
      </c>
      <c r="Q506">
        <f t="shared" si="981"/>
        <v>-19079141.348336622</v>
      </c>
      <c r="R506">
        <f t="shared" si="982"/>
        <v>-178367090.97612953</v>
      </c>
      <c r="S506">
        <f t="shared" si="983"/>
        <v>-1783.6709097612952</v>
      </c>
      <c r="T506">
        <f t="shared" si="984"/>
        <v>-1.7836709097612953</v>
      </c>
    </row>
    <row r="507" spans="1:20" x14ac:dyDescent="0.25">
      <c r="A507" s="5">
        <v>44086</v>
      </c>
      <c r="B507">
        <v>3.5439999999999999E-2</v>
      </c>
      <c r="C507">
        <v>3.5549999999999998E-2</v>
      </c>
      <c r="D507">
        <v>2.7400000000000001E-2</v>
      </c>
      <c r="E507">
        <v>3.2320000000000002E-2</v>
      </c>
      <c r="F507">
        <v>69467564</v>
      </c>
      <c r="G507">
        <v>0</v>
      </c>
      <c r="L507" t="s">
        <v>7</v>
      </c>
      <c r="M507" t="s">
        <v>7</v>
      </c>
      <c r="N507" t="s">
        <v>7</v>
      </c>
      <c r="P507">
        <f t="shared" si="980"/>
        <v>0.2073619631901846</v>
      </c>
      <c r="Q507">
        <f t="shared" si="981"/>
        <v>14404930.449079793</v>
      </c>
      <c r="R507">
        <f t="shared" si="982"/>
        <v>-159287949.62779289</v>
      </c>
      <c r="S507">
        <f t="shared" si="983"/>
        <v>-1592.8794962779289</v>
      </c>
      <c r="T507">
        <f t="shared" si="984"/>
        <v>-1.5928794962779289</v>
      </c>
    </row>
    <row r="508" spans="1:20" x14ac:dyDescent="0.25">
      <c r="A508" s="5">
        <v>44085</v>
      </c>
      <c r="B508">
        <v>3.7069999999999999E-2</v>
      </c>
      <c r="C508">
        <v>3.8539999999999998E-2</v>
      </c>
      <c r="D508">
        <v>3.4720000000000001E-2</v>
      </c>
      <c r="E508">
        <v>3.5400000000000001E-2</v>
      </c>
      <c r="F508">
        <v>92780607.799999997</v>
      </c>
      <c r="G508">
        <v>0</v>
      </c>
      <c r="L508" t="s">
        <v>8</v>
      </c>
      <c r="M508" t="s">
        <v>7</v>
      </c>
      <c r="N508" t="s">
        <v>7</v>
      </c>
      <c r="P508">
        <f t="shared" si="980"/>
        <v>-0.64397905759162277</v>
      </c>
      <c r="Q508">
        <f t="shared" si="981"/>
        <v>-59748768.373821966</v>
      </c>
      <c r="R508">
        <f t="shared" si="982"/>
        <v>-173692880.07687268</v>
      </c>
      <c r="S508">
        <f t="shared" si="983"/>
        <v>-1736.9288007687267</v>
      </c>
      <c r="T508">
        <f t="shared" si="984"/>
        <v>-1.7369288007687267</v>
      </c>
    </row>
    <row r="509" spans="1:20" x14ac:dyDescent="0.25">
      <c r="A509" s="5">
        <v>44084</v>
      </c>
      <c r="B509">
        <v>4.9610000000000001E-2</v>
      </c>
      <c r="C509">
        <v>5.8430000000000003E-2</v>
      </c>
      <c r="D509">
        <v>3.5000000000000003E-2</v>
      </c>
      <c r="E509">
        <v>3.7229999999999999E-2</v>
      </c>
      <c r="F509">
        <v>258565800.59999999</v>
      </c>
      <c r="G509">
        <v>0</v>
      </c>
      <c r="L509" t="s">
        <v>7</v>
      </c>
      <c r="M509" t="s">
        <v>7</v>
      </c>
      <c r="N509" t="s">
        <v>7</v>
      </c>
      <c r="P509">
        <f t="shared" si="980"/>
        <v>-0.80964575330772548</v>
      </c>
      <c r="Q509">
        <f t="shared" si="981"/>
        <v>-209346702.40640214</v>
      </c>
      <c r="R509">
        <f t="shared" si="982"/>
        <v>-113944111.7030507</v>
      </c>
      <c r="S509">
        <f t="shared" si="983"/>
        <v>-1139.441117030507</v>
      </c>
      <c r="T509">
        <f t="shared" si="984"/>
        <v>-1.139441117030507</v>
      </c>
    </row>
    <row r="510" spans="1:20" x14ac:dyDescent="0.25">
      <c r="A510" s="5">
        <v>44083</v>
      </c>
      <c r="B510">
        <v>4.9730000000000003E-2</v>
      </c>
      <c r="C510">
        <v>5.2670000000000002E-2</v>
      </c>
      <c r="D510">
        <v>4.2459999999999998E-2</v>
      </c>
      <c r="E510">
        <v>4.9480000000000003E-2</v>
      </c>
      <c r="F510">
        <v>95432039.700000003</v>
      </c>
      <c r="G510">
        <v>0</v>
      </c>
      <c r="L510" t="s">
        <v>7</v>
      </c>
      <c r="M510" t="s">
        <v>7</v>
      </c>
      <c r="N510" t="s">
        <v>7</v>
      </c>
      <c r="P510">
        <f t="shared" si="980"/>
        <v>0.37512242899118564</v>
      </c>
      <c r="Q510">
        <f t="shared" si="981"/>
        <v>35798698.535847262</v>
      </c>
      <c r="R510">
        <f t="shared" si="982"/>
        <v>95402590.703351438</v>
      </c>
      <c r="S510">
        <f t="shared" si="983"/>
        <v>954.02590703351439</v>
      </c>
      <c r="T510">
        <f t="shared" si="984"/>
        <v>0.95402590703351442</v>
      </c>
    </row>
    <row r="511" spans="1:20" x14ac:dyDescent="0.25">
      <c r="A511" s="5">
        <v>44082</v>
      </c>
      <c r="B511">
        <v>5.6770000000000001E-2</v>
      </c>
      <c r="C511">
        <v>5.6890000000000003E-2</v>
      </c>
      <c r="D511">
        <v>4.7300000000000002E-2</v>
      </c>
      <c r="E511">
        <v>4.9570000000000003E-2</v>
      </c>
      <c r="F511">
        <v>89358815.200000003</v>
      </c>
      <c r="G511">
        <v>0</v>
      </c>
      <c r="L511" t="s">
        <v>7</v>
      </c>
      <c r="M511" t="s">
        <v>7</v>
      </c>
      <c r="N511" t="s">
        <v>8</v>
      </c>
      <c r="P511">
        <f t="shared" si="980"/>
        <v>-0.52659019812304464</v>
      </c>
      <c r="Q511">
        <f t="shared" si="981"/>
        <v>-47055476.200208537</v>
      </c>
      <c r="R511">
        <f t="shared" si="982"/>
        <v>59603892.167504169</v>
      </c>
      <c r="S511">
        <f t="shared" si="983"/>
        <v>596.03892167504171</v>
      </c>
      <c r="T511">
        <f t="shared" si="984"/>
        <v>0.59603892167504169</v>
      </c>
    </row>
    <row r="512" spans="1:20" x14ac:dyDescent="0.25">
      <c r="A512" s="5">
        <v>44081</v>
      </c>
      <c r="B512">
        <v>4.9320000000000003E-2</v>
      </c>
      <c r="C512">
        <v>6.2350000000000003E-2</v>
      </c>
      <c r="D512">
        <v>4.743E-2</v>
      </c>
      <c r="E512">
        <v>5.6770000000000001E-2</v>
      </c>
      <c r="F512">
        <v>189952817.69999999</v>
      </c>
      <c r="G512">
        <v>0</v>
      </c>
      <c r="L512" t="s">
        <v>8</v>
      </c>
      <c r="M512" t="s">
        <v>8</v>
      </c>
      <c r="N512" t="s">
        <v>8</v>
      </c>
      <c r="P512">
        <f t="shared" si="980"/>
        <v>0.2520107238605897</v>
      </c>
      <c r="Q512">
        <f t="shared" si="981"/>
        <v>47870147.087935634</v>
      </c>
      <c r="R512">
        <f t="shared" si="982"/>
        <v>106659368.36771271</v>
      </c>
      <c r="S512">
        <f t="shared" si="983"/>
        <v>1066.593683677127</v>
      </c>
      <c r="T512">
        <f t="shared" si="984"/>
        <v>1.066593683677127</v>
      </c>
    </row>
    <row r="513" spans="1:20" x14ac:dyDescent="0.25">
      <c r="A513" s="5">
        <v>44080</v>
      </c>
      <c r="B513">
        <v>4.827E-2</v>
      </c>
      <c r="C513">
        <v>5.4089999999999999E-2</v>
      </c>
      <c r="D513">
        <v>4.573E-2</v>
      </c>
      <c r="E513">
        <v>4.9320000000000003E-2</v>
      </c>
      <c r="F513">
        <v>104573397.59999999</v>
      </c>
      <c r="G513">
        <v>0</v>
      </c>
      <c r="L513" t="s">
        <v>7</v>
      </c>
      <c r="M513" t="s">
        <v>7</v>
      </c>
      <c r="N513" t="s">
        <v>8</v>
      </c>
      <c r="P513">
        <f t="shared" si="980"/>
        <v>-0.14114832535885091</v>
      </c>
      <c r="Q513">
        <f t="shared" si="981"/>
        <v>-14760359.948325278</v>
      </c>
      <c r="R513">
        <f t="shared" si="982"/>
        <v>58789221.279777065</v>
      </c>
      <c r="S513">
        <f t="shared" si="983"/>
        <v>587.89221279777064</v>
      </c>
      <c r="T513">
        <f t="shared" si="984"/>
        <v>0.5878922127977706</v>
      </c>
    </row>
    <row r="514" spans="1:20" x14ac:dyDescent="0.25">
      <c r="A514" s="5">
        <v>44079</v>
      </c>
      <c r="B514">
        <v>3.7109999999999997E-2</v>
      </c>
      <c r="C514">
        <v>5.6610000000000001E-2</v>
      </c>
      <c r="D514">
        <v>3.6920000000000001E-2</v>
      </c>
      <c r="E514">
        <v>4.8210000000000003E-2</v>
      </c>
      <c r="F514">
        <v>183007559.30000001</v>
      </c>
      <c r="G514">
        <v>0</v>
      </c>
      <c r="L514" t="s">
        <v>8</v>
      </c>
      <c r="M514" t="s">
        <v>8</v>
      </c>
      <c r="N514" t="s">
        <v>8</v>
      </c>
      <c r="P514">
        <f t="shared" si="980"/>
        <v>0.1467750126968006</v>
      </c>
      <c r="Q514">
        <f t="shared" si="981"/>
        <v>26860936.83986799</v>
      </c>
      <c r="R514">
        <f t="shared" si="982"/>
        <v>73549581.228102341</v>
      </c>
      <c r="S514">
        <f t="shared" si="983"/>
        <v>735.4958122810234</v>
      </c>
      <c r="T514">
        <f t="shared" si="984"/>
        <v>0.73549581228102345</v>
      </c>
    </row>
    <row r="515" spans="1:20" x14ac:dyDescent="0.25">
      <c r="A515" s="5">
        <v>44078</v>
      </c>
      <c r="B515">
        <v>3.5459999999999998E-2</v>
      </c>
      <c r="C515">
        <v>3.9510000000000003E-2</v>
      </c>
      <c r="D515">
        <v>3.3000000000000002E-2</v>
      </c>
      <c r="E515">
        <v>3.6970000000000003E-2</v>
      </c>
      <c r="F515">
        <v>39354534</v>
      </c>
      <c r="G515">
        <v>0</v>
      </c>
      <c r="L515" t="s">
        <v>7</v>
      </c>
      <c r="M515" t="s">
        <v>7</v>
      </c>
      <c r="N515" t="s">
        <v>7</v>
      </c>
      <c r="P515">
        <f t="shared" si="980"/>
        <v>0.21966205837173583</v>
      </c>
      <c r="Q515">
        <f t="shared" si="981"/>
        <v>8644697.9447004627</v>
      </c>
      <c r="R515">
        <f t="shared" si="982"/>
        <v>46688644.388234355</v>
      </c>
      <c r="S515">
        <f t="shared" si="983"/>
        <v>466.88644388234354</v>
      </c>
      <c r="T515">
        <f t="shared" si="984"/>
        <v>0.46688644388234352</v>
      </c>
    </row>
    <row r="516" spans="1:20" x14ac:dyDescent="0.25">
      <c r="A516" s="5">
        <v>44077</v>
      </c>
      <c r="B516">
        <v>4.9910000000000003E-2</v>
      </c>
      <c r="C516">
        <v>5.0479999999999997E-2</v>
      </c>
      <c r="D516">
        <v>3.3210000000000003E-2</v>
      </c>
      <c r="E516">
        <v>3.5799999999999998E-2</v>
      </c>
      <c r="F516">
        <v>69410141.599999994</v>
      </c>
      <c r="G516">
        <v>0</v>
      </c>
      <c r="L516" t="s">
        <v>7</v>
      </c>
      <c r="M516" t="s">
        <v>7</v>
      </c>
      <c r="N516" t="s">
        <v>7</v>
      </c>
      <c r="P516">
        <f t="shared" si="980"/>
        <v>-0.70005790387956035</v>
      </c>
      <c r="Q516">
        <f t="shared" si="981"/>
        <v>-48591118.236479469</v>
      </c>
      <c r="R516">
        <f t="shared" si="982"/>
        <v>38043946.44353389</v>
      </c>
      <c r="S516">
        <f t="shared" si="983"/>
        <v>380.43946443533889</v>
      </c>
      <c r="T516">
        <f t="shared" si="984"/>
        <v>0.38043946443533888</v>
      </c>
    </row>
    <row r="517" spans="1:20" x14ac:dyDescent="0.25">
      <c r="A517" s="5">
        <v>44076</v>
      </c>
      <c r="B517">
        <v>4.895E-2</v>
      </c>
      <c r="C517">
        <v>5.2420000000000001E-2</v>
      </c>
      <c r="D517">
        <v>4.2909999999999997E-2</v>
      </c>
      <c r="E517">
        <v>4.99E-2</v>
      </c>
      <c r="F517">
        <v>58310745.600000001</v>
      </c>
      <c r="G517">
        <v>0</v>
      </c>
      <c r="L517" t="s">
        <v>7</v>
      </c>
      <c r="M517" t="s">
        <v>7</v>
      </c>
      <c r="N517" t="s">
        <v>7</v>
      </c>
      <c r="P517">
        <f t="shared" si="980"/>
        <v>0.47003154574132489</v>
      </c>
      <c r="Q517">
        <f t="shared" si="981"/>
        <v>27407889.88769716</v>
      </c>
      <c r="R517">
        <f t="shared" si="982"/>
        <v>86635064.680013359</v>
      </c>
      <c r="S517">
        <f t="shared" si="983"/>
        <v>866.35064680013363</v>
      </c>
      <c r="T517">
        <f t="shared" si="984"/>
        <v>0.86635064680013363</v>
      </c>
    </row>
    <row r="518" spans="1:20" x14ac:dyDescent="0.25">
      <c r="A518" s="5">
        <v>44075</v>
      </c>
      <c r="B518">
        <v>5.1429999999999997E-2</v>
      </c>
      <c r="C518">
        <v>0.06</v>
      </c>
      <c r="D518">
        <v>4.7699999999999999E-2</v>
      </c>
      <c r="E518">
        <v>4.8800000000000003E-2</v>
      </c>
      <c r="F518">
        <v>177279400.90000001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5">IF(C518=D518,0,((E518-D518)-(C518-E518))/(C518-D518))</f>
        <v>-0.82113821138211318</v>
      </c>
      <c r="Q518">
        <f t="shared" ref="Q518:Q581" si="986">F518*P518</f>
        <v>-145570890.1699186</v>
      </c>
      <c r="R518">
        <f t="shared" ref="R518:R581" si="987">R519+Q518</f>
        <v>59227174.792316198</v>
      </c>
      <c r="S518">
        <f t="shared" ref="S518:S581" si="988">R518/100000</f>
        <v>592.27174792316202</v>
      </c>
      <c r="T518">
        <f t="shared" ref="T518:T581" si="989">S518/1000</f>
        <v>0.59227174792316206</v>
      </c>
    </row>
    <row r="519" spans="1:20" x14ac:dyDescent="0.25">
      <c r="A519" s="5">
        <v>44074</v>
      </c>
      <c r="B519">
        <v>2.971E-2</v>
      </c>
      <c r="C519">
        <v>5.7000000000000002E-2</v>
      </c>
      <c r="D519">
        <v>2.9530000000000001E-2</v>
      </c>
      <c r="E519">
        <v>5.142E-2</v>
      </c>
      <c r="F519">
        <v>382539081.39999998</v>
      </c>
      <c r="G519">
        <v>0</v>
      </c>
      <c r="L519" t="s">
        <v>8</v>
      </c>
      <c r="M519" t="s">
        <v>8</v>
      </c>
      <c r="N519" t="s">
        <v>8</v>
      </c>
      <c r="P519">
        <f t="shared" si="985"/>
        <v>0.5937386239534036</v>
      </c>
      <c r="Q519">
        <f t="shared" si="986"/>
        <v>227128227.79883504</v>
      </c>
      <c r="R519">
        <f t="shared" si="987"/>
        <v>204798064.9622348</v>
      </c>
      <c r="S519">
        <f t="shared" si="988"/>
        <v>2047.980649622348</v>
      </c>
      <c r="T519">
        <f t="shared" si="989"/>
        <v>2.0479806496223478</v>
      </c>
    </row>
    <row r="520" spans="1:20" x14ac:dyDescent="0.25">
      <c r="A520" s="5">
        <v>44073</v>
      </c>
      <c r="B520">
        <v>2.911E-2</v>
      </c>
      <c r="C520">
        <v>3.0499999999999999E-2</v>
      </c>
      <c r="D520">
        <v>2.9049999999999999E-2</v>
      </c>
      <c r="E520">
        <v>2.964E-2</v>
      </c>
      <c r="F520">
        <v>6806031.7999999998</v>
      </c>
      <c r="G520">
        <v>0</v>
      </c>
      <c r="L520" t="s">
        <v>8</v>
      </c>
      <c r="M520" t="s">
        <v>8</v>
      </c>
      <c r="N520" t="s">
        <v>7</v>
      </c>
      <c r="P520">
        <f t="shared" si="985"/>
        <v>-0.18620689655172373</v>
      </c>
      <c r="Q520">
        <f t="shared" si="986"/>
        <v>-1267330.059310342</v>
      </c>
      <c r="R520">
        <f t="shared" si="987"/>
        <v>-22330162.836600255</v>
      </c>
      <c r="S520">
        <f t="shared" si="988"/>
        <v>-223.30162836600255</v>
      </c>
      <c r="T520">
        <f t="shared" si="989"/>
        <v>-0.22330162836600254</v>
      </c>
    </row>
    <row r="521" spans="1:20" x14ac:dyDescent="0.25">
      <c r="A521" s="5">
        <v>44072</v>
      </c>
      <c r="B521">
        <v>2.76E-2</v>
      </c>
      <c r="C521">
        <v>3.0030000000000001E-2</v>
      </c>
      <c r="D521">
        <v>2.7439999999999999E-2</v>
      </c>
      <c r="E521">
        <v>2.903E-2</v>
      </c>
      <c r="F521">
        <v>11528400.9</v>
      </c>
      <c r="G521">
        <v>0</v>
      </c>
      <c r="L521" t="s">
        <v>8</v>
      </c>
      <c r="M521" t="s">
        <v>8</v>
      </c>
      <c r="N521" t="s">
        <v>7</v>
      </c>
      <c r="P521">
        <f t="shared" si="985"/>
        <v>0.2277992277992277</v>
      </c>
      <c r="Q521">
        <f t="shared" si="986"/>
        <v>2626160.8227799218</v>
      </c>
      <c r="R521">
        <f t="shared" si="987"/>
        <v>-21062832.777289912</v>
      </c>
      <c r="S521">
        <f t="shared" si="988"/>
        <v>-210.62832777289913</v>
      </c>
      <c r="T521">
        <f t="shared" si="989"/>
        <v>-0.21062832777289914</v>
      </c>
    </row>
    <row r="522" spans="1:20" x14ac:dyDescent="0.25">
      <c r="A522" s="5">
        <v>44071</v>
      </c>
      <c r="B522">
        <v>2.6859999999999998E-2</v>
      </c>
      <c r="C522">
        <v>2.7900000000000001E-2</v>
      </c>
      <c r="D522">
        <v>2.6579999999999999E-2</v>
      </c>
      <c r="E522">
        <v>2.7660000000000001E-2</v>
      </c>
      <c r="F522">
        <v>4835881.4000000004</v>
      </c>
      <c r="G522">
        <v>0</v>
      </c>
      <c r="L522" t="s">
        <v>8</v>
      </c>
      <c r="M522" t="s">
        <v>7</v>
      </c>
      <c r="N522" t="s">
        <v>7</v>
      </c>
      <c r="P522">
        <f t="shared" si="985"/>
        <v>0.63636363636363591</v>
      </c>
      <c r="Q522">
        <f t="shared" si="986"/>
        <v>3077379.0727272709</v>
      </c>
      <c r="R522">
        <f t="shared" si="987"/>
        <v>-23688993.600069832</v>
      </c>
      <c r="S522">
        <f t="shared" si="988"/>
        <v>-236.88993600069833</v>
      </c>
      <c r="T522">
        <f t="shared" si="989"/>
        <v>-0.23688993600069833</v>
      </c>
    </row>
    <row r="523" spans="1:20" x14ac:dyDescent="0.25">
      <c r="A523" s="5">
        <v>44070</v>
      </c>
      <c r="B523">
        <v>2.81E-2</v>
      </c>
      <c r="C523">
        <v>2.8299999999999999E-2</v>
      </c>
      <c r="D523">
        <v>2.5749999999999999E-2</v>
      </c>
      <c r="E523">
        <v>2.6859999999999998E-2</v>
      </c>
      <c r="F523">
        <v>10589384.1</v>
      </c>
      <c r="G523">
        <v>0</v>
      </c>
      <c r="L523" t="s">
        <v>7</v>
      </c>
      <c r="M523" t="s">
        <v>7</v>
      </c>
      <c r="N523" t="s">
        <v>7</v>
      </c>
      <c r="P523">
        <f t="shared" si="985"/>
        <v>-0.1294117647058825</v>
      </c>
      <c r="Q523">
        <f t="shared" si="986"/>
        <v>-1370390.8835294133</v>
      </c>
      <c r="R523">
        <f t="shared" si="987"/>
        <v>-26766372.672797102</v>
      </c>
      <c r="S523">
        <f t="shared" si="988"/>
        <v>-267.66372672797104</v>
      </c>
      <c r="T523">
        <f t="shared" si="989"/>
        <v>-0.26766372672797106</v>
      </c>
    </row>
    <row r="524" spans="1:20" x14ac:dyDescent="0.25">
      <c r="A524" s="5">
        <v>44069</v>
      </c>
      <c r="B524">
        <v>2.7689999999999999E-2</v>
      </c>
      <c r="C524">
        <v>2.9499999999999998E-2</v>
      </c>
      <c r="D524">
        <v>2.734E-2</v>
      </c>
      <c r="E524">
        <v>2.81E-2</v>
      </c>
      <c r="F524">
        <v>14585170.699999999</v>
      </c>
      <c r="G524">
        <v>0</v>
      </c>
      <c r="L524" t="s">
        <v>8</v>
      </c>
      <c r="M524" t="s">
        <v>7</v>
      </c>
      <c r="N524" t="s">
        <v>8</v>
      </c>
      <c r="P524">
        <f t="shared" si="985"/>
        <v>-0.29629629629629567</v>
      </c>
      <c r="Q524">
        <f t="shared" si="986"/>
        <v>-4321532.0592592498</v>
      </c>
      <c r="R524">
        <f t="shared" si="987"/>
        <v>-25395981.789267689</v>
      </c>
      <c r="S524">
        <f t="shared" si="988"/>
        <v>-253.95981789267688</v>
      </c>
      <c r="T524">
        <f t="shared" si="989"/>
        <v>-0.25395981789267685</v>
      </c>
    </row>
    <row r="525" spans="1:20" x14ac:dyDescent="0.25">
      <c r="A525" s="5">
        <v>44068</v>
      </c>
      <c r="B525">
        <v>3.0800000000000001E-2</v>
      </c>
      <c r="C525">
        <v>3.0870000000000002E-2</v>
      </c>
      <c r="D525">
        <v>2.6780000000000002E-2</v>
      </c>
      <c r="E525">
        <v>2.7709999999999999E-2</v>
      </c>
      <c r="F525">
        <v>11481795.4</v>
      </c>
      <c r="G525">
        <v>0</v>
      </c>
      <c r="L525" t="s">
        <v>7</v>
      </c>
      <c r="M525" t="s">
        <v>7</v>
      </c>
      <c r="N525" t="s">
        <v>8</v>
      </c>
      <c r="P525">
        <f t="shared" si="985"/>
        <v>-0.54523227383863238</v>
      </c>
      <c r="Q525">
        <f t="shared" si="986"/>
        <v>-6260245.41369195</v>
      </c>
      <c r="R525">
        <f t="shared" si="987"/>
        <v>-21074449.730008438</v>
      </c>
      <c r="S525">
        <f t="shared" si="988"/>
        <v>-210.74449730008439</v>
      </c>
      <c r="T525">
        <f t="shared" si="989"/>
        <v>-0.21074449730008438</v>
      </c>
    </row>
    <row r="526" spans="1:20" x14ac:dyDescent="0.25">
      <c r="A526" s="5">
        <v>44067</v>
      </c>
      <c r="B526">
        <v>3.073E-2</v>
      </c>
      <c r="C526">
        <v>3.143E-2</v>
      </c>
      <c r="D526">
        <v>3.0089999999999999E-2</v>
      </c>
      <c r="E526">
        <v>3.066E-2</v>
      </c>
      <c r="F526">
        <v>6220561.2000000002</v>
      </c>
      <c r="G526">
        <v>0</v>
      </c>
      <c r="L526" t="s">
        <v>8</v>
      </c>
      <c r="M526" t="s">
        <v>7</v>
      </c>
      <c r="N526" t="s">
        <v>8</v>
      </c>
      <c r="P526">
        <f t="shared" si="985"/>
        <v>-0.14925373134328257</v>
      </c>
      <c r="Q526">
        <f t="shared" si="986"/>
        <v>-928441.97014924744</v>
      </c>
      <c r="R526">
        <f t="shared" si="987"/>
        <v>-14814204.316316489</v>
      </c>
      <c r="S526">
        <f t="shared" si="988"/>
        <v>-148.14204316316489</v>
      </c>
      <c r="T526">
        <f t="shared" si="989"/>
        <v>-0.14814204316316487</v>
      </c>
    </row>
    <row r="527" spans="1:20" x14ac:dyDescent="0.25">
      <c r="A527" s="5">
        <v>44066</v>
      </c>
      <c r="B527">
        <v>3.141E-2</v>
      </c>
      <c r="C527">
        <v>3.1510000000000003E-2</v>
      </c>
      <c r="D527">
        <v>3.0169999999999999E-2</v>
      </c>
      <c r="E527">
        <v>3.0870000000000002E-2</v>
      </c>
      <c r="F527">
        <v>5088320.2</v>
      </c>
      <c r="G527">
        <v>0</v>
      </c>
      <c r="L527" t="s">
        <v>8</v>
      </c>
      <c r="M527" t="s">
        <v>7</v>
      </c>
      <c r="N527" t="s">
        <v>8</v>
      </c>
      <c r="P527">
        <f t="shared" si="985"/>
        <v>4.477611940298569E-2</v>
      </c>
      <c r="Q527">
        <f t="shared" si="986"/>
        <v>227835.23283582402</v>
      </c>
      <c r="R527">
        <f t="shared" si="987"/>
        <v>-13885762.346167242</v>
      </c>
      <c r="S527">
        <f t="shared" si="988"/>
        <v>-138.85762346167243</v>
      </c>
      <c r="T527">
        <f t="shared" si="989"/>
        <v>-0.13885762346167244</v>
      </c>
    </row>
    <row r="528" spans="1:20" x14ac:dyDescent="0.25">
      <c r="A528" s="5">
        <v>44065</v>
      </c>
      <c r="B528">
        <v>2.938E-2</v>
      </c>
      <c r="C528">
        <v>3.1419999999999997E-2</v>
      </c>
      <c r="D528">
        <v>2.8299999999999999E-2</v>
      </c>
      <c r="E528">
        <v>3.1419999999999997E-2</v>
      </c>
      <c r="F528">
        <v>12171183.699999999</v>
      </c>
      <c r="G528">
        <v>0</v>
      </c>
      <c r="L528" t="s">
        <v>7</v>
      </c>
      <c r="M528" t="s">
        <v>7</v>
      </c>
      <c r="N528" t="s">
        <v>8</v>
      </c>
      <c r="P528">
        <f t="shared" si="985"/>
        <v>1</v>
      </c>
      <c r="Q528">
        <f t="shared" si="986"/>
        <v>12171183.699999999</v>
      </c>
      <c r="R528">
        <f t="shared" si="987"/>
        <v>-14113597.579003066</v>
      </c>
      <c r="S528">
        <f t="shared" si="988"/>
        <v>-141.13597579003067</v>
      </c>
      <c r="T528">
        <f t="shared" si="989"/>
        <v>-0.14113597579003068</v>
      </c>
    </row>
    <row r="529" spans="1:20" x14ac:dyDescent="0.25">
      <c r="A529" s="5">
        <v>44064</v>
      </c>
      <c r="B529">
        <v>3.0329999999999999E-2</v>
      </c>
      <c r="C529">
        <v>3.5000000000000003E-2</v>
      </c>
      <c r="D529">
        <v>2.9340000000000001E-2</v>
      </c>
      <c r="E529">
        <v>2.945E-2</v>
      </c>
      <c r="F529">
        <v>35372337.799999997</v>
      </c>
      <c r="G529">
        <v>0</v>
      </c>
      <c r="L529" t="s">
        <v>8</v>
      </c>
      <c r="M529" t="s">
        <v>8</v>
      </c>
      <c r="N529" t="s">
        <v>8</v>
      </c>
      <c r="P529">
        <f t="shared" si="985"/>
        <v>-0.96113074204947035</v>
      </c>
      <c r="Q529">
        <f t="shared" si="986"/>
        <v>-33997441.277738526</v>
      </c>
      <c r="R529">
        <f t="shared" si="987"/>
        <v>-26284781.279003065</v>
      </c>
      <c r="S529">
        <f t="shared" si="988"/>
        <v>-262.84781279003067</v>
      </c>
      <c r="T529">
        <f t="shared" si="989"/>
        <v>-0.26284781279003067</v>
      </c>
    </row>
    <row r="530" spans="1:20" x14ac:dyDescent="0.25">
      <c r="A530" s="5">
        <v>44063</v>
      </c>
      <c r="B530">
        <v>2.8819999999999998E-2</v>
      </c>
      <c r="C530">
        <v>3.0530000000000002E-2</v>
      </c>
      <c r="D530">
        <v>2.8250000000000001E-2</v>
      </c>
      <c r="E530">
        <v>3.0200000000000001E-2</v>
      </c>
      <c r="F530">
        <v>12348122</v>
      </c>
      <c r="G530">
        <v>0</v>
      </c>
      <c r="L530" t="s">
        <v>7</v>
      </c>
      <c r="M530" t="s">
        <v>7</v>
      </c>
      <c r="N530" t="s">
        <v>8</v>
      </c>
      <c r="P530">
        <f t="shared" si="985"/>
        <v>0.71052631578947345</v>
      </c>
      <c r="Q530">
        <f t="shared" si="986"/>
        <v>8773665.6315789446</v>
      </c>
      <c r="R530">
        <f t="shared" si="987"/>
        <v>7712659.9987354614</v>
      </c>
      <c r="S530">
        <f t="shared" si="988"/>
        <v>77.126599987354609</v>
      </c>
      <c r="T530">
        <f t="shared" si="989"/>
        <v>7.7126599987354605E-2</v>
      </c>
    </row>
    <row r="531" spans="1:20" x14ac:dyDescent="0.25">
      <c r="A531" s="5">
        <v>44062</v>
      </c>
      <c r="B531">
        <v>3.2000000000000001E-2</v>
      </c>
      <c r="C531">
        <v>3.2390000000000002E-2</v>
      </c>
      <c r="D531">
        <v>2.8680000000000001E-2</v>
      </c>
      <c r="E531">
        <v>2.8809999999999999E-2</v>
      </c>
      <c r="F531">
        <v>18016653.100000001</v>
      </c>
      <c r="G531">
        <v>0</v>
      </c>
      <c r="L531" t="s">
        <v>7</v>
      </c>
      <c r="M531" t="s">
        <v>7</v>
      </c>
      <c r="N531" t="s">
        <v>8</v>
      </c>
      <c r="P531">
        <f t="shared" si="985"/>
        <v>-0.92991913746630828</v>
      </c>
      <c r="Q531">
        <f t="shared" si="986"/>
        <v>-16754030.51078169</v>
      </c>
      <c r="R531">
        <f t="shared" si="987"/>
        <v>-1061005.6328434832</v>
      </c>
      <c r="S531">
        <f t="shared" si="988"/>
        <v>-10.610056328434833</v>
      </c>
      <c r="T531">
        <f t="shared" si="989"/>
        <v>-1.0610056328434833E-2</v>
      </c>
    </row>
    <row r="532" spans="1:20" x14ac:dyDescent="0.25">
      <c r="A532" s="5">
        <v>44061</v>
      </c>
      <c r="B532">
        <v>3.4099999999999998E-2</v>
      </c>
      <c r="C532">
        <v>3.5069999999999997E-2</v>
      </c>
      <c r="D532">
        <v>3.109E-2</v>
      </c>
      <c r="E532">
        <v>3.202E-2</v>
      </c>
      <c r="F532">
        <v>25016483.199999999</v>
      </c>
      <c r="G532">
        <v>0</v>
      </c>
      <c r="L532" t="s">
        <v>7</v>
      </c>
      <c r="M532" t="s">
        <v>7</v>
      </c>
      <c r="N532" t="s">
        <v>8</v>
      </c>
      <c r="P532">
        <f t="shared" si="985"/>
        <v>-0.5326633165829141</v>
      </c>
      <c r="Q532">
        <f t="shared" si="986"/>
        <v>-13325362.910552751</v>
      </c>
      <c r="R532">
        <f t="shared" si="987"/>
        <v>15693024.877938207</v>
      </c>
      <c r="S532">
        <f t="shared" si="988"/>
        <v>156.93024877938208</v>
      </c>
      <c r="T532">
        <f t="shared" si="989"/>
        <v>0.15693024877938208</v>
      </c>
    </row>
    <row r="533" spans="1:20" x14ac:dyDescent="0.25">
      <c r="A533" s="5">
        <v>44060</v>
      </c>
      <c r="B533">
        <v>3.4860000000000002E-2</v>
      </c>
      <c r="C533">
        <v>3.6069999999999998E-2</v>
      </c>
      <c r="D533">
        <v>3.3500000000000002E-2</v>
      </c>
      <c r="E533">
        <v>3.4209999999999997E-2</v>
      </c>
      <c r="F533">
        <v>24561443.600000001</v>
      </c>
      <c r="G533">
        <v>0</v>
      </c>
      <c r="L533" t="s">
        <v>8</v>
      </c>
      <c r="M533" t="s">
        <v>8</v>
      </c>
      <c r="N533" t="s">
        <v>8</v>
      </c>
      <c r="P533">
        <f t="shared" si="985"/>
        <v>-0.44747081712062531</v>
      </c>
      <c r="Q533">
        <f t="shared" si="986"/>
        <v>-10990529.237354154</v>
      </c>
      <c r="R533">
        <f t="shared" si="987"/>
        <v>29018387.788490959</v>
      </c>
      <c r="S533">
        <f t="shared" si="988"/>
        <v>290.18387788490958</v>
      </c>
      <c r="T533">
        <f t="shared" si="989"/>
        <v>0.29018387788490957</v>
      </c>
    </row>
    <row r="534" spans="1:20" x14ac:dyDescent="0.25">
      <c r="A534" s="5">
        <v>44059</v>
      </c>
      <c r="B534">
        <v>3.4369999999999998E-2</v>
      </c>
      <c r="C534">
        <v>3.7080000000000002E-2</v>
      </c>
      <c r="D534">
        <v>3.3399999999999999E-2</v>
      </c>
      <c r="E534">
        <v>3.4779999999999998E-2</v>
      </c>
      <c r="F534">
        <v>19142522.100000001</v>
      </c>
      <c r="G534">
        <v>0</v>
      </c>
      <c r="L534" t="s">
        <v>7</v>
      </c>
      <c r="M534" t="s">
        <v>8</v>
      </c>
      <c r="N534" t="s">
        <v>8</v>
      </c>
      <c r="P534">
        <f t="shared" si="985"/>
        <v>-0.25000000000000094</v>
      </c>
      <c r="Q534">
        <f t="shared" si="986"/>
        <v>-4785630.5250000181</v>
      </c>
      <c r="R534">
        <f t="shared" si="987"/>
        <v>40008917.02584511</v>
      </c>
      <c r="S534">
        <f t="shared" si="988"/>
        <v>400.08917025845108</v>
      </c>
      <c r="T534">
        <f t="shared" si="989"/>
        <v>0.40008917025845109</v>
      </c>
    </row>
    <row r="535" spans="1:20" x14ac:dyDescent="0.25">
      <c r="A535" s="5">
        <v>44058</v>
      </c>
      <c r="B535">
        <v>3.2680000000000001E-2</v>
      </c>
      <c r="C535">
        <v>3.7379999999999997E-2</v>
      </c>
      <c r="D535">
        <v>3.1309999999999998E-2</v>
      </c>
      <c r="E535">
        <v>3.4369999999999998E-2</v>
      </c>
      <c r="F535">
        <v>56578674.700000003</v>
      </c>
      <c r="G535">
        <v>0</v>
      </c>
      <c r="L535" t="s">
        <v>8</v>
      </c>
      <c r="M535" t="s">
        <v>8</v>
      </c>
      <c r="N535" t="s">
        <v>8</v>
      </c>
      <c r="P535">
        <f t="shared" si="985"/>
        <v>8.2372322899508139E-3</v>
      </c>
      <c r="Q535">
        <f t="shared" si="986"/>
        <v>466051.68616146321</v>
      </c>
      <c r="R535">
        <f t="shared" si="987"/>
        <v>44794547.550845131</v>
      </c>
      <c r="S535">
        <f t="shared" si="988"/>
        <v>447.9454755084513</v>
      </c>
      <c r="T535">
        <f t="shared" si="989"/>
        <v>0.44794547550845132</v>
      </c>
    </row>
    <row r="536" spans="1:20" x14ac:dyDescent="0.25">
      <c r="A536" s="5">
        <v>44057</v>
      </c>
      <c r="B536">
        <v>3.4119999999999998E-2</v>
      </c>
      <c r="C536">
        <v>3.4229999999999997E-2</v>
      </c>
      <c r="D536">
        <v>3.1800000000000002E-2</v>
      </c>
      <c r="E536">
        <v>3.2680000000000001E-2</v>
      </c>
      <c r="F536">
        <v>26600960.600000001</v>
      </c>
      <c r="G536">
        <v>0</v>
      </c>
      <c r="L536" t="s">
        <v>7</v>
      </c>
      <c r="M536" t="s">
        <v>8</v>
      </c>
      <c r="N536" t="s">
        <v>8</v>
      </c>
      <c r="P536">
        <f t="shared" si="985"/>
        <v>-0.27572016460905285</v>
      </c>
      <c r="Q536">
        <f t="shared" si="986"/>
        <v>-7334421.2353909295</v>
      </c>
      <c r="R536">
        <f t="shared" si="987"/>
        <v>44328495.864683665</v>
      </c>
      <c r="S536">
        <f t="shared" si="988"/>
        <v>443.28495864683663</v>
      </c>
      <c r="T536">
        <f t="shared" si="989"/>
        <v>0.44328495864683665</v>
      </c>
    </row>
    <row r="537" spans="1:20" x14ac:dyDescent="0.25">
      <c r="A537" s="5">
        <v>44056</v>
      </c>
      <c r="B537">
        <v>3.4470000000000001E-2</v>
      </c>
      <c r="C537">
        <v>3.798E-2</v>
      </c>
      <c r="D537">
        <v>3.1690000000000003E-2</v>
      </c>
      <c r="E537">
        <v>3.4290000000000001E-2</v>
      </c>
      <c r="F537">
        <v>88127044.400000006</v>
      </c>
      <c r="G537">
        <v>0</v>
      </c>
      <c r="L537" t="s">
        <v>8</v>
      </c>
      <c r="M537" t="s">
        <v>8</v>
      </c>
      <c r="N537" t="s">
        <v>8</v>
      </c>
      <c r="P537">
        <f t="shared" si="985"/>
        <v>-0.17329093799682055</v>
      </c>
      <c r="Q537">
        <f t="shared" si="986"/>
        <v>-15271618.186963452</v>
      </c>
      <c r="R537">
        <f t="shared" si="987"/>
        <v>51662917.100074597</v>
      </c>
      <c r="S537">
        <f t="shared" si="988"/>
        <v>516.62917100074594</v>
      </c>
      <c r="T537">
        <f t="shared" si="989"/>
        <v>0.5166291710007459</v>
      </c>
    </row>
    <row r="538" spans="1:20" x14ac:dyDescent="0.25">
      <c r="A538" s="5">
        <v>44055</v>
      </c>
      <c r="B538">
        <v>2.6270000000000002E-2</v>
      </c>
      <c r="C538">
        <v>3.6089999999999997E-2</v>
      </c>
      <c r="D538">
        <v>2.529E-2</v>
      </c>
      <c r="E538">
        <v>3.4459999999999998E-2</v>
      </c>
      <c r="F538">
        <v>98987456.700000003</v>
      </c>
      <c r="G538">
        <v>0</v>
      </c>
      <c r="L538" t="s">
        <v>7</v>
      </c>
      <c r="M538" t="s">
        <v>8</v>
      </c>
      <c r="N538" t="s">
        <v>8</v>
      </c>
      <c r="P538">
        <f t="shared" si="985"/>
        <v>0.69814814814814818</v>
      </c>
      <c r="Q538">
        <f t="shared" si="986"/>
        <v>69107909.585000008</v>
      </c>
      <c r="R538">
        <f t="shared" si="987"/>
        <v>66934535.287038051</v>
      </c>
      <c r="S538">
        <f t="shared" si="988"/>
        <v>669.34535287038045</v>
      </c>
      <c r="T538">
        <f t="shared" si="989"/>
        <v>0.66934535287038044</v>
      </c>
    </row>
    <row r="539" spans="1:20" x14ac:dyDescent="0.25">
      <c r="A539" s="5">
        <v>44054</v>
      </c>
      <c r="B539">
        <v>2.7539999999999999E-2</v>
      </c>
      <c r="C539">
        <v>2.784E-2</v>
      </c>
      <c r="D539">
        <v>2.5760000000000002E-2</v>
      </c>
      <c r="E539">
        <v>2.631E-2</v>
      </c>
      <c r="F539">
        <v>13273216.699999999</v>
      </c>
      <c r="G539">
        <v>0</v>
      </c>
      <c r="L539" t="s">
        <v>7</v>
      </c>
      <c r="M539" t="s">
        <v>8</v>
      </c>
      <c r="N539" t="s">
        <v>8</v>
      </c>
      <c r="P539">
        <f t="shared" si="985"/>
        <v>-0.47115384615384731</v>
      </c>
      <c r="Q539">
        <f t="shared" si="986"/>
        <v>-6253727.0990384761</v>
      </c>
      <c r="R539">
        <f t="shared" si="987"/>
        <v>-2173374.297961955</v>
      </c>
      <c r="S539">
        <f t="shared" si="988"/>
        <v>-21.733742979619549</v>
      </c>
      <c r="T539">
        <f t="shared" si="989"/>
        <v>-2.1733742979619549E-2</v>
      </c>
    </row>
    <row r="540" spans="1:20" x14ac:dyDescent="0.25">
      <c r="A540" s="5">
        <v>44053</v>
      </c>
      <c r="B540">
        <v>2.6290000000000001E-2</v>
      </c>
      <c r="C540">
        <v>2.7980000000000001E-2</v>
      </c>
      <c r="D540">
        <v>2.5999999999999999E-2</v>
      </c>
      <c r="E540">
        <v>2.743E-2</v>
      </c>
      <c r="F540">
        <v>20193810.100000001</v>
      </c>
      <c r="G540">
        <v>0</v>
      </c>
      <c r="L540" t="s">
        <v>8</v>
      </c>
      <c r="M540" t="s">
        <v>8</v>
      </c>
      <c r="N540" t="s">
        <v>8</v>
      </c>
      <c r="P540">
        <f t="shared" si="985"/>
        <v>0.44444444444444325</v>
      </c>
      <c r="Q540">
        <f t="shared" si="986"/>
        <v>8975026.7111110874</v>
      </c>
      <c r="R540">
        <f t="shared" si="987"/>
        <v>4080352.8010765212</v>
      </c>
      <c r="S540">
        <f t="shared" si="988"/>
        <v>40.803528010765213</v>
      </c>
      <c r="T540">
        <f t="shared" si="989"/>
        <v>4.0803528010765214E-2</v>
      </c>
    </row>
    <row r="541" spans="1:20" x14ac:dyDescent="0.25">
      <c r="A541" s="5">
        <v>44052</v>
      </c>
      <c r="B541">
        <v>2.631E-2</v>
      </c>
      <c r="C541">
        <v>2.6579999999999999E-2</v>
      </c>
      <c r="D541">
        <v>2.5899999999999999E-2</v>
      </c>
      <c r="E541">
        <v>2.6290000000000001E-2</v>
      </c>
      <c r="F541">
        <v>6615391.0999999996</v>
      </c>
      <c r="G541">
        <v>0</v>
      </c>
      <c r="L541" t="s">
        <v>7</v>
      </c>
      <c r="M541" t="s">
        <v>8</v>
      </c>
      <c r="N541" t="s">
        <v>8</v>
      </c>
      <c r="P541">
        <f t="shared" si="985"/>
        <v>0.14705882352941596</v>
      </c>
      <c r="Q541">
        <f t="shared" si="986"/>
        <v>972851.63235296891</v>
      </c>
      <c r="R541">
        <f t="shared" si="987"/>
        <v>-4894673.9100345662</v>
      </c>
      <c r="S541">
        <f t="shared" si="988"/>
        <v>-48.94673910034566</v>
      </c>
      <c r="T541">
        <f t="shared" si="989"/>
        <v>-4.8946739100345658E-2</v>
      </c>
    </row>
    <row r="542" spans="1:20" x14ac:dyDescent="0.25">
      <c r="A542" s="5">
        <v>44051</v>
      </c>
      <c r="B542">
        <v>2.5559999999999999E-2</v>
      </c>
      <c r="C542">
        <v>2.6440000000000002E-2</v>
      </c>
      <c r="D542">
        <v>2.546E-2</v>
      </c>
      <c r="E542">
        <v>2.6169999999999999E-2</v>
      </c>
      <c r="F542">
        <v>6512229.5</v>
      </c>
      <c r="G542">
        <v>0</v>
      </c>
      <c r="L542" t="s">
        <v>7</v>
      </c>
      <c r="M542" t="s">
        <v>8</v>
      </c>
      <c r="N542" t="s">
        <v>8</v>
      </c>
      <c r="P542">
        <f t="shared" si="985"/>
        <v>0.44897959183672981</v>
      </c>
      <c r="Q542">
        <f t="shared" si="986"/>
        <v>2923858.1428571111</v>
      </c>
      <c r="R542">
        <f t="shared" si="987"/>
        <v>-5867525.5423875349</v>
      </c>
      <c r="S542">
        <f t="shared" si="988"/>
        <v>-58.675255423875349</v>
      </c>
      <c r="T542">
        <f t="shared" si="989"/>
        <v>-5.8675255423875347E-2</v>
      </c>
    </row>
    <row r="543" spans="1:20" x14ac:dyDescent="0.25">
      <c r="A543" s="5">
        <v>44050</v>
      </c>
      <c r="B543">
        <v>2.6009999999999998E-2</v>
      </c>
      <c r="C543">
        <v>2.6499999999999999E-2</v>
      </c>
      <c r="D543">
        <v>2.5219999999999999E-2</v>
      </c>
      <c r="E543">
        <v>2.5590000000000002E-2</v>
      </c>
      <c r="F543">
        <v>7796752.0999999996</v>
      </c>
      <c r="G543">
        <v>0</v>
      </c>
      <c r="L543" t="s">
        <v>7</v>
      </c>
      <c r="M543" t="s">
        <v>8</v>
      </c>
      <c r="N543" t="s">
        <v>8</v>
      </c>
      <c r="P543">
        <f t="shared" si="985"/>
        <v>-0.42187499999999639</v>
      </c>
      <c r="Q543">
        <f t="shared" si="986"/>
        <v>-3289254.7921874719</v>
      </c>
      <c r="R543">
        <f t="shared" si="987"/>
        <v>-8791383.6852446459</v>
      </c>
      <c r="S543">
        <f t="shared" si="988"/>
        <v>-87.913836852446465</v>
      </c>
      <c r="T543">
        <f t="shared" si="989"/>
        <v>-8.791383685244647E-2</v>
      </c>
    </row>
    <row r="544" spans="1:20" x14ac:dyDescent="0.25">
      <c r="A544" s="5">
        <v>44049</v>
      </c>
      <c r="B544">
        <v>2.6190000000000001E-2</v>
      </c>
      <c r="C544">
        <v>2.6380000000000001E-2</v>
      </c>
      <c r="D544">
        <v>2.5610000000000001E-2</v>
      </c>
      <c r="E544">
        <v>2.6030000000000001E-2</v>
      </c>
      <c r="F544">
        <v>5187889.5</v>
      </c>
      <c r="G544">
        <v>0</v>
      </c>
      <c r="L544" t="s">
        <v>7</v>
      </c>
      <c r="M544" t="s">
        <v>8</v>
      </c>
      <c r="N544" t="s">
        <v>8</v>
      </c>
      <c r="P544">
        <f t="shared" si="985"/>
        <v>9.090909090909173E-2</v>
      </c>
      <c r="Q544">
        <f t="shared" si="986"/>
        <v>471626.31818182243</v>
      </c>
      <c r="R544">
        <f t="shared" si="987"/>
        <v>-5502128.893057175</v>
      </c>
      <c r="S544">
        <f t="shared" si="988"/>
        <v>-55.02128893057175</v>
      </c>
      <c r="T544">
        <f t="shared" si="989"/>
        <v>-5.5021288930571746E-2</v>
      </c>
    </row>
    <row r="545" spans="1:20" x14ac:dyDescent="0.25">
      <c r="A545" s="5">
        <v>44048</v>
      </c>
      <c r="B545">
        <v>2.5860000000000001E-2</v>
      </c>
      <c r="C545">
        <v>2.63E-2</v>
      </c>
      <c r="D545">
        <v>2.5489999999999999E-2</v>
      </c>
      <c r="E545">
        <v>2.615E-2</v>
      </c>
      <c r="F545">
        <v>6758854.7999999998</v>
      </c>
      <c r="G545">
        <v>0</v>
      </c>
      <c r="L545" t="s">
        <v>7</v>
      </c>
      <c r="M545" t="s">
        <v>8</v>
      </c>
      <c r="N545" t="s">
        <v>8</v>
      </c>
      <c r="P545">
        <f t="shared" si="985"/>
        <v>0.62962962962962832</v>
      </c>
      <c r="Q545">
        <f t="shared" si="986"/>
        <v>4255575.2444444355</v>
      </c>
      <c r="R545">
        <f t="shared" si="987"/>
        <v>-5973755.2112389971</v>
      </c>
      <c r="S545">
        <f t="shared" si="988"/>
        <v>-59.73755211238997</v>
      </c>
      <c r="T545">
        <f t="shared" si="989"/>
        <v>-5.9737552112389972E-2</v>
      </c>
    </row>
    <row r="546" spans="1:20" x14ac:dyDescent="0.25">
      <c r="A546" s="5">
        <v>44047</v>
      </c>
      <c r="B546">
        <v>2.6179999999999998E-2</v>
      </c>
      <c r="C546">
        <v>2.64E-2</v>
      </c>
      <c r="D546">
        <v>2.5479999999999999E-2</v>
      </c>
      <c r="E546">
        <v>2.5780000000000001E-2</v>
      </c>
      <c r="F546">
        <v>6109171.9000000004</v>
      </c>
      <c r="G546">
        <v>0</v>
      </c>
      <c r="L546" t="s">
        <v>7</v>
      </c>
      <c r="M546" t="s">
        <v>8</v>
      </c>
      <c r="N546" t="s">
        <v>8</v>
      </c>
      <c r="P546">
        <f t="shared" si="985"/>
        <v>-0.34782608695651862</v>
      </c>
      <c r="Q546">
        <f t="shared" si="986"/>
        <v>-2124929.3565217201</v>
      </c>
      <c r="R546">
        <f t="shared" si="987"/>
        <v>-10229330.455683433</v>
      </c>
      <c r="S546">
        <f t="shared" si="988"/>
        <v>-102.29330455683433</v>
      </c>
      <c r="T546">
        <f t="shared" si="989"/>
        <v>-0.10229330455683433</v>
      </c>
    </row>
    <row r="547" spans="1:20" x14ac:dyDescent="0.25">
      <c r="A547" s="5">
        <v>44046</v>
      </c>
      <c r="B547">
        <v>2.5649999999999999E-2</v>
      </c>
      <c r="C547">
        <v>2.665E-2</v>
      </c>
      <c r="D547">
        <v>2.564E-2</v>
      </c>
      <c r="E547">
        <v>2.6100000000000002E-2</v>
      </c>
      <c r="F547">
        <v>5189229.9000000004</v>
      </c>
      <c r="G547">
        <v>0</v>
      </c>
      <c r="L547" t="s">
        <v>7</v>
      </c>
      <c r="M547" t="s">
        <v>8</v>
      </c>
      <c r="N547" t="s">
        <v>8</v>
      </c>
      <c r="P547">
        <f t="shared" si="985"/>
        <v>-8.9108910891085441E-2</v>
      </c>
      <c r="Q547">
        <f t="shared" si="986"/>
        <v>-462406.62475245626</v>
      </c>
      <c r="R547">
        <f t="shared" si="987"/>
        <v>-8104401.0991617134</v>
      </c>
      <c r="S547">
        <f t="shared" si="988"/>
        <v>-81.044010991617128</v>
      </c>
      <c r="T547">
        <f t="shared" si="989"/>
        <v>-8.1044010991617121E-2</v>
      </c>
    </row>
    <row r="548" spans="1:20" x14ac:dyDescent="0.25">
      <c r="A548" s="5">
        <v>44045</v>
      </c>
      <c r="B548">
        <v>2.7119999999999998E-2</v>
      </c>
      <c r="C548">
        <v>2.8400000000000002E-2</v>
      </c>
      <c r="D548">
        <v>2.4899999999999999E-2</v>
      </c>
      <c r="E548">
        <v>2.5760000000000002E-2</v>
      </c>
      <c r="F548">
        <v>14367934.5</v>
      </c>
      <c r="G548">
        <v>0</v>
      </c>
      <c r="L548" t="s">
        <v>7</v>
      </c>
      <c r="M548" t="s">
        <v>8</v>
      </c>
      <c r="N548" t="s">
        <v>8</v>
      </c>
      <c r="P548">
        <f t="shared" si="985"/>
        <v>-0.50857142857142723</v>
      </c>
      <c r="Q548">
        <f t="shared" si="986"/>
        <v>-7307120.9742856948</v>
      </c>
      <c r="R548">
        <f t="shared" si="987"/>
        <v>-7641994.4744092571</v>
      </c>
      <c r="S548">
        <f t="shared" si="988"/>
        <v>-76.419944744092575</v>
      </c>
      <c r="T548">
        <f t="shared" si="989"/>
        <v>-7.6419944744092569E-2</v>
      </c>
    </row>
    <row r="549" spans="1:20" x14ac:dyDescent="0.25">
      <c r="A549" s="5">
        <v>44044</v>
      </c>
      <c r="B549">
        <v>2.6159999999999999E-2</v>
      </c>
      <c r="C549">
        <v>2.7560000000000001E-2</v>
      </c>
      <c r="D549">
        <v>2.6069999999999999E-2</v>
      </c>
      <c r="E549">
        <v>2.7119999999999998E-2</v>
      </c>
      <c r="F549">
        <v>9086313.4000000004</v>
      </c>
      <c r="G549">
        <v>0</v>
      </c>
      <c r="L549" t="s">
        <v>7</v>
      </c>
      <c r="M549" t="s">
        <v>8</v>
      </c>
      <c r="N549" t="s">
        <v>8</v>
      </c>
      <c r="P549">
        <f t="shared" si="985"/>
        <v>0.40939597315435922</v>
      </c>
      <c r="Q549">
        <f t="shared" si="986"/>
        <v>3719900.1167784948</v>
      </c>
      <c r="R549">
        <f t="shared" si="987"/>
        <v>-334873.50012356229</v>
      </c>
      <c r="S549">
        <f t="shared" si="988"/>
        <v>-3.3487350012356227</v>
      </c>
      <c r="T549">
        <f t="shared" si="989"/>
        <v>-3.3487350012356225E-3</v>
      </c>
    </row>
    <row r="550" spans="1:20" x14ac:dyDescent="0.25">
      <c r="A550" s="5">
        <v>44043</v>
      </c>
      <c r="B550">
        <v>2.7050000000000001E-2</v>
      </c>
      <c r="C550">
        <v>2.8369999999999999E-2</v>
      </c>
      <c r="D550">
        <v>2.6069999999999999E-2</v>
      </c>
      <c r="E550">
        <v>2.6290000000000001E-2</v>
      </c>
      <c r="F550">
        <v>19602641.399999999</v>
      </c>
      <c r="G550">
        <v>0</v>
      </c>
      <c r="L550" t="s">
        <v>7</v>
      </c>
      <c r="M550" t="s">
        <v>8</v>
      </c>
      <c r="N550" t="s">
        <v>8</v>
      </c>
      <c r="P550">
        <f t="shared" si="985"/>
        <v>-0.80869565217391182</v>
      </c>
      <c r="Q550">
        <f t="shared" si="986"/>
        <v>-15852570.871304322</v>
      </c>
      <c r="R550">
        <f t="shared" si="987"/>
        <v>-4054773.6169020571</v>
      </c>
      <c r="S550">
        <f t="shared" si="988"/>
        <v>-40.547736169020574</v>
      </c>
      <c r="T550">
        <f t="shared" si="989"/>
        <v>-4.0547736169020576E-2</v>
      </c>
    </row>
    <row r="551" spans="1:20" x14ac:dyDescent="0.25">
      <c r="A551" s="5">
        <v>44042</v>
      </c>
      <c r="B551">
        <v>2.5909999999999999E-2</v>
      </c>
      <c r="C551">
        <v>2.9319999999999999E-2</v>
      </c>
      <c r="D551">
        <v>2.5669999999999998E-2</v>
      </c>
      <c r="E551">
        <v>2.7029999999999998E-2</v>
      </c>
      <c r="F551">
        <v>22697069.899999999</v>
      </c>
      <c r="G551">
        <v>0</v>
      </c>
      <c r="L551" t="s">
        <v>8</v>
      </c>
      <c r="M551" t="s">
        <v>8</v>
      </c>
      <c r="N551" t="s">
        <v>8</v>
      </c>
      <c r="P551">
        <f t="shared" si="985"/>
        <v>-0.25479452054794527</v>
      </c>
      <c r="Q551">
        <f t="shared" si="986"/>
        <v>-5783089.0430136994</v>
      </c>
      <c r="R551">
        <f t="shared" si="987"/>
        <v>11797797.254402265</v>
      </c>
      <c r="S551">
        <f t="shared" si="988"/>
        <v>117.97797254402265</v>
      </c>
      <c r="T551">
        <f t="shared" si="989"/>
        <v>0.11797797254402265</v>
      </c>
    </row>
    <row r="552" spans="1:20" x14ac:dyDescent="0.25">
      <c r="A552" s="5">
        <v>44041</v>
      </c>
      <c r="B552">
        <v>2.5559999999999999E-2</v>
      </c>
      <c r="C552">
        <v>2.6939999999999999E-2</v>
      </c>
      <c r="D552">
        <v>2.5420000000000002E-2</v>
      </c>
      <c r="E552">
        <v>2.5919999999999999E-2</v>
      </c>
      <c r="F552">
        <v>8728165.5</v>
      </c>
      <c r="G552">
        <v>0</v>
      </c>
      <c r="L552" t="s">
        <v>8</v>
      </c>
      <c r="M552" t="s">
        <v>8</v>
      </c>
      <c r="N552" t="s">
        <v>8</v>
      </c>
      <c r="P552">
        <f t="shared" si="985"/>
        <v>-0.34210526315789747</v>
      </c>
      <c r="Q552">
        <f t="shared" si="986"/>
        <v>-2985951.3552631815</v>
      </c>
      <c r="R552">
        <f t="shared" si="987"/>
        <v>17580886.297415964</v>
      </c>
      <c r="S552">
        <f t="shared" si="988"/>
        <v>175.80886297415964</v>
      </c>
      <c r="T552">
        <f t="shared" si="989"/>
        <v>0.17580886297415962</v>
      </c>
    </row>
    <row r="553" spans="1:20" x14ac:dyDescent="0.25">
      <c r="A553" s="5">
        <v>44040</v>
      </c>
      <c r="B553">
        <v>2.5430000000000001E-2</v>
      </c>
      <c r="C553">
        <v>2.5999999999999999E-2</v>
      </c>
      <c r="D553">
        <v>2.4629999999999999E-2</v>
      </c>
      <c r="E553">
        <v>2.547E-2</v>
      </c>
      <c r="F553">
        <v>6843711.4000000004</v>
      </c>
      <c r="G553">
        <v>0</v>
      </c>
      <c r="L553" t="s">
        <v>8</v>
      </c>
      <c r="M553" t="s">
        <v>8</v>
      </c>
      <c r="N553" t="s">
        <v>8</v>
      </c>
      <c r="P553">
        <f t="shared" si="985"/>
        <v>0.2262773722627747</v>
      </c>
      <c r="Q553">
        <f t="shared" si="986"/>
        <v>1548577.032116795</v>
      </c>
      <c r="R553">
        <f t="shared" si="987"/>
        <v>20566837.652679145</v>
      </c>
      <c r="S553">
        <f t="shared" si="988"/>
        <v>205.66837652679146</v>
      </c>
      <c r="T553">
        <f t="shared" si="989"/>
        <v>0.20566837652679146</v>
      </c>
    </row>
    <row r="554" spans="1:20" x14ac:dyDescent="0.25">
      <c r="A554" s="5">
        <v>44039</v>
      </c>
      <c r="B554">
        <v>2.5319999999999999E-2</v>
      </c>
      <c r="C554">
        <v>2.5999999999999999E-2</v>
      </c>
      <c r="D554">
        <v>2.401E-2</v>
      </c>
      <c r="E554">
        <v>2.521E-2</v>
      </c>
      <c r="F554">
        <v>12152454.6</v>
      </c>
      <c r="G554">
        <v>0</v>
      </c>
      <c r="L554" t="s">
        <v>7</v>
      </c>
      <c r="M554" t="s">
        <v>8</v>
      </c>
      <c r="N554" t="s">
        <v>8</v>
      </c>
      <c r="P554">
        <f t="shared" si="985"/>
        <v>0.20603015075376929</v>
      </c>
      <c r="Q554">
        <f t="shared" si="986"/>
        <v>2503772.0532663371</v>
      </c>
      <c r="R554">
        <f t="shared" si="987"/>
        <v>19018260.620562352</v>
      </c>
      <c r="S554">
        <f t="shared" si="988"/>
        <v>190.18260620562353</v>
      </c>
      <c r="T554">
        <f t="shared" si="989"/>
        <v>0.19018260620562352</v>
      </c>
    </row>
    <row r="555" spans="1:20" x14ac:dyDescent="0.25">
      <c r="A555" s="5">
        <v>44038</v>
      </c>
      <c r="B555">
        <v>2.5559999999999999E-2</v>
      </c>
      <c r="C555">
        <v>2.588E-2</v>
      </c>
      <c r="D555">
        <v>2.4799999999999999E-2</v>
      </c>
      <c r="E555">
        <v>2.5319999999999999E-2</v>
      </c>
      <c r="F555">
        <v>7316147.5999999996</v>
      </c>
      <c r="G555">
        <v>0</v>
      </c>
      <c r="L555" t="s">
        <v>8</v>
      </c>
      <c r="M555" t="s">
        <v>8</v>
      </c>
      <c r="N555" t="s">
        <v>8</v>
      </c>
      <c r="P555">
        <f t="shared" si="985"/>
        <v>-3.70370370370387E-2</v>
      </c>
      <c r="Q555">
        <f t="shared" si="986"/>
        <v>-270968.42962964176</v>
      </c>
      <c r="R555">
        <f t="shared" si="987"/>
        <v>16514488.567296017</v>
      </c>
      <c r="S555">
        <f t="shared" si="988"/>
        <v>165.14488567296016</v>
      </c>
      <c r="T555">
        <f t="shared" si="989"/>
        <v>0.16514488567296015</v>
      </c>
    </row>
    <row r="556" spans="1:20" x14ac:dyDescent="0.25">
      <c r="A556" s="5">
        <v>44037</v>
      </c>
      <c r="B556">
        <v>2.555E-2</v>
      </c>
      <c r="C556">
        <v>2.5669999999999998E-2</v>
      </c>
      <c r="D556">
        <v>2.5010000000000001E-2</v>
      </c>
      <c r="E556">
        <v>2.554E-2</v>
      </c>
      <c r="F556">
        <v>4749853.0999999996</v>
      </c>
      <c r="G556">
        <v>0</v>
      </c>
      <c r="L556" t="s">
        <v>8</v>
      </c>
      <c r="M556" t="s">
        <v>8</v>
      </c>
      <c r="N556" t="s">
        <v>8</v>
      </c>
      <c r="P556">
        <f t="shared" si="985"/>
        <v>0.60606060606061007</v>
      </c>
      <c r="Q556">
        <f t="shared" si="986"/>
        <v>2878698.8484848673</v>
      </c>
      <c r="R556">
        <f t="shared" si="987"/>
        <v>16785456.996925659</v>
      </c>
      <c r="S556">
        <f t="shared" si="988"/>
        <v>167.8545699692566</v>
      </c>
      <c r="T556">
        <f t="shared" si="989"/>
        <v>0.1678545699692566</v>
      </c>
    </row>
    <row r="557" spans="1:20" x14ac:dyDescent="0.25">
      <c r="A557" s="5">
        <v>44036</v>
      </c>
      <c r="B557">
        <v>2.503E-2</v>
      </c>
      <c r="C557">
        <v>2.58E-2</v>
      </c>
      <c r="D557">
        <v>2.4639999999999999E-2</v>
      </c>
      <c r="E557">
        <v>2.5559999999999999E-2</v>
      </c>
      <c r="F557">
        <v>5196755.9000000004</v>
      </c>
      <c r="G557">
        <v>0</v>
      </c>
      <c r="L557" t="s">
        <v>8</v>
      </c>
      <c r="M557" t="s">
        <v>8</v>
      </c>
      <c r="N557" t="s">
        <v>8</v>
      </c>
      <c r="P557">
        <f t="shared" si="985"/>
        <v>0.58620689655172353</v>
      </c>
      <c r="Q557">
        <f t="shared" si="986"/>
        <v>3046374.1482758592</v>
      </c>
      <c r="R557">
        <f t="shared" si="987"/>
        <v>13906758.148440793</v>
      </c>
      <c r="S557">
        <f t="shared" si="988"/>
        <v>139.06758148440792</v>
      </c>
      <c r="T557">
        <f t="shared" si="989"/>
        <v>0.13906758148440793</v>
      </c>
    </row>
    <row r="558" spans="1:20" x14ac:dyDescent="0.25">
      <c r="A558" s="5">
        <v>44035</v>
      </c>
      <c r="B558">
        <v>2.5499999999999998E-2</v>
      </c>
      <c r="C558">
        <v>2.5899999999999999E-2</v>
      </c>
      <c r="D558">
        <v>2.4459999999999999E-2</v>
      </c>
      <c r="E558">
        <v>2.4879999999999999E-2</v>
      </c>
      <c r="F558">
        <v>7403847.0999999996</v>
      </c>
      <c r="G558">
        <v>0</v>
      </c>
      <c r="L558" t="s">
        <v>8</v>
      </c>
      <c r="M558" t="s">
        <v>8</v>
      </c>
      <c r="N558" t="s">
        <v>8</v>
      </c>
      <c r="P558">
        <f t="shared" si="985"/>
        <v>-0.41666666666666646</v>
      </c>
      <c r="Q558">
        <f t="shared" si="986"/>
        <v>-3084936.2916666651</v>
      </c>
      <c r="R558">
        <f t="shared" si="987"/>
        <v>10860384.000164934</v>
      </c>
      <c r="S558">
        <f t="shared" si="988"/>
        <v>108.60384000164933</v>
      </c>
      <c r="T558">
        <f t="shared" si="989"/>
        <v>0.10860384000164933</v>
      </c>
    </row>
    <row r="559" spans="1:20" x14ac:dyDescent="0.25">
      <c r="A559" s="5">
        <v>44034</v>
      </c>
      <c r="B559">
        <v>2.4969999999999999E-2</v>
      </c>
      <c r="C559">
        <v>2.5749999999999999E-2</v>
      </c>
      <c r="D559">
        <v>2.4500000000000001E-2</v>
      </c>
      <c r="E559">
        <v>2.5489999999999999E-2</v>
      </c>
      <c r="F559">
        <v>6740437.7000000002</v>
      </c>
      <c r="G559">
        <v>0</v>
      </c>
      <c r="L559" t="s">
        <v>8</v>
      </c>
      <c r="M559" t="s">
        <v>7</v>
      </c>
      <c r="N559" t="s">
        <v>8</v>
      </c>
      <c r="P559">
        <f t="shared" si="985"/>
        <v>0.58399999999999952</v>
      </c>
      <c r="Q559">
        <f t="shared" si="986"/>
        <v>3936415.6167999967</v>
      </c>
      <c r="R559">
        <f t="shared" si="987"/>
        <v>13945320.2918316</v>
      </c>
      <c r="S559">
        <f t="shared" si="988"/>
        <v>139.45320291831601</v>
      </c>
      <c r="T559">
        <f t="shared" si="989"/>
        <v>0.139453202918316</v>
      </c>
    </row>
    <row r="560" spans="1:20" x14ac:dyDescent="0.25">
      <c r="A560" s="5">
        <v>44033</v>
      </c>
      <c r="B560">
        <v>2.427E-2</v>
      </c>
      <c r="C560">
        <v>2.5520000000000001E-2</v>
      </c>
      <c r="D560">
        <v>2.4039999999999999E-2</v>
      </c>
      <c r="E560">
        <v>2.5010000000000001E-2</v>
      </c>
      <c r="F560">
        <v>9770427.6999999993</v>
      </c>
      <c r="G560">
        <v>0</v>
      </c>
      <c r="L560" t="s">
        <v>8</v>
      </c>
      <c r="M560" t="s">
        <v>7</v>
      </c>
      <c r="N560" t="s">
        <v>8</v>
      </c>
      <c r="P560">
        <f t="shared" si="985"/>
        <v>0.31081081081081174</v>
      </c>
      <c r="Q560">
        <f t="shared" si="986"/>
        <v>3036754.5554054142</v>
      </c>
      <c r="R560">
        <f t="shared" si="987"/>
        <v>10008904.675031602</v>
      </c>
      <c r="S560">
        <f t="shared" si="988"/>
        <v>100.08904675031603</v>
      </c>
      <c r="T560">
        <f t="shared" si="989"/>
        <v>0.10008904675031603</v>
      </c>
    </row>
    <row r="561" spans="1:104" x14ac:dyDescent="0.25">
      <c r="A561" s="5">
        <v>44032</v>
      </c>
      <c r="B561">
        <v>2.3730000000000001E-2</v>
      </c>
      <c r="C561">
        <v>2.477E-2</v>
      </c>
      <c r="D561">
        <v>2.3570000000000001E-2</v>
      </c>
      <c r="E561">
        <v>2.4279999999999999E-2</v>
      </c>
      <c r="F561">
        <v>9241422.8000000007</v>
      </c>
      <c r="G561">
        <v>0</v>
      </c>
      <c r="L561" t="s">
        <v>8</v>
      </c>
      <c r="M561" t="s">
        <v>7</v>
      </c>
      <c r="N561" t="s">
        <v>8</v>
      </c>
      <c r="P561">
        <f t="shared" si="985"/>
        <v>0.18333333333333168</v>
      </c>
      <c r="Q561">
        <f t="shared" si="986"/>
        <v>1694260.8466666515</v>
      </c>
      <c r="R561">
        <f t="shared" si="987"/>
        <v>6972150.1196261877</v>
      </c>
      <c r="S561">
        <f t="shared" si="988"/>
        <v>69.721501196261883</v>
      </c>
      <c r="T561">
        <f t="shared" si="989"/>
        <v>6.9721501196261887E-2</v>
      </c>
      <c r="CZ561" t="s">
        <v>7</v>
      </c>
    </row>
    <row r="562" spans="1:104" x14ac:dyDescent="0.25">
      <c r="A562" s="5">
        <v>44031</v>
      </c>
      <c r="B562">
        <v>2.3820000000000001E-2</v>
      </c>
      <c r="C562">
        <v>2.4500000000000001E-2</v>
      </c>
      <c r="D562">
        <v>2.3290000000000002E-2</v>
      </c>
      <c r="E562">
        <v>2.366E-2</v>
      </c>
      <c r="F562">
        <v>6754601.4000000004</v>
      </c>
      <c r="G562">
        <v>0</v>
      </c>
      <c r="L562" t="s">
        <v>8</v>
      </c>
      <c r="M562" t="s">
        <v>7</v>
      </c>
      <c r="N562" t="s">
        <v>8</v>
      </c>
      <c r="P562">
        <f t="shared" si="985"/>
        <v>-0.3884297520661173</v>
      </c>
      <c r="Q562">
        <f t="shared" si="986"/>
        <v>-2623688.1471074489</v>
      </c>
      <c r="R562">
        <f t="shared" si="987"/>
        <v>5277889.2729595359</v>
      </c>
      <c r="S562">
        <f t="shared" si="988"/>
        <v>52.778892729595363</v>
      </c>
      <c r="T562">
        <f t="shared" si="989"/>
        <v>5.2778892729595364E-2</v>
      </c>
      <c r="CZ562" t="s">
        <v>7</v>
      </c>
    </row>
    <row r="563" spans="1:104" x14ac:dyDescent="0.25">
      <c r="A563" s="5">
        <v>44030</v>
      </c>
      <c r="B563">
        <v>2.3519999999999999E-2</v>
      </c>
      <c r="C563">
        <v>2.3879999999999998E-2</v>
      </c>
      <c r="D563">
        <v>2.3179999999999999E-2</v>
      </c>
      <c r="E563">
        <v>2.3820000000000001E-2</v>
      </c>
      <c r="F563">
        <v>3481961.5</v>
      </c>
      <c r="G563">
        <v>0</v>
      </c>
      <c r="L563" t="s">
        <v>8</v>
      </c>
      <c r="M563" t="s">
        <v>7</v>
      </c>
      <c r="N563" t="s">
        <v>8</v>
      </c>
      <c r="P563">
        <f t="shared" si="985"/>
        <v>0.8285714285714354</v>
      </c>
      <c r="Q563">
        <f t="shared" si="986"/>
        <v>2885053.8142857379</v>
      </c>
      <c r="R563">
        <f t="shared" si="987"/>
        <v>7901577.4200669844</v>
      </c>
      <c r="S563">
        <f t="shared" si="988"/>
        <v>79.015774200669838</v>
      </c>
      <c r="T563">
        <f t="shared" si="989"/>
        <v>7.9015774200669839E-2</v>
      </c>
      <c r="CZ563" t="s">
        <v>7</v>
      </c>
    </row>
    <row r="564" spans="1:104" x14ac:dyDescent="0.25">
      <c r="A564" s="5">
        <v>44029</v>
      </c>
      <c r="B564">
        <v>2.3429999999999999E-2</v>
      </c>
      <c r="C564">
        <v>2.3709999999999998E-2</v>
      </c>
      <c r="D564">
        <v>2.3140000000000001E-2</v>
      </c>
      <c r="E564">
        <v>2.351E-2</v>
      </c>
      <c r="F564">
        <v>2253483.2999999998</v>
      </c>
      <c r="G564">
        <v>0</v>
      </c>
      <c r="L564" t="s">
        <v>8</v>
      </c>
      <c r="M564" t="s">
        <v>7</v>
      </c>
      <c r="N564" t="s">
        <v>8</v>
      </c>
      <c r="P564">
        <f t="shared" si="985"/>
        <v>0.29824561403508898</v>
      </c>
      <c r="Q564">
        <f t="shared" si="986"/>
        <v>672091.51052631857</v>
      </c>
      <c r="R564">
        <f t="shared" si="987"/>
        <v>5016523.605781246</v>
      </c>
      <c r="S564">
        <f t="shared" si="988"/>
        <v>50.165236057812457</v>
      </c>
      <c r="T564">
        <f t="shared" si="989"/>
        <v>5.0165236057812458E-2</v>
      </c>
    </row>
    <row r="565" spans="1:104" x14ac:dyDescent="0.25">
      <c r="A565" s="5">
        <v>44028</v>
      </c>
      <c r="B565">
        <v>2.3699999999999999E-2</v>
      </c>
      <c r="C565">
        <v>2.3910000000000001E-2</v>
      </c>
      <c r="D565">
        <v>2.222E-2</v>
      </c>
      <c r="E565">
        <v>2.3460000000000002E-2</v>
      </c>
      <c r="F565">
        <v>5243473.2</v>
      </c>
      <c r="G565">
        <v>0</v>
      </c>
      <c r="L565" t="s">
        <v>7</v>
      </c>
      <c r="M565" t="s">
        <v>7</v>
      </c>
      <c r="N565" t="s">
        <v>8</v>
      </c>
      <c r="P565">
        <f t="shared" si="985"/>
        <v>0.46745562130177648</v>
      </c>
      <c r="Q565">
        <f t="shared" si="986"/>
        <v>2451091.0224852143</v>
      </c>
      <c r="R565">
        <f t="shared" si="987"/>
        <v>4344432.0952549279</v>
      </c>
      <c r="S565">
        <f t="shared" si="988"/>
        <v>43.444320952549276</v>
      </c>
      <c r="T565">
        <f t="shared" si="989"/>
        <v>4.3444320952549277E-2</v>
      </c>
    </row>
    <row r="566" spans="1:104" x14ac:dyDescent="0.25">
      <c r="A566" s="5">
        <v>44027</v>
      </c>
      <c r="B566">
        <v>2.401E-2</v>
      </c>
      <c r="C566">
        <v>2.4299999999999999E-2</v>
      </c>
      <c r="D566">
        <v>2.366E-2</v>
      </c>
      <c r="E566">
        <v>2.3699999999999999E-2</v>
      </c>
      <c r="F566">
        <v>2552566.9</v>
      </c>
      <c r="G566">
        <v>0</v>
      </c>
      <c r="L566" t="s">
        <v>7</v>
      </c>
      <c r="M566" t="s">
        <v>8</v>
      </c>
      <c r="N566" t="s">
        <v>8</v>
      </c>
      <c r="P566">
        <f t="shared" si="985"/>
        <v>-0.87500000000000477</v>
      </c>
      <c r="Q566">
        <f t="shared" si="986"/>
        <v>-2233496.0375000122</v>
      </c>
      <c r="R566">
        <f t="shared" si="987"/>
        <v>1893341.0727697136</v>
      </c>
      <c r="S566">
        <f t="shared" si="988"/>
        <v>18.933410727697137</v>
      </c>
      <c r="T566">
        <f t="shared" si="989"/>
        <v>1.8933410727697136E-2</v>
      </c>
    </row>
    <row r="567" spans="1:104" x14ac:dyDescent="0.25">
      <c r="A567" s="5">
        <v>44026</v>
      </c>
      <c r="B567">
        <v>2.4379999999999999E-2</v>
      </c>
      <c r="C567">
        <v>2.4490000000000001E-2</v>
      </c>
      <c r="D567">
        <v>2.341E-2</v>
      </c>
      <c r="E567">
        <v>2.4140000000000002E-2</v>
      </c>
      <c r="F567">
        <v>4277773.4000000004</v>
      </c>
      <c r="G567">
        <v>0</v>
      </c>
      <c r="L567" t="s">
        <v>7</v>
      </c>
      <c r="M567" t="s">
        <v>8</v>
      </c>
      <c r="N567" t="s">
        <v>8</v>
      </c>
      <c r="P567">
        <f t="shared" si="985"/>
        <v>0.35185185185185325</v>
      </c>
      <c r="Q567">
        <f t="shared" si="986"/>
        <v>1505142.4925925988</v>
      </c>
      <c r="R567">
        <f t="shared" si="987"/>
        <v>4126837.1102697258</v>
      </c>
      <c r="S567">
        <f t="shared" si="988"/>
        <v>41.268371102697259</v>
      </c>
      <c r="T567">
        <f t="shared" si="989"/>
        <v>4.1268371102697259E-2</v>
      </c>
    </row>
    <row r="568" spans="1:104" x14ac:dyDescent="0.25">
      <c r="A568" s="5">
        <v>44025</v>
      </c>
      <c r="B568">
        <v>2.4500000000000001E-2</v>
      </c>
      <c r="C568">
        <v>2.4899999999999999E-2</v>
      </c>
      <c r="D568">
        <v>2.4289999999999999E-2</v>
      </c>
      <c r="E568">
        <v>2.444E-2</v>
      </c>
      <c r="F568">
        <v>10641482.699999999</v>
      </c>
      <c r="G568">
        <v>0</v>
      </c>
      <c r="L568" t="s">
        <v>8</v>
      </c>
      <c r="M568" t="s">
        <v>8</v>
      </c>
      <c r="N568" t="s">
        <v>8</v>
      </c>
      <c r="P568">
        <f t="shared" si="985"/>
        <v>-0.5081967213114722</v>
      </c>
      <c r="Q568">
        <f t="shared" si="986"/>
        <v>-5407966.6180327525</v>
      </c>
      <c r="R568">
        <f t="shared" si="987"/>
        <v>2621694.617677127</v>
      </c>
      <c r="S568">
        <f t="shared" si="988"/>
        <v>26.21694617677127</v>
      </c>
      <c r="T568">
        <f t="shared" si="989"/>
        <v>2.6216946176771269E-2</v>
      </c>
    </row>
    <row r="569" spans="1:104" x14ac:dyDescent="0.25">
      <c r="A569" s="5">
        <v>44024</v>
      </c>
      <c r="B569">
        <v>2.5489999999999999E-2</v>
      </c>
      <c r="C569">
        <v>2.5690000000000001E-2</v>
      </c>
      <c r="D569">
        <v>2.4369999999999999E-2</v>
      </c>
      <c r="E569">
        <v>2.4539999999999999E-2</v>
      </c>
      <c r="F569">
        <v>6036763.4000000004</v>
      </c>
      <c r="G569">
        <v>0</v>
      </c>
      <c r="L569" t="s">
        <v>8</v>
      </c>
      <c r="M569" t="s">
        <v>8</v>
      </c>
      <c r="N569" t="s">
        <v>8</v>
      </c>
      <c r="P569">
        <f t="shared" si="985"/>
        <v>-0.74242424242424276</v>
      </c>
      <c r="Q569">
        <f t="shared" si="986"/>
        <v>-4481839.493939396</v>
      </c>
      <c r="R569">
        <f t="shared" si="987"/>
        <v>8029661.2357098795</v>
      </c>
      <c r="S569">
        <f t="shared" si="988"/>
        <v>80.296612357098795</v>
      </c>
      <c r="T569">
        <f t="shared" si="989"/>
        <v>8.0296612357098798E-2</v>
      </c>
    </row>
    <row r="570" spans="1:104" x14ac:dyDescent="0.25">
      <c r="A570" s="5">
        <v>44023</v>
      </c>
      <c r="B570">
        <v>2.503E-2</v>
      </c>
      <c r="C570">
        <v>2.572E-2</v>
      </c>
      <c r="D570">
        <v>2.4580000000000001E-2</v>
      </c>
      <c r="E570">
        <v>2.5489999999999999E-2</v>
      </c>
      <c r="F570">
        <v>4208504.5</v>
      </c>
      <c r="G570">
        <v>0</v>
      </c>
      <c r="L570" t="s">
        <v>8</v>
      </c>
      <c r="M570" t="s">
        <v>8</v>
      </c>
      <c r="N570" t="s">
        <v>8</v>
      </c>
      <c r="P570">
        <f t="shared" si="985"/>
        <v>0.59649122807017319</v>
      </c>
      <c r="Q570">
        <f t="shared" si="986"/>
        <v>2510336.01754385</v>
      </c>
      <c r="R570">
        <f t="shared" si="987"/>
        <v>12511500.729649276</v>
      </c>
      <c r="S570">
        <f t="shared" si="988"/>
        <v>125.11500729649275</v>
      </c>
      <c r="T570">
        <f t="shared" si="989"/>
        <v>0.12511500729649275</v>
      </c>
    </row>
    <row r="571" spans="1:104" x14ac:dyDescent="0.25">
      <c r="A571" s="5">
        <v>44022</v>
      </c>
      <c r="B571">
        <v>2.5100000000000001E-2</v>
      </c>
      <c r="C571">
        <v>2.5219999999999999E-2</v>
      </c>
      <c r="D571">
        <v>2.4140000000000002E-2</v>
      </c>
      <c r="E571">
        <v>2.503E-2</v>
      </c>
      <c r="F571">
        <v>5969992.0999999996</v>
      </c>
      <c r="G571">
        <v>0</v>
      </c>
      <c r="L571" t="s">
        <v>7</v>
      </c>
      <c r="M571" t="s">
        <v>8</v>
      </c>
      <c r="N571" t="s">
        <v>8</v>
      </c>
      <c r="P571">
        <f t="shared" si="985"/>
        <v>0.64814814814814892</v>
      </c>
      <c r="Q571">
        <f t="shared" si="986"/>
        <v>3869439.3240740784</v>
      </c>
      <c r="R571">
        <f t="shared" si="987"/>
        <v>10001164.712105425</v>
      </c>
      <c r="S571">
        <f t="shared" si="988"/>
        <v>100.01164712105425</v>
      </c>
      <c r="T571">
        <f t="shared" si="989"/>
        <v>0.10001164712105426</v>
      </c>
    </row>
    <row r="572" spans="1:104" x14ac:dyDescent="0.25">
      <c r="A572" s="5">
        <v>44021</v>
      </c>
      <c r="B572">
        <v>2.5069999999999999E-2</v>
      </c>
      <c r="C572">
        <v>2.605E-2</v>
      </c>
      <c r="D572">
        <v>2.4E-2</v>
      </c>
      <c r="E572">
        <v>2.5100000000000001E-2</v>
      </c>
      <c r="F572">
        <v>11201666</v>
      </c>
      <c r="G572">
        <v>0</v>
      </c>
      <c r="L572" t="s">
        <v>8</v>
      </c>
      <c r="M572" t="s">
        <v>8</v>
      </c>
      <c r="N572" t="s">
        <v>8</v>
      </c>
      <c r="P572">
        <f t="shared" si="985"/>
        <v>7.3170731707317485E-2</v>
      </c>
      <c r="Q572">
        <f t="shared" si="986"/>
        <v>819634.09756098024</v>
      </c>
      <c r="R572">
        <f t="shared" si="987"/>
        <v>6131725.3880313467</v>
      </c>
      <c r="S572">
        <f t="shared" si="988"/>
        <v>61.317253880313466</v>
      </c>
      <c r="T572">
        <f t="shared" si="989"/>
        <v>6.1317253880313463E-2</v>
      </c>
    </row>
    <row r="573" spans="1:104" x14ac:dyDescent="0.25">
      <c r="A573" s="5">
        <v>44020</v>
      </c>
      <c r="B573">
        <v>2.3439999999999999E-2</v>
      </c>
      <c r="C573">
        <v>2.5499999999999998E-2</v>
      </c>
      <c r="D573">
        <v>2.3310000000000001E-2</v>
      </c>
      <c r="E573">
        <v>2.5139999999999999E-2</v>
      </c>
      <c r="F573">
        <v>14495416.199999999</v>
      </c>
      <c r="G573">
        <v>0</v>
      </c>
      <c r="L573" t="s">
        <v>8</v>
      </c>
      <c r="M573" t="s">
        <v>7</v>
      </c>
      <c r="N573" t="s">
        <v>8</v>
      </c>
      <c r="P573">
        <f t="shared" si="985"/>
        <v>0.67123287671232912</v>
      </c>
      <c r="Q573">
        <f t="shared" si="986"/>
        <v>9729799.9150684979</v>
      </c>
      <c r="R573">
        <f t="shared" si="987"/>
        <v>5312091.2904703664</v>
      </c>
      <c r="S573">
        <f t="shared" si="988"/>
        <v>53.120912904703665</v>
      </c>
      <c r="T573">
        <f t="shared" si="989"/>
        <v>5.3120912904703665E-2</v>
      </c>
    </row>
    <row r="574" spans="1:104" x14ac:dyDescent="0.25">
      <c r="A574" s="5">
        <v>44019</v>
      </c>
      <c r="B574">
        <v>2.3650000000000001E-2</v>
      </c>
      <c r="C574">
        <v>2.375E-2</v>
      </c>
      <c r="D574">
        <v>2.324E-2</v>
      </c>
      <c r="E574">
        <v>2.3310000000000001E-2</v>
      </c>
      <c r="F574">
        <v>3926826.3</v>
      </c>
      <c r="G574">
        <v>0</v>
      </c>
      <c r="L574" t="s">
        <v>8</v>
      </c>
      <c r="M574" t="s">
        <v>7</v>
      </c>
      <c r="N574" t="s">
        <v>8</v>
      </c>
      <c r="P574">
        <f t="shared" si="985"/>
        <v>-0.72549019607842902</v>
      </c>
      <c r="Q574">
        <f t="shared" si="986"/>
        <v>-2848873.982352932</v>
      </c>
      <c r="R574">
        <f t="shared" si="987"/>
        <v>-4417708.6245981315</v>
      </c>
      <c r="S574">
        <f t="shared" si="988"/>
        <v>-44.177086245981315</v>
      </c>
      <c r="T574">
        <f t="shared" si="989"/>
        <v>-4.4177086245981316E-2</v>
      </c>
    </row>
    <row r="575" spans="1:104" x14ac:dyDescent="0.25">
      <c r="A575" s="5">
        <v>44018</v>
      </c>
      <c r="B575">
        <v>2.2769999999999999E-2</v>
      </c>
      <c r="C575">
        <v>2.494E-2</v>
      </c>
      <c r="D575">
        <v>2.2669999999999999E-2</v>
      </c>
      <c r="E575">
        <v>2.3609999999999999E-2</v>
      </c>
      <c r="F575">
        <v>12357778</v>
      </c>
      <c r="G575">
        <v>0</v>
      </c>
      <c r="L575" t="s">
        <v>8</v>
      </c>
      <c r="M575" t="s">
        <v>7</v>
      </c>
      <c r="N575" t="s">
        <v>8</v>
      </c>
      <c r="P575">
        <f t="shared" si="985"/>
        <v>-0.17180616740088162</v>
      </c>
      <c r="Q575">
        <f t="shared" si="986"/>
        <v>-2123142.4757709322</v>
      </c>
      <c r="R575">
        <f t="shared" si="987"/>
        <v>-1568834.6422451995</v>
      </c>
      <c r="S575">
        <f t="shared" si="988"/>
        <v>-15.688346422451996</v>
      </c>
      <c r="T575">
        <f t="shared" si="989"/>
        <v>-1.5688346422451996E-2</v>
      </c>
    </row>
    <row r="576" spans="1:104" x14ac:dyDescent="0.25">
      <c r="A576" s="5">
        <v>44017</v>
      </c>
      <c r="B576">
        <v>2.3040000000000001E-2</v>
      </c>
      <c r="C576">
        <v>2.3040000000000001E-2</v>
      </c>
      <c r="D576">
        <v>2.2079999999999999E-2</v>
      </c>
      <c r="E576">
        <v>2.2669999999999999E-2</v>
      </c>
      <c r="F576">
        <v>4182685.3</v>
      </c>
      <c r="G576">
        <v>0</v>
      </c>
      <c r="L576" t="s">
        <v>7</v>
      </c>
      <c r="M576" t="s">
        <v>7</v>
      </c>
      <c r="N576" t="s">
        <v>8</v>
      </c>
      <c r="P576">
        <f t="shared" si="985"/>
        <v>0.22916666666666397</v>
      </c>
      <c r="Q576">
        <f t="shared" si="986"/>
        <v>958532.04791665531</v>
      </c>
      <c r="R576">
        <f t="shared" si="987"/>
        <v>554307.83352573251</v>
      </c>
      <c r="S576">
        <f t="shared" si="988"/>
        <v>5.5430783352573254</v>
      </c>
      <c r="T576">
        <f t="shared" si="989"/>
        <v>5.5430783352573253E-3</v>
      </c>
    </row>
    <row r="577" spans="1:20" x14ac:dyDescent="0.25">
      <c r="A577" s="5">
        <v>44016</v>
      </c>
      <c r="B577">
        <v>2.2790000000000001E-2</v>
      </c>
      <c r="C577">
        <v>2.3859999999999999E-2</v>
      </c>
      <c r="D577">
        <v>2.2630000000000001E-2</v>
      </c>
      <c r="E577">
        <v>2.3130000000000001E-2</v>
      </c>
      <c r="F577">
        <v>3260660.1</v>
      </c>
      <c r="G577">
        <v>0</v>
      </c>
      <c r="L577" t="s">
        <v>8</v>
      </c>
      <c r="M577" t="s">
        <v>7</v>
      </c>
      <c r="N577" t="s">
        <v>8</v>
      </c>
      <c r="P577">
        <f t="shared" si="985"/>
        <v>-0.18699186991869746</v>
      </c>
      <c r="Q577">
        <f t="shared" si="986"/>
        <v>-609716.92926828703</v>
      </c>
      <c r="R577">
        <f t="shared" si="987"/>
        <v>-404224.2143909228</v>
      </c>
      <c r="S577">
        <f t="shared" si="988"/>
        <v>-4.0422421439092284</v>
      </c>
      <c r="T577">
        <f t="shared" si="989"/>
        <v>-4.042242143909228E-3</v>
      </c>
    </row>
    <row r="578" spans="1:20" x14ac:dyDescent="0.25">
      <c r="A578" s="5">
        <v>44015</v>
      </c>
      <c r="B578">
        <v>2.2599999999999999E-2</v>
      </c>
      <c r="C578">
        <v>2.3230000000000001E-2</v>
      </c>
      <c r="D578">
        <v>2.2579999999999999E-2</v>
      </c>
      <c r="E578">
        <v>2.2790000000000001E-2</v>
      </c>
      <c r="F578">
        <v>4567896.5999999996</v>
      </c>
      <c r="G578">
        <v>0</v>
      </c>
      <c r="L578" t="s">
        <v>7</v>
      </c>
      <c r="M578" t="s">
        <v>7</v>
      </c>
      <c r="N578" t="s">
        <v>8</v>
      </c>
      <c r="P578">
        <f t="shared" si="985"/>
        <v>-0.35384615384614942</v>
      </c>
      <c r="Q578">
        <f t="shared" si="986"/>
        <v>-1616332.6430769027</v>
      </c>
      <c r="R578">
        <f t="shared" si="987"/>
        <v>205492.71487736423</v>
      </c>
      <c r="S578">
        <f t="shared" si="988"/>
        <v>2.0549271487736425</v>
      </c>
      <c r="T578">
        <f t="shared" si="989"/>
        <v>2.0549271487736425E-3</v>
      </c>
    </row>
    <row r="579" spans="1:20" x14ac:dyDescent="0.25">
      <c r="A579" s="5">
        <v>44014</v>
      </c>
      <c r="B579">
        <v>2.2769999999999999E-2</v>
      </c>
      <c r="C579">
        <v>2.375E-2</v>
      </c>
      <c r="D579">
        <v>2.2249999999999999E-2</v>
      </c>
      <c r="E579">
        <v>2.2790000000000001E-2</v>
      </c>
      <c r="F579">
        <v>5517615</v>
      </c>
      <c r="G579">
        <v>0</v>
      </c>
      <c r="L579" t="s">
        <v>7</v>
      </c>
      <c r="M579" t="s">
        <v>7</v>
      </c>
      <c r="N579" t="s">
        <v>8</v>
      </c>
      <c r="P579">
        <f t="shared" si="985"/>
        <v>-0.27999999999999758</v>
      </c>
      <c r="Q579">
        <f t="shared" si="986"/>
        <v>-1544932.1999999867</v>
      </c>
      <c r="R579">
        <f t="shared" si="987"/>
        <v>1821825.3579542669</v>
      </c>
      <c r="S579">
        <f t="shared" si="988"/>
        <v>18.218253579542669</v>
      </c>
      <c r="T579">
        <f t="shared" si="989"/>
        <v>1.8218253579542668E-2</v>
      </c>
    </row>
    <row r="580" spans="1:20" x14ac:dyDescent="0.25">
      <c r="A580" s="5">
        <v>44013</v>
      </c>
      <c r="B580">
        <v>2.2839999999999999E-2</v>
      </c>
      <c r="C580">
        <v>2.308E-2</v>
      </c>
      <c r="D580">
        <v>2.2349999999999998E-2</v>
      </c>
      <c r="E580">
        <v>2.2769999999999999E-2</v>
      </c>
      <c r="F580">
        <v>5315410.7</v>
      </c>
      <c r="G580">
        <v>0</v>
      </c>
      <c r="L580" t="s">
        <v>7</v>
      </c>
      <c r="M580" t="s">
        <v>7</v>
      </c>
      <c r="N580" t="s">
        <v>8</v>
      </c>
      <c r="P580">
        <f t="shared" si="985"/>
        <v>0.15068493150684761</v>
      </c>
      <c r="Q580">
        <f t="shared" si="986"/>
        <v>800952.29726026498</v>
      </c>
      <c r="R580">
        <f t="shared" si="987"/>
        <v>3366757.5579542536</v>
      </c>
      <c r="S580">
        <f t="shared" si="988"/>
        <v>33.667575579542536</v>
      </c>
      <c r="T580">
        <f t="shared" si="989"/>
        <v>3.3667575579542537E-2</v>
      </c>
    </row>
    <row r="581" spans="1:20" x14ac:dyDescent="0.25">
      <c r="A581" s="5">
        <v>44012</v>
      </c>
      <c r="B581">
        <v>2.385E-2</v>
      </c>
      <c r="C581">
        <v>2.419E-2</v>
      </c>
      <c r="D581">
        <v>2.2509999999999999E-2</v>
      </c>
      <c r="E581">
        <v>2.3040000000000001E-2</v>
      </c>
      <c r="F581">
        <v>6035307.2999999998</v>
      </c>
      <c r="G581">
        <v>0</v>
      </c>
      <c r="L581" t="s">
        <v>7</v>
      </c>
      <c r="M581" t="s">
        <v>7</v>
      </c>
      <c r="N581" t="s">
        <v>8</v>
      </c>
      <c r="P581">
        <f t="shared" si="985"/>
        <v>-0.36904761904761618</v>
      </c>
      <c r="Q581">
        <f t="shared" si="986"/>
        <v>-2227315.789285697</v>
      </c>
      <c r="R581">
        <f t="shared" si="987"/>
        <v>2565805.2606939888</v>
      </c>
      <c r="S581">
        <f t="shared" si="988"/>
        <v>25.658052606939886</v>
      </c>
      <c r="T581">
        <f t="shared" si="989"/>
        <v>2.5658052606939888E-2</v>
      </c>
    </row>
    <row r="582" spans="1:20" x14ac:dyDescent="0.25">
      <c r="A582" s="5">
        <v>44011</v>
      </c>
      <c r="B582">
        <v>2.444E-2</v>
      </c>
      <c r="C582">
        <v>2.4740000000000002E-2</v>
      </c>
      <c r="D582">
        <v>2.3E-2</v>
      </c>
      <c r="E582">
        <v>2.3900000000000001E-2</v>
      </c>
      <c r="F582">
        <v>8100267.4000000004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90">IF(C582=D582,0,((E582-D582)-(C582-E582))/(C582-D582))</f>
        <v>3.4482758620690203E-2</v>
      </c>
      <c r="Q582">
        <f t="shared" ref="Q582:Q645" si="991">F582*P582</f>
        <v>279319.56551724585</v>
      </c>
      <c r="R582">
        <f t="shared" ref="R582:R645" si="992">R583+Q582</f>
        <v>4793121.0499796858</v>
      </c>
      <c r="S582">
        <f t="shared" ref="S582:S645" si="993">R582/100000</f>
        <v>47.931210499796855</v>
      </c>
      <c r="T582">
        <f t="shared" ref="T582:T645" si="994">S582/1000</f>
        <v>4.7931210499796852E-2</v>
      </c>
    </row>
    <row r="583" spans="1:20" x14ac:dyDescent="0.25">
      <c r="A583" s="5">
        <v>44010</v>
      </c>
      <c r="B583">
        <v>2.4199999999999999E-2</v>
      </c>
      <c r="C583">
        <v>2.4809999999999999E-2</v>
      </c>
      <c r="D583">
        <v>2.334E-2</v>
      </c>
      <c r="E583">
        <v>2.4330000000000001E-2</v>
      </c>
      <c r="F583">
        <v>6632055.2999999998</v>
      </c>
      <c r="G583">
        <v>0</v>
      </c>
      <c r="L583" t="s">
        <v>8</v>
      </c>
      <c r="M583" t="s">
        <v>7</v>
      </c>
      <c r="N583" t="s">
        <v>8</v>
      </c>
      <c r="P583">
        <f t="shared" si="990"/>
        <v>0.34693877551020669</v>
      </c>
      <c r="Q583">
        <f t="shared" si="991"/>
        <v>2300917.1448979764</v>
      </c>
      <c r="R583">
        <f t="shared" si="992"/>
        <v>4513801.48446244</v>
      </c>
      <c r="S583">
        <f t="shared" si="993"/>
        <v>45.138014844624401</v>
      </c>
      <c r="T583">
        <f t="shared" si="994"/>
        <v>4.5138014844624402E-2</v>
      </c>
    </row>
    <row r="584" spans="1:20" x14ac:dyDescent="0.25">
      <c r="A584" s="5">
        <v>44009</v>
      </c>
      <c r="B584">
        <v>2.6110000000000001E-2</v>
      </c>
      <c r="C584">
        <v>2.673E-2</v>
      </c>
      <c r="D584">
        <v>2.3E-2</v>
      </c>
      <c r="E584">
        <v>2.4160000000000001E-2</v>
      </c>
      <c r="F584">
        <v>19538386.699999999</v>
      </c>
      <c r="G584">
        <v>0</v>
      </c>
      <c r="L584" t="s">
        <v>7</v>
      </c>
      <c r="M584" t="s">
        <v>7</v>
      </c>
      <c r="N584" t="s">
        <v>8</v>
      </c>
      <c r="P584">
        <f t="shared" si="990"/>
        <v>-0.37801608579088414</v>
      </c>
      <c r="Q584">
        <f t="shared" si="991"/>
        <v>-7385824.4630026696</v>
      </c>
      <c r="R584">
        <f t="shared" si="992"/>
        <v>2212884.3395644641</v>
      </c>
      <c r="S584">
        <f t="shared" si="993"/>
        <v>22.12884339564464</v>
      </c>
      <c r="T584">
        <f t="shared" si="994"/>
        <v>2.2128843395644641E-2</v>
      </c>
    </row>
    <row r="585" spans="1:20" x14ac:dyDescent="0.25">
      <c r="A585" s="5">
        <v>44008</v>
      </c>
      <c r="B585">
        <v>2.53E-2</v>
      </c>
      <c r="C585">
        <v>2.6780000000000002E-2</v>
      </c>
      <c r="D585">
        <v>2.4719999999999999E-2</v>
      </c>
      <c r="E585">
        <v>2.6339999999999999E-2</v>
      </c>
      <c r="F585">
        <v>16249112.6</v>
      </c>
      <c r="G585">
        <v>0</v>
      </c>
      <c r="L585" t="s">
        <v>8</v>
      </c>
      <c r="M585" t="s">
        <v>8</v>
      </c>
      <c r="N585" t="s">
        <v>8</v>
      </c>
      <c r="P585">
        <f t="shared" si="990"/>
        <v>0.57281553398058027</v>
      </c>
      <c r="Q585">
        <f t="shared" si="991"/>
        <v>9307744.1106795743</v>
      </c>
      <c r="R585">
        <f t="shared" si="992"/>
        <v>9598708.8025671337</v>
      </c>
      <c r="S585">
        <f t="shared" si="993"/>
        <v>95.987088025671341</v>
      </c>
      <c r="T585">
        <f t="shared" si="994"/>
        <v>9.5987088025671338E-2</v>
      </c>
    </row>
    <row r="586" spans="1:20" x14ac:dyDescent="0.25">
      <c r="A586" s="5">
        <v>44007</v>
      </c>
      <c r="B586">
        <v>2.6079999999999999E-2</v>
      </c>
      <c r="C586">
        <v>2.6329999999999999E-2</v>
      </c>
      <c r="D586">
        <v>2.4369999999999999E-2</v>
      </c>
      <c r="E586">
        <v>2.53E-2</v>
      </c>
      <c r="F586">
        <v>13176589.6</v>
      </c>
      <c r="G586">
        <v>0</v>
      </c>
      <c r="L586" t="s">
        <v>8</v>
      </c>
      <c r="M586" t="s">
        <v>8</v>
      </c>
      <c r="N586" t="s">
        <v>8</v>
      </c>
      <c r="P586">
        <f t="shared" si="990"/>
        <v>-5.1020408163265002E-2</v>
      </c>
      <c r="Q586">
        <f t="shared" si="991"/>
        <v>-672274.97959183273</v>
      </c>
      <c r="R586">
        <f t="shared" si="992"/>
        <v>290964.69188756007</v>
      </c>
      <c r="S586">
        <f t="shared" si="993"/>
        <v>2.9096469188756009</v>
      </c>
      <c r="T586">
        <f t="shared" si="994"/>
        <v>2.9096469188756007E-3</v>
      </c>
    </row>
    <row r="587" spans="1:20" x14ac:dyDescent="0.25">
      <c r="A587" s="5">
        <v>44006</v>
      </c>
      <c r="B587">
        <v>2.6239999999999999E-2</v>
      </c>
      <c r="C587">
        <v>2.7040000000000002E-2</v>
      </c>
      <c r="D587">
        <v>2.4549999999999999E-2</v>
      </c>
      <c r="E587">
        <v>2.623E-2</v>
      </c>
      <c r="F587">
        <v>27824227.5</v>
      </c>
      <c r="G587">
        <v>0</v>
      </c>
      <c r="L587" t="s">
        <v>7</v>
      </c>
      <c r="M587" t="s">
        <v>8</v>
      </c>
      <c r="N587" t="s">
        <v>8</v>
      </c>
      <c r="P587">
        <f t="shared" si="990"/>
        <v>0.34939759036144513</v>
      </c>
      <c r="Q587">
        <f t="shared" si="991"/>
        <v>9721718.0421686564</v>
      </c>
      <c r="R587">
        <f t="shared" si="992"/>
        <v>963239.6714793928</v>
      </c>
      <c r="S587">
        <f t="shared" si="993"/>
        <v>9.6323967147939271</v>
      </c>
      <c r="T587">
        <f t="shared" si="994"/>
        <v>9.6323967147939268E-3</v>
      </c>
    </row>
    <row r="588" spans="1:20" x14ac:dyDescent="0.25">
      <c r="A588" s="5">
        <v>44005</v>
      </c>
      <c r="B588">
        <v>2.5770000000000001E-2</v>
      </c>
      <c r="C588">
        <v>2.7E-2</v>
      </c>
      <c r="D588">
        <v>2.537E-2</v>
      </c>
      <c r="E588">
        <v>2.614E-2</v>
      </c>
      <c r="F588">
        <v>17718107.100000001</v>
      </c>
      <c r="G588">
        <v>0</v>
      </c>
      <c r="L588" t="s">
        <v>8</v>
      </c>
      <c r="M588" t="s">
        <v>8</v>
      </c>
      <c r="N588" t="s">
        <v>8</v>
      </c>
      <c r="P588">
        <f t="shared" si="990"/>
        <v>-5.5214723926380264E-2</v>
      </c>
      <c r="Q588">
        <f t="shared" si="991"/>
        <v>-978300.39202453813</v>
      </c>
      <c r="R588">
        <f t="shared" si="992"/>
        <v>-8758478.3706892636</v>
      </c>
      <c r="S588">
        <f t="shared" si="993"/>
        <v>-87.584783706892637</v>
      </c>
      <c r="T588">
        <f t="shared" si="994"/>
        <v>-8.7584783706892641E-2</v>
      </c>
    </row>
    <row r="589" spans="1:20" x14ac:dyDescent="0.25">
      <c r="A589" s="5">
        <v>44004</v>
      </c>
      <c r="B589">
        <v>2.3619999999999999E-2</v>
      </c>
      <c r="C589">
        <v>2.639E-2</v>
      </c>
      <c r="D589">
        <v>2.3560000000000001E-2</v>
      </c>
      <c r="E589">
        <v>2.5649999999999999E-2</v>
      </c>
      <c r="F589">
        <v>28658204.300000001</v>
      </c>
      <c r="G589">
        <v>0</v>
      </c>
      <c r="L589" t="s">
        <v>8</v>
      </c>
      <c r="M589" t="s">
        <v>8</v>
      </c>
      <c r="N589" t="s">
        <v>8</v>
      </c>
      <c r="P589">
        <f t="shared" si="990"/>
        <v>0.47703180212014046</v>
      </c>
      <c r="Q589">
        <f t="shared" si="991"/>
        <v>13670874.84275616</v>
      </c>
      <c r="R589">
        <f t="shared" si="992"/>
        <v>-7780177.978664726</v>
      </c>
      <c r="S589">
        <f t="shared" si="993"/>
        <v>-77.801779786647259</v>
      </c>
      <c r="T589">
        <f t="shared" si="994"/>
        <v>-7.7801779786647263E-2</v>
      </c>
    </row>
    <row r="590" spans="1:20" x14ac:dyDescent="0.25">
      <c r="A590" s="5">
        <v>44003</v>
      </c>
      <c r="B590">
        <v>2.3879999999999998E-2</v>
      </c>
      <c r="C590">
        <v>2.4250000000000001E-2</v>
      </c>
      <c r="D590">
        <v>2.3349999999999999E-2</v>
      </c>
      <c r="E590">
        <v>2.3619999999999999E-2</v>
      </c>
      <c r="F590">
        <v>8546086.8000000007</v>
      </c>
      <c r="G590">
        <v>0</v>
      </c>
      <c r="L590" t="s">
        <v>7</v>
      </c>
      <c r="M590" t="s">
        <v>8</v>
      </c>
      <c r="N590" t="s">
        <v>8</v>
      </c>
      <c r="P590">
        <f t="shared" si="990"/>
        <v>-0.4000000000000023</v>
      </c>
      <c r="Q590">
        <f t="shared" si="991"/>
        <v>-3418434.7200000198</v>
      </c>
      <c r="R590">
        <f t="shared" si="992"/>
        <v>-21451052.821420886</v>
      </c>
      <c r="S590">
        <f t="shared" si="993"/>
        <v>-214.51052821420885</v>
      </c>
      <c r="T590">
        <f t="shared" si="994"/>
        <v>-0.21451052821420885</v>
      </c>
    </row>
    <row r="591" spans="1:20" x14ac:dyDescent="0.25">
      <c r="A591" s="5">
        <v>44002</v>
      </c>
      <c r="B591">
        <v>2.3400000000000001E-2</v>
      </c>
      <c r="C591">
        <v>2.3949999999999999E-2</v>
      </c>
      <c r="D591">
        <v>2.291E-2</v>
      </c>
      <c r="E591">
        <v>2.384E-2</v>
      </c>
      <c r="F591">
        <v>5608145.0999999996</v>
      </c>
      <c r="G591">
        <v>0</v>
      </c>
      <c r="L591" t="s">
        <v>7</v>
      </c>
      <c r="M591" t="s">
        <v>8</v>
      </c>
      <c r="N591" t="s">
        <v>8</v>
      </c>
      <c r="P591">
        <f t="shared" si="990"/>
        <v>0.78846153846154021</v>
      </c>
      <c r="Q591">
        <f t="shared" si="991"/>
        <v>4421806.7134615481</v>
      </c>
      <c r="R591">
        <f t="shared" si="992"/>
        <v>-18032618.101420864</v>
      </c>
      <c r="S591">
        <f t="shared" si="993"/>
        <v>-180.32618101420866</v>
      </c>
      <c r="T591">
        <f t="shared" si="994"/>
        <v>-0.18032618101420866</v>
      </c>
    </row>
    <row r="592" spans="1:20" x14ac:dyDescent="0.25">
      <c r="A592" s="5">
        <v>44001</v>
      </c>
      <c r="B592">
        <v>2.4340000000000001E-2</v>
      </c>
      <c r="C592">
        <v>2.4979999999999999E-2</v>
      </c>
      <c r="D592">
        <v>2.2960000000000001E-2</v>
      </c>
      <c r="E592">
        <v>2.3400000000000001E-2</v>
      </c>
      <c r="F592">
        <v>8017289.5</v>
      </c>
      <c r="G592">
        <v>0</v>
      </c>
      <c r="L592" t="s">
        <v>7</v>
      </c>
      <c r="M592" t="s">
        <v>8</v>
      </c>
      <c r="N592" t="s">
        <v>8</v>
      </c>
      <c r="P592">
        <f t="shared" si="990"/>
        <v>-0.56435643564356441</v>
      </c>
      <c r="Q592">
        <f t="shared" si="991"/>
        <v>-4524608.925742575</v>
      </c>
      <c r="R592">
        <f t="shared" si="992"/>
        <v>-22454424.814882413</v>
      </c>
      <c r="S592">
        <f t="shared" si="993"/>
        <v>-224.54424814882412</v>
      </c>
      <c r="T592">
        <f t="shared" si="994"/>
        <v>-0.22454424814882412</v>
      </c>
    </row>
    <row r="593" spans="1:20" x14ac:dyDescent="0.25">
      <c r="A593" s="5">
        <v>44000</v>
      </c>
      <c r="B593">
        <v>2.366E-2</v>
      </c>
      <c r="C593">
        <v>2.504E-2</v>
      </c>
      <c r="D593">
        <v>2.2919999999999999E-2</v>
      </c>
      <c r="E593">
        <v>2.4420000000000001E-2</v>
      </c>
      <c r="F593">
        <v>28949637.100000001</v>
      </c>
      <c r="G593">
        <v>0</v>
      </c>
      <c r="L593" t="s">
        <v>8</v>
      </c>
      <c r="M593" t="s">
        <v>8</v>
      </c>
      <c r="N593" t="s">
        <v>8</v>
      </c>
      <c r="P593">
        <f t="shared" si="990"/>
        <v>0.41509433962264253</v>
      </c>
      <c r="Q593">
        <f t="shared" si="991"/>
        <v>12016830.494339652</v>
      </c>
      <c r="R593">
        <f t="shared" si="992"/>
        <v>-17929815.889139839</v>
      </c>
      <c r="S593">
        <f t="shared" si="993"/>
        <v>-179.29815889139837</v>
      </c>
      <c r="T593">
        <f t="shared" si="994"/>
        <v>-0.17929815889139838</v>
      </c>
    </row>
    <row r="594" spans="1:20" x14ac:dyDescent="0.25">
      <c r="A594" s="5">
        <v>43999</v>
      </c>
      <c r="B594">
        <v>2.2370000000000001E-2</v>
      </c>
      <c r="C594">
        <v>2.4E-2</v>
      </c>
      <c r="D594">
        <v>2.1989999999999999E-2</v>
      </c>
      <c r="E594">
        <v>2.3560000000000001E-2</v>
      </c>
      <c r="F594">
        <v>16946476.100000001</v>
      </c>
      <c r="G594">
        <v>0</v>
      </c>
      <c r="L594" t="s">
        <v>8</v>
      </c>
      <c r="M594" t="s">
        <v>7</v>
      </c>
      <c r="N594" t="s">
        <v>8</v>
      </c>
      <c r="P594">
        <f t="shared" si="990"/>
        <v>0.56218905472636904</v>
      </c>
      <c r="Q594">
        <f t="shared" si="991"/>
        <v>9527123.3796020057</v>
      </c>
      <c r="R594">
        <f t="shared" si="992"/>
        <v>-29946646.383479491</v>
      </c>
      <c r="S594">
        <f t="shared" si="993"/>
        <v>-299.46646383479492</v>
      </c>
      <c r="T594">
        <f t="shared" si="994"/>
        <v>-0.29946646383479492</v>
      </c>
    </row>
    <row r="595" spans="1:20" x14ac:dyDescent="0.25">
      <c r="A595" s="5">
        <v>43998</v>
      </c>
      <c r="B595">
        <v>2.2499999999999999E-2</v>
      </c>
      <c r="C595">
        <v>2.2849999999999999E-2</v>
      </c>
      <c r="D595">
        <v>2.2020000000000001E-2</v>
      </c>
      <c r="E595">
        <v>2.2440000000000002E-2</v>
      </c>
      <c r="F595">
        <v>3750178.5</v>
      </c>
      <c r="G595">
        <v>0</v>
      </c>
      <c r="L595" t="s">
        <v>8</v>
      </c>
      <c r="M595" t="s">
        <v>7</v>
      </c>
      <c r="N595" t="s">
        <v>8</v>
      </c>
      <c r="P595">
        <f t="shared" si="990"/>
        <v>1.2048192771088064E-2</v>
      </c>
      <c r="Q595">
        <f t="shared" si="991"/>
        <v>45182.873493989879</v>
      </c>
      <c r="R595">
        <f t="shared" si="992"/>
        <v>-39473769.763081498</v>
      </c>
      <c r="S595">
        <f t="shared" si="993"/>
        <v>-394.73769763081498</v>
      </c>
      <c r="T595">
        <f t="shared" si="994"/>
        <v>-0.39473769763081495</v>
      </c>
    </row>
    <row r="596" spans="1:20" x14ac:dyDescent="0.25">
      <c r="A596" s="5">
        <v>43997</v>
      </c>
      <c r="B596">
        <v>2.24E-2</v>
      </c>
      <c r="C596">
        <v>2.2720000000000001E-2</v>
      </c>
      <c r="D596">
        <v>2.0469999999999999E-2</v>
      </c>
      <c r="E596">
        <v>2.2509999999999999E-2</v>
      </c>
      <c r="F596">
        <v>9492584.3000000007</v>
      </c>
      <c r="G596">
        <v>0</v>
      </c>
      <c r="L596" t="s">
        <v>7</v>
      </c>
      <c r="M596" t="s">
        <v>7</v>
      </c>
      <c r="N596" t="s">
        <v>8</v>
      </c>
      <c r="P596">
        <f t="shared" si="990"/>
        <v>0.8133333333333318</v>
      </c>
      <c r="Q596">
        <f t="shared" si="991"/>
        <v>7720635.2306666523</v>
      </c>
      <c r="R596">
        <f t="shared" si="992"/>
        <v>-39518952.63657549</v>
      </c>
      <c r="S596">
        <f t="shared" si="993"/>
        <v>-395.18952636575489</v>
      </c>
      <c r="T596">
        <f t="shared" si="994"/>
        <v>-0.39518952636575488</v>
      </c>
    </row>
    <row r="597" spans="1:20" x14ac:dyDescent="0.25">
      <c r="A597" s="5">
        <v>43996</v>
      </c>
      <c r="B597">
        <v>2.1729999999999999E-2</v>
      </c>
      <c r="C597">
        <v>2.3460000000000002E-2</v>
      </c>
      <c r="D597">
        <v>2.162E-2</v>
      </c>
      <c r="E597">
        <v>2.2270000000000002E-2</v>
      </c>
      <c r="F597">
        <v>10957213.199999999</v>
      </c>
      <c r="G597">
        <v>0</v>
      </c>
      <c r="L597" t="s">
        <v>8</v>
      </c>
      <c r="M597" t="s">
        <v>7</v>
      </c>
      <c r="N597" t="s">
        <v>8</v>
      </c>
      <c r="P597">
        <f t="shared" si="990"/>
        <v>-0.29347826086956436</v>
      </c>
      <c r="Q597">
        <f t="shared" si="991"/>
        <v>-3215703.8739130339</v>
      </c>
      <c r="R597">
        <f t="shared" si="992"/>
        <v>-47239587.867242143</v>
      </c>
      <c r="S597">
        <f t="shared" si="993"/>
        <v>-472.39587867242142</v>
      </c>
      <c r="T597">
        <f t="shared" si="994"/>
        <v>-0.47239587867242144</v>
      </c>
    </row>
    <row r="598" spans="1:20" x14ac:dyDescent="0.25">
      <c r="A598" s="5">
        <v>43995</v>
      </c>
      <c r="B598">
        <v>2.1839999999999998E-2</v>
      </c>
      <c r="C598">
        <v>2.2030000000000001E-2</v>
      </c>
      <c r="D598">
        <v>2.145E-2</v>
      </c>
      <c r="E598">
        <v>2.1729999999999999E-2</v>
      </c>
      <c r="F598">
        <v>2406624</v>
      </c>
      <c r="G598">
        <v>0</v>
      </c>
      <c r="L598" t="s">
        <v>7</v>
      </c>
      <c r="M598" t="s">
        <v>7</v>
      </c>
      <c r="N598" t="s">
        <v>8</v>
      </c>
      <c r="P598">
        <f t="shared" si="990"/>
        <v>-3.4482758620694193E-2</v>
      </c>
      <c r="Q598">
        <f t="shared" si="991"/>
        <v>-82987.034482769537</v>
      </c>
      <c r="R598">
        <f t="shared" si="992"/>
        <v>-44023883.993329108</v>
      </c>
      <c r="S598">
        <f t="shared" si="993"/>
        <v>-440.2388399332911</v>
      </c>
      <c r="T598">
        <f t="shared" si="994"/>
        <v>-0.4402388399332911</v>
      </c>
    </row>
    <row r="599" spans="1:20" x14ac:dyDescent="0.25">
      <c r="A599" s="5">
        <v>43994</v>
      </c>
      <c r="B599">
        <v>2.0879999999999999E-2</v>
      </c>
      <c r="C599">
        <v>2.188E-2</v>
      </c>
      <c r="D599">
        <v>2.085E-2</v>
      </c>
      <c r="E599">
        <v>2.1669999999999998E-2</v>
      </c>
      <c r="F599">
        <v>2675440.2000000002</v>
      </c>
      <c r="G599">
        <v>0</v>
      </c>
      <c r="L599" t="s">
        <v>7</v>
      </c>
      <c r="M599" t="s">
        <v>7</v>
      </c>
      <c r="N599" t="s">
        <v>8</v>
      </c>
      <c r="P599">
        <f t="shared" si="990"/>
        <v>0.59223300970873416</v>
      </c>
      <c r="Q599">
        <f t="shared" si="991"/>
        <v>1584484.0019417377</v>
      </c>
      <c r="R599">
        <f t="shared" si="992"/>
        <v>-43940896.958846338</v>
      </c>
      <c r="S599">
        <f t="shared" si="993"/>
        <v>-439.40896958846338</v>
      </c>
      <c r="T599">
        <f t="shared" si="994"/>
        <v>-0.43940896958846337</v>
      </c>
    </row>
    <row r="600" spans="1:20" x14ac:dyDescent="0.25">
      <c r="A600" s="5">
        <v>43993</v>
      </c>
      <c r="B600">
        <v>2.2919999999999999E-2</v>
      </c>
      <c r="C600">
        <v>2.5000000000000001E-2</v>
      </c>
      <c r="D600">
        <v>2.07E-2</v>
      </c>
      <c r="E600">
        <v>2.0899999999999998E-2</v>
      </c>
      <c r="F600">
        <v>12358403.199999999</v>
      </c>
      <c r="G600">
        <v>0</v>
      </c>
      <c r="L600" t="s">
        <v>8</v>
      </c>
      <c r="M600" t="s">
        <v>8</v>
      </c>
      <c r="N600" t="s">
        <v>8</v>
      </c>
      <c r="P600">
        <f t="shared" si="990"/>
        <v>-0.90697674418604712</v>
      </c>
      <c r="Q600">
        <f t="shared" si="991"/>
        <v>-11208784.297674425</v>
      </c>
      <c r="R600">
        <f t="shared" si="992"/>
        <v>-45525380.960788079</v>
      </c>
      <c r="S600">
        <f t="shared" si="993"/>
        <v>-455.25380960788078</v>
      </c>
      <c r="T600">
        <f t="shared" si="994"/>
        <v>-0.45525380960788076</v>
      </c>
    </row>
    <row r="601" spans="1:20" x14ac:dyDescent="0.25">
      <c r="A601" s="5">
        <v>43992</v>
      </c>
      <c r="B601">
        <v>2.2460000000000001E-2</v>
      </c>
      <c r="C601">
        <v>2.3220000000000001E-2</v>
      </c>
      <c r="D601">
        <v>2.2249999999999999E-2</v>
      </c>
      <c r="E601">
        <v>2.2960000000000001E-2</v>
      </c>
      <c r="F601">
        <v>3324031.4</v>
      </c>
      <c r="G601">
        <v>0</v>
      </c>
      <c r="L601" t="s">
        <v>8</v>
      </c>
      <c r="M601" t="s">
        <v>7</v>
      </c>
      <c r="N601" t="s">
        <v>8</v>
      </c>
      <c r="P601">
        <f t="shared" si="990"/>
        <v>0.46391752577319745</v>
      </c>
      <c r="Q601">
        <f t="shared" si="991"/>
        <v>1542076.4226804175</v>
      </c>
      <c r="R601">
        <f t="shared" si="992"/>
        <v>-34316596.663113654</v>
      </c>
      <c r="S601">
        <f t="shared" si="993"/>
        <v>-343.16596663113654</v>
      </c>
      <c r="T601">
        <f t="shared" si="994"/>
        <v>-0.34316596663113652</v>
      </c>
    </row>
    <row r="602" spans="1:20" x14ac:dyDescent="0.25">
      <c r="A602" s="5">
        <v>43991</v>
      </c>
      <c r="B602">
        <v>2.2380000000000001E-2</v>
      </c>
      <c r="C602">
        <v>2.3099999999999999E-2</v>
      </c>
      <c r="D602">
        <v>2.2079999999999999E-2</v>
      </c>
      <c r="E602">
        <v>2.24E-2</v>
      </c>
      <c r="F602">
        <v>4426010</v>
      </c>
      <c r="G602">
        <v>0</v>
      </c>
      <c r="L602" t="s">
        <v>8</v>
      </c>
      <c r="M602" t="s">
        <v>7</v>
      </c>
      <c r="N602" t="s">
        <v>8</v>
      </c>
      <c r="P602">
        <f t="shared" si="990"/>
        <v>-0.37254901960784154</v>
      </c>
      <c r="Q602">
        <f t="shared" si="991"/>
        <v>-1648905.6862745027</v>
      </c>
      <c r="R602">
        <f t="shared" si="992"/>
        <v>-35858673.085794069</v>
      </c>
      <c r="S602">
        <f t="shared" si="993"/>
        <v>-358.58673085794067</v>
      </c>
      <c r="T602">
        <f t="shared" si="994"/>
        <v>-0.35858673085794068</v>
      </c>
    </row>
    <row r="603" spans="1:20" x14ac:dyDescent="0.25">
      <c r="A603" s="5">
        <v>43990</v>
      </c>
      <c r="B603">
        <v>2.1739999999999999E-2</v>
      </c>
      <c r="C603">
        <v>2.266E-2</v>
      </c>
      <c r="D603">
        <v>2.1409999999999998E-2</v>
      </c>
      <c r="E603">
        <v>2.2360000000000001E-2</v>
      </c>
      <c r="F603">
        <v>4025338.4</v>
      </c>
      <c r="G603">
        <v>0</v>
      </c>
      <c r="L603" t="s">
        <v>8</v>
      </c>
      <c r="M603" t="s">
        <v>7</v>
      </c>
      <c r="N603" t="s">
        <v>8</v>
      </c>
      <c r="P603">
        <f t="shared" si="990"/>
        <v>0.52000000000000335</v>
      </c>
      <c r="Q603">
        <f t="shared" si="991"/>
        <v>2093175.9680000134</v>
      </c>
      <c r="R603">
        <f t="shared" si="992"/>
        <v>-34209767.399519563</v>
      </c>
      <c r="S603">
        <f t="shared" si="993"/>
        <v>-342.09767399519563</v>
      </c>
      <c r="T603">
        <f t="shared" si="994"/>
        <v>-0.34209767399519564</v>
      </c>
    </row>
    <row r="604" spans="1:20" x14ac:dyDescent="0.25">
      <c r="A604" s="5">
        <v>43989</v>
      </c>
      <c r="B604">
        <v>2.2239999999999999E-2</v>
      </c>
      <c r="C604">
        <v>2.247E-2</v>
      </c>
      <c r="D604">
        <v>2.102E-2</v>
      </c>
      <c r="E604">
        <v>2.1739999999999999E-2</v>
      </c>
      <c r="F604">
        <v>3542271.8</v>
      </c>
      <c r="G604">
        <v>0</v>
      </c>
      <c r="L604" t="s">
        <v>7</v>
      </c>
      <c r="M604" t="s">
        <v>7</v>
      </c>
      <c r="N604" t="s">
        <v>8</v>
      </c>
      <c r="P604">
        <f t="shared" si="990"/>
        <v>-6.896551724140043E-3</v>
      </c>
      <c r="Q604">
        <f t="shared" si="991"/>
        <v>-24429.460689662654</v>
      </c>
      <c r="R604">
        <f t="shared" si="992"/>
        <v>-36302943.36751958</v>
      </c>
      <c r="S604">
        <f t="shared" si="993"/>
        <v>-363.02943367519578</v>
      </c>
      <c r="T604">
        <f t="shared" si="994"/>
        <v>-0.3630294336751958</v>
      </c>
    </row>
    <row r="605" spans="1:20" x14ac:dyDescent="0.25">
      <c r="A605" s="5">
        <v>43988</v>
      </c>
      <c r="B605">
        <v>2.2239999999999999E-2</v>
      </c>
      <c r="C605">
        <v>2.23E-2</v>
      </c>
      <c r="D605">
        <v>2.1850000000000001E-2</v>
      </c>
      <c r="E605">
        <v>2.2210000000000001E-2</v>
      </c>
      <c r="F605">
        <v>2421454.2000000002</v>
      </c>
      <c r="G605">
        <v>0</v>
      </c>
      <c r="L605" t="s">
        <v>7</v>
      </c>
      <c r="M605" t="s">
        <v>8</v>
      </c>
      <c r="N605" t="s">
        <v>8</v>
      </c>
      <c r="P605">
        <f t="shared" si="990"/>
        <v>0.6</v>
      </c>
      <c r="Q605">
        <f t="shared" si="991"/>
        <v>1452872.52</v>
      </c>
      <c r="R605">
        <f t="shared" si="992"/>
        <v>-36278513.906829916</v>
      </c>
      <c r="S605">
        <f t="shared" si="993"/>
        <v>-362.78513906829915</v>
      </c>
      <c r="T605">
        <f t="shared" si="994"/>
        <v>-0.36278513906829912</v>
      </c>
    </row>
    <row r="606" spans="1:20" x14ac:dyDescent="0.25">
      <c r="A606" s="5">
        <v>43987</v>
      </c>
      <c r="B606">
        <v>2.299E-2</v>
      </c>
      <c r="C606">
        <v>2.3179999999999999E-2</v>
      </c>
      <c r="D606">
        <v>2.215E-2</v>
      </c>
      <c r="E606">
        <v>2.239E-2</v>
      </c>
      <c r="F606">
        <v>9274999.1999999993</v>
      </c>
      <c r="G606">
        <v>0</v>
      </c>
      <c r="L606" t="s">
        <v>7</v>
      </c>
      <c r="M606" t="s">
        <v>8</v>
      </c>
      <c r="N606" t="s">
        <v>8</v>
      </c>
      <c r="P606">
        <f t="shared" si="990"/>
        <v>-0.5339805825242705</v>
      </c>
      <c r="Q606">
        <f t="shared" si="991"/>
        <v>-4952669.4757281421</v>
      </c>
      <c r="R606">
        <f t="shared" si="992"/>
        <v>-37731386.426829919</v>
      </c>
      <c r="S606">
        <f t="shared" si="993"/>
        <v>-377.3138642682992</v>
      </c>
      <c r="T606">
        <f t="shared" si="994"/>
        <v>-0.37731386426829921</v>
      </c>
    </row>
    <row r="607" spans="1:20" x14ac:dyDescent="0.25">
      <c r="A607" s="5">
        <v>43986</v>
      </c>
      <c r="B607">
        <v>2.324E-2</v>
      </c>
      <c r="C607">
        <v>2.3460000000000002E-2</v>
      </c>
      <c r="D607">
        <v>2.2579999999999999E-2</v>
      </c>
      <c r="E607">
        <v>2.299E-2</v>
      </c>
      <c r="F607">
        <v>6048843.5</v>
      </c>
      <c r="G607">
        <v>0</v>
      </c>
      <c r="L607" t="s">
        <v>7</v>
      </c>
      <c r="M607" t="s">
        <v>8</v>
      </c>
      <c r="N607" t="s">
        <v>8</v>
      </c>
      <c r="P607">
        <f t="shared" si="990"/>
        <v>-6.8181818181819162E-2</v>
      </c>
      <c r="Q607">
        <f t="shared" si="991"/>
        <v>-412421.14772727864</v>
      </c>
      <c r="R607">
        <f t="shared" si="992"/>
        <v>-32778716.951101776</v>
      </c>
      <c r="S607">
        <f t="shared" si="993"/>
        <v>-327.78716951101774</v>
      </c>
      <c r="T607">
        <f t="shared" si="994"/>
        <v>-0.32778716951101772</v>
      </c>
    </row>
    <row r="608" spans="1:20" x14ac:dyDescent="0.25">
      <c r="A608" s="5">
        <v>43985</v>
      </c>
      <c r="B608">
        <v>2.2720000000000001E-2</v>
      </c>
      <c r="C608">
        <v>2.393E-2</v>
      </c>
      <c r="D608">
        <v>2.2669999999999999E-2</v>
      </c>
      <c r="E608">
        <v>2.324E-2</v>
      </c>
      <c r="F608">
        <v>5737589.2000000002</v>
      </c>
      <c r="G608">
        <v>0</v>
      </c>
      <c r="L608" t="s">
        <v>7</v>
      </c>
      <c r="M608" t="s">
        <v>8</v>
      </c>
      <c r="N608" t="s">
        <v>8</v>
      </c>
      <c r="P608">
        <f t="shared" si="990"/>
        <v>-9.5238095238094053E-2</v>
      </c>
      <c r="Q608">
        <f t="shared" si="991"/>
        <v>-546437.0666666599</v>
      </c>
      <c r="R608">
        <f t="shared" si="992"/>
        <v>-32366295.803374499</v>
      </c>
      <c r="S608">
        <f t="shared" si="993"/>
        <v>-323.66295803374499</v>
      </c>
      <c r="T608">
        <f t="shared" si="994"/>
        <v>-0.32366295803374501</v>
      </c>
    </row>
    <row r="609" spans="1:20" x14ac:dyDescent="0.25">
      <c r="A609" s="5">
        <v>43984</v>
      </c>
      <c r="B609">
        <v>2.3099999999999999E-2</v>
      </c>
      <c r="C609">
        <v>2.443E-2</v>
      </c>
      <c r="D609">
        <v>2.1999999999999999E-2</v>
      </c>
      <c r="E609">
        <v>2.2630000000000001E-2</v>
      </c>
      <c r="F609">
        <v>8592165.6999999993</v>
      </c>
      <c r="G609">
        <v>0</v>
      </c>
      <c r="L609" t="s">
        <v>8</v>
      </c>
      <c r="M609" t="s">
        <v>8</v>
      </c>
      <c r="N609" t="s">
        <v>8</v>
      </c>
      <c r="P609">
        <f t="shared" si="990"/>
        <v>-0.48148148148148012</v>
      </c>
      <c r="Q609">
        <f t="shared" si="991"/>
        <v>-4136968.6703703585</v>
      </c>
      <c r="R609">
        <f t="shared" si="992"/>
        <v>-31819858.73670784</v>
      </c>
      <c r="S609">
        <f t="shared" si="993"/>
        <v>-318.1985873670784</v>
      </c>
      <c r="T609">
        <f t="shared" si="994"/>
        <v>-0.3181985873670784</v>
      </c>
    </row>
    <row r="610" spans="1:20" x14ac:dyDescent="0.25">
      <c r="A610" s="5">
        <v>43983</v>
      </c>
      <c r="B610">
        <v>2.2630000000000001E-2</v>
      </c>
      <c r="C610">
        <v>2.325E-2</v>
      </c>
      <c r="D610">
        <v>2.2159999999999999E-2</v>
      </c>
      <c r="E610">
        <v>2.3099999999999999E-2</v>
      </c>
      <c r="F610">
        <v>7035065.0999999996</v>
      </c>
      <c r="G610">
        <v>0</v>
      </c>
      <c r="L610" t="s">
        <v>8</v>
      </c>
      <c r="M610" t="s">
        <v>8</v>
      </c>
      <c r="N610" t="s">
        <v>8</v>
      </c>
      <c r="P610">
        <f t="shared" si="990"/>
        <v>0.72477064220183351</v>
      </c>
      <c r="Q610">
        <f t="shared" si="991"/>
        <v>5098808.6504587056</v>
      </c>
      <c r="R610">
        <f t="shared" si="992"/>
        <v>-27682890.066337481</v>
      </c>
      <c r="S610">
        <f t="shared" si="993"/>
        <v>-276.82890066337484</v>
      </c>
      <c r="T610">
        <f t="shared" si="994"/>
        <v>-0.27682890066337484</v>
      </c>
    </row>
    <row r="611" spans="1:20" x14ac:dyDescent="0.25">
      <c r="A611" s="5">
        <v>43982</v>
      </c>
      <c r="B611">
        <v>2.3220000000000001E-2</v>
      </c>
      <c r="C611">
        <v>2.3560000000000001E-2</v>
      </c>
      <c r="D611">
        <v>2.231E-2</v>
      </c>
      <c r="E611">
        <v>2.264E-2</v>
      </c>
      <c r="F611">
        <v>6706227.7999999998</v>
      </c>
      <c r="G611">
        <v>0</v>
      </c>
      <c r="L611" t="s">
        <v>8</v>
      </c>
      <c r="M611" t="s">
        <v>8</v>
      </c>
      <c r="N611" t="s">
        <v>8</v>
      </c>
      <c r="P611">
        <f t="shared" si="990"/>
        <v>-0.47199999999999975</v>
      </c>
      <c r="Q611">
        <f t="shared" si="991"/>
        <v>-3165339.5215999982</v>
      </c>
      <c r="R611">
        <f t="shared" si="992"/>
        <v>-32781698.716796186</v>
      </c>
      <c r="S611">
        <f t="shared" si="993"/>
        <v>-327.81698716796188</v>
      </c>
      <c r="T611">
        <f t="shared" si="994"/>
        <v>-0.32781698716796187</v>
      </c>
    </row>
    <row r="612" spans="1:20" x14ac:dyDescent="0.25">
      <c r="A612" s="5">
        <v>43981</v>
      </c>
      <c r="B612">
        <v>2.2270000000000002E-2</v>
      </c>
      <c r="C612">
        <v>2.3570000000000001E-2</v>
      </c>
      <c r="D612">
        <v>2.1909999999999999E-2</v>
      </c>
      <c r="E612">
        <v>2.3259999999999999E-2</v>
      </c>
      <c r="F612">
        <v>5195372.3</v>
      </c>
      <c r="G612">
        <v>0</v>
      </c>
      <c r="L612" t="s">
        <v>8</v>
      </c>
      <c r="M612" t="s">
        <v>8</v>
      </c>
      <c r="N612" t="s">
        <v>8</v>
      </c>
      <c r="P612">
        <f t="shared" si="990"/>
        <v>0.62650602409638445</v>
      </c>
      <c r="Q612">
        <f t="shared" si="991"/>
        <v>3254932.0433734884</v>
      </c>
      <c r="R612">
        <f t="shared" si="992"/>
        <v>-29616359.195196189</v>
      </c>
      <c r="S612">
        <f t="shared" si="993"/>
        <v>-296.16359195196191</v>
      </c>
      <c r="T612">
        <f t="shared" si="994"/>
        <v>-0.2961635919519619</v>
      </c>
    </row>
    <row r="613" spans="1:20" x14ac:dyDescent="0.25">
      <c r="A613" s="5">
        <v>43980</v>
      </c>
      <c r="B613">
        <v>2.198E-2</v>
      </c>
      <c r="C613">
        <v>2.3269999999999999E-2</v>
      </c>
      <c r="D613">
        <v>2.1909999999999999E-2</v>
      </c>
      <c r="E613">
        <v>2.2339999999999999E-2</v>
      </c>
      <c r="F613">
        <v>7682391.5</v>
      </c>
      <c r="G613">
        <v>0</v>
      </c>
      <c r="L613" t="s">
        <v>8</v>
      </c>
      <c r="M613" t="s">
        <v>8</v>
      </c>
      <c r="N613" t="s">
        <v>8</v>
      </c>
      <c r="P613">
        <f t="shared" si="990"/>
        <v>-0.36764705882352972</v>
      </c>
      <c r="Q613">
        <f t="shared" si="991"/>
        <v>-2824408.6397058847</v>
      </c>
      <c r="R613">
        <f t="shared" si="992"/>
        <v>-32871291.238569677</v>
      </c>
      <c r="S613">
        <f t="shared" si="993"/>
        <v>-328.71291238569677</v>
      </c>
      <c r="T613">
        <f t="shared" si="994"/>
        <v>-0.32871291238569678</v>
      </c>
    </row>
    <row r="614" spans="1:20" x14ac:dyDescent="0.25">
      <c r="A614" s="5">
        <v>43979</v>
      </c>
      <c r="B614">
        <v>2.274E-2</v>
      </c>
      <c r="C614">
        <v>2.2839999999999999E-2</v>
      </c>
      <c r="D614">
        <v>2.145E-2</v>
      </c>
      <c r="E614">
        <v>2.2079999999999999E-2</v>
      </c>
      <c r="F614">
        <v>10759881.5</v>
      </c>
      <c r="G614">
        <v>0</v>
      </c>
      <c r="L614" t="s">
        <v>7</v>
      </c>
      <c r="M614" t="s">
        <v>8</v>
      </c>
      <c r="N614" t="s">
        <v>8</v>
      </c>
      <c r="P614">
        <f t="shared" si="990"/>
        <v>-9.3525179856116358E-2</v>
      </c>
      <c r="Q614">
        <f t="shared" si="991"/>
        <v>-1006319.852517999</v>
      </c>
      <c r="R614">
        <f t="shared" si="992"/>
        <v>-30046882.598863792</v>
      </c>
      <c r="S614">
        <f t="shared" si="993"/>
        <v>-300.46882598863789</v>
      </c>
      <c r="T614">
        <f t="shared" si="994"/>
        <v>-0.30046882598863789</v>
      </c>
    </row>
    <row r="615" spans="1:20" x14ac:dyDescent="0.25">
      <c r="A615" s="5">
        <v>43978</v>
      </c>
      <c r="B615">
        <v>2.2179999999999998E-2</v>
      </c>
      <c r="C615">
        <v>2.486E-2</v>
      </c>
      <c r="D615">
        <v>2.181E-2</v>
      </c>
      <c r="E615">
        <v>2.266E-2</v>
      </c>
      <c r="F615">
        <v>14984188.699999999</v>
      </c>
      <c r="G615">
        <v>0</v>
      </c>
      <c r="L615" t="s">
        <v>8</v>
      </c>
      <c r="M615" t="s">
        <v>8</v>
      </c>
      <c r="N615" t="s">
        <v>8</v>
      </c>
      <c r="P615">
        <f t="shared" si="990"/>
        <v>-0.44262295081967218</v>
      </c>
      <c r="Q615">
        <f t="shared" si="991"/>
        <v>-6632345.8180327872</v>
      </c>
      <c r="R615">
        <f t="shared" si="992"/>
        <v>-29040562.746345792</v>
      </c>
      <c r="S615">
        <f t="shared" si="993"/>
        <v>-290.4056274634579</v>
      </c>
      <c r="T615">
        <f t="shared" si="994"/>
        <v>-0.29040562746345788</v>
      </c>
    </row>
    <row r="616" spans="1:20" x14ac:dyDescent="0.25">
      <c r="A616" s="5">
        <v>43977</v>
      </c>
      <c r="B616">
        <v>2.0899999999999998E-2</v>
      </c>
      <c r="C616">
        <v>2.281E-2</v>
      </c>
      <c r="D616">
        <v>2.078E-2</v>
      </c>
      <c r="E616">
        <v>2.1989999999999999E-2</v>
      </c>
      <c r="F616">
        <v>14189393.6</v>
      </c>
      <c r="G616">
        <v>0</v>
      </c>
      <c r="L616" t="s">
        <v>8</v>
      </c>
      <c r="M616" t="s">
        <v>8</v>
      </c>
      <c r="N616" t="s">
        <v>8</v>
      </c>
      <c r="P616">
        <f t="shared" si="990"/>
        <v>0.19211822660098418</v>
      </c>
      <c r="Q616">
        <f t="shared" si="991"/>
        <v>2726041.1349753547</v>
      </c>
      <c r="R616">
        <f t="shared" si="992"/>
        <v>-22408216.928313006</v>
      </c>
      <c r="S616">
        <f t="shared" si="993"/>
        <v>-224.08216928313007</v>
      </c>
      <c r="T616">
        <f t="shared" si="994"/>
        <v>-0.22408216928313007</v>
      </c>
    </row>
    <row r="617" spans="1:20" x14ac:dyDescent="0.25">
      <c r="A617" s="5">
        <v>43976</v>
      </c>
      <c r="B617">
        <v>2.001E-2</v>
      </c>
      <c r="C617">
        <v>2.163E-2</v>
      </c>
      <c r="D617">
        <v>1.9470000000000001E-2</v>
      </c>
      <c r="E617">
        <v>2.086E-2</v>
      </c>
      <c r="F617">
        <v>12065699.800000001</v>
      </c>
      <c r="G617">
        <v>0</v>
      </c>
      <c r="L617" t="s">
        <v>7</v>
      </c>
      <c r="M617" t="s">
        <v>8</v>
      </c>
      <c r="N617" t="s">
        <v>8</v>
      </c>
      <c r="P617">
        <f t="shared" si="990"/>
        <v>0.28703703703703676</v>
      </c>
      <c r="Q617">
        <f t="shared" si="991"/>
        <v>3463302.7203703672</v>
      </c>
      <c r="R617">
        <f t="shared" si="992"/>
        <v>-25134258.063288361</v>
      </c>
      <c r="S617">
        <f t="shared" si="993"/>
        <v>-251.3425806328836</v>
      </c>
      <c r="T617">
        <f t="shared" si="994"/>
        <v>-0.25134258063288362</v>
      </c>
    </row>
    <row r="618" spans="1:20" x14ac:dyDescent="0.25">
      <c r="A618" s="5">
        <v>43975</v>
      </c>
      <c r="B618">
        <v>2.0330000000000001E-2</v>
      </c>
      <c r="C618">
        <v>2.162E-2</v>
      </c>
      <c r="D618">
        <v>0.02</v>
      </c>
      <c r="E618">
        <v>2.0080000000000001E-2</v>
      </c>
      <c r="F618">
        <v>11039931.199999999</v>
      </c>
      <c r="G618">
        <v>0</v>
      </c>
      <c r="L618" t="s">
        <v>8</v>
      </c>
      <c r="M618" t="s">
        <v>8</v>
      </c>
      <c r="N618" t="s">
        <v>8</v>
      </c>
      <c r="P618">
        <f t="shared" si="990"/>
        <v>-0.90123456790123435</v>
      </c>
      <c r="Q618">
        <f t="shared" si="991"/>
        <v>-9949567.6246913541</v>
      </c>
      <c r="R618">
        <f t="shared" si="992"/>
        <v>-28597560.783658728</v>
      </c>
      <c r="S618">
        <f t="shared" si="993"/>
        <v>-285.9756078365873</v>
      </c>
      <c r="T618">
        <f t="shared" si="994"/>
        <v>-0.28597560783658732</v>
      </c>
    </row>
    <row r="619" spans="1:20" x14ac:dyDescent="0.25">
      <c r="A619" s="5">
        <v>43974</v>
      </c>
      <c r="B619">
        <v>2.0670000000000001E-2</v>
      </c>
      <c r="C619">
        <v>2.104E-2</v>
      </c>
      <c r="D619">
        <v>1.992E-2</v>
      </c>
      <c r="E619">
        <v>2.0219999999999998E-2</v>
      </c>
      <c r="F619">
        <v>7509398.7999999998</v>
      </c>
      <c r="G619">
        <v>0</v>
      </c>
      <c r="L619" t="s">
        <v>7</v>
      </c>
      <c r="M619" t="s">
        <v>8</v>
      </c>
      <c r="N619" t="s">
        <v>8</v>
      </c>
      <c r="P619">
        <f t="shared" si="990"/>
        <v>-0.4642857142857173</v>
      </c>
      <c r="Q619">
        <f t="shared" si="991"/>
        <v>-3486506.5857143081</v>
      </c>
      <c r="R619">
        <f t="shared" si="992"/>
        <v>-18647993.158967376</v>
      </c>
      <c r="S619">
        <f t="shared" si="993"/>
        <v>-186.47993158967375</v>
      </c>
      <c r="T619">
        <f t="shared" si="994"/>
        <v>-0.18647993158967374</v>
      </c>
    </row>
    <row r="620" spans="1:20" x14ac:dyDescent="0.25">
      <c r="A620" s="5">
        <v>43973</v>
      </c>
      <c r="B620">
        <v>1.788E-2</v>
      </c>
      <c r="C620">
        <v>2.299E-2</v>
      </c>
      <c r="D620">
        <v>1.788E-2</v>
      </c>
      <c r="E620">
        <v>2.052E-2</v>
      </c>
      <c r="F620">
        <v>17722033.699999999</v>
      </c>
      <c r="G620">
        <v>0</v>
      </c>
      <c r="L620" t="s">
        <v>8</v>
      </c>
      <c r="M620" t="s">
        <v>8</v>
      </c>
      <c r="N620" t="s">
        <v>8</v>
      </c>
      <c r="P620">
        <f t="shared" si="990"/>
        <v>3.3268101761252451E-2</v>
      </c>
      <c r="Q620">
        <f t="shared" si="991"/>
        <v>589578.42054794531</v>
      </c>
      <c r="R620">
        <f t="shared" si="992"/>
        <v>-15161486.573253069</v>
      </c>
      <c r="S620">
        <f t="shared" si="993"/>
        <v>-151.61486573253069</v>
      </c>
      <c r="T620">
        <f t="shared" si="994"/>
        <v>-0.15161486573253069</v>
      </c>
    </row>
    <row r="621" spans="1:20" x14ac:dyDescent="0.25">
      <c r="A621" s="5">
        <v>43972</v>
      </c>
      <c r="B621">
        <v>1.9040000000000001E-2</v>
      </c>
      <c r="C621">
        <v>1.925E-2</v>
      </c>
      <c r="D621">
        <v>1.7639999999999999E-2</v>
      </c>
      <c r="E621">
        <v>1.8030000000000001E-2</v>
      </c>
      <c r="F621">
        <v>3095297.5</v>
      </c>
      <c r="G621">
        <v>0</v>
      </c>
      <c r="L621" t="s">
        <v>7</v>
      </c>
      <c r="M621" t="s">
        <v>7</v>
      </c>
      <c r="N621" t="s">
        <v>8</v>
      </c>
      <c r="P621">
        <f t="shared" si="990"/>
        <v>-0.51552795031055731</v>
      </c>
      <c r="Q621">
        <f t="shared" si="991"/>
        <v>-1595712.3757763922</v>
      </c>
      <c r="R621">
        <f t="shared" si="992"/>
        <v>-15751064.993801014</v>
      </c>
      <c r="S621">
        <f t="shared" si="993"/>
        <v>-157.51064993801015</v>
      </c>
      <c r="T621">
        <f t="shared" si="994"/>
        <v>-0.15751064993801014</v>
      </c>
    </row>
    <row r="622" spans="1:20" x14ac:dyDescent="0.25">
      <c r="A622" s="5">
        <v>43971</v>
      </c>
      <c r="B622">
        <v>1.9029999999999998E-2</v>
      </c>
      <c r="C622">
        <v>1.9519999999999999E-2</v>
      </c>
      <c r="D622">
        <v>1.839E-2</v>
      </c>
      <c r="E622">
        <v>1.9040000000000001E-2</v>
      </c>
      <c r="F622">
        <v>2775561.5</v>
      </c>
      <c r="G622">
        <v>0</v>
      </c>
      <c r="L622" t="s">
        <v>8</v>
      </c>
      <c r="M622" t="s">
        <v>7</v>
      </c>
      <c r="N622" t="s">
        <v>8</v>
      </c>
      <c r="P622">
        <f t="shared" si="990"/>
        <v>0.1504424778761094</v>
      </c>
      <c r="Q622">
        <f t="shared" si="991"/>
        <v>417562.34955753101</v>
      </c>
      <c r="R622">
        <f t="shared" si="992"/>
        <v>-14155352.618024623</v>
      </c>
      <c r="S622">
        <f t="shared" si="993"/>
        <v>-141.55352618024622</v>
      </c>
      <c r="T622">
        <f t="shared" si="994"/>
        <v>-0.14155352618024622</v>
      </c>
    </row>
    <row r="623" spans="1:20" x14ac:dyDescent="0.25">
      <c r="A623" s="5">
        <v>43970</v>
      </c>
      <c r="B623">
        <v>1.9060000000000001E-2</v>
      </c>
      <c r="C623">
        <v>1.9130000000000001E-2</v>
      </c>
      <c r="D623">
        <v>1.84E-2</v>
      </c>
      <c r="E623">
        <v>1.9120000000000002E-2</v>
      </c>
      <c r="F623">
        <v>898941.2</v>
      </c>
      <c r="G623">
        <v>0</v>
      </c>
      <c r="L623" t="s">
        <v>8</v>
      </c>
      <c r="M623" t="s">
        <v>7</v>
      </c>
      <c r="N623" t="s">
        <v>8</v>
      </c>
      <c r="P623">
        <f t="shared" si="990"/>
        <v>0.97260273972602862</v>
      </c>
      <c r="Q623">
        <f t="shared" si="991"/>
        <v>874312.67397260375</v>
      </c>
      <c r="R623">
        <f t="shared" si="992"/>
        <v>-14572914.967582153</v>
      </c>
      <c r="S623">
        <f t="shared" si="993"/>
        <v>-145.72914967582153</v>
      </c>
      <c r="T623">
        <f t="shared" si="994"/>
        <v>-0.14572914967582154</v>
      </c>
    </row>
    <row r="624" spans="1:20" x14ac:dyDescent="0.25">
      <c r="A624" s="5">
        <v>43969</v>
      </c>
      <c r="B624">
        <v>1.8919999999999999E-2</v>
      </c>
      <c r="C624">
        <v>1.949E-2</v>
      </c>
      <c r="D624">
        <v>1.8720000000000001E-2</v>
      </c>
      <c r="E624">
        <v>1.9089999999999999E-2</v>
      </c>
      <c r="F624">
        <v>2961082.7</v>
      </c>
      <c r="G624">
        <v>0</v>
      </c>
      <c r="L624" t="s">
        <v>8</v>
      </c>
      <c r="M624" t="s">
        <v>7</v>
      </c>
      <c r="N624" t="s">
        <v>8</v>
      </c>
      <c r="P624">
        <f t="shared" si="990"/>
        <v>-3.8961038961041888E-2</v>
      </c>
      <c r="Q624">
        <f t="shared" si="991"/>
        <v>-115366.85844156712</v>
      </c>
      <c r="R624">
        <f t="shared" si="992"/>
        <v>-15447227.641554756</v>
      </c>
      <c r="S624">
        <f t="shared" si="993"/>
        <v>-154.47227641554755</v>
      </c>
      <c r="T624">
        <f t="shared" si="994"/>
        <v>-0.15447227641554756</v>
      </c>
    </row>
    <row r="625" spans="1:20" x14ac:dyDescent="0.25">
      <c r="A625" s="5">
        <v>43968</v>
      </c>
      <c r="B625">
        <v>1.8530000000000001E-2</v>
      </c>
      <c r="C625">
        <v>1.9230000000000001E-2</v>
      </c>
      <c r="D625">
        <v>1.848E-2</v>
      </c>
      <c r="E625">
        <v>1.891E-2</v>
      </c>
      <c r="F625">
        <v>1509603.6</v>
      </c>
      <c r="G625">
        <v>0</v>
      </c>
      <c r="L625" t="s">
        <v>8</v>
      </c>
      <c r="M625" t="s">
        <v>7</v>
      </c>
      <c r="N625" t="s">
        <v>8</v>
      </c>
      <c r="P625">
        <f t="shared" si="990"/>
        <v>0.1466666666666652</v>
      </c>
      <c r="Q625">
        <f t="shared" si="991"/>
        <v>221408.52799999781</v>
      </c>
      <c r="R625">
        <f t="shared" si="992"/>
        <v>-15331860.783113189</v>
      </c>
      <c r="S625">
        <f t="shared" si="993"/>
        <v>-153.31860783113189</v>
      </c>
      <c r="T625">
        <f t="shared" si="994"/>
        <v>-0.15331860783113188</v>
      </c>
    </row>
    <row r="626" spans="1:20" x14ac:dyDescent="0.25">
      <c r="A626" s="5">
        <v>43967</v>
      </c>
      <c r="B626">
        <v>1.8610000000000002E-2</v>
      </c>
      <c r="C626">
        <v>1.883E-2</v>
      </c>
      <c r="D626">
        <v>1.8350000000000002E-2</v>
      </c>
      <c r="E626">
        <v>1.8679999999999999E-2</v>
      </c>
      <c r="F626">
        <v>1039117.4</v>
      </c>
      <c r="G626">
        <v>0</v>
      </c>
      <c r="L626" t="s">
        <v>8</v>
      </c>
      <c r="M626" t="s">
        <v>7</v>
      </c>
      <c r="N626" t="s">
        <v>8</v>
      </c>
      <c r="P626">
        <f t="shared" si="990"/>
        <v>0.37499999999999367</v>
      </c>
      <c r="Q626">
        <f t="shared" si="991"/>
        <v>389669.02499999345</v>
      </c>
      <c r="R626">
        <f t="shared" si="992"/>
        <v>-15553269.311113186</v>
      </c>
      <c r="S626">
        <f t="shared" si="993"/>
        <v>-155.53269311113186</v>
      </c>
      <c r="T626">
        <f t="shared" si="994"/>
        <v>-0.15553269311113185</v>
      </c>
    </row>
    <row r="627" spans="1:20" x14ac:dyDescent="0.25">
      <c r="A627" s="5">
        <v>43966</v>
      </c>
      <c r="B627">
        <v>1.9230000000000001E-2</v>
      </c>
      <c r="C627">
        <v>1.9230000000000001E-2</v>
      </c>
      <c r="D627">
        <v>1.8089999999999998E-2</v>
      </c>
      <c r="E627">
        <v>1.8610000000000002E-2</v>
      </c>
      <c r="F627">
        <v>3170838.8</v>
      </c>
      <c r="G627">
        <v>0</v>
      </c>
      <c r="L627" t="s">
        <v>8</v>
      </c>
      <c r="M627" t="s">
        <v>7</v>
      </c>
      <c r="N627" t="s">
        <v>8</v>
      </c>
      <c r="P627">
        <f t="shared" si="990"/>
        <v>-8.7719298245610297E-2</v>
      </c>
      <c r="Q627">
        <f t="shared" si="991"/>
        <v>-278143.75438595307</v>
      </c>
      <c r="R627">
        <f t="shared" si="992"/>
        <v>-15942938.336113179</v>
      </c>
      <c r="S627">
        <f t="shared" si="993"/>
        <v>-159.42938336113178</v>
      </c>
      <c r="T627">
        <f t="shared" si="994"/>
        <v>-0.15942938336113177</v>
      </c>
    </row>
    <row r="628" spans="1:20" x14ac:dyDescent="0.25">
      <c r="A628" s="5">
        <v>43965</v>
      </c>
      <c r="B628">
        <v>1.8839999999999999E-2</v>
      </c>
      <c r="C628">
        <v>1.9300000000000001E-2</v>
      </c>
      <c r="D628">
        <v>1.8589999999999999E-2</v>
      </c>
      <c r="E628">
        <v>1.9099999999999999E-2</v>
      </c>
      <c r="F628">
        <v>2124988.4</v>
      </c>
      <c r="G628">
        <v>0</v>
      </c>
      <c r="L628" t="s">
        <v>8</v>
      </c>
      <c r="M628" t="s">
        <v>7</v>
      </c>
      <c r="N628" t="s">
        <v>8</v>
      </c>
      <c r="P628">
        <f t="shared" si="990"/>
        <v>0.43661971830985463</v>
      </c>
      <c r="Q628">
        <f t="shared" si="991"/>
        <v>927811.83661970869</v>
      </c>
      <c r="R628">
        <f t="shared" si="992"/>
        <v>-15664794.581727225</v>
      </c>
      <c r="S628">
        <f t="shared" si="993"/>
        <v>-156.64794581727224</v>
      </c>
      <c r="T628">
        <f t="shared" si="994"/>
        <v>-0.15664794581727223</v>
      </c>
    </row>
    <row r="629" spans="1:20" x14ac:dyDescent="0.25">
      <c r="A629" s="5">
        <v>43964</v>
      </c>
      <c r="B629">
        <v>1.8239999999999999E-2</v>
      </c>
      <c r="C629">
        <v>1.9029999999999998E-2</v>
      </c>
      <c r="D629">
        <v>1.7950000000000001E-2</v>
      </c>
      <c r="E629">
        <v>1.9029999999999998E-2</v>
      </c>
      <c r="F629">
        <v>1645121.8</v>
      </c>
      <c r="G629">
        <v>0</v>
      </c>
      <c r="L629" t="s">
        <v>8</v>
      </c>
      <c r="M629" t="s">
        <v>7</v>
      </c>
      <c r="N629" t="s">
        <v>8</v>
      </c>
      <c r="P629">
        <f t="shared" si="990"/>
        <v>1</v>
      </c>
      <c r="Q629">
        <f t="shared" si="991"/>
        <v>1645121.8</v>
      </c>
      <c r="R629">
        <f t="shared" si="992"/>
        <v>-16592606.418346934</v>
      </c>
      <c r="S629">
        <f t="shared" si="993"/>
        <v>-165.92606418346935</v>
      </c>
      <c r="T629">
        <f t="shared" si="994"/>
        <v>-0.16592606418346936</v>
      </c>
    </row>
    <row r="630" spans="1:20" x14ac:dyDescent="0.25">
      <c r="A630" s="5">
        <v>43963</v>
      </c>
      <c r="B630">
        <v>1.7670000000000002E-2</v>
      </c>
      <c r="C630">
        <v>1.8489999999999999E-2</v>
      </c>
      <c r="D630">
        <v>1.7670000000000002E-2</v>
      </c>
      <c r="E630">
        <v>1.8169999999999999E-2</v>
      </c>
      <c r="F630">
        <v>1899834.9</v>
      </c>
      <c r="G630">
        <v>0</v>
      </c>
      <c r="L630" t="s">
        <v>8</v>
      </c>
      <c r="M630" t="s">
        <v>7</v>
      </c>
      <c r="N630" t="s">
        <v>8</v>
      </c>
      <c r="P630">
        <f t="shared" si="990"/>
        <v>0.21951219512194708</v>
      </c>
      <c r="Q630">
        <f t="shared" si="991"/>
        <v>417036.92926828482</v>
      </c>
      <c r="R630">
        <f t="shared" si="992"/>
        <v>-18237728.218346935</v>
      </c>
      <c r="S630">
        <f t="shared" si="993"/>
        <v>-182.37728218346936</v>
      </c>
      <c r="T630">
        <f t="shared" si="994"/>
        <v>-0.18237728218346935</v>
      </c>
    </row>
    <row r="631" spans="1:20" x14ac:dyDescent="0.25">
      <c r="A631" s="5">
        <v>43962</v>
      </c>
      <c r="B631">
        <v>1.8530000000000001E-2</v>
      </c>
      <c r="C631">
        <v>1.883E-2</v>
      </c>
      <c r="D631">
        <v>1.7180000000000001E-2</v>
      </c>
      <c r="E631">
        <v>1.7729999999999999E-2</v>
      </c>
      <c r="F631">
        <v>2089770.3</v>
      </c>
      <c r="G631">
        <v>0</v>
      </c>
      <c r="L631" t="s">
        <v>7</v>
      </c>
      <c r="M631" t="s">
        <v>7</v>
      </c>
      <c r="N631" t="s">
        <v>8</v>
      </c>
      <c r="P631">
        <f t="shared" si="990"/>
        <v>-0.33333333333333476</v>
      </c>
      <c r="Q631">
        <f t="shared" si="991"/>
        <v>-696590.100000003</v>
      </c>
      <c r="R631">
        <f t="shared" si="992"/>
        <v>-18654765.14761522</v>
      </c>
      <c r="S631">
        <f t="shared" si="993"/>
        <v>-186.5476514761522</v>
      </c>
      <c r="T631">
        <f t="shared" si="994"/>
        <v>-0.18654765147615221</v>
      </c>
    </row>
    <row r="632" spans="1:20" x14ac:dyDescent="0.25">
      <c r="A632" s="5">
        <v>43961</v>
      </c>
      <c r="B632">
        <v>2.0410000000000001E-2</v>
      </c>
      <c r="C632">
        <v>2.0410000000000001E-2</v>
      </c>
      <c r="D632">
        <v>1.7569999999999999E-2</v>
      </c>
      <c r="E632">
        <v>1.8370000000000001E-2</v>
      </c>
      <c r="F632">
        <v>4459307.9000000004</v>
      </c>
      <c r="G632">
        <v>0</v>
      </c>
      <c r="L632" t="s">
        <v>7</v>
      </c>
      <c r="M632" t="s">
        <v>7</v>
      </c>
      <c r="N632" t="s">
        <v>8</v>
      </c>
      <c r="P632">
        <f t="shared" si="990"/>
        <v>-0.43661971830985813</v>
      </c>
      <c r="Q632">
        <f t="shared" si="991"/>
        <v>-1947021.7591549251</v>
      </c>
      <c r="R632">
        <f t="shared" si="992"/>
        <v>-17958175.047615219</v>
      </c>
      <c r="S632">
        <f t="shared" si="993"/>
        <v>-179.58175047615219</v>
      </c>
      <c r="T632">
        <f t="shared" si="994"/>
        <v>-0.17958175047615219</v>
      </c>
    </row>
    <row r="633" spans="1:20" x14ac:dyDescent="0.25">
      <c r="A633" s="5">
        <v>43960</v>
      </c>
      <c r="B633">
        <v>2.0369999999999999E-2</v>
      </c>
      <c r="C633">
        <v>2.1399999999999999E-2</v>
      </c>
      <c r="D633">
        <v>1.993E-2</v>
      </c>
      <c r="E633">
        <v>2.043E-2</v>
      </c>
      <c r="F633">
        <v>3006901.5</v>
      </c>
      <c r="G633">
        <v>0</v>
      </c>
      <c r="L633" t="s">
        <v>7</v>
      </c>
      <c r="M633" t="s">
        <v>8</v>
      </c>
      <c r="N633" t="s">
        <v>8</v>
      </c>
      <c r="P633">
        <f t="shared" si="990"/>
        <v>-0.31972789115646155</v>
      </c>
      <c r="Q633">
        <f t="shared" si="991"/>
        <v>-961390.275510201</v>
      </c>
      <c r="R633">
        <f t="shared" si="992"/>
        <v>-16011153.288460294</v>
      </c>
      <c r="S633">
        <f t="shared" si="993"/>
        <v>-160.11153288460295</v>
      </c>
      <c r="T633">
        <f t="shared" si="994"/>
        <v>-0.16011153288460295</v>
      </c>
    </row>
    <row r="634" spans="1:20" x14ac:dyDescent="0.25">
      <c r="A634" s="5">
        <v>43959</v>
      </c>
      <c r="B634">
        <v>2.0459999999999999E-2</v>
      </c>
      <c r="C634">
        <v>2.1989999999999999E-2</v>
      </c>
      <c r="D634">
        <v>1.9640000000000001E-2</v>
      </c>
      <c r="E634">
        <v>2.0420000000000001E-2</v>
      </c>
      <c r="F634">
        <v>3411644.9</v>
      </c>
      <c r="G634">
        <v>0</v>
      </c>
      <c r="L634" t="s">
        <v>8</v>
      </c>
      <c r="M634" t="s">
        <v>8</v>
      </c>
      <c r="N634" t="s">
        <v>8</v>
      </c>
      <c r="P634">
        <f t="shared" si="990"/>
        <v>-0.33617021276595732</v>
      </c>
      <c r="Q634">
        <f t="shared" si="991"/>
        <v>-1146893.3919148932</v>
      </c>
      <c r="R634">
        <f t="shared" si="992"/>
        <v>-15049763.012950093</v>
      </c>
      <c r="S634">
        <f t="shared" si="993"/>
        <v>-150.49763012950092</v>
      </c>
      <c r="T634">
        <f t="shared" si="994"/>
        <v>-0.15049763012950093</v>
      </c>
    </row>
    <row r="635" spans="1:20" x14ac:dyDescent="0.25">
      <c r="A635" s="5">
        <v>43958</v>
      </c>
      <c r="B635">
        <v>1.9869999999999999E-2</v>
      </c>
      <c r="C635">
        <v>2.053E-2</v>
      </c>
      <c r="D635">
        <v>1.9570000000000001E-2</v>
      </c>
      <c r="E635">
        <v>2.044E-2</v>
      </c>
      <c r="F635">
        <v>2357533.9</v>
      </c>
      <c r="G635">
        <v>0</v>
      </c>
      <c r="L635" t="s">
        <v>7</v>
      </c>
      <c r="M635" t="s">
        <v>8</v>
      </c>
      <c r="N635" t="s">
        <v>8</v>
      </c>
      <c r="P635">
        <f t="shared" si="990"/>
        <v>0.81250000000000022</v>
      </c>
      <c r="Q635">
        <f t="shared" si="991"/>
        <v>1915496.2937500004</v>
      </c>
      <c r="R635">
        <f t="shared" si="992"/>
        <v>-13902869.6210352</v>
      </c>
      <c r="S635">
        <f t="shared" si="993"/>
        <v>-139.028696210352</v>
      </c>
      <c r="T635">
        <f t="shared" si="994"/>
        <v>-0.13902869621035199</v>
      </c>
    </row>
    <row r="636" spans="1:20" x14ac:dyDescent="0.25">
      <c r="A636" s="5">
        <v>43957</v>
      </c>
      <c r="B636">
        <v>2.07E-2</v>
      </c>
      <c r="C636">
        <v>2.1000000000000001E-2</v>
      </c>
      <c r="D636">
        <v>0.02</v>
      </c>
      <c r="E636">
        <v>2.0060000000000001E-2</v>
      </c>
      <c r="F636">
        <v>3721455</v>
      </c>
      <c r="G636">
        <v>0</v>
      </c>
      <c r="L636" t="s">
        <v>7</v>
      </c>
      <c r="M636" t="s">
        <v>8</v>
      </c>
      <c r="N636" t="s">
        <v>8</v>
      </c>
      <c r="P636">
        <f t="shared" si="990"/>
        <v>-0.87999999999999801</v>
      </c>
      <c r="Q636">
        <f t="shared" si="991"/>
        <v>-3274880.3999999925</v>
      </c>
      <c r="R636">
        <f t="shared" si="992"/>
        <v>-15818365.914785201</v>
      </c>
      <c r="S636">
        <f t="shared" si="993"/>
        <v>-158.18365914785201</v>
      </c>
      <c r="T636">
        <f t="shared" si="994"/>
        <v>-0.15818365914785201</v>
      </c>
    </row>
    <row r="637" spans="1:20" x14ac:dyDescent="0.25">
      <c r="A637" s="5">
        <v>43956</v>
      </c>
      <c r="B637">
        <v>2.001E-2</v>
      </c>
      <c r="C637">
        <v>2.188E-2</v>
      </c>
      <c r="D637">
        <v>1.9699999999999999E-2</v>
      </c>
      <c r="E637">
        <v>2.0830000000000001E-2</v>
      </c>
      <c r="F637">
        <v>7983979.5</v>
      </c>
      <c r="G637">
        <v>0</v>
      </c>
      <c r="L637" t="s">
        <v>8</v>
      </c>
      <c r="M637" t="s">
        <v>8</v>
      </c>
      <c r="N637" t="s">
        <v>8</v>
      </c>
      <c r="P637">
        <f t="shared" si="990"/>
        <v>3.6697247706423686E-2</v>
      </c>
      <c r="Q637">
        <f t="shared" si="991"/>
        <v>292990.07339450874</v>
      </c>
      <c r="R637">
        <f t="shared" si="992"/>
        <v>-12543485.514785208</v>
      </c>
      <c r="S637">
        <f t="shared" si="993"/>
        <v>-125.43485514785208</v>
      </c>
      <c r="T637">
        <f t="shared" si="994"/>
        <v>-0.12543485514785208</v>
      </c>
    </row>
    <row r="638" spans="1:20" x14ac:dyDescent="0.25">
      <c r="A638" s="5">
        <v>43955</v>
      </c>
      <c r="B638">
        <v>2.0389999999999998E-2</v>
      </c>
      <c r="C638">
        <v>2.0410000000000001E-2</v>
      </c>
      <c r="D638">
        <v>1.9130000000000001E-2</v>
      </c>
      <c r="E638">
        <v>2.0029999999999999E-2</v>
      </c>
      <c r="F638">
        <v>1701999.1</v>
      </c>
      <c r="G638">
        <v>0</v>
      </c>
      <c r="L638" t="s">
        <v>7</v>
      </c>
      <c r="M638" t="s">
        <v>8</v>
      </c>
      <c r="N638" t="s">
        <v>8</v>
      </c>
      <c r="P638">
        <f t="shared" si="990"/>
        <v>0.40624999999999706</v>
      </c>
      <c r="Q638">
        <f t="shared" si="991"/>
        <v>691437.13437499502</v>
      </c>
      <c r="R638">
        <f t="shared" si="992"/>
        <v>-12836475.588179717</v>
      </c>
      <c r="S638">
        <f t="shared" si="993"/>
        <v>-128.36475588179718</v>
      </c>
      <c r="T638">
        <f t="shared" si="994"/>
        <v>-0.12836475588179719</v>
      </c>
    </row>
    <row r="639" spans="1:20" x14ac:dyDescent="0.25">
      <c r="A639" s="5">
        <v>43954</v>
      </c>
      <c r="B639">
        <v>2.086E-2</v>
      </c>
      <c r="C639">
        <v>2.145E-2</v>
      </c>
      <c r="D639">
        <v>1.9810000000000001E-2</v>
      </c>
      <c r="E639">
        <v>2.027E-2</v>
      </c>
      <c r="F639">
        <v>4060065.7</v>
      </c>
      <c r="G639">
        <v>0</v>
      </c>
      <c r="L639" t="s">
        <v>7</v>
      </c>
      <c r="M639" t="s">
        <v>8</v>
      </c>
      <c r="N639" t="s">
        <v>8</v>
      </c>
      <c r="P639">
        <f t="shared" si="990"/>
        <v>-0.43902439024390383</v>
      </c>
      <c r="Q639">
        <f t="shared" si="991"/>
        <v>-1782467.8682926886</v>
      </c>
      <c r="R639">
        <f t="shared" si="992"/>
        <v>-13527912.722554712</v>
      </c>
      <c r="S639">
        <f t="shared" si="993"/>
        <v>-135.27912722554711</v>
      </c>
      <c r="T639">
        <f t="shared" si="994"/>
        <v>-0.13527912722554711</v>
      </c>
    </row>
    <row r="640" spans="1:20" x14ac:dyDescent="0.25">
      <c r="A640" s="5">
        <v>43953</v>
      </c>
      <c r="B640">
        <v>2.1190000000000001E-2</v>
      </c>
      <c r="C640">
        <v>2.1270000000000001E-2</v>
      </c>
      <c r="D640">
        <v>2.0480000000000002E-2</v>
      </c>
      <c r="E640">
        <v>2.085E-2</v>
      </c>
      <c r="F640">
        <v>3208925</v>
      </c>
      <c r="G640">
        <v>0</v>
      </c>
      <c r="L640" t="s">
        <v>8</v>
      </c>
      <c r="M640" t="s">
        <v>8</v>
      </c>
      <c r="N640" t="s">
        <v>8</v>
      </c>
      <c r="P640">
        <f t="shared" si="990"/>
        <v>-6.3291139240508221E-2</v>
      </c>
      <c r="Q640">
        <f t="shared" si="991"/>
        <v>-203096.51898734784</v>
      </c>
      <c r="R640">
        <f t="shared" si="992"/>
        <v>-11745444.854262022</v>
      </c>
      <c r="S640">
        <f t="shared" si="993"/>
        <v>-117.45444854262023</v>
      </c>
      <c r="T640">
        <f t="shared" si="994"/>
        <v>-0.11745444854262023</v>
      </c>
    </row>
    <row r="641" spans="1:20" x14ac:dyDescent="0.25">
      <c r="A641" s="5">
        <v>43952</v>
      </c>
      <c r="B641">
        <v>1.9570000000000001E-2</v>
      </c>
      <c r="C641">
        <v>2.1739999999999999E-2</v>
      </c>
      <c r="D641">
        <v>1.9480000000000001E-2</v>
      </c>
      <c r="E641">
        <v>2.1229999999999999E-2</v>
      </c>
      <c r="F641">
        <v>4608163.8</v>
      </c>
      <c r="G641">
        <v>0</v>
      </c>
      <c r="L641" t="s">
        <v>7</v>
      </c>
      <c r="M641" t="s">
        <v>8</v>
      </c>
      <c r="N641" t="s">
        <v>8</v>
      </c>
      <c r="P641">
        <f t="shared" si="990"/>
        <v>0.54867256637168105</v>
      </c>
      <c r="Q641">
        <f t="shared" si="991"/>
        <v>2528373.058407078</v>
      </c>
      <c r="R641">
        <f t="shared" si="992"/>
        <v>-11542348.335274674</v>
      </c>
      <c r="S641">
        <f t="shared" si="993"/>
        <v>-115.42348335274674</v>
      </c>
      <c r="T641">
        <f t="shared" si="994"/>
        <v>-0.11542348335274674</v>
      </c>
    </row>
    <row r="642" spans="1:20" x14ac:dyDescent="0.25">
      <c r="A642" s="5">
        <v>43951</v>
      </c>
      <c r="B642">
        <v>2.019E-2</v>
      </c>
      <c r="C642">
        <v>2.1590000000000002E-2</v>
      </c>
      <c r="D642">
        <v>1.8710000000000001E-2</v>
      </c>
      <c r="E642">
        <v>1.9380000000000001E-2</v>
      </c>
      <c r="F642">
        <v>9026429.3000000007</v>
      </c>
      <c r="G642">
        <v>0</v>
      </c>
      <c r="L642" t="s">
        <v>8</v>
      </c>
      <c r="M642" t="s">
        <v>8</v>
      </c>
      <c r="N642" t="s">
        <v>8</v>
      </c>
      <c r="P642">
        <f t="shared" si="990"/>
        <v>-0.53472222222222199</v>
      </c>
      <c r="Q642">
        <f t="shared" si="991"/>
        <v>-4826632.3340277765</v>
      </c>
      <c r="R642">
        <f t="shared" si="992"/>
        <v>-14070721.393681752</v>
      </c>
      <c r="S642">
        <f t="shared" si="993"/>
        <v>-140.70721393681751</v>
      </c>
      <c r="T642">
        <f t="shared" si="994"/>
        <v>-0.14070721393681751</v>
      </c>
    </row>
    <row r="643" spans="1:20" x14ac:dyDescent="0.25">
      <c r="A643" s="5">
        <v>43950</v>
      </c>
      <c r="B643">
        <v>1.8710000000000001E-2</v>
      </c>
      <c r="C643">
        <v>2.0400000000000001E-2</v>
      </c>
      <c r="D643">
        <v>1.8519999999999998E-2</v>
      </c>
      <c r="E643">
        <v>2.0160000000000001E-2</v>
      </c>
      <c r="F643">
        <v>9311521</v>
      </c>
      <c r="G643">
        <v>0</v>
      </c>
      <c r="L643" t="s">
        <v>8</v>
      </c>
      <c r="M643" t="s">
        <v>8</v>
      </c>
      <c r="N643" t="s">
        <v>8</v>
      </c>
      <c r="P643">
        <f t="shared" si="990"/>
        <v>0.74468085106382953</v>
      </c>
      <c r="Q643">
        <f t="shared" si="991"/>
        <v>6934111.3829787206</v>
      </c>
      <c r="R643">
        <f t="shared" si="992"/>
        <v>-9244089.0596539751</v>
      </c>
      <c r="S643">
        <f t="shared" si="993"/>
        <v>-92.440890596539745</v>
      </c>
      <c r="T643">
        <f t="shared" si="994"/>
        <v>-9.2440890596539746E-2</v>
      </c>
    </row>
    <row r="644" spans="1:20" x14ac:dyDescent="0.25">
      <c r="A644" s="5">
        <v>43949</v>
      </c>
      <c r="B644">
        <v>1.805E-2</v>
      </c>
      <c r="C644">
        <v>1.9359999999999999E-2</v>
      </c>
      <c r="D644">
        <v>1.7680000000000001E-2</v>
      </c>
      <c r="E644">
        <v>1.8589999999999999E-2</v>
      </c>
      <c r="F644">
        <v>3341405</v>
      </c>
      <c r="G644">
        <v>0</v>
      </c>
      <c r="L644" t="s">
        <v>7</v>
      </c>
      <c r="M644" t="s">
        <v>8</v>
      </c>
      <c r="N644" t="s">
        <v>8</v>
      </c>
      <c r="P644">
        <f t="shared" si="990"/>
        <v>8.3333333333332135E-2</v>
      </c>
      <c r="Q644">
        <f t="shared" si="991"/>
        <v>278450.41666666267</v>
      </c>
      <c r="R644">
        <f t="shared" si="992"/>
        <v>-16178200.442632696</v>
      </c>
      <c r="S644">
        <f t="shared" si="993"/>
        <v>-161.78200442632695</v>
      </c>
      <c r="T644">
        <f t="shared" si="994"/>
        <v>-0.16178200442632695</v>
      </c>
    </row>
    <row r="645" spans="1:20" x14ac:dyDescent="0.25">
      <c r="A645" s="5">
        <v>43948</v>
      </c>
      <c r="B645">
        <v>1.8180000000000002E-2</v>
      </c>
      <c r="C645">
        <v>1.9730000000000001E-2</v>
      </c>
      <c r="D645">
        <v>1.7160000000000002E-2</v>
      </c>
      <c r="E645">
        <v>1.7930000000000001E-2</v>
      </c>
      <c r="F645">
        <v>13084526.9</v>
      </c>
      <c r="G645">
        <v>0</v>
      </c>
      <c r="L645" t="s">
        <v>8</v>
      </c>
      <c r="M645" t="s">
        <v>8</v>
      </c>
      <c r="N645" t="s">
        <v>8</v>
      </c>
      <c r="P645">
        <f t="shared" si="990"/>
        <v>-0.40077821011673148</v>
      </c>
      <c r="Q645">
        <f t="shared" si="991"/>
        <v>-5243993.2712062253</v>
      </c>
      <c r="R645">
        <f t="shared" si="992"/>
        <v>-16456650.859299358</v>
      </c>
      <c r="S645">
        <f t="shared" si="993"/>
        <v>-164.56650859299359</v>
      </c>
      <c r="T645">
        <f t="shared" si="994"/>
        <v>-0.1645665085929936</v>
      </c>
    </row>
    <row r="646" spans="1:20" x14ac:dyDescent="0.25">
      <c r="A646" s="5">
        <v>43947</v>
      </c>
      <c r="B646">
        <v>1.745E-2</v>
      </c>
      <c r="C646">
        <v>1.847E-2</v>
      </c>
      <c r="D646">
        <v>1.7309999999999999E-2</v>
      </c>
      <c r="E646">
        <v>1.806E-2</v>
      </c>
      <c r="F646">
        <v>3522261.3</v>
      </c>
      <c r="G646">
        <v>0</v>
      </c>
      <c r="L646" t="s">
        <v>8</v>
      </c>
      <c r="M646" t="s">
        <v>7</v>
      </c>
      <c r="N646" t="s">
        <v>8</v>
      </c>
      <c r="P646">
        <f t="shared" ref="P646:P709" si="995">IF(C646=D646,0,((E646-D646)-(C646-E646))/(C646-D646))</f>
        <v>0.29310344827586177</v>
      </c>
      <c r="Q646">
        <f t="shared" ref="Q646:Q709" si="996">F646*P646</f>
        <v>1032386.9327586195</v>
      </c>
      <c r="R646">
        <f t="shared" ref="R646:R709" si="997">R647+Q646</f>
        <v>-11212657.588093132</v>
      </c>
      <c r="S646">
        <f t="shared" ref="S646:S709" si="998">R646/100000</f>
        <v>-112.12657588093131</v>
      </c>
      <c r="T646">
        <f t="shared" ref="T646:T709" si="999">S646/1000</f>
        <v>-0.11212657588093131</v>
      </c>
    </row>
    <row r="647" spans="1:20" x14ac:dyDescent="0.25">
      <c r="A647" s="5">
        <v>43946</v>
      </c>
      <c r="B647">
        <v>1.738E-2</v>
      </c>
      <c r="C647">
        <v>1.796E-2</v>
      </c>
      <c r="D647">
        <v>1.7239999999999998E-2</v>
      </c>
      <c r="E647">
        <v>1.7520000000000001E-2</v>
      </c>
      <c r="F647">
        <v>1598108</v>
      </c>
      <c r="G647">
        <v>0</v>
      </c>
      <c r="L647" t="s">
        <v>8</v>
      </c>
      <c r="M647" t="s">
        <v>7</v>
      </c>
      <c r="N647" t="s">
        <v>8</v>
      </c>
      <c r="P647">
        <f t="shared" si="995"/>
        <v>-0.22222222222221741</v>
      </c>
      <c r="Q647">
        <f t="shared" si="996"/>
        <v>-355135.11111110344</v>
      </c>
      <c r="R647">
        <f t="shared" si="997"/>
        <v>-12245044.520851752</v>
      </c>
      <c r="S647">
        <f t="shared" si="998"/>
        <v>-122.45044520851752</v>
      </c>
      <c r="T647">
        <f t="shared" si="999"/>
        <v>-0.12245044520851753</v>
      </c>
    </row>
    <row r="648" spans="1:20" x14ac:dyDescent="0.25">
      <c r="A648" s="5">
        <v>43945</v>
      </c>
      <c r="B648">
        <v>1.7399999999999999E-2</v>
      </c>
      <c r="C648">
        <v>1.7569999999999999E-2</v>
      </c>
      <c r="D648">
        <v>1.7049999999999999E-2</v>
      </c>
      <c r="E648">
        <v>1.7489999999999999E-2</v>
      </c>
      <c r="F648">
        <v>2430340.1</v>
      </c>
      <c r="G648">
        <v>0</v>
      </c>
      <c r="L648" t="s">
        <v>8</v>
      </c>
      <c r="M648" t="s">
        <v>7</v>
      </c>
      <c r="N648" t="s">
        <v>8</v>
      </c>
      <c r="P648">
        <f t="shared" si="995"/>
        <v>0.69230769230769129</v>
      </c>
      <c r="Q648">
        <f t="shared" si="996"/>
        <v>1682543.1461538437</v>
      </c>
      <c r="R648">
        <f t="shared" si="997"/>
        <v>-11889909.409740649</v>
      </c>
      <c r="S648">
        <f t="shared" si="998"/>
        <v>-118.89909409740649</v>
      </c>
      <c r="T648">
        <f t="shared" si="999"/>
        <v>-0.1188990940974065</v>
      </c>
    </row>
    <row r="649" spans="1:20" x14ac:dyDescent="0.25">
      <c r="A649" s="5">
        <v>43944</v>
      </c>
      <c r="B649">
        <v>1.694E-2</v>
      </c>
      <c r="C649">
        <v>1.806E-2</v>
      </c>
      <c r="D649">
        <v>1.652E-2</v>
      </c>
      <c r="E649">
        <v>1.7399999999999999E-2</v>
      </c>
      <c r="F649">
        <v>2481035.5</v>
      </c>
      <c r="G649">
        <v>0</v>
      </c>
      <c r="L649" t="s">
        <v>8</v>
      </c>
      <c r="M649" t="s">
        <v>7</v>
      </c>
      <c r="N649" t="s">
        <v>8</v>
      </c>
      <c r="P649">
        <f t="shared" si="995"/>
        <v>0.14285714285714157</v>
      </c>
      <c r="Q649">
        <f t="shared" si="996"/>
        <v>354433.6428571397</v>
      </c>
      <c r="R649">
        <f t="shared" si="997"/>
        <v>-13572452.555894492</v>
      </c>
      <c r="S649">
        <f t="shared" si="998"/>
        <v>-135.72452555894492</v>
      </c>
      <c r="T649">
        <f t="shared" si="999"/>
        <v>-0.13572452555894493</v>
      </c>
    </row>
    <row r="650" spans="1:20" x14ac:dyDescent="0.25">
      <c r="A650" s="5">
        <v>43943</v>
      </c>
      <c r="B650">
        <v>1.6E-2</v>
      </c>
      <c r="C650">
        <v>1.72E-2</v>
      </c>
      <c r="D650">
        <v>1.6E-2</v>
      </c>
      <c r="E650">
        <v>1.702E-2</v>
      </c>
      <c r="F650">
        <v>2310757.7000000002</v>
      </c>
      <c r="G650">
        <v>0</v>
      </c>
      <c r="L650" t="s">
        <v>8</v>
      </c>
      <c r="M650" t="s">
        <v>7</v>
      </c>
      <c r="N650" t="s">
        <v>8</v>
      </c>
      <c r="P650">
        <f t="shared" si="995"/>
        <v>0.70000000000000062</v>
      </c>
      <c r="Q650">
        <f t="shared" si="996"/>
        <v>1617530.3900000015</v>
      </c>
      <c r="R650">
        <f t="shared" si="997"/>
        <v>-13926886.198751632</v>
      </c>
      <c r="S650">
        <f t="shared" si="998"/>
        <v>-139.26886198751632</v>
      </c>
      <c r="T650">
        <f t="shared" si="999"/>
        <v>-0.13926886198751631</v>
      </c>
    </row>
    <row r="651" spans="1:20" x14ac:dyDescent="0.25">
      <c r="A651" s="5">
        <v>43942</v>
      </c>
      <c r="B651">
        <v>1.627E-2</v>
      </c>
      <c r="C651">
        <v>1.6480000000000002E-2</v>
      </c>
      <c r="D651">
        <v>1.583E-2</v>
      </c>
      <c r="E651">
        <v>1.609E-2</v>
      </c>
      <c r="F651">
        <v>660633.59999999998</v>
      </c>
      <c r="G651">
        <v>0</v>
      </c>
      <c r="L651" t="s">
        <v>7</v>
      </c>
      <c r="M651" t="s">
        <v>7</v>
      </c>
      <c r="N651" t="s">
        <v>8</v>
      </c>
      <c r="P651">
        <f t="shared" si="995"/>
        <v>-0.20000000000000215</v>
      </c>
      <c r="Q651">
        <f t="shared" si="996"/>
        <v>-132126.72000000143</v>
      </c>
      <c r="R651">
        <f t="shared" si="997"/>
        <v>-15544416.588751635</v>
      </c>
      <c r="S651">
        <f t="shared" si="998"/>
        <v>-155.44416588751633</v>
      </c>
      <c r="T651">
        <f t="shared" si="999"/>
        <v>-0.15544416588751633</v>
      </c>
    </row>
    <row r="652" spans="1:20" x14ac:dyDescent="0.25">
      <c r="A652" s="5">
        <v>43941</v>
      </c>
      <c r="B652">
        <v>1.7139999999999999E-2</v>
      </c>
      <c r="C652">
        <v>1.7590000000000001E-2</v>
      </c>
      <c r="D652">
        <v>1.6080000000000001E-2</v>
      </c>
      <c r="E652">
        <v>1.6109999999999999E-2</v>
      </c>
      <c r="F652">
        <v>2561630.5</v>
      </c>
      <c r="G652">
        <v>0</v>
      </c>
      <c r="L652" t="s">
        <v>7</v>
      </c>
      <c r="M652" t="s">
        <v>7</v>
      </c>
      <c r="N652" t="s">
        <v>8</v>
      </c>
      <c r="P652">
        <f t="shared" si="995"/>
        <v>-0.96026490066225334</v>
      </c>
      <c r="Q652">
        <f t="shared" si="996"/>
        <v>-2459843.8576158984</v>
      </c>
      <c r="R652">
        <f t="shared" si="997"/>
        <v>-15412289.868751634</v>
      </c>
      <c r="S652">
        <f t="shared" si="998"/>
        <v>-154.12289868751634</v>
      </c>
      <c r="T652">
        <f t="shared" si="999"/>
        <v>-0.15412289868751633</v>
      </c>
    </row>
    <row r="653" spans="1:20" x14ac:dyDescent="0.25">
      <c r="A653" s="5">
        <v>43940</v>
      </c>
      <c r="B653">
        <v>1.7610000000000001E-2</v>
      </c>
      <c r="C653">
        <v>1.7610000000000001E-2</v>
      </c>
      <c r="D653">
        <v>1.687E-2</v>
      </c>
      <c r="E653">
        <v>1.7139999999999999E-2</v>
      </c>
      <c r="F653">
        <v>832748.9</v>
      </c>
      <c r="G653">
        <v>0</v>
      </c>
      <c r="L653" t="s">
        <v>8</v>
      </c>
      <c r="M653" t="s">
        <v>7</v>
      </c>
      <c r="N653" t="s">
        <v>8</v>
      </c>
      <c r="P653">
        <f t="shared" si="995"/>
        <v>-0.27027027027027295</v>
      </c>
      <c r="Q653">
        <f t="shared" si="996"/>
        <v>-225067.27027027251</v>
      </c>
      <c r="R653">
        <f t="shared" si="997"/>
        <v>-12952446.011135735</v>
      </c>
      <c r="S653">
        <f t="shared" si="998"/>
        <v>-129.52446011135734</v>
      </c>
      <c r="T653">
        <f t="shared" si="999"/>
        <v>-0.12952446011135735</v>
      </c>
    </row>
    <row r="654" spans="1:20" x14ac:dyDescent="0.25">
      <c r="A654" s="5">
        <v>43939</v>
      </c>
      <c r="B654">
        <v>1.7270000000000001E-2</v>
      </c>
      <c r="C654">
        <v>1.7809999999999999E-2</v>
      </c>
      <c r="D654">
        <v>1.712E-2</v>
      </c>
      <c r="E654">
        <v>1.78E-2</v>
      </c>
      <c r="F654">
        <v>865423.6</v>
      </c>
      <c r="G654">
        <v>0</v>
      </c>
      <c r="L654" t="s">
        <v>8</v>
      </c>
      <c r="M654" t="s">
        <v>7</v>
      </c>
      <c r="N654" t="s">
        <v>8</v>
      </c>
      <c r="P654">
        <f t="shared" si="995"/>
        <v>0.97101449275362439</v>
      </c>
      <c r="Q654">
        <f t="shared" si="996"/>
        <v>840338.8579710155</v>
      </c>
      <c r="R654">
        <f t="shared" si="997"/>
        <v>-12727378.740865462</v>
      </c>
      <c r="S654">
        <f t="shared" si="998"/>
        <v>-127.27378740865461</v>
      </c>
      <c r="T654">
        <f t="shared" si="999"/>
        <v>-0.12727378740865461</v>
      </c>
    </row>
    <row r="655" spans="1:20" x14ac:dyDescent="0.25">
      <c r="A655" s="5">
        <v>43938</v>
      </c>
      <c r="B655">
        <v>1.6969999999999999E-2</v>
      </c>
      <c r="C655">
        <v>1.737E-2</v>
      </c>
      <c r="D655">
        <v>1.6830000000000001E-2</v>
      </c>
      <c r="E655">
        <v>1.7149999999999999E-2</v>
      </c>
      <c r="F655">
        <v>923396.3</v>
      </c>
      <c r="G655">
        <v>0</v>
      </c>
      <c r="L655" t="s">
        <v>8</v>
      </c>
      <c r="M655" t="s">
        <v>7</v>
      </c>
      <c r="N655" t="s">
        <v>8</v>
      </c>
      <c r="P655">
        <f t="shared" si="995"/>
        <v>0.18518518518517804</v>
      </c>
      <c r="Q655">
        <f t="shared" si="996"/>
        <v>170999.31481480823</v>
      </c>
      <c r="R655">
        <f t="shared" si="997"/>
        <v>-13567717.598836478</v>
      </c>
      <c r="S655">
        <f t="shared" si="998"/>
        <v>-135.67717598836478</v>
      </c>
      <c r="T655">
        <f t="shared" si="999"/>
        <v>-0.13567717598836479</v>
      </c>
    </row>
    <row r="656" spans="1:20" x14ac:dyDescent="0.25">
      <c r="A656" s="5">
        <v>43937</v>
      </c>
      <c r="B656">
        <v>1.5990000000000001E-2</v>
      </c>
      <c r="C656">
        <v>1.7319999999999999E-2</v>
      </c>
      <c r="D656">
        <v>1.5810000000000001E-2</v>
      </c>
      <c r="E656">
        <v>1.7170000000000001E-2</v>
      </c>
      <c r="F656">
        <v>1898729.6</v>
      </c>
      <c r="G656">
        <v>0</v>
      </c>
      <c r="L656" t="s">
        <v>7</v>
      </c>
      <c r="M656" t="s">
        <v>7</v>
      </c>
      <c r="N656" t="s">
        <v>8</v>
      </c>
      <c r="P656">
        <f t="shared" si="995"/>
        <v>0.80132450331126148</v>
      </c>
      <c r="Q656">
        <f t="shared" si="996"/>
        <v>1521498.5536423903</v>
      </c>
      <c r="R656">
        <f t="shared" si="997"/>
        <v>-13738716.913651286</v>
      </c>
      <c r="S656">
        <f t="shared" si="998"/>
        <v>-137.38716913651285</v>
      </c>
      <c r="T656">
        <f t="shared" si="999"/>
        <v>-0.13738716913651286</v>
      </c>
    </row>
    <row r="657" spans="1:20" x14ac:dyDescent="0.25">
      <c r="A657" s="5">
        <v>43936</v>
      </c>
      <c r="B657">
        <v>1.6930000000000001E-2</v>
      </c>
      <c r="C657">
        <v>1.7160000000000002E-2</v>
      </c>
      <c r="D657">
        <v>1.6119999999999999E-2</v>
      </c>
      <c r="E657">
        <v>1.6330000000000001E-2</v>
      </c>
      <c r="F657">
        <v>439184.8</v>
      </c>
      <c r="G657">
        <v>0</v>
      </c>
      <c r="L657" t="s">
        <v>7</v>
      </c>
      <c r="M657" t="s">
        <v>7</v>
      </c>
      <c r="N657" t="s">
        <v>8</v>
      </c>
      <c r="P657">
        <f t="shared" si="995"/>
        <v>-0.5961538461538437</v>
      </c>
      <c r="Q657">
        <f t="shared" si="996"/>
        <v>-261821.70769230661</v>
      </c>
      <c r="R657">
        <f t="shared" si="997"/>
        <v>-15260215.467293676</v>
      </c>
      <c r="S657">
        <f t="shared" si="998"/>
        <v>-152.60215467293676</v>
      </c>
      <c r="T657">
        <f t="shared" si="999"/>
        <v>-0.15260215467293675</v>
      </c>
    </row>
    <row r="658" spans="1:20" x14ac:dyDescent="0.25">
      <c r="A658" s="5">
        <v>43935</v>
      </c>
      <c r="B658">
        <v>1.703E-2</v>
      </c>
      <c r="C658">
        <v>1.8200000000000001E-2</v>
      </c>
      <c r="D658">
        <v>1.6750000000000001E-2</v>
      </c>
      <c r="E658">
        <v>1.6879999999999999E-2</v>
      </c>
      <c r="F658">
        <v>554849.69999999995</v>
      </c>
      <c r="G658">
        <v>0</v>
      </c>
      <c r="L658" t="s">
        <v>8</v>
      </c>
      <c r="M658" t="s">
        <v>7</v>
      </c>
      <c r="N658" t="s">
        <v>8</v>
      </c>
      <c r="P658">
        <f t="shared" si="995"/>
        <v>-0.82068965517241632</v>
      </c>
      <c r="Q658">
        <f t="shared" si="996"/>
        <v>-455359.40896551858</v>
      </c>
      <c r="R658">
        <f t="shared" si="997"/>
        <v>-14998393.75960137</v>
      </c>
      <c r="S658">
        <f t="shared" si="998"/>
        <v>-149.9839375960137</v>
      </c>
      <c r="T658">
        <f t="shared" si="999"/>
        <v>-0.14998393759601369</v>
      </c>
    </row>
    <row r="659" spans="1:20" x14ac:dyDescent="0.25">
      <c r="A659" s="5">
        <v>43934</v>
      </c>
      <c r="B659">
        <v>1.687E-2</v>
      </c>
      <c r="C659">
        <v>1.7180000000000001E-2</v>
      </c>
      <c r="D659">
        <v>1.61E-2</v>
      </c>
      <c r="E659">
        <v>1.687E-2</v>
      </c>
      <c r="F659">
        <v>927773.4</v>
      </c>
      <c r="G659">
        <v>0</v>
      </c>
      <c r="L659" t="s">
        <v>7</v>
      </c>
      <c r="M659" t="s">
        <v>7</v>
      </c>
      <c r="N659" t="s">
        <v>8</v>
      </c>
      <c r="P659">
        <f t="shared" si="995"/>
        <v>0.42592592592592421</v>
      </c>
      <c r="Q659">
        <f t="shared" si="996"/>
        <v>395162.74444444285</v>
      </c>
      <c r="R659">
        <f t="shared" si="997"/>
        <v>-14543034.350635851</v>
      </c>
      <c r="S659">
        <f t="shared" si="998"/>
        <v>-145.4303435063585</v>
      </c>
      <c r="T659">
        <f t="shared" si="999"/>
        <v>-0.1454303435063585</v>
      </c>
    </row>
    <row r="660" spans="1:20" x14ac:dyDescent="0.25">
      <c r="A660" s="5">
        <v>43933</v>
      </c>
      <c r="B660">
        <v>1.712E-2</v>
      </c>
      <c r="C660">
        <v>1.771E-2</v>
      </c>
      <c r="D660">
        <v>1.6799999999999999E-2</v>
      </c>
      <c r="E660">
        <v>1.704E-2</v>
      </c>
      <c r="F660">
        <v>966355.9</v>
      </c>
      <c r="G660">
        <v>0</v>
      </c>
      <c r="L660" t="s">
        <v>8</v>
      </c>
      <c r="M660" t="s">
        <v>7</v>
      </c>
      <c r="N660" t="s">
        <v>8</v>
      </c>
      <c r="P660">
        <f t="shared" si="995"/>
        <v>-0.47252747252747179</v>
      </c>
      <c r="Q660">
        <f t="shared" si="996"/>
        <v>-456629.71098901029</v>
      </c>
      <c r="R660">
        <f t="shared" si="997"/>
        <v>-14938197.095080294</v>
      </c>
      <c r="S660">
        <f t="shared" si="998"/>
        <v>-149.38197095080292</v>
      </c>
      <c r="T660">
        <f t="shared" si="999"/>
        <v>-0.14938197095080291</v>
      </c>
    </row>
    <row r="661" spans="1:20" x14ac:dyDescent="0.25">
      <c r="A661" s="5">
        <v>43932</v>
      </c>
      <c r="B661">
        <v>1.728E-2</v>
      </c>
      <c r="C661">
        <v>1.7600000000000001E-2</v>
      </c>
      <c r="D661">
        <v>1.6840000000000001E-2</v>
      </c>
      <c r="E661">
        <v>1.712E-2</v>
      </c>
      <c r="F661">
        <v>981770.9</v>
      </c>
      <c r="G661">
        <v>0</v>
      </c>
      <c r="L661" t="s">
        <v>7</v>
      </c>
      <c r="M661" t="s">
        <v>7</v>
      </c>
      <c r="N661" t="s">
        <v>8</v>
      </c>
      <c r="P661">
        <f t="shared" si="995"/>
        <v>-0.26315789473684498</v>
      </c>
      <c r="Q661">
        <f t="shared" si="996"/>
        <v>-258360.76315789757</v>
      </c>
      <c r="R661">
        <f t="shared" si="997"/>
        <v>-14481567.384091284</v>
      </c>
      <c r="S661">
        <f t="shared" si="998"/>
        <v>-144.81567384091284</v>
      </c>
      <c r="T661">
        <f t="shared" si="999"/>
        <v>-0.14481567384091285</v>
      </c>
    </row>
    <row r="662" spans="1:20" x14ac:dyDescent="0.25">
      <c r="A662" s="5">
        <v>43931</v>
      </c>
      <c r="B662">
        <v>1.848E-2</v>
      </c>
      <c r="C662">
        <v>1.8499999999999999E-2</v>
      </c>
      <c r="D662">
        <v>1.6539999999999999E-2</v>
      </c>
      <c r="E662">
        <v>1.7219999999999999E-2</v>
      </c>
      <c r="F662">
        <v>1272205.2</v>
      </c>
      <c r="G662">
        <v>0</v>
      </c>
      <c r="L662" t="s">
        <v>7</v>
      </c>
      <c r="M662" t="s">
        <v>7</v>
      </c>
      <c r="N662" t="s">
        <v>8</v>
      </c>
      <c r="P662">
        <f t="shared" si="995"/>
        <v>-0.30612244897959179</v>
      </c>
      <c r="Q662">
        <f t="shared" si="996"/>
        <v>-389450.57142857136</v>
      </c>
      <c r="R662">
        <f t="shared" si="997"/>
        <v>-14223206.620933387</v>
      </c>
      <c r="S662">
        <f t="shared" si="998"/>
        <v>-142.23206620933388</v>
      </c>
      <c r="T662">
        <f t="shared" si="999"/>
        <v>-0.14223206620933387</v>
      </c>
    </row>
    <row r="663" spans="1:20" x14ac:dyDescent="0.25">
      <c r="A663" s="5">
        <v>43930</v>
      </c>
      <c r="B663">
        <v>1.8749999999999999E-2</v>
      </c>
      <c r="C663">
        <v>1.8880000000000001E-2</v>
      </c>
      <c r="D663">
        <v>1.8110000000000001E-2</v>
      </c>
      <c r="E663">
        <v>1.8630000000000001E-2</v>
      </c>
      <c r="F663">
        <v>898259.3</v>
      </c>
      <c r="G663">
        <v>0</v>
      </c>
      <c r="L663" t="s">
        <v>7</v>
      </c>
      <c r="M663" t="s">
        <v>8</v>
      </c>
      <c r="N663" t="s">
        <v>8</v>
      </c>
      <c r="P663">
        <f t="shared" si="995"/>
        <v>0.35064935064934993</v>
      </c>
      <c r="Q663">
        <f t="shared" si="996"/>
        <v>314974.04025973962</v>
      </c>
      <c r="R663">
        <f t="shared" si="997"/>
        <v>-13833756.049504817</v>
      </c>
      <c r="S663">
        <f t="shared" si="998"/>
        <v>-138.33756049504817</v>
      </c>
      <c r="T663">
        <f t="shared" si="999"/>
        <v>-0.13833756049504817</v>
      </c>
    </row>
    <row r="664" spans="1:20" x14ac:dyDescent="0.25">
      <c r="A664" s="5">
        <v>43929</v>
      </c>
      <c r="B664">
        <v>1.7989999999999999E-2</v>
      </c>
      <c r="C664">
        <v>1.881E-2</v>
      </c>
      <c r="D664">
        <v>1.7850000000000001E-2</v>
      </c>
      <c r="E664">
        <v>1.8550000000000001E-2</v>
      </c>
      <c r="F664">
        <v>1610326.7</v>
      </c>
      <c r="G664">
        <v>0</v>
      </c>
      <c r="L664" t="s">
        <v>7</v>
      </c>
      <c r="M664" t="s">
        <v>8</v>
      </c>
      <c r="N664" t="s">
        <v>8</v>
      </c>
      <c r="P664">
        <f t="shared" si="995"/>
        <v>0.4583333333333332</v>
      </c>
      <c r="Q664">
        <f t="shared" si="996"/>
        <v>738066.40416666644</v>
      </c>
      <c r="R664">
        <f t="shared" si="997"/>
        <v>-14148730.089764556</v>
      </c>
      <c r="S664">
        <f t="shared" si="998"/>
        <v>-141.48730089764555</v>
      </c>
      <c r="T664">
        <f t="shared" si="999"/>
        <v>-0.14148730089764555</v>
      </c>
    </row>
    <row r="665" spans="1:20" x14ac:dyDescent="0.25">
      <c r="A665" s="5">
        <v>43928</v>
      </c>
      <c r="B665">
        <v>1.8790000000000001E-2</v>
      </c>
      <c r="C665">
        <v>1.924E-2</v>
      </c>
      <c r="D665">
        <v>1.796E-2</v>
      </c>
      <c r="E665">
        <v>1.8110000000000001E-2</v>
      </c>
      <c r="F665">
        <v>1623168.8</v>
      </c>
      <c r="G665">
        <v>0</v>
      </c>
      <c r="L665" t="s">
        <v>8</v>
      </c>
      <c r="M665" t="s">
        <v>8</v>
      </c>
      <c r="N665" t="s">
        <v>8</v>
      </c>
      <c r="P665">
        <f t="shared" si="995"/>
        <v>-0.76562499999999867</v>
      </c>
      <c r="Q665">
        <f t="shared" si="996"/>
        <v>-1242738.612499998</v>
      </c>
      <c r="R665">
        <f t="shared" si="997"/>
        <v>-14886796.493931223</v>
      </c>
      <c r="S665">
        <f t="shared" si="998"/>
        <v>-148.86796493931223</v>
      </c>
      <c r="T665">
        <f t="shared" si="999"/>
        <v>-0.14886796493931223</v>
      </c>
    </row>
    <row r="666" spans="1:20" x14ac:dyDescent="0.25">
      <c r="A666" s="5">
        <v>43927</v>
      </c>
      <c r="B666">
        <v>1.7229999999999999E-2</v>
      </c>
      <c r="C666">
        <v>1.8790000000000001E-2</v>
      </c>
      <c r="D666">
        <v>1.72E-2</v>
      </c>
      <c r="E666">
        <v>1.8620000000000001E-2</v>
      </c>
      <c r="F666">
        <v>1989286.7</v>
      </c>
      <c r="G666">
        <v>0</v>
      </c>
      <c r="L666" t="s">
        <v>8</v>
      </c>
      <c r="M666" t="s">
        <v>8</v>
      </c>
      <c r="N666" t="s">
        <v>8</v>
      </c>
      <c r="P666">
        <f t="shared" si="995"/>
        <v>0.78616352201257877</v>
      </c>
      <c r="Q666">
        <f t="shared" si="996"/>
        <v>1563904.6383647802</v>
      </c>
      <c r="R666">
        <f t="shared" si="997"/>
        <v>-13644057.881431226</v>
      </c>
      <c r="S666">
        <f t="shared" si="998"/>
        <v>-136.44057881431226</v>
      </c>
      <c r="T666">
        <f t="shared" si="999"/>
        <v>-0.13644057881431226</v>
      </c>
    </row>
    <row r="667" spans="1:20" x14ac:dyDescent="0.25">
      <c r="A667" s="5">
        <v>43926</v>
      </c>
      <c r="B667">
        <v>1.7680000000000001E-2</v>
      </c>
      <c r="C667">
        <v>1.8280000000000001E-2</v>
      </c>
      <c r="D667">
        <v>1.7000000000000001E-2</v>
      </c>
      <c r="E667">
        <v>1.7299999999999999E-2</v>
      </c>
      <c r="F667">
        <v>3772997</v>
      </c>
      <c r="G667">
        <v>0</v>
      </c>
      <c r="L667" t="s">
        <v>8</v>
      </c>
      <c r="M667" t="s">
        <v>8</v>
      </c>
      <c r="N667" t="s">
        <v>8</v>
      </c>
      <c r="P667">
        <f t="shared" si="995"/>
        <v>-0.53125000000000278</v>
      </c>
      <c r="Q667">
        <f t="shared" si="996"/>
        <v>-2004404.6562500105</v>
      </c>
      <c r="R667">
        <f t="shared" si="997"/>
        <v>-15207962.519796006</v>
      </c>
      <c r="S667">
        <f t="shared" si="998"/>
        <v>-152.07962519796007</v>
      </c>
      <c r="T667">
        <f t="shared" si="999"/>
        <v>-0.15207962519796006</v>
      </c>
    </row>
    <row r="668" spans="1:20" x14ac:dyDescent="0.25">
      <c r="A668" s="5">
        <v>43925</v>
      </c>
      <c r="B668">
        <v>1.685E-2</v>
      </c>
      <c r="C668">
        <v>1.7989999999999999E-2</v>
      </c>
      <c r="D668">
        <v>1.6719999999999999E-2</v>
      </c>
      <c r="E668">
        <v>1.7829999999999999E-2</v>
      </c>
      <c r="F668">
        <v>3026713.8</v>
      </c>
      <c r="G668">
        <v>0</v>
      </c>
      <c r="L668" t="s">
        <v>8</v>
      </c>
      <c r="M668" t="s">
        <v>8</v>
      </c>
      <c r="N668" t="s">
        <v>8</v>
      </c>
      <c r="P668">
        <f t="shared" si="995"/>
        <v>0.74803149606299157</v>
      </c>
      <c r="Q668">
        <f t="shared" si="996"/>
        <v>2264077.2519685021</v>
      </c>
      <c r="R668">
        <f t="shared" si="997"/>
        <v>-13203557.863545995</v>
      </c>
      <c r="S668">
        <f t="shared" si="998"/>
        <v>-132.03557863545996</v>
      </c>
      <c r="T668">
        <f t="shared" si="999"/>
        <v>-0.13203557863545995</v>
      </c>
    </row>
    <row r="669" spans="1:20" x14ac:dyDescent="0.25">
      <c r="A669" s="5">
        <v>43924</v>
      </c>
      <c r="B669">
        <v>1.6899999999999998E-2</v>
      </c>
      <c r="C669">
        <v>1.7600000000000001E-2</v>
      </c>
      <c r="D669">
        <v>1.6389999999999998E-2</v>
      </c>
      <c r="E669">
        <v>1.6799999999999999E-2</v>
      </c>
      <c r="F669">
        <v>1356835.3</v>
      </c>
      <c r="G669">
        <v>0</v>
      </c>
      <c r="L669" t="s">
        <v>8</v>
      </c>
      <c r="M669" t="s">
        <v>8</v>
      </c>
      <c r="N669" t="s">
        <v>8</v>
      </c>
      <c r="P669">
        <f t="shared" si="995"/>
        <v>-0.32231404958677734</v>
      </c>
      <c r="Q669">
        <f t="shared" si="996"/>
        <v>-437327.08016528992</v>
      </c>
      <c r="R669">
        <f t="shared" si="997"/>
        <v>-15467635.115514496</v>
      </c>
      <c r="S669">
        <f t="shared" si="998"/>
        <v>-154.67635115514497</v>
      </c>
      <c r="T669">
        <f t="shared" si="999"/>
        <v>-0.15467635115514497</v>
      </c>
    </row>
    <row r="670" spans="1:20" x14ac:dyDescent="0.25">
      <c r="A670" s="5">
        <v>43923</v>
      </c>
      <c r="B670">
        <v>1.6480000000000002E-2</v>
      </c>
      <c r="C670">
        <v>1.754E-2</v>
      </c>
      <c r="D670">
        <v>1.6330000000000001E-2</v>
      </c>
      <c r="E670">
        <v>1.6930000000000001E-2</v>
      </c>
      <c r="F670">
        <v>2416463.2999999998</v>
      </c>
      <c r="G670">
        <v>0</v>
      </c>
      <c r="L670" t="s">
        <v>8</v>
      </c>
      <c r="M670" t="s">
        <v>8</v>
      </c>
      <c r="N670" t="s">
        <v>8</v>
      </c>
      <c r="P670">
        <f t="shared" si="995"/>
        <v>-8.2644628099170243E-3</v>
      </c>
      <c r="Q670">
        <f t="shared" si="996"/>
        <v>-19970.771074379365</v>
      </c>
      <c r="R670">
        <f t="shared" si="997"/>
        <v>-15030308.035349207</v>
      </c>
      <c r="S670">
        <f t="shared" si="998"/>
        <v>-150.30308035349208</v>
      </c>
      <c r="T670">
        <f t="shared" si="999"/>
        <v>-0.15030308035349207</v>
      </c>
    </row>
    <row r="671" spans="1:20" x14ac:dyDescent="0.25">
      <c r="A671" s="5">
        <v>43922</v>
      </c>
      <c r="B671">
        <v>1.6080000000000001E-2</v>
      </c>
      <c r="C671">
        <v>1.6729999999999998E-2</v>
      </c>
      <c r="D671">
        <v>1.5730000000000001E-2</v>
      </c>
      <c r="E671">
        <v>1.643E-2</v>
      </c>
      <c r="F671">
        <v>1239107.3999999999</v>
      </c>
      <c r="G671">
        <v>0</v>
      </c>
      <c r="L671" t="s">
        <v>8</v>
      </c>
      <c r="M671" t="s">
        <v>8</v>
      </c>
      <c r="N671" t="s">
        <v>8</v>
      </c>
      <c r="P671">
        <f t="shared" si="995"/>
        <v>0.40000000000000208</v>
      </c>
      <c r="Q671">
        <f t="shared" si="996"/>
        <v>495642.96000000252</v>
      </c>
      <c r="R671">
        <f t="shared" si="997"/>
        <v>-15010337.264274828</v>
      </c>
      <c r="S671">
        <f t="shared" si="998"/>
        <v>-150.10337264274827</v>
      </c>
      <c r="T671">
        <f t="shared" si="999"/>
        <v>-0.15010337264274826</v>
      </c>
    </row>
    <row r="672" spans="1:20" x14ac:dyDescent="0.25">
      <c r="A672" s="5">
        <v>43921</v>
      </c>
      <c r="B672">
        <v>1.6029999999999999E-2</v>
      </c>
      <c r="C672">
        <v>1.6799999999999999E-2</v>
      </c>
      <c r="D672">
        <v>1.5879999999999998E-2</v>
      </c>
      <c r="E672">
        <v>1.6129999999999999E-2</v>
      </c>
      <c r="F672">
        <v>1561906.4</v>
      </c>
      <c r="G672">
        <v>0</v>
      </c>
      <c r="L672" t="s">
        <v>8</v>
      </c>
      <c r="M672" t="s">
        <v>8</v>
      </c>
      <c r="N672" t="s">
        <v>8</v>
      </c>
      <c r="P672">
        <f t="shared" si="995"/>
        <v>-0.4565217391304347</v>
      </c>
      <c r="Q672">
        <f t="shared" si="996"/>
        <v>-713044.22608695633</v>
      </c>
      <c r="R672">
        <f t="shared" si="997"/>
        <v>-15505980.224274831</v>
      </c>
      <c r="S672">
        <f t="shared" si="998"/>
        <v>-155.0598022427483</v>
      </c>
      <c r="T672">
        <f t="shared" si="999"/>
        <v>-0.15505980224274832</v>
      </c>
    </row>
    <row r="673" spans="1:20" x14ac:dyDescent="0.25">
      <c r="A673" s="5">
        <v>43920</v>
      </c>
      <c r="B673">
        <v>1.521E-2</v>
      </c>
      <c r="C673">
        <v>1.687E-2</v>
      </c>
      <c r="D673">
        <v>1.506E-2</v>
      </c>
      <c r="E673">
        <v>1.584E-2</v>
      </c>
      <c r="F673">
        <v>1793999.8</v>
      </c>
      <c r="G673">
        <v>0</v>
      </c>
      <c r="L673" t="s">
        <v>8</v>
      </c>
      <c r="M673" t="s">
        <v>8</v>
      </c>
      <c r="N673" t="s">
        <v>8</v>
      </c>
      <c r="P673">
        <f t="shared" si="995"/>
        <v>-0.13812154696132617</v>
      </c>
      <c r="Q673">
        <f t="shared" si="996"/>
        <v>-247790.02762430976</v>
      </c>
      <c r="R673">
        <f t="shared" si="997"/>
        <v>-14792935.998187875</v>
      </c>
      <c r="S673">
        <f t="shared" si="998"/>
        <v>-147.92935998187875</v>
      </c>
      <c r="T673">
        <f t="shared" si="999"/>
        <v>-0.14792935998187876</v>
      </c>
    </row>
    <row r="674" spans="1:20" x14ac:dyDescent="0.25">
      <c r="A674" s="5">
        <v>43919</v>
      </c>
      <c r="B674">
        <v>1.618E-2</v>
      </c>
      <c r="C674">
        <v>1.6750000000000001E-2</v>
      </c>
      <c r="D674">
        <v>1.507E-2</v>
      </c>
      <c r="E674">
        <v>1.5180000000000001E-2</v>
      </c>
      <c r="F674">
        <v>8360260.7000000002</v>
      </c>
      <c r="G674">
        <v>0</v>
      </c>
      <c r="L674" t="s">
        <v>7</v>
      </c>
      <c r="M674" t="s">
        <v>8</v>
      </c>
      <c r="N674" t="s">
        <v>8</v>
      </c>
      <c r="P674">
        <f t="shared" si="995"/>
        <v>-0.86904761904761829</v>
      </c>
      <c r="Q674">
        <f t="shared" si="996"/>
        <v>-7265464.6559523745</v>
      </c>
      <c r="R674">
        <f t="shared" si="997"/>
        <v>-14545145.970563566</v>
      </c>
      <c r="S674">
        <f t="shared" si="998"/>
        <v>-145.45145970563567</v>
      </c>
      <c r="T674">
        <f t="shared" si="999"/>
        <v>-0.14545145970563567</v>
      </c>
    </row>
    <row r="675" spans="1:20" x14ac:dyDescent="0.25">
      <c r="A675" s="5">
        <v>43918</v>
      </c>
      <c r="B675">
        <v>1.5820000000000001E-2</v>
      </c>
      <c r="C675">
        <v>1.6639999999999999E-2</v>
      </c>
      <c r="D675">
        <v>1.503E-2</v>
      </c>
      <c r="E675">
        <v>1.601E-2</v>
      </c>
      <c r="F675">
        <v>2210678.7999999998</v>
      </c>
      <c r="G675">
        <v>0</v>
      </c>
      <c r="L675" t="s">
        <v>8</v>
      </c>
      <c r="M675" t="s">
        <v>8</v>
      </c>
      <c r="N675" t="s">
        <v>8</v>
      </c>
      <c r="P675">
        <f t="shared" si="995"/>
        <v>0.21739130434782711</v>
      </c>
      <c r="Q675">
        <f t="shared" si="996"/>
        <v>480582.34782608919</v>
      </c>
      <c r="R675">
        <f t="shared" si="997"/>
        <v>-7279681.3146111919</v>
      </c>
      <c r="S675">
        <f t="shared" si="998"/>
        <v>-72.796813146111916</v>
      </c>
      <c r="T675">
        <f t="shared" si="999"/>
        <v>-7.2796813146111916E-2</v>
      </c>
    </row>
    <row r="676" spans="1:20" x14ac:dyDescent="0.25">
      <c r="A676" s="5">
        <v>43917</v>
      </c>
      <c r="B676">
        <v>1.6639999999999999E-2</v>
      </c>
      <c r="C676">
        <v>1.7080000000000001E-2</v>
      </c>
      <c r="D676">
        <v>1.23E-2</v>
      </c>
      <c r="E676">
        <v>1.5990000000000001E-2</v>
      </c>
      <c r="F676">
        <v>2028750.7</v>
      </c>
      <c r="G676">
        <v>0</v>
      </c>
      <c r="L676" t="s">
        <v>7</v>
      </c>
      <c r="M676" t="s">
        <v>7</v>
      </c>
      <c r="N676" t="s">
        <v>7</v>
      </c>
      <c r="P676">
        <f t="shared" si="995"/>
        <v>0.5439330543933053</v>
      </c>
      <c r="Q676">
        <f t="shared" si="996"/>
        <v>1103504.5648535562</v>
      </c>
      <c r="R676">
        <f t="shared" si="997"/>
        <v>-7760263.6624372806</v>
      </c>
      <c r="S676">
        <f t="shared" si="998"/>
        <v>-77.602636624372806</v>
      </c>
      <c r="T676">
        <f t="shared" si="999"/>
        <v>-7.7602636624372806E-2</v>
      </c>
    </row>
    <row r="677" spans="1:20" x14ac:dyDescent="0.25">
      <c r="A677" s="5">
        <v>43916</v>
      </c>
      <c r="B677">
        <v>1.6590000000000001E-2</v>
      </c>
      <c r="C677">
        <v>1.678E-2</v>
      </c>
      <c r="D677">
        <v>1.593E-2</v>
      </c>
      <c r="E677">
        <v>1.6629999999999999E-2</v>
      </c>
      <c r="F677">
        <v>1452571.1</v>
      </c>
      <c r="G677">
        <v>0</v>
      </c>
      <c r="L677" t="s">
        <v>7</v>
      </c>
      <c r="M677" t="s">
        <v>7</v>
      </c>
      <c r="N677" t="s">
        <v>8</v>
      </c>
      <c r="P677">
        <f t="shared" si="995"/>
        <v>0.6470588235294098</v>
      </c>
      <c r="Q677">
        <f t="shared" si="996"/>
        <v>939898.94705882075</v>
      </c>
      <c r="R677">
        <f t="shared" si="997"/>
        <v>-8863768.2272908371</v>
      </c>
      <c r="S677">
        <f t="shared" si="998"/>
        <v>-88.637682272908364</v>
      </c>
      <c r="T677">
        <f t="shared" si="999"/>
        <v>-8.8637682272908358E-2</v>
      </c>
    </row>
    <row r="678" spans="1:20" x14ac:dyDescent="0.25">
      <c r="A678" s="5">
        <v>43915</v>
      </c>
      <c r="B678">
        <v>1.6990000000000002E-2</v>
      </c>
      <c r="C678">
        <v>1.7299999999999999E-2</v>
      </c>
      <c r="D678">
        <v>1.5949999999999999E-2</v>
      </c>
      <c r="E678">
        <v>1.653E-2</v>
      </c>
      <c r="F678">
        <v>1163881.8</v>
      </c>
      <c r="G678">
        <v>0</v>
      </c>
      <c r="L678" t="s">
        <v>7</v>
      </c>
      <c r="M678" t="s">
        <v>7</v>
      </c>
      <c r="N678" t="s">
        <v>8</v>
      </c>
      <c r="P678">
        <f t="shared" si="995"/>
        <v>-0.14074074074074008</v>
      </c>
      <c r="Q678">
        <f t="shared" si="996"/>
        <v>-163805.58666666591</v>
      </c>
      <c r="R678">
        <f t="shared" si="997"/>
        <v>-9803667.1743496582</v>
      </c>
      <c r="S678">
        <f t="shared" si="998"/>
        <v>-98.036671743496584</v>
      </c>
      <c r="T678">
        <f t="shared" si="999"/>
        <v>-9.803667174349659E-2</v>
      </c>
    </row>
    <row r="679" spans="1:20" x14ac:dyDescent="0.25">
      <c r="A679" s="5">
        <v>43914</v>
      </c>
      <c r="B679">
        <v>1.745E-2</v>
      </c>
      <c r="C679">
        <v>1.797E-2</v>
      </c>
      <c r="D679">
        <v>1.6320000000000001E-2</v>
      </c>
      <c r="E679">
        <v>1.7149999999999999E-2</v>
      </c>
      <c r="F679">
        <v>2251933</v>
      </c>
      <c r="G679">
        <v>0</v>
      </c>
      <c r="L679" t="s">
        <v>7</v>
      </c>
      <c r="M679" t="s">
        <v>7</v>
      </c>
      <c r="N679" t="s">
        <v>8</v>
      </c>
      <c r="P679">
        <f t="shared" si="995"/>
        <v>6.0606060606037161E-3</v>
      </c>
      <c r="Q679">
        <f t="shared" si="996"/>
        <v>13648.078787873508</v>
      </c>
      <c r="R679">
        <f t="shared" si="997"/>
        <v>-9639861.5876829922</v>
      </c>
      <c r="S679">
        <f t="shared" si="998"/>
        <v>-96.398615876829922</v>
      </c>
      <c r="T679">
        <f t="shared" si="999"/>
        <v>-9.6398615876829921E-2</v>
      </c>
    </row>
    <row r="680" spans="1:20" x14ac:dyDescent="0.25">
      <c r="A680" s="5">
        <v>43913</v>
      </c>
      <c r="B680">
        <v>1.5570000000000001E-2</v>
      </c>
      <c r="C680">
        <v>1.7979999999999999E-2</v>
      </c>
      <c r="D680">
        <v>1.536E-2</v>
      </c>
      <c r="E680">
        <v>1.7270000000000001E-2</v>
      </c>
      <c r="F680">
        <v>1043223.7</v>
      </c>
      <c r="G680">
        <v>0</v>
      </c>
      <c r="L680" t="s">
        <v>8</v>
      </c>
      <c r="M680" t="s">
        <v>7</v>
      </c>
      <c r="N680" t="s">
        <v>8</v>
      </c>
      <c r="P680">
        <f t="shared" si="995"/>
        <v>0.45801526717557323</v>
      </c>
      <c r="Q680">
        <f t="shared" si="996"/>
        <v>477812.38167939003</v>
      </c>
      <c r="R680">
        <f t="shared" si="997"/>
        <v>-9653509.6664708667</v>
      </c>
      <c r="S680">
        <f t="shared" si="998"/>
        <v>-96.535096664708661</v>
      </c>
      <c r="T680">
        <f t="shared" si="999"/>
        <v>-9.6535096664708664E-2</v>
      </c>
    </row>
    <row r="681" spans="1:20" x14ac:dyDescent="0.25">
      <c r="A681" s="5">
        <v>43912</v>
      </c>
      <c r="B681">
        <v>1.6920000000000001E-2</v>
      </c>
      <c r="C681">
        <v>1.8540000000000001E-2</v>
      </c>
      <c r="D681">
        <v>1.525E-2</v>
      </c>
      <c r="E681">
        <v>1.5769999999999999E-2</v>
      </c>
      <c r="F681">
        <v>2300456.6</v>
      </c>
      <c r="G681">
        <v>0</v>
      </c>
      <c r="L681" t="s">
        <v>7</v>
      </c>
      <c r="M681" t="s">
        <v>7</v>
      </c>
      <c r="N681" t="s">
        <v>8</v>
      </c>
      <c r="P681">
        <f t="shared" si="995"/>
        <v>-0.68389057750759918</v>
      </c>
      <c r="Q681">
        <f t="shared" si="996"/>
        <v>-1573260.5927051681</v>
      </c>
      <c r="R681">
        <f t="shared" si="997"/>
        <v>-10131322.048150256</v>
      </c>
      <c r="S681">
        <f t="shared" si="998"/>
        <v>-101.31322048150257</v>
      </c>
      <c r="T681">
        <f t="shared" si="999"/>
        <v>-0.10131322048150257</v>
      </c>
    </row>
    <row r="682" spans="1:20" x14ac:dyDescent="0.25">
      <c r="A682" s="5">
        <v>43911</v>
      </c>
      <c r="B682">
        <v>1.6979999999999999E-2</v>
      </c>
      <c r="C682">
        <v>1.9210000000000001E-2</v>
      </c>
      <c r="D682">
        <v>1.5980000000000001E-2</v>
      </c>
      <c r="E682">
        <v>1.6879999999999999E-2</v>
      </c>
      <c r="F682">
        <v>2089534.1</v>
      </c>
      <c r="G682">
        <v>0</v>
      </c>
      <c r="L682" t="s">
        <v>8</v>
      </c>
      <c r="M682" t="s">
        <v>8</v>
      </c>
      <c r="N682" t="s">
        <v>8</v>
      </c>
      <c r="P682">
        <f t="shared" si="995"/>
        <v>-0.44272445820433565</v>
      </c>
      <c r="Q682">
        <f t="shared" si="996"/>
        <v>-925087.85232198413</v>
      </c>
      <c r="R682">
        <f t="shared" si="997"/>
        <v>-8558061.4554450884</v>
      </c>
      <c r="S682">
        <f t="shared" si="998"/>
        <v>-85.580614554450889</v>
      </c>
      <c r="T682">
        <f t="shared" si="999"/>
        <v>-8.5580614554450887E-2</v>
      </c>
    </row>
    <row r="683" spans="1:20" x14ac:dyDescent="0.25">
      <c r="A683" s="5">
        <v>43910</v>
      </c>
      <c r="B683">
        <v>1.6920000000000001E-2</v>
      </c>
      <c r="C683">
        <v>1.8939999999999999E-2</v>
      </c>
      <c r="D683">
        <v>1.5949999999999999E-2</v>
      </c>
      <c r="E683">
        <v>1.7100000000000001E-2</v>
      </c>
      <c r="F683">
        <v>2512720.5</v>
      </c>
      <c r="G683">
        <v>0</v>
      </c>
      <c r="L683" t="s">
        <v>8</v>
      </c>
      <c r="M683" t="s">
        <v>8</v>
      </c>
      <c r="N683" t="s">
        <v>8</v>
      </c>
      <c r="P683">
        <f t="shared" si="995"/>
        <v>-0.23076923076922953</v>
      </c>
      <c r="Q683">
        <f t="shared" si="996"/>
        <v>-579858.57692307385</v>
      </c>
      <c r="R683">
        <f t="shared" si="997"/>
        <v>-7632973.6031231051</v>
      </c>
      <c r="S683">
        <f t="shared" si="998"/>
        <v>-76.32973603123105</v>
      </c>
      <c r="T683">
        <f t="shared" si="999"/>
        <v>-7.6329736031231055E-2</v>
      </c>
    </row>
    <row r="684" spans="1:20" x14ac:dyDescent="0.25">
      <c r="A684" s="5">
        <v>43909</v>
      </c>
      <c r="B684">
        <v>1.4749999999999999E-2</v>
      </c>
      <c r="C684">
        <v>1.7940000000000001E-2</v>
      </c>
      <c r="D684">
        <v>0.01</v>
      </c>
      <c r="E684">
        <v>1.6930000000000001E-2</v>
      </c>
      <c r="F684">
        <v>8293112.4000000004</v>
      </c>
      <c r="G684">
        <v>0</v>
      </c>
      <c r="L684" t="s">
        <v>7</v>
      </c>
      <c r="M684" t="s">
        <v>7</v>
      </c>
      <c r="N684" t="s">
        <v>7</v>
      </c>
      <c r="P684">
        <f t="shared" si="995"/>
        <v>0.74559193954659941</v>
      </c>
      <c r="Q684">
        <f t="shared" si="996"/>
        <v>6183277.7591939541</v>
      </c>
      <c r="R684">
        <f t="shared" si="997"/>
        <v>-7053115.0262000309</v>
      </c>
      <c r="S684">
        <f t="shared" si="998"/>
        <v>-70.53115026200031</v>
      </c>
      <c r="T684">
        <f t="shared" si="999"/>
        <v>-7.0531150262000311E-2</v>
      </c>
    </row>
    <row r="685" spans="1:20" x14ac:dyDescent="0.25">
      <c r="A685" s="5">
        <v>43908</v>
      </c>
      <c r="B685">
        <v>1.43E-2</v>
      </c>
      <c r="C685">
        <v>1.4749999999999999E-2</v>
      </c>
      <c r="D685">
        <v>1.328E-2</v>
      </c>
      <c r="E685">
        <v>1.4630000000000001E-2</v>
      </c>
      <c r="F685">
        <v>1201182.1000000001</v>
      </c>
      <c r="G685">
        <v>0</v>
      </c>
      <c r="L685" t="s">
        <v>7</v>
      </c>
      <c r="M685" t="s">
        <v>7</v>
      </c>
      <c r="N685" t="s">
        <v>7</v>
      </c>
      <c r="P685">
        <f t="shared" si="995"/>
        <v>0.83673469387755284</v>
      </c>
      <c r="Q685">
        <f t="shared" si="996"/>
        <v>1005070.7367346961</v>
      </c>
      <c r="R685">
        <f t="shared" si="997"/>
        <v>-13236392.785393985</v>
      </c>
      <c r="S685">
        <f t="shared" si="998"/>
        <v>-132.36392785393986</v>
      </c>
      <c r="T685">
        <f t="shared" si="999"/>
        <v>-0.13236392785393986</v>
      </c>
    </row>
    <row r="686" spans="1:20" x14ac:dyDescent="0.25">
      <c r="A686" s="5">
        <v>43907</v>
      </c>
      <c r="B686">
        <v>1.3169999999999999E-2</v>
      </c>
      <c r="C686">
        <v>1.477E-2</v>
      </c>
      <c r="D686">
        <v>1.2749999999999999E-2</v>
      </c>
      <c r="E686">
        <v>1.451E-2</v>
      </c>
      <c r="F686">
        <v>2492955.5</v>
      </c>
      <c r="G686">
        <v>0</v>
      </c>
      <c r="L686" t="s">
        <v>8</v>
      </c>
      <c r="M686" t="s">
        <v>7</v>
      </c>
      <c r="N686" t="s">
        <v>7</v>
      </c>
      <c r="P686">
        <f t="shared" si="995"/>
        <v>0.7425742574257429</v>
      </c>
      <c r="Q686">
        <f t="shared" si="996"/>
        <v>1851204.5792079216</v>
      </c>
      <c r="R686">
        <f t="shared" si="997"/>
        <v>-14241463.522128681</v>
      </c>
      <c r="S686">
        <f t="shared" si="998"/>
        <v>-142.4146352212868</v>
      </c>
      <c r="T686">
        <f t="shared" si="999"/>
        <v>-0.14241463522128681</v>
      </c>
    </row>
    <row r="687" spans="1:20" x14ac:dyDescent="0.25">
      <c r="A687" s="5">
        <v>43906</v>
      </c>
      <c r="B687">
        <v>1.502E-2</v>
      </c>
      <c r="C687">
        <v>1.516E-2</v>
      </c>
      <c r="D687">
        <v>1.2500000000000001E-2</v>
      </c>
      <c r="E687">
        <v>1.307E-2</v>
      </c>
      <c r="F687">
        <v>2215925</v>
      </c>
      <c r="G687">
        <v>0</v>
      </c>
      <c r="L687" t="s">
        <v>7</v>
      </c>
      <c r="M687" t="s">
        <v>7</v>
      </c>
      <c r="N687" t="s">
        <v>7</v>
      </c>
      <c r="P687">
        <f t="shared" si="995"/>
        <v>-0.57142857142857184</v>
      </c>
      <c r="Q687">
        <f t="shared" si="996"/>
        <v>-1266242.857142858</v>
      </c>
      <c r="R687">
        <f t="shared" si="997"/>
        <v>-16092668.101336602</v>
      </c>
      <c r="S687">
        <f t="shared" si="998"/>
        <v>-160.92668101336602</v>
      </c>
      <c r="T687">
        <f t="shared" si="999"/>
        <v>-0.16092668101336602</v>
      </c>
    </row>
    <row r="688" spans="1:20" x14ac:dyDescent="0.25">
      <c r="A688" s="5">
        <v>43905</v>
      </c>
      <c r="B688">
        <v>1.4590000000000001E-2</v>
      </c>
      <c r="C688">
        <v>1.9210000000000001E-2</v>
      </c>
      <c r="D688">
        <v>1.44E-2</v>
      </c>
      <c r="E688">
        <v>1.506E-2</v>
      </c>
      <c r="F688">
        <v>1456824.2</v>
      </c>
      <c r="G688">
        <v>0</v>
      </c>
      <c r="L688" t="s">
        <v>8</v>
      </c>
      <c r="M688" t="s">
        <v>8</v>
      </c>
      <c r="N688" t="s">
        <v>8</v>
      </c>
      <c r="P688">
        <f t="shared" si="995"/>
        <v>-0.72557172557172533</v>
      </c>
      <c r="Q688">
        <f t="shared" si="996"/>
        <v>-1057030.4486486483</v>
      </c>
      <c r="R688">
        <f t="shared" si="997"/>
        <v>-14826425.244193744</v>
      </c>
      <c r="S688">
        <f t="shared" si="998"/>
        <v>-148.26425244193743</v>
      </c>
      <c r="T688">
        <f t="shared" si="999"/>
        <v>-0.14826425244193742</v>
      </c>
    </row>
    <row r="689" spans="1:20" x14ac:dyDescent="0.25">
      <c r="A689" s="5">
        <v>43904</v>
      </c>
      <c r="B689">
        <v>1.5570000000000001E-2</v>
      </c>
      <c r="C689">
        <v>1.6039999999999999E-2</v>
      </c>
      <c r="D689">
        <v>1.4330000000000001E-2</v>
      </c>
      <c r="E689">
        <v>1.4500000000000001E-2</v>
      </c>
      <c r="F689">
        <v>3495996.2</v>
      </c>
      <c r="G689">
        <v>0</v>
      </c>
      <c r="L689" t="s">
        <v>8</v>
      </c>
      <c r="M689" t="s">
        <v>8</v>
      </c>
      <c r="N689" t="s">
        <v>8</v>
      </c>
      <c r="P689">
        <f t="shared" si="995"/>
        <v>-0.80116959064327464</v>
      </c>
      <c r="Q689">
        <f t="shared" si="996"/>
        <v>-2800885.8444444439</v>
      </c>
      <c r="R689">
        <f t="shared" si="997"/>
        <v>-13769394.795545096</v>
      </c>
      <c r="S689">
        <f t="shared" si="998"/>
        <v>-137.69394795545097</v>
      </c>
      <c r="T689">
        <f t="shared" si="999"/>
        <v>-0.13769394795545098</v>
      </c>
    </row>
    <row r="690" spans="1:20" x14ac:dyDescent="0.25">
      <c r="A690" s="5">
        <v>43903</v>
      </c>
      <c r="B690">
        <v>1.485E-2</v>
      </c>
      <c r="C690">
        <v>1.8970000000000001E-2</v>
      </c>
      <c r="D690">
        <v>8.7500000000000008E-3</v>
      </c>
      <c r="E690">
        <v>1.523E-2</v>
      </c>
      <c r="F690">
        <v>4545932.5</v>
      </c>
      <c r="G690">
        <v>0</v>
      </c>
      <c r="L690" t="s">
        <v>7</v>
      </c>
      <c r="M690" t="s">
        <v>7</v>
      </c>
      <c r="N690" t="s">
        <v>7</v>
      </c>
      <c r="P690">
        <f t="shared" si="995"/>
        <v>0.26810176125244611</v>
      </c>
      <c r="Q690">
        <f t="shared" si="996"/>
        <v>1218772.5097847355</v>
      </c>
      <c r="R690">
        <f t="shared" si="997"/>
        <v>-10968508.951100651</v>
      </c>
      <c r="S690">
        <f t="shared" si="998"/>
        <v>-109.68508951100651</v>
      </c>
      <c r="T690">
        <f t="shared" si="999"/>
        <v>-0.10968508951100651</v>
      </c>
    </row>
    <row r="691" spans="1:20" x14ac:dyDescent="0.25">
      <c r="A691" s="5">
        <v>43902</v>
      </c>
      <c r="B691">
        <v>2.0160000000000001E-2</v>
      </c>
      <c r="C691">
        <v>2.0619999999999999E-2</v>
      </c>
      <c r="D691">
        <v>1.1169999999999999E-2</v>
      </c>
      <c r="E691">
        <v>1.193E-2</v>
      </c>
      <c r="F691">
        <v>5467925.7000000002</v>
      </c>
      <c r="G691">
        <v>0</v>
      </c>
      <c r="L691" t="s">
        <v>7</v>
      </c>
      <c r="M691" t="s">
        <v>7</v>
      </c>
      <c r="N691" t="s">
        <v>7</v>
      </c>
      <c r="P691">
        <f t="shared" si="995"/>
        <v>-0.8391534391534391</v>
      </c>
      <c r="Q691">
        <f t="shared" si="996"/>
        <v>-4588428.6561904764</v>
      </c>
      <c r="R691">
        <f t="shared" si="997"/>
        <v>-12187281.460885387</v>
      </c>
      <c r="S691">
        <f t="shared" si="998"/>
        <v>-121.87281460885387</v>
      </c>
      <c r="T691">
        <f t="shared" si="999"/>
        <v>-0.12187281460885387</v>
      </c>
    </row>
    <row r="692" spans="1:20" x14ac:dyDescent="0.25">
      <c r="A692" s="5">
        <v>43901</v>
      </c>
      <c r="B692">
        <v>2.129E-2</v>
      </c>
      <c r="C692">
        <v>2.1489999999999999E-2</v>
      </c>
      <c r="D692">
        <v>1.883E-2</v>
      </c>
      <c r="E692">
        <v>2.01E-2</v>
      </c>
      <c r="F692">
        <v>1830664.2</v>
      </c>
      <c r="G692">
        <v>0</v>
      </c>
      <c r="L692" t="s">
        <v>7</v>
      </c>
      <c r="M692" t="s">
        <v>7</v>
      </c>
      <c r="N692" t="s">
        <v>7</v>
      </c>
      <c r="P692">
        <f t="shared" si="995"/>
        <v>-4.5112781954886695E-2</v>
      </c>
      <c r="Q692">
        <f t="shared" si="996"/>
        <v>-82586.35488721708</v>
      </c>
      <c r="R692">
        <f t="shared" si="997"/>
        <v>-7598852.8046949096</v>
      </c>
      <c r="S692">
        <f t="shared" si="998"/>
        <v>-75.988528046949099</v>
      </c>
      <c r="T692">
        <f t="shared" si="999"/>
        <v>-7.5988528046949097E-2</v>
      </c>
    </row>
    <row r="693" spans="1:20" x14ac:dyDescent="0.25">
      <c r="A693" s="5">
        <v>43900</v>
      </c>
      <c r="B693">
        <v>2.1409999999999998E-2</v>
      </c>
      <c r="C693">
        <v>2.196E-2</v>
      </c>
      <c r="D693">
        <v>2.0799999999999999E-2</v>
      </c>
      <c r="E693">
        <v>2.1229999999999999E-2</v>
      </c>
      <c r="F693">
        <v>936621.6</v>
      </c>
      <c r="G693">
        <v>0</v>
      </c>
      <c r="L693" t="s">
        <v>8</v>
      </c>
      <c r="M693" t="s">
        <v>7</v>
      </c>
      <c r="N693" t="s">
        <v>7</v>
      </c>
      <c r="P693">
        <f t="shared" si="995"/>
        <v>-0.25862068965517354</v>
      </c>
      <c r="Q693">
        <f t="shared" si="996"/>
        <v>-242229.72413793209</v>
      </c>
      <c r="R693">
        <f t="shared" si="997"/>
        <v>-7516266.4498076923</v>
      </c>
      <c r="S693">
        <f t="shared" si="998"/>
        <v>-75.162664498076921</v>
      </c>
      <c r="T693">
        <f t="shared" si="999"/>
        <v>-7.5162664498076917E-2</v>
      </c>
    </row>
    <row r="694" spans="1:20" x14ac:dyDescent="0.25">
      <c r="A694" s="5">
        <v>43899</v>
      </c>
      <c r="B694">
        <v>2.1690000000000001E-2</v>
      </c>
      <c r="C694">
        <v>2.2599999999999999E-2</v>
      </c>
      <c r="D694">
        <v>2.0240000000000001E-2</v>
      </c>
      <c r="E694">
        <v>2.1440000000000001E-2</v>
      </c>
      <c r="F694">
        <v>1525038.3</v>
      </c>
      <c r="G694">
        <v>0</v>
      </c>
      <c r="L694" t="s">
        <v>7</v>
      </c>
      <c r="M694" t="s">
        <v>7</v>
      </c>
      <c r="N694" t="s">
        <v>7</v>
      </c>
      <c r="P694">
        <f t="shared" si="995"/>
        <v>1.6949152542373679E-2</v>
      </c>
      <c r="Q694">
        <f t="shared" si="996"/>
        <v>25848.106779662234</v>
      </c>
      <c r="R694">
        <f t="shared" si="997"/>
        <v>-7274036.7256697603</v>
      </c>
      <c r="S694">
        <f t="shared" si="998"/>
        <v>-72.740367256697596</v>
      </c>
      <c r="T694">
        <f t="shared" si="999"/>
        <v>-7.2740367256697594E-2</v>
      </c>
    </row>
    <row r="695" spans="1:20" x14ac:dyDescent="0.25">
      <c r="A695" s="5">
        <v>43898</v>
      </c>
      <c r="B695">
        <v>2.564E-2</v>
      </c>
      <c r="C695">
        <v>2.564E-2</v>
      </c>
      <c r="D695">
        <v>2.102E-2</v>
      </c>
      <c r="E695">
        <v>2.154E-2</v>
      </c>
      <c r="F695">
        <v>4223338.5</v>
      </c>
      <c r="G695">
        <v>0</v>
      </c>
      <c r="L695" t="s">
        <v>7</v>
      </c>
      <c r="M695" t="s">
        <v>7</v>
      </c>
      <c r="N695" t="s">
        <v>7</v>
      </c>
      <c r="P695">
        <f t="shared" si="995"/>
        <v>-0.77489177489177496</v>
      </c>
      <c r="Q695">
        <f t="shared" si="996"/>
        <v>-3272630.2662337665</v>
      </c>
      <c r="R695">
        <f t="shared" si="997"/>
        <v>-7299884.8324494222</v>
      </c>
      <c r="S695">
        <f t="shared" si="998"/>
        <v>-72.998848324494219</v>
      </c>
      <c r="T695">
        <f t="shared" si="999"/>
        <v>-7.2998848324494214E-2</v>
      </c>
    </row>
    <row r="696" spans="1:20" x14ac:dyDescent="0.25">
      <c r="A696" s="5">
        <v>43897</v>
      </c>
      <c r="B696">
        <v>2.6610000000000002E-2</v>
      </c>
      <c r="C696">
        <v>2.7050000000000001E-2</v>
      </c>
      <c r="D696">
        <v>2.546E-2</v>
      </c>
      <c r="E696">
        <v>2.5909999999999999E-2</v>
      </c>
      <c r="F696">
        <v>1546746.2</v>
      </c>
      <c r="G696">
        <v>0</v>
      </c>
      <c r="L696" t="s">
        <v>7</v>
      </c>
      <c r="M696" t="s">
        <v>8</v>
      </c>
      <c r="N696" t="s">
        <v>7</v>
      </c>
      <c r="P696">
        <f t="shared" si="995"/>
        <v>-0.43396226415094502</v>
      </c>
      <c r="Q696">
        <f t="shared" si="996"/>
        <v>-671229.48301887047</v>
      </c>
      <c r="R696">
        <f t="shared" si="997"/>
        <v>-4027254.5662156558</v>
      </c>
      <c r="S696">
        <f t="shared" si="998"/>
        <v>-40.27254566215656</v>
      </c>
      <c r="T696">
        <f t="shared" si="999"/>
        <v>-4.0272545662156559E-2</v>
      </c>
    </row>
    <row r="697" spans="1:20" x14ac:dyDescent="0.25">
      <c r="A697" s="5">
        <v>43896</v>
      </c>
      <c r="B697">
        <v>2.6700000000000002E-2</v>
      </c>
      <c r="C697">
        <v>2.7300000000000001E-2</v>
      </c>
      <c r="D697">
        <v>2.588E-2</v>
      </c>
      <c r="E697">
        <v>2.632E-2</v>
      </c>
      <c r="F697">
        <v>2216511.7999999998</v>
      </c>
      <c r="G697">
        <v>0</v>
      </c>
      <c r="L697" t="s">
        <v>7</v>
      </c>
      <c r="M697" t="s">
        <v>8</v>
      </c>
      <c r="N697" t="s">
        <v>7</v>
      </c>
      <c r="P697">
        <f t="shared" si="995"/>
        <v>-0.3802816901408464</v>
      </c>
      <c r="Q697">
        <f t="shared" si="996"/>
        <v>-842898.85352112958</v>
      </c>
      <c r="R697">
        <f t="shared" si="997"/>
        <v>-3356025.0831967853</v>
      </c>
      <c r="S697">
        <f t="shared" si="998"/>
        <v>-33.560250831967856</v>
      </c>
      <c r="T697">
        <f t="shared" si="999"/>
        <v>-3.3560250831967856E-2</v>
      </c>
    </row>
    <row r="698" spans="1:20" x14ac:dyDescent="0.25">
      <c r="A698" s="5">
        <v>43895</v>
      </c>
      <c r="B698">
        <v>2.564E-2</v>
      </c>
      <c r="C698">
        <v>2.8230000000000002E-2</v>
      </c>
      <c r="D698">
        <v>2.5499999999999998E-2</v>
      </c>
      <c r="E698">
        <v>2.666E-2</v>
      </c>
      <c r="F698">
        <v>2403764.4</v>
      </c>
      <c r="G698">
        <v>0</v>
      </c>
      <c r="L698" t="s">
        <v>8</v>
      </c>
      <c r="M698" t="s">
        <v>8</v>
      </c>
      <c r="N698" t="s">
        <v>7</v>
      </c>
      <c r="P698">
        <f t="shared" si="995"/>
        <v>-0.15018315018315023</v>
      </c>
      <c r="Q698">
        <f t="shared" si="996"/>
        <v>-361004.90989011002</v>
      </c>
      <c r="R698">
        <f t="shared" si="997"/>
        <v>-2513126.2296756557</v>
      </c>
      <c r="S698">
        <f t="shared" si="998"/>
        <v>-25.131262296756557</v>
      </c>
      <c r="T698">
        <f t="shared" si="999"/>
        <v>-2.5131262296756558E-2</v>
      </c>
    </row>
    <row r="699" spans="1:20" x14ac:dyDescent="0.25">
      <c r="A699" s="5">
        <v>43894</v>
      </c>
      <c r="B699">
        <v>2.564E-2</v>
      </c>
      <c r="C699">
        <v>2.6089999999999999E-2</v>
      </c>
      <c r="D699">
        <v>2.5159999999999998E-2</v>
      </c>
      <c r="E699">
        <v>2.564E-2</v>
      </c>
      <c r="F699">
        <v>765036.4</v>
      </c>
      <c r="G699">
        <v>0</v>
      </c>
      <c r="L699" t="s">
        <v>7</v>
      </c>
      <c r="M699" t="s">
        <v>7</v>
      </c>
      <c r="N699" t="s">
        <v>7</v>
      </c>
      <c r="P699">
        <f t="shared" si="995"/>
        <v>3.2258064516131439E-2</v>
      </c>
      <c r="Q699">
        <f t="shared" si="996"/>
        <v>24678.593548388941</v>
      </c>
      <c r="R699">
        <f t="shared" si="997"/>
        <v>-2152121.3197855456</v>
      </c>
      <c r="S699">
        <f t="shared" si="998"/>
        <v>-21.521213197855456</v>
      </c>
      <c r="T699">
        <f t="shared" si="999"/>
        <v>-2.1521213197855455E-2</v>
      </c>
    </row>
    <row r="700" spans="1:20" x14ac:dyDescent="0.25">
      <c r="A700" s="5">
        <v>43893</v>
      </c>
      <c r="B700">
        <v>2.5520000000000001E-2</v>
      </c>
      <c r="C700">
        <v>2.6179999999999998E-2</v>
      </c>
      <c r="D700">
        <v>2.5090000000000001E-2</v>
      </c>
      <c r="E700">
        <v>2.5430000000000001E-2</v>
      </c>
      <c r="F700">
        <v>1447924.6</v>
      </c>
      <c r="G700">
        <v>0</v>
      </c>
      <c r="L700" t="s">
        <v>7</v>
      </c>
      <c r="M700" t="s">
        <v>7</v>
      </c>
      <c r="N700" t="s">
        <v>7</v>
      </c>
      <c r="P700">
        <f t="shared" si="995"/>
        <v>-0.37614678899082404</v>
      </c>
      <c r="Q700">
        <f t="shared" si="996"/>
        <v>-544632.18899082334</v>
      </c>
      <c r="R700">
        <f t="shared" si="997"/>
        <v>-2176799.9133339347</v>
      </c>
      <c r="S700">
        <f t="shared" si="998"/>
        <v>-21.767999133339348</v>
      </c>
      <c r="T700">
        <f t="shared" si="999"/>
        <v>-2.176799913333935E-2</v>
      </c>
    </row>
    <row r="701" spans="1:20" x14ac:dyDescent="0.25">
      <c r="A701" s="5">
        <v>43892</v>
      </c>
      <c r="B701">
        <v>2.4230000000000002E-2</v>
      </c>
      <c r="C701">
        <v>2.6700000000000002E-2</v>
      </c>
      <c r="D701">
        <v>2.4230000000000002E-2</v>
      </c>
      <c r="E701">
        <v>2.5680000000000001E-2</v>
      </c>
      <c r="F701">
        <v>1127775.8999999999</v>
      </c>
      <c r="G701">
        <v>0</v>
      </c>
      <c r="L701" t="s">
        <v>8</v>
      </c>
      <c r="M701" t="s">
        <v>7</v>
      </c>
      <c r="N701" t="s">
        <v>7</v>
      </c>
      <c r="P701">
        <f t="shared" si="995"/>
        <v>0.17408906882591085</v>
      </c>
      <c r="Q701">
        <f t="shared" si="996"/>
        <v>196333.45627530353</v>
      </c>
      <c r="R701">
        <f t="shared" si="997"/>
        <v>-1632167.7243431113</v>
      </c>
      <c r="S701">
        <f t="shared" si="998"/>
        <v>-16.321677243431111</v>
      </c>
      <c r="T701">
        <f t="shared" si="999"/>
        <v>-1.6321677243431112E-2</v>
      </c>
    </row>
    <row r="702" spans="1:20" x14ac:dyDescent="0.25">
      <c r="A702" s="5">
        <v>43891</v>
      </c>
      <c r="B702">
        <v>2.427E-2</v>
      </c>
      <c r="C702">
        <v>2.5020000000000001E-2</v>
      </c>
      <c r="D702">
        <v>2.393E-2</v>
      </c>
      <c r="E702">
        <v>2.4240000000000001E-2</v>
      </c>
      <c r="F702">
        <v>695269.4</v>
      </c>
      <c r="G702">
        <v>0</v>
      </c>
      <c r="L702" t="s">
        <v>7</v>
      </c>
      <c r="M702" t="s">
        <v>7</v>
      </c>
      <c r="N702" t="s">
        <v>7</v>
      </c>
      <c r="P702">
        <f t="shared" si="995"/>
        <v>-0.4311926605504568</v>
      </c>
      <c r="Q702">
        <f t="shared" si="996"/>
        <v>-299795.06238531979</v>
      </c>
      <c r="R702">
        <f t="shared" si="997"/>
        <v>-1828501.1806184149</v>
      </c>
      <c r="S702">
        <f t="shared" si="998"/>
        <v>-18.285011806184148</v>
      </c>
      <c r="T702">
        <f t="shared" si="999"/>
        <v>-1.8285011806184148E-2</v>
      </c>
    </row>
    <row r="703" spans="1:20" x14ac:dyDescent="0.25">
      <c r="A703" s="5">
        <v>43890</v>
      </c>
      <c r="B703">
        <v>2.4330000000000001E-2</v>
      </c>
      <c r="C703">
        <v>2.5649999999999999E-2</v>
      </c>
      <c r="D703">
        <v>2.4080000000000001E-2</v>
      </c>
      <c r="E703">
        <v>2.4109999999999999E-2</v>
      </c>
      <c r="F703">
        <v>1051439.7</v>
      </c>
      <c r="G703">
        <v>0</v>
      </c>
      <c r="L703" t="s">
        <v>8</v>
      </c>
      <c r="M703" t="s">
        <v>7</v>
      </c>
      <c r="N703" t="s">
        <v>7</v>
      </c>
      <c r="P703">
        <f t="shared" si="995"/>
        <v>-0.96178343949044742</v>
      </c>
      <c r="Q703">
        <f t="shared" si="996"/>
        <v>-1011257.2910828041</v>
      </c>
      <c r="R703">
        <f t="shared" si="997"/>
        <v>-1528706.1182330952</v>
      </c>
      <c r="S703">
        <f t="shared" si="998"/>
        <v>-15.287061182330952</v>
      </c>
      <c r="T703">
        <f t="shared" si="999"/>
        <v>-1.5287061182330952E-2</v>
      </c>
    </row>
    <row r="704" spans="1:20" x14ac:dyDescent="0.25">
      <c r="A704" s="5">
        <v>43889</v>
      </c>
      <c r="B704">
        <v>2.4740000000000002E-2</v>
      </c>
      <c r="C704">
        <v>2.5479999999999999E-2</v>
      </c>
      <c r="D704">
        <v>2.3089999999999999E-2</v>
      </c>
      <c r="E704">
        <v>2.4160000000000001E-2</v>
      </c>
      <c r="F704">
        <v>918351</v>
      </c>
      <c r="G704">
        <v>0</v>
      </c>
      <c r="L704" t="s">
        <v>7</v>
      </c>
      <c r="M704" t="s">
        <v>7</v>
      </c>
      <c r="N704" t="s">
        <v>7</v>
      </c>
      <c r="P704">
        <f t="shared" si="995"/>
        <v>-0.1046025104602497</v>
      </c>
      <c r="Q704">
        <f t="shared" si="996"/>
        <v>-96061.820083680766</v>
      </c>
      <c r="R704">
        <f t="shared" si="997"/>
        <v>-517448.82715029106</v>
      </c>
      <c r="S704">
        <f t="shared" si="998"/>
        <v>-5.174488271502911</v>
      </c>
      <c r="T704">
        <f t="shared" si="999"/>
        <v>-5.174488271502911E-3</v>
      </c>
    </row>
    <row r="705" spans="1:20" x14ac:dyDescent="0.25">
      <c r="A705" s="5">
        <v>43888</v>
      </c>
      <c r="B705">
        <v>2.375E-2</v>
      </c>
      <c r="C705">
        <v>2.589E-2</v>
      </c>
      <c r="D705">
        <v>2.2349999999999998E-2</v>
      </c>
      <c r="E705">
        <v>2.478E-2</v>
      </c>
      <c r="F705">
        <v>2091722</v>
      </c>
      <c r="G705">
        <v>0</v>
      </c>
      <c r="L705" t="s">
        <v>8</v>
      </c>
      <c r="M705" t="s">
        <v>7</v>
      </c>
      <c r="N705" t="s">
        <v>7</v>
      </c>
      <c r="P705">
        <f t="shared" si="995"/>
        <v>0.37288135593220373</v>
      </c>
      <c r="Q705">
        <f t="shared" si="996"/>
        <v>779964.13559322106</v>
      </c>
      <c r="R705">
        <f t="shared" si="997"/>
        <v>-421387.00706661027</v>
      </c>
      <c r="S705">
        <f t="shared" si="998"/>
        <v>-4.2138700706661023</v>
      </c>
      <c r="T705">
        <f t="shared" si="999"/>
        <v>-4.2138700706661021E-3</v>
      </c>
    </row>
    <row r="706" spans="1:20" x14ac:dyDescent="0.25">
      <c r="A706" s="5">
        <v>43887</v>
      </c>
      <c r="B706">
        <v>2.8840000000000001E-2</v>
      </c>
      <c r="C706">
        <v>2.894E-2</v>
      </c>
      <c r="D706">
        <v>2.2270000000000002E-2</v>
      </c>
      <c r="E706">
        <v>2.4230000000000002E-2</v>
      </c>
      <c r="F706">
        <v>6387223.5999999996</v>
      </c>
      <c r="G706">
        <v>0</v>
      </c>
      <c r="L706" t="s">
        <v>7</v>
      </c>
      <c r="M706" t="s">
        <v>7</v>
      </c>
      <c r="N706" t="s">
        <v>7</v>
      </c>
      <c r="P706">
        <f t="shared" si="995"/>
        <v>-0.41229385307346317</v>
      </c>
      <c r="Q706">
        <f t="shared" si="996"/>
        <v>-2633413.0284857564</v>
      </c>
      <c r="R706">
        <f t="shared" si="997"/>
        <v>-1201351.1426598313</v>
      </c>
      <c r="S706">
        <f t="shared" si="998"/>
        <v>-12.013511426598313</v>
      </c>
      <c r="T706">
        <f t="shared" si="999"/>
        <v>-1.2013511426598313E-2</v>
      </c>
    </row>
    <row r="707" spans="1:20" x14ac:dyDescent="0.25">
      <c r="A707" s="5">
        <v>43886</v>
      </c>
      <c r="B707">
        <v>3.1150000000000001E-2</v>
      </c>
      <c r="C707">
        <v>3.1210000000000002E-2</v>
      </c>
      <c r="D707">
        <v>2.843E-2</v>
      </c>
      <c r="E707">
        <v>2.877E-2</v>
      </c>
      <c r="F707">
        <v>1041434.8</v>
      </c>
      <c r="G707">
        <v>0</v>
      </c>
      <c r="L707" t="s">
        <v>7</v>
      </c>
      <c r="M707" t="s">
        <v>7</v>
      </c>
      <c r="N707" t="s">
        <v>7</v>
      </c>
      <c r="P707">
        <f t="shared" si="995"/>
        <v>-0.75539568345323749</v>
      </c>
      <c r="Q707">
        <f t="shared" si="996"/>
        <v>-786695.35251798574</v>
      </c>
      <c r="R707">
        <f t="shared" si="997"/>
        <v>1432061.885825925</v>
      </c>
      <c r="S707">
        <f t="shared" si="998"/>
        <v>14.32061885825925</v>
      </c>
      <c r="T707">
        <f t="shared" si="999"/>
        <v>1.432061885825925E-2</v>
      </c>
    </row>
    <row r="708" spans="1:20" x14ac:dyDescent="0.25">
      <c r="A708" s="5">
        <v>43885</v>
      </c>
      <c r="B708">
        <v>3.2779999999999997E-2</v>
      </c>
      <c r="C708">
        <v>3.2969999999999999E-2</v>
      </c>
      <c r="D708">
        <v>3.0689999999999999E-2</v>
      </c>
      <c r="E708">
        <v>3.1309999999999998E-2</v>
      </c>
      <c r="F708">
        <v>1270807.3</v>
      </c>
      <c r="G708">
        <v>0</v>
      </c>
      <c r="L708" t="s">
        <v>8</v>
      </c>
      <c r="M708" t="s">
        <v>7</v>
      </c>
      <c r="N708" t="s">
        <v>8</v>
      </c>
      <c r="P708">
        <f t="shared" si="995"/>
        <v>-0.45614035087719401</v>
      </c>
      <c r="Q708">
        <f t="shared" si="996"/>
        <v>-579666.48771929962</v>
      </c>
      <c r="R708">
        <f t="shared" si="997"/>
        <v>2218757.2383439108</v>
      </c>
      <c r="S708">
        <f t="shared" si="998"/>
        <v>22.187572383439107</v>
      </c>
      <c r="T708">
        <f t="shared" si="999"/>
        <v>2.2187572383439106E-2</v>
      </c>
    </row>
    <row r="709" spans="1:20" x14ac:dyDescent="0.25">
      <c r="A709" s="5">
        <v>43884</v>
      </c>
      <c r="B709">
        <v>3.1579999999999997E-2</v>
      </c>
      <c r="C709">
        <v>3.313E-2</v>
      </c>
      <c r="D709">
        <v>3.1579999999999997E-2</v>
      </c>
      <c r="E709">
        <v>3.2480000000000002E-2</v>
      </c>
      <c r="F709">
        <v>1080630.3999999999</v>
      </c>
      <c r="G709">
        <v>0</v>
      </c>
      <c r="L709" t="s">
        <v>8</v>
      </c>
      <c r="M709" t="s">
        <v>7</v>
      </c>
      <c r="N709" t="s">
        <v>8</v>
      </c>
      <c r="P709">
        <f t="shared" si="995"/>
        <v>0.16129032258064949</v>
      </c>
      <c r="Q709">
        <f t="shared" si="996"/>
        <v>174295.22580645626</v>
      </c>
      <c r="R709">
        <f t="shared" si="997"/>
        <v>2798423.7260632105</v>
      </c>
      <c r="S709">
        <f t="shared" si="998"/>
        <v>27.984237260632106</v>
      </c>
      <c r="T709">
        <f t="shared" si="999"/>
        <v>2.7984237260632105E-2</v>
      </c>
    </row>
    <row r="710" spans="1:20" x14ac:dyDescent="0.25">
      <c r="A710" s="5">
        <v>43883</v>
      </c>
      <c r="B710">
        <v>3.1550000000000002E-2</v>
      </c>
      <c r="C710">
        <v>3.2280000000000003E-2</v>
      </c>
      <c r="D710">
        <v>3.1009999999999999E-2</v>
      </c>
      <c r="E710">
        <v>3.1730000000000001E-2</v>
      </c>
      <c r="F710">
        <v>1065391.7</v>
      </c>
      <c r="G710">
        <v>0</v>
      </c>
      <c r="L710" t="s">
        <v>8</v>
      </c>
      <c r="M710" t="s">
        <v>7</v>
      </c>
      <c r="N710" t="s">
        <v>8</v>
      </c>
      <c r="P710">
        <f t="shared" ref="P710:P766" si="1000">IF(C710=D710,0,((E710-D710)-(C710-E710))/(C710-D710))</f>
        <v>0.13385826771653506</v>
      </c>
      <c r="Q710">
        <f t="shared" ref="Q710:Q766" si="1001">F710*P710</f>
        <v>142611.48740157438</v>
      </c>
      <c r="R710">
        <f t="shared" ref="R710:R766" si="1002">R711+Q710</f>
        <v>2624128.5002567545</v>
      </c>
      <c r="S710">
        <f t="shared" ref="S710:S766" si="1003">R710/100000</f>
        <v>26.241285002567544</v>
      </c>
      <c r="T710">
        <f t="shared" ref="T710:T766" si="1004">S710/1000</f>
        <v>2.6241285002567543E-2</v>
      </c>
    </row>
    <row r="711" spans="1:20" x14ac:dyDescent="0.25">
      <c r="A711" s="5">
        <v>43882</v>
      </c>
      <c r="B711">
        <v>3.1E-2</v>
      </c>
      <c r="C711">
        <v>3.2730000000000002E-2</v>
      </c>
      <c r="D711">
        <v>3.1E-2</v>
      </c>
      <c r="E711">
        <v>3.1870000000000002E-2</v>
      </c>
      <c r="F711">
        <v>1209723.5</v>
      </c>
      <c r="G711">
        <v>0</v>
      </c>
      <c r="L711" t="s">
        <v>8</v>
      </c>
      <c r="M711" t="s">
        <v>7</v>
      </c>
      <c r="N711" t="s">
        <v>8</v>
      </c>
      <c r="P711">
        <f t="shared" si="1000"/>
        <v>5.7803468208110107E-3</v>
      </c>
      <c r="Q711">
        <f t="shared" si="1001"/>
        <v>6992.6213872853687</v>
      </c>
      <c r="R711">
        <f t="shared" si="1002"/>
        <v>2481517.0128551801</v>
      </c>
      <c r="S711">
        <f t="shared" si="1003"/>
        <v>24.815170128551802</v>
      </c>
      <c r="T711">
        <f t="shared" si="1004"/>
        <v>2.4815170128551802E-2</v>
      </c>
    </row>
    <row r="712" spans="1:20" x14ac:dyDescent="0.25">
      <c r="A712" s="5">
        <v>43881</v>
      </c>
      <c r="B712">
        <v>3.0960000000000001E-2</v>
      </c>
      <c r="C712">
        <v>3.1579999999999997E-2</v>
      </c>
      <c r="D712">
        <v>0.03</v>
      </c>
      <c r="E712">
        <v>3.0949999999999998E-2</v>
      </c>
      <c r="F712">
        <v>915034.7</v>
      </c>
      <c r="G712">
        <v>0</v>
      </c>
      <c r="L712" t="s">
        <v>7</v>
      </c>
      <c r="M712" t="s">
        <v>7</v>
      </c>
      <c r="N712" t="s">
        <v>8</v>
      </c>
      <c r="P712">
        <f t="shared" si="1000"/>
        <v>0.20253164556962103</v>
      </c>
      <c r="Q712">
        <f t="shared" si="1001"/>
        <v>185323.4835443045</v>
      </c>
      <c r="R712">
        <f t="shared" si="1002"/>
        <v>2474524.3914678949</v>
      </c>
      <c r="S712">
        <f t="shared" si="1003"/>
        <v>24.745243914678948</v>
      </c>
      <c r="T712">
        <f t="shared" si="1004"/>
        <v>2.4745243914678947E-2</v>
      </c>
    </row>
    <row r="713" spans="1:20" x14ac:dyDescent="0.25">
      <c r="A713" s="5">
        <v>43880</v>
      </c>
      <c r="B713">
        <v>3.3599999999999998E-2</v>
      </c>
      <c r="C713">
        <v>3.3950000000000001E-2</v>
      </c>
      <c r="D713">
        <v>3.0450000000000001E-2</v>
      </c>
      <c r="E713">
        <v>3.099E-2</v>
      </c>
      <c r="F713">
        <v>1382224.8</v>
      </c>
      <c r="G713">
        <v>0</v>
      </c>
      <c r="L713" t="s">
        <v>7</v>
      </c>
      <c r="M713" t="s">
        <v>7</v>
      </c>
      <c r="N713" t="s">
        <v>8</v>
      </c>
      <c r="P713">
        <f t="shared" si="1000"/>
        <v>-0.69142857142857206</v>
      </c>
      <c r="Q713">
        <f t="shared" si="1001"/>
        <v>-955709.71885714377</v>
      </c>
      <c r="R713">
        <f t="shared" si="1002"/>
        <v>2289200.9079235904</v>
      </c>
      <c r="S713">
        <f t="shared" si="1003"/>
        <v>22.892009079235905</v>
      </c>
      <c r="T713">
        <f t="shared" si="1004"/>
        <v>2.2892009079235904E-2</v>
      </c>
    </row>
    <row r="714" spans="1:20" x14ac:dyDescent="0.25">
      <c r="A714" s="5">
        <v>43879</v>
      </c>
      <c r="B714">
        <v>3.2980000000000002E-2</v>
      </c>
      <c r="C714">
        <v>3.3950000000000001E-2</v>
      </c>
      <c r="D714">
        <v>3.1359999999999999E-2</v>
      </c>
      <c r="E714">
        <v>3.3599999999999998E-2</v>
      </c>
      <c r="F714">
        <v>1875113.4</v>
      </c>
      <c r="G714">
        <v>0</v>
      </c>
      <c r="L714" t="s">
        <v>8</v>
      </c>
      <c r="M714" t="s">
        <v>7</v>
      </c>
      <c r="N714" t="s">
        <v>8</v>
      </c>
      <c r="P714">
        <f t="shared" si="1000"/>
        <v>0.72972972972972761</v>
      </c>
      <c r="Q714">
        <f t="shared" si="1001"/>
        <v>1368325.9945945905</v>
      </c>
      <c r="R714">
        <f t="shared" si="1002"/>
        <v>3244910.6267807344</v>
      </c>
      <c r="S714">
        <f t="shared" si="1003"/>
        <v>32.449106267807345</v>
      </c>
      <c r="T714">
        <f t="shared" si="1004"/>
        <v>3.2449106267807344E-2</v>
      </c>
    </row>
    <row r="715" spans="1:20" x14ac:dyDescent="0.25">
      <c r="A715" s="5">
        <v>43878</v>
      </c>
      <c r="B715">
        <v>3.3090000000000001E-2</v>
      </c>
      <c r="C715">
        <v>3.3680000000000002E-2</v>
      </c>
      <c r="D715">
        <v>2.9430000000000001E-2</v>
      </c>
      <c r="E715">
        <v>3.2680000000000001E-2</v>
      </c>
      <c r="F715">
        <v>3766417.3</v>
      </c>
      <c r="G715">
        <v>0</v>
      </c>
      <c r="L715" t="s">
        <v>7</v>
      </c>
      <c r="M715" t="s">
        <v>7</v>
      </c>
      <c r="N715" t="s">
        <v>8</v>
      </c>
      <c r="P715">
        <f t="shared" si="1000"/>
        <v>0.52941176470588192</v>
      </c>
      <c r="Q715">
        <f t="shared" si="1001"/>
        <v>1993985.629411763</v>
      </c>
      <c r="R715">
        <f t="shared" si="1002"/>
        <v>1876584.6321861437</v>
      </c>
      <c r="S715">
        <f t="shared" si="1003"/>
        <v>18.765846321861435</v>
      </c>
      <c r="T715">
        <f t="shared" si="1004"/>
        <v>1.8765846321861436E-2</v>
      </c>
    </row>
    <row r="716" spans="1:20" x14ac:dyDescent="0.25">
      <c r="A716" s="5">
        <v>43877</v>
      </c>
      <c r="B716">
        <v>3.458E-2</v>
      </c>
      <c r="C716">
        <v>3.6880000000000003E-2</v>
      </c>
      <c r="D716">
        <v>3.0040000000000001E-2</v>
      </c>
      <c r="E716">
        <v>3.3079999999999998E-2</v>
      </c>
      <c r="F716">
        <v>4097587.5</v>
      </c>
      <c r="G716">
        <v>0</v>
      </c>
      <c r="L716" t="s">
        <v>7</v>
      </c>
      <c r="M716" t="s">
        <v>7</v>
      </c>
      <c r="N716" t="s">
        <v>8</v>
      </c>
      <c r="P716">
        <f t="shared" si="1000"/>
        <v>-0.11111111111111213</v>
      </c>
      <c r="Q716">
        <f t="shared" si="1001"/>
        <v>-455287.50000000419</v>
      </c>
      <c r="R716">
        <f t="shared" si="1002"/>
        <v>-117400.99722561939</v>
      </c>
      <c r="S716">
        <f t="shared" si="1003"/>
        <v>-1.1740099722561939</v>
      </c>
      <c r="T716">
        <f t="shared" si="1004"/>
        <v>-1.1740099722561939E-3</v>
      </c>
    </row>
    <row r="717" spans="1:20" x14ac:dyDescent="0.25">
      <c r="A717" s="5">
        <v>43876</v>
      </c>
      <c r="B717">
        <v>3.9969999999999999E-2</v>
      </c>
      <c r="C717">
        <v>0.04</v>
      </c>
      <c r="D717">
        <v>3.2660000000000002E-2</v>
      </c>
      <c r="E717">
        <v>3.458E-2</v>
      </c>
      <c r="F717">
        <v>5782284.4000000004</v>
      </c>
      <c r="G717">
        <v>0</v>
      </c>
      <c r="L717" t="s">
        <v>7</v>
      </c>
      <c r="M717" t="s">
        <v>7</v>
      </c>
      <c r="N717" t="s">
        <v>8</v>
      </c>
      <c r="P717">
        <f t="shared" si="1000"/>
        <v>-0.4768392370572212</v>
      </c>
      <c r="Q717">
        <f t="shared" si="1001"/>
        <v>-2757220.0817438723</v>
      </c>
      <c r="R717">
        <f t="shared" si="1002"/>
        <v>337886.5027743848</v>
      </c>
      <c r="S717">
        <f t="shared" si="1003"/>
        <v>3.3788650277438479</v>
      </c>
      <c r="T717">
        <f t="shared" si="1004"/>
        <v>3.378865027743848E-3</v>
      </c>
    </row>
    <row r="718" spans="1:20" x14ac:dyDescent="0.25">
      <c r="A718" s="5">
        <v>43875</v>
      </c>
      <c r="B718">
        <v>3.9030000000000002E-2</v>
      </c>
      <c r="C718">
        <v>4.0899999999999999E-2</v>
      </c>
      <c r="D718">
        <v>3.7949999999999998E-2</v>
      </c>
      <c r="E718">
        <v>3.9949999999999999E-2</v>
      </c>
      <c r="F718">
        <v>5043942.2</v>
      </c>
      <c r="G718">
        <v>0</v>
      </c>
      <c r="L718" t="s">
        <v>7</v>
      </c>
      <c r="M718" t="s">
        <v>8</v>
      </c>
      <c r="N718" t="s">
        <v>8</v>
      </c>
      <c r="P718">
        <f t="shared" si="1000"/>
        <v>0.35593220338983117</v>
      </c>
      <c r="Q718">
        <f t="shared" si="1001"/>
        <v>1795301.4610169525</v>
      </c>
      <c r="R718">
        <f t="shared" si="1002"/>
        <v>3095106.5845182571</v>
      </c>
      <c r="S718">
        <f t="shared" si="1003"/>
        <v>30.951065845182569</v>
      </c>
      <c r="T718">
        <f t="shared" si="1004"/>
        <v>3.095106584518257E-2</v>
      </c>
    </row>
    <row r="719" spans="1:20" x14ac:dyDescent="0.25">
      <c r="A719" s="5">
        <v>43874</v>
      </c>
      <c r="B719">
        <v>3.5740000000000001E-2</v>
      </c>
      <c r="C719">
        <v>4.2340000000000003E-2</v>
      </c>
      <c r="D719">
        <v>3.5090000000000003E-2</v>
      </c>
      <c r="E719">
        <v>3.9539999999999999E-2</v>
      </c>
      <c r="F719">
        <v>11944726.5</v>
      </c>
      <c r="G719">
        <v>0</v>
      </c>
      <c r="L719" t="s">
        <v>8</v>
      </c>
      <c r="M719" t="s">
        <v>8</v>
      </c>
      <c r="N719" t="s">
        <v>8</v>
      </c>
      <c r="P719">
        <f t="shared" si="1000"/>
        <v>0.2275862068965506</v>
      </c>
      <c r="Q719">
        <f t="shared" si="1001"/>
        <v>2718454.9965517106</v>
      </c>
      <c r="R719">
        <f t="shared" si="1002"/>
        <v>1299805.1235013045</v>
      </c>
      <c r="S719">
        <f t="shared" si="1003"/>
        <v>12.998051235013046</v>
      </c>
      <c r="T719">
        <f t="shared" si="1004"/>
        <v>1.2998051235013046E-2</v>
      </c>
    </row>
    <row r="720" spans="1:20" x14ac:dyDescent="0.25">
      <c r="A720" s="5">
        <v>43873</v>
      </c>
      <c r="B720">
        <v>3.6659999999999998E-2</v>
      </c>
      <c r="C720">
        <v>3.7159999999999999E-2</v>
      </c>
      <c r="D720">
        <v>3.524E-2</v>
      </c>
      <c r="E720">
        <v>3.5740000000000001E-2</v>
      </c>
      <c r="F720">
        <v>3826345.8</v>
      </c>
      <c r="G720">
        <v>0</v>
      </c>
      <c r="L720" t="s">
        <v>8</v>
      </c>
      <c r="M720" t="s">
        <v>8</v>
      </c>
      <c r="N720" t="s">
        <v>8</v>
      </c>
      <c r="P720">
        <f t="shared" si="1000"/>
        <v>-0.47916666666666569</v>
      </c>
      <c r="Q720">
        <f t="shared" si="1001"/>
        <v>-1833457.3624999961</v>
      </c>
      <c r="R720">
        <f t="shared" si="1002"/>
        <v>-1418649.8730504061</v>
      </c>
      <c r="S720">
        <f t="shared" si="1003"/>
        <v>-14.186498730504061</v>
      </c>
      <c r="T720">
        <f t="shared" si="1004"/>
        <v>-1.4186498730504061E-2</v>
      </c>
    </row>
    <row r="721" spans="1:20" x14ac:dyDescent="0.25">
      <c r="A721" s="5">
        <v>43872</v>
      </c>
      <c r="B721">
        <v>3.4380000000000001E-2</v>
      </c>
      <c r="C721">
        <v>3.6900000000000002E-2</v>
      </c>
      <c r="D721">
        <v>3.3000000000000002E-2</v>
      </c>
      <c r="E721">
        <v>3.653E-2</v>
      </c>
      <c r="F721">
        <v>3241567.9</v>
      </c>
      <c r="G721">
        <v>0</v>
      </c>
      <c r="L721" t="s">
        <v>8</v>
      </c>
      <c r="M721" t="s">
        <v>8</v>
      </c>
      <c r="N721" t="s">
        <v>8</v>
      </c>
      <c r="P721">
        <f t="shared" si="1000"/>
        <v>0.81025641025640915</v>
      </c>
      <c r="Q721">
        <f t="shared" si="1001"/>
        <v>2626501.1702564065</v>
      </c>
      <c r="R721">
        <f t="shared" si="1002"/>
        <v>414807.48944958998</v>
      </c>
      <c r="S721">
        <f t="shared" si="1003"/>
        <v>4.1480748944958998</v>
      </c>
      <c r="T721">
        <f t="shared" si="1004"/>
        <v>4.1480748944959E-3</v>
      </c>
    </row>
    <row r="722" spans="1:20" x14ac:dyDescent="0.25">
      <c r="A722" s="5">
        <v>43871</v>
      </c>
      <c r="B722">
        <v>3.6420000000000001E-2</v>
      </c>
      <c r="C722">
        <v>3.7269999999999998E-2</v>
      </c>
      <c r="D722">
        <v>3.2989999999999998E-2</v>
      </c>
      <c r="E722">
        <v>3.4380000000000001E-2</v>
      </c>
      <c r="F722">
        <v>5603569.5999999996</v>
      </c>
      <c r="G722">
        <v>0</v>
      </c>
      <c r="L722" t="s">
        <v>7</v>
      </c>
      <c r="M722" t="s">
        <v>8</v>
      </c>
      <c r="N722" t="s">
        <v>8</v>
      </c>
      <c r="P722">
        <f t="shared" si="1000"/>
        <v>-0.35046728971962493</v>
      </c>
      <c r="Q722">
        <f t="shared" si="1001"/>
        <v>-1963867.8504672826</v>
      </c>
      <c r="R722">
        <f t="shared" si="1002"/>
        <v>-2211693.6808068166</v>
      </c>
      <c r="S722">
        <f t="shared" si="1003"/>
        <v>-22.116936808068164</v>
      </c>
      <c r="T722">
        <f t="shared" si="1004"/>
        <v>-2.2116936808068165E-2</v>
      </c>
    </row>
    <row r="723" spans="1:20" x14ac:dyDescent="0.25">
      <c r="A723" s="5">
        <v>43870</v>
      </c>
      <c r="B723">
        <v>3.1390000000000001E-2</v>
      </c>
      <c r="C723">
        <v>3.9449999999999999E-2</v>
      </c>
      <c r="D723">
        <v>3.1390000000000001E-2</v>
      </c>
      <c r="E723">
        <v>3.6200000000000003E-2</v>
      </c>
      <c r="F723">
        <v>11220634.699999999</v>
      </c>
      <c r="G723">
        <v>0</v>
      </c>
      <c r="L723" t="s">
        <v>8</v>
      </c>
      <c r="M723" t="s">
        <v>8</v>
      </c>
      <c r="N723" t="s">
        <v>8</v>
      </c>
      <c r="P723">
        <f t="shared" si="1000"/>
        <v>0.19354838709677497</v>
      </c>
      <c r="Q723">
        <f t="shared" si="1001"/>
        <v>2171735.7483871053</v>
      </c>
      <c r="R723">
        <f t="shared" si="1002"/>
        <v>-247825.83033953374</v>
      </c>
      <c r="S723">
        <f t="shared" si="1003"/>
        <v>-2.4782583033953376</v>
      </c>
      <c r="T723">
        <f t="shared" si="1004"/>
        <v>-2.4782583033953376E-3</v>
      </c>
    </row>
    <row r="724" spans="1:20" x14ac:dyDescent="0.25">
      <c r="A724" s="5">
        <v>43869</v>
      </c>
      <c r="B724">
        <v>3.2000000000000001E-2</v>
      </c>
      <c r="C724">
        <v>3.2669999999999998E-2</v>
      </c>
      <c r="D724">
        <v>2.9329999999999998E-2</v>
      </c>
      <c r="E724">
        <v>3.1289999999999998E-2</v>
      </c>
      <c r="F724">
        <v>1969773</v>
      </c>
      <c r="G724">
        <v>0</v>
      </c>
      <c r="L724" t="s">
        <v>7</v>
      </c>
      <c r="M724" t="s">
        <v>7</v>
      </c>
      <c r="N724" t="s">
        <v>7</v>
      </c>
      <c r="P724">
        <f t="shared" si="1000"/>
        <v>0.17365269461077867</v>
      </c>
      <c r="Q724">
        <f t="shared" si="1001"/>
        <v>342056.38922155736</v>
      </c>
      <c r="R724">
        <f t="shared" si="1002"/>
        <v>-2419561.578726639</v>
      </c>
      <c r="S724">
        <f t="shared" si="1003"/>
        <v>-24.195615787266391</v>
      </c>
      <c r="T724">
        <f t="shared" si="1004"/>
        <v>-2.4195615787266391E-2</v>
      </c>
    </row>
    <row r="725" spans="1:20" x14ac:dyDescent="0.25">
      <c r="A725" s="5">
        <v>43868</v>
      </c>
      <c r="B725">
        <v>3.211E-2</v>
      </c>
      <c r="C725">
        <v>3.2779999999999997E-2</v>
      </c>
      <c r="D725">
        <v>3.1009999999999999E-2</v>
      </c>
      <c r="E725">
        <v>3.2230000000000002E-2</v>
      </c>
      <c r="F725">
        <v>3572393.5</v>
      </c>
      <c r="G725">
        <v>0</v>
      </c>
      <c r="L725" t="s">
        <v>7</v>
      </c>
      <c r="M725" t="s">
        <v>7</v>
      </c>
      <c r="N725" t="s">
        <v>7</v>
      </c>
      <c r="P725">
        <f t="shared" si="1000"/>
        <v>0.37853107344633247</v>
      </c>
      <c r="Q725">
        <f t="shared" si="1001"/>
        <v>1352261.9463277007</v>
      </c>
      <c r="R725">
        <f t="shared" si="1002"/>
        <v>-2761617.9679481965</v>
      </c>
      <c r="S725">
        <f t="shared" si="1003"/>
        <v>-27.616179679481963</v>
      </c>
      <c r="T725">
        <f t="shared" si="1004"/>
        <v>-2.7616179679481961E-2</v>
      </c>
    </row>
    <row r="726" spans="1:20" x14ac:dyDescent="0.25">
      <c r="A726" s="5">
        <v>43867</v>
      </c>
      <c r="B726">
        <v>3.1550000000000002E-2</v>
      </c>
      <c r="C726">
        <v>8.9179999999999995E-2</v>
      </c>
      <c r="D726">
        <v>3.0970000000000001E-2</v>
      </c>
      <c r="E726">
        <v>3.227E-2</v>
      </c>
      <c r="F726">
        <v>4306221</v>
      </c>
      <c r="G726">
        <v>0</v>
      </c>
      <c r="P726">
        <f t="shared" si="1000"/>
        <v>-0.95533413502834552</v>
      </c>
      <c r="Q726">
        <f t="shared" si="1001"/>
        <v>-4113879.9142758972</v>
      </c>
      <c r="R726">
        <f t="shared" si="1002"/>
        <v>-4113879.9142758972</v>
      </c>
      <c r="S726">
        <f t="shared" si="1003"/>
        <v>-41.13879914275897</v>
      </c>
      <c r="T726">
        <f t="shared" si="1004"/>
        <v>-4.1138799142758968E-2</v>
      </c>
    </row>
    <row r="727" spans="1:20" x14ac:dyDescent="0.25">
      <c r="A727" s="5"/>
      <c r="C727" s="4"/>
      <c r="D727" s="4"/>
      <c r="P727">
        <f t="shared" si="1000"/>
        <v>0</v>
      </c>
      <c r="Q727">
        <f t="shared" si="1001"/>
        <v>0</v>
      </c>
      <c r="R727">
        <f t="shared" si="1002"/>
        <v>0</v>
      </c>
      <c r="S727">
        <f t="shared" si="1003"/>
        <v>0</v>
      </c>
      <c r="T727">
        <f t="shared" si="1004"/>
        <v>0</v>
      </c>
    </row>
    <row r="728" spans="1:20" x14ac:dyDescent="0.25">
      <c r="A728" s="5"/>
      <c r="C728" s="4"/>
      <c r="D728" s="4"/>
      <c r="P728">
        <f t="shared" si="1000"/>
        <v>0</v>
      </c>
      <c r="Q728">
        <f t="shared" si="1001"/>
        <v>0</v>
      </c>
      <c r="R728">
        <f t="shared" si="1002"/>
        <v>0</v>
      </c>
      <c r="S728">
        <f t="shared" si="1003"/>
        <v>0</v>
      </c>
      <c r="T728">
        <f t="shared" si="1004"/>
        <v>0</v>
      </c>
    </row>
    <row r="729" spans="1:20" x14ac:dyDescent="0.25">
      <c r="A729" s="5"/>
      <c r="C729" s="4"/>
      <c r="D729" s="4"/>
      <c r="P729">
        <f t="shared" si="1000"/>
        <v>0</v>
      </c>
      <c r="Q729">
        <f t="shared" si="1001"/>
        <v>0</v>
      </c>
      <c r="R729">
        <f t="shared" si="1002"/>
        <v>0</v>
      </c>
      <c r="S729">
        <f t="shared" si="1003"/>
        <v>0</v>
      </c>
      <c r="T729">
        <f t="shared" si="1004"/>
        <v>0</v>
      </c>
    </row>
    <row r="730" spans="1:20" x14ac:dyDescent="0.25">
      <c r="A730" s="5"/>
      <c r="C730" s="4"/>
      <c r="D730" s="4"/>
      <c r="P730">
        <f t="shared" si="1000"/>
        <v>0</v>
      </c>
      <c r="Q730">
        <f t="shared" si="1001"/>
        <v>0</v>
      </c>
      <c r="R730">
        <f t="shared" si="1002"/>
        <v>0</v>
      </c>
      <c r="S730">
        <f t="shared" si="1003"/>
        <v>0</v>
      </c>
      <c r="T730">
        <f t="shared" si="1004"/>
        <v>0</v>
      </c>
    </row>
    <row r="731" spans="1:20" x14ac:dyDescent="0.25">
      <c r="A731" s="5"/>
      <c r="C731" s="4"/>
      <c r="D731" s="4"/>
      <c r="P731">
        <f t="shared" si="1000"/>
        <v>0</v>
      </c>
      <c r="Q731">
        <f t="shared" si="1001"/>
        <v>0</v>
      </c>
      <c r="R731">
        <f t="shared" si="1002"/>
        <v>0</v>
      </c>
      <c r="S731">
        <f t="shared" si="1003"/>
        <v>0</v>
      </c>
      <c r="T731">
        <f t="shared" si="1004"/>
        <v>0</v>
      </c>
    </row>
    <row r="732" spans="1:20" x14ac:dyDescent="0.25">
      <c r="A732" s="5"/>
      <c r="C732" s="4"/>
      <c r="D732" s="4"/>
      <c r="P732">
        <f t="shared" si="1000"/>
        <v>0</v>
      </c>
      <c r="Q732">
        <f t="shared" si="1001"/>
        <v>0</v>
      </c>
      <c r="R732">
        <f t="shared" si="1002"/>
        <v>0</v>
      </c>
      <c r="S732">
        <f t="shared" si="1003"/>
        <v>0</v>
      </c>
      <c r="T732">
        <f t="shared" si="1004"/>
        <v>0</v>
      </c>
    </row>
    <row r="733" spans="1:20" x14ac:dyDescent="0.25">
      <c r="A733" s="5"/>
      <c r="C733" s="4"/>
      <c r="D733" s="4"/>
      <c r="P733">
        <f t="shared" si="1000"/>
        <v>0</v>
      </c>
      <c r="Q733">
        <f t="shared" si="1001"/>
        <v>0</v>
      </c>
      <c r="R733">
        <f t="shared" si="1002"/>
        <v>0</v>
      </c>
      <c r="S733">
        <f t="shared" si="1003"/>
        <v>0</v>
      </c>
      <c r="T733">
        <f t="shared" si="1004"/>
        <v>0</v>
      </c>
    </row>
    <row r="734" spans="1:20" x14ac:dyDescent="0.25">
      <c r="A734" s="5"/>
      <c r="C734" s="4"/>
      <c r="D734" s="4"/>
      <c r="P734">
        <f t="shared" si="1000"/>
        <v>0</v>
      </c>
      <c r="Q734">
        <f t="shared" si="1001"/>
        <v>0</v>
      </c>
      <c r="R734">
        <f t="shared" si="1002"/>
        <v>0</v>
      </c>
      <c r="S734">
        <f t="shared" si="1003"/>
        <v>0</v>
      </c>
      <c r="T734">
        <f t="shared" si="1004"/>
        <v>0</v>
      </c>
    </row>
    <row r="735" spans="1:20" x14ac:dyDescent="0.25">
      <c r="A735" s="5"/>
      <c r="C735" s="4"/>
      <c r="D735" s="4"/>
      <c r="P735">
        <f t="shared" si="1000"/>
        <v>0</v>
      </c>
      <c r="Q735">
        <f t="shared" si="1001"/>
        <v>0</v>
      </c>
      <c r="R735">
        <f t="shared" si="1002"/>
        <v>0</v>
      </c>
      <c r="S735">
        <f t="shared" si="1003"/>
        <v>0</v>
      </c>
      <c r="T735">
        <f t="shared" si="1004"/>
        <v>0</v>
      </c>
    </row>
    <row r="736" spans="1:20" x14ac:dyDescent="0.25">
      <c r="A736" s="5"/>
      <c r="C736" s="4"/>
      <c r="D736" s="4"/>
      <c r="P736">
        <f t="shared" si="1000"/>
        <v>0</v>
      </c>
      <c r="Q736">
        <f t="shared" si="1001"/>
        <v>0</v>
      </c>
      <c r="R736">
        <f t="shared" si="1002"/>
        <v>0</v>
      </c>
      <c r="S736">
        <f t="shared" si="1003"/>
        <v>0</v>
      </c>
      <c r="T736">
        <f t="shared" si="1004"/>
        <v>0</v>
      </c>
    </row>
    <row r="737" spans="1:20" x14ac:dyDescent="0.25">
      <c r="A737" s="5"/>
      <c r="C737" s="4"/>
      <c r="D737" s="4"/>
      <c r="P737">
        <f t="shared" si="1000"/>
        <v>0</v>
      </c>
      <c r="Q737">
        <f t="shared" si="1001"/>
        <v>0</v>
      </c>
      <c r="R737">
        <f t="shared" si="1002"/>
        <v>0</v>
      </c>
      <c r="S737">
        <f t="shared" si="1003"/>
        <v>0</v>
      </c>
      <c r="T737">
        <f t="shared" si="1004"/>
        <v>0</v>
      </c>
    </row>
    <row r="738" spans="1:20" x14ac:dyDescent="0.25">
      <c r="A738" s="5"/>
      <c r="C738" s="4"/>
      <c r="D738" s="4"/>
      <c r="P738">
        <f t="shared" si="1000"/>
        <v>0</v>
      </c>
      <c r="Q738">
        <f t="shared" si="1001"/>
        <v>0</v>
      </c>
      <c r="R738">
        <f t="shared" si="1002"/>
        <v>0</v>
      </c>
      <c r="S738">
        <f t="shared" si="1003"/>
        <v>0</v>
      </c>
      <c r="T738">
        <f t="shared" si="1004"/>
        <v>0</v>
      </c>
    </row>
    <row r="739" spans="1:20" x14ac:dyDescent="0.25">
      <c r="A739" s="5"/>
      <c r="C739" s="4"/>
      <c r="D739" s="4"/>
      <c r="P739">
        <f t="shared" si="1000"/>
        <v>0</v>
      </c>
      <c r="Q739">
        <f t="shared" si="1001"/>
        <v>0</v>
      </c>
      <c r="R739">
        <f t="shared" si="1002"/>
        <v>0</v>
      </c>
      <c r="S739">
        <f t="shared" si="1003"/>
        <v>0</v>
      </c>
      <c r="T739">
        <f t="shared" si="1004"/>
        <v>0</v>
      </c>
    </row>
    <row r="740" spans="1:20" x14ac:dyDescent="0.25">
      <c r="A740" s="5"/>
      <c r="C740" s="4"/>
      <c r="D740" s="4"/>
      <c r="P740">
        <f t="shared" si="1000"/>
        <v>0</v>
      </c>
      <c r="Q740">
        <f t="shared" si="1001"/>
        <v>0</v>
      </c>
      <c r="R740">
        <f t="shared" si="1002"/>
        <v>0</v>
      </c>
      <c r="S740">
        <f t="shared" si="1003"/>
        <v>0</v>
      </c>
      <c r="T740">
        <f t="shared" si="1004"/>
        <v>0</v>
      </c>
    </row>
    <row r="741" spans="1:20" x14ac:dyDescent="0.25">
      <c r="A741" s="5"/>
      <c r="C741" s="4"/>
      <c r="D741" s="4"/>
      <c r="P741">
        <f t="shared" si="1000"/>
        <v>0</v>
      </c>
      <c r="Q741">
        <f t="shared" si="1001"/>
        <v>0</v>
      </c>
      <c r="R741">
        <f t="shared" si="1002"/>
        <v>0</v>
      </c>
      <c r="S741">
        <f t="shared" si="1003"/>
        <v>0</v>
      </c>
      <c r="T741">
        <f t="shared" si="1004"/>
        <v>0</v>
      </c>
    </row>
    <row r="742" spans="1:20" x14ac:dyDescent="0.25">
      <c r="A742" s="5"/>
      <c r="C742" s="4"/>
      <c r="D742" s="4"/>
      <c r="P742">
        <f t="shared" si="1000"/>
        <v>0</v>
      </c>
      <c r="Q742">
        <f t="shared" si="1001"/>
        <v>0</v>
      </c>
      <c r="R742">
        <f t="shared" si="1002"/>
        <v>0</v>
      </c>
      <c r="S742">
        <f t="shared" si="1003"/>
        <v>0</v>
      </c>
      <c r="T742">
        <f t="shared" si="1004"/>
        <v>0</v>
      </c>
    </row>
    <row r="743" spans="1:20" x14ac:dyDescent="0.25">
      <c r="A743" s="5"/>
      <c r="C743" s="4"/>
      <c r="D743" s="4"/>
      <c r="P743">
        <f t="shared" si="1000"/>
        <v>0</v>
      </c>
      <c r="Q743">
        <f t="shared" si="1001"/>
        <v>0</v>
      </c>
      <c r="R743">
        <f t="shared" si="1002"/>
        <v>0</v>
      </c>
      <c r="S743">
        <f t="shared" si="1003"/>
        <v>0</v>
      </c>
      <c r="T743">
        <f t="shared" si="1004"/>
        <v>0</v>
      </c>
    </row>
    <row r="744" spans="1:20" x14ac:dyDescent="0.25">
      <c r="A744" s="5"/>
      <c r="C744" s="4"/>
      <c r="D744" s="4"/>
      <c r="P744">
        <f t="shared" si="1000"/>
        <v>0</v>
      </c>
      <c r="Q744">
        <f t="shared" si="1001"/>
        <v>0</v>
      </c>
      <c r="R744">
        <f t="shared" si="1002"/>
        <v>0</v>
      </c>
      <c r="S744">
        <f t="shared" si="1003"/>
        <v>0</v>
      </c>
      <c r="T744">
        <f t="shared" si="1004"/>
        <v>0</v>
      </c>
    </row>
    <row r="745" spans="1:20" x14ac:dyDescent="0.25">
      <c r="A745" s="5"/>
      <c r="C745" s="4"/>
      <c r="D745" s="4"/>
      <c r="P745">
        <f t="shared" si="1000"/>
        <v>0</v>
      </c>
      <c r="Q745">
        <f t="shared" si="1001"/>
        <v>0</v>
      </c>
      <c r="R745">
        <f t="shared" si="1002"/>
        <v>0</v>
      </c>
      <c r="S745">
        <f t="shared" si="1003"/>
        <v>0</v>
      </c>
      <c r="T745">
        <f t="shared" si="1004"/>
        <v>0</v>
      </c>
    </row>
    <row r="746" spans="1:20" x14ac:dyDescent="0.25">
      <c r="A746" s="5"/>
      <c r="C746" s="4"/>
      <c r="D746" s="4"/>
      <c r="P746">
        <f t="shared" si="1000"/>
        <v>0</v>
      </c>
      <c r="Q746">
        <f t="shared" si="1001"/>
        <v>0</v>
      </c>
      <c r="R746">
        <f t="shared" si="1002"/>
        <v>0</v>
      </c>
      <c r="S746">
        <f t="shared" si="1003"/>
        <v>0</v>
      </c>
      <c r="T746">
        <f t="shared" si="1004"/>
        <v>0</v>
      </c>
    </row>
    <row r="747" spans="1:20" x14ac:dyDescent="0.25">
      <c r="A747" s="5"/>
      <c r="C747" s="4"/>
      <c r="D747" s="4"/>
      <c r="P747">
        <f t="shared" si="1000"/>
        <v>0</v>
      </c>
      <c r="Q747">
        <f t="shared" si="1001"/>
        <v>0</v>
      </c>
      <c r="R747">
        <f t="shared" si="1002"/>
        <v>0</v>
      </c>
      <c r="S747">
        <f t="shared" si="1003"/>
        <v>0</v>
      </c>
      <c r="T747">
        <f t="shared" si="1004"/>
        <v>0</v>
      </c>
    </row>
    <row r="748" spans="1:20" x14ac:dyDescent="0.25">
      <c r="A748" s="5"/>
      <c r="C748" s="4"/>
      <c r="D748" s="4"/>
      <c r="P748">
        <f t="shared" si="1000"/>
        <v>0</v>
      </c>
      <c r="Q748">
        <f t="shared" si="1001"/>
        <v>0</v>
      </c>
      <c r="R748">
        <f t="shared" si="1002"/>
        <v>0</v>
      </c>
      <c r="S748">
        <f t="shared" si="1003"/>
        <v>0</v>
      </c>
      <c r="T748">
        <f t="shared" si="1004"/>
        <v>0</v>
      </c>
    </row>
    <row r="749" spans="1:20" x14ac:dyDescent="0.25">
      <c r="A749" s="5"/>
      <c r="C749" s="4"/>
      <c r="D749" s="4"/>
      <c r="P749">
        <f t="shared" si="1000"/>
        <v>0</v>
      </c>
      <c r="Q749">
        <f t="shared" si="1001"/>
        <v>0</v>
      </c>
      <c r="R749">
        <f t="shared" si="1002"/>
        <v>0</v>
      </c>
      <c r="S749">
        <f t="shared" si="1003"/>
        <v>0</v>
      </c>
      <c r="T749">
        <f t="shared" si="1004"/>
        <v>0</v>
      </c>
    </row>
    <row r="750" spans="1:20" x14ac:dyDescent="0.25">
      <c r="A750" s="5"/>
      <c r="C750" s="4"/>
      <c r="D750" s="4"/>
      <c r="P750">
        <f t="shared" si="1000"/>
        <v>0</v>
      </c>
      <c r="Q750">
        <f t="shared" si="1001"/>
        <v>0</v>
      </c>
      <c r="R750">
        <f t="shared" si="1002"/>
        <v>0</v>
      </c>
      <c r="S750">
        <f t="shared" si="1003"/>
        <v>0</v>
      </c>
      <c r="T750">
        <f t="shared" si="1004"/>
        <v>0</v>
      </c>
    </row>
    <row r="751" spans="1:20" x14ac:dyDescent="0.25">
      <c r="A751" s="5"/>
      <c r="C751" s="4"/>
      <c r="D751" s="4"/>
      <c r="P751">
        <f t="shared" si="1000"/>
        <v>0</v>
      </c>
      <c r="Q751">
        <f t="shared" si="1001"/>
        <v>0</v>
      </c>
      <c r="R751">
        <f t="shared" si="1002"/>
        <v>0</v>
      </c>
      <c r="S751">
        <f t="shared" si="1003"/>
        <v>0</v>
      </c>
      <c r="T751">
        <f t="shared" si="1004"/>
        <v>0</v>
      </c>
    </row>
    <row r="752" spans="1:20" x14ac:dyDescent="0.25">
      <c r="A752" s="5"/>
      <c r="C752" s="4"/>
      <c r="D752" s="4"/>
      <c r="P752">
        <f t="shared" si="1000"/>
        <v>0</v>
      </c>
      <c r="Q752">
        <f t="shared" si="1001"/>
        <v>0</v>
      </c>
      <c r="R752">
        <f t="shared" si="1002"/>
        <v>0</v>
      </c>
      <c r="S752">
        <f t="shared" si="1003"/>
        <v>0</v>
      </c>
      <c r="T752">
        <f t="shared" si="1004"/>
        <v>0</v>
      </c>
    </row>
    <row r="753" spans="1:20" x14ac:dyDescent="0.25">
      <c r="A753" s="5"/>
      <c r="C753" s="4"/>
      <c r="D753" s="4"/>
      <c r="P753">
        <f t="shared" si="1000"/>
        <v>0</v>
      </c>
      <c r="Q753">
        <f t="shared" si="1001"/>
        <v>0</v>
      </c>
      <c r="R753">
        <f t="shared" si="1002"/>
        <v>0</v>
      </c>
      <c r="S753">
        <f t="shared" si="1003"/>
        <v>0</v>
      </c>
      <c r="T753">
        <f t="shared" si="1004"/>
        <v>0</v>
      </c>
    </row>
    <row r="754" spans="1:20" x14ac:dyDescent="0.25">
      <c r="A754" s="5"/>
      <c r="C754" s="4"/>
      <c r="D754" s="4"/>
      <c r="P754">
        <f t="shared" si="1000"/>
        <v>0</v>
      </c>
      <c r="Q754">
        <f t="shared" si="1001"/>
        <v>0</v>
      </c>
      <c r="R754">
        <f t="shared" si="1002"/>
        <v>0</v>
      </c>
      <c r="S754">
        <f t="shared" si="1003"/>
        <v>0</v>
      </c>
      <c r="T754">
        <f t="shared" si="1004"/>
        <v>0</v>
      </c>
    </row>
    <row r="755" spans="1:20" x14ac:dyDescent="0.25">
      <c r="A755" s="5"/>
      <c r="C755" s="4"/>
      <c r="D755" s="4"/>
      <c r="P755">
        <f t="shared" si="1000"/>
        <v>0</v>
      </c>
      <c r="Q755">
        <f t="shared" si="1001"/>
        <v>0</v>
      </c>
      <c r="R755">
        <f t="shared" si="1002"/>
        <v>0</v>
      </c>
      <c r="S755">
        <f t="shared" si="1003"/>
        <v>0</v>
      </c>
      <c r="T755">
        <f t="shared" si="1004"/>
        <v>0</v>
      </c>
    </row>
    <row r="756" spans="1:20" x14ac:dyDescent="0.25">
      <c r="A756" s="5"/>
      <c r="C756" s="4"/>
      <c r="D756" s="4"/>
      <c r="P756">
        <f t="shared" si="1000"/>
        <v>0</v>
      </c>
      <c r="Q756">
        <f t="shared" si="1001"/>
        <v>0</v>
      </c>
      <c r="R756">
        <f t="shared" si="1002"/>
        <v>0</v>
      </c>
      <c r="S756">
        <f t="shared" si="1003"/>
        <v>0</v>
      </c>
      <c r="T756">
        <f t="shared" si="1004"/>
        <v>0</v>
      </c>
    </row>
    <row r="757" spans="1:20" x14ac:dyDescent="0.25">
      <c r="A757" s="5"/>
      <c r="C757" s="4"/>
      <c r="D757" s="4"/>
      <c r="P757">
        <f t="shared" si="1000"/>
        <v>0</v>
      </c>
      <c r="Q757">
        <f t="shared" si="1001"/>
        <v>0</v>
      </c>
      <c r="R757">
        <f t="shared" si="1002"/>
        <v>0</v>
      </c>
      <c r="S757">
        <f t="shared" si="1003"/>
        <v>0</v>
      </c>
      <c r="T757">
        <f t="shared" si="1004"/>
        <v>0</v>
      </c>
    </row>
    <row r="758" spans="1:20" x14ac:dyDescent="0.25">
      <c r="A758" s="5"/>
      <c r="C758" s="4"/>
      <c r="D758" s="4"/>
      <c r="P758">
        <f t="shared" si="1000"/>
        <v>0</v>
      </c>
      <c r="Q758">
        <f t="shared" si="1001"/>
        <v>0</v>
      </c>
      <c r="R758">
        <f t="shared" si="1002"/>
        <v>0</v>
      </c>
      <c r="S758">
        <f t="shared" si="1003"/>
        <v>0</v>
      </c>
      <c r="T758">
        <f t="shared" si="1004"/>
        <v>0</v>
      </c>
    </row>
    <row r="759" spans="1:20" x14ac:dyDescent="0.25">
      <c r="A759" s="5"/>
      <c r="C759" s="4"/>
      <c r="D759" s="4"/>
      <c r="P759">
        <f t="shared" si="1000"/>
        <v>0</v>
      </c>
      <c r="Q759">
        <f t="shared" si="1001"/>
        <v>0</v>
      </c>
      <c r="R759">
        <f t="shared" si="1002"/>
        <v>0</v>
      </c>
      <c r="S759">
        <f t="shared" si="1003"/>
        <v>0</v>
      </c>
      <c r="T759">
        <f t="shared" si="1004"/>
        <v>0</v>
      </c>
    </row>
    <row r="760" spans="1:20" x14ac:dyDescent="0.25">
      <c r="A760" s="5"/>
      <c r="C760" s="4"/>
      <c r="D760" s="4"/>
      <c r="P760">
        <f t="shared" si="1000"/>
        <v>0</v>
      </c>
      <c r="Q760">
        <f t="shared" si="1001"/>
        <v>0</v>
      </c>
      <c r="R760">
        <f t="shared" si="1002"/>
        <v>0</v>
      </c>
      <c r="S760">
        <f t="shared" si="1003"/>
        <v>0</v>
      </c>
      <c r="T760">
        <f t="shared" si="1004"/>
        <v>0</v>
      </c>
    </row>
    <row r="761" spans="1:20" x14ac:dyDescent="0.25">
      <c r="A761" s="5"/>
      <c r="C761" s="4"/>
      <c r="D761" s="4"/>
      <c r="P761">
        <f t="shared" si="1000"/>
        <v>0</v>
      </c>
      <c r="Q761">
        <f t="shared" si="1001"/>
        <v>0</v>
      </c>
      <c r="R761">
        <f t="shared" si="1002"/>
        <v>0</v>
      </c>
      <c r="S761">
        <f t="shared" si="1003"/>
        <v>0</v>
      </c>
      <c r="T761">
        <f t="shared" si="1004"/>
        <v>0</v>
      </c>
    </row>
    <row r="762" spans="1:20" x14ac:dyDescent="0.25">
      <c r="A762" s="5"/>
      <c r="C762" s="4"/>
      <c r="D762" s="4"/>
      <c r="P762">
        <f t="shared" si="1000"/>
        <v>0</v>
      </c>
      <c r="Q762">
        <f t="shared" si="1001"/>
        <v>0</v>
      </c>
      <c r="R762">
        <f t="shared" si="1002"/>
        <v>0</v>
      </c>
      <c r="S762">
        <f t="shared" si="1003"/>
        <v>0</v>
      </c>
      <c r="T762">
        <f t="shared" si="1004"/>
        <v>0</v>
      </c>
    </row>
    <row r="763" spans="1:20" x14ac:dyDescent="0.25">
      <c r="A763" s="5"/>
      <c r="C763" s="4"/>
      <c r="D763" s="4"/>
      <c r="P763">
        <f t="shared" si="1000"/>
        <v>0</v>
      </c>
      <c r="Q763">
        <f t="shared" si="1001"/>
        <v>0</v>
      </c>
      <c r="R763">
        <f t="shared" si="1002"/>
        <v>0</v>
      </c>
      <c r="S763">
        <f t="shared" si="1003"/>
        <v>0</v>
      </c>
      <c r="T763">
        <f t="shared" si="1004"/>
        <v>0</v>
      </c>
    </row>
    <row r="764" spans="1:20" x14ac:dyDescent="0.25">
      <c r="A764" s="5"/>
      <c r="C764" s="4"/>
      <c r="D764" s="4"/>
      <c r="P764">
        <f t="shared" si="1000"/>
        <v>0</v>
      </c>
      <c r="Q764">
        <f t="shared" si="1001"/>
        <v>0</v>
      </c>
      <c r="R764">
        <f t="shared" si="1002"/>
        <v>0</v>
      </c>
      <c r="S764">
        <f t="shared" si="1003"/>
        <v>0</v>
      </c>
      <c r="T764">
        <f t="shared" si="1004"/>
        <v>0</v>
      </c>
    </row>
    <row r="765" spans="1:20" x14ac:dyDescent="0.25">
      <c r="A765" s="5"/>
      <c r="C765" s="4"/>
      <c r="D765" s="4"/>
      <c r="P765">
        <f t="shared" si="1000"/>
        <v>0</v>
      </c>
      <c r="Q765">
        <f t="shared" si="1001"/>
        <v>0</v>
      </c>
      <c r="R765">
        <f t="shared" si="1002"/>
        <v>0</v>
      </c>
      <c r="S765">
        <f t="shared" si="1003"/>
        <v>0</v>
      </c>
      <c r="T765">
        <f t="shared" si="1004"/>
        <v>0</v>
      </c>
    </row>
    <row r="766" spans="1:20" x14ac:dyDescent="0.25">
      <c r="A766" s="5"/>
      <c r="C766" s="4"/>
      <c r="D766" s="4"/>
      <c r="P766">
        <f t="shared" si="1000"/>
        <v>0</v>
      </c>
      <c r="Q766">
        <f t="shared" si="1001"/>
        <v>0</v>
      </c>
      <c r="R766">
        <f t="shared" si="1002"/>
        <v>0</v>
      </c>
      <c r="S766">
        <f t="shared" si="1003"/>
        <v>0</v>
      </c>
      <c r="T766">
        <f t="shared" si="1004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H778" sqref="MH77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$A$777</v>
      </c>
      <c r="D111" s="1" t="str">
        <f>ADDRESS(C121-1,D121,1,1)</f>
        <v>$MH$777</v>
      </c>
      <c r="E111"/>
    </row>
    <row r="112" spans="1:5" x14ac:dyDescent="0.25">
      <c r="A112" s="7">
        <v>12164.144957890772</v>
      </c>
      <c r="C112" s="1" t="str">
        <f>ADDRESS(C121,1,1,1)</f>
        <v>$A$778</v>
      </c>
      <c r="D112" s="1" t="str">
        <f>ADDRESS(C121,D121-1,1,1)</f>
        <v>$MG$778</v>
      </c>
      <c r="E112"/>
    </row>
    <row r="113" spans="1:5" x14ac:dyDescent="0.25">
      <c r="A113" s="7">
        <v>11925.63231165762</v>
      </c>
      <c r="C113" s="1" t="str">
        <f>ADDRESS(C121+1,1,1,1)</f>
        <v>$A$779</v>
      </c>
      <c r="D113" s="1" t="str">
        <f>ADDRESS(C121-1,D121+1,1,1)</f>
        <v>$MI$777</v>
      </c>
    </row>
    <row r="114" spans="1:5" x14ac:dyDescent="0.25">
      <c r="A114" s="7">
        <v>11691.796383978059</v>
      </c>
      <c r="C114" s="1" t="str">
        <f>ADDRESS(C121,D121,1,1)</f>
        <v>$MH$778</v>
      </c>
      <c r="D114" s="1" t="str">
        <f>ADDRESS(C121+1,D121+1,1,1)</f>
        <v>$MI$779</v>
      </c>
    </row>
    <row r="115" spans="1:5" x14ac:dyDescent="0.25">
      <c r="A115" s="7">
        <v>11462.545474488292</v>
      </c>
      <c r="C115" s="1" t="str">
        <f>ADDRESS(C121+1,D121,1,1)</f>
        <v>$MH$779</v>
      </c>
    </row>
    <row r="116" spans="1:5" x14ac:dyDescent="0.25">
      <c r="A116" s="7">
        <v>11237.789680870874</v>
      </c>
      <c r="C116" s="1">
        <f>C117-1</f>
        <v>777</v>
      </c>
    </row>
    <row r="117" spans="1:5" x14ac:dyDescent="0.25">
      <c r="A117" s="7">
        <v>11017.440863598895</v>
      </c>
      <c r="C117" s="1">
        <f>C121</f>
        <v>778</v>
      </c>
      <c r="D117" s="1">
        <f>D121</f>
        <v>346</v>
      </c>
    </row>
    <row r="118" spans="1:5" x14ac:dyDescent="0.25">
      <c r="A118" s="7">
        <v>10801.412611371465</v>
      </c>
      <c r="C118" s="1">
        <f>C117+1</f>
        <v>779</v>
      </c>
      <c r="D118" s="1">
        <f>D117+1</f>
        <v>347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778</v>
      </c>
      <c r="D121" s="19">
        <v>346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R778</v>
      </c>
      <c r="D123" s="1" t="str">
        <f>"C"&amp;D121</f>
        <v>C346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2.2770218259150519E-2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220" x14ac:dyDescent="0.25">
      <c r="A673" s="7">
        <v>0.18213156881997963</v>
      </c>
      <c r="B673"/>
      <c r="C673"/>
      <c r="D673"/>
      <c r="E673"/>
      <c r="F673" s="27" t="s">
        <v>7</v>
      </c>
    </row>
    <row r="674" spans="1:220" x14ac:dyDescent="0.25">
      <c r="A674" s="7">
        <v>0.17856036158821534</v>
      </c>
      <c r="B674"/>
      <c r="C674"/>
      <c r="D674"/>
      <c r="E674"/>
      <c r="F674" s="27" t="s">
        <v>7</v>
      </c>
    </row>
    <row r="675" spans="1:220" x14ac:dyDescent="0.25">
      <c r="A675" s="7">
        <v>0.17505917802766208</v>
      </c>
      <c r="B675"/>
      <c r="C675"/>
      <c r="D675"/>
      <c r="E675"/>
      <c r="F675" s="27" t="s">
        <v>7</v>
      </c>
    </row>
    <row r="676" spans="1:220" x14ac:dyDescent="0.25">
      <c r="A676" s="7">
        <v>0.17162664512515888</v>
      </c>
      <c r="B676"/>
      <c r="C676"/>
      <c r="D676"/>
      <c r="E676"/>
      <c r="F676" s="27" t="s">
        <v>7</v>
      </c>
      <c r="GW676" s="27" t="s">
        <v>8</v>
      </c>
    </row>
    <row r="677" spans="1:220" x14ac:dyDescent="0.25">
      <c r="A677" s="7">
        <v>0.16826141678937145</v>
      </c>
      <c r="B677"/>
      <c r="C677"/>
      <c r="D677"/>
      <c r="E677"/>
      <c r="F677" s="27" t="s">
        <v>7</v>
      </c>
      <c r="GW677" s="27" t="s">
        <v>8</v>
      </c>
      <c r="GX677" s="27" t="s">
        <v>7</v>
      </c>
    </row>
    <row r="678" spans="1:220" x14ac:dyDescent="0.25">
      <c r="A678" s="7">
        <v>0.16496217332291319</v>
      </c>
      <c r="B678"/>
      <c r="C678"/>
      <c r="D678"/>
      <c r="E678"/>
      <c r="F678" s="27" t="s">
        <v>7</v>
      </c>
      <c r="GW678" s="27" t="s">
        <v>8</v>
      </c>
      <c r="GX678" s="27" t="s">
        <v>7</v>
      </c>
    </row>
    <row r="679" spans="1:220" x14ac:dyDescent="0.25">
      <c r="A679" s="7">
        <v>0.16172762090481685</v>
      </c>
      <c r="B679"/>
      <c r="C679"/>
      <c r="D679"/>
      <c r="E679"/>
      <c r="F679" s="27" t="s">
        <v>7</v>
      </c>
      <c r="GW679" s="27" t="s">
        <v>8</v>
      </c>
      <c r="GX679" s="27" t="s">
        <v>7</v>
      </c>
    </row>
    <row r="680" spans="1:220" x14ac:dyDescent="0.25">
      <c r="A680" s="7">
        <v>0.15855649108315376</v>
      </c>
      <c r="B680"/>
      <c r="C680"/>
      <c r="D680"/>
      <c r="E680"/>
      <c r="F680" s="27" t="s">
        <v>7</v>
      </c>
      <c r="GO680" s="27" t="s">
        <v>8</v>
      </c>
      <c r="GW680" s="27" t="s">
        <v>8</v>
      </c>
      <c r="GX680" s="27" t="s">
        <v>7</v>
      </c>
    </row>
    <row r="681" spans="1:220" x14ac:dyDescent="0.25">
      <c r="A681" s="7">
        <v>0.15544754027760171</v>
      </c>
      <c r="B681"/>
      <c r="C681"/>
      <c r="D681"/>
      <c r="E681"/>
      <c r="F681" s="27" t="s">
        <v>7</v>
      </c>
      <c r="GO681" s="27" t="s">
        <v>8</v>
      </c>
      <c r="GP681" s="27" t="s">
        <v>7</v>
      </c>
      <c r="GW681" s="27" t="s">
        <v>8</v>
      </c>
      <c r="GX681" s="27" t="s">
        <v>7</v>
      </c>
      <c r="HK681" s="27" t="s">
        <v>8</v>
      </c>
    </row>
    <row r="682" spans="1:220" x14ac:dyDescent="0.25">
      <c r="A682" s="7">
        <v>0.15239954929176638</v>
      </c>
      <c r="B682"/>
      <c r="C682"/>
      <c r="D682"/>
      <c r="E682"/>
      <c r="F682" s="27" t="s">
        <v>7</v>
      </c>
      <c r="GO682" s="27" t="s">
        <v>8</v>
      </c>
      <c r="GP682" s="27" t="s">
        <v>7</v>
      </c>
      <c r="GW682" s="27" t="s">
        <v>8</v>
      </c>
      <c r="GX682" s="27" t="s">
        <v>7</v>
      </c>
      <c r="HK682" s="27" t="s">
        <v>8</v>
      </c>
      <c r="HL682" s="27" t="s">
        <v>7</v>
      </c>
    </row>
    <row r="683" spans="1:220" x14ac:dyDescent="0.25">
      <c r="A683" s="7">
        <v>0.14941132283506509</v>
      </c>
      <c r="B683"/>
      <c r="C683"/>
      <c r="D683"/>
      <c r="E683"/>
      <c r="F683" s="27" t="s">
        <v>7</v>
      </c>
      <c r="GO683" s="27" t="s">
        <v>8</v>
      </c>
      <c r="GP683" s="27" t="s">
        <v>7</v>
      </c>
      <c r="GW683" s="27" t="s">
        <v>8</v>
      </c>
      <c r="GX683" s="27" t="s">
        <v>7</v>
      </c>
      <c r="HK683" s="27" t="s">
        <v>8</v>
      </c>
      <c r="HL683" s="27" t="s">
        <v>7</v>
      </c>
    </row>
    <row r="684" spans="1:220" x14ac:dyDescent="0.25">
      <c r="A684" s="7">
        <v>0.14648168905398537</v>
      </c>
      <c r="B684"/>
      <c r="C684"/>
      <c r="D684"/>
      <c r="E684"/>
      <c r="F684" s="27" t="s">
        <v>7</v>
      </c>
      <c r="GO684" s="27" t="s">
        <v>8</v>
      </c>
      <c r="GP684" s="27" t="s">
        <v>7</v>
      </c>
      <c r="GW684" s="27" t="s">
        <v>8</v>
      </c>
      <c r="GX684" s="27" t="s">
        <v>7</v>
      </c>
      <c r="HK684" s="27" t="s">
        <v>8</v>
      </c>
      <c r="HL684" s="27" t="s">
        <v>7</v>
      </c>
    </row>
    <row r="685" spans="1:220" x14ac:dyDescent="0.25">
      <c r="A685" s="7">
        <v>0.14360949907253467</v>
      </c>
      <c r="B685"/>
      <c r="C685"/>
      <c r="D685"/>
      <c r="E685"/>
      <c r="F685" s="27" t="s">
        <v>7</v>
      </c>
      <c r="GO685" s="27" t="s">
        <v>8</v>
      </c>
      <c r="GP685" s="27" t="s">
        <v>7</v>
      </c>
      <c r="GW685" s="27" t="s">
        <v>8</v>
      </c>
      <c r="GX685" s="27" t="s">
        <v>7</v>
      </c>
      <c r="HK685" s="27" t="s">
        <v>8</v>
      </c>
      <c r="HL685" s="27" t="s">
        <v>7</v>
      </c>
    </row>
    <row r="686" spans="1:220" x14ac:dyDescent="0.25">
      <c r="A686" s="7">
        <v>0.14079362654170066</v>
      </c>
      <c r="B686"/>
      <c r="C686"/>
      <c r="D686"/>
      <c r="E686"/>
      <c r="F686" s="27" t="s">
        <v>7</v>
      </c>
      <c r="GO686" s="27" t="s">
        <v>8</v>
      </c>
      <c r="GP686" s="27" t="s">
        <v>7</v>
      </c>
      <c r="GW686" s="27" t="s">
        <v>8</v>
      </c>
      <c r="GX686" s="27" t="s">
        <v>7</v>
      </c>
      <c r="HK686" s="27" t="s">
        <v>8</v>
      </c>
      <c r="HL686" s="27" t="s">
        <v>7</v>
      </c>
    </row>
    <row r="687" spans="1:220" x14ac:dyDescent="0.25">
      <c r="A687" s="7">
        <v>0.13803296719774574</v>
      </c>
      <c r="B687"/>
      <c r="C687"/>
      <c r="D687"/>
      <c r="E687"/>
      <c r="F687" s="27" t="s">
        <v>7</v>
      </c>
      <c r="GO687" s="27" t="s">
        <v>8</v>
      </c>
      <c r="GP687" s="27" t="s">
        <v>7</v>
      </c>
      <c r="GW687" s="27" t="s">
        <v>8</v>
      </c>
      <c r="GX687" s="27" t="s">
        <v>7</v>
      </c>
      <c r="HK687" s="27" t="s">
        <v>8</v>
      </c>
      <c r="HL687" s="27" t="s">
        <v>7</v>
      </c>
    </row>
    <row r="688" spans="1:220" x14ac:dyDescent="0.25">
      <c r="A688" s="7">
        <v>0.1353264384291625</v>
      </c>
      <c r="B688"/>
      <c r="C688"/>
      <c r="D688"/>
      <c r="E688"/>
      <c r="F688" s="27" t="s">
        <v>7</v>
      </c>
      <c r="GO688" s="27" t="s">
        <v>8</v>
      </c>
      <c r="GP688" s="27" t="s">
        <v>7</v>
      </c>
      <c r="GU688" s="27" t="s">
        <v>8</v>
      </c>
      <c r="GW688" s="27" t="s">
        <v>8</v>
      </c>
      <c r="GX688" s="27" t="s">
        <v>7</v>
      </c>
      <c r="HG688" s="27" t="s">
        <v>8</v>
      </c>
      <c r="HK688" s="27" t="s">
        <v>8</v>
      </c>
      <c r="HL688" s="27" t="s">
        <v>7</v>
      </c>
    </row>
    <row r="689" spans="1:228" x14ac:dyDescent="0.25">
      <c r="A689" s="7">
        <v>0.13267297885212009</v>
      </c>
      <c r="B689"/>
      <c r="C689"/>
      <c r="D689"/>
      <c r="E689"/>
      <c r="F689" s="27" t="s">
        <v>7</v>
      </c>
      <c r="GO689" s="27" t="s">
        <v>8</v>
      </c>
      <c r="GP689" s="27" t="s">
        <v>7</v>
      </c>
      <c r="GQ689" s="27" t="s">
        <v>8</v>
      </c>
      <c r="GS689" s="27" t="s">
        <v>8</v>
      </c>
      <c r="GU689" s="27" t="s">
        <v>8</v>
      </c>
      <c r="GV689" s="27" t="s">
        <v>7</v>
      </c>
      <c r="GW689" s="27" t="s">
        <v>8</v>
      </c>
      <c r="GX689" s="27" t="s">
        <v>7</v>
      </c>
      <c r="HG689" s="27" t="s">
        <v>8</v>
      </c>
      <c r="HH689" s="27" t="s">
        <v>7</v>
      </c>
      <c r="HI689" s="27" t="s">
        <v>8</v>
      </c>
      <c r="HK689" s="27" t="s">
        <v>8</v>
      </c>
      <c r="HL689" s="27" t="s">
        <v>7</v>
      </c>
    </row>
    <row r="690" spans="1:228" x14ac:dyDescent="0.25">
      <c r="A690" s="7">
        <v>0.13007154789423539</v>
      </c>
      <c r="B690"/>
      <c r="C690"/>
      <c r="D690"/>
      <c r="E690"/>
      <c r="F690" s="27" t="s">
        <v>7</v>
      </c>
      <c r="GO690" s="27" t="s">
        <v>8</v>
      </c>
      <c r="GP690" s="27" t="s">
        <v>7</v>
      </c>
      <c r="GQ690" s="27" t="s">
        <v>8</v>
      </c>
      <c r="GR690" s="27" t="s">
        <v>7</v>
      </c>
      <c r="GS690" s="27" t="s">
        <v>8</v>
      </c>
      <c r="GT690" s="27" t="s">
        <v>7</v>
      </c>
      <c r="GU690" s="27" t="s">
        <v>8</v>
      </c>
      <c r="GV690" s="27" t="s">
        <v>7</v>
      </c>
      <c r="GW690" s="27" t="s">
        <v>8</v>
      </c>
      <c r="GX690" s="27" t="s">
        <v>7</v>
      </c>
      <c r="HG690" s="27" t="s">
        <v>8</v>
      </c>
      <c r="HH690" s="27" t="s">
        <v>7</v>
      </c>
      <c r="HI690" s="27" t="s">
        <v>8</v>
      </c>
      <c r="HJ690" s="27" t="s">
        <v>7</v>
      </c>
      <c r="HK690" s="27" t="s">
        <v>8</v>
      </c>
      <c r="HL690" s="27" t="s">
        <v>7</v>
      </c>
    </row>
    <row r="691" spans="1:228" x14ac:dyDescent="0.25">
      <c r="A691" s="7">
        <v>0.12752112538650529</v>
      </c>
      <c r="B691"/>
      <c r="C691"/>
      <c r="D691"/>
      <c r="E691"/>
      <c r="F691" s="27" t="s">
        <v>7</v>
      </c>
      <c r="GO691" s="27" t="s">
        <v>8</v>
      </c>
      <c r="GP691" s="27" t="s">
        <v>7</v>
      </c>
      <c r="GQ691" s="27" t="s">
        <v>8</v>
      </c>
      <c r="GR691" s="27" t="s">
        <v>7</v>
      </c>
      <c r="GS691" s="27" t="s">
        <v>8</v>
      </c>
      <c r="GT691" s="27" t="s">
        <v>7</v>
      </c>
      <c r="GU691" s="27" t="s">
        <v>8</v>
      </c>
      <c r="GV691" s="27" t="s">
        <v>7</v>
      </c>
      <c r="GW691" s="27" t="s">
        <v>8</v>
      </c>
      <c r="GX691" s="27" t="s">
        <v>7</v>
      </c>
      <c r="GY691" s="27" t="s">
        <v>8</v>
      </c>
      <c r="HE691" s="27" t="s">
        <v>8</v>
      </c>
      <c r="HG691" s="27" t="s">
        <v>8</v>
      </c>
      <c r="HH691" s="27" t="s">
        <v>7</v>
      </c>
      <c r="HI691" s="27" t="s">
        <v>8</v>
      </c>
      <c r="HJ691" s="27" t="s">
        <v>7</v>
      </c>
      <c r="HK691" s="27" t="s">
        <v>8</v>
      </c>
      <c r="HL691" s="27" t="s">
        <v>7</v>
      </c>
    </row>
    <row r="692" spans="1:228" x14ac:dyDescent="0.25">
      <c r="A692" s="7">
        <v>0.12502071116324048</v>
      </c>
      <c r="B692"/>
      <c r="C692"/>
      <c r="D692"/>
      <c r="E692"/>
      <c r="F692" s="27" t="s">
        <v>7</v>
      </c>
      <c r="GM692" s="27" t="s">
        <v>8</v>
      </c>
      <c r="GO692" s="27" t="s">
        <v>8</v>
      </c>
      <c r="GP692" s="27" t="s">
        <v>7</v>
      </c>
      <c r="GQ692" s="27" t="s">
        <v>8</v>
      </c>
      <c r="GR692" s="27" t="s">
        <v>7</v>
      </c>
      <c r="GS692" s="27" t="s">
        <v>8</v>
      </c>
      <c r="GT692" s="27" t="s">
        <v>7</v>
      </c>
      <c r="GU692" s="27" t="s">
        <v>8</v>
      </c>
      <c r="GV692" s="27" t="s">
        <v>7</v>
      </c>
      <c r="GX692" s="27" t="s">
        <v>7</v>
      </c>
      <c r="GY692" s="27" t="s">
        <v>8</v>
      </c>
      <c r="GZ692" s="27" t="s">
        <v>7</v>
      </c>
      <c r="HA692" s="27" t="s">
        <v>8</v>
      </c>
      <c r="HE692" s="27" t="s">
        <v>8</v>
      </c>
      <c r="HF692" s="27" t="s">
        <v>7</v>
      </c>
      <c r="HG692" s="27" t="s">
        <v>8</v>
      </c>
      <c r="HH692" s="27" t="s">
        <v>7</v>
      </c>
      <c r="HI692" s="27" t="s">
        <v>8</v>
      </c>
      <c r="HJ692" s="27" t="s">
        <v>7</v>
      </c>
      <c r="HK692" s="27" t="s">
        <v>8</v>
      </c>
      <c r="HL692" s="27" t="s">
        <v>7</v>
      </c>
    </row>
    <row r="693" spans="1:228" x14ac:dyDescent="0.25">
      <c r="A693" s="7">
        <v>0.1225693246698436</v>
      </c>
      <c r="B693"/>
      <c r="C693"/>
      <c r="D693"/>
      <c r="E693"/>
      <c r="F693" s="27" t="s">
        <v>7</v>
      </c>
      <c r="GM693" s="27" t="s">
        <v>8</v>
      </c>
      <c r="GN693" s="27" t="s">
        <v>7</v>
      </c>
      <c r="GO693" s="27" t="s">
        <v>8</v>
      </c>
      <c r="GP693" s="27" t="s">
        <v>7</v>
      </c>
      <c r="GQ693" s="27" t="s">
        <v>8</v>
      </c>
      <c r="GR693" s="27" t="s">
        <v>7</v>
      </c>
      <c r="GS693" s="27" t="s">
        <v>8</v>
      </c>
      <c r="GT693" s="27" t="s">
        <v>7</v>
      </c>
      <c r="GU693" s="27" t="s">
        <v>8</v>
      </c>
      <c r="GX693" s="27" t="s">
        <v>7</v>
      </c>
      <c r="GY693" s="27" t="s">
        <v>8</v>
      </c>
      <c r="GZ693" s="27" t="s">
        <v>7</v>
      </c>
      <c r="HA693" s="27" t="s">
        <v>8</v>
      </c>
      <c r="HB693" s="27" t="s">
        <v>7</v>
      </c>
      <c r="HE693" s="27" t="s">
        <v>8</v>
      </c>
      <c r="HF693" s="27" t="s">
        <v>7</v>
      </c>
      <c r="HG693" s="27" t="s">
        <v>8</v>
      </c>
      <c r="HH693" s="27" t="s">
        <v>7</v>
      </c>
      <c r="HI693" s="27" t="s">
        <v>8</v>
      </c>
      <c r="HJ693" s="27" t="s">
        <v>7</v>
      </c>
      <c r="HK693" s="27" t="s">
        <v>8</v>
      </c>
      <c r="HL693" s="27" t="s">
        <v>7</v>
      </c>
    </row>
    <row r="694" spans="1:228" x14ac:dyDescent="0.25">
      <c r="A694" s="7">
        <v>0.12016600457827803</v>
      </c>
      <c r="B694"/>
      <c r="C694"/>
      <c r="D694"/>
      <c r="E694"/>
      <c r="F694" s="27" t="s">
        <v>7</v>
      </c>
      <c r="GM694" s="27" t="s">
        <v>8</v>
      </c>
      <c r="GN694" s="27" t="s">
        <v>7</v>
      </c>
      <c r="GO694" s="27" t="s">
        <v>8</v>
      </c>
      <c r="GP694" s="27" t="s">
        <v>7</v>
      </c>
      <c r="GQ694" s="27" t="s">
        <v>8</v>
      </c>
      <c r="GR694" s="27" t="s">
        <v>7</v>
      </c>
      <c r="GT694" s="27" t="s">
        <v>7</v>
      </c>
      <c r="GU694" s="27" t="s">
        <v>8</v>
      </c>
      <c r="GX694" s="27" t="s">
        <v>7</v>
      </c>
      <c r="GY694" s="27" t="s">
        <v>8</v>
      </c>
      <c r="GZ694" s="27" t="s">
        <v>7</v>
      </c>
      <c r="HA694" s="27" t="s">
        <v>8</v>
      </c>
      <c r="HB694" s="27" t="s">
        <v>7</v>
      </c>
      <c r="HE694" s="27" t="s">
        <v>8</v>
      </c>
      <c r="HF694" s="27" t="s">
        <v>7</v>
      </c>
      <c r="HG694" s="27" t="s">
        <v>8</v>
      </c>
      <c r="HH694" s="27" t="s">
        <v>7</v>
      </c>
      <c r="HJ694" s="27" t="s">
        <v>7</v>
      </c>
      <c r="HK694" s="27" t="s">
        <v>8</v>
      </c>
      <c r="HL694" s="27" t="s">
        <v>7</v>
      </c>
      <c r="HM694" s="27" t="s">
        <v>8</v>
      </c>
      <c r="HQ694" s="27" t="s">
        <v>8</v>
      </c>
    </row>
    <row r="695" spans="1:228" x14ac:dyDescent="0.25">
      <c r="A695" s="7">
        <v>0.1178098084100765</v>
      </c>
      <c r="B695"/>
      <c r="C695"/>
      <c r="D695"/>
      <c r="E695"/>
      <c r="F695" s="27" t="s">
        <v>7</v>
      </c>
      <c r="GM695" s="27" t="s">
        <v>8</v>
      </c>
      <c r="GN695" s="27" t="s">
        <v>7</v>
      </c>
      <c r="GO695" s="27" t="s">
        <v>8</v>
      </c>
      <c r="GP695" s="27" t="s">
        <v>7</v>
      </c>
      <c r="GQ695" s="27" t="s">
        <v>8</v>
      </c>
      <c r="GT695" s="27" t="s">
        <v>7</v>
      </c>
      <c r="GU695" s="27" t="s">
        <v>8</v>
      </c>
      <c r="GX695" s="27" t="s">
        <v>7</v>
      </c>
      <c r="GY695" s="27" t="s">
        <v>8</v>
      </c>
      <c r="GZ695" s="27" t="s">
        <v>7</v>
      </c>
      <c r="HA695" s="27" t="s">
        <v>8</v>
      </c>
      <c r="HB695" s="27" t="s">
        <v>7</v>
      </c>
      <c r="HE695" s="27" t="s">
        <v>8</v>
      </c>
      <c r="HF695" s="27" t="s">
        <v>7</v>
      </c>
      <c r="HG695" s="27" t="s">
        <v>8</v>
      </c>
      <c r="HJ695" s="27" t="s">
        <v>7</v>
      </c>
      <c r="HK695" s="27" t="s">
        <v>8</v>
      </c>
      <c r="HL695" s="27" t="s">
        <v>7</v>
      </c>
      <c r="HM695" s="27" t="s">
        <v>8</v>
      </c>
      <c r="HN695" s="27" t="s">
        <v>7</v>
      </c>
      <c r="HQ695" s="27" t="s">
        <v>8</v>
      </c>
      <c r="HR695" s="27" t="s">
        <v>7</v>
      </c>
    </row>
    <row r="696" spans="1:228" x14ac:dyDescent="0.25">
      <c r="A696" s="7">
        <v>0.11549981216674166</v>
      </c>
      <c r="B696"/>
      <c r="C696"/>
      <c r="D696"/>
      <c r="E696"/>
      <c r="F696" s="27" t="s">
        <v>7</v>
      </c>
      <c r="GM696" s="27" t="s">
        <v>8</v>
      </c>
      <c r="GN696" s="27" t="s">
        <v>7</v>
      </c>
      <c r="GO696" s="27" t="s">
        <v>8</v>
      </c>
      <c r="GP696" s="27" t="s">
        <v>7</v>
      </c>
      <c r="GQ696" s="27" t="s">
        <v>8</v>
      </c>
      <c r="GT696" s="27" t="s">
        <v>7</v>
      </c>
      <c r="GX696" s="27" t="s">
        <v>7</v>
      </c>
      <c r="GY696" s="27" t="s">
        <v>8</v>
      </c>
      <c r="GZ696" s="27" t="s">
        <v>7</v>
      </c>
      <c r="HA696" s="27" t="s">
        <v>8</v>
      </c>
      <c r="HB696" s="27" t="s">
        <v>7</v>
      </c>
      <c r="HE696" s="27" t="s">
        <v>8</v>
      </c>
      <c r="HF696" s="27" t="s">
        <v>7</v>
      </c>
      <c r="HG696" s="27" t="s">
        <v>8</v>
      </c>
      <c r="HJ696" s="27" t="s">
        <v>7</v>
      </c>
      <c r="HK696" s="27" t="s">
        <v>8</v>
      </c>
      <c r="HL696" s="27" t="s">
        <v>7</v>
      </c>
      <c r="HM696" s="27" t="s">
        <v>8</v>
      </c>
      <c r="HN696" s="27" t="s">
        <v>7</v>
      </c>
      <c r="HQ696" s="27" t="s">
        <v>8</v>
      </c>
      <c r="HR696" s="27" t="s">
        <v>7</v>
      </c>
    </row>
    <row r="697" spans="1:228" x14ac:dyDescent="0.25">
      <c r="A697" s="7">
        <v>0.11323510996739378</v>
      </c>
      <c r="B697"/>
      <c r="C697"/>
      <c r="D697"/>
      <c r="E697"/>
      <c r="F697" s="27" t="s">
        <v>7</v>
      </c>
      <c r="GM697" s="27" t="s">
        <v>8</v>
      </c>
      <c r="GN697" s="27" t="s">
        <v>7</v>
      </c>
      <c r="GO697" s="27" t="s">
        <v>8</v>
      </c>
      <c r="GP697" s="27" t="s">
        <v>7</v>
      </c>
      <c r="GQ697" s="27" t="s">
        <v>8</v>
      </c>
      <c r="GX697" s="27" t="s">
        <v>7</v>
      </c>
      <c r="GY697" s="27" t="s">
        <v>8</v>
      </c>
      <c r="GZ697" s="27" t="s">
        <v>7</v>
      </c>
      <c r="HA697" s="27" t="s">
        <v>8</v>
      </c>
      <c r="HB697" s="27" t="s">
        <v>7</v>
      </c>
      <c r="HE697" s="27" t="s">
        <v>8</v>
      </c>
      <c r="HF697" s="27" t="s">
        <v>7</v>
      </c>
      <c r="HG697" s="27" t="s">
        <v>8</v>
      </c>
      <c r="HJ697" s="27" t="s">
        <v>7</v>
      </c>
      <c r="HK697" s="27" t="s">
        <v>8</v>
      </c>
      <c r="HL697" s="27" t="s">
        <v>7</v>
      </c>
      <c r="HM697" s="27" t="s">
        <v>8</v>
      </c>
      <c r="HN697" s="27" t="s">
        <v>7</v>
      </c>
      <c r="HQ697" s="27" t="s">
        <v>8</v>
      </c>
      <c r="HR697" s="27" t="s">
        <v>7</v>
      </c>
    </row>
    <row r="698" spans="1:228" x14ac:dyDescent="0.25">
      <c r="A698" s="7">
        <v>0.11101481369352331</v>
      </c>
      <c r="B698"/>
      <c r="C698"/>
      <c r="D698"/>
      <c r="E698"/>
      <c r="F698" s="27" t="s">
        <v>7</v>
      </c>
      <c r="GM698" s="27" t="s">
        <v>8</v>
      </c>
      <c r="GN698" s="27" t="s">
        <v>7</v>
      </c>
      <c r="GO698" s="27" t="s">
        <v>8</v>
      </c>
      <c r="GP698" s="27" t="s">
        <v>7</v>
      </c>
      <c r="GQ698" s="27" t="s">
        <v>8</v>
      </c>
      <c r="GX698" s="27" t="s">
        <v>7</v>
      </c>
      <c r="GY698" s="27" t="s">
        <v>8</v>
      </c>
      <c r="GZ698" s="27" t="s">
        <v>7</v>
      </c>
      <c r="HA698" s="27" t="s">
        <v>8</v>
      </c>
      <c r="HB698" s="27" t="s">
        <v>7</v>
      </c>
      <c r="HE698" s="27" t="s">
        <v>8</v>
      </c>
      <c r="HF698" s="27" t="s">
        <v>7</v>
      </c>
      <c r="HG698" s="27" t="s">
        <v>8</v>
      </c>
      <c r="HJ698" s="27" t="s">
        <v>7</v>
      </c>
      <c r="HK698" s="27" t="s">
        <v>8</v>
      </c>
      <c r="HL698" s="27" t="s">
        <v>7</v>
      </c>
      <c r="HM698" s="27" t="s">
        <v>8</v>
      </c>
      <c r="HN698" s="27" t="s">
        <v>7</v>
      </c>
      <c r="HQ698" s="27" t="s">
        <v>8</v>
      </c>
      <c r="HR698" s="27" t="s">
        <v>7</v>
      </c>
    </row>
    <row r="699" spans="1:228" x14ac:dyDescent="0.25">
      <c r="A699" s="7">
        <v>0.10883805264070913</v>
      </c>
      <c r="B699"/>
      <c r="C699"/>
      <c r="D699"/>
      <c r="E699"/>
      <c r="F699" s="27" t="s">
        <v>7</v>
      </c>
      <c r="GM699" s="27" t="s">
        <v>8</v>
      </c>
      <c r="GN699" s="27" t="s">
        <v>7</v>
      </c>
      <c r="GO699" s="27" t="s">
        <v>8</v>
      </c>
      <c r="GP699" s="27" t="s">
        <v>7</v>
      </c>
      <c r="GQ699" s="27" t="s">
        <v>8</v>
      </c>
      <c r="GX699" s="27" t="s">
        <v>7</v>
      </c>
      <c r="GY699" s="27" t="s">
        <v>8</v>
      </c>
      <c r="GZ699" s="27" t="s">
        <v>7</v>
      </c>
      <c r="HA699" s="27" t="s">
        <v>8</v>
      </c>
      <c r="HB699" s="27" t="s">
        <v>7</v>
      </c>
      <c r="HE699" s="27" t="s">
        <v>8</v>
      </c>
      <c r="HF699" s="27" t="s">
        <v>7</v>
      </c>
      <c r="HG699" s="27" t="s">
        <v>8</v>
      </c>
      <c r="HJ699" s="27" t="s">
        <v>7</v>
      </c>
      <c r="HK699" s="27" t="s">
        <v>8</v>
      </c>
      <c r="HL699" s="27" t="s">
        <v>7</v>
      </c>
      <c r="HM699" s="27" t="s">
        <v>8</v>
      </c>
      <c r="HN699" s="27" t="s">
        <v>7</v>
      </c>
      <c r="HO699" s="27" t="s">
        <v>8</v>
      </c>
      <c r="HQ699" s="27" t="s">
        <v>8</v>
      </c>
      <c r="HR699" s="27" t="s">
        <v>7</v>
      </c>
    </row>
    <row r="700" spans="1:228" x14ac:dyDescent="0.25">
      <c r="A700" s="7">
        <v>0.10670397317716582</v>
      </c>
      <c r="B700"/>
      <c r="C700"/>
      <c r="D700"/>
      <c r="E700"/>
      <c r="F700" s="27" t="s">
        <v>7</v>
      </c>
      <c r="GM700" s="27" t="s">
        <v>8</v>
      </c>
      <c r="GN700" s="27" t="s">
        <v>7</v>
      </c>
      <c r="GO700" s="27" t="s">
        <v>8</v>
      </c>
      <c r="GP700" s="27" t="s">
        <v>7</v>
      </c>
      <c r="GQ700" s="27" t="s">
        <v>8</v>
      </c>
      <c r="GX700" s="27" t="s">
        <v>7</v>
      </c>
      <c r="GY700" s="27" t="s">
        <v>8</v>
      </c>
      <c r="GZ700" s="27" t="s">
        <v>7</v>
      </c>
      <c r="HA700" s="27" t="s">
        <v>8</v>
      </c>
      <c r="HB700" s="27" t="s">
        <v>7</v>
      </c>
      <c r="HE700" s="27" t="s">
        <v>8</v>
      </c>
      <c r="HF700" s="27" t="s">
        <v>7</v>
      </c>
      <c r="HJ700" s="27" t="s">
        <v>7</v>
      </c>
      <c r="HL700" s="27" t="s">
        <v>7</v>
      </c>
      <c r="HM700" s="27" t="s">
        <v>8</v>
      </c>
      <c r="HN700" s="27" t="s">
        <v>7</v>
      </c>
      <c r="HO700" s="27" t="s">
        <v>8</v>
      </c>
      <c r="HP700" s="27" t="s">
        <v>7</v>
      </c>
      <c r="HQ700" s="27" t="s">
        <v>8</v>
      </c>
      <c r="HR700" s="27" t="s">
        <v>7</v>
      </c>
    </row>
    <row r="701" spans="1:228" x14ac:dyDescent="0.25">
      <c r="A701" s="7">
        <v>0.1046117384089861</v>
      </c>
      <c r="B701"/>
      <c r="C701"/>
      <c r="D701"/>
      <c r="E701"/>
      <c r="F701" s="27" t="s">
        <v>7</v>
      </c>
      <c r="GM701" s="27" t="s">
        <v>8</v>
      </c>
      <c r="GN701" s="27" t="s">
        <v>7</v>
      </c>
      <c r="GO701" s="27" t="s">
        <v>8</v>
      </c>
      <c r="GP701" s="27" t="s">
        <v>7</v>
      </c>
      <c r="GX701" s="27" t="s">
        <v>7</v>
      </c>
      <c r="GY701" s="27" t="s">
        <v>8</v>
      </c>
      <c r="GZ701" s="27" t="s">
        <v>7</v>
      </c>
      <c r="HA701" s="27" t="s">
        <v>8</v>
      </c>
      <c r="HB701" s="27" t="s">
        <v>7</v>
      </c>
      <c r="HE701" s="27" t="s">
        <v>8</v>
      </c>
      <c r="HL701" s="27" t="s">
        <v>7</v>
      </c>
      <c r="HM701" s="27" t="s">
        <v>8</v>
      </c>
      <c r="HN701" s="27" t="s">
        <v>7</v>
      </c>
      <c r="HO701" s="27" t="s">
        <v>8</v>
      </c>
      <c r="HP701" s="27" t="s">
        <v>7</v>
      </c>
      <c r="HQ701" s="27" t="s">
        <v>8</v>
      </c>
      <c r="HR701" s="27" t="s">
        <v>7</v>
      </c>
    </row>
    <row r="702" spans="1:228" x14ac:dyDescent="0.25">
      <c r="A702" s="7">
        <v>0.10256052785194716</v>
      </c>
      <c r="B702"/>
      <c r="C702"/>
      <c r="D702"/>
      <c r="E702"/>
      <c r="F702" s="27" t="s">
        <v>7</v>
      </c>
      <c r="GM702" s="27" t="s">
        <v>8</v>
      </c>
      <c r="GN702" s="27" t="s">
        <v>7</v>
      </c>
      <c r="GO702" s="27" t="s">
        <v>8</v>
      </c>
      <c r="GX702" s="27" t="s">
        <v>7</v>
      </c>
      <c r="GY702" s="27" t="s">
        <v>8</v>
      </c>
      <c r="GZ702" s="27" t="s">
        <v>7</v>
      </c>
      <c r="HA702" s="27" t="s">
        <v>8</v>
      </c>
      <c r="HB702" s="27" t="s">
        <v>7</v>
      </c>
      <c r="HE702" s="27" t="s">
        <v>8</v>
      </c>
      <c r="HL702" s="27" t="s">
        <v>7</v>
      </c>
      <c r="HM702" s="27" t="s">
        <v>8</v>
      </c>
      <c r="HN702" s="27" t="s">
        <v>7</v>
      </c>
      <c r="HO702" s="27" t="s">
        <v>8</v>
      </c>
      <c r="HP702" s="27" t="s">
        <v>7</v>
      </c>
      <c r="HQ702" s="27" t="s">
        <v>8</v>
      </c>
      <c r="HR702" s="27" t="s">
        <v>7</v>
      </c>
    </row>
    <row r="703" spans="1:228" x14ac:dyDescent="0.25">
      <c r="A703" s="7">
        <v>0.10054953710975212</v>
      </c>
      <c r="B703"/>
      <c r="C703"/>
      <c r="D703"/>
      <c r="E703"/>
      <c r="F703" s="27" t="s">
        <v>7</v>
      </c>
      <c r="GM703" s="27" t="s">
        <v>8</v>
      </c>
      <c r="GN703" s="27" t="s">
        <v>7</v>
      </c>
      <c r="GX703" s="27" t="s">
        <v>7</v>
      </c>
      <c r="GY703" s="27" t="s">
        <v>8</v>
      </c>
      <c r="GZ703" s="27" t="s">
        <v>7</v>
      </c>
      <c r="HA703" s="27" t="s">
        <v>8</v>
      </c>
      <c r="HB703" s="27" t="s">
        <v>7</v>
      </c>
      <c r="HE703" s="27" t="s">
        <v>8</v>
      </c>
      <c r="HL703" s="27" t="s">
        <v>7</v>
      </c>
      <c r="HN703" s="27" t="s">
        <v>7</v>
      </c>
      <c r="HO703" s="27" t="s">
        <v>8</v>
      </c>
      <c r="HP703" s="27" t="s">
        <v>7</v>
      </c>
      <c r="HQ703" s="27" t="s">
        <v>8</v>
      </c>
      <c r="HR703" s="27" t="s">
        <v>7</v>
      </c>
      <c r="HS703" s="27" t="s">
        <v>8</v>
      </c>
    </row>
    <row r="704" spans="1:228" x14ac:dyDescent="0.25">
      <c r="A704" s="7">
        <v>9.8577977558580512E-2</v>
      </c>
      <c r="B704"/>
      <c r="C704"/>
      <c r="D704"/>
      <c r="E704"/>
      <c r="F704" s="27" t="s">
        <v>7</v>
      </c>
      <c r="GM704" s="27" t="s">
        <v>8</v>
      </c>
      <c r="GX704" s="27" t="s">
        <v>7</v>
      </c>
      <c r="GY704" s="27" t="s">
        <v>8</v>
      </c>
      <c r="GZ704" s="27" t="s">
        <v>7</v>
      </c>
      <c r="HB704" s="27" t="s">
        <v>7</v>
      </c>
      <c r="HE704" s="27" t="s">
        <v>8</v>
      </c>
      <c r="HN704" s="27" t="s">
        <v>7</v>
      </c>
      <c r="HO704" s="27" t="s">
        <v>8</v>
      </c>
      <c r="HP704" s="27" t="s">
        <v>7</v>
      </c>
      <c r="HQ704" s="27" t="s">
        <v>8</v>
      </c>
      <c r="HR704" s="27" t="s">
        <v>7</v>
      </c>
      <c r="HS704" s="27" t="s">
        <v>8</v>
      </c>
      <c r="HT704" s="27" t="s">
        <v>7</v>
      </c>
    </row>
    <row r="705" spans="1:228" x14ac:dyDescent="0.25">
      <c r="A705" s="7">
        <v>9.6645076037824032E-2</v>
      </c>
      <c r="B705"/>
      <c r="C705"/>
      <c r="D705"/>
      <c r="E705"/>
      <c r="F705" s="27" t="s">
        <v>7</v>
      </c>
      <c r="GM705" s="27" t="s">
        <v>8</v>
      </c>
      <c r="GX705" s="27" t="s">
        <v>7</v>
      </c>
      <c r="HB705" s="27" t="s">
        <v>7</v>
      </c>
      <c r="HE705" s="27" t="s">
        <v>8</v>
      </c>
      <c r="HN705" s="27" t="s">
        <v>7</v>
      </c>
      <c r="HO705" s="27" t="s">
        <v>8</v>
      </c>
      <c r="HP705" s="27" t="s">
        <v>7</v>
      </c>
      <c r="HQ705" s="27" t="s">
        <v>8</v>
      </c>
      <c r="HR705" s="27" t="s">
        <v>7</v>
      </c>
      <c r="HS705" s="27" t="s">
        <v>8</v>
      </c>
      <c r="HT705" s="27" t="s">
        <v>7</v>
      </c>
    </row>
    <row r="706" spans="1:228" x14ac:dyDescent="0.25">
      <c r="A706" s="7">
        <v>9.4750074546886304E-2</v>
      </c>
      <c r="B706"/>
      <c r="C706"/>
      <c r="D706"/>
      <c r="E706"/>
      <c r="F706" s="27" t="s">
        <v>7</v>
      </c>
      <c r="GM706" s="27" t="s">
        <v>8</v>
      </c>
      <c r="HB706" s="27" t="s">
        <v>7</v>
      </c>
      <c r="HE706" s="27" t="s">
        <v>8</v>
      </c>
      <c r="HN706" s="27" t="s">
        <v>7</v>
      </c>
      <c r="HO706" s="27" t="s">
        <v>8</v>
      </c>
      <c r="HP706" s="27" t="s">
        <v>7</v>
      </c>
      <c r="HQ706" s="27" t="s">
        <v>8</v>
      </c>
      <c r="HR706" s="27" t="s">
        <v>7</v>
      </c>
      <c r="HS706" s="27" t="s">
        <v>8</v>
      </c>
      <c r="HT706" s="27" t="s">
        <v>7</v>
      </c>
    </row>
    <row r="707" spans="1:228" x14ac:dyDescent="0.25">
      <c r="A707" s="7">
        <v>9.2892229947927743E-2</v>
      </c>
      <c r="B707"/>
      <c r="C707"/>
      <c r="D707"/>
      <c r="E707"/>
      <c r="F707" s="27" t="s">
        <v>7</v>
      </c>
      <c r="GM707" s="27" t="s">
        <v>8</v>
      </c>
      <c r="HB707" s="27" t="s">
        <v>7</v>
      </c>
      <c r="HC707" s="27" t="s">
        <v>8</v>
      </c>
      <c r="HE707" s="27" t="s">
        <v>8</v>
      </c>
      <c r="HN707" s="27" t="s">
        <v>7</v>
      </c>
      <c r="HO707" s="27" t="s">
        <v>8</v>
      </c>
      <c r="HP707" s="27" t="s">
        <v>7</v>
      </c>
      <c r="HQ707" s="27" t="s">
        <v>8</v>
      </c>
      <c r="HR707" s="27" t="s">
        <v>7</v>
      </c>
      <c r="HS707" s="27" t="s">
        <v>8</v>
      </c>
      <c r="HT707" s="27" t="s">
        <v>7</v>
      </c>
    </row>
    <row r="708" spans="1:228" x14ac:dyDescent="0.25">
      <c r="A708" s="7">
        <v>9.1070813674438963E-2</v>
      </c>
      <c r="B708"/>
      <c r="C708"/>
      <c r="D708"/>
      <c r="E708"/>
      <c r="F708" s="27" t="s">
        <v>7</v>
      </c>
      <c r="GC708" s="27" t="s">
        <v>8</v>
      </c>
      <c r="GK708" s="27" t="s">
        <v>8</v>
      </c>
      <c r="GM708" s="27" t="s">
        <v>8</v>
      </c>
      <c r="HB708" s="27" t="s">
        <v>7</v>
      </c>
      <c r="HC708" s="27" t="s">
        <v>8</v>
      </c>
      <c r="HD708" s="27" t="s">
        <v>7</v>
      </c>
      <c r="HE708" s="27" t="s">
        <v>8</v>
      </c>
      <c r="HN708" s="27" t="s">
        <v>7</v>
      </c>
      <c r="HO708" s="27" t="s">
        <v>8</v>
      </c>
      <c r="HP708" s="27" t="s">
        <v>7</v>
      </c>
      <c r="HR708" s="27" t="s">
        <v>7</v>
      </c>
      <c r="HT708" s="27" t="s">
        <v>7</v>
      </c>
    </row>
    <row r="709" spans="1:228" x14ac:dyDescent="0.25">
      <c r="A709" s="7">
        <v>8.9285111445528392E-2</v>
      </c>
      <c r="B709"/>
      <c r="C709"/>
      <c r="D709"/>
      <c r="E709"/>
      <c r="F709" s="27" t="s">
        <v>7</v>
      </c>
      <c r="GC709" s="27" t="s">
        <v>8</v>
      </c>
      <c r="GD709" s="27" t="s">
        <v>7</v>
      </c>
      <c r="GK709" s="27" t="s">
        <v>8</v>
      </c>
      <c r="GL709" s="27" t="s">
        <v>7</v>
      </c>
      <c r="GM709" s="27" t="s">
        <v>8</v>
      </c>
      <c r="HB709" s="27" t="s">
        <v>7</v>
      </c>
      <c r="HC709" s="27" t="s">
        <v>8</v>
      </c>
      <c r="HD709" s="27" t="s">
        <v>7</v>
      </c>
      <c r="HE709" s="27" t="s">
        <v>8</v>
      </c>
      <c r="HN709" s="27" t="s">
        <v>7</v>
      </c>
      <c r="HT709" s="27" t="s">
        <v>7</v>
      </c>
    </row>
    <row r="710" spans="1:228" x14ac:dyDescent="0.25">
      <c r="A710" s="7">
        <v>8.7534422985812155E-2</v>
      </c>
      <c r="B710"/>
      <c r="C710"/>
      <c r="D710"/>
      <c r="E710"/>
      <c r="F710" s="27" t="s">
        <v>7</v>
      </c>
      <c r="GC710" s="27" t="s">
        <v>8</v>
      </c>
      <c r="GD710" s="27" t="s">
        <v>7</v>
      </c>
      <c r="GK710" s="27" t="s">
        <v>8</v>
      </c>
      <c r="GL710" s="27" t="s">
        <v>7</v>
      </c>
      <c r="GM710" s="27" t="s">
        <v>8</v>
      </c>
      <c r="HB710" s="27" t="s">
        <v>7</v>
      </c>
      <c r="HC710" s="27" t="s">
        <v>8</v>
      </c>
      <c r="HD710" s="27" t="s">
        <v>7</v>
      </c>
      <c r="HE710" s="27" t="s">
        <v>8</v>
      </c>
      <c r="HT710" s="27" t="s">
        <v>7</v>
      </c>
    </row>
    <row r="711" spans="1:228" x14ac:dyDescent="0.25">
      <c r="A711" s="7">
        <v>8.5818061750796232E-2</v>
      </c>
      <c r="B711"/>
      <c r="C711"/>
      <c r="D711"/>
      <c r="E711"/>
      <c r="F711" s="27" t="s">
        <v>7</v>
      </c>
      <c r="GC711" s="27" t="s">
        <v>8</v>
      </c>
      <c r="GD711" s="27" t="s">
        <v>7</v>
      </c>
      <c r="GG711" s="27" t="s">
        <v>8</v>
      </c>
      <c r="GI711" s="27" t="s">
        <v>8</v>
      </c>
      <c r="GK711" s="27" t="s">
        <v>8</v>
      </c>
      <c r="GL711" s="27" t="s">
        <v>7</v>
      </c>
      <c r="GM711" s="27" t="s">
        <v>8</v>
      </c>
      <c r="HB711" s="27" t="s">
        <v>7</v>
      </c>
      <c r="HC711" s="27" t="s">
        <v>8</v>
      </c>
      <c r="HD711" s="27" t="s">
        <v>7</v>
      </c>
      <c r="HE711" s="27" t="s">
        <v>8</v>
      </c>
      <c r="HT711" s="27" t="s">
        <v>7</v>
      </c>
    </row>
    <row r="712" spans="1:228" x14ac:dyDescent="0.25">
      <c r="A712" s="7">
        <v>8.4135354657643366E-2</v>
      </c>
      <c r="B712"/>
      <c r="C712"/>
      <c r="D712"/>
      <c r="E712"/>
      <c r="F712" s="27" t="s">
        <v>7</v>
      </c>
      <c r="GC712" s="27" t="s">
        <v>8</v>
      </c>
      <c r="GD712" s="27" t="s">
        <v>7</v>
      </c>
      <c r="GG712" s="27" t="s">
        <v>8</v>
      </c>
      <c r="GH712" s="27" t="s">
        <v>7</v>
      </c>
      <c r="GI712" s="27" t="s">
        <v>8</v>
      </c>
      <c r="GJ712" s="27" t="s">
        <v>7</v>
      </c>
      <c r="GK712" s="27" t="s">
        <v>8</v>
      </c>
      <c r="GL712" s="27" t="s">
        <v>7</v>
      </c>
      <c r="GM712" s="27" t="s">
        <v>8</v>
      </c>
      <c r="HB712" s="27" t="s">
        <v>7</v>
      </c>
      <c r="HC712" s="27" t="s">
        <v>8</v>
      </c>
      <c r="HD712" s="27" t="s">
        <v>7</v>
      </c>
      <c r="HE712" s="27" t="s">
        <v>8</v>
      </c>
      <c r="HT712" s="27" t="s">
        <v>7</v>
      </c>
    </row>
    <row r="713" spans="1:228" x14ac:dyDescent="0.25">
      <c r="A713" s="7">
        <v>8.248564182121898E-2</v>
      </c>
      <c r="B713"/>
      <c r="C713"/>
      <c r="D713"/>
      <c r="E713"/>
      <c r="F713" s="27" t="s">
        <v>7</v>
      </c>
      <c r="GC713" s="27" t="s">
        <v>8</v>
      </c>
      <c r="GD713" s="27" t="s">
        <v>7</v>
      </c>
      <c r="GG713" s="27" t="s">
        <v>8</v>
      </c>
      <c r="GH713" s="27" t="s">
        <v>7</v>
      </c>
      <c r="GI713" s="27" t="s">
        <v>8</v>
      </c>
      <c r="GJ713" s="27" t="s">
        <v>7</v>
      </c>
      <c r="GK713" s="27" t="s">
        <v>8</v>
      </c>
      <c r="GL713" s="27" t="s">
        <v>7</v>
      </c>
      <c r="GM713" s="27" t="s">
        <v>8</v>
      </c>
      <c r="HB713" s="27" t="s">
        <v>7</v>
      </c>
      <c r="HD713" s="27" t="s">
        <v>7</v>
      </c>
      <c r="HE713" s="27" t="s">
        <v>8</v>
      </c>
      <c r="HT713" s="27" t="s">
        <v>7</v>
      </c>
    </row>
    <row r="714" spans="1:228" x14ac:dyDescent="0.25">
      <c r="A714" s="7">
        <v>8.0868276295312735E-2</v>
      </c>
      <c r="B714"/>
      <c r="C714"/>
      <c r="D714"/>
      <c r="E714"/>
      <c r="F714" s="27" t="s">
        <v>7</v>
      </c>
      <c r="FK714" s="27" t="s">
        <v>8</v>
      </c>
      <c r="GC714" s="27" t="s">
        <v>8</v>
      </c>
      <c r="GD714" s="27" t="s">
        <v>7</v>
      </c>
      <c r="GG714" s="27" t="s">
        <v>8</v>
      </c>
      <c r="GH714" s="27" t="s">
        <v>7</v>
      </c>
      <c r="GI714" s="27" t="s">
        <v>8</v>
      </c>
      <c r="GJ714" s="27" t="s">
        <v>7</v>
      </c>
      <c r="GK714" s="27" t="s">
        <v>8</v>
      </c>
      <c r="GL714" s="27" t="s">
        <v>7</v>
      </c>
      <c r="GM714" s="27" t="s">
        <v>8</v>
      </c>
      <c r="HD714" s="27" t="s">
        <v>7</v>
      </c>
      <c r="HT714" s="27" t="s">
        <v>7</v>
      </c>
    </row>
    <row r="715" spans="1:228" x14ac:dyDescent="0.25">
      <c r="A715" s="7">
        <v>7.9282623818934056E-2</v>
      </c>
      <c r="B715"/>
      <c r="C715"/>
      <c r="D715"/>
      <c r="E715"/>
      <c r="F715" s="27" t="s">
        <v>7</v>
      </c>
      <c r="FK715" s="27" t="s">
        <v>8</v>
      </c>
      <c r="FL715" s="27" t="s">
        <v>7</v>
      </c>
      <c r="GC715" s="27" t="s">
        <v>8</v>
      </c>
      <c r="GD715" s="27" t="s">
        <v>7</v>
      </c>
      <c r="GG715" s="27" t="s">
        <v>8</v>
      </c>
      <c r="GH715" s="27" t="s">
        <v>7</v>
      </c>
      <c r="GI715" s="27" t="s">
        <v>8</v>
      </c>
      <c r="GJ715" s="27" t="s">
        <v>7</v>
      </c>
      <c r="GK715" s="27" t="s">
        <v>8</v>
      </c>
      <c r="GL715" s="27" t="s">
        <v>7</v>
      </c>
      <c r="GM715" s="27" t="s">
        <v>8</v>
      </c>
      <c r="HT715" s="27" t="s">
        <v>7</v>
      </c>
    </row>
    <row r="716" spans="1:228" x14ac:dyDescent="0.25">
      <c r="A716" s="7">
        <v>7.7728062567582412E-2</v>
      </c>
      <c r="B716"/>
      <c r="C716"/>
      <c r="D716"/>
      <c r="E716"/>
      <c r="F716" s="27" t="s">
        <v>7</v>
      </c>
      <c r="FK716" s="27" t="s">
        <v>8</v>
      </c>
      <c r="FL716" s="27" t="s">
        <v>7</v>
      </c>
      <c r="GC716" s="27" t="s">
        <v>8</v>
      </c>
      <c r="GD716" s="27" t="s">
        <v>7</v>
      </c>
      <c r="GG716" s="27" t="s">
        <v>8</v>
      </c>
      <c r="GH716" s="27" t="s">
        <v>7</v>
      </c>
      <c r="GI716" s="27" t="s">
        <v>8</v>
      </c>
      <c r="GJ716" s="27" t="s">
        <v>7</v>
      </c>
      <c r="GK716" s="27" t="s">
        <v>8</v>
      </c>
      <c r="GL716" s="27" t="s">
        <v>7</v>
      </c>
      <c r="HT716" s="27" t="s">
        <v>7</v>
      </c>
    </row>
    <row r="717" spans="1:228" x14ac:dyDescent="0.25">
      <c r="A717" s="7">
        <v>7.6203982909394521E-2</v>
      </c>
      <c r="B717"/>
      <c r="C717"/>
      <c r="D717"/>
      <c r="E717"/>
      <c r="F717" s="27" t="s">
        <v>7</v>
      </c>
      <c r="FK717" s="27" t="s">
        <v>8</v>
      </c>
      <c r="FL717" s="27" t="s">
        <v>7</v>
      </c>
      <c r="GC717" s="27" t="s">
        <v>8</v>
      </c>
      <c r="GD717" s="27" t="s">
        <v>7</v>
      </c>
      <c r="GE717" s="27" t="s">
        <v>8</v>
      </c>
      <c r="GG717" s="27" t="s">
        <v>8</v>
      </c>
      <c r="GH717" s="27" t="s">
        <v>7</v>
      </c>
      <c r="GI717" s="27" t="s">
        <v>8</v>
      </c>
      <c r="GJ717" s="27" t="s">
        <v>7</v>
      </c>
      <c r="GK717" s="27" t="s">
        <v>8</v>
      </c>
      <c r="HT717" s="27" t="s">
        <v>7</v>
      </c>
    </row>
    <row r="718" spans="1:228" x14ac:dyDescent="0.25">
      <c r="A718" s="7">
        <v>7.4709787166073058E-2</v>
      </c>
      <c r="B718"/>
      <c r="C718"/>
      <c r="D718"/>
      <c r="E718"/>
      <c r="F718" s="27" t="s">
        <v>7</v>
      </c>
      <c r="FA718" s="27" t="s">
        <v>8</v>
      </c>
      <c r="FK718" s="27" t="s">
        <v>8</v>
      </c>
      <c r="FL718" s="27" t="s">
        <v>7</v>
      </c>
      <c r="GC718" s="27" t="s">
        <v>8</v>
      </c>
      <c r="GD718" s="27" t="s">
        <v>7</v>
      </c>
      <c r="GE718" s="27" t="s">
        <v>8</v>
      </c>
      <c r="GF718" s="27" t="s">
        <v>7</v>
      </c>
      <c r="GG718" s="27" t="s">
        <v>8</v>
      </c>
      <c r="GH718" s="27" t="s">
        <v>7</v>
      </c>
      <c r="GJ718" s="27" t="s">
        <v>7</v>
      </c>
      <c r="GK718" s="27" t="s">
        <v>8</v>
      </c>
      <c r="HT718" s="27" t="s">
        <v>7</v>
      </c>
    </row>
    <row r="719" spans="1:228" x14ac:dyDescent="0.25">
      <c r="A719" s="7">
        <v>7.3244889378503E-2</v>
      </c>
      <c r="B719"/>
      <c r="C719"/>
      <c r="D719"/>
      <c r="E719"/>
      <c r="F719" s="27" t="s">
        <v>7</v>
      </c>
      <c r="FA719" s="27" t="s">
        <v>8</v>
      </c>
      <c r="FB719" s="27" t="s">
        <v>7</v>
      </c>
      <c r="FK719" s="27" t="s">
        <v>8</v>
      </c>
      <c r="FL719" s="27" t="s">
        <v>7</v>
      </c>
      <c r="GC719" s="27" t="s">
        <v>8</v>
      </c>
      <c r="GD719" s="27" t="s">
        <v>7</v>
      </c>
      <c r="GE719" s="27" t="s">
        <v>8</v>
      </c>
      <c r="GF719" s="27" t="s">
        <v>7</v>
      </c>
      <c r="GG719" s="27" t="s">
        <v>8</v>
      </c>
      <c r="GJ719" s="27" t="s">
        <v>7</v>
      </c>
      <c r="GK719" s="27" t="s">
        <v>8</v>
      </c>
      <c r="HT719" s="27" t="s">
        <v>7</v>
      </c>
    </row>
    <row r="720" spans="1:228" x14ac:dyDescent="0.25">
      <c r="A720" s="7">
        <v>7.1808715076963722E-2</v>
      </c>
      <c r="B720"/>
      <c r="C720"/>
      <c r="D720"/>
      <c r="E720"/>
      <c r="F720" s="27" t="s">
        <v>7</v>
      </c>
      <c r="FA720" s="27" t="s">
        <v>8</v>
      </c>
      <c r="FB720" s="27" t="s">
        <v>7</v>
      </c>
      <c r="FK720" s="27" t="s">
        <v>8</v>
      </c>
      <c r="FL720" s="27" t="s">
        <v>7</v>
      </c>
      <c r="GC720" s="27" t="s">
        <v>8</v>
      </c>
      <c r="GD720" s="27" t="s">
        <v>7</v>
      </c>
      <c r="GE720" s="27" t="s">
        <v>8</v>
      </c>
      <c r="GF720" s="27" t="s">
        <v>7</v>
      </c>
      <c r="GJ720" s="27" t="s">
        <v>7</v>
      </c>
      <c r="GK720" s="27" t="s">
        <v>8</v>
      </c>
      <c r="HT720" s="27" t="s">
        <v>7</v>
      </c>
    </row>
    <row r="721" spans="1:324" x14ac:dyDescent="0.25">
      <c r="A721" s="7">
        <v>7.0400701055846782E-2</v>
      </c>
      <c r="B721"/>
      <c r="C721"/>
      <c r="D721"/>
      <c r="E721"/>
      <c r="F721" s="27" t="s">
        <v>7</v>
      </c>
      <c r="FA721" s="27" t="s">
        <v>8</v>
      </c>
      <c r="FB721" s="27" t="s">
        <v>7</v>
      </c>
      <c r="FK721" s="27" t="s">
        <v>8</v>
      </c>
      <c r="FL721" s="27" t="s">
        <v>7</v>
      </c>
      <c r="GC721" s="27" t="s">
        <v>8</v>
      </c>
      <c r="GD721" s="27" t="s">
        <v>7</v>
      </c>
      <c r="GE721" s="27" t="s">
        <v>8</v>
      </c>
      <c r="GJ721" s="27" t="s">
        <v>7</v>
      </c>
      <c r="GK721" s="27" t="s">
        <v>8</v>
      </c>
      <c r="HT721" s="27" t="s">
        <v>7</v>
      </c>
    </row>
    <row r="722" spans="1:324" x14ac:dyDescent="0.25">
      <c r="A722" s="7">
        <v>6.9020295152790956E-2</v>
      </c>
      <c r="B722"/>
      <c r="C722"/>
      <c r="D722"/>
      <c r="E722"/>
      <c r="F722" s="27" t="s">
        <v>7</v>
      </c>
      <c r="FA722" s="27" t="s">
        <v>8</v>
      </c>
      <c r="FB722" s="27" t="s">
        <v>7</v>
      </c>
      <c r="FK722" s="27" t="s">
        <v>8</v>
      </c>
      <c r="FL722" s="27" t="s">
        <v>7</v>
      </c>
      <c r="GC722" s="27" t="s">
        <v>8</v>
      </c>
      <c r="GD722" s="27" t="s">
        <v>7</v>
      </c>
      <c r="GJ722" s="27" t="s">
        <v>7</v>
      </c>
      <c r="GK722" s="27" t="s">
        <v>8</v>
      </c>
      <c r="HT722" s="27" t="s">
        <v>7</v>
      </c>
    </row>
    <row r="723" spans="1:324" x14ac:dyDescent="0.25">
      <c r="A723" s="7">
        <v>6.7666956032147993E-2</v>
      </c>
      <c r="B723"/>
      <c r="C723"/>
      <c r="D723"/>
      <c r="E723"/>
      <c r="F723" s="27" t="s">
        <v>7</v>
      </c>
      <c r="FA723" s="27" t="s">
        <v>8</v>
      </c>
      <c r="FB723" s="27" t="s">
        <v>7</v>
      </c>
      <c r="FK723" s="27" t="s">
        <v>8</v>
      </c>
      <c r="FL723" s="27" t="s">
        <v>7</v>
      </c>
      <c r="GC723" s="27" t="s">
        <v>8</v>
      </c>
      <c r="GJ723" s="27" t="s">
        <v>7</v>
      </c>
      <c r="GK723" s="27" t="s">
        <v>8</v>
      </c>
      <c r="HT723" s="27" t="s">
        <v>7</v>
      </c>
      <c r="HU723" s="27" t="s">
        <v>8</v>
      </c>
      <c r="JW723" s="27" t="s">
        <v>8</v>
      </c>
    </row>
    <row r="724" spans="1:324" x14ac:dyDescent="0.25">
      <c r="A724" s="7">
        <v>6.6340152972694105E-2</v>
      </c>
      <c r="B724"/>
      <c r="C724"/>
      <c r="D724"/>
      <c r="E724"/>
      <c r="F724" s="27" t="s">
        <v>7</v>
      </c>
      <c r="FA724" s="27" t="s">
        <v>8</v>
      </c>
      <c r="FB724" s="27" t="s">
        <v>7</v>
      </c>
      <c r="FI724" s="27" t="s">
        <v>8</v>
      </c>
      <c r="FK724" s="27" t="s">
        <v>8</v>
      </c>
      <c r="FL724" s="27" t="s">
        <v>7</v>
      </c>
      <c r="FO724" s="27" t="s">
        <v>8</v>
      </c>
      <c r="GC724" s="27" t="s">
        <v>8</v>
      </c>
      <c r="GJ724" s="27" t="s">
        <v>7</v>
      </c>
      <c r="GK724" s="27" t="s">
        <v>8</v>
      </c>
      <c r="HT724" s="27" t="s">
        <v>7</v>
      </c>
      <c r="HU724" s="27" t="s">
        <v>8</v>
      </c>
      <c r="HV724" s="27" t="s">
        <v>7</v>
      </c>
      <c r="JW724" s="27" t="s">
        <v>8</v>
      </c>
      <c r="JX724" s="27" t="s">
        <v>7</v>
      </c>
    </row>
    <row r="725" spans="1:324" x14ac:dyDescent="0.25">
      <c r="A725" s="7">
        <v>6.5039365659504023E-2</v>
      </c>
      <c r="B725"/>
      <c r="C725"/>
      <c r="D725"/>
      <c r="E725"/>
      <c r="F725" s="27" t="s">
        <v>7</v>
      </c>
      <c r="FA725" s="27" t="s">
        <v>8</v>
      </c>
      <c r="FB725" s="27" t="s">
        <v>7</v>
      </c>
      <c r="FI725" s="27" t="s">
        <v>8</v>
      </c>
      <c r="FJ725" s="27" t="s">
        <v>7</v>
      </c>
      <c r="FK725" s="27" t="s">
        <v>8</v>
      </c>
      <c r="FL725" s="27" t="s">
        <v>7</v>
      </c>
      <c r="FO725" s="27" t="s">
        <v>8</v>
      </c>
      <c r="FP725" s="27" t="s">
        <v>7</v>
      </c>
      <c r="GC725" s="27" t="s">
        <v>8</v>
      </c>
      <c r="GJ725" s="27" t="s">
        <v>7</v>
      </c>
      <c r="GK725" s="27" t="s">
        <v>8</v>
      </c>
      <c r="HT725" s="27" t="s">
        <v>7</v>
      </c>
      <c r="HU725" s="27" t="s">
        <v>8</v>
      </c>
      <c r="HV725" s="27" t="s">
        <v>7</v>
      </c>
      <c r="IA725" s="27" t="s">
        <v>8</v>
      </c>
      <c r="JU725" s="27" t="s">
        <v>8</v>
      </c>
      <c r="JW725" s="27" t="s">
        <v>8</v>
      </c>
      <c r="JX725" s="27" t="s">
        <v>7</v>
      </c>
    </row>
    <row r="726" spans="1:324" x14ac:dyDescent="0.25">
      <c r="A726" s="7">
        <v>6.3764083979905906E-2</v>
      </c>
      <c r="B726"/>
      <c r="C726"/>
      <c r="D726"/>
      <c r="E726"/>
      <c r="F726" s="27" t="s">
        <v>7</v>
      </c>
      <c r="FA726" s="27" t="s">
        <v>8</v>
      </c>
      <c r="FB726" s="27" t="s">
        <v>7</v>
      </c>
      <c r="FI726" s="27" t="s">
        <v>8</v>
      </c>
      <c r="FJ726" s="27" t="s">
        <v>7</v>
      </c>
      <c r="FK726" s="27" t="s">
        <v>8</v>
      </c>
      <c r="FL726" s="27" t="s">
        <v>7</v>
      </c>
      <c r="FM726" s="27" t="s">
        <v>8</v>
      </c>
      <c r="FO726" s="27" t="s">
        <v>8</v>
      </c>
      <c r="FP726" s="27" t="s">
        <v>7</v>
      </c>
      <c r="FQ726" s="27" t="s">
        <v>8</v>
      </c>
      <c r="GC726" s="27" t="s">
        <v>8</v>
      </c>
      <c r="GJ726" s="27" t="s">
        <v>7</v>
      </c>
      <c r="HT726" s="27" t="s">
        <v>7</v>
      </c>
      <c r="HU726" s="27" t="s">
        <v>8</v>
      </c>
      <c r="HV726" s="27" t="s">
        <v>7</v>
      </c>
      <c r="IA726" s="27" t="s">
        <v>8</v>
      </c>
      <c r="IB726" s="27" t="s">
        <v>7</v>
      </c>
      <c r="IE726" s="27" t="s">
        <v>8</v>
      </c>
      <c r="JM726" s="27" t="s">
        <v>8</v>
      </c>
      <c r="JU726" s="27" t="s">
        <v>8</v>
      </c>
      <c r="JV726" s="27" t="s">
        <v>7</v>
      </c>
      <c r="JW726" s="27" t="s">
        <v>8</v>
      </c>
      <c r="JX726" s="27" t="s">
        <v>7</v>
      </c>
    </row>
    <row r="727" spans="1:324" x14ac:dyDescent="0.25">
      <c r="A727" s="7">
        <v>6.251380782343717E-2</v>
      </c>
      <c r="B727"/>
      <c r="C727"/>
      <c r="D727"/>
      <c r="E727"/>
      <c r="F727" s="27" t="s">
        <v>7</v>
      </c>
      <c r="FA727" s="27" t="s">
        <v>8</v>
      </c>
      <c r="FB727" s="27" t="s">
        <v>7</v>
      </c>
      <c r="FI727" s="27" t="s">
        <v>8</v>
      </c>
      <c r="FJ727" s="27" t="s">
        <v>7</v>
      </c>
      <c r="FK727" s="27" t="s">
        <v>8</v>
      </c>
      <c r="FL727" s="27" t="s">
        <v>7</v>
      </c>
      <c r="FM727" s="27" t="s">
        <v>8</v>
      </c>
      <c r="FN727" s="27" t="s">
        <v>7</v>
      </c>
      <c r="FO727" s="27" t="s">
        <v>8</v>
      </c>
      <c r="FP727" s="27" t="s">
        <v>7</v>
      </c>
      <c r="FQ727" s="27" t="s">
        <v>8</v>
      </c>
      <c r="FR727" s="27" t="s">
        <v>7</v>
      </c>
      <c r="GC727" s="27" t="s">
        <v>8</v>
      </c>
      <c r="HT727" s="27" t="s">
        <v>7</v>
      </c>
      <c r="HU727" s="27" t="s">
        <v>8</v>
      </c>
      <c r="HV727" s="27" t="s">
        <v>7</v>
      </c>
      <c r="IA727" s="27" t="s">
        <v>8</v>
      </c>
      <c r="IB727" s="27" t="s">
        <v>7</v>
      </c>
      <c r="IE727" s="27" t="s">
        <v>8</v>
      </c>
      <c r="IF727" s="27" t="s">
        <v>7</v>
      </c>
      <c r="JM727" s="27" t="s">
        <v>8</v>
      </c>
      <c r="JN727" s="27" t="s">
        <v>7</v>
      </c>
      <c r="JU727" s="27" t="s">
        <v>8</v>
      </c>
      <c r="JV727" s="27" t="s">
        <v>7</v>
      </c>
      <c r="JW727" s="27" t="s">
        <v>8</v>
      </c>
      <c r="JX727" s="27" t="s">
        <v>7</v>
      </c>
      <c r="LE727" s="27" t="s">
        <v>8</v>
      </c>
    </row>
    <row r="728" spans="1:324" x14ac:dyDescent="0.25">
      <c r="A728" s="7">
        <v>6.1288046885722716E-2</v>
      </c>
      <c r="B728"/>
      <c r="C728"/>
      <c r="D728"/>
      <c r="E728"/>
      <c r="F728" s="27" t="s">
        <v>7</v>
      </c>
      <c r="CY728" s="27" t="s">
        <v>8</v>
      </c>
      <c r="FA728" s="27" t="s">
        <v>8</v>
      </c>
      <c r="FB728" s="27" t="s">
        <v>7</v>
      </c>
      <c r="FI728" s="27" t="s">
        <v>8</v>
      </c>
      <c r="FJ728" s="27" t="s">
        <v>7</v>
      </c>
      <c r="FK728" s="27" t="s">
        <v>8</v>
      </c>
      <c r="FL728" s="27" t="s">
        <v>7</v>
      </c>
      <c r="FM728" s="27" t="s">
        <v>8</v>
      </c>
      <c r="FN728" s="27" t="s">
        <v>7</v>
      </c>
      <c r="FO728" s="27" t="s">
        <v>8</v>
      </c>
      <c r="FP728" s="27" t="s">
        <v>7</v>
      </c>
      <c r="FQ728" s="27" t="s">
        <v>8</v>
      </c>
      <c r="FR728" s="27" t="s">
        <v>7</v>
      </c>
      <c r="GC728" s="27" t="s">
        <v>8</v>
      </c>
      <c r="HT728" s="27" t="s">
        <v>7</v>
      </c>
      <c r="HU728" s="27" t="s">
        <v>8</v>
      </c>
      <c r="HV728" s="27" t="s">
        <v>7</v>
      </c>
      <c r="IA728" s="27" t="s">
        <v>8</v>
      </c>
      <c r="IB728" s="27" t="s">
        <v>7</v>
      </c>
      <c r="IE728" s="27" t="s">
        <v>8</v>
      </c>
      <c r="IF728" s="27" t="s">
        <v>7</v>
      </c>
      <c r="JK728" s="27" t="s">
        <v>8</v>
      </c>
      <c r="JM728" s="27" t="s">
        <v>8</v>
      </c>
      <c r="JN728" s="27" t="s">
        <v>7</v>
      </c>
      <c r="JO728" s="27" t="s">
        <v>8</v>
      </c>
      <c r="JQ728" s="27" t="s">
        <v>8</v>
      </c>
      <c r="JS728" s="27" t="s">
        <v>8</v>
      </c>
      <c r="JU728" s="27" t="s">
        <v>8</v>
      </c>
      <c r="JV728" s="27" t="s">
        <v>7</v>
      </c>
      <c r="JX728" s="27" t="s">
        <v>7</v>
      </c>
      <c r="LE728" s="27" t="s">
        <v>8</v>
      </c>
      <c r="LF728" s="27" t="s">
        <v>7</v>
      </c>
    </row>
    <row r="729" spans="1:324" x14ac:dyDescent="0.25">
      <c r="A729" s="7">
        <v>6.0086320476198739E-2</v>
      </c>
      <c r="B729"/>
      <c r="C729"/>
      <c r="D729"/>
      <c r="E729"/>
      <c r="F729" s="27" t="s">
        <v>7</v>
      </c>
      <c r="CY729" s="27" t="s">
        <v>8</v>
      </c>
      <c r="CZ729" s="27" t="s">
        <v>7</v>
      </c>
      <c r="FA729" s="27" t="s">
        <v>8</v>
      </c>
      <c r="FB729" s="27" t="s">
        <v>7</v>
      </c>
      <c r="FI729" s="27" t="s">
        <v>8</v>
      </c>
      <c r="FJ729" s="27" t="s">
        <v>7</v>
      </c>
      <c r="FK729" s="27" t="s">
        <v>8</v>
      </c>
      <c r="FL729" s="27" t="s">
        <v>7</v>
      </c>
      <c r="FM729" s="27" t="s">
        <v>8</v>
      </c>
      <c r="FN729" s="27" t="s">
        <v>7</v>
      </c>
      <c r="FO729" s="27" t="s">
        <v>8</v>
      </c>
      <c r="FP729" s="27" t="s">
        <v>7</v>
      </c>
      <c r="FQ729" s="27" t="s">
        <v>8</v>
      </c>
      <c r="FR729" s="27" t="s">
        <v>7</v>
      </c>
      <c r="GC729" s="27" t="s">
        <v>8</v>
      </c>
      <c r="HT729" s="27" t="s">
        <v>7</v>
      </c>
      <c r="HU729" s="27" t="s">
        <v>8</v>
      </c>
      <c r="HV729" s="27" t="s">
        <v>7</v>
      </c>
      <c r="IA729" s="27" t="s">
        <v>8</v>
      </c>
      <c r="IB729" s="27" t="s">
        <v>7</v>
      </c>
      <c r="IC729" s="27" t="s">
        <v>8</v>
      </c>
      <c r="IE729" s="27" t="s">
        <v>8</v>
      </c>
      <c r="IF729" s="27" t="s">
        <v>7</v>
      </c>
      <c r="IG729" s="27" t="s">
        <v>8</v>
      </c>
      <c r="JK729" s="27" t="s">
        <v>8</v>
      </c>
      <c r="JL729" s="27" t="s">
        <v>7</v>
      </c>
      <c r="JM729" s="27" t="s">
        <v>8</v>
      </c>
      <c r="JN729" s="27" t="s">
        <v>7</v>
      </c>
      <c r="JO729" s="27" t="s">
        <v>8</v>
      </c>
      <c r="JP729" s="27" t="s">
        <v>7</v>
      </c>
      <c r="JQ729" s="27" t="s">
        <v>8</v>
      </c>
      <c r="JR729" s="27" t="s">
        <v>7</v>
      </c>
      <c r="JS729" s="27" t="s">
        <v>8</v>
      </c>
      <c r="JT729" s="27" t="s">
        <v>7</v>
      </c>
      <c r="JU729" s="27" t="s">
        <v>8</v>
      </c>
      <c r="JX729" s="27" t="s">
        <v>7</v>
      </c>
      <c r="LE729" s="27" t="s">
        <v>8</v>
      </c>
      <c r="LF729" s="27" t="s">
        <v>7</v>
      </c>
    </row>
    <row r="730" spans="1:324" x14ac:dyDescent="0.25">
      <c r="A730" s="7">
        <v>5.8908157329606609E-2</v>
      </c>
      <c r="B730"/>
      <c r="C730"/>
      <c r="D730"/>
      <c r="E730"/>
      <c r="F730" s="27" t="s">
        <v>7</v>
      </c>
      <c r="CU730" s="27" t="s">
        <v>8</v>
      </c>
      <c r="CY730" s="27" t="s">
        <v>8</v>
      </c>
      <c r="CZ730" s="27" t="s">
        <v>7</v>
      </c>
      <c r="FA730" s="27" t="s">
        <v>8</v>
      </c>
      <c r="FB730" s="27" t="s">
        <v>7</v>
      </c>
      <c r="FI730" s="27" t="s">
        <v>8</v>
      </c>
      <c r="FJ730" s="27" t="s">
        <v>7</v>
      </c>
      <c r="FL730" s="27" t="s">
        <v>7</v>
      </c>
      <c r="FM730" s="27" t="s">
        <v>8</v>
      </c>
      <c r="FN730" s="27" t="s">
        <v>7</v>
      </c>
      <c r="FO730" s="27" t="s">
        <v>8</v>
      </c>
      <c r="FP730" s="27" t="s">
        <v>7</v>
      </c>
      <c r="FQ730" s="27" t="s">
        <v>8</v>
      </c>
      <c r="FR730" s="27" t="s">
        <v>7</v>
      </c>
      <c r="GC730" s="27" t="s">
        <v>8</v>
      </c>
      <c r="HT730" s="27" t="s">
        <v>7</v>
      </c>
      <c r="HU730" s="27" t="s">
        <v>8</v>
      </c>
      <c r="HV730" s="27" t="s">
        <v>7</v>
      </c>
      <c r="IA730" s="27" t="s">
        <v>8</v>
      </c>
      <c r="IB730" s="27" t="s">
        <v>7</v>
      </c>
      <c r="IC730" s="27" t="s">
        <v>8</v>
      </c>
      <c r="ID730" s="27" t="s">
        <v>7</v>
      </c>
      <c r="IE730" s="27" t="s">
        <v>8</v>
      </c>
      <c r="IF730" s="27" t="s">
        <v>7</v>
      </c>
      <c r="IG730" s="27" t="s">
        <v>8</v>
      </c>
      <c r="IH730" s="27" t="s">
        <v>7</v>
      </c>
      <c r="JK730" s="27" t="s">
        <v>8</v>
      </c>
      <c r="JL730" s="27" t="s">
        <v>7</v>
      </c>
      <c r="JM730" s="27" t="s">
        <v>8</v>
      </c>
      <c r="JN730" s="27" t="s">
        <v>7</v>
      </c>
      <c r="JO730" s="27" t="s">
        <v>8</v>
      </c>
      <c r="JP730" s="27" t="s">
        <v>7</v>
      </c>
      <c r="JQ730" s="27" t="s">
        <v>8</v>
      </c>
      <c r="JR730" s="27" t="s">
        <v>7</v>
      </c>
      <c r="JS730" s="27" t="s">
        <v>8</v>
      </c>
      <c r="JT730" s="27" t="s">
        <v>7</v>
      </c>
      <c r="JU730" s="27" t="s">
        <v>8</v>
      </c>
      <c r="JX730" s="27" t="s">
        <v>7</v>
      </c>
      <c r="KS730" s="27" t="s">
        <v>8</v>
      </c>
      <c r="LE730" s="27" t="s">
        <v>8</v>
      </c>
      <c r="LF730" s="27" t="s">
        <v>7</v>
      </c>
    </row>
    <row r="731" spans="1:324" x14ac:dyDescent="0.25">
      <c r="A731" s="7">
        <v>5.7753095421182947E-2</v>
      </c>
      <c r="B731"/>
      <c r="C731"/>
      <c r="D731"/>
      <c r="E731"/>
      <c r="F731" s="27" t="s">
        <v>7</v>
      </c>
      <c r="CU731" s="27" t="s">
        <v>8</v>
      </c>
      <c r="CV731" s="27" t="s">
        <v>7</v>
      </c>
      <c r="CY731" s="27" t="s">
        <v>8</v>
      </c>
      <c r="CZ731" s="27" t="s">
        <v>7</v>
      </c>
      <c r="FA731" s="27" t="s">
        <v>8</v>
      </c>
      <c r="FB731" s="27" t="s">
        <v>7</v>
      </c>
      <c r="FI731" s="27" t="s">
        <v>8</v>
      </c>
      <c r="FL731" s="27" t="s">
        <v>7</v>
      </c>
      <c r="FM731" s="27" t="s">
        <v>8</v>
      </c>
      <c r="FN731" s="27" t="s">
        <v>7</v>
      </c>
      <c r="FO731" s="27" t="s">
        <v>8</v>
      </c>
      <c r="FP731" s="27" t="s">
        <v>7</v>
      </c>
      <c r="FQ731" s="27" t="s">
        <v>8</v>
      </c>
      <c r="FR731" s="27" t="s">
        <v>7</v>
      </c>
      <c r="GA731" s="27" t="s">
        <v>8</v>
      </c>
      <c r="GC731" s="27" t="s">
        <v>8</v>
      </c>
      <c r="HT731" s="27" t="s">
        <v>7</v>
      </c>
      <c r="HU731" s="27" t="s">
        <v>8</v>
      </c>
      <c r="HV731" s="27" t="s">
        <v>7</v>
      </c>
      <c r="IA731" s="27" t="s">
        <v>8</v>
      </c>
      <c r="IB731" s="27" t="s">
        <v>7</v>
      </c>
      <c r="IC731" s="27" t="s">
        <v>8</v>
      </c>
      <c r="ID731" s="27" t="s">
        <v>7</v>
      </c>
      <c r="IE731" s="27" t="s">
        <v>8</v>
      </c>
      <c r="IF731" s="27" t="s">
        <v>7</v>
      </c>
      <c r="IG731" s="27" t="s">
        <v>8</v>
      </c>
      <c r="IH731" s="27" t="s">
        <v>7</v>
      </c>
      <c r="IK731" s="27" t="s">
        <v>8</v>
      </c>
      <c r="JI731" s="27" t="s">
        <v>8</v>
      </c>
      <c r="JK731" s="27" t="s">
        <v>8</v>
      </c>
      <c r="JL731" s="27" t="s">
        <v>7</v>
      </c>
      <c r="JM731" s="27" t="s">
        <v>8</v>
      </c>
      <c r="JN731" s="27" t="s">
        <v>7</v>
      </c>
      <c r="JO731" s="27" t="s">
        <v>8</v>
      </c>
      <c r="JP731" s="27" t="s">
        <v>7</v>
      </c>
      <c r="JQ731" s="27" t="s">
        <v>8</v>
      </c>
      <c r="JR731" s="27" t="s">
        <v>7</v>
      </c>
      <c r="JS731" s="27" t="s">
        <v>8</v>
      </c>
      <c r="JT731" s="27" t="s">
        <v>7</v>
      </c>
      <c r="JX731" s="27" t="s">
        <v>7</v>
      </c>
      <c r="KS731" s="27" t="s">
        <v>8</v>
      </c>
      <c r="KT731" s="27" t="s">
        <v>7</v>
      </c>
      <c r="LC731" s="27" t="s">
        <v>8</v>
      </c>
      <c r="LE731" s="27" t="s">
        <v>8</v>
      </c>
      <c r="LF731" s="27" t="s">
        <v>7</v>
      </c>
      <c r="LK731" s="27" t="s">
        <v>8</v>
      </c>
    </row>
    <row r="732" spans="1:324" x14ac:dyDescent="0.25">
      <c r="A732" s="7">
        <v>5.6620681785473484E-2</v>
      </c>
      <c r="B732"/>
      <c r="C732"/>
      <c r="D732"/>
      <c r="E732"/>
      <c r="F732" s="27" t="s">
        <v>7</v>
      </c>
      <c r="CU732" s="27" t="s">
        <v>8</v>
      </c>
      <c r="CV732" s="27" t="s">
        <v>7</v>
      </c>
      <c r="CY732" s="27" t="s">
        <v>8</v>
      </c>
      <c r="CZ732" s="27" t="s">
        <v>7</v>
      </c>
      <c r="FA732" s="27" t="s">
        <v>8</v>
      </c>
      <c r="FB732" s="27" t="s">
        <v>7</v>
      </c>
      <c r="FI732" s="27" t="s">
        <v>8</v>
      </c>
      <c r="FL732" s="27" t="s">
        <v>7</v>
      </c>
      <c r="FM732" s="27" t="s">
        <v>8</v>
      </c>
      <c r="FN732" s="27" t="s">
        <v>7</v>
      </c>
      <c r="FO732" s="27" t="s">
        <v>8</v>
      </c>
      <c r="FP732" s="27" t="s">
        <v>7</v>
      </c>
      <c r="FQ732" s="27" t="s">
        <v>8</v>
      </c>
      <c r="FR732" s="27" t="s">
        <v>7</v>
      </c>
      <c r="GA732" s="27" t="s">
        <v>8</v>
      </c>
      <c r="GB732" s="27" t="s">
        <v>7</v>
      </c>
      <c r="GC732" s="27" t="s">
        <v>8</v>
      </c>
      <c r="HT732" s="27" t="s">
        <v>7</v>
      </c>
      <c r="HU732" s="27" t="s">
        <v>8</v>
      </c>
      <c r="HV732" s="27" t="s">
        <v>7</v>
      </c>
      <c r="HY732" s="27" t="s">
        <v>8</v>
      </c>
      <c r="IA732" s="27" t="s">
        <v>8</v>
      </c>
      <c r="IB732" s="27" t="s">
        <v>7</v>
      </c>
      <c r="IC732" s="27" t="s">
        <v>8</v>
      </c>
      <c r="ID732" s="27" t="s">
        <v>7</v>
      </c>
      <c r="IE732" s="27" t="s">
        <v>8</v>
      </c>
      <c r="IF732" s="27" t="s">
        <v>7</v>
      </c>
      <c r="IG732" s="27" t="s">
        <v>8</v>
      </c>
      <c r="IH732" s="27" t="s">
        <v>7</v>
      </c>
      <c r="IK732" s="27" t="s">
        <v>8</v>
      </c>
      <c r="IL732" s="27" t="s">
        <v>7</v>
      </c>
      <c r="JI732" s="27" t="s">
        <v>8</v>
      </c>
      <c r="JJ732" s="27" t="s">
        <v>7</v>
      </c>
      <c r="JK732" s="27" t="s">
        <v>8</v>
      </c>
      <c r="JL732" s="27" t="s">
        <v>7</v>
      </c>
      <c r="JM732" s="27" t="s">
        <v>8</v>
      </c>
      <c r="JN732" s="27" t="s">
        <v>7</v>
      </c>
      <c r="JO732" s="27" t="s">
        <v>8</v>
      </c>
      <c r="JP732" s="27" t="s">
        <v>7</v>
      </c>
      <c r="JQ732" s="27" t="s">
        <v>8</v>
      </c>
      <c r="JR732" s="27" t="s">
        <v>7</v>
      </c>
      <c r="JX732" s="27" t="s">
        <v>7</v>
      </c>
      <c r="KS732" s="27" t="s">
        <v>8</v>
      </c>
      <c r="KT732" s="27" t="s">
        <v>7</v>
      </c>
      <c r="LC732" s="27" t="s">
        <v>8</v>
      </c>
      <c r="LD732" s="27" t="s">
        <v>7</v>
      </c>
      <c r="LE732" s="27" t="s">
        <v>8</v>
      </c>
      <c r="LF732" s="27" t="s">
        <v>7</v>
      </c>
      <c r="LK732" s="27" t="s">
        <v>8</v>
      </c>
      <c r="LL732" s="27" t="s">
        <v>7</v>
      </c>
    </row>
    <row r="733" spans="1:324" x14ac:dyDescent="0.25">
      <c r="A733" s="7">
        <v>5.5510472338699497E-2</v>
      </c>
      <c r="B733"/>
      <c r="C733"/>
      <c r="D733"/>
      <c r="E733"/>
      <c r="F733" s="27" t="s">
        <v>7</v>
      </c>
      <c r="CU733" s="27" t="s">
        <v>8</v>
      </c>
      <c r="CV733" s="27" t="s">
        <v>7</v>
      </c>
      <c r="CW733" s="27" t="s">
        <v>8</v>
      </c>
      <c r="CY733" s="27" t="s">
        <v>8</v>
      </c>
      <c r="CZ733" s="27" t="s">
        <v>7</v>
      </c>
      <c r="FA733" s="27" t="s">
        <v>8</v>
      </c>
      <c r="FB733" s="27" t="s">
        <v>7</v>
      </c>
      <c r="FI733" s="27" t="s">
        <v>8</v>
      </c>
      <c r="FL733" s="27" t="s">
        <v>7</v>
      </c>
      <c r="FM733" s="27" t="s">
        <v>8</v>
      </c>
      <c r="FN733" s="27" t="s">
        <v>7</v>
      </c>
      <c r="FP733" s="27" t="s">
        <v>7</v>
      </c>
      <c r="FQ733" s="27" t="s">
        <v>8</v>
      </c>
      <c r="FR733" s="27" t="s">
        <v>7</v>
      </c>
      <c r="GA733" s="27" t="s">
        <v>8</v>
      </c>
      <c r="GB733" s="27" t="s">
        <v>7</v>
      </c>
      <c r="GC733" s="27" t="s">
        <v>8</v>
      </c>
      <c r="HT733" s="27" t="s">
        <v>7</v>
      </c>
      <c r="HU733" s="27" t="s">
        <v>8</v>
      </c>
      <c r="HV733" s="27" t="s">
        <v>7</v>
      </c>
      <c r="HY733" s="27" t="s">
        <v>8</v>
      </c>
      <c r="HZ733" s="27" t="s">
        <v>7</v>
      </c>
      <c r="IA733" s="27" t="s">
        <v>8</v>
      </c>
      <c r="IB733" s="27" t="s">
        <v>7</v>
      </c>
      <c r="IC733" s="27" t="s">
        <v>8</v>
      </c>
      <c r="ID733" s="27" t="s">
        <v>7</v>
      </c>
      <c r="IF733" s="27" t="s">
        <v>7</v>
      </c>
      <c r="IG733" s="27" t="s">
        <v>8</v>
      </c>
      <c r="IH733" s="27" t="s">
        <v>7</v>
      </c>
      <c r="IK733" s="27" t="s">
        <v>8</v>
      </c>
      <c r="IL733" s="27" t="s">
        <v>7</v>
      </c>
      <c r="JI733" s="27" t="s">
        <v>8</v>
      </c>
      <c r="JJ733" s="27" t="s">
        <v>7</v>
      </c>
      <c r="JK733" s="27" t="s">
        <v>8</v>
      </c>
      <c r="JL733" s="27" t="s">
        <v>7</v>
      </c>
      <c r="JM733" s="27" t="s">
        <v>8</v>
      </c>
      <c r="JN733" s="27" t="s">
        <v>7</v>
      </c>
      <c r="JO733" s="27" t="s">
        <v>8</v>
      </c>
      <c r="JP733" s="27" t="s">
        <v>7</v>
      </c>
      <c r="JQ733" s="27" t="s">
        <v>8</v>
      </c>
      <c r="JX733" s="27" t="s">
        <v>7</v>
      </c>
      <c r="KS733" s="27" t="s">
        <v>8</v>
      </c>
      <c r="KT733" s="27" t="s">
        <v>7</v>
      </c>
      <c r="KY733" s="27" t="s">
        <v>8</v>
      </c>
      <c r="LC733" s="27" t="s">
        <v>8</v>
      </c>
      <c r="LD733" s="27" t="s">
        <v>7</v>
      </c>
      <c r="LE733" s="27" t="s">
        <v>8</v>
      </c>
      <c r="LF733" s="27" t="s">
        <v>7</v>
      </c>
      <c r="LK733" s="27" t="s">
        <v>8</v>
      </c>
      <c r="LL733" s="27" t="s">
        <v>7</v>
      </c>
    </row>
    <row r="734" spans="1:324" x14ac:dyDescent="0.25">
      <c r="A734" s="7">
        <v>5.4422031704607354E-2</v>
      </c>
      <c r="B734"/>
      <c r="C734"/>
      <c r="D734"/>
      <c r="E734"/>
      <c r="F734" s="27" t="s">
        <v>7</v>
      </c>
      <c r="CU734" s="27" t="s">
        <v>8</v>
      </c>
      <c r="CV734" s="27" t="s">
        <v>7</v>
      </c>
      <c r="CW734" s="27" t="s">
        <v>8</v>
      </c>
      <c r="CX734" s="27" t="s">
        <v>7</v>
      </c>
      <c r="CY734" s="27" t="s">
        <v>8</v>
      </c>
      <c r="CZ734" s="27" t="s">
        <v>7</v>
      </c>
      <c r="FA734" s="27" t="s">
        <v>8</v>
      </c>
      <c r="FB734" s="27" t="s">
        <v>7</v>
      </c>
      <c r="FI734" s="27" t="s">
        <v>8</v>
      </c>
      <c r="FL734" s="27" t="s">
        <v>7</v>
      </c>
      <c r="FM734" s="27" t="s">
        <v>8</v>
      </c>
      <c r="FP734" s="27" t="s">
        <v>7</v>
      </c>
      <c r="FR734" s="27" t="s">
        <v>7</v>
      </c>
      <c r="FS734" s="27" t="s">
        <v>8</v>
      </c>
      <c r="GA734" s="27" t="s">
        <v>8</v>
      </c>
      <c r="GB734" s="27" t="s">
        <v>7</v>
      </c>
      <c r="GC734" s="27" t="s">
        <v>8</v>
      </c>
      <c r="HT734" s="27" t="s">
        <v>7</v>
      </c>
      <c r="HU734" s="27" t="s">
        <v>8</v>
      </c>
      <c r="HV734" s="27" t="s">
        <v>7</v>
      </c>
      <c r="HW734" s="27" t="s">
        <v>8</v>
      </c>
      <c r="HY734" s="27" t="s">
        <v>8</v>
      </c>
      <c r="HZ734" s="27" t="s">
        <v>7</v>
      </c>
      <c r="IA734" s="27" t="s">
        <v>8</v>
      </c>
      <c r="IB734" s="27" t="s">
        <v>7</v>
      </c>
      <c r="IC734" s="27" t="s">
        <v>8</v>
      </c>
      <c r="IF734" s="27" t="s">
        <v>7</v>
      </c>
      <c r="IG734" s="27" t="s">
        <v>8</v>
      </c>
      <c r="IH734" s="27" t="s">
        <v>7</v>
      </c>
      <c r="II734" s="27" t="s">
        <v>8</v>
      </c>
      <c r="IK734" s="27" t="s">
        <v>8</v>
      </c>
      <c r="IL734" s="27" t="s">
        <v>7</v>
      </c>
      <c r="JG734" s="27" t="s">
        <v>8</v>
      </c>
      <c r="JI734" s="27" t="s">
        <v>8</v>
      </c>
      <c r="JJ734" s="27" t="s">
        <v>7</v>
      </c>
      <c r="JK734" s="27" t="s">
        <v>8</v>
      </c>
      <c r="JL734" s="27" t="s">
        <v>7</v>
      </c>
      <c r="JM734" s="27" t="s">
        <v>8</v>
      </c>
      <c r="JN734" s="27" t="s">
        <v>7</v>
      </c>
      <c r="JP734" s="27" t="s">
        <v>7</v>
      </c>
      <c r="JQ734" s="27" t="s">
        <v>8</v>
      </c>
      <c r="JX734" s="27" t="s">
        <v>7</v>
      </c>
      <c r="KC734" s="27" t="s">
        <v>8</v>
      </c>
      <c r="KE734" s="27" t="s">
        <v>8</v>
      </c>
      <c r="KS734" s="27" t="s">
        <v>8</v>
      </c>
      <c r="KT734" s="27" t="s">
        <v>7</v>
      </c>
      <c r="KY734" s="27" t="s">
        <v>8</v>
      </c>
      <c r="KZ734" s="27" t="s">
        <v>7</v>
      </c>
      <c r="LA734" s="27" t="s">
        <v>8</v>
      </c>
      <c r="LC734" s="27" t="s">
        <v>8</v>
      </c>
      <c r="LD734" s="27" t="s">
        <v>7</v>
      </c>
      <c r="LE734" s="27" t="s">
        <v>8</v>
      </c>
      <c r="LF734" s="27" t="s">
        <v>7</v>
      </c>
      <c r="LG734" s="27" t="s">
        <v>8</v>
      </c>
      <c r="LK734" s="27" t="s">
        <v>8</v>
      </c>
      <c r="LL734" s="27" t="s">
        <v>7</v>
      </c>
    </row>
    <row r="735" spans="1:324" x14ac:dyDescent="0.25">
      <c r="A735" s="7">
        <v>5.3354933043732705E-2</v>
      </c>
      <c r="B735"/>
      <c r="C735"/>
      <c r="D735"/>
      <c r="E735"/>
      <c r="F735" s="27" t="s">
        <v>7</v>
      </c>
      <c r="CU735" s="27" t="s">
        <v>8</v>
      </c>
      <c r="CV735" s="27" t="s">
        <v>7</v>
      </c>
      <c r="CW735" s="27" t="s">
        <v>8</v>
      </c>
      <c r="CX735" s="27" t="s">
        <v>7</v>
      </c>
      <c r="CY735" s="27" t="s">
        <v>8</v>
      </c>
      <c r="CZ735" s="27" t="s">
        <v>7</v>
      </c>
      <c r="FA735" s="27" t="s">
        <v>8</v>
      </c>
      <c r="FB735" s="27" t="s">
        <v>7</v>
      </c>
      <c r="FG735" s="27" t="s">
        <v>8</v>
      </c>
      <c r="FI735" s="27" t="s">
        <v>8</v>
      </c>
      <c r="FL735" s="27" t="s">
        <v>7</v>
      </c>
      <c r="FM735" s="27" t="s">
        <v>8</v>
      </c>
      <c r="FR735" s="27" t="s">
        <v>7</v>
      </c>
      <c r="FS735" s="27" t="s">
        <v>8</v>
      </c>
      <c r="FT735" s="27" t="s">
        <v>7</v>
      </c>
      <c r="GA735" s="27" t="s">
        <v>8</v>
      </c>
      <c r="GB735" s="27" t="s">
        <v>7</v>
      </c>
      <c r="HT735" s="27" t="s">
        <v>7</v>
      </c>
      <c r="HU735" s="27" t="s">
        <v>8</v>
      </c>
      <c r="HV735" s="27" t="s">
        <v>7</v>
      </c>
      <c r="HW735" s="27" t="s">
        <v>8</v>
      </c>
      <c r="HX735" s="27" t="s">
        <v>7</v>
      </c>
      <c r="HY735" s="27" t="s">
        <v>8</v>
      </c>
      <c r="HZ735" s="27" t="s">
        <v>7</v>
      </c>
      <c r="IA735" s="27" t="s">
        <v>8</v>
      </c>
      <c r="IB735" s="27" t="s">
        <v>7</v>
      </c>
      <c r="IC735" s="27" t="s">
        <v>8</v>
      </c>
      <c r="IF735" s="27" t="s">
        <v>7</v>
      </c>
      <c r="IG735" s="27" t="s">
        <v>8</v>
      </c>
      <c r="IH735" s="27" t="s">
        <v>7</v>
      </c>
      <c r="II735" s="27" t="s">
        <v>8</v>
      </c>
      <c r="IJ735" s="27" t="s">
        <v>7</v>
      </c>
      <c r="IK735" s="27" t="s">
        <v>8</v>
      </c>
      <c r="IL735" s="27" t="s">
        <v>7</v>
      </c>
      <c r="JG735" s="27" t="s">
        <v>8</v>
      </c>
      <c r="JH735" s="27" t="s">
        <v>7</v>
      </c>
      <c r="JI735" s="27" t="s">
        <v>8</v>
      </c>
      <c r="JJ735" s="27" t="s">
        <v>7</v>
      </c>
      <c r="JK735" s="27" t="s">
        <v>8</v>
      </c>
      <c r="JL735" s="27" t="s">
        <v>7</v>
      </c>
      <c r="JM735" s="27" t="s">
        <v>8</v>
      </c>
      <c r="JP735" s="27" t="s">
        <v>7</v>
      </c>
      <c r="JX735" s="27" t="s">
        <v>7</v>
      </c>
      <c r="KC735" s="27" t="s">
        <v>8</v>
      </c>
      <c r="KD735" s="27" t="s">
        <v>7</v>
      </c>
      <c r="KE735" s="27" t="s">
        <v>8</v>
      </c>
      <c r="KF735" s="27" t="s">
        <v>7</v>
      </c>
      <c r="KS735" s="27" t="s">
        <v>8</v>
      </c>
      <c r="KT735" s="27" t="s">
        <v>7</v>
      </c>
      <c r="KY735" s="27" t="s">
        <v>8</v>
      </c>
      <c r="KZ735" s="27" t="s">
        <v>7</v>
      </c>
      <c r="LA735" s="27" t="s">
        <v>8</v>
      </c>
      <c r="LB735" s="27" t="s">
        <v>7</v>
      </c>
      <c r="LC735" s="27" t="s">
        <v>8</v>
      </c>
      <c r="LD735" s="27" t="s">
        <v>7</v>
      </c>
      <c r="LE735" s="27" t="s">
        <v>8</v>
      </c>
      <c r="LF735" s="27" t="s">
        <v>7</v>
      </c>
      <c r="LG735" s="27" t="s">
        <v>8</v>
      </c>
      <c r="LH735" s="27" t="s">
        <v>7</v>
      </c>
      <c r="LK735" s="27" t="s">
        <v>8</v>
      </c>
      <c r="LL735" s="27" t="s">
        <v>7</v>
      </c>
    </row>
    <row r="736" spans="1:324" x14ac:dyDescent="0.25">
      <c r="A736" s="7">
        <v>5.2308757886012455E-2</v>
      </c>
      <c r="B736"/>
      <c r="C736"/>
      <c r="D736"/>
      <c r="E736"/>
      <c r="F736" s="27" t="s">
        <v>7</v>
      </c>
      <c r="CU736" s="27" t="s">
        <v>8</v>
      </c>
      <c r="CV736" s="27" t="s">
        <v>7</v>
      </c>
      <c r="CW736" s="27" t="s">
        <v>8</v>
      </c>
      <c r="CX736" s="27" t="s">
        <v>7</v>
      </c>
      <c r="CY736" s="27" t="s">
        <v>8</v>
      </c>
      <c r="CZ736" s="27" t="s">
        <v>7</v>
      </c>
      <c r="FA736" s="27" t="s">
        <v>8</v>
      </c>
      <c r="FB736" s="27" t="s">
        <v>7</v>
      </c>
      <c r="FG736" s="27" t="s">
        <v>8</v>
      </c>
      <c r="FH736" s="27" t="s">
        <v>7</v>
      </c>
      <c r="FI736" s="27" t="s">
        <v>8</v>
      </c>
      <c r="FL736" s="27" t="s">
        <v>7</v>
      </c>
      <c r="FM736" s="27" t="s">
        <v>8</v>
      </c>
      <c r="FR736" s="27" t="s">
        <v>7</v>
      </c>
      <c r="FS736" s="27" t="s">
        <v>8</v>
      </c>
      <c r="FT736" s="27" t="s">
        <v>7</v>
      </c>
      <c r="FY736" s="27" t="s">
        <v>8</v>
      </c>
      <c r="GA736" s="27" t="s">
        <v>8</v>
      </c>
      <c r="HT736" s="27" t="s">
        <v>7</v>
      </c>
      <c r="HU736" s="27" t="s">
        <v>8</v>
      </c>
      <c r="HV736" s="27" t="s">
        <v>7</v>
      </c>
      <c r="HW736" s="27" t="s">
        <v>8</v>
      </c>
      <c r="HX736" s="27" t="s">
        <v>7</v>
      </c>
      <c r="HY736" s="27" t="s">
        <v>8</v>
      </c>
      <c r="HZ736" s="27" t="s">
        <v>7</v>
      </c>
      <c r="IA736" s="27" t="s">
        <v>8</v>
      </c>
      <c r="IB736" s="27" t="s">
        <v>7</v>
      </c>
      <c r="IC736" s="27" t="s">
        <v>8</v>
      </c>
      <c r="IF736" s="27" t="s">
        <v>7</v>
      </c>
      <c r="IH736" s="27" t="s">
        <v>7</v>
      </c>
      <c r="II736" s="27" t="s">
        <v>8</v>
      </c>
      <c r="IJ736" s="27" t="s">
        <v>7</v>
      </c>
      <c r="IK736" s="27" t="s">
        <v>8</v>
      </c>
      <c r="IL736" s="27" t="s">
        <v>7</v>
      </c>
      <c r="JG736" s="27" t="s">
        <v>8</v>
      </c>
      <c r="JH736" s="27" t="s">
        <v>7</v>
      </c>
      <c r="JI736" s="27" t="s">
        <v>8</v>
      </c>
      <c r="JJ736" s="27" t="s">
        <v>7</v>
      </c>
      <c r="JK736" s="27" t="s">
        <v>8</v>
      </c>
      <c r="JL736" s="27" t="s">
        <v>7</v>
      </c>
      <c r="JM736" s="27" t="s">
        <v>8</v>
      </c>
      <c r="JX736" s="27" t="s">
        <v>7</v>
      </c>
      <c r="JY736" s="27" t="s">
        <v>8</v>
      </c>
      <c r="KC736" s="27" t="s">
        <v>8</v>
      </c>
      <c r="KD736" s="27" t="s">
        <v>7</v>
      </c>
      <c r="KE736" s="27" t="s">
        <v>8</v>
      </c>
      <c r="KF736" s="27" t="s">
        <v>7</v>
      </c>
      <c r="KS736" s="27" t="s">
        <v>8</v>
      </c>
      <c r="KT736" s="27" t="s">
        <v>7</v>
      </c>
      <c r="KU736" s="27" t="s">
        <v>8</v>
      </c>
      <c r="KY736" s="27" t="s">
        <v>8</v>
      </c>
      <c r="KZ736" s="27" t="s">
        <v>7</v>
      </c>
      <c r="LA736" s="27" t="s">
        <v>8</v>
      </c>
      <c r="LB736" s="27" t="s">
        <v>7</v>
      </c>
      <c r="LC736" s="27" t="s">
        <v>8</v>
      </c>
      <c r="LD736" s="27" t="s">
        <v>7</v>
      </c>
      <c r="LE736" s="27" t="s">
        <v>8</v>
      </c>
      <c r="LF736" s="27" t="s">
        <v>7</v>
      </c>
      <c r="LG736" s="27" t="s">
        <v>8</v>
      </c>
      <c r="LH736" s="27" t="s">
        <v>7</v>
      </c>
      <c r="LK736" s="27" t="s">
        <v>8</v>
      </c>
      <c r="LL736" s="27" t="s">
        <v>7</v>
      </c>
    </row>
    <row r="737" spans="1:338" x14ac:dyDescent="0.25">
      <c r="A737" s="7">
        <v>5.1283095966678877E-2</v>
      </c>
      <c r="B737"/>
      <c r="C737"/>
      <c r="D737"/>
      <c r="E737"/>
      <c r="F737" s="27" t="s">
        <v>7</v>
      </c>
      <c r="CU737" s="27" t="s">
        <v>8</v>
      </c>
      <c r="CV737" s="27" t="s">
        <v>7</v>
      </c>
      <c r="CW737" s="27" t="s">
        <v>8</v>
      </c>
      <c r="CX737" s="27" t="s">
        <v>7</v>
      </c>
      <c r="CY737" s="27" t="s">
        <v>8</v>
      </c>
      <c r="CZ737" s="27" t="s">
        <v>7</v>
      </c>
      <c r="FA737" s="27" t="s">
        <v>8</v>
      </c>
      <c r="FB737" s="27" t="s">
        <v>7</v>
      </c>
      <c r="FG737" s="27" t="s">
        <v>8</v>
      </c>
      <c r="FH737" s="27" t="s">
        <v>7</v>
      </c>
      <c r="FI737" s="27" t="s">
        <v>8</v>
      </c>
      <c r="FL737" s="27" t="s">
        <v>7</v>
      </c>
      <c r="FM737" s="27" t="s">
        <v>8</v>
      </c>
      <c r="FR737" s="27" t="s">
        <v>7</v>
      </c>
      <c r="FS737" s="27" t="s">
        <v>8</v>
      </c>
      <c r="FT737" s="27" t="s">
        <v>7</v>
      </c>
      <c r="FY737" s="27" t="s">
        <v>8</v>
      </c>
      <c r="FZ737" s="27" t="s">
        <v>7</v>
      </c>
      <c r="GA737" s="27" t="s">
        <v>8</v>
      </c>
      <c r="HT737" s="27" t="s">
        <v>7</v>
      </c>
      <c r="HU737" s="27" t="s">
        <v>8</v>
      </c>
      <c r="HV737" s="27" t="s">
        <v>7</v>
      </c>
      <c r="HW737" s="27" t="s">
        <v>8</v>
      </c>
      <c r="HX737" s="27" t="s">
        <v>7</v>
      </c>
      <c r="HY737" s="27" t="s">
        <v>8</v>
      </c>
      <c r="HZ737" s="27" t="s">
        <v>7</v>
      </c>
      <c r="IA737" s="27" t="s">
        <v>8</v>
      </c>
      <c r="IB737" s="27" t="s">
        <v>7</v>
      </c>
      <c r="IH737" s="27" t="s">
        <v>7</v>
      </c>
      <c r="II737" s="27" t="s">
        <v>8</v>
      </c>
      <c r="IJ737" s="27" t="s">
        <v>7</v>
      </c>
      <c r="IK737" s="27" t="s">
        <v>8</v>
      </c>
      <c r="IL737" s="27" t="s">
        <v>7</v>
      </c>
      <c r="JG737" s="27" t="s">
        <v>8</v>
      </c>
      <c r="JH737" s="27" t="s">
        <v>7</v>
      </c>
      <c r="JI737" s="27" t="s">
        <v>8</v>
      </c>
      <c r="JJ737" s="27" t="s">
        <v>7</v>
      </c>
      <c r="JL737" s="27" t="s">
        <v>7</v>
      </c>
      <c r="JX737" s="27" t="s">
        <v>7</v>
      </c>
      <c r="JY737" s="27" t="s">
        <v>8</v>
      </c>
      <c r="JZ737" s="27" t="s">
        <v>7</v>
      </c>
      <c r="KC737" s="27" t="s">
        <v>8</v>
      </c>
      <c r="KD737" s="27" t="s">
        <v>7</v>
      </c>
      <c r="KE737" s="27" t="s">
        <v>8</v>
      </c>
      <c r="KF737" s="27" t="s">
        <v>7</v>
      </c>
      <c r="KQ737" s="27" t="s">
        <v>8</v>
      </c>
      <c r="KS737" s="27" t="s">
        <v>8</v>
      </c>
      <c r="KT737" s="27" t="s">
        <v>7</v>
      </c>
      <c r="KU737" s="27" t="s">
        <v>8</v>
      </c>
      <c r="KV737" s="27" t="s">
        <v>7</v>
      </c>
      <c r="KW737" s="27" t="s">
        <v>8</v>
      </c>
      <c r="KY737" s="27" t="s">
        <v>8</v>
      </c>
      <c r="KZ737" s="27" t="s">
        <v>7</v>
      </c>
      <c r="LA737" s="27" t="s">
        <v>8</v>
      </c>
      <c r="LB737" s="27" t="s">
        <v>7</v>
      </c>
      <c r="LC737" s="27" t="s">
        <v>8</v>
      </c>
      <c r="LD737" s="27" t="s">
        <v>7</v>
      </c>
      <c r="LF737" s="27" t="s">
        <v>7</v>
      </c>
      <c r="LG737" s="27" t="s">
        <v>8</v>
      </c>
      <c r="LH737" s="27" t="s">
        <v>7</v>
      </c>
      <c r="LI737" s="27" t="s">
        <v>8</v>
      </c>
      <c r="LK737" s="27" t="s">
        <v>8</v>
      </c>
      <c r="LL737" s="27" t="s">
        <v>7</v>
      </c>
    </row>
    <row r="738" spans="1:338" x14ac:dyDescent="0.25">
      <c r="A738" s="7">
        <v>5.0277545065371444E-2</v>
      </c>
      <c r="B738"/>
      <c r="C738"/>
      <c r="D738"/>
      <c r="E738"/>
      <c r="F738" s="27" t="s">
        <v>7</v>
      </c>
      <c r="CU738" s="27" t="s">
        <v>8</v>
      </c>
      <c r="CV738" s="27" t="s">
        <v>7</v>
      </c>
      <c r="CW738" s="27" t="s">
        <v>8</v>
      </c>
      <c r="CX738" s="27" t="s">
        <v>7</v>
      </c>
      <c r="CY738" s="27" t="s">
        <v>8</v>
      </c>
      <c r="CZ738" s="27" t="s">
        <v>7</v>
      </c>
      <c r="FA738" s="27" t="s">
        <v>8</v>
      </c>
      <c r="FB738" s="27" t="s">
        <v>7</v>
      </c>
      <c r="FG738" s="27" t="s">
        <v>8</v>
      </c>
      <c r="FH738" s="27" t="s">
        <v>7</v>
      </c>
      <c r="FI738" s="27" t="s">
        <v>8</v>
      </c>
      <c r="FL738" s="27" t="s">
        <v>7</v>
      </c>
      <c r="FR738" s="27" t="s">
        <v>7</v>
      </c>
      <c r="FS738" s="27" t="s">
        <v>8</v>
      </c>
      <c r="FT738" s="27" t="s">
        <v>7</v>
      </c>
      <c r="FY738" s="27" t="s">
        <v>8</v>
      </c>
      <c r="FZ738" s="27" t="s">
        <v>7</v>
      </c>
      <c r="GA738" s="27" t="s">
        <v>8</v>
      </c>
      <c r="HT738" s="27" t="s">
        <v>7</v>
      </c>
      <c r="HU738" s="27" t="s">
        <v>8</v>
      </c>
      <c r="HV738" s="27" t="s">
        <v>7</v>
      </c>
      <c r="HW738" s="27" t="s">
        <v>8</v>
      </c>
      <c r="HX738" s="27" t="s">
        <v>7</v>
      </c>
      <c r="HY738" s="27" t="s">
        <v>8</v>
      </c>
      <c r="HZ738" s="27" t="s">
        <v>7</v>
      </c>
      <c r="IA738" s="27" t="s">
        <v>8</v>
      </c>
      <c r="IH738" s="27" t="s">
        <v>7</v>
      </c>
      <c r="II738" s="27" t="s">
        <v>8</v>
      </c>
      <c r="IJ738" s="27" t="s">
        <v>7</v>
      </c>
      <c r="IK738" s="27" t="s">
        <v>8</v>
      </c>
      <c r="IL738" s="27" t="s">
        <v>7</v>
      </c>
      <c r="JG738" s="27" t="s">
        <v>8</v>
      </c>
      <c r="JH738" s="27" t="s">
        <v>7</v>
      </c>
      <c r="JX738" s="27" t="s">
        <v>7</v>
      </c>
      <c r="JY738" s="27" t="s">
        <v>8</v>
      </c>
      <c r="JZ738" s="27" t="s">
        <v>7</v>
      </c>
      <c r="KA738" s="27" t="s">
        <v>8</v>
      </c>
      <c r="KC738" s="27" t="s">
        <v>8</v>
      </c>
      <c r="KD738" s="27" t="s">
        <v>7</v>
      </c>
      <c r="KF738" s="27" t="s">
        <v>7</v>
      </c>
      <c r="KO738" s="27" t="s">
        <v>8</v>
      </c>
      <c r="KQ738" s="27" t="s">
        <v>8</v>
      </c>
      <c r="KR738" s="27" t="s">
        <v>7</v>
      </c>
      <c r="KS738" s="27" t="s">
        <v>8</v>
      </c>
      <c r="KT738" s="27" t="s">
        <v>7</v>
      </c>
      <c r="KU738" s="27" t="s">
        <v>8</v>
      </c>
      <c r="KV738" s="27" t="s">
        <v>7</v>
      </c>
      <c r="KW738" s="27" t="s">
        <v>8</v>
      </c>
      <c r="KX738" s="27" t="s">
        <v>7</v>
      </c>
      <c r="KY738" s="27" t="s">
        <v>8</v>
      </c>
      <c r="KZ738" s="27" t="s">
        <v>7</v>
      </c>
      <c r="LA738" s="27" t="s">
        <v>8</v>
      </c>
      <c r="LB738" s="27" t="s">
        <v>7</v>
      </c>
      <c r="LC738" s="27" t="s">
        <v>8</v>
      </c>
      <c r="LF738" s="27" t="s">
        <v>7</v>
      </c>
      <c r="LG738" s="27" t="s">
        <v>8</v>
      </c>
      <c r="LH738" s="27" t="s">
        <v>7</v>
      </c>
      <c r="LI738" s="27" t="s">
        <v>8</v>
      </c>
      <c r="LJ738" s="27" t="s">
        <v>7</v>
      </c>
      <c r="LK738" s="27" t="s">
        <v>8</v>
      </c>
      <c r="LL738" s="27" t="s">
        <v>7</v>
      </c>
    </row>
    <row r="739" spans="1:338" x14ac:dyDescent="0.25">
      <c r="A739" s="7">
        <v>4.9291710848403378E-2</v>
      </c>
      <c r="B739"/>
      <c r="C739"/>
      <c r="D739"/>
      <c r="E739"/>
      <c r="F739" s="27" t="s">
        <v>7</v>
      </c>
      <c r="CU739" s="27" t="s">
        <v>8</v>
      </c>
      <c r="CV739" s="27" t="s">
        <v>7</v>
      </c>
      <c r="CW739" s="27" t="s">
        <v>8</v>
      </c>
      <c r="CX739" s="27" t="s">
        <v>7</v>
      </c>
      <c r="CY739" s="27" t="s">
        <v>8</v>
      </c>
      <c r="CZ739" s="27" t="s">
        <v>7</v>
      </c>
      <c r="FA739" s="27" t="s">
        <v>8</v>
      </c>
      <c r="FB739" s="27" t="s">
        <v>7</v>
      </c>
      <c r="FG739" s="27" t="s">
        <v>8</v>
      </c>
      <c r="FH739" s="27" t="s">
        <v>7</v>
      </c>
      <c r="FI739" s="27" t="s">
        <v>8</v>
      </c>
      <c r="FR739" s="27" t="s">
        <v>7</v>
      </c>
      <c r="FS739" s="27" t="s">
        <v>8</v>
      </c>
      <c r="FT739" s="27" t="s">
        <v>7</v>
      </c>
      <c r="FW739" s="27" t="s">
        <v>8</v>
      </c>
      <c r="FY739" s="27" t="s">
        <v>8</v>
      </c>
      <c r="FZ739" s="27" t="s">
        <v>7</v>
      </c>
      <c r="GA739" s="27" t="s">
        <v>8</v>
      </c>
      <c r="HT739" s="27" t="s">
        <v>7</v>
      </c>
      <c r="HU739" s="27" t="s">
        <v>8</v>
      </c>
      <c r="HV739" s="27" t="s">
        <v>7</v>
      </c>
      <c r="HW739" s="27" t="s">
        <v>8</v>
      </c>
      <c r="HX739" s="27" t="s">
        <v>7</v>
      </c>
      <c r="HY739" s="27" t="s">
        <v>8</v>
      </c>
      <c r="HZ739" s="27" t="s">
        <v>7</v>
      </c>
      <c r="IA739" s="27" t="s">
        <v>8</v>
      </c>
      <c r="IH739" s="27" t="s">
        <v>7</v>
      </c>
      <c r="II739" s="27" t="s">
        <v>8</v>
      </c>
      <c r="IJ739" s="27" t="s">
        <v>7</v>
      </c>
      <c r="IK739" s="27" t="s">
        <v>8</v>
      </c>
      <c r="IL739" s="27" t="s">
        <v>7</v>
      </c>
      <c r="JG739" s="27" t="s">
        <v>8</v>
      </c>
      <c r="JX739" s="27" t="s">
        <v>7</v>
      </c>
      <c r="JY739" s="27" t="s">
        <v>8</v>
      </c>
      <c r="JZ739" s="27" t="s">
        <v>7</v>
      </c>
      <c r="KA739" s="27" t="s">
        <v>8</v>
      </c>
      <c r="KB739" s="27" t="s">
        <v>7</v>
      </c>
      <c r="KC739" s="27" t="s">
        <v>8</v>
      </c>
      <c r="KF739" s="27" t="s">
        <v>7</v>
      </c>
      <c r="KO739" s="27" t="s">
        <v>8</v>
      </c>
      <c r="KP739" s="27" t="s">
        <v>7</v>
      </c>
      <c r="KQ739" s="27" t="s">
        <v>8</v>
      </c>
      <c r="KR739" s="27" t="s">
        <v>7</v>
      </c>
      <c r="KS739" s="27" t="s">
        <v>8</v>
      </c>
      <c r="KT739" s="27" t="s">
        <v>7</v>
      </c>
      <c r="KU739" s="27" t="s">
        <v>8</v>
      </c>
      <c r="KV739" s="27" t="s">
        <v>7</v>
      </c>
      <c r="KW739" s="27" t="s">
        <v>8</v>
      </c>
      <c r="KX739" s="27" t="s">
        <v>7</v>
      </c>
      <c r="KY739" s="27" t="s">
        <v>8</v>
      </c>
      <c r="KZ739" s="27" t="s">
        <v>7</v>
      </c>
      <c r="LA739" s="27" t="s">
        <v>8</v>
      </c>
      <c r="LB739" s="27" t="s">
        <v>7</v>
      </c>
      <c r="LC739" s="27" t="s">
        <v>8</v>
      </c>
      <c r="LF739" s="27" t="s">
        <v>7</v>
      </c>
      <c r="LG739" s="27" t="s">
        <v>8</v>
      </c>
      <c r="LH739" s="27" t="s">
        <v>7</v>
      </c>
      <c r="LI739" s="27" t="s">
        <v>8</v>
      </c>
      <c r="LJ739" s="27" t="s">
        <v>7</v>
      </c>
      <c r="LK739" s="27" t="s">
        <v>8</v>
      </c>
      <c r="LL739" s="27" t="s">
        <v>7</v>
      </c>
    </row>
    <row r="740" spans="1:338" x14ac:dyDescent="0.25">
      <c r="A740" s="7">
        <v>4.8325206714120959E-2</v>
      </c>
      <c r="B740"/>
      <c r="C740"/>
      <c r="D740"/>
      <c r="E740"/>
      <c r="F740" s="27" t="s">
        <v>7</v>
      </c>
      <c r="CU740" s="27" t="s">
        <v>8</v>
      </c>
      <c r="CV740" s="27" t="s">
        <v>7</v>
      </c>
      <c r="CW740" s="27" t="s">
        <v>8</v>
      </c>
      <c r="CX740" s="27" t="s">
        <v>7</v>
      </c>
      <c r="CY740" s="27" t="s">
        <v>8</v>
      </c>
      <c r="CZ740" s="27" t="s">
        <v>7</v>
      </c>
      <c r="FA740" s="27" t="s">
        <v>8</v>
      </c>
      <c r="FB740" s="27" t="s">
        <v>7</v>
      </c>
      <c r="FG740" s="27" t="s">
        <v>8</v>
      </c>
      <c r="FH740" s="27" t="s">
        <v>7</v>
      </c>
      <c r="FI740" s="27" t="s">
        <v>8</v>
      </c>
      <c r="FR740" s="27" t="s">
        <v>7</v>
      </c>
      <c r="FS740" s="27" t="s">
        <v>8</v>
      </c>
      <c r="FT740" s="27" t="s">
        <v>7</v>
      </c>
      <c r="FW740" s="27" t="s">
        <v>8</v>
      </c>
      <c r="FX740" s="27" t="s">
        <v>7</v>
      </c>
      <c r="FY740" s="27" t="s">
        <v>8</v>
      </c>
      <c r="FZ740" s="27" t="s">
        <v>7</v>
      </c>
      <c r="GA740" s="27" t="s">
        <v>8</v>
      </c>
      <c r="HT740" s="27" t="s">
        <v>7</v>
      </c>
      <c r="HU740" s="27" t="s">
        <v>8</v>
      </c>
      <c r="HV740" s="27" t="s">
        <v>7</v>
      </c>
      <c r="HW740" s="27" t="s">
        <v>8</v>
      </c>
      <c r="HX740" s="27" t="s">
        <v>7</v>
      </c>
      <c r="HY740" s="27" t="s">
        <v>8</v>
      </c>
      <c r="HZ740" s="27" t="s">
        <v>7</v>
      </c>
      <c r="IH740" s="27" t="s">
        <v>7</v>
      </c>
      <c r="II740" s="27" t="s">
        <v>8</v>
      </c>
      <c r="IJ740" s="27" t="s">
        <v>7</v>
      </c>
      <c r="IK740" s="27" t="s">
        <v>8</v>
      </c>
      <c r="IL740" s="27" t="s">
        <v>7</v>
      </c>
      <c r="IO740" s="27" t="s">
        <v>8</v>
      </c>
      <c r="JG740" s="27" t="s">
        <v>8</v>
      </c>
      <c r="JX740" s="27" t="s">
        <v>7</v>
      </c>
      <c r="JY740" s="27" t="s">
        <v>8</v>
      </c>
      <c r="JZ740" s="27" t="s">
        <v>7</v>
      </c>
      <c r="KA740" s="27" t="s">
        <v>8</v>
      </c>
      <c r="KB740" s="27" t="s">
        <v>7</v>
      </c>
      <c r="KC740" s="27" t="s">
        <v>8</v>
      </c>
      <c r="KF740" s="27" t="s">
        <v>7</v>
      </c>
      <c r="KO740" s="27" t="s">
        <v>8</v>
      </c>
      <c r="KP740" s="27" t="s">
        <v>7</v>
      </c>
      <c r="KQ740" s="27" t="s">
        <v>8</v>
      </c>
      <c r="KR740" s="27" t="s">
        <v>7</v>
      </c>
      <c r="KS740" s="27" t="s">
        <v>8</v>
      </c>
      <c r="KT740" s="27" t="s">
        <v>7</v>
      </c>
      <c r="KV740" s="27" t="s">
        <v>7</v>
      </c>
      <c r="KW740" s="27" t="s">
        <v>8</v>
      </c>
      <c r="KX740" s="27" t="s">
        <v>7</v>
      </c>
      <c r="KY740" s="27" t="s">
        <v>8</v>
      </c>
      <c r="KZ740" s="27" t="s">
        <v>7</v>
      </c>
      <c r="LB740" s="27" t="s">
        <v>7</v>
      </c>
      <c r="LC740" s="27" t="s">
        <v>8</v>
      </c>
      <c r="LF740" s="27" t="s">
        <v>7</v>
      </c>
      <c r="LG740" s="27" t="s">
        <v>8</v>
      </c>
      <c r="LH740" s="27" t="s">
        <v>7</v>
      </c>
      <c r="LI740" s="27" t="s">
        <v>8</v>
      </c>
      <c r="LJ740" s="27" t="s">
        <v>7</v>
      </c>
      <c r="LK740" s="27" t="s">
        <v>8</v>
      </c>
      <c r="LL740" s="27" t="s">
        <v>7</v>
      </c>
    </row>
    <row r="741" spans="1:338" x14ac:dyDescent="0.25">
      <c r="A741" s="7">
        <v>4.7377653641295057E-2</v>
      </c>
      <c r="B741"/>
      <c r="C741"/>
      <c r="D741"/>
      <c r="E741"/>
      <c r="F741" s="27" t="s">
        <v>7</v>
      </c>
      <c r="CU741" s="27" t="s">
        <v>8</v>
      </c>
      <c r="CV741" s="27" t="s">
        <v>7</v>
      </c>
      <c r="CW741" s="27" t="s">
        <v>8</v>
      </c>
      <c r="CX741" s="27" t="s">
        <v>7</v>
      </c>
      <c r="CY741" s="27" t="s">
        <v>8</v>
      </c>
      <c r="CZ741" s="27" t="s">
        <v>7</v>
      </c>
      <c r="FA741" s="27" t="s">
        <v>8</v>
      </c>
      <c r="FB741" s="27" t="s">
        <v>7</v>
      </c>
      <c r="FE741" s="27" t="s">
        <v>8</v>
      </c>
      <c r="FG741" s="27" t="s">
        <v>8</v>
      </c>
      <c r="FH741" s="27" t="s">
        <v>7</v>
      </c>
      <c r="FI741" s="27" t="s">
        <v>8</v>
      </c>
      <c r="FR741" s="27" t="s">
        <v>7</v>
      </c>
      <c r="FS741" s="27" t="s">
        <v>8</v>
      </c>
      <c r="FT741" s="27" t="s">
        <v>7</v>
      </c>
      <c r="FU741" s="27" t="s">
        <v>8</v>
      </c>
      <c r="FW741" s="27" t="s">
        <v>8</v>
      </c>
      <c r="FX741" s="27" t="s">
        <v>7</v>
      </c>
      <c r="FY741" s="27" t="s">
        <v>8</v>
      </c>
      <c r="FZ741" s="27" t="s">
        <v>7</v>
      </c>
      <c r="GA741" s="27" t="s">
        <v>8</v>
      </c>
      <c r="HT741" s="27" t="s">
        <v>7</v>
      </c>
      <c r="HU741" s="27" t="s">
        <v>8</v>
      </c>
      <c r="HV741" s="27" t="s">
        <v>7</v>
      </c>
      <c r="HW741" s="27" t="s">
        <v>8</v>
      </c>
      <c r="HX741" s="27" t="s">
        <v>7</v>
      </c>
      <c r="HY741" s="27" t="s">
        <v>8</v>
      </c>
      <c r="IH741" s="27" t="s">
        <v>7</v>
      </c>
      <c r="II741" s="27" t="s">
        <v>8</v>
      </c>
      <c r="IJ741" s="27" t="s">
        <v>7</v>
      </c>
      <c r="IK741" s="27" t="s">
        <v>8</v>
      </c>
      <c r="IL741" s="27" t="s">
        <v>7</v>
      </c>
      <c r="IO741" s="27" t="s">
        <v>8</v>
      </c>
      <c r="IP741" s="27" t="s">
        <v>7</v>
      </c>
      <c r="JG741" s="27" t="s">
        <v>8</v>
      </c>
      <c r="JX741" s="27" t="s">
        <v>7</v>
      </c>
      <c r="JY741" s="27" t="s">
        <v>8</v>
      </c>
      <c r="JZ741" s="27" t="s">
        <v>7</v>
      </c>
      <c r="KA741" s="27" t="s">
        <v>8</v>
      </c>
      <c r="KB741" s="27" t="s">
        <v>7</v>
      </c>
      <c r="KC741" s="27" t="s">
        <v>8</v>
      </c>
      <c r="KF741" s="27" t="s">
        <v>7</v>
      </c>
      <c r="KO741" s="27" t="s">
        <v>8</v>
      </c>
      <c r="KP741" s="27" t="s">
        <v>7</v>
      </c>
      <c r="KQ741" s="27" t="s">
        <v>8</v>
      </c>
      <c r="KR741" s="27" t="s">
        <v>7</v>
      </c>
      <c r="KS741" s="27" t="s">
        <v>8</v>
      </c>
      <c r="KV741" s="27" t="s">
        <v>7</v>
      </c>
      <c r="KW741" s="27" t="s">
        <v>8</v>
      </c>
      <c r="KX741" s="27" t="s">
        <v>7</v>
      </c>
      <c r="KY741" s="27" t="s">
        <v>8</v>
      </c>
      <c r="LB741" s="27" t="s">
        <v>7</v>
      </c>
      <c r="LC741" s="27" t="s">
        <v>8</v>
      </c>
      <c r="LF741" s="27" t="s">
        <v>7</v>
      </c>
      <c r="LG741" s="27" t="s">
        <v>8</v>
      </c>
      <c r="LH741" s="27" t="s">
        <v>7</v>
      </c>
      <c r="LI741" s="27" t="s">
        <v>8</v>
      </c>
      <c r="LJ741" s="27" t="s">
        <v>7</v>
      </c>
      <c r="LK741" s="27" t="s">
        <v>8</v>
      </c>
      <c r="LL741" s="27" t="s">
        <v>7</v>
      </c>
    </row>
    <row r="742" spans="1:338" x14ac:dyDescent="0.25">
      <c r="A742" s="7">
        <v>4.644868004048535E-2</v>
      </c>
      <c r="B742"/>
      <c r="C742"/>
      <c r="D742"/>
      <c r="E742"/>
      <c r="F742" s="27" t="s">
        <v>7</v>
      </c>
      <c r="CU742" s="27" t="s">
        <v>8</v>
      </c>
      <c r="CV742" s="27" t="s">
        <v>7</v>
      </c>
      <c r="CW742" s="27" t="s">
        <v>8</v>
      </c>
      <c r="CX742" s="27" t="s">
        <v>7</v>
      </c>
      <c r="CZ742" s="27" t="s">
        <v>7</v>
      </c>
      <c r="FA742" s="27" t="s">
        <v>8</v>
      </c>
      <c r="FB742" s="27" t="s">
        <v>7</v>
      </c>
      <c r="FE742" s="27" t="s">
        <v>8</v>
      </c>
      <c r="FF742" s="27" t="s">
        <v>7</v>
      </c>
      <c r="FG742" s="27" t="s">
        <v>8</v>
      </c>
      <c r="FH742" s="27" t="s">
        <v>7</v>
      </c>
      <c r="FI742" s="27" t="s">
        <v>8</v>
      </c>
      <c r="FR742" s="27" t="s">
        <v>7</v>
      </c>
      <c r="FS742" s="27" t="s">
        <v>8</v>
      </c>
      <c r="FT742" s="27" t="s">
        <v>7</v>
      </c>
      <c r="FU742" s="27" t="s">
        <v>8</v>
      </c>
      <c r="FV742" s="27" t="s">
        <v>7</v>
      </c>
      <c r="FW742" s="27" t="s">
        <v>8</v>
      </c>
      <c r="FX742" s="27" t="s">
        <v>7</v>
      </c>
      <c r="FY742" s="27" t="s">
        <v>8</v>
      </c>
      <c r="FZ742" s="27" t="s">
        <v>7</v>
      </c>
      <c r="GA742" s="27" t="s">
        <v>8</v>
      </c>
      <c r="HT742" s="27" t="s">
        <v>7</v>
      </c>
      <c r="HU742" s="27" t="s">
        <v>8</v>
      </c>
      <c r="HV742" s="27" t="s">
        <v>7</v>
      </c>
      <c r="HW742" s="27" t="s">
        <v>8</v>
      </c>
      <c r="HX742" s="27" t="s">
        <v>7</v>
      </c>
      <c r="HY742" s="27" t="s">
        <v>8</v>
      </c>
      <c r="IH742" s="27" t="s">
        <v>7</v>
      </c>
      <c r="II742" s="27" t="s">
        <v>8</v>
      </c>
      <c r="IJ742" s="27" t="s">
        <v>7</v>
      </c>
      <c r="IK742" s="27" t="s">
        <v>8</v>
      </c>
      <c r="IL742" s="27" t="s">
        <v>7</v>
      </c>
      <c r="IM742" s="27" t="s">
        <v>8</v>
      </c>
      <c r="IO742" s="27" t="s">
        <v>8</v>
      </c>
      <c r="IP742" s="27" t="s">
        <v>7</v>
      </c>
      <c r="IQ742" s="27" t="s">
        <v>8</v>
      </c>
      <c r="IS742" s="27" t="s">
        <v>8</v>
      </c>
      <c r="JG742" s="27" t="s">
        <v>8</v>
      </c>
      <c r="JX742" s="27" t="s">
        <v>7</v>
      </c>
      <c r="JY742" s="27" t="s">
        <v>8</v>
      </c>
      <c r="JZ742" s="27" t="s">
        <v>7</v>
      </c>
      <c r="KA742" s="27" t="s">
        <v>8</v>
      </c>
      <c r="KB742" s="27" t="s">
        <v>7</v>
      </c>
      <c r="KC742" s="27" t="s">
        <v>8</v>
      </c>
      <c r="KF742" s="27" t="s">
        <v>7</v>
      </c>
      <c r="KG742" s="27" t="s">
        <v>8</v>
      </c>
      <c r="KO742" s="27" t="s">
        <v>8</v>
      </c>
      <c r="KP742" s="27" t="s">
        <v>7</v>
      </c>
      <c r="KQ742" s="27" t="s">
        <v>8</v>
      </c>
      <c r="KR742" s="27" t="s">
        <v>7</v>
      </c>
      <c r="KS742" s="27" t="s">
        <v>8</v>
      </c>
      <c r="KV742" s="27" t="s">
        <v>7</v>
      </c>
      <c r="KX742" s="27" t="s">
        <v>7</v>
      </c>
      <c r="KY742" s="27" t="s">
        <v>8</v>
      </c>
      <c r="LB742" s="27" t="s">
        <v>7</v>
      </c>
      <c r="LC742" s="27" t="s">
        <v>8</v>
      </c>
      <c r="LF742" s="27" t="s">
        <v>7</v>
      </c>
      <c r="LG742" s="27" t="s">
        <v>8</v>
      </c>
      <c r="LH742" s="27" t="s">
        <v>7</v>
      </c>
      <c r="LI742" s="27" t="s">
        <v>8</v>
      </c>
      <c r="LJ742" s="27" t="s">
        <v>7</v>
      </c>
      <c r="LL742" s="27" t="s">
        <v>7</v>
      </c>
    </row>
    <row r="743" spans="1:338" x14ac:dyDescent="0.25">
      <c r="A743" s="7">
        <v>4.5537921608318974E-2</v>
      </c>
      <c r="B743"/>
      <c r="C743"/>
      <c r="D743"/>
      <c r="E743"/>
      <c r="F743" s="27" t="s">
        <v>7</v>
      </c>
      <c r="CU743" s="27" t="s">
        <v>8</v>
      </c>
      <c r="CV743" s="27" t="s">
        <v>7</v>
      </c>
      <c r="CW743" s="27" t="s">
        <v>8</v>
      </c>
      <c r="CZ743" s="27" t="s">
        <v>7</v>
      </c>
      <c r="FA743" s="27" t="s">
        <v>8</v>
      </c>
      <c r="FB743" s="27" t="s">
        <v>7</v>
      </c>
      <c r="FC743" s="27" t="s">
        <v>8</v>
      </c>
      <c r="FE743" s="27" t="s">
        <v>8</v>
      </c>
      <c r="FF743" s="27" t="s">
        <v>7</v>
      </c>
      <c r="FG743" s="27" t="s">
        <v>8</v>
      </c>
      <c r="FH743" s="27" t="s">
        <v>7</v>
      </c>
      <c r="FI743" s="27" t="s">
        <v>8</v>
      </c>
      <c r="FR743" s="27" t="s">
        <v>7</v>
      </c>
      <c r="FS743" s="27" t="s">
        <v>8</v>
      </c>
      <c r="FT743" s="27" t="s">
        <v>7</v>
      </c>
      <c r="FU743" s="27" t="s">
        <v>8</v>
      </c>
      <c r="FV743" s="27" t="s">
        <v>7</v>
      </c>
      <c r="FW743" s="27" t="s">
        <v>8</v>
      </c>
      <c r="FX743" s="27" t="s">
        <v>7</v>
      </c>
      <c r="FY743" s="27" t="s">
        <v>8</v>
      </c>
      <c r="FZ743" s="27" t="s">
        <v>7</v>
      </c>
      <c r="HT743" s="27" t="s">
        <v>7</v>
      </c>
      <c r="HU743" s="27" t="s">
        <v>8</v>
      </c>
      <c r="HV743" s="27" t="s">
        <v>7</v>
      </c>
      <c r="HW743" s="27" t="s">
        <v>8</v>
      </c>
      <c r="HX743" s="27" t="s">
        <v>7</v>
      </c>
      <c r="HY743" s="27" t="s">
        <v>8</v>
      </c>
      <c r="IH743" s="27" t="s">
        <v>7</v>
      </c>
      <c r="IJ743" s="27" t="s">
        <v>7</v>
      </c>
      <c r="IK743" s="27" t="s">
        <v>8</v>
      </c>
      <c r="IL743" s="27" t="s">
        <v>7</v>
      </c>
      <c r="IM743" s="27" t="s">
        <v>8</v>
      </c>
      <c r="IN743" s="27" t="s">
        <v>7</v>
      </c>
      <c r="IO743" s="27" t="s">
        <v>8</v>
      </c>
      <c r="IP743" s="27" t="s">
        <v>7</v>
      </c>
      <c r="IQ743" s="27" t="s">
        <v>8</v>
      </c>
      <c r="IR743" s="27" t="s">
        <v>7</v>
      </c>
      <c r="IS743" s="27" t="s">
        <v>8</v>
      </c>
      <c r="IT743" s="27" t="s">
        <v>7</v>
      </c>
      <c r="JG743" s="27" t="s">
        <v>8</v>
      </c>
      <c r="JX743" s="27" t="s">
        <v>7</v>
      </c>
      <c r="JY743" s="27" t="s">
        <v>8</v>
      </c>
      <c r="JZ743" s="27" t="s">
        <v>7</v>
      </c>
      <c r="KB743" s="27" t="s">
        <v>7</v>
      </c>
      <c r="KC743" s="27" t="s">
        <v>8</v>
      </c>
      <c r="KF743" s="27" t="s">
        <v>7</v>
      </c>
      <c r="KG743" s="27" t="s">
        <v>8</v>
      </c>
      <c r="KH743" s="27" t="s">
        <v>7</v>
      </c>
      <c r="KM743" s="27" t="s">
        <v>8</v>
      </c>
      <c r="KO743" s="27" t="s">
        <v>8</v>
      </c>
      <c r="KP743" s="27" t="s">
        <v>7</v>
      </c>
      <c r="KQ743" s="27" t="s">
        <v>8</v>
      </c>
      <c r="KR743" s="27" t="s">
        <v>7</v>
      </c>
      <c r="KS743" s="27" t="s">
        <v>8</v>
      </c>
      <c r="KX743" s="27" t="s">
        <v>7</v>
      </c>
      <c r="KY743" s="27" t="s">
        <v>8</v>
      </c>
      <c r="LB743" s="27" t="s">
        <v>7</v>
      </c>
      <c r="LF743" s="27" t="s">
        <v>7</v>
      </c>
      <c r="LG743" s="27" t="s">
        <v>8</v>
      </c>
      <c r="LH743" s="27" t="s">
        <v>7</v>
      </c>
      <c r="LI743" s="27" t="s">
        <v>8</v>
      </c>
      <c r="LL743" s="27" t="s">
        <v>7</v>
      </c>
    </row>
    <row r="744" spans="1:338" x14ac:dyDescent="0.25">
      <c r="A744" s="7">
        <v>4.4645021184626446E-2</v>
      </c>
      <c r="B744"/>
      <c r="C744"/>
      <c r="D744"/>
      <c r="E744"/>
      <c r="F744" s="27" t="s">
        <v>7</v>
      </c>
      <c r="CU744" s="27" t="s">
        <v>8</v>
      </c>
      <c r="CV744" s="27" t="s">
        <v>7</v>
      </c>
      <c r="CW744" s="27" t="s">
        <v>8</v>
      </c>
      <c r="CZ744" s="27" t="s">
        <v>7</v>
      </c>
      <c r="FA744" s="27" t="s">
        <v>8</v>
      </c>
      <c r="FB744" s="27" t="s">
        <v>7</v>
      </c>
      <c r="FC744" s="27" t="s">
        <v>8</v>
      </c>
      <c r="FD744" s="27" t="s">
        <v>7</v>
      </c>
      <c r="FE744" s="27" t="s">
        <v>8</v>
      </c>
      <c r="FF744" s="27" t="s">
        <v>7</v>
      </c>
      <c r="FG744" s="27" t="s">
        <v>8</v>
      </c>
      <c r="FH744" s="27" t="s">
        <v>7</v>
      </c>
      <c r="FR744" s="27" t="s">
        <v>7</v>
      </c>
      <c r="FS744" s="27" t="s">
        <v>8</v>
      </c>
      <c r="FT744" s="27" t="s">
        <v>7</v>
      </c>
      <c r="FU744" s="27" t="s">
        <v>8</v>
      </c>
      <c r="FV744" s="27" t="s">
        <v>7</v>
      </c>
      <c r="FW744" s="27" t="s">
        <v>8</v>
      </c>
      <c r="FX744" s="27" t="s">
        <v>7</v>
      </c>
      <c r="FY744" s="27" t="s">
        <v>8</v>
      </c>
      <c r="HT744" s="27" t="s">
        <v>7</v>
      </c>
      <c r="HU744" s="27" t="s">
        <v>8</v>
      </c>
      <c r="HV744" s="27" t="s">
        <v>7</v>
      </c>
      <c r="HX744" s="27" t="s">
        <v>7</v>
      </c>
      <c r="HY744" s="27" t="s">
        <v>8</v>
      </c>
      <c r="IJ744" s="27" t="s">
        <v>7</v>
      </c>
      <c r="IL744" s="27" t="s">
        <v>7</v>
      </c>
      <c r="IM744" s="27" t="s">
        <v>8</v>
      </c>
      <c r="IN744" s="27" t="s">
        <v>7</v>
      </c>
      <c r="IO744" s="27" t="s">
        <v>8</v>
      </c>
      <c r="IP744" s="27" t="s">
        <v>7</v>
      </c>
      <c r="IQ744" s="27" t="s">
        <v>8</v>
      </c>
      <c r="IR744" s="27" t="s">
        <v>7</v>
      </c>
      <c r="IS744" s="27" t="s">
        <v>8</v>
      </c>
      <c r="IT744" s="27" t="s">
        <v>7</v>
      </c>
      <c r="JE744" s="27" t="s">
        <v>8</v>
      </c>
      <c r="JG744" s="27" t="s">
        <v>8</v>
      </c>
      <c r="JX744" s="27" t="s">
        <v>7</v>
      </c>
      <c r="JY744" s="27" t="s">
        <v>8</v>
      </c>
      <c r="KB744" s="27" t="s">
        <v>7</v>
      </c>
      <c r="KC744" s="27" t="s">
        <v>8</v>
      </c>
      <c r="KF744" s="27" t="s">
        <v>7</v>
      </c>
      <c r="KG744" s="27" t="s">
        <v>8</v>
      </c>
      <c r="KH744" s="27" t="s">
        <v>7</v>
      </c>
      <c r="KM744" s="27" t="s">
        <v>8</v>
      </c>
      <c r="KN744" s="27" t="s">
        <v>7</v>
      </c>
      <c r="KO744" s="27" t="s">
        <v>8</v>
      </c>
      <c r="KP744" s="27" t="s">
        <v>7</v>
      </c>
      <c r="KR744" s="27" t="s">
        <v>7</v>
      </c>
      <c r="KS744" s="27" t="s">
        <v>8</v>
      </c>
      <c r="KX744" s="27" t="s">
        <v>7</v>
      </c>
      <c r="KY744" s="27" t="s">
        <v>8</v>
      </c>
      <c r="LF744" s="27" t="s">
        <v>7</v>
      </c>
      <c r="LH744" s="27" t="s">
        <v>7</v>
      </c>
      <c r="LL744" s="27" t="s">
        <v>7</v>
      </c>
    </row>
    <row r="745" spans="1:338" x14ac:dyDescent="0.25">
      <c r="A745" s="7">
        <v>4.3769628612378868E-2</v>
      </c>
      <c r="B745"/>
      <c r="C745"/>
      <c r="D745"/>
      <c r="E745"/>
      <c r="F745" s="27" t="s">
        <v>7</v>
      </c>
      <c r="CU745" s="27" t="s">
        <v>8</v>
      </c>
      <c r="CV745" s="27" t="s">
        <v>7</v>
      </c>
      <c r="CW745" s="27" t="s">
        <v>8</v>
      </c>
      <c r="CZ745" s="27" t="s">
        <v>7</v>
      </c>
      <c r="FA745" s="27" t="s">
        <v>8</v>
      </c>
      <c r="FB745" s="27" t="s">
        <v>7</v>
      </c>
      <c r="FC745" s="27" t="s">
        <v>8</v>
      </c>
      <c r="FD745" s="27" t="s">
        <v>7</v>
      </c>
      <c r="FE745" s="27" t="s">
        <v>8</v>
      </c>
      <c r="FF745" s="27" t="s">
        <v>7</v>
      </c>
      <c r="FG745" s="27" t="s">
        <v>8</v>
      </c>
      <c r="FR745" s="27" t="s">
        <v>7</v>
      </c>
      <c r="FS745" s="27" t="s">
        <v>8</v>
      </c>
      <c r="FT745" s="27" t="s">
        <v>7</v>
      </c>
      <c r="FU745" s="27" t="s">
        <v>8</v>
      </c>
      <c r="FV745" s="27" t="s">
        <v>7</v>
      </c>
      <c r="FW745" s="27" t="s">
        <v>8</v>
      </c>
      <c r="FX745" s="27" t="s">
        <v>7</v>
      </c>
      <c r="HT745" s="27" t="s">
        <v>7</v>
      </c>
      <c r="HU745" s="27" t="s">
        <v>8</v>
      </c>
      <c r="HX745" s="27" t="s">
        <v>7</v>
      </c>
      <c r="HY745" s="27" t="s">
        <v>8</v>
      </c>
      <c r="IL745" s="27" t="s">
        <v>7</v>
      </c>
      <c r="IM745" s="27" t="s">
        <v>8</v>
      </c>
      <c r="IN745" s="27" t="s">
        <v>7</v>
      </c>
      <c r="IO745" s="27" t="s">
        <v>8</v>
      </c>
      <c r="IP745" s="27" t="s">
        <v>7</v>
      </c>
      <c r="IQ745" s="27" t="s">
        <v>8</v>
      </c>
      <c r="IR745" s="27" t="s">
        <v>7</v>
      </c>
      <c r="IS745" s="27" t="s">
        <v>8</v>
      </c>
      <c r="IT745" s="27" t="s">
        <v>7</v>
      </c>
      <c r="IU745" s="27" t="s">
        <v>8</v>
      </c>
      <c r="JC745" s="27" t="s">
        <v>8</v>
      </c>
      <c r="JE745" s="27" t="s">
        <v>8</v>
      </c>
      <c r="JF745" s="27" t="s">
        <v>7</v>
      </c>
      <c r="JG745" s="27" t="s">
        <v>8</v>
      </c>
      <c r="JX745" s="27" t="s">
        <v>7</v>
      </c>
      <c r="JY745" s="27" t="s">
        <v>8</v>
      </c>
      <c r="KB745" s="27" t="s">
        <v>7</v>
      </c>
      <c r="KF745" s="27" t="s">
        <v>7</v>
      </c>
      <c r="KG745" s="27" t="s">
        <v>8</v>
      </c>
      <c r="KH745" s="27" t="s">
        <v>7</v>
      </c>
      <c r="KM745" s="27" t="s">
        <v>8</v>
      </c>
      <c r="KN745" s="27" t="s">
        <v>7</v>
      </c>
      <c r="KO745" s="27" t="s">
        <v>8</v>
      </c>
      <c r="KR745" s="27" t="s">
        <v>7</v>
      </c>
      <c r="KS745" s="27" t="s">
        <v>8</v>
      </c>
      <c r="KX745" s="27" t="s">
        <v>7</v>
      </c>
      <c r="KY745" s="27" t="s">
        <v>8</v>
      </c>
      <c r="LL745" s="27" t="s">
        <v>7</v>
      </c>
    </row>
    <row r="746" spans="1:338" x14ac:dyDescent="0.25">
      <c r="A746" s="7">
        <v>4.2911400600371442E-2</v>
      </c>
      <c r="B746"/>
      <c r="C746"/>
      <c r="D746"/>
      <c r="E746"/>
      <c r="F746" s="27" t="s">
        <v>7</v>
      </c>
      <c r="CU746" s="27" t="s">
        <v>8</v>
      </c>
      <c r="CV746" s="27" t="s">
        <v>7</v>
      </c>
      <c r="CW746" s="27" t="s">
        <v>8</v>
      </c>
      <c r="CZ746" s="27" t="s">
        <v>7</v>
      </c>
      <c r="FA746" s="27" t="s">
        <v>8</v>
      </c>
      <c r="FB746" s="27" t="s">
        <v>7</v>
      </c>
      <c r="FC746" s="27" t="s">
        <v>8</v>
      </c>
      <c r="FD746" s="27" t="s">
        <v>7</v>
      </c>
      <c r="FE746" s="27" t="s">
        <v>8</v>
      </c>
      <c r="FF746" s="27" t="s">
        <v>7</v>
      </c>
      <c r="FG746" s="27" t="s">
        <v>8</v>
      </c>
      <c r="FR746" s="27" t="s">
        <v>7</v>
      </c>
      <c r="FS746" s="27" t="s">
        <v>8</v>
      </c>
      <c r="FT746" s="27" t="s">
        <v>7</v>
      </c>
      <c r="FU746" s="27" t="s">
        <v>8</v>
      </c>
      <c r="FV746" s="27" t="s">
        <v>7</v>
      </c>
      <c r="FW746" s="27" t="s">
        <v>8</v>
      </c>
      <c r="HT746" s="27" t="s">
        <v>7</v>
      </c>
      <c r="HX746" s="27" t="s">
        <v>7</v>
      </c>
      <c r="HY746" s="27" t="s">
        <v>8</v>
      </c>
      <c r="IL746" s="27" t="s">
        <v>7</v>
      </c>
      <c r="IM746" s="27" t="s">
        <v>8</v>
      </c>
      <c r="IN746" s="27" t="s">
        <v>7</v>
      </c>
      <c r="IO746" s="27" t="s">
        <v>8</v>
      </c>
      <c r="IP746" s="27" t="s">
        <v>7</v>
      </c>
      <c r="IQ746" s="27" t="s">
        <v>8</v>
      </c>
      <c r="IR746" s="27" t="s">
        <v>7</v>
      </c>
      <c r="IS746" s="27" t="s">
        <v>8</v>
      </c>
      <c r="IT746" s="27" t="s">
        <v>7</v>
      </c>
      <c r="IU746" s="27" t="s">
        <v>8</v>
      </c>
      <c r="IV746" s="27" t="s">
        <v>7</v>
      </c>
      <c r="JC746" s="27" t="s">
        <v>8</v>
      </c>
      <c r="JD746" s="27" t="s">
        <v>7</v>
      </c>
      <c r="JE746" s="27" t="s">
        <v>8</v>
      </c>
      <c r="JF746" s="27" t="s">
        <v>7</v>
      </c>
      <c r="JG746" s="27" t="s">
        <v>8</v>
      </c>
      <c r="JX746" s="27" t="s">
        <v>7</v>
      </c>
      <c r="JY746" s="27" t="s">
        <v>8</v>
      </c>
      <c r="KF746" s="27" t="s">
        <v>7</v>
      </c>
      <c r="KG746" s="27" t="s">
        <v>8</v>
      </c>
      <c r="KH746" s="27" t="s">
        <v>7</v>
      </c>
      <c r="KI746" s="27" t="s">
        <v>8</v>
      </c>
      <c r="KM746" s="27" t="s">
        <v>8</v>
      </c>
      <c r="KN746" s="27" t="s">
        <v>7</v>
      </c>
      <c r="KR746" s="27" t="s">
        <v>7</v>
      </c>
      <c r="KS746" s="27" t="s">
        <v>8</v>
      </c>
      <c r="KX746" s="27" t="s">
        <v>7</v>
      </c>
      <c r="LL746" s="27" t="s">
        <v>7</v>
      </c>
    </row>
    <row r="747" spans="1:338" x14ac:dyDescent="0.25">
      <c r="A747" s="7">
        <v>4.2070000588599457E-2</v>
      </c>
      <c r="B747"/>
      <c r="C747"/>
      <c r="D747"/>
      <c r="E747"/>
      <c r="F747" s="27" t="s">
        <v>7</v>
      </c>
      <c r="I747" s="27" t="s">
        <v>8</v>
      </c>
      <c r="CU747" s="27" t="s">
        <v>8</v>
      </c>
      <c r="CV747" s="27" t="s">
        <v>7</v>
      </c>
      <c r="CW747" s="27" t="s">
        <v>8</v>
      </c>
      <c r="CZ747" s="27" t="s">
        <v>7</v>
      </c>
      <c r="FA747" s="27" t="s">
        <v>8</v>
      </c>
      <c r="FB747" s="27" t="s">
        <v>7</v>
      </c>
      <c r="FC747" s="27" t="s">
        <v>8</v>
      </c>
      <c r="FD747" s="27" t="s">
        <v>7</v>
      </c>
      <c r="FE747" s="27" t="s">
        <v>8</v>
      </c>
      <c r="FF747" s="27" t="s">
        <v>7</v>
      </c>
      <c r="FG747" s="27" t="s">
        <v>8</v>
      </c>
      <c r="FR747" s="27" t="s">
        <v>7</v>
      </c>
      <c r="FS747" s="27" t="s">
        <v>8</v>
      </c>
      <c r="FT747" s="27" t="s">
        <v>7</v>
      </c>
      <c r="FU747" s="27" t="s">
        <v>8</v>
      </c>
      <c r="FV747" s="27" t="s">
        <v>7</v>
      </c>
      <c r="FW747" s="27" t="s">
        <v>8</v>
      </c>
      <c r="HX747" s="27" t="s">
        <v>7</v>
      </c>
      <c r="HY747" s="27" t="s">
        <v>8</v>
      </c>
      <c r="IL747" s="27" t="s">
        <v>7</v>
      </c>
      <c r="IM747" s="27" t="s">
        <v>8</v>
      </c>
      <c r="IN747" s="27" t="s">
        <v>7</v>
      </c>
      <c r="IO747" s="27" t="s">
        <v>8</v>
      </c>
      <c r="IP747" s="27" t="s">
        <v>7</v>
      </c>
      <c r="IQ747" s="27" t="s">
        <v>8</v>
      </c>
      <c r="IR747" s="27" t="s">
        <v>7</v>
      </c>
      <c r="IT747" s="27" t="s">
        <v>7</v>
      </c>
      <c r="IU747" s="27" t="s">
        <v>8</v>
      </c>
      <c r="IV747" s="27" t="s">
        <v>7</v>
      </c>
      <c r="JC747" s="27" t="s">
        <v>8</v>
      </c>
      <c r="JD747" s="27" t="s">
        <v>7</v>
      </c>
      <c r="JE747" s="27" t="s">
        <v>8</v>
      </c>
      <c r="JF747" s="27" t="s">
        <v>7</v>
      </c>
      <c r="JG747" s="27" t="s">
        <v>8</v>
      </c>
      <c r="JX747" s="27" t="s">
        <v>7</v>
      </c>
      <c r="JY747" s="27" t="s">
        <v>8</v>
      </c>
      <c r="KF747" s="27" t="s">
        <v>7</v>
      </c>
      <c r="KG747" s="27" t="s">
        <v>8</v>
      </c>
      <c r="KH747" s="27" t="s">
        <v>7</v>
      </c>
      <c r="KI747" s="27" t="s">
        <v>8</v>
      </c>
      <c r="KJ747" s="27" t="s">
        <v>7</v>
      </c>
      <c r="KM747" s="27" t="s">
        <v>8</v>
      </c>
      <c r="KR747" s="27" t="s">
        <v>7</v>
      </c>
      <c r="KS747" s="27" t="s">
        <v>8</v>
      </c>
      <c r="LL747" s="27" t="s">
        <v>7</v>
      </c>
    </row>
    <row r="748" spans="1:338" x14ac:dyDescent="0.25">
      <c r="A748" s="7">
        <v>4.1245098616273977E-2</v>
      </c>
      <c r="B748"/>
      <c r="C748"/>
      <c r="D748"/>
      <c r="E748"/>
      <c r="F748" s="27" t="s">
        <v>7</v>
      </c>
      <c r="I748" s="27" t="s">
        <v>8</v>
      </c>
      <c r="J748" s="27" t="s">
        <v>7</v>
      </c>
      <c r="CU748" s="27" t="s">
        <v>8</v>
      </c>
      <c r="CV748" s="27" t="s">
        <v>7</v>
      </c>
      <c r="CW748" s="27" t="s">
        <v>8</v>
      </c>
      <c r="CZ748" s="27" t="s">
        <v>7</v>
      </c>
      <c r="FA748" s="27" t="s">
        <v>8</v>
      </c>
      <c r="FB748" s="27" t="s">
        <v>7</v>
      </c>
      <c r="FC748" s="27" t="s">
        <v>8</v>
      </c>
      <c r="FD748" s="27" t="s">
        <v>7</v>
      </c>
      <c r="FE748" s="27" t="s">
        <v>8</v>
      </c>
      <c r="FF748" s="27" t="s">
        <v>7</v>
      </c>
      <c r="FG748" s="27" t="s">
        <v>8</v>
      </c>
      <c r="FR748" s="27" t="s">
        <v>7</v>
      </c>
      <c r="FS748" s="27" t="s">
        <v>8</v>
      </c>
      <c r="FT748" s="27" t="s">
        <v>7</v>
      </c>
      <c r="FU748" s="27" t="s">
        <v>8</v>
      </c>
      <c r="FV748" s="27" t="s">
        <v>7</v>
      </c>
      <c r="FW748" s="27" t="s">
        <v>8</v>
      </c>
      <c r="HX748" s="27" t="s">
        <v>7</v>
      </c>
      <c r="HY748" s="27" t="s">
        <v>8</v>
      </c>
      <c r="IL748" s="27" t="s">
        <v>7</v>
      </c>
      <c r="IM748" s="27" t="s">
        <v>8</v>
      </c>
      <c r="IN748" s="27" t="s">
        <v>7</v>
      </c>
      <c r="IO748" s="27" t="s">
        <v>8</v>
      </c>
      <c r="IP748" s="27" t="s">
        <v>7</v>
      </c>
      <c r="IQ748" s="27" t="s">
        <v>8</v>
      </c>
      <c r="IT748" s="27" t="s">
        <v>7</v>
      </c>
      <c r="IU748" s="27" t="s">
        <v>8</v>
      </c>
      <c r="IV748" s="27" t="s">
        <v>7</v>
      </c>
      <c r="IW748" s="27" t="s">
        <v>8</v>
      </c>
      <c r="JC748" s="27" t="s">
        <v>8</v>
      </c>
      <c r="JD748" s="27" t="s">
        <v>7</v>
      </c>
      <c r="JE748" s="27" t="s">
        <v>8</v>
      </c>
      <c r="JF748" s="27" t="s">
        <v>7</v>
      </c>
      <c r="JG748" s="27" t="s">
        <v>8</v>
      </c>
      <c r="JX748" s="27" t="s">
        <v>7</v>
      </c>
      <c r="KF748" s="27" t="s">
        <v>7</v>
      </c>
      <c r="KG748" s="27" t="s">
        <v>8</v>
      </c>
      <c r="KH748" s="27" t="s">
        <v>7</v>
      </c>
      <c r="KI748" s="27" t="s">
        <v>8</v>
      </c>
      <c r="KJ748" s="27" t="s">
        <v>7</v>
      </c>
      <c r="KK748" s="27" t="s">
        <v>8</v>
      </c>
      <c r="KM748" s="27" t="s">
        <v>8</v>
      </c>
      <c r="KR748" s="27" t="s">
        <v>7</v>
      </c>
      <c r="LL748" s="27" t="s">
        <v>7</v>
      </c>
    </row>
    <row r="749" spans="1:338" x14ac:dyDescent="0.25">
      <c r="A749" s="7">
        <v>4.043637119242547E-2</v>
      </c>
      <c r="B749"/>
      <c r="C749"/>
      <c r="D749"/>
      <c r="E749"/>
      <c r="F749" s="27" t="s">
        <v>7</v>
      </c>
      <c r="I749" s="27" t="s">
        <v>8</v>
      </c>
      <c r="J749" s="27" t="s">
        <v>7</v>
      </c>
      <c r="CU749" s="27" t="s">
        <v>8</v>
      </c>
      <c r="CV749" s="27" t="s">
        <v>7</v>
      </c>
      <c r="CW749" s="27" t="s">
        <v>8</v>
      </c>
      <c r="CZ749" s="27" t="s">
        <v>7</v>
      </c>
      <c r="FA749" s="27" t="s">
        <v>8</v>
      </c>
      <c r="FB749" s="27" t="s">
        <v>7</v>
      </c>
      <c r="FC749" s="27" t="s">
        <v>8</v>
      </c>
      <c r="FD749" s="27" t="s">
        <v>7</v>
      </c>
      <c r="FE749" s="27" t="s">
        <v>8</v>
      </c>
      <c r="FF749" s="27" t="s">
        <v>7</v>
      </c>
      <c r="FG749" s="27" t="s">
        <v>8</v>
      </c>
      <c r="FR749" s="27" t="s">
        <v>7</v>
      </c>
      <c r="FS749" s="27" t="s">
        <v>8</v>
      </c>
      <c r="FT749" s="27" t="s">
        <v>7</v>
      </c>
      <c r="FV749" s="27" t="s">
        <v>7</v>
      </c>
      <c r="HX749" s="27" t="s">
        <v>7</v>
      </c>
      <c r="HY749" s="27" t="s">
        <v>8</v>
      </c>
      <c r="IL749" s="27" t="s">
        <v>7</v>
      </c>
      <c r="IM749" s="27" t="s">
        <v>8</v>
      </c>
      <c r="IN749" s="27" t="s">
        <v>7</v>
      </c>
      <c r="IO749" s="27" t="s">
        <v>8</v>
      </c>
      <c r="IP749" s="27" t="s">
        <v>7</v>
      </c>
      <c r="IT749" s="27" t="s">
        <v>7</v>
      </c>
      <c r="IU749" s="27" t="s">
        <v>8</v>
      </c>
      <c r="IV749" s="27" t="s">
        <v>7</v>
      </c>
      <c r="IW749" s="27" t="s">
        <v>8</v>
      </c>
      <c r="IX749" s="27" t="s">
        <v>7</v>
      </c>
      <c r="IY749" s="27" t="s">
        <v>8</v>
      </c>
      <c r="JA749" s="27" t="s">
        <v>8</v>
      </c>
      <c r="JC749" s="27" t="s">
        <v>8</v>
      </c>
      <c r="JD749" s="27" t="s">
        <v>7</v>
      </c>
      <c r="JE749" s="27" t="s">
        <v>8</v>
      </c>
      <c r="JF749" s="27" t="s">
        <v>7</v>
      </c>
      <c r="KF749" s="27" t="s">
        <v>7</v>
      </c>
      <c r="KG749" s="27" t="s">
        <v>8</v>
      </c>
      <c r="KH749" s="27" t="s">
        <v>7</v>
      </c>
      <c r="KI749" s="27" t="s">
        <v>8</v>
      </c>
      <c r="KJ749" s="27" t="s">
        <v>7</v>
      </c>
      <c r="KK749" s="27" t="s">
        <v>8</v>
      </c>
      <c r="KL749" s="27" t="s">
        <v>7</v>
      </c>
      <c r="KM749" s="27" t="s">
        <v>8</v>
      </c>
      <c r="LL749" s="27" t="s">
        <v>7</v>
      </c>
      <c r="LM749" s="27" t="s">
        <v>8</v>
      </c>
    </row>
    <row r="750" spans="1:338" x14ac:dyDescent="0.25">
      <c r="A750" s="7">
        <v>3.9643501169044582E-2</v>
      </c>
      <c r="B750"/>
      <c r="C750"/>
      <c r="D750"/>
      <c r="E750"/>
      <c r="F750" s="27" t="s">
        <v>7</v>
      </c>
      <c r="I750" s="27" t="s">
        <v>8</v>
      </c>
      <c r="J750" s="27" t="s">
        <v>7</v>
      </c>
      <c r="CU750" s="27" t="s">
        <v>8</v>
      </c>
      <c r="CV750" s="27" t="s">
        <v>7</v>
      </c>
      <c r="CW750" s="27" t="s">
        <v>8</v>
      </c>
      <c r="CZ750" s="27" t="s">
        <v>7</v>
      </c>
      <c r="FA750" s="27" t="s">
        <v>8</v>
      </c>
      <c r="FB750" s="27" t="s">
        <v>7</v>
      </c>
      <c r="FC750" s="27" t="s">
        <v>8</v>
      </c>
      <c r="FD750" s="27" t="s">
        <v>7</v>
      </c>
      <c r="FE750" s="27" t="s">
        <v>8</v>
      </c>
      <c r="FF750" s="27" t="s">
        <v>7</v>
      </c>
      <c r="FR750" s="27" t="s">
        <v>7</v>
      </c>
      <c r="FS750" s="27" t="s">
        <v>8</v>
      </c>
      <c r="HX750" s="27" t="s">
        <v>7</v>
      </c>
      <c r="HY750" s="27" t="s">
        <v>8</v>
      </c>
      <c r="IL750" s="27" t="s">
        <v>7</v>
      </c>
      <c r="IM750" s="27" t="s">
        <v>8</v>
      </c>
      <c r="IN750" s="27" t="s">
        <v>7</v>
      </c>
      <c r="IT750" s="27" t="s">
        <v>7</v>
      </c>
      <c r="IU750" s="27" t="s">
        <v>8</v>
      </c>
      <c r="IV750" s="27" t="s">
        <v>7</v>
      </c>
      <c r="IW750" s="27" t="s">
        <v>8</v>
      </c>
      <c r="IX750" s="27" t="s">
        <v>7</v>
      </c>
      <c r="IY750" s="27" t="s">
        <v>8</v>
      </c>
      <c r="IZ750" s="27" t="s">
        <v>7</v>
      </c>
      <c r="JA750" s="27" t="s">
        <v>8</v>
      </c>
      <c r="JB750" s="27" t="s">
        <v>7</v>
      </c>
      <c r="JC750" s="27" t="s">
        <v>8</v>
      </c>
      <c r="JD750" s="27" t="s">
        <v>7</v>
      </c>
      <c r="JE750" s="27" t="s">
        <v>8</v>
      </c>
      <c r="KF750" s="27" t="s">
        <v>7</v>
      </c>
      <c r="KG750" s="27" t="s">
        <v>8</v>
      </c>
      <c r="KH750" s="27" t="s">
        <v>7</v>
      </c>
      <c r="KJ750" s="27" t="s">
        <v>7</v>
      </c>
      <c r="KK750" s="27" t="s">
        <v>8</v>
      </c>
      <c r="KL750" s="27" t="s">
        <v>7</v>
      </c>
      <c r="KM750" s="27" t="s">
        <v>8</v>
      </c>
      <c r="LL750" s="27" t="s">
        <v>7</v>
      </c>
      <c r="LM750" s="27" t="s">
        <v>8</v>
      </c>
      <c r="LN750" s="27" t="s">
        <v>7</v>
      </c>
      <c r="LO750" s="27" t="s">
        <v>8</v>
      </c>
      <c r="LW750" s="27" t="s">
        <v>8</v>
      </c>
      <c r="LY750" s="27" t="s">
        <v>8</v>
      </c>
    </row>
    <row r="751" spans="1:338" x14ac:dyDescent="0.25">
      <c r="A751" s="7">
        <v>3.8866177616710372E-2</v>
      </c>
      <c r="B751"/>
      <c r="C751"/>
      <c r="D751"/>
      <c r="E751"/>
      <c r="F751" s="27" t="s">
        <v>7</v>
      </c>
      <c r="G751" s="27" t="s">
        <v>8</v>
      </c>
      <c r="I751" s="27" t="s">
        <v>8</v>
      </c>
      <c r="J751" s="27" t="s">
        <v>7</v>
      </c>
      <c r="CU751" s="27" t="s">
        <v>8</v>
      </c>
      <c r="CV751" s="27" t="s">
        <v>7</v>
      </c>
      <c r="CW751" s="27" t="s">
        <v>8</v>
      </c>
      <c r="CZ751" s="27" t="s">
        <v>7</v>
      </c>
      <c r="EE751" s="27" t="s">
        <v>8</v>
      </c>
      <c r="FA751" s="27" t="s">
        <v>8</v>
      </c>
      <c r="FB751" s="27" t="s">
        <v>7</v>
      </c>
      <c r="FC751" s="27" t="s">
        <v>8</v>
      </c>
      <c r="FD751" s="27" t="s">
        <v>7</v>
      </c>
      <c r="FE751" s="27" t="s">
        <v>8</v>
      </c>
      <c r="FR751" s="27" t="s">
        <v>7</v>
      </c>
      <c r="FS751" s="27" t="s">
        <v>8</v>
      </c>
      <c r="HX751" s="27" t="s">
        <v>7</v>
      </c>
      <c r="HY751" s="27" t="s">
        <v>8</v>
      </c>
      <c r="IL751" s="27" t="s">
        <v>7</v>
      </c>
      <c r="IM751" s="27" t="s">
        <v>8</v>
      </c>
      <c r="IT751" s="27" t="s">
        <v>7</v>
      </c>
      <c r="IU751" s="27" t="s">
        <v>8</v>
      </c>
      <c r="IV751" s="27" t="s">
        <v>7</v>
      </c>
      <c r="IW751" s="27" t="s">
        <v>8</v>
      </c>
      <c r="IX751" s="27" t="s">
        <v>7</v>
      </c>
      <c r="IY751" s="27" t="s">
        <v>8</v>
      </c>
      <c r="IZ751" s="27" t="s">
        <v>7</v>
      </c>
      <c r="JA751" s="27" t="s">
        <v>8</v>
      </c>
      <c r="JB751" s="27" t="s">
        <v>7</v>
      </c>
      <c r="JC751" s="27" t="s">
        <v>8</v>
      </c>
      <c r="JD751" s="27" t="s">
        <v>7</v>
      </c>
      <c r="JE751" s="27" t="s">
        <v>8</v>
      </c>
      <c r="KF751" s="27" t="s">
        <v>7</v>
      </c>
      <c r="KG751" s="27" t="s">
        <v>8</v>
      </c>
      <c r="KJ751" s="27" t="s">
        <v>7</v>
      </c>
      <c r="KK751" s="27" t="s">
        <v>8</v>
      </c>
      <c r="KL751" s="27" t="s">
        <v>7</v>
      </c>
      <c r="KM751" s="27" t="s">
        <v>8</v>
      </c>
      <c r="LL751" s="27" t="s">
        <v>7</v>
      </c>
      <c r="LM751" s="27" t="s">
        <v>8</v>
      </c>
      <c r="LN751" s="27" t="s">
        <v>7</v>
      </c>
      <c r="LO751" s="27" t="s">
        <v>8</v>
      </c>
      <c r="LP751" s="27" t="s">
        <v>7</v>
      </c>
      <c r="LW751" s="27" t="s">
        <v>8</v>
      </c>
      <c r="LX751" s="27" t="s">
        <v>7</v>
      </c>
      <c r="LY751" s="27" t="s">
        <v>8</v>
      </c>
      <c r="LZ751" s="27" t="s">
        <v>7</v>
      </c>
    </row>
    <row r="752" spans="1:338" x14ac:dyDescent="0.25">
      <c r="A752" s="7">
        <v>3.8104095702657229E-2</v>
      </c>
      <c r="B752"/>
      <c r="C752"/>
      <c r="D752"/>
      <c r="E752"/>
      <c r="F752" s="27" t="s">
        <v>7</v>
      </c>
      <c r="G752" s="27" t="s">
        <v>8</v>
      </c>
      <c r="H752" s="27" t="s">
        <v>7</v>
      </c>
      <c r="I752" s="27" t="s">
        <v>8</v>
      </c>
      <c r="J752" s="27" t="s">
        <v>7</v>
      </c>
      <c r="CU752" s="27" t="s">
        <v>8</v>
      </c>
      <c r="CV752" s="27" t="s">
        <v>7</v>
      </c>
      <c r="CW752" s="27" t="s">
        <v>8</v>
      </c>
      <c r="CZ752" s="27" t="s">
        <v>7</v>
      </c>
      <c r="DA752" s="27" t="s">
        <v>8</v>
      </c>
      <c r="EE752" s="27" t="s">
        <v>8</v>
      </c>
      <c r="EF752" s="27" t="s">
        <v>7</v>
      </c>
      <c r="FA752" s="27" t="s">
        <v>8</v>
      </c>
      <c r="FB752" s="27" t="s">
        <v>7</v>
      </c>
      <c r="FC752" s="27" t="s">
        <v>8</v>
      </c>
      <c r="FD752" s="27" t="s">
        <v>7</v>
      </c>
      <c r="FE752" s="27" t="s">
        <v>8</v>
      </c>
      <c r="FR752" s="27" t="s">
        <v>7</v>
      </c>
      <c r="FS752" s="27" t="s">
        <v>8</v>
      </c>
      <c r="HX752" s="27" t="s">
        <v>7</v>
      </c>
      <c r="HY752" s="27" t="s">
        <v>8</v>
      </c>
      <c r="IL752" s="27" t="s">
        <v>7</v>
      </c>
      <c r="IM752" s="27" t="s">
        <v>8</v>
      </c>
      <c r="IT752" s="27" t="s">
        <v>7</v>
      </c>
      <c r="IU752" s="27" t="s">
        <v>8</v>
      </c>
      <c r="IV752" s="27" t="s">
        <v>7</v>
      </c>
      <c r="IX752" s="27" t="s">
        <v>7</v>
      </c>
      <c r="IY752" s="27" t="s">
        <v>8</v>
      </c>
      <c r="IZ752" s="27" t="s">
        <v>7</v>
      </c>
      <c r="JA752" s="27" t="s">
        <v>8</v>
      </c>
      <c r="JB752" s="27" t="s">
        <v>7</v>
      </c>
      <c r="JD752" s="27" t="s">
        <v>7</v>
      </c>
      <c r="JE752" s="27" t="s">
        <v>8</v>
      </c>
      <c r="KF752" s="27" t="s">
        <v>7</v>
      </c>
      <c r="KJ752" s="27" t="s">
        <v>7</v>
      </c>
      <c r="KK752" s="27" t="s">
        <v>8</v>
      </c>
      <c r="KL752" s="27" t="s">
        <v>7</v>
      </c>
      <c r="KM752" s="27" t="s">
        <v>8</v>
      </c>
      <c r="LL752" s="27" t="s">
        <v>7</v>
      </c>
      <c r="LM752" s="27" t="s">
        <v>8</v>
      </c>
      <c r="LN752" s="27" t="s">
        <v>7</v>
      </c>
      <c r="LO752" s="27" t="s">
        <v>8</v>
      </c>
      <c r="LP752" s="27" t="s">
        <v>7</v>
      </c>
      <c r="LU752" s="27" t="s">
        <v>8</v>
      </c>
      <c r="LW752" s="27" t="s">
        <v>8</v>
      </c>
      <c r="LX752" s="27" t="s">
        <v>7</v>
      </c>
      <c r="LY752" s="27" t="s">
        <v>8</v>
      </c>
      <c r="LZ752" s="27" t="s">
        <v>7</v>
      </c>
    </row>
    <row r="753" spans="1:342" x14ac:dyDescent="0.25">
      <c r="A753" s="7">
        <v>3.7356956571232579E-2</v>
      </c>
      <c r="B753"/>
      <c r="C753"/>
      <c r="D753"/>
      <c r="E753"/>
      <c r="F753" s="27" t="s">
        <v>7</v>
      </c>
      <c r="G753" s="27" t="s">
        <v>8</v>
      </c>
      <c r="H753" s="27" t="s">
        <v>7</v>
      </c>
      <c r="I753" s="27" t="s">
        <v>8</v>
      </c>
      <c r="J753" s="27" t="s">
        <v>7</v>
      </c>
      <c r="CI753" s="27" t="s">
        <v>8</v>
      </c>
      <c r="CK753" s="27" t="s">
        <v>8</v>
      </c>
      <c r="CU753" s="27" t="s">
        <v>8</v>
      </c>
      <c r="CV753" s="27" t="s">
        <v>7</v>
      </c>
      <c r="CW753" s="27" t="s">
        <v>8</v>
      </c>
      <c r="CZ753" s="27" t="s">
        <v>7</v>
      </c>
      <c r="DA753" s="27" t="s">
        <v>8</v>
      </c>
      <c r="DB753" s="27" t="s">
        <v>7</v>
      </c>
      <c r="EE753" s="27" t="s">
        <v>8</v>
      </c>
      <c r="EF753" s="27" t="s">
        <v>7</v>
      </c>
      <c r="FA753" s="27" t="s">
        <v>8</v>
      </c>
      <c r="FB753" s="27" t="s">
        <v>7</v>
      </c>
      <c r="FC753" s="27" t="s">
        <v>8</v>
      </c>
      <c r="FD753" s="27" t="s">
        <v>7</v>
      </c>
      <c r="FE753" s="27" t="s">
        <v>8</v>
      </c>
      <c r="FR753" s="27" t="s">
        <v>7</v>
      </c>
      <c r="FS753" s="27" t="s">
        <v>8</v>
      </c>
      <c r="HX753" s="27" t="s">
        <v>7</v>
      </c>
      <c r="HY753" s="27" t="s">
        <v>8</v>
      </c>
      <c r="IL753" s="27" t="s">
        <v>7</v>
      </c>
      <c r="IM753" s="27" t="s">
        <v>8</v>
      </c>
      <c r="IT753" s="27" t="s">
        <v>7</v>
      </c>
      <c r="IU753" s="27" t="s">
        <v>8</v>
      </c>
      <c r="IX753" s="27" t="s">
        <v>7</v>
      </c>
      <c r="IZ753" s="27" t="s">
        <v>7</v>
      </c>
      <c r="JA753" s="27" t="s">
        <v>8</v>
      </c>
      <c r="JD753" s="27" t="s">
        <v>7</v>
      </c>
      <c r="KJ753" s="27" t="s">
        <v>7</v>
      </c>
      <c r="KK753" s="27" t="s">
        <v>8</v>
      </c>
      <c r="KL753" s="27" t="s">
        <v>7</v>
      </c>
      <c r="KM753" s="27" t="s">
        <v>8</v>
      </c>
      <c r="LL753" s="27" t="s">
        <v>7</v>
      </c>
      <c r="LM753" s="27" t="s">
        <v>8</v>
      </c>
      <c r="LN753" s="27" t="s">
        <v>7</v>
      </c>
      <c r="LO753" s="27" t="s">
        <v>8</v>
      </c>
      <c r="LP753" s="27" t="s">
        <v>7</v>
      </c>
      <c r="LU753" s="27" t="s">
        <v>8</v>
      </c>
      <c r="LV753" s="27" t="s">
        <v>7</v>
      </c>
      <c r="LW753" s="27" t="s">
        <v>8</v>
      </c>
      <c r="LX753" s="27" t="s">
        <v>7</v>
      </c>
      <c r="LY753" s="27" t="s">
        <v>8</v>
      </c>
      <c r="LZ753" s="27" t="s">
        <v>7</v>
      </c>
    </row>
    <row r="754" spans="1:342" x14ac:dyDescent="0.25">
      <c r="A754" s="7">
        <v>3.6624467226698605E-2</v>
      </c>
      <c r="B754"/>
      <c r="C754"/>
      <c r="D754"/>
      <c r="E754"/>
      <c r="F754" s="27" t="s">
        <v>7</v>
      </c>
      <c r="G754" s="27" t="s">
        <v>8</v>
      </c>
      <c r="H754" s="27" t="s">
        <v>7</v>
      </c>
      <c r="I754" s="27" t="s">
        <v>8</v>
      </c>
      <c r="J754" s="27" t="s">
        <v>7</v>
      </c>
      <c r="CI754" s="27" t="s">
        <v>8</v>
      </c>
      <c r="CJ754" s="27" t="s">
        <v>7</v>
      </c>
      <c r="CK754" s="27" t="s">
        <v>8</v>
      </c>
      <c r="CL754" s="27" t="s">
        <v>7</v>
      </c>
      <c r="CU754" s="27" t="s">
        <v>8</v>
      </c>
      <c r="CV754" s="27" t="s">
        <v>7</v>
      </c>
      <c r="CW754" s="27" t="s">
        <v>8</v>
      </c>
      <c r="CZ754" s="27" t="s">
        <v>7</v>
      </c>
      <c r="DA754" s="27" t="s">
        <v>8</v>
      </c>
      <c r="DB754" s="27" t="s">
        <v>7</v>
      </c>
      <c r="EE754" s="27" t="s">
        <v>8</v>
      </c>
      <c r="EF754" s="27" t="s">
        <v>7</v>
      </c>
      <c r="FA754" s="27" t="s">
        <v>8</v>
      </c>
      <c r="FB754" s="27" t="s">
        <v>7</v>
      </c>
      <c r="FC754" s="27" t="s">
        <v>8</v>
      </c>
      <c r="FD754" s="27" t="s">
        <v>7</v>
      </c>
      <c r="FE754" s="27" t="s">
        <v>8</v>
      </c>
      <c r="FR754" s="27" t="s">
        <v>7</v>
      </c>
      <c r="FS754" s="27" t="s">
        <v>8</v>
      </c>
      <c r="HX754" s="27" t="s">
        <v>7</v>
      </c>
      <c r="HY754" s="27" t="s">
        <v>8</v>
      </c>
      <c r="IL754" s="27" t="s">
        <v>7</v>
      </c>
      <c r="IM754" s="27" t="s">
        <v>8</v>
      </c>
      <c r="IT754" s="27" t="s">
        <v>7</v>
      </c>
      <c r="IZ754" s="18" t="s">
        <v>7</v>
      </c>
      <c r="JA754" s="27" t="s">
        <v>8</v>
      </c>
      <c r="KJ754" s="27" t="s">
        <v>7</v>
      </c>
      <c r="KL754" s="27" t="s">
        <v>7</v>
      </c>
      <c r="LL754" s="27" t="s">
        <v>7</v>
      </c>
      <c r="LM754" s="27" t="s">
        <v>8</v>
      </c>
      <c r="LN754" s="27" t="s">
        <v>7</v>
      </c>
      <c r="LO754" s="27" t="s">
        <v>8</v>
      </c>
      <c r="LP754" s="27" t="s">
        <v>7</v>
      </c>
      <c r="LQ754" s="27" t="s">
        <v>8</v>
      </c>
      <c r="LU754" s="27" t="s">
        <v>8</v>
      </c>
      <c r="LV754" s="27" t="s">
        <v>7</v>
      </c>
      <c r="LW754" s="27" t="s">
        <v>8</v>
      </c>
      <c r="LX754" s="27" t="s">
        <v>7</v>
      </c>
      <c r="LY754" s="27" t="s">
        <v>8</v>
      </c>
      <c r="LZ754" s="27" t="s">
        <v>7</v>
      </c>
    </row>
    <row r="755" spans="1:342" x14ac:dyDescent="0.25">
      <c r="A755" s="7">
        <v>3.5906340418331961E-2</v>
      </c>
      <c r="B755"/>
      <c r="C755"/>
      <c r="D755"/>
      <c r="E755"/>
      <c r="F755" s="27" t="s">
        <v>7</v>
      </c>
      <c r="G755" s="27" t="s">
        <v>8</v>
      </c>
      <c r="H755" s="27" t="s">
        <v>7</v>
      </c>
      <c r="I755" s="27" t="s">
        <v>8</v>
      </c>
      <c r="J755" s="27" t="s">
        <v>7</v>
      </c>
      <c r="CI755" s="27" t="s">
        <v>8</v>
      </c>
      <c r="CJ755" s="27" t="s">
        <v>7</v>
      </c>
      <c r="CK755" s="27" t="s">
        <v>8</v>
      </c>
      <c r="CL755" s="27" t="s">
        <v>7</v>
      </c>
      <c r="CM755" s="27" t="s">
        <v>8</v>
      </c>
      <c r="CU755" s="27" t="s">
        <v>8</v>
      </c>
      <c r="CV755" s="27" t="s">
        <v>7</v>
      </c>
      <c r="CW755" s="27" t="s">
        <v>8</v>
      </c>
      <c r="CZ755" s="27" t="s">
        <v>7</v>
      </c>
      <c r="DA755" s="27" t="s">
        <v>8</v>
      </c>
      <c r="DB755" s="27" t="s">
        <v>7</v>
      </c>
      <c r="EE755" s="27" t="s">
        <v>8</v>
      </c>
      <c r="EF755" s="27" t="s">
        <v>7</v>
      </c>
      <c r="FA755" s="27" t="s">
        <v>8</v>
      </c>
      <c r="FB755" s="27" t="s">
        <v>7</v>
      </c>
      <c r="FC755" s="27" t="s">
        <v>8</v>
      </c>
      <c r="FD755" s="27" t="s">
        <v>7</v>
      </c>
      <c r="FE755" s="27" t="s">
        <v>8</v>
      </c>
      <c r="FR755" s="27" t="s">
        <v>7</v>
      </c>
      <c r="HX755" s="27" t="s">
        <v>7</v>
      </c>
      <c r="HY755" s="27" t="s">
        <v>8</v>
      </c>
      <c r="IL755" s="27" t="s">
        <v>7</v>
      </c>
      <c r="IM755" s="27" t="s">
        <v>8</v>
      </c>
      <c r="IZ755" s="27" t="s">
        <v>7</v>
      </c>
      <c r="JA755" s="27" t="s">
        <v>8</v>
      </c>
      <c r="LL755" s="27" t="s">
        <v>7</v>
      </c>
      <c r="LM755" s="27" t="s">
        <v>8</v>
      </c>
      <c r="LN755" s="27" t="s">
        <v>7</v>
      </c>
      <c r="LO755" s="27" t="s">
        <v>8</v>
      </c>
      <c r="LP755" s="27" t="s">
        <v>7</v>
      </c>
      <c r="LQ755" s="27" t="s">
        <v>8</v>
      </c>
      <c r="LR755" s="27" t="s">
        <v>7</v>
      </c>
      <c r="LU755" s="27" t="s">
        <v>8</v>
      </c>
      <c r="LV755" s="27" t="s">
        <v>7</v>
      </c>
      <c r="LW755" s="27" t="s">
        <v>8</v>
      </c>
      <c r="LX755" s="27" t="s">
        <v>7</v>
      </c>
      <c r="LY755" s="27" t="s">
        <v>8</v>
      </c>
      <c r="LZ755" s="27" t="s">
        <v>7</v>
      </c>
    </row>
    <row r="756" spans="1:342" x14ac:dyDescent="0.25">
      <c r="A756" s="7">
        <v>3.5202294527776436E-2</v>
      </c>
      <c r="B756"/>
      <c r="C756"/>
      <c r="D756"/>
      <c r="E756"/>
      <c r="F756" s="27" t="s">
        <v>7</v>
      </c>
      <c r="G756" s="27" t="s">
        <v>8</v>
      </c>
      <c r="H756" s="27" t="s">
        <v>7</v>
      </c>
      <c r="I756" s="27" t="s">
        <v>8</v>
      </c>
      <c r="J756" s="27" t="s">
        <v>7</v>
      </c>
      <c r="CI756" s="27" t="s">
        <v>8</v>
      </c>
      <c r="CJ756" s="27" t="s">
        <v>7</v>
      </c>
      <c r="CK756" s="27" t="s">
        <v>8</v>
      </c>
      <c r="CL756" s="27" t="s">
        <v>7</v>
      </c>
      <c r="CM756" s="27" t="s">
        <v>8</v>
      </c>
      <c r="CN756" s="27" t="s">
        <v>7</v>
      </c>
      <c r="CU756" s="27" t="s">
        <v>8</v>
      </c>
      <c r="CV756" s="27" t="s">
        <v>7</v>
      </c>
      <c r="CW756" s="27" t="s">
        <v>8</v>
      </c>
      <c r="CZ756" s="27" t="s">
        <v>7</v>
      </c>
      <c r="DB756" s="27" t="s">
        <v>7</v>
      </c>
      <c r="EE756" s="27" t="s">
        <v>8</v>
      </c>
      <c r="EF756" s="27" t="s">
        <v>7</v>
      </c>
      <c r="FA756" s="27" t="s">
        <v>8</v>
      </c>
      <c r="FB756" s="27" t="s">
        <v>7</v>
      </c>
      <c r="FC756" s="27" t="s">
        <v>8</v>
      </c>
      <c r="FD756" s="27" t="s">
        <v>7</v>
      </c>
      <c r="HX756" s="27" t="s">
        <v>7</v>
      </c>
      <c r="IL756" s="27" t="s">
        <v>7</v>
      </c>
      <c r="IZ756" s="27" t="s">
        <v>7</v>
      </c>
      <c r="JA756" s="27" t="s">
        <v>8</v>
      </c>
      <c r="LL756" s="27" t="s">
        <v>7</v>
      </c>
      <c r="LM756" s="27" t="s">
        <v>8</v>
      </c>
      <c r="LN756" s="27" t="s">
        <v>7</v>
      </c>
      <c r="LO756" s="27" t="s">
        <v>8</v>
      </c>
      <c r="LP756" s="27" t="s">
        <v>7</v>
      </c>
      <c r="LQ756" s="27" t="s">
        <v>8</v>
      </c>
      <c r="LR756" s="27" t="s">
        <v>7</v>
      </c>
      <c r="LS756" s="27" t="s">
        <v>8</v>
      </c>
      <c r="LU756" s="27" t="s">
        <v>8</v>
      </c>
      <c r="LV756" s="27" t="s">
        <v>7</v>
      </c>
      <c r="LX756" s="27" t="s">
        <v>7</v>
      </c>
      <c r="LY756" s="27" t="s">
        <v>8</v>
      </c>
      <c r="LZ756" s="27" t="s">
        <v>7</v>
      </c>
    </row>
    <row r="757" spans="1:342" x14ac:dyDescent="0.25">
      <c r="A757" s="7">
        <v>3.451205345860435E-2</v>
      </c>
      <c r="B757"/>
      <c r="C757"/>
      <c r="D757"/>
      <c r="E757"/>
      <c r="F757" s="27" t="s">
        <v>7</v>
      </c>
      <c r="G757" s="27" t="s">
        <v>8</v>
      </c>
      <c r="H757" s="27" t="s">
        <v>7</v>
      </c>
      <c r="I757" s="27" t="s">
        <v>8</v>
      </c>
      <c r="J757" s="27" t="s">
        <v>7</v>
      </c>
      <c r="CI757" s="27" t="s">
        <v>8</v>
      </c>
      <c r="CJ757" s="27" t="s">
        <v>7</v>
      </c>
      <c r="CK757" s="27" t="s">
        <v>8</v>
      </c>
      <c r="CL757" s="27" t="s">
        <v>7</v>
      </c>
      <c r="CM757" s="27" t="s">
        <v>8</v>
      </c>
      <c r="CN757" s="27" t="s">
        <v>7</v>
      </c>
      <c r="CO757" s="27" t="s">
        <v>8</v>
      </c>
      <c r="CU757" s="27" t="s">
        <v>8</v>
      </c>
      <c r="CV757" s="27" t="s">
        <v>7</v>
      </c>
      <c r="CW757" s="27" t="s">
        <v>8</v>
      </c>
      <c r="DB757" s="27" t="s">
        <v>7</v>
      </c>
      <c r="EE757" s="27" t="s">
        <v>8</v>
      </c>
      <c r="EF757" s="27" t="s">
        <v>7</v>
      </c>
      <c r="FA757" s="27" t="s">
        <v>8</v>
      </c>
      <c r="FB757" s="27" t="s">
        <v>7</v>
      </c>
      <c r="FC757" s="27" t="s">
        <v>8</v>
      </c>
      <c r="IZ757" s="27" t="s">
        <v>7</v>
      </c>
      <c r="JA757" s="27" t="s">
        <v>8</v>
      </c>
      <c r="LL757" s="27" t="s">
        <v>7</v>
      </c>
      <c r="LM757" s="27" t="s">
        <v>8</v>
      </c>
      <c r="LN757" s="27" t="s">
        <v>7</v>
      </c>
      <c r="LO757" s="27" t="s">
        <v>8</v>
      </c>
      <c r="LP757" s="27" t="s">
        <v>7</v>
      </c>
      <c r="LQ757" s="27" t="s">
        <v>8</v>
      </c>
      <c r="LR757" s="27" t="s">
        <v>7</v>
      </c>
      <c r="LS757" s="27" t="s">
        <v>8</v>
      </c>
      <c r="LT757" s="27" t="s">
        <v>7</v>
      </c>
      <c r="LU757" s="27" t="s">
        <v>8</v>
      </c>
      <c r="LX757" s="27" t="s">
        <v>7</v>
      </c>
      <c r="LY757" s="27" t="s">
        <v>8</v>
      </c>
      <c r="LZ757" s="27" t="s">
        <v>7</v>
      </c>
    </row>
    <row r="758" spans="1:342" x14ac:dyDescent="0.25">
      <c r="A758" s="7">
        <v>3.3835346528043479E-2</v>
      </c>
      <c r="B758"/>
      <c r="C758"/>
      <c r="D758"/>
      <c r="E758"/>
      <c r="F758" s="27" t="s">
        <v>7</v>
      </c>
      <c r="G758" s="27" t="s">
        <v>8</v>
      </c>
      <c r="H758" s="27" t="s">
        <v>7</v>
      </c>
      <c r="I758" s="27" t="s">
        <v>8</v>
      </c>
      <c r="J758" s="27" t="s">
        <v>7</v>
      </c>
      <c r="K758" s="27" t="s">
        <v>8</v>
      </c>
      <c r="CI758" s="27" t="s">
        <v>8</v>
      </c>
      <c r="CJ758" s="27" t="s">
        <v>7</v>
      </c>
      <c r="CK758" s="27" t="s">
        <v>8</v>
      </c>
      <c r="CL758" s="27" t="s">
        <v>7</v>
      </c>
      <c r="CN758" s="27" t="s">
        <v>7</v>
      </c>
      <c r="CO758" s="27" t="s">
        <v>8</v>
      </c>
      <c r="CP758" s="27" t="s">
        <v>7</v>
      </c>
      <c r="CU758" s="27" t="s">
        <v>8</v>
      </c>
      <c r="CV758" s="27" t="s">
        <v>7</v>
      </c>
      <c r="CW758" s="27" t="s">
        <v>8</v>
      </c>
      <c r="DB758" s="27" t="s">
        <v>7</v>
      </c>
      <c r="EE758" s="27" t="s">
        <v>8</v>
      </c>
      <c r="EF758" s="27" t="s">
        <v>7</v>
      </c>
      <c r="FA758" s="27" t="s">
        <v>8</v>
      </c>
      <c r="FB758" s="27" t="s">
        <v>7</v>
      </c>
      <c r="FC758" s="27" t="s">
        <v>8</v>
      </c>
      <c r="IZ758" s="27" t="s">
        <v>7</v>
      </c>
      <c r="LL758" s="27" t="s">
        <v>7</v>
      </c>
      <c r="LM758" s="27" t="s">
        <v>8</v>
      </c>
      <c r="LN758" s="27" t="s">
        <v>7</v>
      </c>
      <c r="LP758" s="27" t="s">
        <v>7</v>
      </c>
      <c r="LQ758" s="27" t="s">
        <v>8</v>
      </c>
      <c r="LR758" s="27" t="s">
        <v>7</v>
      </c>
      <c r="LS758" s="27" t="s">
        <v>8</v>
      </c>
      <c r="LT758" s="27" t="s">
        <v>7</v>
      </c>
      <c r="LU758" s="27" t="s">
        <v>8</v>
      </c>
      <c r="LX758" s="27" t="s">
        <v>7</v>
      </c>
      <c r="LY758" s="27" t="s">
        <v>8</v>
      </c>
      <c r="LZ758" s="27" t="s">
        <v>7</v>
      </c>
    </row>
    <row r="759" spans="1:342" x14ac:dyDescent="0.25">
      <c r="A759" s="7">
        <v>3.3171908360826938E-2</v>
      </c>
      <c r="B759"/>
      <c r="C759"/>
      <c r="D759"/>
      <c r="E759"/>
      <c r="F759" s="27" t="s">
        <v>7</v>
      </c>
      <c r="G759" s="27" t="s">
        <v>8</v>
      </c>
      <c r="H759" s="27" t="s">
        <v>7</v>
      </c>
      <c r="J759" s="27" t="s">
        <v>7</v>
      </c>
      <c r="K759" s="27" t="s">
        <v>8</v>
      </c>
      <c r="L759" s="27" t="s">
        <v>7</v>
      </c>
      <c r="CI759" s="27" t="s">
        <v>8</v>
      </c>
      <c r="CJ759" s="27" t="s">
        <v>7</v>
      </c>
      <c r="CK759" s="27" t="s">
        <v>8</v>
      </c>
      <c r="CN759" s="27" t="s">
        <v>7</v>
      </c>
      <c r="CO759" s="27" t="s">
        <v>8</v>
      </c>
      <c r="CP759" s="27" t="s">
        <v>7</v>
      </c>
      <c r="CU759" s="27" t="s">
        <v>8</v>
      </c>
      <c r="CV759" s="27" t="s">
        <v>7</v>
      </c>
      <c r="DB759" s="27" t="s">
        <v>7</v>
      </c>
      <c r="EE759" s="27" t="s">
        <v>8</v>
      </c>
      <c r="EF759" s="27" t="s">
        <v>7</v>
      </c>
      <c r="EO759" s="27" t="s">
        <v>8</v>
      </c>
      <c r="FA759" s="27" t="s">
        <v>8</v>
      </c>
      <c r="FB759" s="27" t="s">
        <v>7</v>
      </c>
      <c r="LL759" s="27" t="s">
        <v>7</v>
      </c>
      <c r="LM759" s="27" t="s">
        <v>8</v>
      </c>
      <c r="LP759" s="27" t="s">
        <v>7</v>
      </c>
      <c r="LR759" s="27" t="s">
        <v>7</v>
      </c>
      <c r="LS759" s="27" t="s">
        <v>8</v>
      </c>
      <c r="LT759" s="27" t="s">
        <v>7</v>
      </c>
      <c r="LU759" s="27" t="s">
        <v>8</v>
      </c>
      <c r="LX759" s="27" t="s">
        <v>7</v>
      </c>
      <c r="LZ759" s="27" t="s">
        <v>7</v>
      </c>
    </row>
    <row r="760" spans="1:342" x14ac:dyDescent="0.25">
      <c r="A760" s="7">
        <v>3.2521478785124451E-2</v>
      </c>
      <c r="B760"/>
      <c r="C760"/>
      <c r="D760"/>
      <c r="E760"/>
      <c r="F760" s="27" t="s">
        <v>7</v>
      </c>
      <c r="G760" s="27" t="s">
        <v>8</v>
      </c>
      <c r="J760" s="27" t="s">
        <v>7</v>
      </c>
      <c r="K760" s="27" t="s">
        <v>8</v>
      </c>
      <c r="L760" s="27" t="s">
        <v>7</v>
      </c>
      <c r="M760" s="27" t="s">
        <v>8</v>
      </c>
      <c r="CI760" s="27" t="s">
        <v>8</v>
      </c>
      <c r="CJ760" s="27" t="s">
        <v>7</v>
      </c>
      <c r="CK760" s="27" t="s">
        <v>8</v>
      </c>
      <c r="CN760" s="27" t="s">
        <v>7</v>
      </c>
      <c r="CO760" s="27" t="s">
        <v>8</v>
      </c>
      <c r="CP760" s="27" t="s">
        <v>7</v>
      </c>
      <c r="CU760" s="27" t="s">
        <v>8</v>
      </c>
      <c r="DB760" s="27" t="s">
        <v>7</v>
      </c>
      <c r="DC760" s="27" t="s">
        <v>8</v>
      </c>
      <c r="EE760" s="27" t="s">
        <v>8</v>
      </c>
      <c r="EF760" s="27" t="s">
        <v>7</v>
      </c>
      <c r="EO760" s="27" t="s">
        <v>8</v>
      </c>
      <c r="EP760" s="27" t="s">
        <v>7</v>
      </c>
      <c r="EQ760" s="27" t="s">
        <v>8</v>
      </c>
      <c r="FA760" s="27" t="s">
        <v>8</v>
      </c>
      <c r="LL760" s="27" t="s">
        <v>7</v>
      </c>
      <c r="LM760" s="27" t="s">
        <v>8</v>
      </c>
      <c r="LR760" s="27" t="s">
        <v>7</v>
      </c>
      <c r="LS760" s="27" t="s">
        <v>8</v>
      </c>
      <c r="LT760" s="27" t="s">
        <v>7</v>
      </c>
      <c r="LU760" s="27" t="s">
        <v>8</v>
      </c>
      <c r="LZ760" s="27" t="s">
        <v>7</v>
      </c>
    </row>
    <row r="761" spans="1:342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J761" s="27" t="s">
        <v>7</v>
      </c>
      <c r="K761" s="27" t="s">
        <v>8</v>
      </c>
      <c r="L761" s="27" t="s">
        <v>7</v>
      </c>
      <c r="M761" s="27" t="s">
        <v>8</v>
      </c>
      <c r="N761" s="27" t="s">
        <v>7</v>
      </c>
      <c r="CI761" s="27" t="s">
        <v>8</v>
      </c>
      <c r="CJ761" s="27" t="s">
        <v>7</v>
      </c>
      <c r="CN761" s="27" t="s">
        <v>7</v>
      </c>
      <c r="CO761" s="27" t="s">
        <v>8</v>
      </c>
      <c r="CP761" s="27" t="s">
        <v>7</v>
      </c>
      <c r="CU761" s="27" t="s">
        <v>8</v>
      </c>
      <c r="DB761" s="27" t="s">
        <v>7</v>
      </c>
      <c r="DC761" s="27" t="s">
        <v>8</v>
      </c>
      <c r="DD761" s="27" t="s">
        <v>7</v>
      </c>
      <c r="EE761" s="27" t="s">
        <v>8</v>
      </c>
      <c r="EF761" s="27" t="s">
        <v>7</v>
      </c>
      <c r="EO761" s="27" t="s">
        <v>8</v>
      </c>
      <c r="EP761" s="27" t="s">
        <v>7</v>
      </c>
      <c r="EQ761" s="27" t="s">
        <v>8</v>
      </c>
      <c r="ER761" s="27" t="s">
        <v>7</v>
      </c>
      <c r="FA761" s="27" t="s">
        <v>8</v>
      </c>
      <c r="LL761" s="27" t="s">
        <v>7</v>
      </c>
      <c r="LM761" s="27" t="s">
        <v>8</v>
      </c>
      <c r="LR761" s="27" t="s">
        <v>7</v>
      </c>
      <c r="LT761" s="27" t="s">
        <v>7</v>
      </c>
      <c r="LU761" s="27" t="s">
        <v>8</v>
      </c>
      <c r="LZ761" s="27" t="s">
        <v>7</v>
      </c>
      <c r="MA761" s="27" t="s">
        <v>8</v>
      </c>
      <c r="MC761" s="27" t="s">
        <v>8</v>
      </c>
    </row>
    <row r="762" spans="1:342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J762" s="27" t="s">
        <v>7</v>
      </c>
      <c r="K762" s="27" t="s">
        <v>8</v>
      </c>
      <c r="L762" s="27" t="s">
        <v>7</v>
      </c>
      <c r="M762" s="27" t="s">
        <v>8</v>
      </c>
      <c r="N762" s="27" t="s">
        <v>7</v>
      </c>
      <c r="CI762" s="27" t="s">
        <v>8</v>
      </c>
      <c r="CN762" s="27" t="s">
        <v>7</v>
      </c>
      <c r="CO762" s="27" t="s">
        <v>8</v>
      </c>
      <c r="CP762" s="27" t="s">
        <v>7</v>
      </c>
      <c r="CQ762" s="27" t="s">
        <v>8</v>
      </c>
      <c r="CU762" s="27" t="s">
        <v>8</v>
      </c>
      <c r="DB762" s="27" t="s">
        <v>7</v>
      </c>
      <c r="DC762" s="27" t="s">
        <v>8</v>
      </c>
      <c r="DD762" s="27" t="s">
        <v>7</v>
      </c>
      <c r="EE762" s="27" t="s">
        <v>8</v>
      </c>
      <c r="EF762" s="27" t="s">
        <v>7</v>
      </c>
      <c r="EO762" s="27" t="s">
        <v>8</v>
      </c>
      <c r="EP762" s="27" t="s">
        <v>7</v>
      </c>
      <c r="EQ762" s="27" t="s">
        <v>8</v>
      </c>
      <c r="ER762" s="27" t="s">
        <v>7</v>
      </c>
      <c r="FA762" s="27" t="s">
        <v>8</v>
      </c>
      <c r="LL762" s="27" t="s">
        <v>7</v>
      </c>
      <c r="LM762" s="27" t="s">
        <v>8</v>
      </c>
      <c r="LT762" s="27" t="s">
        <v>7</v>
      </c>
      <c r="LZ762" s="27" t="s">
        <v>7</v>
      </c>
      <c r="MA762" s="27" t="s">
        <v>8</v>
      </c>
      <c r="MB762" s="27" t="s">
        <v>7</v>
      </c>
      <c r="MC762" s="27" t="s">
        <v>8</v>
      </c>
      <c r="MD762" s="27" t="s">
        <v>7</v>
      </c>
    </row>
    <row r="763" spans="1:342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J763" s="27" t="s">
        <v>7</v>
      </c>
      <c r="K763" s="27" t="s">
        <v>8</v>
      </c>
      <c r="L763" s="27" t="s">
        <v>7</v>
      </c>
      <c r="M763" s="27" t="s">
        <v>8</v>
      </c>
      <c r="N763" s="27" t="s">
        <v>7</v>
      </c>
      <c r="CI763" s="27" t="s">
        <v>8</v>
      </c>
      <c r="CN763" s="27" t="s">
        <v>7</v>
      </c>
      <c r="CO763" s="27" t="s">
        <v>8</v>
      </c>
      <c r="CP763" s="27" t="s">
        <v>7</v>
      </c>
      <c r="CQ763" s="27" t="s">
        <v>8</v>
      </c>
      <c r="CR763" s="27" t="s">
        <v>7</v>
      </c>
      <c r="CU763" s="27" t="s">
        <v>8</v>
      </c>
      <c r="DB763" s="27" t="s">
        <v>7</v>
      </c>
      <c r="DC763" s="27" t="s">
        <v>8</v>
      </c>
      <c r="DD763" s="27" t="s">
        <v>7</v>
      </c>
      <c r="EE763" s="27" t="s">
        <v>8</v>
      </c>
      <c r="EF763" s="27" t="s">
        <v>7</v>
      </c>
      <c r="EO763" s="27" t="s">
        <v>8</v>
      </c>
      <c r="EP763" s="27" t="s">
        <v>7</v>
      </c>
      <c r="EQ763" s="27" t="s">
        <v>8</v>
      </c>
      <c r="ER763" s="27" t="s">
        <v>7</v>
      </c>
      <c r="FA763" s="27" t="s">
        <v>8</v>
      </c>
      <c r="LL763" s="27" t="s">
        <v>7</v>
      </c>
      <c r="LZ763" s="27" t="s">
        <v>7</v>
      </c>
      <c r="MA763" s="27" t="s">
        <v>8</v>
      </c>
      <c r="MB763" s="27" t="s">
        <v>7</v>
      </c>
      <c r="MC763" s="27" t="s">
        <v>8</v>
      </c>
      <c r="MD763" s="27" t="s">
        <v>7</v>
      </c>
    </row>
    <row r="764" spans="1:342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J764" s="27" t="s">
        <v>7</v>
      </c>
      <c r="K764" s="27" t="s">
        <v>8</v>
      </c>
      <c r="L764" s="27" t="s">
        <v>7</v>
      </c>
      <c r="N764" s="27" t="s">
        <v>7</v>
      </c>
      <c r="CI764" s="27" t="s">
        <v>8</v>
      </c>
      <c r="CN764" s="27" t="s">
        <v>7</v>
      </c>
      <c r="CO764" s="27" t="s">
        <v>8</v>
      </c>
      <c r="CP764" s="27" t="s">
        <v>7</v>
      </c>
      <c r="CQ764" s="27" t="s">
        <v>8</v>
      </c>
      <c r="CR764" s="27" t="s">
        <v>7</v>
      </c>
      <c r="CU764" s="27" t="s">
        <v>8</v>
      </c>
      <c r="DB764" s="27" t="s">
        <v>7</v>
      </c>
      <c r="DC764" s="27" t="s">
        <v>8</v>
      </c>
      <c r="DD764" s="27" t="s">
        <v>7</v>
      </c>
      <c r="EE764" s="27" t="s">
        <v>8</v>
      </c>
      <c r="EF764" s="27" t="s">
        <v>7</v>
      </c>
      <c r="EO764" s="27" t="s">
        <v>8</v>
      </c>
      <c r="EP764" s="27" t="s">
        <v>7</v>
      </c>
      <c r="EQ764" s="27" t="s">
        <v>8</v>
      </c>
      <c r="ER764" s="27" t="s">
        <v>7</v>
      </c>
      <c r="FA764" s="27" t="s">
        <v>8</v>
      </c>
      <c r="LZ764" s="27" t="s">
        <v>7</v>
      </c>
      <c r="MA764" s="27" t="s">
        <v>8</v>
      </c>
      <c r="MB764" s="27" t="s">
        <v>7</v>
      </c>
      <c r="MC764" s="27" t="s">
        <v>8</v>
      </c>
      <c r="MD764" s="27" t="s">
        <v>7</v>
      </c>
    </row>
    <row r="765" spans="1:342" x14ac:dyDescent="0.25">
      <c r="A765" s="7">
        <v>2.9455705316917203E-2</v>
      </c>
      <c r="B765"/>
      <c r="C765"/>
      <c r="D765"/>
      <c r="E765"/>
      <c r="F765" s="27" t="s">
        <v>7</v>
      </c>
      <c r="J765" s="27" t="s">
        <v>7</v>
      </c>
      <c r="N765" s="27" t="s">
        <v>7</v>
      </c>
      <c r="CI765" s="27" t="s">
        <v>8</v>
      </c>
      <c r="CN765" s="27" t="s">
        <v>7</v>
      </c>
      <c r="CO765" s="27" t="s">
        <v>8</v>
      </c>
      <c r="CP765" s="27" t="s">
        <v>7</v>
      </c>
      <c r="CQ765" s="27" t="s">
        <v>8</v>
      </c>
      <c r="CR765" s="27" t="s">
        <v>7</v>
      </c>
      <c r="CS765" s="27" t="s">
        <v>8</v>
      </c>
      <c r="CU765" s="27" t="s">
        <v>8</v>
      </c>
      <c r="DB765" s="27" t="s">
        <v>7</v>
      </c>
      <c r="DC765" s="27" t="s">
        <v>8</v>
      </c>
      <c r="DD765" s="27" t="s">
        <v>7</v>
      </c>
      <c r="DE765" s="27" t="s">
        <v>8</v>
      </c>
      <c r="EE765" s="27" t="s">
        <v>8</v>
      </c>
      <c r="EF765" s="27" t="s">
        <v>7</v>
      </c>
      <c r="EO765" s="27" t="s">
        <v>8</v>
      </c>
      <c r="EP765" s="27" t="s">
        <v>7</v>
      </c>
      <c r="EQ765" s="27" t="s">
        <v>8</v>
      </c>
      <c r="ER765" s="27" t="s">
        <v>7</v>
      </c>
      <c r="FA765" s="27" t="s">
        <v>8</v>
      </c>
      <c r="LZ765" s="27" t="s">
        <v>7</v>
      </c>
      <c r="MB765" s="27" t="s">
        <v>7</v>
      </c>
      <c r="MD765" s="27" t="s">
        <v>7</v>
      </c>
    </row>
    <row r="766" spans="1:342" x14ac:dyDescent="0.25">
      <c r="A766" s="7">
        <v>2.8878142467565884E-2</v>
      </c>
      <c r="B766"/>
      <c r="C766"/>
      <c r="D766"/>
      <c r="E766"/>
      <c r="N766" s="27" t="s">
        <v>7</v>
      </c>
      <c r="CE766" s="27" t="s">
        <v>8</v>
      </c>
      <c r="CI766" s="27" t="s">
        <v>8</v>
      </c>
      <c r="CN766" s="27" t="s">
        <v>7</v>
      </c>
      <c r="CO766" s="27" t="s">
        <v>8</v>
      </c>
      <c r="CP766" s="27" t="s">
        <v>7</v>
      </c>
      <c r="CQ766" s="27" t="s">
        <v>8</v>
      </c>
      <c r="CR766" s="27" t="s">
        <v>7</v>
      </c>
      <c r="CS766" s="27" t="s">
        <v>8</v>
      </c>
      <c r="CT766" s="27" t="s">
        <v>7</v>
      </c>
      <c r="CU766" s="27" t="s">
        <v>8</v>
      </c>
      <c r="DB766" s="27" t="s">
        <v>7</v>
      </c>
      <c r="DC766" s="27" t="s">
        <v>8</v>
      </c>
      <c r="DD766" s="27" t="s">
        <v>7</v>
      </c>
      <c r="DE766" s="27" t="s">
        <v>8</v>
      </c>
      <c r="DF766" s="27" t="s">
        <v>7</v>
      </c>
      <c r="EE766" s="27" t="s">
        <v>8</v>
      </c>
      <c r="EF766" s="27" t="s">
        <v>7</v>
      </c>
      <c r="EM766" s="27" t="s">
        <v>8</v>
      </c>
      <c r="EO766" s="27" t="s">
        <v>8</v>
      </c>
      <c r="EP766" s="27" t="s">
        <v>7</v>
      </c>
      <c r="EQ766" s="27" t="s">
        <v>8</v>
      </c>
      <c r="ER766" s="27" t="s">
        <v>7</v>
      </c>
      <c r="FA766" s="27" t="s">
        <v>8</v>
      </c>
      <c r="MD766" s="27" t="s">
        <v>7</v>
      </c>
    </row>
    <row r="767" spans="1:342" x14ac:dyDescent="0.25">
      <c r="A767" s="7">
        <v>2.8311904379966554E-2</v>
      </c>
      <c r="B767"/>
      <c r="C767"/>
      <c r="D767"/>
      <c r="E767"/>
      <c r="N767" s="27" t="s">
        <v>7</v>
      </c>
      <c r="CE767" s="27" t="s">
        <v>8</v>
      </c>
      <c r="CF767" s="27" t="s">
        <v>7</v>
      </c>
      <c r="CI767" s="27" t="s">
        <v>8</v>
      </c>
      <c r="CN767" s="27" t="s">
        <v>7</v>
      </c>
      <c r="CP767" s="27" t="s">
        <v>7</v>
      </c>
      <c r="CR767" s="27" t="s">
        <v>7</v>
      </c>
      <c r="CS767" s="27" t="s">
        <v>8</v>
      </c>
      <c r="CT767" s="27" t="s">
        <v>7</v>
      </c>
      <c r="CU767" s="27" t="s">
        <v>8</v>
      </c>
      <c r="DB767" s="27" t="s">
        <v>7</v>
      </c>
      <c r="DC767" s="27" t="s">
        <v>8</v>
      </c>
      <c r="DD767" s="27" t="s">
        <v>7</v>
      </c>
      <c r="DE767" s="27" t="s">
        <v>8</v>
      </c>
      <c r="DF767" s="27" t="s">
        <v>7</v>
      </c>
      <c r="EE767" s="27" t="s">
        <v>8</v>
      </c>
      <c r="EF767" s="27" t="s">
        <v>7</v>
      </c>
      <c r="EM767" s="27" t="s">
        <v>8</v>
      </c>
      <c r="EN767" s="27" t="s">
        <v>7</v>
      </c>
      <c r="EO767" s="27" t="s">
        <v>8</v>
      </c>
      <c r="EP767" s="27" t="s">
        <v>7</v>
      </c>
      <c r="EQ767" s="27" t="s">
        <v>8</v>
      </c>
      <c r="ER767" s="27" t="s">
        <v>7</v>
      </c>
      <c r="EW767" s="27" t="s">
        <v>8</v>
      </c>
      <c r="FA767" s="27" t="s">
        <v>8</v>
      </c>
      <c r="MD767" s="27" t="s">
        <v>7</v>
      </c>
    </row>
    <row r="768" spans="1:342" x14ac:dyDescent="0.25">
      <c r="A768" s="7">
        <v>2.7756768999967207E-2</v>
      </c>
      <c r="B768"/>
      <c r="C768"/>
      <c r="D768"/>
      <c r="E768"/>
      <c r="N768" s="27" t="s">
        <v>7</v>
      </c>
      <c r="U768" s="27" t="s">
        <v>8</v>
      </c>
      <c r="CE768" s="27" t="s">
        <v>8</v>
      </c>
      <c r="CF768" s="27" t="s">
        <v>7</v>
      </c>
      <c r="CG768" s="27" t="s">
        <v>8</v>
      </c>
      <c r="CI768" s="27" t="s">
        <v>8</v>
      </c>
      <c r="CR768" s="27" t="s">
        <v>7</v>
      </c>
      <c r="CS768" s="27" t="s">
        <v>8</v>
      </c>
      <c r="CT768" s="27" t="s">
        <v>7</v>
      </c>
      <c r="CU768" s="27" t="s">
        <v>8</v>
      </c>
      <c r="DB768" s="27" t="s">
        <v>7</v>
      </c>
      <c r="DD768" s="27" t="s">
        <v>7</v>
      </c>
      <c r="DE768" s="27" t="s">
        <v>8</v>
      </c>
      <c r="DF768" s="27" t="s">
        <v>7</v>
      </c>
      <c r="DU768" s="27" t="s">
        <v>8</v>
      </c>
      <c r="EE768" s="27" t="s">
        <v>8</v>
      </c>
      <c r="EF768" s="27" t="s">
        <v>7</v>
      </c>
      <c r="EM768" s="27" t="s">
        <v>8</v>
      </c>
      <c r="EN768" s="27" t="s">
        <v>7</v>
      </c>
      <c r="EO768" s="27" t="s">
        <v>8</v>
      </c>
      <c r="EP768" s="27" t="s">
        <v>7</v>
      </c>
      <c r="EQ768" s="27" t="s">
        <v>8</v>
      </c>
      <c r="ER768" s="27" t="s">
        <v>7</v>
      </c>
      <c r="EW768" s="27" t="s">
        <v>8</v>
      </c>
      <c r="EX768" s="27" t="s">
        <v>7</v>
      </c>
      <c r="FA768" s="27" t="s">
        <v>8</v>
      </c>
      <c r="MD768" s="27" t="s">
        <v>7</v>
      </c>
    </row>
    <row r="769" spans="1:346" x14ac:dyDescent="0.25">
      <c r="A769" s="7">
        <v>2.7212518627418834E-2</v>
      </c>
      <c r="B769"/>
      <c r="C769"/>
      <c r="D769"/>
      <c r="E769"/>
      <c r="N769" s="27" t="s">
        <v>7</v>
      </c>
      <c r="U769" s="27" t="s">
        <v>8</v>
      </c>
      <c r="V769" s="27" t="s">
        <v>7</v>
      </c>
      <c r="CE769" s="27" t="s">
        <v>8</v>
      </c>
      <c r="CF769" s="27" t="s">
        <v>7</v>
      </c>
      <c r="CG769" s="27" t="s">
        <v>8</v>
      </c>
      <c r="CH769" s="27" t="s">
        <v>7</v>
      </c>
      <c r="CI769" s="27" t="s">
        <v>8</v>
      </c>
      <c r="CR769" s="27" t="s">
        <v>7</v>
      </c>
      <c r="CT769" s="27" t="s">
        <v>7</v>
      </c>
      <c r="CU769" s="27" t="s">
        <v>8</v>
      </c>
      <c r="DD769" s="27" t="s">
        <v>7</v>
      </c>
      <c r="DE769" s="27" t="s">
        <v>8</v>
      </c>
      <c r="DF769" s="27" t="s">
        <v>7</v>
      </c>
      <c r="DU769" s="27" t="s">
        <v>8</v>
      </c>
      <c r="DV769" s="27" t="s">
        <v>7</v>
      </c>
      <c r="EE769" s="27" t="s">
        <v>8</v>
      </c>
      <c r="EF769" s="27" t="s">
        <v>7</v>
      </c>
      <c r="EM769" s="27" t="s">
        <v>8</v>
      </c>
      <c r="EN769" s="27" t="s">
        <v>7</v>
      </c>
      <c r="EO769" s="27" t="s">
        <v>8</v>
      </c>
      <c r="EP769" s="27" t="s">
        <v>7</v>
      </c>
      <c r="EQ769" s="27" t="s">
        <v>8</v>
      </c>
      <c r="ER769" s="27" t="s">
        <v>7</v>
      </c>
      <c r="EW769" s="27" t="s">
        <v>8</v>
      </c>
      <c r="EX769" s="27" t="s">
        <v>7</v>
      </c>
      <c r="FA769" s="27" t="s">
        <v>8</v>
      </c>
      <c r="MD769" s="27" t="s">
        <v>7</v>
      </c>
    </row>
    <row r="770" spans="1:346" x14ac:dyDescent="0.25">
      <c r="A770" s="7">
        <v>2.6678939830802779E-2</v>
      </c>
      <c r="B770"/>
      <c r="C770"/>
      <c r="D770"/>
      <c r="E770"/>
      <c r="N770" s="27" t="s">
        <v>7</v>
      </c>
      <c r="S770" s="27" t="s">
        <v>8</v>
      </c>
      <c r="U770" s="27" t="s">
        <v>8</v>
      </c>
      <c r="V770" s="27" t="s">
        <v>7</v>
      </c>
      <c r="BQ770" s="27" t="s">
        <v>8</v>
      </c>
      <c r="BS770" s="27" t="s">
        <v>8</v>
      </c>
      <c r="CE770" s="27" t="s">
        <v>8</v>
      </c>
      <c r="CF770" s="27" t="s">
        <v>7</v>
      </c>
      <c r="CG770" s="27" t="s">
        <v>8</v>
      </c>
      <c r="CH770" s="27" t="s">
        <v>7</v>
      </c>
      <c r="CI770" s="27" t="s">
        <v>8</v>
      </c>
      <c r="CT770" s="27" t="s">
        <v>7</v>
      </c>
      <c r="CU770" s="27" t="s">
        <v>8</v>
      </c>
      <c r="DD770" s="27" t="s">
        <v>7</v>
      </c>
      <c r="DE770" s="27" t="s">
        <v>8</v>
      </c>
      <c r="DF770" s="27" t="s">
        <v>7</v>
      </c>
      <c r="DU770" s="27" t="s">
        <v>8</v>
      </c>
      <c r="DV770" s="27" t="s">
        <v>7</v>
      </c>
      <c r="DW770" s="27" t="s">
        <v>8</v>
      </c>
      <c r="EE770" s="27" t="s">
        <v>8</v>
      </c>
      <c r="EF770" s="27" t="s">
        <v>7</v>
      </c>
      <c r="EM770" s="27" t="s">
        <v>8</v>
      </c>
      <c r="EN770" s="27" t="s">
        <v>7</v>
      </c>
      <c r="EO770" s="27" t="s">
        <v>8</v>
      </c>
      <c r="EP770" s="27" t="s">
        <v>7</v>
      </c>
      <c r="EQ770" s="27" t="s">
        <v>8</v>
      </c>
      <c r="ER770" s="27" t="s">
        <v>7</v>
      </c>
      <c r="EU770" s="27" t="s">
        <v>8</v>
      </c>
      <c r="EW770" s="27" t="s">
        <v>8</v>
      </c>
      <c r="EX770" s="27" t="s">
        <v>7</v>
      </c>
      <c r="FA770" s="27" t="s">
        <v>8</v>
      </c>
      <c r="MD770" s="27" t="s">
        <v>7</v>
      </c>
    </row>
    <row r="771" spans="1:346" x14ac:dyDescent="0.25">
      <c r="A771" s="7">
        <v>2.615582336353214E-2</v>
      </c>
      <c r="B771"/>
      <c r="C771"/>
      <c r="D771"/>
      <c r="E771"/>
      <c r="N771" s="27" t="s">
        <v>7</v>
      </c>
      <c r="S771" s="27" t="s">
        <v>8</v>
      </c>
      <c r="T771" s="27" t="s">
        <v>7</v>
      </c>
      <c r="U771" s="27" t="s">
        <v>8</v>
      </c>
      <c r="V771" s="27" t="s">
        <v>7</v>
      </c>
      <c r="BQ771" s="27" t="s">
        <v>8</v>
      </c>
      <c r="BR771" s="27" t="s">
        <v>7</v>
      </c>
      <c r="BS771" s="27" t="s">
        <v>8</v>
      </c>
      <c r="BT771" s="27" t="s">
        <v>7</v>
      </c>
      <c r="CE771" s="27" t="s">
        <v>8</v>
      </c>
      <c r="CF771" s="27" t="s">
        <v>7</v>
      </c>
      <c r="CG771" s="27" t="s">
        <v>8</v>
      </c>
      <c r="CH771" s="27" t="s">
        <v>7</v>
      </c>
      <c r="CI771" s="27" t="s">
        <v>8</v>
      </c>
      <c r="CT771" s="27" t="s">
        <v>7</v>
      </c>
      <c r="DD771" s="27" t="s">
        <v>7</v>
      </c>
      <c r="DE771" s="27" t="s">
        <v>8</v>
      </c>
      <c r="DF771" s="27" t="s">
        <v>7</v>
      </c>
      <c r="DU771" s="27" t="s">
        <v>8</v>
      </c>
      <c r="DV771" s="27" t="s">
        <v>7</v>
      </c>
      <c r="DW771" s="27" t="s">
        <v>8</v>
      </c>
      <c r="DX771" s="27" t="s">
        <v>7</v>
      </c>
      <c r="EE771" s="27" t="s">
        <v>8</v>
      </c>
      <c r="EF771" s="27" t="s">
        <v>7</v>
      </c>
      <c r="EM771" s="27" t="s">
        <v>8</v>
      </c>
      <c r="EN771" s="27" t="s">
        <v>7</v>
      </c>
      <c r="EO771" s="27" t="s">
        <v>8</v>
      </c>
      <c r="EP771" s="27" t="s">
        <v>7</v>
      </c>
      <c r="ER771" s="27" t="s">
        <v>7</v>
      </c>
      <c r="ES771" s="27" t="s">
        <v>8</v>
      </c>
      <c r="EU771" s="27" t="s">
        <v>8</v>
      </c>
      <c r="EV771" s="27" t="s">
        <v>7</v>
      </c>
      <c r="EW771" s="27" t="s">
        <v>8</v>
      </c>
      <c r="EX771" s="27" t="s">
        <v>7</v>
      </c>
      <c r="FA771" s="27" t="s">
        <v>8</v>
      </c>
      <c r="MD771" s="27" t="s">
        <v>7</v>
      </c>
    </row>
    <row r="772" spans="1:346" x14ac:dyDescent="0.25">
      <c r="A772" s="7">
        <v>2.5642964081894253E-2</v>
      </c>
      <c r="B772"/>
      <c r="C772"/>
      <c r="D772"/>
      <c r="E772"/>
      <c r="N772" s="27" t="s">
        <v>7</v>
      </c>
      <c r="O772" s="27" t="s">
        <v>8</v>
      </c>
      <c r="Q772" s="27" t="s">
        <v>8</v>
      </c>
      <c r="S772" s="27" t="s">
        <v>8</v>
      </c>
      <c r="T772" s="27" t="s">
        <v>7</v>
      </c>
      <c r="U772" s="27" t="s">
        <v>8</v>
      </c>
      <c r="V772" s="27" t="s">
        <v>7</v>
      </c>
      <c r="BQ772" s="27" t="s">
        <v>8</v>
      </c>
      <c r="BR772" s="27" t="s">
        <v>7</v>
      </c>
      <c r="BS772" s="27" t="s">
        <v>8</v>
      </c>
      <c r="BT772" s="27" t="s">
        <v>7</v>
      </c>
      <c r="BY772" s="27" t="s">
        <v>8</v>
      </c>
      <c r="CA772" s="27" t="s">
        <v>8</v>
      </c>
      <c r="CC772" s="27" t="s">
        <v>8</v>
      </c>
      <c r="CE772" s="27" t="s">
        <v>8</v>
      </c>
      <c r="CF772" s="27" t="s">
        <v>7</v>
      </c>
      <c r="CG772" s="27" t="s">
        <v>8</v>
      </c>
      <c r="CH772" s="27" t="s">
        <v>7</v>
      </c>
      <c r="DD772" s="27" t="s">
        <v>7</v>
      </c>
      <c r="DE772" s="27" t="s">
        <v>8</v>
      </c>
      <c r="DF772" s="27" t="s">
        <v>7</v>
      </c>
      <c r="DU772" s="27" t="s">
        <v>8</v>
      </c>
      <c r="DV772" s="27" t="s">
        <v>7</v>
      </c>
      <c r="DW772" s="27" t="s">
        <v>8</v>
      </c>
      <c r="DX772" s="27" t="s">
        <v>7</v>
      </c>
      <c r="EE772" s="27" t="s">
        <v>8</v>
      </c>
      <c r="EF772" s="27" t="s">
        <v>7</v>
      </c>
      <c r="EM772" s="27" t="s">
        <v>8</v>
      </c>
      <c r="EN772" s="27" t="s">
        <v>7</v>
      </c>
      <c r="EO772" s="27" t="s">
        <v>8</v>
      </c>
      <c r="ER772" s="27" t="s">
        <v>7</v>
      </c>
      <c r="ES772" s="27" t="s">
        <v>8</v>
      </c>
      <c r="ET772" s="27" t="s">
        <v>7</v>
      </c>
      <c r="EU772" s="27" t="s">
        <v>8</v>
      </c>
      <c r="EV772" s="27" t="s">
        <v>7</v>
      </c>
      <c r="EW772" s="27" t="s">
        <v>8</v>
      </c>
      <c r="EX772" s="27" t="s">
        <v>7</v>
      </c>
      <c r="EY772" s="27" t="s">
        <v>8</v>
      </c>
      <c r="FA772" s="27" t="s">
        <v>8</v>
      </c>
      <c r="MD772" s="27" t="s">
        <v>7</v>
      </c>
    </row>
    <row r="773" spans="1:346" x14ac:dyDescent="0.25">
      <c r="A773" s="7">
        <v>2.5140160864602207E-2</v>
      </c>
      <c r="B773"/>
      <c r="C773"/>
      <c r="D773"/>
      <c r="E773"/>
      <c r="N773" s="27" t="s">
        <v>7</v>
      </c>
      <c r="O773" s="27" t="s">
        <v>8</v>
      </c>
      <c r="P773" s="27" t="s">
        <v>7</v>
      </c>
      <c r="Q773" s="27" t="s">
        <v>8</v>
      </c>
      <c r="R773" s="27" t="s">
        <v>7</v>
      </c>
      <c r="S773" s="27" t="s">
        <v>8</v>
      </c>
      <c r="T773" s="27" t="s">
        <v>7</v>
      </c>
      <c r="V773" s="27" t="s">
        <v>7</v>
      </c>
      <c r="BQ773" s="27" t="s">
        <v>8</v>
      </c>
      <c r="BR773" s="27" t="s">
        <v>7</v>
      </c>
      <c r="BS773" s="27" t="s">
        <v>8</v>
      </c>
      <c r="BT773" s="27" t="s">
        <v>7</v>
      </c>
      <c r="BY773" s="27" t="s">
        <v>8</v>
      </c>
      <c r="BZ773" s="27" t="s">
        <v>7</v>
      </c>
      <c r="CA773" s="27" t="s">
        <v>8</v>
      </c>
      <c r="CB773" s="27" t="s">
        <v>7</v>
      </c>
      <c r="CC773" s="27" t="s">
        <v>8</v>
      </c>
      <c r="CD773" s="27" t="s">
        <v>7</v>
      </c>
      <c r="CE773" s="27" t="s">
        <v>8</v>
      </c>
      <c r="CF773" s="27" t="s">
        <v>7</v>
      </c>
      <c r="DD773" s="27" t="s">
        <v>7</v>
      </c>
      <c r="DF773" s="27" t="s">
        <v>7</v>
      </c>
      <c r="DG773" s="27" t="s">
        <v>8</v>
      </c>
      <c r="DI773" s="27" t="s">
        <v>8</v>
      </c>
      <c r="DK773" s="27" t="s">
        <v>8</v>
      </c>
      <c r="DU773" s="27" t="s">
        <v>8</v>
      </c>
      <c r="DV773" s="27" t="s">
        <v>7</v>
      </c>
      <c r="DW773" s="27" t="s">
        <v>8</v>
      </c>
      <c r="DX773" s="27" t="s">
        <v>7</v>
      </c>
      <c r="EE773" s="27" t="s">
        <v>8</v>
      </c>
      <c r="EF773" s="27" t="s">
        <v>7</v>
      </c>
      <c r="EM773" s="27" t="s">
        <v>8</v>
      </c>
      <c r="EN773" s="27" t="s">
        <v>7</v>
      </c>
      <c r="EO773" s="27" t="s">
        <v>8</v>
      </c>
      <c r="ER773" s="27" t="s">
        <v>7</v>
      </c>
      <c r="ES773" s="27" t="s">
        <v>8</v>
      </c>
      <c r="ET773" s="27" t="s">
        <v>7</v>
      </c>
      <c r="EU773" s="27" t="s">
        <v>8</v>
      </c>
      <c r="EV773" s="27" t="s">
        <v>7</v>
      </c>
      <c r="EW773" s="27" t="s">
        <v>8</v>
      </c>
      <c r="EX773" s="27" t="s">
        <v>7</v>
      </c>
      <c r="EY773" s="27" t="s">
        <v>8</v>
      </c>
      <c r="EZ773" s="27" t="s">
        <v>7</v>
      </c>
      <c r="FA773" s="27" t="s">
        <v>8</v>
      </c>
      <c r="MD773" s="27" t="s">
        <v>7</v>
      </c>
    </row>
    <row r="774" spans="1:346" x14ac:dyDescent="0.25">
      <c r="A774" s="7">
        <v>2.4647216533923735E-2</v>
      </c>
      <c r="B774"/>
      <c r="C774"/>
      <c r="D774"/>
      <c r="E774"/>
      <c r="N774" s="27" t="s">
        <v>7</v>
      </c>
      <c r="O774" s="27" t="s">
        <v>8</v>
      </c>
      <c r="P774" s="27" t="s">
        <v>7</v>
      </c>
      <c r="Q774" s="27" t="s">
        <v>8</v>
      </c>
      <c r="R774" s="27" t="s">
        <v>7</v>
      </c>
      <c r="S774" s="27" t="s">
        <v>8</v>
      </c>
      <c r="V774" s="27" t="s">
        <v>7</v>
      </c>
      <c r="BG774" s="27" t="s">
        <v>8</v>
      </c>
      <c r="BK774" s="27" t="s">
        <v>8</v>
      </c>
      <c r="BO774" s="27" t="s">
        <v>8</v>
      </c>
      <c r="BQ774" s="27" t="s">
        <v>8</v>
      </c>
      <c r="BR774" s="27" t="s">
        <v>7</v>
      </c>
      <c r="BT774" s="27" t="s">
        <v>7</v>
      </c>
      <c r="BU774" s="27" t="s">
        <v>8</v>
      </c>
      <c r="BY774" s="27" t="s">
        <v>8</v>
      </c>
      <c r="BZ774" s="27" t="s">
        <v>7</v>
      </c>
      <c r="CA774" s="27" t="s">
        <v>8</v>
      </c>
      <c r="CB774" s="27" t="s">
        <v>7</v>
      </c>
      <c r="CC774" s="27" t="s">
        <v>8</v>
      </c>
      <c r="CD774" s="27" t="s">
        <v>7</v>
      </c>
      <c r="CE774" s="27" t="s">
        <v>8</v>
      </c>
      <c r="DF774" s="27" t="s">
        <v>7</v>
      </c>
      <c r="DG774" s="27" t="s">
        <v>8</v>
      </c>
      <c r="DH774" s="27" t="s">
        <v>7</v>
      </c>
      <c r="DI774" s="27" t="s">
        <v>8</v>
      </c>
      <c r="DJ774" s="27" t="s">
        <v>7</v>
      </c>
      <c r="DK774" s="27" t="s">
        <v>8</v>
      </c>
      <c r="DL774" s="27" t="s">
        <v>7</v>
      </c>
      <c r="DU774" s="27" t="s">
        <v>8</v>
      </c>
      <c r="DV774" s="27" t="s">
        <v>7</v>
      </c>
      <c r="DW774" s="27" t="s">
        <v>8</v>
      </c>
      <c r="DX774" s="27" t="s">
        <v>7</v>
      </c>
      <c r="DY774" s="27" t="s">
        <v>8</v>
      </c>
      <c r="EA774" s="27" t="s">
        <v>8</v>
      </c>
      <c r="EE774" s="27" t="s">
        <v>8</v>
      </c>
      <c r="EF774" s="27" t="s">
        <v>7</v>
      </c>
      <c r="EM774" s="27" t="s">
        <v>8</v>
      </c>
      <c r="EN774" s="27" t="s">
        <v>7</v>
      </c>
      <c r="EO774" s="27" t="s">
        <v>8</v>
      </c>
      <c r="ER774" s="27" t="s">
        <v>7</v>
      </c>
      <c r="ES774" s="27" t="s">
        <v>8</v>
      </c>
      <c r="ET774" s="27" t="s">
        <v>7</v>
      </c>
      <c r="EU774" s="27" t="s">
        <v>8</v>
      </c>
      <c r="EV774" s="27" t="s">
        <v>7</v>
      </c>
      <c r="EX774" s="27" t="s">
        <v>7</v>
      </c>
      <c r="EY774" s="27" t="s">
        <v>8</v>
      </c>
      <c r="EZ774" s="27" t="s">
        <v>7</v>
      </c>
      <c r="FA774" s="27" t="s">
        <v>8</v>
      </c>
      <c r="MD774" s="27" t="s">
        <v>7</v>
      </c>
    </row>
    <row r="775" spans="1:346" x14ac:dyDescent="0.25">
      <c r="A775" s="7">
        <v>2.4163937778356601E-2</v>
      </c>
      <c r="B775"/>
      <c r="C775"/>
      <c r="D775"/>
      <c r="E775"/>
      <c r="N775" s="27" t="s">
        <v>7</v>
      </c>
      <c r="O775" s="27" t="s">
        <v>8</v>
      </c>
      <c r="P775" s="27" t="s">
        <v>7</v>
      </c>
      <c r="Q775" s="27" t="s">
        <v>8</v>
      </c>
      <c r="R775" s="27" t="s">
        <v>7</v>
      </c>
      <c r="V775" s="27" t="s">
        <v>7</v>
      </c>
      <c r="BG775" s="27" t="s">
        <v>8</v>
      </c>
      <c r="BH775" s="27" t="s">
        <v>7</v>
      </c>
      <c r="BI775" s="27" t="s">
        <v>8</v>
      </c>
      <c r="BK775" s="27" t="s">
        <v>8</v>
      </c>
      <c r="BL775" s="27" t="s">
        <v>7</v>
      </c>
      <c r="BO775" s="27" t="s">
        <v>8</v>
      </c>
      <c r="BP775" s="27" t="s">
        <v>7</v>
      </c>
      <c r="BQ775" s="27" t="s">
        <v>8</v>
      </c>
      <c r="BT775" s="27" t="s">
        <v>7</v>
      </c>
      <c r="BU775" s="27" t="s">
        <v>8</v>
      </c>
      <c r="BV775" s="27" t="s">
        <v>7</v>
      </c>
      <c r="BY775" s="27" t="s">
        <v>8</v>
      </c>
      <c r="BZ775" s="27" t="s">
        <v>7</v>
      </c>
      <c r="CB775" s="27" t="s">
        <v>7</v>
      </c>
      <c r="CC775" s="27" t="s">
        <v>8</v>
      </c>
      <c r="CD775" s="27" t="s">
        <v>7</v>
      </c>
      <c r="DF775" s="27" t="s">
        <v>7</v>
      </c>
      <c r="DG775" s="27" t="s">
        <v>8</v>
      </c>
      <c r="DH775" s="27" t="s">
        <v>7</v>
      </c>
      <c r="DI775" s="27" t="s">
        <v>8</v>
      </c>
      <c r="DJ775" s="27" t="s">
        <v>7</v>
      </c>
      <c r="DK775" s="27" t="s">
        <v>8</v>
      </c>
      <c r="DL775" s="27" t="s">
        <v>7</v>
      </c>
      <c r="DU775" s="27" t="s">
        <v>8</v>
      </c>
      <c r="DV775" s="27" t="s">
        <v>7</v>
      </c>
      <c r="DW775" s="27" t="s">
        <v>8</v>
      </c>
      <c r="DX775" s="27" t="s">
        <v>7</v>
      </c>
      <c r="DY775" s="27" t="s">
        <v>8</v>
      </c>
      <c r="DZ775" s="27" t="s">
        <v>7</v>
      </c>
      <c r="EA775" s="27" t="s">
        <v>8</v>
      </c>
      <c r="EB775" s="27" t="s">
        <v>7</v>
      </c>
      <c r="EE775" s="27" t="s">
        <v>8</v>
      </c>
      <c r="EF775" s="27" t="s">
        <v>7</v>
      </c>
      <c r="EG775" s="27" t="s">
        <v>8</v>
      </c>
      <c r="EM775" s="27" t="s">
        <v>8</v>
      </c>
      <c r="EN775" s="27" t="s">
        <v>7</v>
      </c>
      <c r="EO775" s="27" t="s">
        <v>8</v>
      </c>
      <c r="ER775" s="27" t="s">
        <v>7</v>
      </c>
      <c r="ES775" s="27" t="s">
        <v>8</v>
      </c>
      <c r="ET775" s="27" t="s">
        <v>7</v>
      </c>
      <c r="EX775" s="27" t="s">
        <v>7</v>
      </c>
      <c r="EY775" s="27" t="s">
        <v>8</v>
      </c>
      <c r="EZ775" s="27" t="s">
        <v>7</v>
      </c>
      <c r="FA775" s="27" t="s">
        <v>8</v>
      </c>
      <c r="MD775" s="27" t="s">
        <v>7</v>
      </c>
      <c r="MG775" s="27" t="s">
        <v>8</v>
      </c>
    </row>
    <row r="776" spans="1:346" x14ac:dyDescent="0.25">
      <c r="A776" s="7">
        <v>2.3690135076820197E-2</v>
      </c>
      <c r="B776"/>
      <c r="C776"/>
      <c r="D776"/>
      <c r="E776"/>
      <c r="N776" s="27" t="s">
        <v>7</v>
      </c>
      <c r="O776" s="27" t="s">
        <v>8</v>
      </c>
      <c r="P776" s="27" t="s">
        <v>7</v>
      </c>
      <c r="Q776" s="27" t="s">
        <v>8</v>
      </c>
      <c r="V776" s="27" t="s">
        <v>7</v>
      </c>
      <c r="BG776" s="27" t="s">
        <v>8</v>
      </c>
      <c r="BH776" s="27" t="s">
        <v>7</v>
      </c>
      <c r="BI776" s="27" t="s">
        <v>8</v>
      </c>
      <c r="BJ776" s="27" t="s">
        <v>7</v>
      </c>
      <c r="BK776" s="27" t="s">
        <v>8</v>
      </c>
      <c r="BL776" s="27" t="s">
        <v>7</v>
      </c>
      <c r="BO776" s="27" t="s">
        <v>8</v>
      </c>
      <c r="BP776" s="27" t="s">
        <v>7</v>
      </c>
      <c r="BQ776" s="27" t="s">
        <v>8</v>
      </c>
      <c r="BT776" s="27" t="s">
        <v>7</v>
      </c>
      <c r="BU776" s="27" t="s">
        <v>8</v>
      </c>
      <c r="BV776" s="27" t="s">
        <v>7</v>
      </c>
      <c r="BW776" s="27" t="s">
        <v>8</v>
      </c>
      <c r="BY776" s="27" t="s">
        <v>8</v>
      </c>
      <c r="CB776" s="27" t="s">
        <v>7</v>
      </c>
      <c r="CC776" s="27" t="s">
        <v>8</v>
      </c>
      <c r="DF776" s="27" t="s">
        <v>7</v>
      </c>
      <c r="DG776" s="27" t="s">
        <v>8</v>
      </c>
      <c r="DH776" s="27" t="s">
        <v>7</v>
      </c>
      <c r="DI776" s="27" t="s">
        <v>8</v>
      </c>
      <c r="DJ776" s="27" t="s">
        <v>7</v>
      </c>
      <c r="DL776" s="27" t="s">
        <v>7</v>
      </c>
      <c r="DU776" s="27" t="s">
        <v>8</v>
      </c>
      <c r="DV776" s="27" t="s">
        <v>7</v>
      </c>
      <c r="DW776" s="27" t="s">
        <v>8</v>
      </c>
      <c r="DX776" s="27" t="s">
        <v>7</v>
      </c>
      <c r="DY776" s="27" t="s">
        <v>8</v>
      </c>
      <c r="DZ776" s="27" t="s">
        <v>7</v>
      </c>
      <c r="EA776" s="27" t="s">
        <v>8</v>
      </c>
      <c r="EB776" s="27" t="s">
        <v>7</v>
      </c>
      <c r="EC776" s="27" t="s">
        <v>8</v>
      </c>
      <c r="EE776" s="27" t="s">
        <v>8</v>
      </c>
      <c r="EF776" s="27" t="s">
        <v>7</v>
      </c>
      <c r="EG776" s="27" t="s">
        <v>8</v>
      </c>
      <c r="EH776" s="27" t="s">
        <v>7</v>
      </c>
      <c r="EI776" s="27" t="s">
        <v>8</v>
      </c>
      <c r="EM776" s="27" t="s">
        <v>8</v>
      </c>
      <c r="EN776" s="27" t="s">
        <v>7</v>
      </c>
      <c r="EO776" s="27" t="s">
        <v>8</v>
      </c>
      <c r="ER776" s="27" t="s">
        <v>7</v>
      </c>
      <c r="ES776" s="27" t="s">
        <v>8</v>
      </c>
      <c r="EX776" s="27" t="s">
        <v>7</v>
      </c>
      <c r="EY776" s="27" t="s">
        <v>8</v>
      </c>
      <c r="EZ776" s="27" t="s">
        <v>7</v>
      </c>
      <c r="FA776" s="27" t="s">
        <v>8</v>
      </c>
      <c r="MD776" s="27" t="s">
        <v>7</v>
      </c>
      <c r="MG776" s="27" t="s">
        <v>8</v>
      </c>
      <c r="MH776" s="27" t="s">
        <v>7</v>
      </c>
    </row>
    <row r="777" spans="1:346" x14ac:dyDescent="0.25">
      <c r="A777" s="7">
        <v>2.3225622624333527E-2</v>
      </c>
      <c r="B777"/>
      <c r="C777"/>
      <c r="D777"/>
      <c r="E777"/>
      <c r="N777" s="27" t="s">
        <v>7</v>
      </c>
      <c r="O777" s="27" t="s">
        <v>8</v>
      </c>
      <c r="P777" s="27" t="s">
        <v>7</v>
      </c>
      <c r="V777" s="27" t="s">
        <v>7</v>
      </c>
      <c r="BG777" s="27" t="s">
        <v>8</v>
      </c>
      <c r="BH777" s="27" t="s">
        <v>7</v>
      </c>
      <c r="BI777" s="27" t="s">
        <v>8</v>
      </c>
      <c r="BJ777" s="27" t="s">
        <v>7</v>
      </c>
      <c r="BK777" s="27" t="s">
        <v>8</v>
      </c>
      <c r="BL777" s="27" t="s">
        <v>7</v>
      </c>
      <c r="BM777" s="27" t="s">
        <v>8</v>
      </c>
      <c r="BO777" s="27" t="s">
        <v>8</v>
      </c>
      <c r="BP777" s="27" t="s">
        <v>7</v>
      </c>
      <c r="BT777" s="27" t="s">
        <v>7</v>
      </c>
      <c r="BV777" s="27" t="s">
        <v>7</v>
      </c>
      <c r="BW777" s="27" t="s">
        <v>8</v>
      </c>
      <c r="BX777" s="27" t="s">
        <v>7</v>
      </c>
      <c r="BY777" s="27" t="s">
        <v>8</v>
      </c>
      <c r="CB777" s="27" t="s">
        <v>7</v>
      </c>
      <c r="CC777" s="27" t="s">
        <v>8</v>
      </c>
      <c r="DF777" s="27" t="s">
        <v>7</v>
      </c>
      <c r="DH777" s="27" t="s">
        <v>7</v>
      </c>
      <c r="DI777" s="27" t="s">
        <v>8</v>
      </c>
      <c r="DL777" s="27" t="s">
        <v>7</v>
      </c>
      <c r="DU777" s="27" t="s">
        <v>8</v>
      </c>
      <c r="DV777" s="27" t="s">
        <v>7</v>
      </c>
      <c r="DW777" s="27" t="s">
        <v>8</v>
      </c>
      <c r="DX777" s="27" t="s">
        <v>7</v>
      </c>
      <c r="DY777" s="27" t="s">
        <v>8</v>
      </c>
      <c r="DZ777" s="27" t="s">
        <v>7</v>
      </c>
      <c r="EA777" s="27" t="s">
        <v>8</v>
      </c>
      <c r="EB777" s="27" t="s">
        <v>7</v>
      </c>
      <c r="EC777" s="27" t="s">
        <v>8</v>
      </c>
      <c r="ED777" s="27" t="s">
        <v>7</v>
      </c>
      <c r="EE777" s="27" t="s">
        <v>8</v>
      </c>
      <c r="EF777" s="27" t="s">
        <v>7</v>
      </c>
      <c r="EG777" s="27" t="s">
        <v>8</v>
      </c>
      <c r="EH777" s="27" t="s">
        <v>7</v>
      </c>
      <c r="EI777" s="27" t="s">
        <v>8</v>
      </c>
      <c r="EJ777" s="27" t="s">
        <v>7</v>
      </c>
      <c r="EM777" s="27" t="s">
        <v>8</v>
      </c>
      <c r="EN777" s="27" t="s">
        <v>7</v>
      </c>
      <c r="EO777" s="27" t="s">
        <v>8</v>
      </c>
      <c r="ER777" s="27" t="s">
        <v>7</v>
      </c>
      <c r="ES777" s="27" t="s">
        <v>8</v>
      </c>
      <c r="EX777" s="27" t="s">
        <v>7</v>
      </c>
      <c r="EY777" s="27" t="s">
        <v>8</v>
      </c>
      <c r="EZ777" s="27" t="s">
        <v>7</v>
      </c>
      <c r="FA777" s="27" t="s">
        <v>8</v>
      </c>
      <c r="MD777" s="27" t="s">
        <v>7</v>
      </c>
      <c r="ME777" s="27" t="s">
        <v>8</v>
      </c>
      <c r="MG777" s="27" t="s">
        <v>8</v>
      </c>
      <c r="MH777" s="27" t="s">
        <v>7</v>
      </c>
    </row>
    <row r="778" spans="1:346" x14ac:dyDescent="0.25">
      <c r="A778" s="7">
        <v>2.2770218259150519E-2</v>
      </c>
      <c r="B778"/>
      <c r="C778"/>
      <c r="D778"/>
      <c r="E778"/>
      <c r="N778" s="27" t="s">
        <v>7</v>
      </c>
      <c r="O778" s="27" t="s">
        <v>8</v>
      </c>
      <c r="V778" s="27" t="s">
        <v>7</v>
      </c>
      <c r="BC778" s="27" t="s">
        <v>8</v>
      </c>
      <c r="BG778" s="27" t="s">
        <v>8</v>
      </c>
      <c r="BH778" s="27" t="s">
        <v>7</v>
      </c>
      <c r="BI778" s="27" t="s">
        <v>8</v>
      </c>
      <c r="BJ778" s="27" t="s">
        <v>7</v>
      </c>
      <c r="BK778" s="27" t="s">
        <v>8</v>
      </c>
      <c r="BL778" s="27" t="s">
        <v>7</v>
      </c>
      <c r="BM778" s="27" t="s">
        <v>8</v>
      </c>
      <c r="BN778" s="27" t="s">
        <v>7</v>
      </c>
      <c r="BO778" s="27" t="s">
        <v>8</v>
      </c>
      <c r="BV778" s="27" t="s">
        <v>7</v>
      </c>
      <c r="BW778" s="27" t="s">
        <v>8</v>
      </c>
      <c r="BX778" s="27" t="s">
        <v>7</v>
      </c>
      <c r="BY778" s="27" t="s">
        <v>8</v>
      </c>
      <c r="CB778" s="27" t="s">
        <v>7</v>
      </c>
      <c r="CC778" s="27" t="s">
        <v>8</v>
      </c>
      <c r="DH778" s="27" t="s">
        <v>7</v>
      </c>
      <c r="DL778" s="27" t="s">
        <v>7</v>
      </c>
      <c r="DU778" s="27" t="s">
        <v>8</v>
      </c>
      <c r="DV778" s="27" t="s">
        <v>7</v>
      </c>
      <c r="DW778" s="27" t="s">
        <v>8</v>
      </c>
      <c r="DX778" s="27" t="s">
        <v>7</v>
      </c>
      <c r="DY778" s="27" t="s">
        <v>8</v>
      </c>
      <c r="DZ778" s="27" t="s">
        <v>7</v>
      </c>
      <c r="EA778" s="27" t="s">
        <v>8</v>
      </c>
      <c r="EB778" s="27" t="s">
        <v>7</v>
      </c>
      <c r="EC778" s="27" t="s">
        <v>8</v>
      </c>
      <c r="ED778" s="27" t="s">
        <v>7</v>
      </c>
      <c r="EE778" s="27" t="s">
        <v>8</v>
      </c>
      <c r="EF778" s="27" t="s">
        <v>7</v>
      </c>
      <c r="EG778" s="27" t="s">
        <v>8</v>
      </c>
      <c r="EH778" s="27" t="s">
        <v>7</v>
      </c>
      <c r="EI778" s="27" t="s">
        <v>8</v>
      </c>
      <c r="EJ778" s="27" t="s">
        <v>7</v>
      </c>
      <c r="EM778" s="27" t="s">
        <v>8</v>
      </c>
      <c r="EN778" s="27" t="s">
        <v>7</v>
      </c>
      <c r="EO778" s="27" t="s">
        <v>8</v>
      </c>
      <c r="ER778" s="27" t="s">
        <v>7</v>
      </c>
      <c r="ES778" s="27" t="s">
        <v>8</v>
      </c>
      <c r="EX778" s="27" t="s">
        <v>7</v>
      </c>
      <c r="EY778" s="27" t="s">
        <v>8</v>
      </c>
      <c r="EZ778" s="27" t="s">
        <v>7</v>
      </c>
      <c r="FA778" s="27" t="s">
        <v>8</v>
      </c>
      <c r="MD778" s="27" t="s">
        <v>7</v>
      </c>
      <c r="ME778" s="27" t="s">
        <v>8</v>
      </c>
      <c r="MF778" s="27" t="s">
        <v>7</v>
      </c>
      <c r="MG778" s="27" t="s">
        <v>8</v>
      </c>
      <c r="MH778" s="27" t="s">
        <v>7</v>
      </c>
    </row>
    <row r="779" spans="1:346" x14ac:dyDescent="0.25">
      <c r="A779" s="7">
        <v>2.2323743391324039E-2</v>
      </c>
      <c r="B779"/>
      <c r="C779"/>
      <c r="D779"/>
      <c r="E779"/>
      <c r="N779" s="27" t="s">
        <v>7</v>
      </c>
      <c r="V779" s="27" t="s">
        <v>7</v>
      </c>
      <c r="BC779" s="27" t="s">
        <v>8</v>
      </c>
      <c r="BD779" s="27" t="s">
        <v>7</v>
      </c>
      <c r="BG779" s="27" t="s">
        <v>8</v>
      </c>
      <c r="BH779" s="27" t="s">
        <v>7</v>
      </c>
      <c r="BI779" s="27" t="s">
        <v>8</v>
      </c>
      <c r="BJ779" s="27" t="s">
        <v>7</v>
      </c>
      <c r="BK779" s="27" t="s">
        <v>8</v>
      </c>
      <c r="BL779" s="27" t="s">
        <v>7</v>
      </c>
      <c r="BM779" s="27" t="s">
        <v>8</v>
      </c>
      <c r="BN779" s="27" t="s">
        <v>7</v>
      </c>
      <c r="BO779" s="27" t="s">
        <v>8</v>
      </c>
      <c r="BV779" s="27" t="s">
        <v>7</v>
      </c>
      <c r="BX779" s="27" t="s">
        <v>7</v>
      </c>
      <c r="CB779" s="27" t="s">
        <v>7</v>
      </c>
      <c r="DL779" s="27" t="s">
        <v>7</v>
      </c>
      <c r="DU779" s="27" t="s">
        <v>8</v>
      </c>
      <c r="DV779" s="27" t="s">
        <v>7</v>
      </c>
      <c r="DW779" s="27" t="s">
        <v>8</v>
      </c>
      <c r="DX779" s="27" t="s">
        <v>7</v>
      </c>
      <c r="DY779" s="27" t="s">
        <v>8</v>
      </c>
      <c r="DZ779" s="27" t="s">
        <v>7</v>
      </c>
      <c r="EA779" s="27" t="s">
        <v>8</v>
      </c>
      <c r="EB779" s="27" t="s">
        <v>7</v>
      </c>
      <c r="EC779" s="27" t="s">
        <v>8</v>
      </c>
      <c r="ED779" s="27" t="s">
        <v>7</v>
      </c>
      <c r="EF779" s="27" t="s">
        <v>7</v>
      </c>
      <c r="EG779" s="27" t="s">
        <v>8</v>
      </c>
      <c r="EH779" s="27" t="s">
        <v>7</v>
      </c>
      <c r="EI779" s="27" t="s">
        <v>8</v>
      </c>
      <c r="EJ779" s="27" t="s">
        <v>7</v>
      </c>
      <c r="EK779" s="27" t="s">
        <v>8</v>
      </c>
      <c r="EM779" s="27" t="s">
        <v>8</v>
      </c>
      <c r="EN779" s="27" t="s">
        <v>7</v>
      </c>
      <c r="ER779" s="27" t="s">
        <v>7</v>
      </c>
      <c r="EX779" s="27" t="s">
        <v>7</v>
      </c>
      <c r="EY779" s="27" t="s">
        <v>8</v>
      </c>
      <c r="EZ779" s="27" t="s">
        <v>7</v>
      </c>
      <c r="FA779" s="27" t="s">
        <v>8</v>
      </c>
      <c r="MD779" s="27" t="s">
        <v>7</v>
      </c>
      <c r="ME779" s="27" t="s">
        <v>8</v>
      </c>
      <c r="MF779" s="27" t="s">
        <v>7</v>
      </c>
      <c r="MG779" s="27" t="s">
        <v>8</v>
      </c>
    </row>
    <row r="780" spans="1:346" x14ac:dyDescent="0.25">
      <c r="A780" s="7">
        <v>2.188602293267063E-2</v>
      </c>
      <c r="B780"/>
      <c r="C780"/>
      <c r="D780"/>
      <c r="E780"/>
      <c r="V780" s="27" t="s">
        <v>7</v>
      </c>
      <c r="W780" s="27" t="s">
        <v>8</v>
      </c>
      <c r="AY780" s="27" t="s">
        <v>8</v>
      </c>
      <c r="BC780" s="27" t="s">
        <v>8</v>
      </c>
      <c r="BD780" s="27" t="s">
        <v>7</v>
      </c>
      <c r="BG780" s="27" t="s">
        <v>8</v>
      </c>
      <c r="BH780" s="27" t="s">
        <v>7</v>
      </c>
      <c r="BI780" s="27" t="s">
        <v>8</v>
      </c>
      <c r="BJ780" s="27" t="s">
        <v>7</v>
      </c>
      <c r="BK780" s="27" t="s">
        <v>8</v>
      </c>
      <c r="BL780" s="27" t="s">
        <v>7</v>
      </c>
      <c r="BM780" s="27" t="s">
        <v>8</v>
      </c>
      <c r="BN780" s="27" t="s">
        <v>7</v>
      </c>
      <c r="BO780" s="27" t="s">
        <v>8</v>
      </c>
      <c r="DL780" s="27" t="s">
        <v>7</v>
      </c>
      <c r="DU780" s="27" t="s">
        <v>8</v>
      </c>
      <c r="DV780" s="27" t="s">
        <v>7</v>
      </c>
      <c r="DW780" s="27" t="s">
        <v>8</v>
      </c>
      <c r="DX780" s="27" t="s">
        <v>7</v>
      </c>
      <c r="DY780" s="27" t="s">
        <v>8</v>
      </c>
      <c r="DZ780" s="27" t="s">
        <v>7</v>
      </c>
      <c r="EA780" s="27" t="s">
        <v>8</v>
      </c>
      <c r="EB780" s="27" t="s">
        <v>7</v>
      </c>
      <c r="EC780" s="27" t="s">
        <v>8</v>
      </c>
      <c r="EF780" s="27" t="s">
        <v>7</v>
      </c>
      <c r="EG780" s="27" t="s">
        <v>8</v>
      </c>
      <c r="EH780" s="27" t="s">
        <v>7</v>
      </c>
      <c r="EJ780" s="27" t="s">
        <v>7</v>
      </c>
      <c r="EK780" s="27" t="s">
        <v>8</v>
      </c>
      <c r="EL780" s="27" t="s">
        <v>7</v>
      </c>
      <c r="EM780" s="27" t="s">
        <v>8</v>
      </c>
      <c r="EX780" s="27" t="s">
        <v>7</v>
      </c>
      <c r="EZ780" s="27" t="s">
        <v>7</v>
      </c>
      <c r="MD780" s="27" t="s">
        <v>7</v>
      </c>
      <c r="ME780" s="27" t="s">
        <v>8</v>
      </c>
      <c r="MF780" s="27" t="s">
        <v>7</v>
      </c>
      <c r="MG780" s="27" t="s">
        <v>8</v>
      </c>
    </row>
    <row r="781" spans="1:346" x14ac:dyDescent="0.25">
      <c r="A781" s="7">
        <v>2.1456885228108461E-2</v>
      </c>
      <c r="B781"/>
      <c r="C781"/>
      <c r="D781"/>
      <c r="E781"/>
      <c r="V781" s="27" t="s">
        <v>7</v>
      </c>
      <c r="W781" s="27" t="s">
        <v>8</v>
      </c>
      <c r="X781" s="27" t="s">
        <v>7</v>
      </c>
      <c r="AS781" s="27" t="s">
        <v>8</v>
      </c>
      <c r="AW781" s="27" t="s">
        <v>8</v>
      </c>
      <c r="AY781" s="27" t="s">
        <v>8</v>
      </c>
      <c r="AZ781" s="27" t="s">
        <v>7</v>
      </c>
      <c r="BC781" s="27" t="s">
        <v>8</v>
      </c>
      <c r="BD781" s="27" t="s">
        <v>7</v>
      </c>
      <c r="BE781" s="27" t="s">
        <v>8</v>
      </c>
      <c r="BG781" s="27" t="s">
        <v>8</v>
      </c>
      <c r="BH781" s="27" t="s">
        <v>7</v>
      </c>
      <c r="BJ781" s="27" t="s">
        <v>7</v>
      </c>
      <c r="BK781" s="27" t="s">
        <v>8</v>
      </c>
      <c r="BL781" s="27" t="s">
        <v>7</v>
      </c>
      <c r="BM781" s="27" t="s">
        <v>8</v>
      </c>
      <c r="BN781" s="27" t="s">
        <v>7</v>
      </c>
      <c r="BO781" s="27" t="s">
        <v>8</v>
      </c>
      <c r="DL781" s="27" t="s">
        <v>7</v>
      </c>
      <c r="DU781" s="27" t="s">
        <v>8</v>
      </c>
      <c r="DV781" s="27" t="s">
        <v>7</v>
      </c>
      <c r="DW781" s="27" t="s">
        <v>8</v>
      </c>
      <c r="DX781" s="27" t="s">
        <v>7</v>
      </c>
      <c r="DY781" s="27" t="s">
        <v>8</v>
      </c>
      <c r="DZ781" s="27" t="s">
        <v>7</v>
      </c>
      <c r="EA781" s="27" t="s">
        <v>8</v>
      </c>
      <c r="EB781" s="27" t="s">
        <v>7</v>
      </c>
      <c r="EC781" s="27" t="s">
        <v>8</v>
      </c>
      <c r="EF781" s="27" t="s">
        <v>7</v>
      </c>
      <c r="EG781" s="27" t="s">
        <v>8</v>
      </c>
      <c r="EJ781" s="27" t="s">
        <v>7</v>
      </c>
      <c r="EK781" s="27" t="s">
        <v>8</v>
      </c>
      <c r="EL781" s="27" t="s">
        <v>7</v>
      </c>
      <c r="EM781" s="27" t="s">
        <v>8</v>
      </c>
      <c r="MD781" s="27" t="s">
        <v>7</v>
      </c>
      <c r="ME781" s="27" t="s">
        <v>8</v>
      </c>
      <c r="MF781" s="27" t="s">
        <v>7</v>
      </c>
      <c r="MG781" s="27" t="s">
        <v>8</v>
      </c>
    </row>
    <row r="782" spans="1:346" x14ac:dyDescent="0.25">
      <c r="A782" s="7">
        <v>2.1036161988341632E-2</v>
      </c>
      <c r="B782"/>
      <c r="C782"/>
      <c r="D782"/>
      <c r="E782"/>
      <c r="V782" s="27" t="s">
        <v>7</v>
      </c>
      <c r="W782" s="27" t="s">
        <v>8</v>
      </c>
      <c r="X782" s="27" t="s">
        <v>7</v>
      </c>
      <c r="AS782" s="27" t="s">
        <v>8</v>
      </c>
      <c r="AT782" s="27" t="s">
        <v>7</v>
      </c>
      <c r="AU782" s="27" t="s">
        <v>8</v>
      </c>
      <c r="AW782" s="27" t="s">
        <v>8</v>
      </c>
      <c r="AX782" s="27" t="s">
        <v>7</v>
      </c>
      <c r="AY782" s="27" t="s">
        <v>8</v>
      </c>
      <c r="AZ782" s="27" t="s">
        <v>7</v>
      </c>
      <c r="BC782" s="27" t="s">
        <v>8</v>
      </c>
      <c r="BD782" s="27" t="s">
        <v>7</v>
      </c>
      <c r="BE782" s="27" t="s">
        <v>8</v>
      </c>
      <c r="BF782" s="27" t="s">
        <v>7</v>
      </c>
      <c r="BG782" s="27" t="s">
        <v>8</v>
      </c>
      <c r="BJ782" s="27" t="s">
        <v>7</v>
      </c>
      <c r="BL782" s="27" t="s">
        <v>7</v>
      </c>
      <c r="BN782" s="27" t="s">
        <v>7</v>
      </c>
      <c r="BO782" s="27" t="s">
        <v>8</v>
      </c>
      <c r="DL782" s="27" t="s">
        <v>7</v>
      </c>
      <c r="DU782" s="27" t="s">
        <v>8</v>
      </c>
      <c r="DV782" s="27" t="s">
        <v>7</v>
      </c>
      <c r="DW782" s="27" t="s">
        <v>8</v>
      </c>
      <c r="DX782" s="27" t="s">
        <v>7</v>
      </c>
      <c r="DY782" s="27" t="s">
        <v>8</v>
      </c>
      <c r="DZ782" s="27" t="s">
        <v>7</v>
      </c>
      <c r="EA782" s="27" t="s">
        <v>8</v>
      </c>
      <c r="EB782" s="27" t="s">
        <v>7</v>
      </c>
      <c r="EF782" s="27" t="s">
        <v>7</v>
      </c>
      <c r="EG782" s="27" t="s">
        <v>8</v>
      </c>
      <c r="EJ782" s="27" t="s">
        <v>7</v>
      </c>
      <c r="EK782" s="27" t="s">
        <v>8</v>
      </c>
      <c r="EL782" s="27" t="s">
        <v>7</v>
      </c>
      <c r="EM782" s="27" t="s">
        <v>8</v>
      </c>
      <c r="MD782" s="27" t="s">
        <v>7</v>
      </c>
      <c r="ME782" s="27" t="s">
        <v>8</v>
      </c>
      <c r="MF782" s="27" t="s">
        <v>7</v>
      </c>
      <c r="MG782" s="27" t="s">
        <v>8</v>
      </c>
    </row>
    <row r="783" spans="1:346" x14ac:dyDescent="0.25">
      <c r="A783" s="7">
        <v>2.0623688223864345E-2</v>
      </c>
      <c r="B783"/>
      <c r="C783"/>
      <c r="D783"/>
      <c r="E783"/>
      <c r="V783" s="27" t="s">
        <v>7</v>
      </c>
      <c r="X783" s="27" t="s">
        <v>7</v>
      </c>
      <c r="AS783" s="27" t="s">
        <v>8</v>
      </c>
      <c r="AT783" s="27" t="s">
        <v>7</v>
      </c>
      <c r="AU783" s="27" t="s">
        <v>8</v>
      </c>
      <c r="AV783" s="27" t="s">
        <v>7</v>
      </c>
      <c r="AW783" s="27" t="s">
        <v>8</v>
      </c>
      <c r="AX783" s="27" t="s">
        <v>7</v>
      </c>
      <c r="AY783" s="27" t="s">
        <v>8</v>
      </c>
      <c r="AZ783" s="27" t="s">
        <v>7</v>
      </c>
      <c r="BC783" s="27" t="s">
        <v>8</v>
      </c>
      <c r="BD783" s="27" t="s">
        <v>7</v>
      </c>
      <c r="BE783" s="27" t="s">
        <v>8</v>
      </c>
      <c r="BF783" s="27" t="s">
        <v>7</v>
      </c>
      <c r="BG783" s="27" t="s">
        <v>8</v>
      </c>
      <c r="BN783" s="27" t="s">
        <v>7</v>
      </c>
      <c r="DL783" s="27" t="s">
        <v>7</v>
      </c>
      <c r="DU783" s="27" t="s">
        <v>8</v>
      </c>
      <c r="DV783" s="27" t="s">
        <v>7</v>
      </c>
      <c r="DX783" s="27" t="s">
        <v>7</v>
      </c>
      <c r="DZ783" s="27" t="s">
        <v>7</v>
      </c>
      <c r="EA783" s="27" t="s">
        <v>8</v>
      </c>
      <c r="EF783" s="27" t="s">
        <v>7</v>
      </c>
      <c r="EG783" s="27" t="s">
        <v>8</v>
      </c>
      <c r="EJ783" s="27" t="s">
        <v>7</v>
      </c>
      <c r="EL783" s="27" t="s">
        <v>7</v>
      </c>
      <c r="MD783" s="27" t="s">
        <v>7</v>
      </c>
      <c r="ME783" s="27" t="s">
        <v>8</v>
      </c>
      <c r="MF783" s="27" t="s">
        <v>7</v>
      </c>
      <c r="MG783" s="27" t="s">
        <v>8</v>
      </c>
    </row>
    <row r="784" spans="1:346" x14ac:dyDescent="0.25">
      <c r="A784" s="7">
        <v>2.021930218025916E-2</v>
      </c>
      <c r="B784"/>
      <c r="C784"/>
      <c r="D784"/>
      <c r="E784"/>
      <c r="X784" s="27" t="s">
        <v>7</v>
      </c>
      <c r="AS784" s="27" t="s">
        <v>8</v>
      </c>
      <c r="AT784" s="27" t="s">
        <v>7</v>
      </c>
      <c r="AU784" s="27" t="s">
        <v>8</v>
      </c>
      <c r="AV784" s="27" t="s">
        <v>7</v>
      </c>
      <c r="AW784" s="27" t="s">
        <v>8</v>
      </c>
      <c r="AX784" s="27" t="s">
        <v>7</v>
      </c>
      <c r="AY784" s="27" t="s">
        <v>8</v>
      </c>
      <c r="AZ784" s="27" t="s">
        <v>7</v>
      </c>
      <c r="BC784" s="27" t="s">
        <v>8</v>
      </c>
      <c r="BD784" s="27" t="s">
        <v>7</v>
      </c>
      <c r="BF784" s="27" t="s">
        <v>7</v>
      </c>
      <c r="BG784" s="27" t="s">
        <v>8</v>
      </c>
      <c r="DL784" s="27" t="s">
        <v>7</v>
      </c>
      <c r="DM784" s="27" t="s">
        <v>8</v>
      </c>
      <c r="DU784" s="27" t="s">
        <v>8</v>
      </c>
      <c r="DZ784" s="27" t="s">
        <v>7</v>
      </c>
      <c r="EA784" s="27" t="s">
        <v>8</v>
      </c>
      <c r="EF784" s="27" t="s">
        <v>7</v>
      </c>
      <c r="MD784" s="27" t="s">
        <v>7</v>
      </c>
      <c r="MF784" s="27" t="s">
        <v>7</v>
      </c>
    </row>
    <row r="785" spans="1:130" x14ac:dyDescent="0.25">
      <c r="A785" s="7">
        <v>1.9822845274763884E-2</v>
      </c>
      <c r="B785"/>
      <c r="C785"/>
      <c r="D785"/>
      <c r="E785"/>
      <c r="X785" s="27" t="s">
        <v>7</v>
      </c>
      <c r="AS785" s="27" t="s">
        <v>8</v>
      </c>
      <c r="AT785" s="27" t="s">
        <v>7</v>
      </c>
      <c r="AV785" s="27" t="s">
        <v>7</v>
      </c>
      <c r="AW785" s="27" t="s">
        <v>8</v>
      </c>
      <c r="AX785" s="27" t="s">
        <v>7</v>
      </c>
      <c r="AZ785" s="27" t="s">
        <v>7</v>
      </c>
      <c r="BC785" s="27" t="s">
        <v>8</v>
      </c>
      <c r="BF785" s="27" t="s">
        <v>7</v>
      </c>
      <c r="DL785" s="27" t="s">
        <v>7</v>
      </c>
      <c r="DM785" s="27" t="s">
        <v>8</v>
      </c>
      <c r="DN785" s="27" t="s">
        <v>7</v>
      </c>
      <c r="DO785" s="27" t="s">
        <v>8</v>
      </c>
      <c r="DQ785" s="27" t="s">
        <v>8</v>
      </c>
      <c r="DS785" s="27" t="s">
        <v>8</v>
      </c>
      <c r="DU785" s="27" t="s">
        <v>8</v>
      </c>
      <c r="DZ785" s="27" t="s">
        <v>7</v>
      </c>
    </row>
    <row r="786" spans="1:130" x14ac:dyDescent="0.25">
      <c r="A786" s="7">
        <v>1.9434162034082238E-2</v>
      </c>
      <c r="B786"/>
      <c r="C786"/>
      <c r="D786"/>
      <c r="E786"/>
      <c r="X786" s="27" t="s">
        <v>7</v>
      </c>
      <c r="AQ786" s="27" t="s">
        <v>8</v>
      </c>
      <c r="AS786" s="27" t="s">
        <v>8</v>
      </c>
      <c r="AV786" s="27" t="s">
        <v>7</v>
      </c>
      <c r="AZ786" s="27" t="s">
        <v>7</v>
      </c>
      <c r="BA786" s="27" t="s">
        <v>8</v>
      </c>
      <c r="BC786" s="27" t="s">
        <v>8</v>
      </c>
      <c r="DL786" s="27" t="s">
        <v>7</v>
      </c>
      <c r="DM786" s="27" t="s">
        <v>8</v>
      </c>
      <c r="DN786" s="27" t="s">
        <v>7</v>
      </c>
      <c r="DO786" s="27" t="s">
        <v>8</v>
      </c>
      <c r="DP786" s="27" t="s">
        <v>7</v>
      </c>
      <c r="DQ786" s="27" t="s">
        <v>8</v>
      </c>
      <c r="DR786" s="27" t="s">
        <v>7</v>
      </c>
      <c r="DS786" s="27" t="s">
        <v>8</v>
      </c>
      <c r="DT786" s="27" t="s">
        <v>7</v>
      </c>
      <c r="DU786" s="27" t="s">
        <v>8</v>
      </c>
    </row>
    <row r="787" spans="1:130" x14ac:dyDescent="0.25">
      <c r="A787" s="7">
        <v>1.9053100033413959E-2</v>
      </c>
      <c r="B787"/>
      <c r="C787"/>
      <c r="D787"/>
      <c r="E787"/>
      <c r="X787" s="27" t="s">
        <v>7</v>
      </c>
      <c r="Y787" s="27" t="s">
        <v>8</v>
      </c>
      <c r="AC787" s="27" t="s">
        <v>8</v>
      </c>
      <c r="AI787" s="27" t="s">
        <v>8</v>
      </c>
      <c r="AQ787" s="27" t="s">
        <v>8</v>
      </c>
      <c r="AR787" s="27" t="s">
        <v>7</v>
      </c>
      <c r="AS787" s="27" t="s">
        <v>8</v>
      </c>
      <c r="AZ787" s="27" t="s">
        <v>7</v>
      </c>
      <c r="BA787" s="27" t="s">
        <v>8</v>
      </c>
      <c r="BB787" s="27" t="s">
        <v>7</v>
      </c>
      <c r="BC787" s="27" t="s">
        <v>8</v>
      </c>
      <c r="DL787" s="27" t="s">
        <v>7</v>
      </c>
      <c r="DM787" s="27" t="s">
        <v>8</v>
      </c>
      <c r="DN787" s="27" t="s">
        <v>7</v>
      </c>
      <c r="DO787" s="27" t="s">
        <v>8</v>
      </c>
      <c r="DP787" s="27" t="s">
        <v>7</v>
      </c>
      <c r="DQ787" s="27" t="s">
        <v>8</v>
      </c>
      <c r="DR787" s="27" t="s">
        <v>7</v>
      </c>
      <c r="DS787" s="27" t="s">
        <v>8</v>
      </c>
      <c r="DT787" s="27" t="s">
        <v>7</v>
      </c>
      <c r="DU787" s="27" t="s">
        <v>8</v>
      </c>
    </row>
    <row r="788" spans="1:130" x14ac:dyDescent="0.25">
      <c r="A788" s="7">
        <v>1.867950983668035E-2</v>
      </c>
      <c r="B788"/>
      <c r="C788"/>
      <c r="D788"/>
      <c r="E788"/>
      <c r="X788" s="27" t="s">
        <v>7</v>
      </c>
      <c r="Y788" s="27" t="s">
        <v>8</v>
      </c>
      <c r="Z788" s="27" t="s">
        <v>7</v>
      </c>
      <c r="AC788" s="27" t="s">
        <v>8</v>
      </c>
      <c r="AD788" s="27" t="s">
        <v>7</v>
      </c>
      <c r="AI788" s="27" t="s">
        <v>8</v>
      </c>
      <c r="AJ788" s="27" t="s">
        <v>7</v>
      </c>
      <c r="AQ788" s="27" t="s">
        <v>8</v>
      </c>
      <c r="AR788" s="27" t="s">
        <v>7</v>
      </c>
      <c r="AS788" s="27" t="s">
        <v>8</v>
      </c>
      <c r="AZ788" s="27" t="s">
        <v>7</v>
      </c>
      <c r="BA788" s="27" t="s">
        <v>8</v>
      </c>
      <c r="BB788" s="27" t="s">
        <v>7</v>
      </c>
      <c r="BC788" s="27" t="s">
        <v>8</v>
      </c>
      <c r="DL788" s="27" t="s">
        <v>7</v>
      </c>
      <c r="DN788" s="27" t="s">
        <v>7</v>
      </c>
      <c r="DO788" s="27" t="s">
        <v>8</v>
      </c>
      <c r="DP788" s="27" t="s">
        <v>7</v>
      </c>
      <c r="DQ788" s="27" t="s">
        <v>8</v>
      </c>
      <c r="DR788" s="27" t="s">
        <v>7</v>
      </c>
      <c r="DS788" s="27" t="s">
        <v>8</v>
      </c>
      <c r="DT788" s="27" t="s">
        <v>7</v>
      </c>
      <c r="DU788" s="27" t="s">
        <v>8</v>
      </c>
    </row>
    <row r="789" spans="1:130" x14ac:dyDescent="0.25">
      <c r="A789" s="7">
        <v>1.8313244937921913E-2</v>
      </c>
      <c r="B789"/>
      <c r="C789"/>
      <c r="D789"/>
      <c r="E789"/>
      <c r="X789" s="27" t="s">
        <v>7</v>
      </c>
      <c r="Y789" s="27" t="s">
        <v>8</v>
      </c>
      <c r="Z789" s="27" t="s">
        <v>7</v>
      </c>
      <c r="AC789" s="27" t="s">
        <v>8</v>
      </c>
      <c r="AD789" s="27" t="s">
        <v>7</v>
      </c>
      <c r="AI789" s="27" t="s">
        <v>8</v>
      </c>
      <c r="AJ789" s="27" t="s">
        <v>7</v>
      </c>
      <c r="AQ789" s="27" t="s">
        <v>8</v>
      </c>
      <c r="AR789" s="27" t="s">
        <v>7</v>
      </c>
      <c r="AS789" s="27" t="s">
        <v>8</v>
      </c>
      <c r="AZ789" s="27" t="s">
        <v>7</v>
      </c>
      <c r="BA789" s="27" t="s">
        <v>8</v>
      </c>
      <c r="BB789" s="27" t="s">
        <v>7</v>
      </c>
      <c r="BC789" s="27" t="s">
        <v>8</v>
      </c>
      <c r="DN789" s="27" t="s">
        <v>7</v>
      </c>
      <c r="DP789" s="27" t="s">
        <v>7</v>
      </c>
      <c r="DQ789" s="27" t="s">
        <v>8</v>
      </c>
      <c r="DR789" s="27" t="s">
        <v>7</v>
      </c>
      <c r="DS789" s="27" t="s">
        <v>8</v>
      </c>
      <c r="DT789" s="27" t="s">
        <v>7</v>
      </c>
      <c r="DU789" s="27" t="s">
        <v>8</v>
      </c>
    </row>
    <row r="790" spans="1:130" x14ac:dyDescent="0.25">
      <c r="A790" s="7">
        <v>1.7954161703845013E-2</v>
      </c>
      <c r="B790"/>
      <c r="C790"/>
      <c r="D790"/>
      <c r="E790"/>
      <c r="X790" s="27" t="s">
        <v>7</v>
      </c>
      <c r="Y790" s="27" t="s">
        <v>8</v>
      </c>
      <c r="Z790" s="27" t="s">
        <v>7</v>
      </c>
      <c r="AC790" s="27" t="s">
        <v>8</v>
      </c>
      <c r="AD790" s="27" t="s">
        <v>7</v>
      </c>
      <c r="AE790" s="27" t="s">
        <v>8</v>
      </c>
      <c r="AI790" s="27" t="s">
        <v>8</v>
      </c>
      <c r="AJ790" s="27" t="s">
        <v>7</v>
      </c>
      <c r="AM790" s="27" t="s">
        <v>8</v>
      </c>
      <c r="AQ790" s="27" t="s">
        <v>8</v>
      </c>
      <c r="AR790" s="27" t="s">
        <v>7</v>
      </c>
      <c r="AZ790" s="27" t="s">
        <v>7</v>
      </c>
      <c r="BA790" s="27" t="s">
        <v>8</v>
      </c>
      <c r="BB790" s="27" t="s">
        <v>7</v>
      </c>
      <c r="DP790" s="27" t="s">
        <v>7</v>
      </c>
      <c r="DQ790" s="27" t="s">
        <v>8</v>
      </c>
      <c r="DR790" s="27" t="s">
        <v>7</v>
      </c>
      <c r="DT790" s="27" t="s">
        <v>7</v>
      </c>
    </row>
    <row r="791" spans="1:130" x14ac:dyDescent="0.25">
      <c r="A791" s="7">
        <v>1.7602119317495109E-2</v>
      </c>
      <c r="B791"/>
      <c r="C791"/>
      <c r="D791"/>
      <c r="E791"/>
      <c r="X791" s="27" t="s">
        <v>7</v>
      </c>
      <c r="Y791" s="27" t="s">
        <v>8</v>
      </c>
      <c r="Z791" s="27" t="s">
        <v>7</v>
      </c>
      <c r="AC791" s="27" t="s">
        <v>8</v>
      </c>
      <c r="AD791" s="27" t="s">
        <v>7</v>
      </c>
      <c r="AE791" s="27" t="s">
        <v>8</v>
      </c>
      <c r="AF791" s="27" t="s">
        <v>7</v>
      </c>
      <c r="AI791" s="27" t="s">
        <v>8</v>
      </c>
      <c r="AJ791" s="27" t="s">
        <v>7</v>
      </c>
      <c r="AK791" s="27" t="s">
        <v>8</v>
      </c>
      <c r="AM791" s="27" t="s">
        <v>8</v>
      </c>
      <c r="AN791" s="27" t="s">
        <v>7</v>
      </c>
      <c r="AO791" s="27" t="s">
        <v>8</v>
      </c>
      <c r="AQ791" s="27" t="s">
        <v>8</v>
      </c>
      <c r="AZ791" s="27" t="s">
        <v>7</v>
      </c>
      <c r="BA791" s="27" t="s">
        <v>8</v>
      </c>
      <c r="DP791" s="27" t="s">
        <v>7</v>
      </c>
      <c r="DQ791" s="27" t="s">
        <v>8</v>
      </c>
    </row>
    <row r="792" spans="1:130" x14ac:dyDescent="0.25">
      <c r="A792" s="7">
        <v>1.7256979723034419E-2</v>
      </c>
      <c r="B792"/>
      <c r="C792"/>
      <c r="D792"/>
      <c r="E792"/>
      <c r="X792" s="27" t="s">
        <v>7</v>
      </c>
      <c r="Y792" s="27" t="s">
        <v>8</v>
      </c>
      <c r="Z792" s="27" t="s">
        <v>7</v>
      </c>
      <c r="AC792" s="27" t="s">
        <v>8</v>
      </c>
      <c r="AD792" s="27" t="s">
        <v>7</v>
      </c>
      <c r="AE792" s="27" t="s">
        <v>8</v>
      </c>
      <c r="AF792" s="27" t="s">
        <v>7</v>
      </c>
      <c r="AI792" s="27" t="s">
        <v>8</v>
      </c>
      <c r="AJ792" s="27" t="s">
        <v>7</v>
      </c>
      <c r="AK792" s="27" t="s">
        <v>8</v>
      </c>
      <c r="AL792" s="27" t="s">
        <v>7</v>
      </c>
      <c r="AM792" s="27" t="s">
        <v>8</v>
      </c>
      <c r="AN792" s="27" t="s">
        <v>7</v>
      </c>
      <c r="AO792" s="27" t="s">
        <v>8</v>
      </c>
      <c r="AP792" s="27" t="s">
        <v>7</v>
      </c>
      <c r="AQ792" s="27" t="s">
        <v>8</v>
      </c>
      <c r="AZ792" s="27" t="s">
        <v>7</v>
      </c>
      <c r="DP792" s="27" t="s">
        <v>7</v>
      </c>
      <c r="DQ792" s="27" t="s">
        <v>8</v>
      </c>
    </row>
    <row r="793" spans="1:130" x14ac:dyDescent="0.25">
      <c r="A793" s="7">
        <v>1.6918607571602372E-2</v>
      </c>
      <c r="B793"/>
      <c r="C793"/>
      <c r="D793"/>
      <c r="E793"/>
      <c r="X793" s="27" t="s">
        <v>7</v>
      </c>
      <c r="Y793" s="27" t="s">
        <v>8</v>
      </c>
      <c r="Z793" s="27" t="s">
        <v>7</v>
      </c>
      <c r="AC793" s="27" t="s">
        <v>8</v>
      </c>
      <c r="AD793" s="27" t="s">
        <v>7</v>
      </c>
      <c r="AE793" s="27" t="s">
        <v>8</v>
      </c>
      <c r="AF793" s="27" t="s">
        <v>7</v>
      </c>
      <c r="AI793" s="27" t="s">
        <v>8</v>
      </c>
      <c r="AJ793" s="27" t="s">
        <v>7</v>
      </c>
      <c r="AK793" s="27" t="s">
        <v>8</v>
      </c>
      <c r="AL793" s="27" t="s">
        <v>7</v>
      </c>
      <c r="AM793" s="27" t="s">
        <v>8</v>
      </c>
      <c r="AN793" s="27" t="s">
        <v>7</v>
      </c>
      <c r="AO793" s="27" t="s">
        <v>8</v>
      </c>
      <c r="AP793" s="27" t="s">
        <v>7</v>
      </c>
      <c r="AQ793" s="27" t="s">
        <v>8</v>
      </c>
      <c r="DP793" s="27" t="s">
        <v>7</v>
      </c>
      <c r="DQ793" s="27" t="s">
        <v>8</v>
      </c>
    </row>
    <row r="794" spans="1:130" x14ac:dyDescent="0.25">
      <c r="A794" s="7">
        <v>1.6586870168237622E-2</v>
      </c>
      <c r="B794"/>
      <c r="C794"/>
      <c r="D794"/>
      <c r="E794"/>
      <c r="X794" s="27" t="s">
        <v>7</v>
      </c>
      <c r="Y794" s="27" t="s">
        <v>8</v>
      </c>
      <c r="Z794" s="27" t="s">
        <v>7</v>
      </c>
      <c r="AC794" s="27" t="s">
        <v>8</v>
      </c>
      <c r="AD794" s="27" t="s">
        <v>7</v>
      </c>
      <c r="AE794" s="27" t="s">
        <v>8</v>
      </c>
      <c r="AF794" s="27" t="s">
        <v>7</v>
      </c>
      <c r="AG794" s="27" t="s">
        <v>8</v>
      </c>
      <c r="AI794" s="27" t="s">
        <v>8</v>
      </c>
      <c r="AJ794" s="27" t="s">
        <v>7</v>
      </c>
      <c r="AL794" s="27" t="s">
        <v>7</v>
      </c>
      <c r="AM794" s="27" t="s">
        <v>8</v>
      </c>
      <c r="AN794" s="27" t="s">
        <v>7</v>
      </c>
      <c r="AO794" s="27" t="s">
        <v>8</v>
      </c>
      <c r="AP794" s="27" t="s">
        <v>7</v>
      </c>
      <c r="AQ794" s="27" t="s">
        <v>8</v>
      </c>
      <c r="DP794" s="27" t="s">
        <v>7</v>
      </c>
      <c r="DQ794" s="27" t="s">
        <v>8</v>
      </c>
    </row>
    <row r="795" spans="1:130" x14ac:dyDescent="0.25">
      <c r="A795" s="7">
        <v>1.6261637419840807E-2</v>
      </c>
      <c r="B795"/>
      <c r="C795"/>
      <c r="D795"/>
      <c r="E795"/>
      <c r="X795" s="27" t="s">
        <v>7</v>
      </c>
      <c r="Y795" s="27" t="s">
        <v>8</v>
      </c>
      <c r="Z795" s="27" t="s">
        <v>7</v>
      </c>
      <c r="AC795" s="27" t="s">
        <v>8</v>
      </c>
      <c r="AD795" s="27" t="s">
        <v>7</v>
      </c>
      <c r="AE795" s="27" t="s">
        <v>8</v>
      </c>
      <c r="AF795" s="27" t="s">
        <v>7</v>
      </c>
      <c r="AG795" s="27" t="s">
        <v>8</v>
      </c>
      <c r="AH795" s="27" t="s">
        <v>7</v>
      </c>
      <c r="AI795" s="27" t="s">
        <v>8</v>
      </c>
      <c r="AL795" s="27" t="s">
        <v>7</v>
      </c>
      <c r="AN795" s="27" t="s">
        <v>7</v>
      </c>
      <c r="AO795" s="27" t="s">
        <v>8</v>
      </c>
      <c r="AP795" s="27" t="s">
        <v>7</v>
      </c>
      <c r="AQ795" s="27" t="s">
        <v>8</v>
      </c>
      <c r="DP795" s="27" t="s">
        <v>7</v>
      </c>
      <c r="DQ795" s="27" t="s">
        <v>8</v>
      </c>
    </row>
    <row r="796" spans="1:130" x14ac:dyDescent="0.25">
      <c r="A796" s="7">
        <v>1.5942781784157655E-2</v>
      </c>
      <c r="B796"/>
      <c r="C796"/>
      <c r="D796"/>
      <c r="E796"/>
      <c r="X796" s="27" t="s">
        <v>7</v>
      </c>
      <c r="Y796" s="27" t="s">
        <v>8</v>
      </c>
      <c r="Z796" s="27" t="s">
        <v>7</v>
      </c>
      <c r="AC796" s="27" t="s">
        <v>8</v>
      </c>
      <c r="AD796" s="27" t="s">
        <v>7</v>
      </c>
      <c r="AE796" s="27" t="s">
        <v>8</v>
      </c>
      <c r="AF796" s="27" t="s">
        <v>7</v>
      </c>
      <c r="AG796" s="27" t="s">
        <v>8</v>
      </c>
      <c r="AH796" s="27" t="s">
        <v>7</v>
      </c>
      <c r="AI796" s="27" t="s">
        <v>8</v>
      </c>
      <c r="AN796" s="27" t="s">
        <v>7</v>
      </c>
      <c r="AP796" s="27" t="s">
        <v>7</v>
      </c>
      <c r="DP796" s="27" t="s">
        <v>7</v>
      </c>
      <c r="DQ796" s="27" t="s">
        <v>8</v>
      </c>
    </row>
    <row r="797" spans="1:130" x14ac:dyDescent="0.25">
      <c r="A797" s="7">
        <v>1.5630178219762408E-2</v>
      </c>
      <c r="B797"/>
      <c r="C797"/>
      <c r="D797"/>
      <c r="E797"/>
      <c r="X797" s="27" t="s">
        <v>7</v>
      </c>
      <c r="Y797" s="27" t="s">
        <v>8</v>
      </c>
      <c r="Z797" s="27" t="s">
        <v>7</v>
      </c>
      <c r="AC797" s="27" t="s">
        <v>8</v>
      </c>
      <c r="AD797" s="27" t="s">
        <v>7</v>
      </c>
      <c r="AE797" s="27" t="s">
        <v>8</v>
      </c>
      <c r="AF797" s="27" t="s">
        <v>7</v>
      </c>
      <c r="AG797" s="27" t="s">
        <v>8</v>
      </c>
      <c r="AH797" s="27" t="s">
        <v>7</v>
      </c>
      <c r="AI797" s="27" t="s">
        <v>8</v>
      </c>
      <c r="DP797" s="27" t="s">
        <v>7</v>
      </c>
      <c r="DQ797" s="27" t="s">
        <v>8</v>
      </c>
    </row>
    <row r="798" spans="1:130" x14ac:dyDescent="0.25">
      <c r="A798" s="7">
        <v>1.5323704137021967E-2</v>
      </c>
      <c r="B798"/>
      <c r="C798"/>
      <c r="D798"/>
      <c r="E798"/>
      <c r="X798" s="27" t="s">
        <v>7</v>
      </c>
      <c r="Y798" s="27" t="s">
        <v>8</v>
      </c>
      <c r="Z798" s="27" t="s">
        <v>7</v>
      </c>
      <c r="AC798" s="27" t="s">
        <v>8</v>
      </c>
      <c r="AD798" s="27" t="s">
        <v>7</v>
      </c>
      <c r="AF798" s="27" t="s">
        <v>7</v>
      </c>
      <c r="AG798" s="27" t="s">
        <v>8</v>
      </c>
      <c r="AH798" s="27" t="s">
        <v>7</v>
      </c>
      <c r="DP798" s="27" t="s">
        <v>7</v>
      </c>
      <c r="DQ798" s="27" t="s">
        <v>8</v>
      </c>
    </row>
    <row r="799" spans="1:130" x14ac:dyDescent="0.25">
      <c r="A799" s="7">
        <v>1.5023239350021535E-2</v>
      </c>
      <c r="B799"/>
      <c r="C799"/>
      <c r="D799"/>
      <c r="E799"/>
      <c r="X799" s="27" t="s">
        <v>7</v>
      </c>
      <c r="Y799" s="27" t="s">
        <v>8</v>
      </c>
      <c r="Z799" s="27" t="s">
        <v>7</v>
      </c>
      <c r="AC799" s="27" t="s">
        <v>8</v>
      </c>
      <c r="AF799" s="27" t="s">
        <v>7</v>
      </c>
      <c r="AG799" s="27" t="s">
        <v>8</v>
      </c>
      <c r="DP799" s="27" t="s">
        <v>7</v>
      </c>
      <c r="DQ799" s="27" t="s">
        <v>8</v>
      </c>
    </row>
    <row r="800" spans="1:130" x14ac:dyDescent="0.25">
      <c r="A800" s="7">
        <v>1.4728666029432878E-2</v>
      </c>
      <c r="B800"/>
      <c r="C800"/>
      <c r="D800"/>
      <c r="E800"/>
      <c r="X800" s="27" t="s">
        <v>7</v>
      </c>
      <c r="Y800" s="27" t="s">
        <v>8</v>
      </c>
      <c r="Z800" s="27" t="s">
        <v>7</v>
      </c>
      <c r="AA800" s="27" t="s">
        <v>8</v>
      </c>
      <c r="AC800" s="27" t="s">
        <v>8</v>
      </c>
      <c r="AF800" s="27" t="s">
        <v>7</v>
      </c>
      <c r="AG800" s="27" t="s">
        <v>8</v>
      </c>
      <c r="DP800" s="27" t="s">
        <v>7</v>
      </c>
      <c r="DQ800" s="27" t="s">
        <v>8</v>
      </c>
    </row>
    <row r="801" spans="1:121" x14ac:dyDescent="0.25">
      <c r="A801" s="7">
        <v>1.4439868656306743E-2</v>
      </c>
      <c r="B801"/>
      <c r="C801"/>
      <c r="D801"/>
      <c r="E801"/>
      <c r="X801" s="27" t="s">
        <v>7</v>
      </c>
      <c r="Y801" s="27" t="s">
        <v>8</v>
      </c>
      <c r="Z801" s="27" t="s">
        <v>7</v>
      </c>
      <c r="AA801" s="27" t="s">
        <v>8</v>
      </c>
      <c r="AB801" s="27" t="s">
        <v>7</v>
      </c>
      <c r="AC801" s="27" t="s">
        <v>8</v>
      </c>
      <c r="AF801" s="27" t="s">
        <v>7</v>
      </c>
      <c r="AG801" s="27" t="s">
        <v>8</v>
      </c>
      <c r="DP801" s="27" t="s">
        <v>7</v>
      </c>
      <c r="DQ801" s="27" t="s">
        <v>8</v>
      </c>
    </row>
    <row r="802" spans="1:121" x14ac:dyDescent="0.25">
      <c r="A802" s="7">
        <v>1.4156733976771318E-2</v>
      </c>
      <c r="B802"/>
      <c r="C802"/>
      <c r="D802"/>
      <c r="E802"/>
      <c r="X802" s="27" t="s">
        <v>7</v>
      </c>
      <c r="Y802" s="27" t="s">
        <v>8</v>
      </c>
      <c r="Z802" s="27" t="s">
        <v>7</v>
      </c>
      <c r="AA802" s="27" t="s">
        <v>8</v>
      </c>
      <c r="AB802" s="27" t="s">
        <v>7</v>
      </c>
      <c r="AC802" s="27" t="s">
        <v>8</v>
      </c>
      <c r="AF802" s="27" t="s">
        <v>7</v>
      </c>
      <c r="AG802" s="27" t="s">
        <v>8</v>
      </c>
      <c r="DP802" s="27" t="s">
        <v>7</v>
      </c>
    </row>
    <row r="803" spans="1:121" x14ac:dyDescent="0.25">
      <c r="A803" s="7">
        <v>1.3879150957618939E-2</v>
      </c>
      <c r="B803"/>
      <c r="C803"/>
      <c r="D803"/>
      <c r="E803"/>
      <c r="X803" s="27" t="s">
        <v>7</v>
      </c>
      <c r="Y803" s="27" t="s">
        <v>8</v>
      </c>
      <c r="Z803" s="27" t="s">
        <v>7</v>
      </c>
      <c r="AA803" s="27" t="s">
        <v>8</v>
      </c>
      <c r="AB803" s="27" t="s">
        <v>7</v>
      </c>
      <c r="AC803" s="27" t="s">
        <v>8</v>
      </c>
      <c r="AF803" s="27" t="s">
        <v>7</v>
      </c>
      <c r="AG803" s="27" t="s">
        <v>8</v>
      </c>
    </row>
    <row r="804" spans="1:121" x14ac:dyDescent="0.25">
      <c r="A804" s="7">
        <v>1.3607010742763666E-2</v>
      </c>
      <c r="B804"/>
      <c r="C804"/>
      <c r="D804"/>
      <c r="E804"/>
      <c r="X804" s="27" t="s">
        <v>7</v>
      </c>
      <c r="Y804" s="27" t="s">
        <v>8</v>
      </c>
      <c r="Z804" s="27" t="s">
        <v>7</v>
      </c>
      <c r="AA804" s="27" t="s">
        <v>8</v>
      </c>
      <c r="AB804" s="27" t="s">
        <v>7</v>
      </c>
      <c r="AC804" s="27" t="s">
        <v>8</v>
      </c>
      <c r="AF804" s="27" t="s">
        <v>7</v>
      </c>
      <c r="AG804" s="27" t="s">
        <v>8</v>
      </c>
    </row>
    <row r="805" spans="1:121" x14ac:dyDescent="0.25">
      <c r="A805" s="7">
        <v>1.3340206610552614E-2</v>
      </c>
      <c r="B805"/>
      <c r="C805"/>
      <c r="D805"/>
      <c r="E805"/>
      <c r="X805" s="27" t="s">
        <v>7</v>
      </c>
      <c r="Y805" s="27" t="s">
        <v>8</v>
      </c>
      <c r="Z805" s="27" t="s">
        <v>7</v>
      </c>
      <c r="AA805" s="27" t="s">
        <v>8</v>
      </c>
      <c r="AB805" s="27" t="s">
        <v>7</v>
      </c>
      <c r="AC805" s="27" t="s">
        <v>8</v>
      </c>
      <c r="AF805" s="27" t="s">
        <v>7</v>
      </c>
      <c r="AG805" s="27" t="s">
        <v>8</v>
      </c>
    </row>
    <row r="806" spans="1:121" x14ac:dyDescent="0.25">
      <c r="A806" s="7">
        <v>1.3078633931914328E-2</v>
      </c>
      <c r="B806"/>
      <c r="C806"/>
      <c r="D806"/>
      <c r="E806"/>
      <c r="X806" s="27" t="s">
        <v>7</v>
      </c>
      <c r="Y806" s="27" t="s">
        <v>8</v>
      </c>
      <c r="Z806" s="27" t="s">
        <v>7</v>
      </c>
      <c r="AA806" s="27" t="s">
        <v>8</v>
      </c>
      <c r="AB806" s="27" t="s">
        <v>7</v>
      </c>
      <c r="AC806" s="27" t="s">
        <v>8</v>
      </c>
      <c r="AF806" s="27" t="s">
        <v>7</v>
      </c>
      <c r="AG806" s="27" t="s">
        <v>8</v>
      </c>
    </row>
    <row r="807" spans="1:121" x14ac:dyDescent="0.25">
      <c r="A807" s="7">
        <v>1.2822190129327771E-2</v>
      </c>
      <c r="B807"/>
      <c r="C807"/>
      <c r="D807"/>
      <c r="E807"/>
      <c r="X807" s="27" t="s">
        <v>7</v>
      </c>
      <c r="Y807" s="27" t="s">
        <v>8</v>
      </c>
      <c r="Z807" s="27" t="s">
        <v>7</v>
      </c>
      <c r="AA807" s="27" t="s">
        <v>8</v>
      </c>
      <c r="AB807" s="27" t="s">
        <v>7</v>
      </c>
      <c r="AC807" s="27" t="s">
        <v>8</v>
      </c>
      <c r="AF807" s="27" t="s">
        <v>7</v>
      </c>
      <c r="AG807" s="27" t="s">
        <v>8</v>
      </c>
    </row>
    <row r="808" spans="1:121" x14ac:dyDescent="0.25">
      <c r="A808" s="7">
        <v>1.2570774636595854E-2</v>
      </c>
      <c r="B808"/>
      <c r="C808"/>
      <c r="D808"/>
      <c r="E808"/>
      <c r="X808" s="27" t="s">
        <v>7</v>
      </c>
      <c r="Y808" s="27" t="s">
        <v>8</v>
      </c>
      <c r="Z808" s="27" t="s">
        <v>7</v>
      </c>
      <c r="AB808" s="27" t="s">
        <v>7</v>
      </c>
      <c r="AC808" s="27" t="s">
        <v>8</v>
      </c>
      <c r="AF808" s="27" t="s">
        <v>7</v>
      </c>
      <c r="AG808" s="27" t="s">
        <v>8</v>
      </c>
    </row>
    <row r="809" spans="1:121" x14ac:dyDescent="0.25">
      <c r="A809" s="7">
        <v>1.23242888594077E-2</v>
      </c>
      <c r="B809"/>
      <c r="C809"/>
      <c r="D809"/>
      <c r="E809"/>
      <c r="X809" s="27" t="s">
        <v>7</v>
      </c>
      <c r="Y809" s="27" t="s">
        <v>8</v>
      </c>
      <c r="AB809" s="27" t="s">
        <v>7</v>
      </c>
      <c r="AC809" s="27" t="s">
        <v>8</v>
      </c>
      <c r="AF809" s="27" t="s">
        <v>7</v>
      </c>
    </row>
    <row r="810" spans="1:121" x14ac:dyDescent="0.25">
      <c r="A810" s="7">
        <v>1.2082636136674216E-2</v>
      </c>
      <c r="B810"/>
      <c r="C810"/>
      <c r="D810"/>
      <c r="E810"/>
      <c r="X810" s="27" t="s">
        <v>7</v>
      </c>
      <c r="Y810" s="27" t="s">
        <v>8</v>
      </c>
      <c r="AB810" s="27" t="s">
        <v>7</v>
      </c>
      <c r="AC810" s="27" t="s">
        <v>8</v>
      </c>
    </row>
    <row r="811" spans="1:121" x14ac:dyDescent="0.25">
      <c r="A811" s="7">
        <v>1.184572170262178E-2</v>
      </c>
      <c r="B811"/>
      <c r="C811"/>
      <c r="D811"/>
      <c r="E811"/>
      <c r="X811" s="27" t="s">
        <v>7</v>
      </c>
      <c r="Y811" s="27" t="s">
        <v>8</v>
      </c>
      <c r="AB811" s="27" t="s">
        <v>7</v>
      </c>
      <c r="AC811" s="27" t="s">
        <v>8</v>
      </c>
    </row>
    <row r="812" spans="1:121" x14ac:dyDescent="0.25">
      <c r="A812" s="7">
        <v>1.1613452649629196E-2</v>
      </c>
      <c r="B812"/>
      <c r="C812"/>
      <c r="D812"/>
      <c r="E812"/>
      <c r="X812" s="27" t="s">
        <v>7</v>
      </c>
      <c r="Y812" s="27" t="s">
        <v>8</v>
      </c>
      <c r="AB812" s="27" t="s">
        <v>7</v>
      </c>
      <c r="AC812" s="27" t="s">
        <v>8</v>
      </c>
    </row>
    <row r="813" spans="1:121" x14ac:dyDescent="0.25">
      <c r="A813" s="7">
        <v>1.138573789179333E-2</v>
      </c>
      <c r="B813"/>
      <c r="C813"/>
      <c r="D813"/>
      <c r="E813"/>
      <c r="X813" s="27" t="s">
        <v>7</v>
      </c>
      <c r="Y813" s="27" t="s">
        <v>8</v>
      </c>
      <c r="AB813" s="27" t="s">
        <v>7</v>
      </c>
      <c r="AC813" s="27" t="s">
        <v>8</v>
      </c>
    </row>
    <row r="814" spans="1:121" x14ac:dyDescent="0.25">
      <c r="A814" s="7">
        <v>1.1162488129209149E-2</v>
      </c>
      <c r="B814"/>
      <c r="C814"/>
      <c r="D814"/>
      <c r="E814"/>
      <c r="X814" s="27" t="s">
        <v>7</v>
      </c>
      <c r="Y814" s="27" t="s">
        <v>8</v>
      </c>
      <c r="AB814" s="27" t="s">
        <v>7</v>
      </c>
      <c r="AC814" s="27" t="s">
        <v>8</v>
      </c>
    </row>
    <row r="815" spans="1:121" x14ac:dyDescent="0.25">
      <c r="A815" s="7">
        <v>1.0943615812950145E-2</v>
      </c>
      <c r="B815"/>
      <c r="C815"/>
      <c r="D815"/>
      <c r="E815"/>
      <c r="X815" s="27" t="s">
        <v>7</v>
      </c>
      <c r="Y815" s="27" t="s">
        <v>8</v>
      </c>
      <c r="AB815" s="27" t="s">
        <v>7</v>
      </c>
      <c r="AC815" s="27" t="s">
        <v>8</v>
      </c>
    </row>
    <row r="816" spans="1:121" x14ac:dyDescent="0.25">
      <c r="A816" s="7">
        <v>1.0729035110735436E-2</v>
      </c>
      <c r="B816"/>
      <c r="C816"/>
      <c r="D816"/>
      <c r="E816"/>
      <c r="X816" s="27" t="s">
        <v>7</v>
      </c>
      <c r="Y816" s="27" t="s">
        <v>8</v>
      </c>
      <c r="AB816" s="27" t="s">
        <v>7</v>
      </c>
      <c r="AC816" s="27" t="s">
        <v>8</v>
      </c>
    </row>
    <row r="817" spans="1:29" x14ac:dyDescent="0.25">
      <c r="A817" s="7">
        <v>1.0518661873270036E-2</v>
      </c>
      <c r="B817"/>
      <c r="C817"/>
      <c r="D817"/>
      <c r="E817"/>
      <c r="X817" s="27" t="s">
        <v>7</v>
      </c>
      <c r="Y817" s="27" t="s">
        <v>8</v>
      </c>
      <c r="AB817" s="27" t="s">
        <v>7</v>
      </c>
      <c r="AC817" s="27" t="s">
        <v>8</v>
      </c>
    </row>
    <row r="818" spans="1:29" x14ac:dyDescent="0.25">
      <c r="A818" s="7">
        <v>1.0312413601245135E-2</v>
      </c>
      <c r="B818"/>
      <c r="C818"/>
      <c r="D818"/>
      <c r="E818"/>
      <c r="X818" s="27" t="s">
        <v>7</v>
      </c>
      <c r="Y818" s="27" t="s">
        <v>8</v>
      </c>
      <c r="AB818" s="27" t="s">
        <v>7</v>
      </c>
      <c r="AC818" s="27" t="s">
        <v>8</v>
      </c>
    </row>
    <row r="819" spans="1:29" x14ac:dyDescent="0.25">
      <c r="A819" s="7">
        <v>1.0110209412985426E-2</v>
      </c>
      <c r="B819"/>
      <c r="C819"/>
      <c r="D819"/>
      <c r="E819"/>
      <c r="X819" s="27" t="s">
        <v>7</v>
      </c>
      <c r="Y819" s="27" t="s">
        <v>8</v>
      </c>
      <c r="AB819" s="27" t="s">
        <v>7</v>
      </c>
    </row>
    <row r="820" spans="1:29" x14ac:dyDescent="0.25">
      <c r="A820" s="7">
        <v>9.9119700127308103E-3</v>
      </c>
      <c r="B820"/>
      <c r="C820"/>
      <c r="D820"/>
      <c r="E820"/>
      <c r="X820" s="27" t="s">
        <v>7</v>
      </c>
      <c r="Y820" s="27" t="s">
        <v>8</v>
      </c>
    </row>
    <row r="821" spans="1:29" x14ac:dyDescent="0.25">
      <c r="A821" s="7">
        <v>9.717617659540009E-3</v>
      </c>
      <c r="B821"/>
      <c r="C821"/>
      <c r="D821"/>
      <c r="E821"/>
      <c r="X821" s="27" t="s">
        <v>7</v>
      </c>
      <c r="Y821" s="27" t="s">
        <v>8</v>
      </c>
    </row>
    <row r="822" spans="1:29" x14ac:dyDescent="0.25">
      <c r="A822" s="7">
        <v>9.5270761368039299E-3</v>
      </c>
      <c r="B822"/>
      <c r="C822"/>
      <c r="D822"/>
      <c r="E822"/>
      <c r="X822" s="27" t="s">
        <v>7</v>
      </c>
      <c r="Y822" s="27" t="s">
        <v>8</v>
      </c>
    </row>
    <row r="823" spans="1:29" x14ac:dyDescent="0.25">
      <c r="A823" s="7">
        <v>9.3402707223567936E-3</v>
      </c>
      <c r="B823"/>
      <c r="C823"/>
      <c r="D823"/>
      <c r="E823"/>
      <c r="X823" s="27" t="s">
        <v>7</v>
      </c>
      <c r="Y823" s="27" t="s">
        <v>8</v>
      </c>
    </row>
    <row r="824" spans="1:29" x14ac:dyDescent="0.25">
      <c r="A824" s="7">
        <v>9.1571281591733261E-3</v>
      </c>
      <c r="B824"/>
      <c r="C824"/>
      <c r="D824"/>
      <c r="E824"/>
      <c r="X824" s="27" t="s">
        <v>7</v>
      </c>
      <c r="Y824" s="27" t="s">
        <v>8</v>
      </c>
    </row>
    <row r="825" spans="1:29" x14ac:dyDescent="0.25">
      <c r="A825" s="7">
        <v>8.9775766266405148E-3</v>
      </c>
      <c r="B825"/>
      <c r="C825"/>
      <c r="D825"/>
      <c r="E825"/>
      <c r="X825" s="27" t="s">
        <v>7</v>
      </c>
      <c r="Y825" s="27" t="s">
        <v>8</v>
      </c>
    </row>
    <row r="826" spans="1:29" x14ac:dyDescent="0.25">
      <c r="A826" s="7">
        <v>8.8015457123926614E-3</v>
      </c>
      <c r="B826"/>
      <c r="C826"/>
      <c r="D826"/>
      <c r="E826"/>
      <c r="X826" s="27" t="s">
        <v>7</v>
      </c>
    </row>
    <row r="827" spans="1:29" x14ac:dyDescent="0.25">
      <c r="A827" s="7">
        <v>8.6289663846986879E-3</v>
      </c>
      <c r="B827"/>
      <c r="C827"/>
      <c r="D827"/>
      <c r="E827"/>
    </row>
    <row r="828" spans="1:29" x14ac:dyDescent="0.25">
      <c r="A828" s="7">
        <v>8.4597709653908715E-3</v>
      </c>
      <c r="B828"/>
      <c r="C828"/>
      <c r="D828"/>
      <c r="E828"/>
    </row>
    <row r="829" spans="1:29" x14ac:dyDescent="0.25">
      <c r="A829" s="7">
        <v>8.2938931033243839E-3</v>
      </c>
      <c r="B829"/>
      <c r="C829"/>
      <c r="D829"/>
      <c r="E829"/>
    </row>
    <row r="830" spans="1:29" x14ac:dyDescent="0.25">
      <c r="A830" s="7">
        <v>8.1312677483572383E-3</v>
      </c>
      <c r="B830"/>
      <c r="C830"/>
      <c r="D830"/>
      <c r="E830"/>
    </row>
    <row r="831" spans="1:29" x14ac:dyDescent="0.25">
      <c r="A831" s="7">
        <v>7.9718311258404305E-3</v>
      </c>
      <c r="B831"/>
      <c r="C831"/>
      <c r="D831"/>
      <c r="E831"/>
    </row>
    <row r="832" spans="1:29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27" operator="equal">
      <formula>$U$1</formula>
    </cfRule>
    <cfRule type="cellIs" dxfId="89" priority="1128" operator="equal">
      <formula>$S$1</formula>
    </cfRule>
  </conditionalFormatting>
  <conditionalFormatting sqref="D27">
    <cfRule type="cellIs" dxfId="88" priority="1125" operator="equal">
      <formula>$S$1</formula>
    </cfRule>
    <cfRule type="cellIs" dxfId="87" priority="1126" operator="equal">
      <formula>$U$1</formula>
    </cfRule>
  </conditionalFormatting>
  <conditionalFormatting sqref="C164">
    <cfRule type="cellIs" dxfId="86" priority="1123" operator="equal">
      <formula>$U$1</formula>
    </cfRule>
    <cfRule type="cellIs" dxfId="85" priority="1124" operator="equal">
      <formula>$S$1</formula>
    </cfRule>
  </conditionalFormatting>
  <conditionalFormatting sqref="D164">
    <cfRule type="cellIs" dxfId="84" priority="1121" operator="equal">
      <formula>$S$1</formula>
    </cfRule>
    <cfRule type="cellIs" dxfId="83" priority="1122" operator="equal">
      <formula>$U$1</formula>
    </cfRule>
  </conditionalFormatting>
  <conditionalFormatting sqref="C55">
    <cfRule type="cellIs" dxfId="82" priority="1119" operator="equal">
      <formula>$U$1</formula>
    </cfRule>
    <cfRule type="cellIs" dxfId="81" priority="1120" operator="equal">
      <formula>$S$1</formula>
    </cfRule>
  </conditionalFormatting>
  <conditionalFormatting sqref="D55">
    <cfRule type="cellIs" dxfId="80" priority="1117" operator="equal">
      <formula>$S$1</formula>
    </cfRule>
    <cfRule type="cellIs" dxfId="79" priority="1118" operator="equal">
      <formula>$U$1</formula>
    </cfRule>
  </conditionalFormatting>
  <conditionalFormatting sqref="C89">
    <cfRule type="cellIs" dxfId="78" priority="1115" operator="equal">
      <formula>$U$1</formula>
    </cfRule>
    <cfRule type="cellIs" dxfId="77" priority="1116" operator="equal">
      <formula>$S$1</formula>
    </cfRule>
  </conditionalFormatting>
  <conditionalFormatting sqref="D89">
    <cfRule type="cellIs" dxfId="76" priority="1113" operator="equal">
      <formula>$S$1</formula>
    </cfRule>
    <cfRule type="cellIs" dxfId="75" priority="1114" operator="equal">
      <formula>$U$1</formula>
    </cfRule>
  </conditionalFormatting>
  <conditionalFormatting sqref="C136">
    <cfRule type="cellIs" dxfId="74" priority="1111" operator="equal">
      <formula>$U$1</formula>
    </cfRule>
    <cfRule type="cellIs" dxfId="73" priority="1112" operator="equal">
      <formula>$S$1</formula>
    </cfRule>
  </conditionalFormatting>
  <conditionalFormatting sqref="D136">
    <cfRule type="cellIs" dxfId="72" priority="1109" operator="equal">
      <formula>$S$1</formula>
    </cfRule>
    <cfRule type="cellIs" dxfId="71" priority="1110" operator="equal">
      <formula>$U$1</formula>
    </cfRule>
  </conditionalFormatting>
  <conditionalFormatting sqref="C1">
    <cfRule type="cellIs" dxfId="70" priority="110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89" zoomScale="90" zoomScaleNormal="90" workbookViewId="0">
      <pane xSplit="4" topLeftCell="CJ1" activePane="topRight" state="frozen"/>
      <selection activeCell="A109" sqref="A109"/>
      <selection pane="topRight" activeCell="EQ317" sqref="EQ31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$A$316</v>
      </c>
      <c r="D111" s="1" t="str">
        <f>ADDRESS(C121-1,D121,1,1)</f>
        <v>$EQ$316</v>
      </c>
      <c r="E111"/>
    </row>
    <row r="112" spans="1:5" x14ac:dyDescent="0.25">
      <c r="A112" s="30">
        <v>515.50191262726139</v>
      </c>
      <c r="C112" s="1" t="str">
        <f>ADDRESS(C121,1,1,1)</f>
        <v>$A$317</v>
      </c>
      <c r="D112" s="1" t="str">
        <f>ADDRESS(C121,D121-1,1,1)</f>
        <v>$EP$317</v>
      </c>
      <c r="E112"/>
    </row>
    <row r="113" spans="1:5" x14ac:dyDescent="0.25">
      <c r="A113" s="30">
        <v>490.95420250215363</v>
      </c>
      <c r="C113" s="1" t="str">
        <f>ADDRESS(C121+1,1,1,1)</f>
        <v>$A$318</v>
      </c>
      <c r="D113" s="1" t="str">
        <f>ADDRESS(C121-1,D121+1,1,1)</f>
        <v>$ER$316</v>
      </c>
    </row>
    <row r="114" spans="1:5" x14ac:dyDescent="0.25">
      <c r="A114" s="30">
        <v>467.57543095443202</v>
      </c>
      <c r="C114" s="1" t="str">
        <f>ADDRESS(C121,D121,1,1)</f>
        <v>$EQ$317</v>
      </c>
      <c r="D114" s="1" t="str">
        <f>ADDRESS(C121+1,D121+1,1,1)</f>
        <v>$ER$318</v>
      </c>
    </row>
    <row r="115" spans="1:5" x14ac:dyDescent="0.25">
      <c r="A115" s="30">
        <v>445.30993424231622</v>
      </c>
      <c r="C115" s="1" t="str">
        <f>ADDRESS(C121+1,D121,1,1)</f>
        <v>$EQ$318</v>
      </c>
    </row>
    <row r="116" spans="1:5" x14ac:dyDescent="0.25">
      <c r="A116" s="30">
        <v>424.10469927839637</v>
      </c>
      <c r="C116" s="1">
        <f>C117-1</f>
        <v>316</v>
      </c>
    </row>
    <row r="117" spans="1:5" x14ac:dyDescent="0.25">
      <c r="A117" s="30">
        <v>403.9092374079965</v>
      </c>
      <c r="C117" s="1">
        <f>C121</f>
        <v>317</v>
      </c>
      <c r="D117" s="1">
        <f>D121</f>
        <v>147</v>
      </c>
    </row>
    <row r="118" spans="1:5" x14ac:dyDescent="0.25">
      <c r="A118" s="30">
        <v>384.6754641980919</v>
      </c>
      <c r="C118" s="1">
        <f>C117+1</f>
        <v>318</v>
      </c>
      <c r="D118" s="1">
        <f>D117+1</f>
        <v>148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317</v>
      </c>
      <c r="D121" s="19">
        <v>147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R317</v>
      </c>
      <c r="D123" s="1" t="str">
        <f>"C"&amp;D121</f>
        <v>C147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2.3357371680107129E-2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99" x14ac:dyDescent="0.25">
      <c r="A273" s="30">
        <v>0.19987253960121379</v>
      </c>
      <c r="B273"/>
      <c r="C273"/>
      <c r="D273"/>
      <c r="E273"/>
      <c r="F273" s="27" t="s">
        <v>7</v>
      </c>
    </row>
    <row r="274" spans="1:99" x14ac:dyDescent="0.25">
      <c r="A274" s="30">
        <v>0.19035479962020352</v>
      </c>
      <c r="B274"/>
      <c r="C274"/>
      <c r="D274"/>
      <c r="E274"/>
      <c r="F274" s="27" t="s">
        <v>7</v>
      </c>
    </row>
    <row r="275" spans="1:99" x14ac:dyDescent="0.25">
      <c r="A275" s="30">
        <v>0.18129028535257471</v>
      </c>
      <c r="B275"/>
      <c r="C275"/>
      <c r="D275"/>
      <c r="E275"/>
      <c r="F275" s="27" t="s">
        <v>7</v>
      </c>
    </row>
    <row r="276" spans="1:99" x14ac:dyDescent="0.25">
      <c r="A276" s="30">
        <v>0.17265741462149967</v>
      </c>
      <c r="B276"/>
      <c r="C276"/>
      <c r="D276"/>
      <c r="E276"/>
      <c r="F276" s="27" t="s">
        <v>7</v>
      </c>
      <c r="CA276" s="31" t="s">
        <v>8</v>
      </c>
    </row>
    <row r="277" spans="1:99" x14ac:dyDescent="0.25">
      <c r="A277" s="30">
        <v>0.16443563297285677</v>
      </c>
      <c r="B277"/>
      <c r="C277"/>
      <c r="D277"/>
      <c r="E277"/>
      <c r="F277" s="27" t="s">
        <v>7</v>
      </c>
      <c r="CA277" s="27" t="s">
        <v>8</v>
      </c>
      <c r="CB277" s="31" t="s">
        <v>7</v>
      </c>
    </row>
    <row r="278" spans="1:99" x14ac:dyDescent="0.25">
      <c r="A278" s="30">
        <v>0.15660536473605399</v>
      </c>
      <c r="B278"/>
      <c r="C278"/>
      <c r="D278"/>
      <c r="E278"/>
      <c r="F278" s="27" t="s">
        <v>7</v>
      </c>
      <c r="BY278" s="27" t="s">
        <v>8</v>
      </c>
      <c r="CA278" s="27" t="s">
        <v>8</v>
      </c>
      <c r="CB278" s="27" t="s">
        <v>7</v>
      </c>
      <c r="CC278" s="31"/>
      <c r="CK278" s="31" t="s">
        <v>8</v>
      </c>
    </row>
    <row r="279" spans="1:99" x14ac:dyDescent="0.25">
      <c r="A279" s="30">
        <v>0.14914796641528946</v>
      </c>
      <c r="B279"/>
      <c r="C279"/>
      <c r="D279"/>
      <c r="E279"/>
      <c r="F279" s="27" t="s">
        <v>7</v>
      </c>
      <c r="BY279" s="27" t="s">
        <v>8</v>
      </c>
      <c r="BZ279" s="27" t="s">
        <v>7</v>
      </c>
      <c r="CA279" s="27" t="s">
        <v>8</v>
      </c>
      <c r="CB279" s="27" t="s">
        <v>7</v>
      </c>
      <c r="CD279" s="31"/>
      <c r="CK279" s="27" t="s">
        <v>8</v>
      </c>
      <c r="CL279" s="31" t="s">
        <v>7</v>
      </c>
    </row>
    <row r="280" spans="1:99" x14ac:dyDescent="0.25">
      <c r="A280" s="30">
        <v>0.14204568230027562</v>
      </c>
      <c r="B280"/>
      <c r="C280"/>
      <c r="D280"/>
      <c r="E280"/>
      <c r="F280" s="27" t="s">
        <v>7</v>
      </c>
      <c r="BY280" s="27" t="s">
        <v>8</v>
      </c>
      <c r="BZ280" s="27" t="s">
        <v>7</v>
      </c>
      <c r="CA280" s="27" t="s">
        <v>8</v>
      </c>
      <c r="CB280" s="27" t="s">
        <v>7</v>
      </c>
      <c r="CE280" s="31"/>
      <c r="CK280" s="27" t="s">
        <v>8</v>
      </c>
      <c r="CL280" s="27" t="s">
        <v>7</v>
      </c>
      <c r="CM280" s="31"/>
    </row>
    <row r="281" spans="1:99" x14ac:dyDescent="0.25">
      <c r="A281" s="30">
        <v>0.13528160219073862</v>
      </c>
      <c r="B281"/>
      <c r="C281"/>
      <c r="D281"/>
      <c r="E281"/>
      <c r="F281" s="27" t="s">
        <v>7</v>
      </c>
      <c r="BY281" s="27" t="s">
        <v>8</v>
      </c>
      <c r="BZ281" s="27" t="s">
        <v>7</v>
      </c>
      <c r="CA281" s="27" t="s">
        <v>8</v>
      </c>
      <c r="CB281" s="27" t="s">
        <v>7</v>
      </c>
      <c r="CF281" s="31"/>
      <c r="CI281" s="27" t="s">
        <v>8</v>
      </c>
      <c r="CK281" s="27" t="s">
        <v>8</v>
      </c>
      <c r="CL281" s="27" t="s">
        <v>7</v>
      </c>
      <c r="CN281" s="31"/>
    </row>
    <row r="282" spans="1:99" x14ac:dyDescent="0.25">
      <c r="A282" s="30">
        <v>0.12883962113403674</v>
      </c>
      <c r="B282"/>
      <c r="C282"/>
      <c r="D282"/>
      <c r="E282"/>
      <c r="F282" s="27" t="s">
        <v>7</v>
      </c>
      <c r="BY282" s="27" t="s">
        <v>8</v>
      </c>
      <c r="BZ282" s="27" t="s">
        <v>7</v>
      </c>
      <c r="CA282" s="27" t="s">
        <v>8</v>
      </c>
      <c r="CB282" s="27" t="s">
        <v>7</v>
      </c>
      <c r="CC282" s="27" t="s">
        <v>8</v>
      </c>
      <c r="CG282" s="31"/>
      <c r="CI282" s="27" t="s">
        <v>8</v>
      </c>
      <c r="CJ282" s="27" t="s">
        <v>7</v>
      </c>
      <c r="CK282" s="27" t="s">
        <v>8</v>
      </c>
      <c r="CL282" s="27" t="s">
        <v>7</v>
      </c>
      <c r="CO282" s="31"/>
    </row>
    <row r="283" spans="1:99" x14ac:dyDescent="0.25">
      <c r="A283" s="30">
        <v>0.12270440108003494</v>
      </c>
      <c r="B283"/>
      <c r="C283"/>
      <c r="D283"/>
      <c r="E283"/>
      <c r="F283" s="27" t="s">
        <v>7</v>
      </c>
      <c r="BW283" s="27" t="s">
        <v>8</v>
      </c>
      <c r="BY283" s="27" t="s">
        <v>8</v>
      </c>
      <c r="BZ283" s="27" t="s">
        <v>7</v>
      </c>
      <c r="CA283" s="27" t="s">
        <v>8</v>
      </c>
      <c r="CB283" s="27" t="s">
        <v>7</v>
      </c>
      <c r="CC283" s="27" t="s">
        <v>8</v>
      </c>
      <c r="CD283" s="27" t="s">
        <v>7</v>
      </c>
      <c r="CE283" s="27" t="s">
        <v>8</v>
      </c>
      <c r="CG283" s="27" t="s">
        <v>8</v>
      </c>
      <c r="CH283" s="31"/>
      <c r="CI283" s="27" t="s">
        <v>8</v>
      </c>
      <c r="CJ283" s="27" t="s">
        <v>7</v>
      </c>
      <c r="CK283" s="27" t="s">
        <v>8</v>
      </c>
      <c r="CL283" s="27" t="s">
        <v>7</v>
      </c>
      <c r="CP283" s="31"/>
    </row>
    <row r="284" spans="1:99" x14ac:dyDescent="0.25">
      <c r="A284" s="30">
        <v>0.11686133436193799</v>
      </c>
      <c r="B284"/>
      <c r="C284"/>
      <c r="D284"/>
      <c r="E284"/>
      <c r="F284" s="27" t="s">
        <v>7</v>
      </c>
      <c r="BW284" s="27" t="s">
        <v>8</v>
      </c>
      <c r="BX284" s="27" t="s">
        <v>7</v>
      </c>
      <c r="BY284" s="27" t="s">
        <v>8</v>
      </c>
      <c r="BZ284" s="27" t="s">
        <v>7</v>
      </c>
      <c r="CA284" s="27" t="s">
        <v>8</v>
      </c>
      <c r="CB284" s="27" t="s">
        <v>7</v>
      </c>
      <c r="CC284" s="27" t="s">
        <v>8</v>
      </c>
      <c r="CD284" s="27" t="s">
        <v>7</v>
      </c>
      <c r="CE284" s="27" t="s">
        <v>8</v>
      </c>
      <c r="CF284" s="27" t="s">
        <v>7</v>
      </c>
      <c r="CG284" s="27" t="s">
        <v>8</v>
      </c>
      <c r="CH284" s="27" t="s">
        <v>7</v>
      </c>
      <c r="CI284" s="31" t="s">
        <v>8</v>
      </c>
      <c r="CJ284" s="27" t="s">
        <v>7</v>
      </c>
      <c r="CK284" s="27" t="s">
        <v>8</v>
      </c>
      <c r="CL284" s="27" t="s">
        <v>7</v>
      </c>
      <c r="CM284" s="27" t="s">
        <v>8</v>
      </c>
      <c r="CQ284" s="31" t="s">
        <v>8</v>
      </c>
    </row>
    <row r="285" spans="1:99" x14ac:dyDescent="0.25">
      <c r="A285" s="30">
        <v>0.11129650891613138</v>
      </c>
      <c r="B285"/>
      <c r="C285"/>
      <c r="D285"/>
      <c r="E285"/>
      <c r="F285" s="27" t="s">
        <v>7</v>
      </c>
      <c r="BW285" s="27" t="s">
        <v>8</v>
      </c>
      <c r="BX285" s="27" t="s">
        <v>7</v>
      </c>
      <c r="BY285" s="27" t="s">
        <v>8</v>
      </c>
      <c r="BZ285" s="27" t="s">
        <v>7</v>
      </c>
      <c r="CA285" s="27" t="s">
        <v>8</v>
      </c>
      <c r="CB285" s="27" t="s">
        <v>7</v>
      </c>
      <c r="CC285" s="27" t="s">
        <v>8</v>
      </c>
      <c r="CD285" s="27" t="s">
        <v>7</v>
      </c>
      <c r="CE285" s="27" t="s">
        <v>8</v>
      </c>
      <c r="CF285" s="27" t="s">
        <v>7</v>
      </c>
      <c r="CG285" s="27" t="s">
        <v>8</v>
      </c>
      <c r="CH285" s="27" t="s">
        <v>7</v>
      </c>
      <c r="CI285" s="27" t="s">
        <v>8</v>
      </c>
      <c r="CJ285" s="27" t="s">
        <v>7</v>
      </c>
      <c r="CK285" s="27" t="s">
        <v>8</v>
      </c>
      <c r="CL285" s="27" t="s">
        <v>7</v>
      </c>
      <c r="CM285" s="27" t="s">
        <v>8</v>
      </c>
      <c r="CN285" s="27" t="s">
        <v>7</v>
      </c>
      <c r="CQ285" s="32" t="s">
        <v>8</v>
      </c>
      <c r="CR285" s="31" t="s">
        <v>7</v>
      </c>
    </row>
    <row r="286" spans="1:99" x14ac:dyDescent="0.25">
      <c r="A286" s="30">
        <v>0.10599667515822032</v>
      </c>
      <c r="B286"/>
      <c r="C286"/>
      <c r="D286"/>
      <c r="E286"/>
      <c r="F286" s="27" t="s">
        <v>7</v>
      </c>
      <c r="BW286" s="27" t="s">
        <v>8</v>
      </c>
      <c r="BX286" s="27" t="s">
        <v>7</v>
      </c>
      <c r="BY286" s="27" t="s">
        <v>8</v>
      </c>
      <c r="BZ286" s="27" t="s">
        <v>7</v>
      </c>
      <c r="CB286" s="27" t="s">
        <v>7</v>
      </c>
      <c r="CC286" s="27" t="s">
        <v>8</v>
      </c>
      <c r="CD286" s="27" t="s">
        <v>7</v>
      </c>
      <c r="CE286" s="27" t="s">
        <v>8</v>
      </c>
      <c r="CF286" s="27" t="s">
        <v>7</v>
      </c>
      <c r="CG286" s="27" t="s">
        <v>8</v>
      </c>
      <c r="CH286" s="34" t="s">
        <v>7</v>
      </c>
      <c r="CJ286" s="34" t="s">
        <v>7</v>
      </c>
      <c r="CL286" s="31" t="s">
        <v>7</v>
      </c>
      <c r="CM286" s="27" t="s">
        <v>8</v>
      </c>
      <c r="CN286" s="27" t="s">
        <v>7</v>
      </c>
      <c r="CO286" s="27" t="s">
        <v>8</v>
      </c>
      <c r="CQ286" s="27" t="s">
        <v>8</v>
      </c>
      <c r="CR286" s="27" t="s">
        <v>7</v>
      </c>
      <c r="CS286" s="31"/>
    </row>
    <row r="287" spans="1:99" x14ac:dyDescent="0.25">
      <c r="A287" s="30">
        <v>0.10094921443640027</v>
      </c>
      <c r="B287"/>
      <c r="C287"/>
      <c r="D287"/>
      <c r="E287"/>
      <c r="F287" s="27" t="s">
        <v>7</v>
      </c>
      <c r="BW287" s="27" t="s">
        <v>8</v>
      </c>
      <c r="BX287" s="27" t="s">
        <v>7</v>
      </c>
      <c r="CB287" s="34" t="s">
        <v>7</v>
      </c>
      <c r="CD287" s="34" t="s">
        <v>7</v>
      </c>
      <c r="CF287" s="27" t="s">
        <v>7</v>
      </c>
      <c r="CG287" s="27" t="s">
        <v>8</v>
      </c>
      <c r="CK287" s="31"/>
      <c r="CL287" s="27" t="s">
        <v>7</v>
      </c>
      <c r="CN287" s="27" t="s">
        <v>7</v>
      </c>
      <c r="CO287" s="27" t="s">
        <v>8</v>
      </c>
      <c r="CP287" s="27" t="s">
        <v>7</v>
      </c>
      <c r="CQ287" s="27" t="s">
        <v>8</v>
      </c>
      <c r="CR287" s="27" t="s">
        <v>7</v>
      </c>
      <c r="CT287" s="31"/>
    </row>
    <row r="288" spans="1:99" x14ac:dyDescent="0.25">
      <c r="A288" s="30">
        <v>9.6142108987047836E-2</v>
      </c>
      <c r="B288"/>
      <c r="C288"/>
      <c r="D288"/>
      <c r="E288"/>
      <c r="F288" s="27" t="s">
        <v>7</v>
      </c>
      <c r="BW288" s="27" t="s">
        <v>8</v>
      </c>
      <c r="CF288" s="27" t="s">
        <v>7</v>
      </c>
      <c r="CG288" s="27" t="s">
        <v>8</v>
      </c>
      <c r="CJ288" s="31"/>
      <c r="CN288" s="27" t="s">
        <v>7</v>
      </c>
      <c r="CO288" s="27" t="s">
        <v>8</v>
      </c>
      <c r="CP288" s="27" t="s">
        <v>7</v>
      </c>
      <c r="CQ288" s="27" t="s">
        <v>8</v>
      </c>
      <c r="CR288" s="27" t="s">
        <v>7</v>
      </c>
      <c r="CU288" s="31"/>
    </row>
    <row r="289" spans="1:138" x14ac:dyDescent="0.25">
      <c r="A289" s="30">
        <v>9.1563913320997906E-2</v>
      </c>
      <c r="B289"/>
      <c r="C289"/>
      <c r="D289"/>
      <c r="E289"/>
      <c r="F289" s="27" t="s">
        <v>7</v>
      </c>
      <c r="BS289" s="27" t="s">
        <v>8</v>
      </c>
      <c r="BW289" s="27" t="s">
        <v>8</v>
      </c>
      <c r="CF289" s="27" t="s">
        <v>7</v>
      </c>
      <c r="CG289" s="27" t="s">
        <v>8</v>
      </c>
      <c r="CI289" s="31"/>
      <c r="CN289" s="34" t="s">
        <v>7</v>
      </c>
      <c r="CP289" s="34" t="s">
        <v>7</v>
      </c>
      <c r="CR289" s="27" t="s">
        <v>7</v>
      </c>
      <c r="CV289" s="31"/>
    </row>
    <row r="290" spans="1:138" x14ac:dyDescent="0.25">
      <c r="A290" s="30">
        <v>8.7203726972378923E-2</v>
      </c>
      <c r="B290"/>
      <c r="C290"/>
      <c r="D290"/>
      <c r="E290"/>
      <c r="F290" s="27" t="s">
        <v>7</v>
      </c>
      <c r="BS290" s="27" t="s">
        <v>8</v>
      </c>
      <c r="BT290" s="27" t="s">
        <v>7</v>
      </c>
      <c r="BW290" s="27" t="s">
        <v>8</v>
      </c>
      <c r="CF290" s="27" t="s">
        <v>7</v>
      </c>
      <c r="CG290" s="27" t="s">
        <v>8</v>
      </c>
      <c r="CH290" s="31"/>
      <c r="CR290" s="33" t="s">
        <v>7</v>
      </c>
      <c r="CW290" s="31"/>
    </row>
    <row r="291" spans="1:138" x14ac:dyDescent="0.25">
      <c r="A291" s="30">
        <v>8.3051168545122747E-2</v>
      </c>
      <c r="B291"/>
      <c r="C291"/>
      <c r="D291"/>
      <c r="E291"/>
      <c r="F291" s="27" t="s">
        <v>7</v>
      </c>
      <c r="BS291" s="27" t="s">
        <v>8</v>
      </c>
      <c r="BT291" s="27" t="s">
        <v>7</v>
      </c>
      <c r="BU291" s="27" t="s">
        <v>8</v>
      </c>
      <c r="BW291" s="27" t="s">
        <v>8</v>
      </c>
      <c r="CF291" s="27" t="s">
        <v>7</v>
      </c>
      <c r="CG291" s="31"/>
      <c r="CR291" s="27" t="s">
        <v>7</v>
      </c>
      <c r="CX291" s="31"/>
    </row>
    <row r="292" spans="1:138" x14ac:dyDescent="0.25">
      <c r="A292" s="30">
        <v>7.9096350995354961E-2</v>
      </c>
      <c r="B292"/>
      <c r="C292"/>
      <c r="D292"/>
      <c r="E292"/>
      <c r="F292" s="27" t="s">
        <v>7</v>
      </c>
      <c r="BK292" s="27" t="s">
        <v>8</v>
      </c>
      <c r="BS292" s="27" t="s">
        <v>8</v>
      </c>
      <c r="BT292" s="27" t="s">
        <v>7</v>
      </c>
      <c r="BU292" s="27" t="s">
        <v>8</v>
      </c>
      <c r="BV292" s="27" t="s">
        <v>7</v>
      </c>
      <c r="BW292" s="27" t="s">
        <v>8</v>
      </c>
      <c r="CF292" s="31"/>
      <c r="CR292" s="27" t="s">
        <v>7</v>
      </c>
      <c r="CY292" s="31"/>
    </row>
    <row r="293" spans="1:138" x14ac:dyDescent="0.25">
      <c r="A293" s="30">
        <v>7.5329858090814217E-2</v>
      </c>
      <c r="B293"/>
      <c r="C293"/>
      <c r="D293"/>
      <c r="E293"/>
      <c r="F293" s="27" t="s">
        <v>7</v>
      </c>
      <c r="BK293" s="27" t="s">
        <v>8</v>
      </c>
      <c r="BL293" s="27" t="s">
        <v>7</v>
      </c>
      <c r="BS293" s="27" t="s">
        <v>8</v>
      </c>
      <c r="BT293" s="27" t="s">
        <v>7</v>
      </c>
      <c r="BU293" s="27" t="s">
        <v>8</v>
      </c>
      <c r="BV293" s="27" t="s">
        <v>7</v>
      </c>
      <c r="BW293" s="27" t="s">
        <v>8</v>
      </c>
      <c r="CE293" s="31"/>
      <c r="CR293" s="27" t="s">
        <v>7</v>
      </c>
      <c r="CZ293" s="31"/>
    </row>
    <row r="294" spans="1:138" x14ac:dyDescent="0.25">
      <c r="A294" s="30">
        <v>7.1742721991251604E-2</v>
      </c>
      <c r="B294"/>
      <c r="C294"/>
      <c r="D294"/>
      <c r="E294"/>
      <c r="F294" s="27" t="s">
        <v>7</v>
      </c>
      <c r="BC294" s="27" t="s">
        <v>8</v>
      </c>
      <c r="BK294" s="27" t="s">
        <v>8</v>
      </c>
      <c r="BL294" s="27" t="s">
        <v>7</v>
      </c>
      <c r="BS294" s="27" t="s">
        <v>8</v>
      </c>
      <c r="BT294" s="27" t="s">
        <v>7</v>
      </c>
      <c r="BU294" s="27" t="s">
        <v>8</v>
      </c>
      <c r="BV294" s="27" t="s">
        <v>7</v>
      </c>
      <c r="BW294" s="27" t="s">
        <v>8</v>
      </c>
      <c r="CD294" s="31"/>
      <c r="CR294" s="27" t="s">
        <v>7</v>
      </c>
      <c r="DA294" s="31"/>
    </row>
    <row r="295" spans="1:138" x14ac:dyDescent="0.25">
      <c r="A295" s="30">
        <v>6.8326401896430078E-2</v>
      </c>
      <c r="B295"/>
      <c r="C295"/>
      <c r="D295"/>
      <c r="E295"/>
      <c r="F295" s="27" t="s">
        <v>7</v>
      </c>
      <c r="BC295" s="27" t="s">
        <v>8</v>
      </c>
      <c r="BD295" s="27" t="s">
        <v>7</v>
      </c>
      <c r="BK295" s="27" t="s">
        <v>8</v>
      </c>
      <c r="BL295" s="27" t="s">
        <v>7</v>
      </c>
      <c r="BS295" s="27" t="s">
        <v>8</v>
      </c>
      <c r="BT295" s="27" t="s">
        <v>7</v>
      </c>
      <c r="BV295" s="27" t="s">
        <v>7</v>
      </c>
      <c r="BW295" s="27" t="s">
        <v>8</v>
      </c>
      <c r="CC295" s="31"/>
      <c r="CR295" s="27" t="s">
        <v>7</v>
      </c>
      <c r="CS295" s="27" t="s">
        <v>8</v>
      </c>
      <c r="DB295" s="31"/>
      <c r="DO295" s="27" t="s">
        <v>8</v>
      </c>
    </row>
    <row r="296" spans="1:138" x14ac:dyDescent="0.25">
      <c r="A296" s="30">
        <v>6.5072763710885759E-2</v>
      </c>
      <c r="B296"/>
      <c r="C296"/>
      <c r="D296"/>
      <c r="E296"/>
      <c r="F296" s="27" t="s">
        <v>7</v>
      </c>
      <c r="BC296" s="27" t="s">
        <v>8</v>
      </c>
      <c r="BD296" s="27" t="s">
        <v>7</v>
      </c>
      <c r="BK296" s="27" t="s">
        <v>8</v>
      </c>
      <c r="BL296" s="27" t="s">
        <v>7</v>
      </c>
      <c r="BM296" s="27" t="s">
        <v>8</v>
      </c>
      <c r="BO296" s="27" t="s">
        <v>8</v>
      </c>
      <c r="BS296" s="27" t="s">
        <v>8</v>
      </c>
      <c r="BV296" s="27" t="s">
        <v>7</v>
      </c>
      <c r="CB296" s="31"/>
      <c r="CR296" s="27" t="s">
        <v>7</v>
      </c>
      <c r="CS296" s="27" t="s">
        <v>8</v>
      </c>
      <c r="CT296" s="27" t="s">
        <v>7</v>
      </c>
      <c r="CW296" s="27" t="s">
        <v>8</v>
      </c>
      <c r="DC296" s="31"/>
      <c r="DO296" s="27" t="s">
        <v>8</v>
      </c>
      <c r="DP296" s="27" t="s">
        <v>7</v>
      </c>
    </row>
    <row r="297" spans="1:138" x14ac:dyDescent="0.25">
      <c r="A297" s="30">
        <v>6.197406067703403E-2</v>
      </c>
      <c r="B297"/>
      <c r="C297"/>
      <c r="D297"/>
      <c r="E297"/>
      <c r="F297" s="27" t="s">
        <v>7</v>
      </c>
      <c r="AI297" s="27" t="s">
        <v>8</v>
      </c>
      <c r="BC297" s="27" t="s">
        <v>8</v>
      </c>
      <c r="BD297" s="27" t="s">
        <v>7</v>
      </c>
      <c r="BK297" s="27" t="s">
        <v>8</v>
      </c>
      <c r="BL297" s="27" t="s">
        <v>7</v>
      </c>
      <c r="BM297" s="27" t="s">
        <v>8</v>
      </c>
      <c r="BN297" s="27" t="s">
        <v>7</v>
      </c>
      <c r="BO297" s="27" t="s">
        <v>8</v>
      </c>
      <c r="BP297" s="27" t="s">
        <v>7</v>
      </c>
      <c r="BS297" s="27" t="s">
        <v>8</v>
      </c>
      <c r="CA297" s="31"/>
      <c r="CR297" s="27" t="s">
        <v>7</v>
      </c>
      <c r="CS297" s="27" t="s">
        <v>8</v>
      </c>
      <c r="CT297" s="27" t="s">
        <v>7</v>
      </c>
      <c r="CW297" s="27" t="s">
        <v>8</v>
      </c>
      <c r="CX297" s="27" t="s">
        <v>7</v>
      </c>
      <c r="CY297" s="27" t="s">
        <v>8</v>
      </c>
      <c r="DD297" s="31"/>
      <c r="DK297" s="27" t="s">
        <v>8</v>
      </c>
      <c r="DM297" s="27" t="s">
        <v>8</v>
      </c>
      <c r="DO297" s="27" t="s">
        <v>8</v>
      </c>
      <c r="DP297" s="27" t="s">
        <v>7</v>
      </c>
      <c r="EC297" s="27" t="s">
        <v>8</v>
      </c>
    </row>
    <row r="298" spans="1:138" x14ac:dyDescent="0.25">
      <c r="A298" s="30">
        <v>5.9022914930508576E-2</v>
      </c>
      <c r="B298"/>
      <c r="C298"/>
      <c r="D298"/>
      <c r="E298"/>
      <c r="F298" s="27" t="s">
        <v>7</v>
      </c>
      <c r="AE298" s="27" t="s">
        <v>8</v>
      </c>
      <c r="AI298" s="27" t="s">
        <v>8</v>
      </c>
      <c r="AJ298" s="27" t="s">
        <v>7</v>
      </c>
      <c r="BC298" s="27" t="s">
        <v>8</v>
      </c>
      <c r="BD298" s="27" t="s">
        <v>7</v>
      </c>
      <c r="BK298" s="27" t="s">
        <v>8</v>
      </c>
      <c r="BL298" s="27" t="s">
        <v>7</v>
      </c>
      <c r="BM298" s="27" t="s">
        <v>8</v>
      </c>
      <c r="BN298" s="27" t="s">
        <v>7</v>
      </c>
      <c r="BO298" s="27" t="s">
        <v>8</v>
      </c>
      <c r="BP298" s="27" t="s">
        <v>7</v>
      </c>
      <c r="BS298" s="27" t="s">
        <v>8</v>
      </c>
      <c r="BZ298" s="31"/>
      <c r="CR298" s="27" t="s">
        <v>7</v>
      </c>
      <c r="CS298" s="27" t="s">
        <v>8</v>
      </c>
      <c r="CT298" s="27" t="s">
        <v>7</v>
      </c>
      <c r="CW298" s="32" t="s">
        <v>8</v>
      </c>
      <c r="CX298" s="27" t="s">
        <v>7</v>
      </c>
      <c r="CY298" s="27" t="s">
        <v>8</v>
      </c>
      <c r="CZ298" s="27" t="s">
        <v>7</v>
      </c>
      <c r="DE298" s="31"/>
      <c r="DK298" s="27" t="s">
        <v>8</v>
      </c>
      <c r="DL298" s="27" t="s">
        <v>7</v>
      </c>
      <c r="DM298" s="27" t="s">
        <v>8</v>
      </c>
      <c r="DN298" s="27" t="s">
        <v>7</v>
      </c>
      <c r="DO298" s="27" t="s">
        <v>8</v>
      </c>
      <c r="DP298" s="27" t="s">
        <v>7</v>
      </c>
      <c r="EC298" s="27" t="s">
        <v>8</v>
      </c>
      <c r="ED298" s="27" t="s">
        <v>7</v>
      </c>
    </row>
    <row r="299" spans="1:138" x14ac:dyDescent="0.25">
      <c r="A299" s="30">
        <v>5.6212299933817669E-2</v>
      </c>
      <c r="B299"/>
      <c r="C299"/>
      <c r="D299"/>
      <c r="E299"/>
      <c r="F299" s="27" t="s">
        <v>7</v>
      </c>
      <c r="AE299" s="27" t="s">
        <v>8</v>
      </c>
      <c r="AF299" s="27" t="s">
        <v>7</v>
      </c>
      <c r="AG299" s="27" t="s">
        <v>8</v>
      </c>
      <c r="AI299" s="27" t="s">
        <v>8</v>
      </c>
      <c r="AJ299" s="27" t="s">
        <v>7</v>
      </c>
      <c r="BC299" s="27" t="s">
        <v>8</v>
      </c>
      <c r="BD299" s="27" t="s">
        <v>7</v>
      </c>
      <c r="BK299" s="27" t="s">
        <v>8</v>
      </c>
      <c r="BL299" s="27" t="s">
        <v>7</v>
      </c>
      <c r="BM299" s="27" t="s">
        <v>8</v>
      </c>
      <c r="BN299" s="27" t="s">
        <v>7</v>
      </c>
      <c r="BP299" s="27" t="s">
        <v>7</v>
      </c>
      <c r="BS299" s="27" t="s">
        <v>8</v>
      </c>
      <c r="BY299" s="31"/>
      <c r="CR299" s="27" t="s">
        <v>7</v>
      </c>
      <c r="CS299" s="27" t="s">
        <v>8</v>
      </c>
      <c r="CT299" s="27" t="s">
        <v>7</v>
      </c>
      <c r="CU299" s="27" t="s">
        <v>8</v>
      </c>
      <c r="CW299" s="27" t="s">
        <v>8</v>
      </c>
      <c r="CX299" s="27" t="s">
        <v>7</v>
      </c>
      <c r="CY299" s="27" t="s">
        <v>8</v>
      </c>
      <c r="CZ299" s="27" t="s">
        <v>7</v>
      </c>
      <c r="DC299" s="27" t="s">
        <v>8</v>
      </c>
      <c r="DF299" s="31"/>
      <c r="DK299" s="27" t="s">
        <v>8</v>
      </c>
      <c r="DL299" s="27" t="s">
        <v>7</v>
      </c>
      <c r="DM299" s="27" t="s">
        <v>8</v>
      </c>
      <c r="DN299" s="27" t="s">
        <v>7</v>
      </c>
      <c r="DO299" s="27" t="s">
        <v>8</v>
      </c>
      <c r="DP299" s="27" t="s">
        <v>7</v>
      </c>
      <c r="DY299" s="27" t="s">
        <v>8</v>
      </c>
      <c r="EA299" s="27" t="s">
        <v>8</v>
      </c>
      <c r="EC299" s="27" t="s">
        <v>8</v>
      </c>
      <c r="ED299" s="27" t="s">
        <v>7</v>
      </c>
      <c r="EG299" s="27" t="s">
        <v>8</v>
      </c>
    </row>
    <row r="300" spans="1:138" x14ac:dyDescent="0.25">
      <c r="A300" s="30">
        <v>5.3535523746492994E-2</v>
      </c>
      <c r="B300"/>
      <c r="C300"/>
      <c r="D300"/>
      <c r="E300"/>
      <c r="F300" s="27" t="s">
        <v>7</v>
      </c>
      <c r="AE300" s="27" t="s">
        <v>8</v>
      </c>
      <c r="AF300" s="27" t="s">
        <v>7</v>
      </c>
      <c r="AG300" s="27" t="s">
        <v>8</v>
      </c>
      <c r="AH300" s="27" t="s">
        <v>7</v>
      </c>
      <c r="AI300" s="27" t="s">
        <v>8</v>
      </c>
      <c r="AJ300" s="27" t="s">
        <v>7</v>
      </c>
      <c r="BC300" s="27" t="s">
        <v>8</v>
      </c>
      <c r="BD300" s="27" t="s">
        <v>7</v>
      </c>
      <c r="BI300" s="27" t="s">
        <v>8</v>
      </c>
      <c r="BK300" s="27" t="s">
        <v>8</v>
      </c>
      <c r="BL300" s="27" t="s">
        <v>7</v>
      </c>
      <c r="BM300" s="27" t="s">
        <v>8</v>
      </c>
      <c r="BP300" s="27" t="s">
        <v>7</v>
      </c>
      <c r="BQ300" s="27" t="s">
        <v>8</v>
      </c>
      <c r="BS300" s="27" t="s">
        <v>8</v>
      </c>
      <c r="BX300" s="31"/>
      <c r="CR300" s="27" t="s">
        <v>7</v>
      </c>
      <c r="CS300" s="27" t="s">
        <v>8</v>
      </c>
      <c r="CT300" s="27" t="s">
        <v>7</v>
      </c>
      <c r="CU300" s="27" t="s">
        <v>8</v>
      </c>
      <c r="CV300" s="27" t="s">
        <v>7</v>
      </c>
      <c r="CW300" s="27" t="s">
        <v>8</v>
      </c>
      <c r="CX300" s="27" t="s">
        <v>7</v>
      </c>
      <c r="CZ300" s="27" t="s">
        <v>7</v>
      </c>
      <c r="DA300" s="27" t="s">
        <v>8</v>
      </c>
      <c r="DC300" s="27" t="s">
        <v>8</v>
      </c>
      <c r="DD300" s="27" t="s">
        <v>7</v>
      </c>
      <c r="DG300" s="31"/>
      <c r="DK300" s="27" t="s">
        <v>8</v>
      </c>
      <c r="DL300" s="27" t="s">
        <v>7</v>
      </c>
      <c r="DM300" s="27" t="s">
        <v>8</v>
      </c>
      <c r="DN300" s="27" t="s">
        <v>7</v>
      </c>
      <c r="DP300" s="27" t="s">
        <v>7</v>
      </c>
      <c r="DS300" s="27" t="s">
        <v>8</v>
      </c>
      <c r="DY300" s="27" t="s">
        <v>8</v>
      </c>
      <c r="DZ300" s="27" t="s">
        <v>7</v>
      </c>
      <c r="EA300" s="27" t="s">
        <v>8</v>
      </c>
      <c r="EB300" s="27" t="s">
        <v>7</v>
      </c>
      <c r="EC300" s="27" t="s">
        <v>8</v>
      </c>
      <c r="ED300" s="27" t="s">
        <v>7</v>
      </c>
      <c r="EE300" s="27" t="s">
        <v>8</v>
      </c>
      <c r="EG300" s="27" t="s">
        <v>8</v>
      </c>
      <c r="EH300" s="27" t="s">
        <v>7</v>
      </c>
    </row>
    <row r="301" spans="1:138" x14ac:dyDescent="0.25">
      <c r="A301" s="30">
        <v>5.0986213091898068E-2</v>
      </c>
      <c r="B301"/>
      <c r="C301"/>
      <c r="D301"/>
      <c r="E301"/>
      <c r="F301" s="27" t="s">
        <v>7</v>
      </c>
      <c r="AE301" s="27" t="s">
        <v>8</v>
      </c>
      <c r="AF301" s="27" t="s">
        <v>7</v>
      </c>
      <c r="AG301" s="27" t="s">
        <v>8</v>
      </c>
      <c r="AH301" s="27" t="s">
        <v>7</v>
      </c>
      <c r="AI301" s="27" t="s">
        <v>8</v>
      </c>
      <c r="AJ301" s="27" t="s">
        <v>7</v>
      </c>
      <c r="BC301" s="27" t="s">
        <v>8</v>
      </c>
      <c r="BD301" s="27" t="s">
        <v>7</v>
      </c>
      <c r="BI301" s="27" t="s">
        <v>8</v>
      </c>
      <c r="BJ301" s="27" t="s">
        <v>7</v>
      </c>
      <c r="BK301" s="27" t="s">
        <v>8</v>
      </c>
      <c r="BL301" s="27" t="s">
        <v>7</v>
      </c>
      <c r="BP301" s="27" t="s">
        <v>7</v>
      </c>
      <c r="BQ301" s="27" t="s">
        <v>8</v>
      </c>
      <c r="BR301" s="27" t="s">
        <v>7</v>
      </c>
      <c r="BS301" s="27" t="s">
        <v>8</v>
      </c>
      <c r="BW301" s="31"/>
      <c r="CR301" s="27" t="s">
        <v>7</v>
      </c>
      <c r="CS301" s="27" t="s">
        <v>8</v>
      </c>
      <c r="CT301" s="27" t="s">
        <v>7</v>
      </c>
      <c r="CU301" s="27" t="s">
        <v>8</v>
      </c>
      <c r="CV301" s="27" t="s">
        <v>7</v>
      </c>
      <c r="CW301" s="27" t="s">
        <v>8</v>
      </c>
      <c r="CZ301" s="33" t="s">
        <v>7</v>
      </c>
      <c r="DA301" s="27" t="s">
        <v>8</v>
      </c>
      <c r="DB301" s="27" t="s">
        <v>7</v>
      </c>
      <c r="DC301" s="27" t="s">
        <v>8</v>
      </c>
      <c r="DD301" s="27" t="s">
        <v>7</v>
      </c>
      <c r="DH301" s="31"/>
      <c r="DK301" s="27" t="s">
        <v>8</v>
      </c>
      <c r="DL301" s="27" t="s">
        <v>7</v>
      </c>
      <c r="DP301" s="27" t="s">
        <v>7</v>
      </c>
      <c r="DQ301" s="27" t="s">
        <v>8</v>
      </c>
      <c r="DS301" s="27" t="s">
        <v>8</v>
      </c>
      <c r="DT301" s="27" t="s">
        <v>7</v>
      </c>
      <c r="DW301" s="27" t="s">
        <v>8</v>
      </c>
      <c r="DY301" s="27" t="s">
        <v>8</v>
      </c>
      <c r="DZ301" s="27" t="s">
        <v>7</v>
      </c>
      <c r="EA301" s="27" t="s">
        <v>8</v>
      </c>
      <c r="EB301" s="27" t="s">
        <v>7</v>
      </c>
      <c r="EC301" s="27" t="s">
        <v>8</v>
      </c>
      <c r="ED301" s="27" t="s">
        <v>7</v>
      </c>
      <c r="EE301" s="27" t="s">
        <v>8</v>
      </c>
      <c r="EF301" s="27" t="s">
        <v>7</v>
      </c>
      <c r="EG301" s="27" t="s">
        <v>8</v>
      </c>
      <c r="EH301" s="27" t="s">
        <v>7</v>
      </c>
    </row>
    <row r="302" spans="1:138" x14ac:dyDescent="0.25">
      <c r="A302" s="30">
        <v>4.8558298182760043E-2</v>
      </c>
      <c r="B302"/>
      <c r="C302"/>
      <c r="D302"/>
      <c r="E302"/>
      <c r="F302" s="27" t="s">
        <v>7</v>
      </c>
      <c r="AE302" s="27" t="s">
        <v>8</v>
      </c>
      <c r="AF302" s="27" t="s">
        <v>7</v>
      </c>
      <c r="AG302" s="27" t="s">
        <v>8</v>
      </c>
      <c r="AH302" s="27" t="s">
        <v>7</v>
      </c>
      <c r="AI302" s="27" t="s">
        <v>8</v>
      </c>
      <c r="AJ302" s="27" t="s">
        <v>7</v>
      </c>
      <c r="BC302" s="27" t="s">
        <v>8</v>
      </c>
      <c r="BD302" s="27" t="s">
        <v>7</v>
      </c>
      <c r="BI302" s="27" t="s">
        <v>8</v>
      </c>
      <c r="BJ302" s="27" t="s">
        <v>7</v>
      </c>
      <c r="BK302" s="27" t="s">
        <v>8</v>
      </c>
      <c r="BP302" s="27" t="s">
        <v>7</v>
      </c>
      <c r="BQ302" s="27" t="s">
        <v>8</v>
      </c>
      <c r="BR302" s="27" t="s">
        <v>7</v>
      </c>
      <c r="BS302" s="27" t="s">
        <v>8</v>
      </c>
      <c r="BV302" s="31"/>
      <c r="CR302" s="27" t="s">
        <v>7</v>
      </c>
      <c r="CS302" s="27" t="s">
        <v>8</v>
      </c>
      <c r="CT302" s="27" t="s">
        <v>7</v>
      </c>
      <c r="CU302" s="27" t="s">
        <v>8</v>
      </c>
      <c r="CV302" s="27" t="s">
        <v>7</v>
      </c>
      <c r="CZ302" s="27" t="s">
        <v>7</v>
      </c>
      <c r="DA302" s="27" t="s">
        <v>8</v>
      </c>
      <c r="DB302" s="27" t="s">
        <v>7</v>
      </c>
      <c r="DC302" s="27" t="s">
        <v>8</v>
      </c>
      <c r="DD302" s="27" t="s">
        <v>7</v>
      </c>
      <c r="DG302" s="32" t="s">
        <v>8</v>
      </c>
      <c r="DI302" s="31"/>
      <c r="DK302" s="27" t="s">
        <v>8</v>
      </c>
      <c r="DP302" s="27" t="s">
        <v>7</v>
      </c>
      <c r="DQ302" s="27" t="s">
        <v>8</v>
      </c>
      <c r="DR302" s="27" t="s">
        <v>7</v>
      </c>
      <c r="DS302" s="27" t="s">
        <v>8</v>
      </c>
      <c r="DT302" s="27" t="s">
        <v>7</v>
      </c>
      <c r="DW302" s="27" t="s">
        <v>8</v>
      </c>
      <c r="DX302" s="27" t="s">
        <v>7</v>
      </c>
      <c r="DY302" s="27" t="s">
        <v>8</v>
      </c>
      <c r="DZ302" s="27" t="s">
        <v>7</v>
      </c>
      <c r="EA302" s="27" t="s">
        <v>8</v>
      </c>
      <c r="EB302" s="27" t="s">
        <v>7</v>
      </c>
      <c r="EC302" s="27" t="s">
        <v>8</v>
      </c>
      <c r="ED302" s="27" t="s">
        <v>7</v>
      </c>
      <c r="EE302" s="27" t="s">
        <v>8</v>
      </c>
      <c r="EF302" s="27" t="s">
        <v>7</v>
      </c>
      <c r="EG302" s="27" t="s">
        <v>8</v>
      </c>
      <c r="EH302" s="27" t="s">
        <v>7</v>
      </c>
    </row>
    <row r="303" spans="1:138" x14ac:dyDescent="0.25">
      <c r="A303" s="30">
        <v>4.6245998269295263E-2</v>
      </c>
      <c r="B303"/>
      <c r="C303"/>
      <c r="D303"/>
      <c r="E303"/>
      <c r="F303" s="27" t="s">
        <v>7</v>
      </c>
      <c r="AE303" s="27" t="s">
        <v>8</v>
      </c>
      <c r="AF303" s="27" t="s">
        <v>7</v>
      </c>
      <c r="AG303" s="27" t="s">
        <v>8</v>
      </c>
      <c r="AH303" s="27" t="s">
        <v>7</v>
      </c>
      <c r="AJ303" s="27" t="s">
        <v>7</v>
      </c>
      <c r="BC303" s="27" t="s">
        <v>8</v>
      </c>
      <c r="BD303" s="27" t="s">
        <v>7</v>
      </c>
      <c r="BG303" s="27" t="s">
        <v>8</v>
      </c>
      <c r="BI303" s="27" t="s">
        <v>8</v>
      </c>
      <c r="BJ303" s="27" t="s">
        <v>7</v>
      </c>
      <c r="BP303" s="27" t="s">
        <v>7</v>
      </c>
      <c r="BQ303" s="27" t="s">
        <v>8</v>
      </c>
      <c r="BR303" s="27" t="s">
        <v>7</v>
      </c>
      <c r="BS303" s="27" t="s">
        <v>8</v>
      </c>
      <c r="BU303" s="31"/>
      <c r="CR303" s="27" t="s">
        <v>7</v>
      </c>
      <c r="CS303" s="27" t="s">
        <v>8</v>
      </c>
      <c r="CT303" s="27" t="s">
        <v>7</v>
      </c>
      <c r="CU303" s="27" t="s">
        <v>8</v>
      </c>
      <c r="CZ303" s="34" t="s">
        <v>7</v>
      </c>
      <c r="DB303" s="34" t="s">
        <v>7</v>
      </c>
      <c r="DD303" s="27" t="s">
        <v>7</v>
      </c>
      <c r="DE303" s="27" t="s">
        <v>8</v>
      </c>
      <c r="DG303" s="27" t="s">
        <v>8</v>
      </c>
      <c r="DH303" s="27" t="s">
        <v>7</v>
      </c>
      <c r="DJ303" s="31"/>
      <c r="DK303" s="32" t="s">
        <v>8</v>
      </c>
      <c r="DP303" s="31" t="s">
        <v>7</v>
      </c>
      <c r="DQ303" s="27" t="s">
        <v>8</v>
      </c>
      <c r="DR303" s="27" t="s">
        <v>7</v>
      </c>
      <c r="DS303" s="27" t="s">
        <v>8</v>
      </c>
      <c r="DT303" s="27" t="s">
        <v>7</v>
      </c>
      <c r="DU303" s="27" t="s">
        <v>8</v>
      </c>
      <c r="DW303" s="27" t="s">
        <v>8</v>
      </c>
      <c r="DX303" s="27" t="s">
        <v>7</v>
      </c>
      <c r="DY303" s="27" t="s">
        <v>8</v>
      </c>
      <c r="DZ303" s="27" t="s">
        <v>7</v>
      </c>
      <c r="EA303" s="27" t="s">
        <v>8</v>
      </c>
      <c r="EB303" s="27" t="s">
        <v>7</v>
      </c>
      <c r="ED303" s="27" t="s">
        <v>7</v>
      </c>
      <c r="EF303" s="27" t="s">
        <v>7</v>
      </c>
      <c r="EG303" s="27" t="s">
        <v>8</v>
      </c>
      <c r="EH303" s="27" t="s">
        <v>7</v>
      </c>
    </row>
    <row r="304" spans="1:138" x14ac:dyDescent="0.25">
      <c r="A304" s="30">
        <v>4.4043807875519279E-2</v>
      </c>
      <c r="B304"/>
      <c r="C304"/>
      <c r="D304"/>
      <c r="E304"/>
      <c r="F304" s="27" t="s">
        <v>7</v>
      </c>
      <c r="AE304" s="27" t="s">
        <v>8</v>
      </c>
      <c r="AF304" s="27" t="s">
        <v>7</v>
      </c>
      <c r="AG304" s="27" t="s">
        <v>8</v>
      </c>
      <c r="AJ304" s="27" t="s">
        <v>7</v>
      </c>
      <c r="BC304" s="27" t="s">
        <v>8</v>
      </c>
      <c r="BD304" s="27" t="s">
        <v>7</v>
      </c>
      <c r="BE304" s="27" t="s">
        <v>8</v>
      </c>
      <c r="BG304" s="27" t="s">
        <v>8</v>
      </c>
      <c r="BH304" s="27" t="s">
        <v>7</v>
      </c>
      <c r="BI304" s="27" t="s">
        <v>8</v>
      </c>
      <c r="BP304" s="27" t="s">
        <v>7</v>
      </c>
      <c r="BQ304" s="27" t="s">
        <v>8</v>
      </c>
      <c r="BR304" s="27" t="s">
        <v>7</v>
      </c>
      <c r="BS304" s="27" t="s">
        <v>8</v>
      </c>
      <c r="BT304" s="31"/>
      <c r="CR304" s="27" t="s">
        <v>7</v>
      </c>
      <c r="CT304" s="27" t="s">
        <v>7</v>
      </c>
      <c r="CU304" s="27" t="s">
        <v>8</v>
      </c>
      <c r="DD304" s="27" t="s">
        <v>7</v>
      </c>
      <c r="DE304" s="27" t="s">
        <v>8</v>
      </c>
      <c r="DF304" s="27" t="s">
        <v>7</v>
      </c>
      <c r="DG304" s="27" t="s">
        <v>8</v>
      </c>
      <c r="DH304" s="27" t="s">
        <v>7</v>
      </c>
      <c r="DI304" s="27" t="s">
        <v>8</v>
      </c>
      <c r="DK304" s="31" t="s">
        <v>8</v>
      </c>
      <c r="DO304" s="31"/>
      <c r="DP304" s="27" t="s">
        <v>7</v>
      </c>
      <c r="DQ304" s="27" t="s">
        <v>8</v>
      </c>
      <c r="DR304" s="27" t="s">
        <v>7</v>
      </c>
      <c r="DT304" s="27" t="s">
        <v>7</v>
      </c>
      <c r="DU304" s="27" t="s">
        <v>8</v>
      </c>
      <c r="DV304" s="27" t="s">
        <v>7</v>
      </c>
      <c r="DW304" s="27" t="s">
        <v>8</v>
      </c>
      <c r="DX304" s="27" t="s">
        <v>7</v>
      </c>
      <c r="DY304" s="27" t="s">
        <v>8</v>
      </c>
      <c r="DZ304" s="27" t="s">
        <v>7</v>
      </c>
      <c r="EF304" s="27" t="s">
        <v>7</v>
      </c>
      <c r="EH304" s="27" t="s">
        <v>7</v>
      </c>
    </row>
    <row r="305" spans="1:147" x14ac:dyDescent="0.25">
      <c r="A305" s="30">
        <v>4.1946483690970725E-2</v>
      </c>
      <c r="B305"/>
      <c r="C305"/>
      <c r="D305"/>
      <c r="E305"/>
      <c r="F305" s="27" t="s">
        <v>7</v>
      </c>
      <c r="G305" s="27" t="s">
        <v>8</v>
      </c>
      <c r="AE305" s="27" t="s">
        <v>8</v>
      </c>
      <c r="AF305" s="27" t="s">
        <v>7</v>
      </c>
      <c r="AG305" s="27" t="s">
        <v>8</v>
      </c>
      <c r="AJ305" s="27" t="s">
        <v>7</v>
      </c>
      <c r="BC305" s="27" t="s">
        <v>8</v>
      </c>
      <c r="BD305" s="27" t="s">
        <v>7</v>
      </c>
      <c r="BE305" s="27" t="s">
        <v>8</v>
      </c>
      <c r="BF305" s="27" t="s">
        <v>7</v>
      </c>
      <c r="BG305" s="27" t="s">
        <v>8</v>
      </c>
      <c r="BH305" s="27" t="s">
        <v>7</v>
      </c>
      <c r="BI305" s="27" t="s">
        <v>8</v>
      </c>
      <c r="BP305" s="27" t="s">
        <v>7</v>
      </c>
      <c r="BQ305" s="27" t="s">
        <v>8</v>
      </c>
      <c r="BR305" s="27" t="s">
        <v>7</v>
      </c>
      <c r="BS305" s="31"/>
      <c r="CT305" s="27" t="s">
        <v>7</v>
      </c>
      <c r="CU305" s="27" t="s">
        <v>8</v>
      </c>
      <c r="DD305" s="27" t="s">
        <v>7</v>
      </c>
      <c r="DE305" s="27" t="s">
        <v>8</v>
      </c>
      <c r="DF305" s="27" t="s">
        <v>7</v>
      </c>
      <c r="DG305" s="27" t="s">
        <v>8</v>
      </c>
      <c r="DH305" s="27" t="s">
        <v>7</v>
      </c>
      <c r="DI305" s="27" t="s">
        <v>8</v>
      </c>
      <c r="DJ305" s="27" t="s">
        <v>7</v>
      </c>
      <c r="DK305" s="27" t="s">
        <v>8</v>
      </c>
      <c r="DL305" s="19"/>
      <c r="DN305" s="31"/>
      <c r="DP305" s="27" t="s">
        <v>7</v>
      </c>
      <c r="DT305" s="27" t="s">
        <v>7</v>
      </c>
      <c r="DU305" s="27" t="s">
        <v>8</v>
      </c>
      <c r="DV305" s="27" t="s">
        <v>7</v>
      </c>
      <c r="DW305" s="27" t="s">
        <v>8</v>
      </c>
      <c r="DX305" s="27" t="s">
        <v>7</v>
      </c>
      <c r="EH305" s="27" t="s">
        <v>7</v>
      </c>
    </row>
    <row r="306" spans="1:147" x14ac:dyDescent="0.25">
      <c r="A306" s="30">
        <v>3.9949032086638768E-2</v>
      </c>
      <c r="B306"/>
      <c r="C306"/>
      <c r="D306"/>
      <c r="E306"/>
      <c r="F306" s="27" t="s">
        <v>7</v>
      </c>
      <c r="G306" s="27" t="s">
        <v>8</v>
      </c>
      <c r="H306" s="27" t="s">
        <v>7</v>
      </c>
      <c r="AE306" s="27" t="s">
        <v>8</v>
      </c>
      <c r="AF306" s="27" t="s">
        <v>7</v>
      </c>
      <c r="AG306" s="27" t="s">
        <v>8</v>
      </c>
      <c r="AJ306" s="27" t="s">
        <v>7</v>
      </c>
      <c r="BC306" s="27" t="s">
        <v>8</v>
      </c>
      <c r="BD306" s="27" t="s">
        <v>7</v>
      </c>
      <c r="BE306" s="27" t="s">
        <v>8</v>
      </c>
      <c r="BF306" s="27" t="s">
        <v>7</v>
      </c>
      <c r="BG306" s="27" t="s">
        <v>8</v>
      </c>
      <c r="BH306" s="27" t="s">
        <v>7</v>
      </c>
      <c r="BP306" s="27" t="s">
        <v>7</v>
      </c>
      <c r="BQ306" s="27" t="s">
        <v>8</v>
      </c>
      <c r="BR306" s="31"/>
      <c r="CT306" s="27" t="s">
        <v>7</v>
      </c>
      <c r="CU306" s="27" t="s">
        <v>8</v>
      </c>
      <c r="DD306" s="27" t="s">
        <v>7</v>
      </c>
      <c r="DE306" s="27" t="s">
        <v>8</v>
      </c>
      <c r="DF306" s="27" t="s">
        <v>7</v>
      </c>
      <c r="DH306" s="27" t="s">
        <v>7</v>
      </c>
      <c r="DI306" s="27" t="s">
        <v>8</v>
      </c>
      <c r="DJ306" s="27" t="s">
        <v>7</v>
      </c>
      <c r="DK306" s="27" t="s">
        <v>8</v>
      </c>
      <c r="DM306" s="31"/>
      <c r="DT306" s="27" t="s">
        <v>7</v>
      </c>
      <c r="DU306" s="27" t="s">
        <v>8</v>
      </c>
      <c r="DV306" s="27" t="s">
        <v>7</v>
      </c>
      <c r="DW306" s="27" t="s">
        <v>8</v>
      </c>
      <c r="EH306" s="27" t="s">
        <v>7</v>
      </c>
      <c r="EI306" s="27" t="s">
        <v>8</v>
      </c>
      <c r="EK306" s="27" t="s">
        <v>8</v>
      </c>
      <c r="EM306" s="27" t="s">
        <v>8</v>
      </c>
      <c r="EO306" s="27" t="s">
        <v>8</v>
      </c>
    </row>
    <row r="307" spans="1:147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H307" s="27" t="s">
        <v>7</v>
      </c>
      <c r="AE307" s="27" t="s">
        <v>8</v>
      </c>
      <c r="AF307" s="27" t="s">
        <v>7</v>
      </c>
      <c r="AG307" s="27" t="s">
        <v>8</v>
      </c>
      <c r="AJ307" s="27" t="s">
        <v>7</v>
      </c>
      <c r="AS307" s="27" t="s">
        <v>8</v>
      </c>
      <c r="BC307" s="27" t="s">
        <v>8</v>
      </c>
      <c r="BD307" s="27" t="s">
        <v>7</v>
      </c>
      <c r="BE307" s="27" t="s">
        <v>8</v>
      </c>
      <c r="BF307" s="27" t="s">
        <v>7</v>
      </c>
      <c r="BG307" s="27" t="s">
        <v>8</v>
      </c>
      <c r="BP307" s="27" t="s">
        <v>7</v>
      </c>
      <c r="BQ307" s="31" t="s">
        <v>8</v>
      </c>
      <c r="CT307" s="27" t="s">
        <v>7</v>
      </c>
      <c r="CU307" s="27" t="s">
        <v>8</v>
      </c>
      <c r="DD307" s="27" t="s">
        <v>7</v>
      </c>
      <c r="DE307" s="27" t="s">
        <v>8</v>
      </c>
      <c r="DH307" s="27" t="s">
        <v>7</v>
      </c>
      <c r="DJ307" s="27" t="s">
        <v>7</v>
      </c>
      <c r="DK307" s="27" t="s">
        <v>8</v>
      </c>
      <c r="DL307" s="31"/>
      <c r="DT307" s="27" t="s">
        <v>7</v>
      </c>
      <c r="DV307" s="27" t="s">
        <v>7</v>
      </c>
      <c r="DW307" s="27" t="s">
        <v>8</v>
      </c>
      <c r="EH307" s="27" t="s">
        <v>7</v>
      </c>
      <c r="EI307" s="27" t="s">
        <v>8</v>
      </c>
      <c r="EJ307" s="27" t="s">
        <v>7</v>
      </c>
      <c r="EK307" s="27" t="s">
        <v>8</v>
      </c>
      <c r="EL307" s="27" t="s">
        <v>7</v>
      </c>
      <c r="EM307" s="27" t="s">
        <v>8</v>
      </c>
      <c r="EN307" s="27" t="s">
        <v>7</v>
      </c>
      <c r="EO307" s="27" t="s">
        <v>8</v>
      </c>
      <c r="EP307" s="27" t="s">
        <v>7</v>
      </c>
    </row>
    <row r="308" spans="1:147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AA308" s="27" t="s">
        <v>8</v>
      </c>
      <c r="AE308" s="27" t="s">
        <v>8</v>
      </c>
      <c r="AF308" s="27" t="s">
        <v>7</v>
      </c>
      <c r="AG308" s="27" t="s">
        <v>8</v>
      </c>
      <c r="AJ308" s="27" t="s">
        <v>7</v>
      </c>
      <c r="AS308" s="27" t="s">
        <v>8</v>
      </c>
      <c r="AT308" s="27" t="s">
        <v>7</v>
      </c>
      <c r="BC308" s="27" t="s">
        <v>8</v>
      </c>
      <c r="BD308" s="27" t="s">
        <v>7</v>
      </c>
      <c r="BE308" s="27" t="s">
        <v>8</v>
      </c>
      <c r="BF308" s="27" t="s">
        <v>7</v>
      </c>
      <c r="BP308" s="31" t="s">
        <v>7</v>
      </c>
      <c r="CT308" s="27" t="s">
        <v>7</v>
      </c>
      <c r="DD308" s="27" t="s">
        <v>7</v>
      </c>
      <c r="DJ308" s="33" t="s">
        <v>7</v>
      </c>
      <c r="DK308" s="31" t="s">
        <v>8</v>
      </c>
      <c r="DV308" s="27" t="s">
        <v>7</v>
      </c>
      <c r="EH308" s="27" t="s">
        <v>7</v>
      </c>
      <c r="EI308" s="27" t="s">
        <v>8</v>
      </c>
      <c r="EJ308" s="27" t="s">
        <v>7</v>
      </c>
      <c r="EK308" s="27" t="s">
        <v>8</v>
      </c>
      <c r="EL308" s="27" t="s">
        <v>7</v>
      </c>
      <c r="EM308" s="27" t="s">
        <v>8</v>
      </c>
      <c r="EN308" s="27" t="s">
        <v>7</v>
      </c>
      <c r="EO308" s="27" t="s">
        <v>8</v>
      </c>
      <c r="EP308" s="27" t="s">
        <v>7</v>
      </c>
    </row>
    <row r="309" spans="1:147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AA309" s="27" t="s">
        <v>8</v>
      </c>
      <c r="AB309" s="27" t="s">
        <v>7</v>
      </c>
      <c r="AC309" s="27" t="s">
        <v>8</v>
      </c>
      <c r="AE309" s="27" t="s">
        <v>8</v>
      </c>
      <c r="AF309" s="27" t="s">
        <v>7</v>
      </c>
      <c r="AJ309" s="27" t="s">
        <v>7</v>
      </c>
      <c r="AS309" s="27" t="s">
        <v>8</v>
      </c>
      <c r="AT309" s="27" t="s">
        <v>7</v>
      </c>
      <c r="BC309" s="27" t="s">
        <v>8</v>
      </c>
      <c r="BD309" s="27" t="s">
        <v>7</v>
      </c>
      <c r="BE309" s="27" t="s">
        <v>8</v>
      </c>
      <c r="DJ309" s="31" t="s">
        <v>7</v>
      </c>
      <c r="EH309" s="27" t="s">
        <v>7</v>
      </c>
      <c r="EI309" s="27" t="s">
        <v>8</v>
      </c>
      <c r="EJ309" s="27" t="s">
        <v>7</v>
      </c>
      <c r="EK309" s="27" t="s">
        <v>8</v>
      </c>
      <c r="EL309" s="27" t="s">
        <v>7</v>
      </c>
      <c r="EN309" s="27" t="s">
        <v>7</v>
      </c>
      <c r="EO309" s="27" t="s">
        <v>8</v>
      </c>
      <c r="EP309" s="27" t="s">
        <v>7</v>
      </c>
    </row>
    <row r="310" spans="1:147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H310" s="27" t="s">
        <v>7</v>
      </c>
      <c r="AA310" s="27" t="s">
        <v>8</v>
      </c>
      <c r="AB310" s="27" t="s">
        <v>7</v>
      </c>
      <c r="AC310" s="27" t="s">
        <v>8</v>
      </c>
      <c r="AD310" s="27" t="s">
        <v>7</v>
      </c>
      <c r="AE310" s="27" t="s">
        <v>8</v>
      </c>
      <c r="AJ310" s="27" t="s">
        <v>7</v>
      </c>
      <c r="AS310" s="27" t="s">
        <v>8</v>
      </c>
      <c r="AT310" s="27" t="s">
        <v>7</v>
      </c>
      <c r="AW310" s="27" t="s">
        <v>8</v>
      </c>
      <c r="BC310" s="27" t="s">
        <v>8</v>
      </c>
      <c r="BD310" s="27" t="s">
        <v>7</v>
      </c>
      <c r="EH310" s="27" t="s">
        <v>7</v>
      </c>
      <c r="EI310" s="27" t="s">
        <v>8</v>
      </c>
      <c r="EJ310" s="27" t="s">
        <v>7</v>
      </c>
      <c r="EK310" s="27" t="s">
        <v>8</v>
      </c>
      <c r="EN310" s="27" t="s">
        <v>7</v>
      </c>
      <c r="EP310" s="27" t="s">
        <v>7</v>
      </c>
    </row>
    <row r="311" spans="1:147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AA311" s="27" t="s">
        <v>8</v>
      </c>
      <c r="AB311" s="27" t="s">
        <v>7</v>
      </c>
      <c r="AC311" s="27" t="s">
        <v>8</v>
      </c>
      <c r="AD311" s="27" t="s">
        <v>7</v>
      </c>
      <c r="AE311" s="27" t="s">
        <v>8</v>
      </c>
      <c r="AJ311" s="27" t="s">
        <v>7</v>
      </c>
      <c r="AS311" s="27" t="s">
        <v>8</v>
      </c>
      <c r="AT311" s="27" t="s">
        <v>7</v>
      </c>
      <c r="AW311" s="27" t="s">
        <v>8</v>
      </c>
      <c r="AX311" s="27" t="s">
        <v>7</v>
      </c>
      <c r="AY311" s="27" t="s">
        <v>8</v>
      </c>
      <c r="BC311" s="27" t="s">
        <v>8</v>
      </c>
      <c r="EH311" s="27" t="s">
        <v>7</v>
      </c>
      <c r="EJ311" s="27" t="s">
        <v>7</v>
      </c>
      <c r="EP311" s="27" t="s">
        <v>7</v>
      </c>
    </row>
    <row r="312" spans="1:147" x14ac:dyDescent="0.25">
      <c r="A312" s="30">
        <v>2.9810582823780438E-2</v>
      </c>
      <c r="B312"/>
      <c r="C312"/>
      <c r="D312"/>
      <c r="E312"/>
      <c r="F312" s="27" t="s">
        <v>7</v>
      </c>
      <c r="H312" s="27" t="s">
        <v>7</v>
      </c>
      <c r="AA312" s="27" t="s">
        <v>8</v>
      </c>
      <c r="AB312" s="27" t="s">
        <v>7</v>
      </c>
      <c r="AC312" s="27" t="s">
        <v>8</v>
      </c>
      <c r="AD312" s="27" t="s">
        <v>7</v>
      </c>
      <c r="AE312" s="27" t="s">
        <v>8</v>
      </c>
      <c r="AJ312" s="27" t="s">
        <v>7</v>
      </c>
      <c r="AS312" s="27" t="s">
        <v>8</v>
      </c>
      <c r="AT312" s="27" t="s">
        <v>7</v>
      </c>
      <c r="AW312" s="27" t="s">
        <v>8</v>
      </c>
      <c r="AX312" s="27" t="s">
        <v>7</v>
      </c>
      <c r="AY312" s="27" t="s">
        <v>8</v>
      </c>
      <c r="AZ312" s="27" t="s">
        <v>7</v>
      </c>
      <c r="BC312" s="27" t="s">
        <v>8</v>
      </c>
      <c r="EP312" s="27" t="s">
        <v>7</v>
      </c>
    </row>
    <row r="313" spans="1:147" x14ac:dyDescent="0.25">
      <c r="A313" s="30">
        <v>2.8391031260743264E-2</v>
      </c>
      <c r="B313"/>
      <c r="C313"/>
      <c r="D313"/>
      <c r="E313"/>
      <c r="H313" s="27" t="s">
        <v>7</v>
      </c>
      <c r="AA313" s="27" t="s">
        <v>8</v>
      </c>
      <c r="AB313" s="27" t="s">
        <v>7</v>
      </c>
      <c r="AD313" s="27" t="s">
        <v>7</v>
      </c>
      <c r="AE313" s="27" t="s">
        <v>8</v>
      </c>
      <c r="AJ313" s="27" t="s">
        <v>7</v>
      </c>
      <c r="AS313" s="27" t="s">
        <v>8</v>
      </c>
      <c r="AT313" s="27" t="s">
        <v>7</v>
      </c>
      <c r="AU313" s="27" t="s">
        <v>8</v>
      </c>
      <c r="AW313" s="27" t="s">
        <v>8</v>
      </c>
      <c r="AX313" s="27" t="s">
        <v>7</v>
      </c>
      <c r="AY313" s="27" t="s">
        <v>8</v>
      </c>
      <c r="AZ313" s="27" t="s">
        <v>7</v>
      </c>
      <c r="BA313" s="27" t="s">
        <v>8</v>
      </c>
      <c r="BC313" s="27" t="s">
        <v>8</v>
      </c>
      <c r="EP313" s="27" t="s">
        <v>7</v>
      </c>
    </row>
    <row r="314" spans="1:147" x14ac:dyDescent="0.25">
      <c r="A314" s="30">
        <v>2.7039077391184052E-2</v>
      </c>
      <c r="B314"/>
      <c r="C314"/>
      <c r="D314"/>
      <c r="E314"/>
      <c r="H314" s="27" t="s">
        <v>7</v>
      </c>
      <c r="I314" s="27" t="s">
        <v>8</v>
      </c>
      <c r="W314" s="27" t="s">
        <v>8</v>
      </c>
      <c r="AA314" s="27" t="s">
        <v>8</v>
      </c>
      <c r="AD314" s="27" t="s">
        <v>7</v>
      </c>
      <c r="AE314" s="27" t="s">
        <v>8</v>
      </c>
      <c r="AJ314" s="27" t="s">
        <v>7</v>
      </c>
      <c r="AK314" s="27" t="s">
        <v>8</v>
      </c>
      <c r="AS314" s="27" t="s">
        <v>8</v>
      </c>
      <c r="AT314" s="27" t="s">
        <v>7</v>
      </c>
      <c r="AU314" s="27" t="s">
        <v>8</v>
      </c>
      <c r="AV314" s="27" t="s">
        <v>7</v>
      </c>
      <c r="AW314" s="27" t="s">
        <v>8</v>
      </c>
      <c r="AX314" s="27" t="s">
        <v>7</v>
      </c>
      <c r="AZ314" s="27" t="s">
        <v>7</v>
      </c>
      <c r="BA314" s="27" t="s">
        <v>8</v>
      </c>
      <c r="BB314" s="27" t="s">
        <v>7</v>
      </c>
      <c r="BC314" s="27" t="s">
        <v>8</v>
      </c>
      <c r="EP314" s="27" t="s">
        <v>7</v>
      </c>
    </row>
    <row r="315" spans="1:147" x14ac:dyDescent="0.25">
      <c r="A315" s="30">
        <v>2.5751502277318133E-2</v>
      </c>
      <c r="B315"/>
      <c r="C315"/>
      <c r="D315"/>
      <c r="E315"/>
      <c r="H315" s="27" t="s">
        <v>7</v>
      </c>
      <c r="I315" s="27" t="s">
        <v>8</v>
      </c>
      <c r="J315" s="27" t="s">
        <v>7</v>
      </c>
      <c r="W315" s="27" t="s">
        <v>8</v>
      </c>
      <c r="X315" s="27" t="s">
        <v>7</v>
      </c>
      <c r="Y315" s="27" t="s">
        <v>8</v>
      </c>
      <c r="AA315" s="27" t="s">
        <v>8</v>
      </c>
      <c r="AD315" s="27" t="s">
        <v>7</v>
      </c>
      <c r="AJ315" s="27" t="s">
        <v>7</v>
      </c>
      <c r="AK315" s="27" t="s">
        <v>8</v>
      </c>
      <c r="AL315" s="27" t="s">
        <v>7</v>
      </c>
      <c r="AM315" s="27" t="s">
        <v>8</v>
      </c>
      <c r="AS315" s="27" t="s">
        <v>8</v>
      </c>
      <c r="AT315" s="27" t="s">
        <v>7</v>
      </c>
      <c r="AU315" s="27" t="s">
        <v>8</v>
      </c>
      <c r="AV315" s="27" t="s">
        <v>7</v>
      </c>
      <c r="AW315" s="27" t="s">
        <v>8</v>
      </c>
      <c r="AZ315" s="27" t="s">
        <v>7</v>
      </c>
      <c r="BA315" s="27" t="s">
        <v>8</v>
      </c>
      <c r="BB315" s="27" t="s">
        <v>7</v>
      </c>
      <c r="BC315" s="27" t="s">
        <v>8</v>
      </c>
      <c r="EP315" s="27" t="s">
        <v>7</v>
      </c>
    </row>
    <row r="316" spans="1:147" x14ac:dyDescent="0.25">
      <c r="A316" s="30">
        <v>2.4525240264112496E-2</v>
      </c>
      <c r="B316"/>
      <c r="C316"/>
      <c r="D316"/>
      <c r="E316"/>
      <c r="H316" s="27" t="s">
        <v>7</v>
      </c>
      <c r="I316" s="27" t="s">
        <v>8</v>
      </c>
      <c r="J316" s="27" t="s">
        <v>7</v>
      </c>
      <c r="S316" s="27" t="s">
        <v>8</v>
      </c>
      <c r="U316" s="27" t="s">
        <v>8</v>
      </c>
      <c r="W316" s="27" t="s">
        <v>8</v>
      </c>
      <c r="X316" s="27" t="s">
        <v>7</v>
      </c>
      <c r="Y316" s="27" t="s">
        <v>8</v>
      </c>
      <c r="Z316" s="27" t="s">
        <v>7</v>
      </c>
      <c r="AA316" s="27" t="s">
        <v>8</v>
      </c>
      <c r="AJ316" s="27" t="s">
        <v>7</v>
      </c>
      <c r="AK316" s="27" t="s">
        <v>8</v>
      </c>
      <c r="AL316" s="27" t="s">
        <v>7</v>
      </c>
      <c r="AM316" s="27" t="s">
        <v>8</v>
      </c>
      <c r="AN316" s="27" t="s">
        <v>7</v>
      </c>
      <c r="AO316" s="27" t="s">
        <v>8</v>
      </c>
      <c r="AQ316" s="27" t="s">
        <v>8</v>
      </c>
      <c r="AS316" s="27" t="s">
        <v>8</v>
      </c>
      <c r="AT316" s="27" t="s">
        <v>7</v>
      </c>
      <c r="AU316" s="27" t="s">
        <v>8</v>
      </c>
      <c r="AV316" s="27" t="s">
        <v>7</v>
      </c>
      <c r="AW316" s="27" t="s">
        <v>8</v>
      </c>
      <c r="AZ316" s="27" t="s">
        <v>7</v>
      </c>
      <c r="BA316" s="27" t="s">
        <v>8</v>
      </c>
      <c r="BB316" s="27" t="s">
        <v>7</v>
      </c>
      <c r="BC316" s="27" t="s">
        <v>8</v>
      </c>
      <c r="EP316" s="27" t="s">
        <v>7</v>
      </c>
    </row>
    <row r="317" spans="1:147" x14ac:dyDescent="0.25">
      <c r="A317" s="30">
        <v>2.3357371680107129E-2</v>
      </c>
      <c r="B317"/>
      <c r="C317"/>
      <c r="D317"/>
      <c r="E317"/>
      <c r="H317" s="27" t="s">
        <v>7</v>
      </c>
      <c r="J317" s="27" t="s">
        <v>7</v>
      </c>
      <c r="S317" s="27" t="s">
        <v>8</v>
      </c>
      <c r="T317" s="27" t="s">
        <v>7</v>
      </c>
      <c r="U317" s="27" t="s">
        <v>8</v>
      </c>
      <c r="V317" s="27" t="s">
        <v>7</v>
      </c>
      <c r="W317" s="27" t="s">
        <v>8</v>
      </c>
      <c r="X317" s="27" t="s">
        <v>7</v>
      </c>
      <c r="Y317" s="27" t="s">
        <v>8</v>
      </c>
      <c r="Z317" s="27" t="s">
        <v>7</v>
      </c>
      <c r="AA317" s="27" t="s">
        <v>8</v>
      </c>
      <c r="AJ317" s="27" t="s">
        <v>7</v>
      </c>
      <c r="AK317" s="27" t="s">
        <v>8</v>
      </c>
      <c r="AL317" s="27" t="s">
        <v>7</v>
      </c>
      <c r="AM317" s="27" t="s">
        <v>8</v>
      </c>
      <c r="AN317" s="27" t="s">
        <v>7</v>
      </c>
      <c r="AO317" s="27" t="s">
        <v>8</v>
      </c>
      <c r="AP317" s="27" t="s">
        <v>7</v>
      </c>
      <c r="AQ317" s="27" t="s">
        <v>8</v>
      </c>
      <c r="AR317" s="27" t="s">
        <v>7</v>
      </c>
      <c r="AS317" s="27" t="s">
        <v>8</v>
      </c>
      <c r="AT317" s="27" t="s">
        <v>7</v>
      </c>
      <c r="AU317" s="27" t="s">
        <v>8</v>
      </c>
      <c r="AV317" s="27" t="s">
        <v>7</v>
      </c>
      <c r="AW317" s="27" t="s">
        <v>8</v>
      </c>
      <c r="AZ317" s="27" t="s">
        <v>7</v>
      </c>
      <c r="BB317" s="27" t="s">
        <v>7</v>
      </c>
      <c r="BC317" s="27" t="s">
        <v>8</v>
      </c>
      <c r="EP317" s="27" t="s">
        <v>7</v>
      </c>
      <c r="EQ317" s="27" t="s">
        <v>8</v>
      </c>
    </row>
    <row r="318" spans="1:147" x14ac:dyDescent="0.25">
      <c r="A318" s="30">
        <v>2.2245115885816305E-2</v>
      </c>
      <c r="B318"/>
      <c r="C318"/>
      <c r="D318"/>
      <c r="E318"/>
      <c r="J318" s="27" t="s">
        <v>7</v>
      </c>
      <c r="S318" s="27" t="s">
        <v>8</v>
      </c>
      <c r="T318" s="27" t="s">
        <v>7</v>
      </c>
      <c r="U318" s="27" t="s">
        <v>8</v>
      </c>
      <c r="V318" s="27" t="s">
        <v>7</v>
      </c>
      <c r="W318" s="27" t="s">
        <v>8</v>
      </c>
      <c r="X318" s="27" t="s">
        <v>7</v>
      </c>
      <c r="Z318" s="27" t="s">
        <v>7</v>
      </c>
      <c r="AJ318" s="27" t="s">
        <v>7</v>
      </c>
      <c r="AK318" s="27" t="s">
        <v>8</v>
      </c>
      <c r="AL318" s="27" t="s">
        <v>7</v>
      </c>
      <c r="AM318" s="27" t="s">
        <v>8</v>
      </c>
      <c r="AN318" s="27" t="s">
        <v>7</v>
      </c>
      <c r="AO318" s="27" t="s">
        <v>8</v>
      </c>
      <c r="AP318" s="27" t="s">
        <v>7</v>
      </c>
      <c r="AQ318" s="27" t="s">
        <v>8</v>
      </c>
      <c r="AR318" s="27" t="s">
        <v>7</v>
      </c>
      <c r="AS318" s="27" t="s">
        <v>8</v>
      </c>
      <c r="AT318" s="27" t="s">
        <v>7</v>
      </c>
      <c r="AU318" s="27" t="s">
        <v>8</v>
      </c>
      <c r="AV318" s="27" t="s">
        <v>7</v>
      </c>
      <c r="BB318" s="27" t="s">
        <v>7</v>
      </c>
      <c r="EP318" s="27" t="s">
        <v>7</v>
      </c>
      <c r="EQ318" s="27" t="s">
        <v>8</v>
      </c>
    </row>
    <row r="319" spans="1:147" x14ac:dyDescent="0.25">
      <c r="A319" s="30">
        <v>2.1185824653158377E-2</v>
      </c>
      <c r="B319"/>
      <c r="C319"/>
      <c r="D319"/>
      <c r="E319"/>
      <c r="J319" s="27" t="s">
        <v>7</v>
      </c>
      <c r="Q319" s="27" t="s">
        <v>8</v>
      </c>
      <c r="S319" s="27" t="s">
        <v>8</v>
      </c>
      <c r="T319" s="27" t="s">
        <v>7</v>
      </c>
      <c r="V319" s="27" t="s">
        <v>7</v>
      </c>
      <c r="AJ319" s="27" t="s">
        <v>7</v>
      </c>
      <c r="AK319" s="27" t="s">
        <v>8</v>
      </c>
      <c r="AL319" s="27" t="s">
        <v>7</v>
      </c>
      <c r="AN319" s="27" t="s">
        <v>7</v>
      </c>
      <c r="AP319" s="27" t="s">
        <v>7</v>
      </c>
      <c r="AQ319" s="27" t="s">
        <v>8</v>
      </c>
      <c r="AR319" s="27" t="s">
        <v>7</v>
      </c>
      <c r="AT319" s="27" t="s">
        <v>7</v>
      </c>
      <c r="AU319" s="27" t="s">
        <v>8</v>
      </c>
      <c r="EP319" s="27" t="s">
        <v>7</v>
      </c>
      <c r="EQ319" s="27" t="s">
        <v>8</v>
      </c>
    </row>
    <row r="320" spans="1:147" x14ac:dyDescent="0.25">
      <c r="A320" s="30">
        <v>2.0176975860150829E-2</v>
      </c>
      <c r="B320"/>
      <c r="C320"/>
      <c r="D320"/>
      <c r="E320"/>
      <c r="J320" s="27" t="s">
        <v>7</v>
      </c>
      <c r="Q320" s="27" t="s">
        <v>8</v>
      </c>
      <c r="R320" s="27" t="s">
        <v>7</v>
      </c>
      <c r="S320" s="27" t="s">
        <v>8</v>
      </c>
      <c r="AJ320" s="27" t="s">
        <v>7</v>
      </c>
      <c r="AK320" s="27" t="s">
        <v>8</v>
      </c>
      <c r="AP320" s="27" t="s">
        <v>7</v>
      </c>
      <c r="AT320" s="27" t="s">
        <v>7</v>
      </c>
      <c r="EP320" s="27" t="s">
        <v>7</v>
      </c>
    </row>
    <row r="321" spans="1:37" x14ac:dyDescent="0.25">
      <c r="A321" s="30">
        <v>1.9216167485857926E-2</v>
      </c>
      <c r="B321"/>
      <c r="C321"/>
      <c r="D321"/>
      <c r="E321"/>
      <c r="J321" s="27" t="s">
        <v>7</v>
      </c>
      <c r="O321" s="27" t="s">
        <v>8</v>
      </c>
      <c r="Q321" s="27" t="s">
        <v>8</v>
      </c>
      <c r="R321" s="27" t="s">
        <v>7</v>
      </c>
      <c r="S321" s="27" t="s">
        <v>8</v>
      </c>
      <c r="AJ321" s="27" t="s">
        <v>7</v>
      </c>
      <c r="AK321" s="27" t="s">
        <v>8</v>
      </c>
    </row>
    <row r="322" spans="1:37" x14ac:dyDescent="0.25">
      <c r="A322" s="30">
        <v>1.8301111891293256E-2</v>
      </c>
      <c r="B322"/>
      <c r="C322"/>
      <c r="D322"/>
      <c r="E322"/>
      <c r="J322" s="27" t="s">
        <v>7</v>
      </c>
      <c r="K322" s="27" t="s">
        <v>8</v>
      </c>
      <c r="M322" s="27" t="s">
        <v>8</v>
      </c>
      <c r="O322" s="27" t="s">
        <v>8</v>
      </c>
      <c r="P322" s="27" t="s">
        <v>7</v>
      </c>
      <c r="Q322" s="27" t="s">
        <v>8</v>
      </c>
      <c r="R322" s="27" t="s">
        <v>7</v>
      </c>
      <c r="S322" s="27" t="s">
        <v>8</v>
      </c>
      <c r="AJ322" s="27" t="s">
        <v>7</v>
      </c>
      <c r="AK322" s="27" t="s">
        <v>8</v>
      </c>
    </row>
    <row r="323" spans="1:37" x14ac:dyDescent="0.25">
      <c r="A323" s="30">
        <v>1.7429630372660238E-2</v>
      </c>
      <c r="B323"/>
      <c r="C323"/>
      <c r="D323"/>
      <c r="E323"/>
      <c r="J323" s="27" t="s">
        <v>7</v>
      </c>
      <c r="K323" s="27" t="s">
        <v>8</v>
      </c>
      <c r="L323" s="27" t="s">
        <v>7</v>
      </c>
      <c r="M323" s="27" t="s">
        <v>8</v>
      </c>
      <c r="N323" s="27" t="s">
        <v>7</v>
      </c>
      <c r="O323" s="27" t="s">
        <v>8</v>
      </c>
      <c r="P323" s="27" t="s">
        <v>7</v>
      </c>
      <c r="Q323" s="27" t="s">
        <v>8</v>
      </c>
      <c r="R323" s="27" t="s">
        <v>7</v>
      </c>
      <c r="AJ323" s="27" t="s">
        <v>7</v>
      </c>
      <c r="AK323" s="27" t="s">
        <v>8</v>
      </c>
    </row>
    <row r="324" spans="1:37" x14ac:dyDescent="0.25">
      <c r="A324" s="30">
        <v>1.6599647973962125E-2</v>
      </c>
      <c r="B324"/>
      <c r="C324"/>
      <c r="D324"/>
      <c r="E324"/>
      <c r="J324" s="27" t="s">
        <v>7</v>
      </c>
      <c r="K324" s="27" t="s">
        <v>8</v>
      </c>
      <c r="L324" s="27" t="s">
        <v>7</v>
      </c>
      <c r="M324" s="27" t="s">
        <v>8</v>
      </c>
      <c r="N324" s="27" t="s">
        <v>7</v>
      </c>
      <c r="O324" s="27" t="s">
        <v>8</v>
      </c>
      <c r="P324" s="27" t="s">
        <v>7</v>
      </c>
      <c r="AJ324" s="27" t="s">
        <v>7</v>
      </c>
      <c r="AK324" s="27" t="s">
        <v>8</v>
      </c>
    </row>
    <row r="325" spans="1:37" x14ac:dyDescent="0.25">
      <c r="A325" s="30">
        <v>1.580918854663059E-2</v>
      </c>
      <c r="B325"/>
      <c r="C325"/>
      <c r="D325"/>
      <c r="E325"/>
      <c r="J325" s="27" t="s">
        <v>7</v>
      </c>
      <c r="K325" s="27" t="s">
        <v>8</v>
      </c>
      <c r="L325" s="27" t="s">
        <v>7</v>
      </c>
      <c r="M325" s="27" t="s">
        <v>8</v>
      </c>
      <c r="N325" s="27" t="s">
        <v>7</v>
      </c>
      <c r="O325" s="27" t="s">
        <v>8</v>
      </c>
      <c r="AJ325" s="27" t="s">
        <v>7</v>
      </c>
      <c r="AK325" s="27" t="s">
        <v>8</v>
      </c>
    </row>
    <row r="326" spans="1:37" x14ac:dyDescent="0.25">
      <c r="A326" s="30">
        <v>1.5056370044410079E-2</v>
      </c>
      <c r="B326"/>
      <c r="C326"/>
      <c r="D326"/>
      <c r="E326"/>
      <c r="J326" s="27" t="s">
        <v>7</v>
      </c>
      <c r="K326" s="27" t="s">
        <v>8</v>
      </c>
      <c r="L326" s="27" t="s">
        <v>7</v>
      </c>
      <c r="M326" s="27" t="s">
        <v>8</v>
      </c>
      <c r="N326" s="27" t="s">
        <v>7</v>
      </c>
      <c r="O326" s="27" t="s">
        <v>8</v>
      </c>
      <c r="AJ326" s="27" t="s">
        <v>7</v>
      </c>
      <c r="AK326" s="27" t="s">
        <v>8</v>
      </c>
    </row>
    <row r="327" spans="1:37" x14ac:dyDescent="0.25">
      <c r="A327" s="30">
        <v>1.4339400042295308E-2</v>
      </c>
      <c r="B327"/>
      <c r="C327"/>
      <c r="D327"/>
      <c r="E327"/>
      <c r="J327" s="27" t="s">
        <v>7</v>
      </c>
      <c r="K327" s="27" t="s">
        <v>8</v>
      </c>
      <c r="L327" s="27" t="s">
        <v>7</v>
      </c>
      <c r="M327" s="27" t="s">
        <v>8</v>
      </c>
      <c r="N327" s="27" t="s">
        <v>7</v>
      </c>
      <c r="O327" s="27" t="s">
        <v>8</v>
      </c>
      <c r="AJ327" s="27" t="s">
        <v>7</v>
      </c>
    </row>
    <row r="328" spans="1:37" x14ac:dyDescent="0.25">
      <c r="A328" s="30">
        <v>1.365657146885267E-2</v>
      </c>
      <c r="B328"/>
      <c r="C328"/>
      <c r="D328"/>
      <c r="E328"/>
      <c r="J328" s="27" t="s">
        <v>7</v>
      </c>
      <c r="K328" s="27" t="s">
        <v>8</v>
      </c>
      <c r="L328" s="27" t="s">
        <v>7</v>
      </c>
      <c r="M328" s="27" t="s">
        <v>8</v>
      </c>
      <c r="N328" s="27" t="s">
        <v>7</v>
      </c>
      <c r="O328" s="27" t="s">
        <v>8</v>
      </c>
    </row>
    <row r="329" spans="1:37" x14ac:dyDescent="0.25">
      <c r="A329" s="30">
        <v>1.3006258541764442E-2</v>
      </c>
      <c r="B329"/>
      <c r="C329"/>
      <c r="D329"/>
      <c r="E329"/>
      <c r="J329" s="27" t="s">
        <v>7</v>
      </c>
      <c r="K329" s="27" t="s">
        <v>8</v>
      </c>
      <c r="L329" s="27" t="s">
        <v>7</v>
      </c>
      <c r="M329" s="27" t="s">
        <v>8</v>
      </c>
      <c r="N329" s="27" t="s">
        <v>7</v>
      </c>
      <c r="O329" s="27" t="s">
        <v>8</v>
      </c>
    </row>
    <row r="330" spans="1:37" x14ac:dyDescent="0.25">
      <c r="A330" s="30">
        <v>1.2386912896918512E-2</v>
      </c>
      <c r="B330"/>
      <c r="C330"/>
      <c r="D330"/>
      <c r="E330"/>
      <c r="J330" s="27" t="s">
        <v>7</v>
      </c>
      <c r="K330" s="27" t="s">
        <v>8</v>
      </c>
      <c r="L330" s="27" t="s">
        <v>7</v>
      </c>
      <c r="M330" s="27" t="s">
        <v>8</v>
      </c>
      <c r="N330" s="27" t="s">
        <v>7</v>
      </c>
    </row>
    <row r="331" spans="1:37" x14ac:dyDescent="0.25">
      <c r="A331" s="30">
        <v>1.179705990182715E-2</v>
      </c>
      <c r="B331"/>
      <c r="C331"/>
      <c r="D331"/>
      <c r="E331"/>
      <c r="J331" s="27" t="s">
        <v>7</v>
      </c>
      <c r="K331" s="27" t="s">
        <v>8</v>
      </c>
      <c r="L331" s="27" t="s">
        <v>7</v>
      </c>
      <c r="M331" s="27" t="s">
        <v>8</v>
      </c>
    </row>
    <row r="332" spans="1:37" x14ac:dyDescent="0.25">
      <c r="A332" s="30">
        <v>1.1235295144597281E-2</v>
      </c>
      <c r="B332"/>
      <c r="C332"/>
      <c r="D332"/>
      <c r="E332"/>
      <c r="J332" s="27" t="s">
        <v>7</v>
      </c>
      <c r="K332" s="27" t="s">
        <v>8</v>
      </c>
      <c r="L332" s="27" t="s">
        <v>7</v>
      </c>
      <c r="M332" s="27" t="s">
        <v>8</v>
      </c>
    </row>
    <row r="333" spans="1:37" x14ac:dyDescent="0.25">
      <c r="A333" s="30">
        <v>1.0700281090092644E-2</v>
      </c>
      <c r="B333"/>
      <c r="C333"/>
      <c r="D333"/>
      <c r="E333"/>
      <c r="J333" s="27" t="s">
        <v>7</v>
      </c>
      <c r="K333" s="27" t="s">
        <v>8</v>
      </c>
      <c r="L333" s="27" t="s">
        <v>7</v>
      </c>
      <c r="M333" s="27" t="s">
        <v>8</v>
      </c>
    </row>
    <row r="334" spans="1:37" x14ac:dyDescent="0.25">
      <c r="A334" s="30">
        <v>1.0190743895326324E-2</v>
      </c>
      <c r="B334"/>
      <c r="C334"/>
      <c r="D334"/>
      <c r="E334"/>
      <c r="J334" s="27" t="s">
        <v>7</v>
      </c>
      <c r="K334" s="27" t="s">
        <v>8</v>
      </c>
      <c r="L334" s="27" t="s">
        <v>7</v>
      </c>
    </row>
    <row r="335" spans="1:37" x14ac:dyDescent="0.25">
      <c r="A335" s="30">
        <v>9.7054703765012563E-3</v>
      </c>
      <c r="B335"/>
      <c r="C335"/>
      <c r="D335"/>
      <c r="E335"/>
      <c r="J335" s="27" t="s">
        <v>7</v>
      </c>
      <c r="K335" s="27" t="s">
        <v>8</v>
      </c>
    </row>
    <row r="336" spans="1:37" x14ac:dyDescent="0.25">
      <c r="A336" s="30">
        <v>9.2433051204773835E-3</v>
      </c>
      <c r="B336"/>
      <c r="C336"/>
      <c r="D336"/>
      <c r="E336"/>
      <c r="J336" s="27" t="s">
        <v>7</v>
      </c>
      <c r="K336" s="27" t="s">
        <v>8</v>
      </c>
    </row>
    <row r="337" spans="1:10" x14ac:dyDescent="0.25">
      <c r="A337" s="30">
        <v>8.8031477337879808E-3</v>
      </c>
      <c r="B337"/>
      <c r="C337"/>
      <c r="D337"/>
      <c r="E337"/>
      <c r="J337" s="27" t="s">
        <v>7</v>
      </c>
    </row>
    <row r="338" spans="1:10" x14ac:dyDescent="0.25">
      <c r="A338" s="30">
        <v>8.3839502226552166E-3</v>
      </c>
      <c r="B338"/>
      <c r="C338"/>
      <c r="D338"/>
      <c r="E338"/>
    </row>
    <row r="339" spans="1:10" x14ac:dyDescent="0.25">
      <c r="A339" s="30">
        <v>7.9847144977668698E-3</v>
      </c>
      <c r="B339"/>
      <c r="C339"/>
      <c r="D339"/>
      <c r="E339"/>
    </row>
    <row r="340" spans="1:10" x14ac:dyDescent="0.25">
      <c r="A340" s="30">
        <v>7.6044899978732058E-3</v>
      </c>
      <c r="B340"/>
      <c r="C340"/>
      <c r="D340"/>
      <c r="E340"/>
    </row>
    <row r="341" spans="1:10" x14ac:dyDescent="0.25">
      <c r="A341" s="30">
        <v>7.2423714265459072E-3</v>
      </c>
      <c r="B341"/>
      <c r="C341"/>
      <c r="D341"/>
      <c r="E341"/>
    </row>
    <row r="342" spans="1:10" x14ac:dyDescent="0.25">
      <c r="A342" s="30">
        <v>6.8974965967103846E-3</v>
      </c>
      <c r="B342"/>
      <c r="C342"/>
      <c r="D342"/>
      <c r="E342"/>
    </row>
    <row r="343" spans="1:10" x14ac:dyDescent="0.25">
      <c r="A343" s="30">
        <v>6.5690443778194116E-3</v>
      </c>
      <c r="B343"/>
      <c r="C343"/>
      <c r="D343"/>
      <c r="E343"/>
    </row>
    <row r="344" spans="1:10" x14ac:dyDescent="0.25">
      <c r="A344" s="30">
        <v>6.2562327407803897E-3</v>
      </c>
      <c r="B344"/>
      <c r="C344"/>
      <c r="D344"/>
      <c r="E344"/>
    </row>
    <row r="345" spans="1:10" x14ac:dyDescent="0.25">
      <c r="A345" s="30">
        <v>5.9583168959813212E-3</v>
      </c>
      <c r="B345"/>
      <c r="C345"/>
      <c r="D345"/>
      <c r="E345"/>
    </row>
    <row r="346" spans="1:10" x14ac:dyDescent="0.25">
      <c r="A346" s="30">
        <v>5.6745875199822084E-3</v>
      </c>
      <c r="B346"/>
      <c r="C346"/>
      <c r="D346"/>
      <c r="E346"/>
    </row>
    <row r="347" spans="1:10" x14ac:dyDescent="0.25">
      <c r="A347" s="30">
        <v>5.4043690666497205E-3</v>
      </c>
      <c r="B347"/>
      <c r="C347"/>
      <c r="D347"/>
      <c r="E347"/>
    </row>
    <row r="348" spans="1:10" x14ac:dyDescent="0.25">
      <c r="A348" s="30">
        <v>5.1470181587140174E-3</v>
      </c>
      <c r="B348"/>
      <c r="C348"/>
      <c r="D348"/>
      <c r="E348"/>
    </row>
    <row r="349" spans="1:10" x14ac:dyDescent="0.25">
      <c r="A349" s="30">
        <v>4.9019220559181099E-3</v>
      </c>
      <c r="B349"/>
      <c r="C349"/>
      <c r="D349"/>
      <c r="E349"/>
    </row>
    <row r="350" spans="1:10" x14ac:dyDescent="0.25">
      <c r="A350" s="30">
        <v>4.6684971961124836E-3</v>
      </c>
      <c r="B350"/>
      <c r="C350"/>
      <c r="D350"/>
      <c r="E350"/>
    </row>
    <row r="351" spans="1:10" x14ac:dyDescent="0.25">
      <c r="A351" s="30">
        <v>4.4461878058214112E-3</v>
      </c>
      <c r="B351"/>
      <c r="C351"/>
      <c r="D351"/>
      <c r="E351"/>
    </row>
    <row r="352" spans="1:10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42" operator="equal">
      <formula>$U$1</formula>
    </cfRule>
    <cfRule type="cellIs" dxfId="67" priority="1143" operator="equal">
      <formula>$S$1</formula>
    </cfRule>
  </conditionalFormatting>
  <conditionalFormatting sqref="D136">
    <cfRule type="cellIs" dxfId="66" priority="1140" operator="equal">
      <formula>$S$1</formula>
    </cfRule>
    <cfRule type="cellIs" dxfId="65" priority="1141" operator="equal">
      <formula>$U$1</formula>
    </cfRule>
  </conditionalFormatting>
  <conditionalFormatting sqref="C162">
    <cfRule type="cellIs" dxfId="64" priority="1138" operator="equal">
      <formula>$U$1</formula>
    </cfRule>
    <cfRule type="cellIs" dxfId="63" priority="1139" operator="equal">
      <formula>$S$1</formula>
    </cfRule>
  </conditionalFormatting>
  <conditionalFormatting sqref="D162">
    <cfRule type="cellIs" dxfId="62" priority="1136" operator="equal">
      <formula>$S$1</formula>
    </cfRule>
    <cfRule type="cellIs" dxfId="61" priority="1137" operator="equal">
      <formula>$U$1</formula>
    </cfRule>
  </conditionalFormatting>
  <conditionalFormatting sqref="C187">
    <cfRule type="cellIs" dxfId="60" priority="1134" operator="equal">
      <formula>$U$1</formula>
    </cfRule>
    <cfRule type="cellIs" dxfId="59" priority="1135" operator="equal">
      <formula>$S$1</formula>
    </cfRule>
  </conditionalFormatting>
  <conditionalFormatting sqref="D187">
    <cfRule type="cellIs" dxfId="58" priority="1132" operator="equal">
      <formula>$S$1</formula>
    </cfRule>
    <cfRule type="cellIs" dxfId="57" priority="1133" operator="equal">
      <formula>$U$1</formula>
    </cfRule>
  </conditionalFormatting>
  <conditionalFormatting sqref="C212">
    <cfRule type="cellIs" dxfId="56" priority="1130" operator="equal">
      <formula>$U$1</formula>
    </cfRule>
    <cfRule type="cellIs" dxfId="55" priority="1131" operator="equal">
      <formula>$S$1</formula>
    </cfRule>
  </conditionalFormatting>
  <conditionalFormatting sqref="D212">
    <cfRule type="cellIs" dxfId="54" priority="1128" operator="equal">
      <formula>$S$1</formula>
    </cfRule>
    <cfRule type="cellIs" dxfId="53" priority="1129" operator="equal">
      <formula>$U$1</formula>
    </cfRule>
  </conditionalFormatting>
  <conditionalFormatting sqref="C237">
    <cfRule type="cellIs" dxfId="52" priority="1126" operator="equal">
      <formula>$U$1</formula>
    </cfRule>
    <cfRule type="cellIs" dxfId="51" priority="1127" operator="equal">
      <formula>$S$1</formula>
    </cfRule>
  </conditionalFormatting>
  <conditionalFormatting sqref="D237">
    <cfRule type="cellIs" dxfId="50" priority="1124" operator="equal">
      <formula>$S$1</formula>
    </cfRule>
    <cfRule type="cellIs" dxfId="49" priority="1125" operator="equal">
      <formula>$U$1</formula>
    </cfRule>
  </conditionalFormatting>
  <conditionalFormatting sqref="C106">
    <cfRule type="cellIs" dxfId="48" priority="1122" operator="equal">
      <formula>$U$1</formula>
    </cfRule>
    <cfRule type="cellIs" dxfId="47" priority="1123" operator="equal">
      <formula>$S$1</formula>
    </cfRule>
  </conditionalFormatting>
  <conditionalFormatting sqref="D106">
    <cfRule type="cellIs" dxfId="46" priority="1120" operator="equal">
      <formula>$S$1</formula>
    </cfRule>
    <cfRule type="cellIs" dxfId="45" priority="1121" operator="equal">
      <formula>$U$1</formula>
    </cfRule>
  </conditionalFormatting>
  <conditionalFormatting sqref="C81">
    <cfRule type="cellIs" dxfId="44" priority="1118" operator="equal">
      <formula>$U$1</formula>
    </cfRule>
    <cfRule type="cellIs" dxfId="43" priority="1119" operator="equal">
      <formula>$S$1</formula>
    </cfRule>
  </conditionalFormatting>
  <conditionalFormatting sqref="D81">
    <cfRule type="cellIs" dxfId="42" priority="1116" operator="equal">
      <formula>$S$1</formula>
    </cfRule>
    <cfRule type="cellIs" dxfId="41" priority="1117" operator="equal">
      <formula>$U$1</formula>
    </cfRule>
  </conditionalFormatting>
  <conditionalFormatting sqref="C56">
    <cfRule type="cellIs" dxfId="40" priority="1114" operator="equal">
      <formula>$U$1</formula>
    </cfRule>
    <cfRule type="cellIs" dxfId="39" priority="1115" operator="equal">
      <formula>$S$1</formula>
    </cfRule>
  </conditionalFormatting>
  <conditionalFormatting sqref="D56">
    <cfRule type="cellIs" dxfId="38" priority="1112" operator="equal">
      <formula>$S$1</formula>
    </cfRule>
    <cfRule type="cellIs" dxfId="37" priority="1113" operator="equal">
      <formula>$U$1</formula>
    </cfRule>
  </conditionalFormatting>
  <conditionalFormatting sqref="C31">
    <cfRule type="cellIs" dxfId="36" priority="1110" operator="equal">
      <formula>$U$1</formula>
    </cfRule>
    <cfRule type="cellIs" dxfId="35" priority="1111" operator="equal">
      <formula>$S$1</formula>
    </cfRule>
  </conditionalFormatting>
  <conditionalFormatting sqref="D31">
    <cfRule type="cellIs" dxfId="34" priority="1108" operator="equal">
      <formula>$S$1</formula>
    </cfRule>
    <cfRule type="cellIs" dxfId="33" priority="110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0" zoomScale="90" zoomScaleNormal="90" workbookViewId="0">
      <pane xSplit="4" topLeftCell="G1" activePane="topRight" state="frozen"/>
      <selection activeCell="A109" sqref="A109"/>
      <selection pane="topRight" activeCell="AV162" sqref="AV16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$A$161</v>
      </c>
      <c r="D111" s="1" t="str">
        <f>ADDRESS(C121-1,D121,1,1)</f>
        <v>$AV$161</v>
      </c>
      <c r="E111"/>
    </row>
    <row r="112" spans="1:5" x14ac:dyDescent="0.25">
      <c r="A112" s="30">
        <v>2.3579476910000019</v>
      </c>
      <c r="C112" s="1" t="str">
        <f>ADDRESS(C121,1,1,1)</f>
        <v>$A$162</v>
      </c>
      <c r="D112" s="1" t="str">
        <f>ADDRESS(C121,D121-1,1,1)</f>
        <v>$AU$162</v>
      </c>
      <c r="E112"/>
    </row>
    <row r="113" spans="1:6" x14ac:dyDescent="0.25">
      <c r="A113" s="30">
        <v>2.1435888100000016</v>
      </c>
      <c r="C113" s="1" t="str">
        <f>ADDRESS(C121+1,1,1,1)</f>
        <v>$A$163</v>
      </c>
      <c r="D113" s="1" t="str">
        <f>ADDRESS(C121-1,D121+1,1,1)</f>
        <v>$AW$161</v>
      </c>
    </row>
    <row r="114" spans="1:6" x14ac:dyDescent="0.25">
      <c r="A114" s="30">
        <v>1.9487171000000014</v>
      </c>
      <c r="C114" s="1" t="str">
        <f>ADDRESS(C121,D121,1,1)</f>
        <v>$AV$162</v>
      </c>
      <c r="D114" s="1" t="str">
        <f>ADDRESS(C121+1,D121+1,1,1)</f>
        <v>$AW$163</v>
      </c>
    </row>
    <row r="115" spans="1:6" x14ac:dyDescent="0.25">
      <c r="A115" s="30">
        <v>1.7715610000000011</v>
      </c>
      <c r="C115" s="1" t="str">
        <f>ADDRESS(C121+1,D121,1,1)</f>
        <v>$AV$163</v>
      </c>
    </row>
    <row r="116" spans="1:6" x14ac:dyDescent="0.25">
      <c r="A116" s="30">
        <v>1.6105100000000008</v>
      </c>
      <c r="C116" s="1">
        <f>C117-1</f>
        <v>161</v>
      </c>
    </row>
    <row r="117" spans="1:6" x14ac:dyDescent="0.25">
      <c r="A117" s="30">
        <v>1.4641000000000006</v>
      </c>
      <c r="C117" s="1">
        <f>C121</f>
        <v>162</v>
      </c>
      <c r="D117" s="1">
        <f>D121</f>
        <v>48</v>
      </c>
    </row>
    <row r="118" spans="1:6" x14ac:dyDescent="0.25">
      <c r="A118" s="30">
        <v>1.3310000000000004</v>
      </c>
      <c r="C118" s="1">
        <f>C117+1</f>
        <v>163</v>
      </c>
      <c r="D118" s="1">
        <f>D117+1</f>
        <v>49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162</v>
      </c>
      <c r="D121" s="19">
        <v>48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R162</v>
      </c>
      <c r="D123" s="1" t="str">
        <f>"C"&amp;D121</f>
        <v>C48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2.0086298320163499E-2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3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38" x14ac:dyDescent="0.25">
      <c r="A130" s="30">
        <v>0.42409761837248428</v>
      </c>
      <c r="C130" s="6"/>
      <c r="D130" s="6"/>
      <c r="E130"/>
      <c r="F130" s="27" t="s">
        <v>7</v>
      </c>
    </row>
    <row r="131" spans="1:38" x14ac:dyDescent="0.25">
      <c r="A131" s="30">
        <v>0.38554328942953109</v>
      </c>
      <c r="E131"/>
      <c r="F131" s="27" t="s">
        <v>7</v>
      </c>
    </row>
    <row r="132" spans="1:38" x14ac:dyDescent="0.25">
      <c r="A132" s="30">
        <v>0.35049389948139187</v>
      </c>
      <c r="C132" s="1" t="s">
        <v>13</v>
      </c>
      <c r="E132"/>
      <c r="F132" s="27" t="s">
        <v>7</v>
      </c>
    </row>
    <row r="133" spans="1:38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38" x14ac:dyDescent="0.25">
      <c r="A134" s="30">
        <v>0.28966437973668741</v>
      </c>
      <c r="C134"/>
      <c r="D134"/>
      <c r="E134"/>
      <c r="F134" s="27" t="s">
        <v>7</v>
      </c>
    </row>
    <row r="135" spans="1:38" x14ac:dyDescent="0.25">
      <c r="A135" s="30">
        <v>0.2633312543060794</v>
      </c>
      <c r="C135" s="1" t="s">
        <v>14</v>
      </c>
      <c r="E135"/>
      <c r="F135" s="27" t="s">
        <v>7</v>
      </c>
    </row>
    <row r="136" spans="1:3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38" x14ac:dyDescent="0.25">
      <c r="A137" s="30">
        <v>0.2176291357901482</v>
      </c>
      <c r="E137"/>
      <c r="F137" s="27" t="s">
        <v>7</v>
      </c>
    </row>
    <row r="138" spans="1:3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38" x14ac:dyDescent="0.25">
      <c r="A139" s="30">
        <v>0.17985878990921333</v>
      </c>
      <c r="E139"/>
      <c r="F139" s="27" t="s">
        <v>7</v>
      </c>
    </row>
    <row r="140" spans="1:38" x14ac:dyDescent="0.25">
      <c r="A140" s="30">
        <v>0.16350799082655756</v>
      </c>
      <c r="C140" s="1">
        <v>0</v>
      </c>
      <c r="E140"/>
      <c r="F140" s="27" t="s">
        <v>7</v>
      </c>
      <c r="AG140" s="27" t="s">
        <v>8</v>
      </c>
    </row>
    <row r="141" spans="1:38" x14ac:dyDescent="0.25">
      <c r="A141" s="30">
        <v>0.14864362802414322</v>
      </c>
      <c r="C141" s="1">
        <v>1</v>
      </c>
      <c r="E141"/>
      <c r="F141" s="27" t="s">
        <v>7</v>
      </c>
      <c r="AE141" s="27" t="s">
        <v>8</v>
      </c>
      <c r="AG141" s="27" t="s">
        <v>8</v>
      </c>
      <c r="AH141" s="27" t="s">
        <v>7</v>
      </c>
      <c r="AI141" s="31" t="s">
        <v>8</v>
      </c>
    </row>
    <row r="142" spans="1:38" x14ac:dyDescent="0.25">
      <c r="A142" s="30">
        <v>0.13513057093103928</v>
      </c>
      <c r="C142" s="1">
        <v>2</v>
      </c>
      <c r="E142"/>
      <c r="F142" s="27" t="s">
        <v>7</v>
      </c>
      <c r="AE142" s="27" t="s">
        <v>8</v>
      </c>
      <c r="AF142" s="27" t="s">
        <v>7</v>
      </c>
      <c r="AG142" s="27" t="s">
        <v>8</v>
      </c>
      <c r="AH142" s="27" t="s">
        <v>7</v>
      </c>
      <c r="AI142" s="27" t="s">
        <v>8</v>
      </c>
      <c r="AJ142" s="31" t="s">
        <v>7</v>
      </c>
    </row>
    <row r="143" spans="1:38" x14ac:dyDescent="0.25">
      <c r="A143" s="30">
        <v>0.12284597357367205</v>
      </c>
      <c r="C143" s="1">
        <v>3</v>
      </c>
      <c r="E143"/>
      <c r="F143" s="27" t="s">
        <v>7</v>
      </c>
      <c r="AE143" s="27" t="s">
        <v>8</v>
      </c>
      <c r="AF143" s="27" t="s">
        <v>7</v>
      </c>
      <c r="AG143" s="27" t="s">
        <v>8</v>
      </c>
      <c r="AH143" s="27" t="s">
        <v>7</v>
      </c>
      <c r="AI143" s="27" t="s">
        <v>8</v>
      </c>
      <c r="AJ143" s="27" t="s">
        <v>7</v>
      </c>
      <c r="AK143" s="31"/>
    </row>
    <row r="144" spans="1:38" x14ac:dyDescent="0.25">
      <c r="A144" s="30">
        <v>0.11167815779424731</v>
      </c>
      <c r="C144" s="1">
        <v>4</v>
      </c>
      <c r="E144"/>
      <c r="F144" s="27" t="s">
        <v>7</v>
      </c>
      <c r="AE144" s="27" t="s">
        <v>8</v>
      </c>
      <c r="AF144" s="27" t="s">
        <v>7</v>
      </c>
      <c r="AH144" s="27" t="s">
        <v>7</v>
      </c>
      <c r="AI144" s="27" t="s">
        <v>8</v>
      </c>
      <c r="AJ144" s="27" t="s">
        <v>7</v>
      </c>
      <c r="AL144" s="31"/>
    </row>
    <row r="145" spans="1:48" x14ac:dyDescent="0.25">
      <c r="A145" s="30">
        <v>0.10152559799477026</v>
      </c>
      <c r="B145"/>
      <c r="C145"/>
      <c r="D145"/>
      <c r="E145"/>
      <c r="F145" s="27" t="s">
        <v>7</v>
      </c>
      <c r="AE145" s="27" t="s">
        <v>8</v>
      </c>
      <c r="AH145" s="33" t="s">
        <v>7</v>
      </c>
      <c r="AI145" s="27" t="s">
        <v>8</v>
      </c>
      <c r="AJ145" s="27" t="s">
        <v>7</v>
      </c>
      <c r="AM145" s="31"/>
    </row>
    <row r="146" spans="1:48" x14ac:dyDescent="0.25">
      <c r="A146" s="30">
        <v>9.2295998177063854E-2</v>
      </c>
      <c r="B146"/>
      <c r="C146"/>
      <c r="D146"/>
      <c r="E146"/>
      <c r="F146" s="27" t="s">
        <v>7</v>
      </c>
      <c r="AC146" s="27" t="s">
        <v>8</v>
      </c>
      <c r="AE146" s="27" t="s">
        <v>8</v>
      </c>
      <c r="AH146" s="27" t="s">
        <v>7</v>
      </c>
      <c r="AI146" s="27" t="s">
        <v>8</v>
      </c>
      <c r="AJ146" s="27" t="s">
        <v>7</v>
      </c>
      <c r="AN146" s="31"/>
    </row>
    <row r="147" spans="1:48" x14ac:dyDescent="0.25">
      <c r="A147" s="30">
        <v>8.3905452888239848E-2</v>
      </c>
      <c r="B147"/>
      <c r="C147"/>
      <c r="D147"/>
      <c r="E147"/>
      <c r="F147" s="27" t="s">
        <v>7</v>
      </c>
      <c r="AC147" s="27" t="s">
        <v>8</v>
      </c>
      <c r="AD147" s="27" t="s">
        <v>7</v>
      </c>
      <c r="AE147" s="27" t="s">
        <v>8</v>
      </c>
      <c r="AH147" s="27" t="s">
        <v>7</v>
      </c>
      <c r="AJ147" s="27" t="s">
        <v>7</v>
      </c>
      <c r="AO147" s="31"/>
    </row>
    <row r="148" spans="1:48" x14ac:dyDescent="0.25">
      <c r="A148" s="30">
        <v>7.6277684443854396E-2</v>
      </c>
      <c r="B148"/>
      <c r="C148"/>
      <c r="D148"/>
      <c r="E148"/>
      <c r="F148" s="27" t="s">
        <v>7</v>
      </c>
      <c r="AA148" s="27" t="s">
        <v>8</v>
      </c>
      <c r="AC148" s="27" t="s">
        <v>8</v>
      </c>
      <c r="AD148" s="27" t="s">
        <v>7</v>
      </c>
      <c r="AE148" s="27" t="s">
        <v>8</v>
      </c>
      <c r="AJ148" s="27" t="s">
        <v>7</v>
      </c>
      <c r="AP148" s="31"/>
    </row>
    <row r="149" spans="1:48" x14ac:dyDescent="0.25">
      <c r="A149" s="30">
        <v>6.9343349494413078E-2</v>
      </c>
      <c r="B149"/>
      <c r="C149"/>
      <c r="D149"/>
      <c r="E149"/>
      <c r="F149" s="27" t="s">
        <v>7</v>
      </c>
      <c r="Y149" s="27" t="s">
        <v>8</v>
      </c>
      <c r="AA149" s="27" t="s">
        <v>8</v>
      </c>
      <c r="AB149" s="27" t="s">
        <v>7</v>
      </c>
      <c r="AC149" s="27" t="s">
        <v>8</v>
      </c>
      <c r="AD149" s="27" t="s">
        <v>7</v>
      </c>
      <c r="AJ149" s="31" t="s">
        <v>7</v>
      </c>
      <c r="AQ149" s="31"/>
    </row>
    <row r="150" spans="1:48" x14ac:dyDescent="0.25">
      <c r="A150" s="30">
        <v>6.3039408631284613E-2</v>
      </c>
      <c r="B150"/>
      <c r="C150"/>
      <c r="D150"/>
      <c r="E150"/>
      <c r="F150" s="27" t="s">
        <v>7</v>
      </c>
      <c r="Y150" s="27" t="s">
        <v>8</v>
      </c>
      <c r="Z150" s="27" t="s">
        <v>7</v>
      </c>
      <c r="AA150" s="27" t="s">
        <v>8</v>
      </c>
      <c r="AB150" s="27" t="s">
        <v>7</v>
      </c>
      <c r="AC150" s="27" t="s">
        <v>8</v>
      </c>
      <c r="AI150" s="31"/>
      <c r="AJ150" s="27" t="s">
        <v>7</v>
      </c>
      <c r="AK150" s="34" t="s">
        <v>8</v>
      </c>
      <c r="AM150" s="34" t="s">
        <v>8</v>
      </c>
      <c r="AQ150" s="27" t="s">
        <v>8</v>
      </c>
      <c r="AR150" s="31"/>
    </row>
    <row r="151" spans="1:48" x14ac:dyDescent="0.25">
      <c r="A151" s="30">
        <v>5.7308553301167818E-2</v>
      </c>
      <c r="B151"/>
      <c r="C151"/>
      <c r="D151"/>
      <c r="E151"/>
      <c r="F151" s="27" t="s">
        <v>7</v>
      </c>
      <c r="O151" s="27" t="s">
        <v>8</v>
      </c>
      <c r="Q151" s="27" t="s">
        <v>8</v>
      </c>
      <c r="Y151" s="27" t="s">
        <v>8</v>
      </c>
      <c r="Z151" s="27" t="s">
        <v>7</v>
      </c>
      <c r="AA151" s="27" t="s">
        <v>8</v>
      </c>
      <c r="AB151" s="27" t="s">
        <v>7</v>
      </c>
      <c r="AC151" s="27" t="s">
        <v>8</v>
      </c>
      <c r="AH151" s="31"/>
      <c r="AJ151" s="27" t="s">
        <v>7</v>
      </c>
      <c r="AK151" s="27" t="s">
        <v>8</v>
      </c>
      <c r="AL151" s="27" t="s">
        <v>7</v>
      </c>
      <c r="AM151" s="27" t="s">
        <v>8</v>
      </c>
      <c r="AN151" s="27" t="s">
        <v>7</v>
      </c>
      <c r="AQ151" s="27" t="s">
        <v>8</v>
      </c>
      <c r="AR151" s="27" t="s">
        <v>7</v>
      </c>
      <c r="AS151" s="27" t="s">
        <v>8</v>
      </c>
      <c r="AU151" s="27" t="s">
        <v>8</v>
      </c>
    </row>
    <row r="152" spans="1:48" x14ac:dyDescent="0.25">
      <c r="A152" s="30">
        <v>5.2098684819243464E-2</v>
      </c>
      <c r="B152"/>
      <c r="C152"/>
      <c r="D152"/>
      <c r="E152"/>
      <c r="F152" s="27" t="s">
        <v>7</v>
      </c>
      <c r="O152" s="27" t="s">
        <v>8</v>
      </c>
      <c r="P152" s="27" t="s">
        <v>7</v>
      </c>
      <c r="Q152" s="27" t="s">
        <v>8</v>
      </c>
      <c r="R152" s="27" t="s">
        <v>7</v>
      </c>
      <c r="Y152" s="27" t="s">
        <v>8</v>
      </c>
      <c r="Z152" s="27" t="s">
        <v>7</v>
      </c>
      <c r="AA152" s="27" t="s">
        <v>8</v>
      </c>
      <c r="AB152" s="27" t="s">
        <v>7</v>
      </c>
      <c r="AC152" s="27" t="s">
        <v>8</v>
      </c>
      <c r="AG152" s="31"/>
      <c r="AJ152" s="27" t="s">
        <v>7</v>
      </c>
      <c r="AK152" s="27" t="s">
        <v>8</v>
      </c>
      <c r="AL152" s="27" t="s">
        <v>7</v>
      </c>
      <c r="AM152" s="27" t="s">
        <v>8</v>
      </c>
      <c r="AN152" s="27" t="s">
        <v>7</v>
      </c>
      <c r="AQ152" s="27" t="s">
        <v>8</v>
      </c>
      <c r="AR152" s="27" t="s">
        <v>7</v>
      </c>
      <c r="AS152" s="27" t="s">
        <v>8</v>
      </c>
      <c r="AT152" s="27" t="s">
        <v>7</v>
      </c>
      <c r="AU152" s="27" t="s">
        <v>8</v>
      </c>
      <c r="AV152" s="27" t="s">
        <v>7</v>
      </c>
    </row>
    <row r="153" spans="1:48" x14ac:dyDescent="0.25">
      <c r="A153" s="30">
        <v>4.7362440744766775E-2</v>
      </c>
      <c r="B153"/>
      <c r="C153"/>
      <c r="D153"/>
      <c r="E153"/>
      <c r="F153" s="27" t="s">
        <v>7</v>
      </c>
      <c r="O153" s="27" t="s">
        <v>8</v>
      </c>
      <c r="P153" s="27" t="s">
        <v>7</v>
      </c>
      <c r="Q153" s="27" t="s">
        <v>8</v>
      </c>
      <c r="R153" s="27" t="s">
        <v>7</v>
      </c>
      <c r="Y153" s="27" t="s">
        <v>8</v>
      </c>
      <c r="Z153" s="27" t="s">
        <v>7</v>
      </c>
      <c r="AA153" s="27" t="s">
        <v>8</v>
      </c>
      <c r="AB153" s="27" t="s">
        <v>7</v>
      </c>
      <c r="AC153" s="27" t="s">
        <v>8</v>
      </c>
      <c r="AF153" s="31"/>
      <c r="AJ153" s="27" t="s">
        <v>7</v>
      </c>
      <c r="AK153" s="27" t="s">
        <v>8</v>
      </c>
      <c r="AL153" s="27" t="s">
        <v>7</v>
      </c>
      <c r="AM153" s="27" t="s">
        <v>8</v>
      </c>
      <c r="AN153" s="27" t="s">
        <v>7</v>
      </c>
      <c r="AO153" s="18" t="s">
        <v>8</v>
      </c>
      <c r="AQ153" s="27" t="s">
        <v>8</v>
      </c>
      <c r="AR153" s="27" t="s">
        <v>7</v>
      </c>
      <c r="AS153" s="27" t="s">
        <v>8</v>
      </c>
      <c r="AT153" s="27" t="s">
        <v>7</v>
      </c>
      <c r="AU153" s="27" t="s">
        <v>8</v>
      </c>
      <c r="AV153" s="27" t="s">
        <v>7</v>
      </c>
    </row>
    <row r="154" spans="1:48" x14ac:dyDescent="0.25">
      <c r="A154" s="30">
        <v>4.3056764313424332E-2</v>
      </c>
      <c r="B154"/>
      <c r="C154"/>
      <c r="D154"/>
      <c r="E154"/>
      <c r="F154" s="27" t="s">
        <v>7</v>
      </c>
      <c r="O154" s="27" t="s">
        <v>8</v>
      </c>
      <c r="P154" s="27" t="s">
        <v>7</v>
      </c>
      <c r="Q154" s="27" t="s">
        <v>8</v>
      </c>
      <c r="R154" s="27" t="s">
        <v>7</v>
      </c>
      <c r="Y154" s="27" t="s">
        <v>8</v>
      </c>
      <c r="Z154" s="27" t="s">
        <v>7</v>
      </c>
      <c r="AA154" s="27" t="s">
        <v>8</v>
      </c>
      <c r="AB154" s="27" t="s">
        <v>7</v>
      </c>
      <c r="AC154" s="27" t="s">
        <v>8</v>
      </c>
      <c r="AE154" s="31"/>
      <c r="AJ154" s="27" t="s">
        <v>7</v>
      </c>
      <c r="AL154" s="27" t="s">
        <v>7</v>
      </c>
      <c r="AM154" s="27" t="s">
        <v>8</v>
      </c>
      <c r="AN154" s="27" t="s">
        <v>7</v>
      </c>
      <c r="AO154" s="27" t="s">
        <v>8</v>
      </c>
      <c r="AP154" s="27" t="s">
        <v>7</v>
      </c>
      <c r="AQ154" s="27" t="s">
        <v>8</v>
      </c>
      <c r="AR154" s="27" t="s">
        <v>7</v>
      </c>
      <c r="AS154" s="27" t="s">
        <v>8</v>
      </c>
      <c r="AT154" s="27" t="s">
        <v>7</v>
      </c>
      <c r="AV154" s="27" t="s">
        <v>7</v>
      </c>
    </row>
    <row r="155" spans="1:48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O155" s="27" t="s">
        <v>8</v>
      </c>
      <c r="P155" s="27" t="s">
        <v>7</v>
      </c>
      <c r="Q155" s="27" t="s">
        <v>8</v>
      </c>
      <c r="R155" s="27" t="s">
        <v>7</v>
      </c>
      <c r="U155" s="27" t="s">
        <v>8</v>
      </c>
      <c r="Y155" s="27" t="s">
        <v>8</v>
      </c>
      <c r="Z155" s="27" t="s">
        <v>7</v>
      </c>
      <c r="AA155" s="27" t="s">
        <v>8</v>
      </c>
      <c r="AB155" s="27" t="s">
        <v>7</v>
      </c>
      <c r="AD155" s="31"/>
      <c r="AL155" s="27" t="s">
        <v>7</v>
      </c>
      <c r="AM155" s="27" t="s">
        <v>8</v>
      </c>
      <c r="AN155" s="27" t="s">
        <v>7</v>
      </c>
      <c r="AO155" s="27" t="s">
        <v>8</v>
      </c>
      <c r="AP155" s="27" t="s">
        <v>7</v>
      </c>
      <c r="AQ155" s="27" t="s">
        <v>8</v>
      </c>
      <c r="AR155" s="27" t="s">
        <v>7</v>
      </c>
      <c r="AV155" s="27" t="s">
        <v>7</v>
      </c>
    </row>
    <row r="156" spans="1:48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H156" s="27" t="s">
        <v>7</v>
      </c>
      <c r="M156" s="27" t="s">
        <v>8</v>
      </c>
      <c r="O156" s="27" t="s">
        <v>8</v>
      </c>
      <c r="P156" s="27" t="s">
        <v>7</v>
      </c>
      <c r="R156" s="27" t="s">
        <v>7</v>
      </c>
      <c r="U156" s="27" t="s">
        <v>8</v>
      </c>
      <c r="V156" s="27" t="s">
        <v>7</v>
      </c>
      <c r="Y156" s="27" t="s">
        <v>8</v>
      </c>
      <c r="Z156" s="27" t="s">
        <v>7</v>
      </c>
      <c r="AC156" s="31"/>
      <c r="AL156" s="27" t="s">
        <v>7</v>
      </c>
      <c r="AN156" s="27" t="s">
        <v>7</v>
      </c>
      <c r="AP156" s="27" t="s">
        <v>7</v>
      </c>
      <c r="AV156" s="27" t="s">
        <v>7</v>
      </c>
    </row>
    <row r="157" spans="1:48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M157" s="27" t="s">
        <v>8</v>
      </c>
      <c r="N157" s="27" t="s">
        <v>7</v>
      </c>
      <c r="O157" s="27" t="s">
        <v>8</v>
      </c>
      <c r="R157" s="27" t="s">
        <v>7</v>
      </c>
      <c r="U157" s="27" t="s">
        <v>8</v>
      </c>
      <c r="V157" s="27" t="s">
        <v>7</v>
      </c>
      <c r="W157" s="27" t="s">
        <v>8</v>
      </c>
      <c r="Y157" s="27" t="s">
        <v>8</v>
      </c>
      <c r="AB157" s="31"/>
      <c r="AV157" s="27" t="s">
        <v>7</v>
      </c>
    </row>
    <row r="158" spans="1:48" x14ac:dyDescent="0.25">
      <c r="A158" s="30">
        <v>2.9408349370551395E-2</v>
      </c>
      <c r="B158"/>
      <c r="C158"/>
      <c r="D158"/>
      <c r="E158"/>
      <c r="F158" s="27" t="s">
        <v>7</v>
      </c>
      <c r="H158" s="27" t="s">
        <v>7</v>
      </c>
      <c r="M158" s="27" t="s">
        <v>8</v>
      </c>
      <c r="N158" s="27" t="s">
        <v>7</v>
      </c>
      <c r="O158" s="27" t="s">
        <v>8</v>
      </c>
      <c r="R158" s="27" t="s">
        <v>7</v>
      </c>
      <c r="U158" s="27" t="s">
        <v>8</v>
      </c>
      <c r="V158" s="27" t="s">
        <v>7</v>
      </c>
      <c r="W158" s="27" t="s">
        <v>8</v>
      </c>
      <c r="X158" s="27" t="s">
        <v>7</v>
      </c>
      <c r="Y158" s="27" t="s">
        <v>8</v>
      </c>
      <c r="AA158" s="31"/>
      <c r="AV158" s="27" t="s">
        <v>7</v>
      </c>
    </row>
    <row r="159" spans="1:48" x14ac:dyDescent="0.25">
      <c r="A159" s="30">
        <v>2.6734863064137627E-2</v>
      </c>
      <c r="B159"/>
      <c r="C159"/>
      <c r="D159"/>
      <c r="E159"/>
      <c r="H159" s="27" t="s">
        <v>7</v>
      </c>
      <c r="M159" s="27" t="s">
        <v>8</v>
      </c>
      <c r="N159" s="27" t="s">
        <v>7</v>
      </c>
      <c r="R159" s="27" t="s">
        <v>7</v>
      </c>
      <c r="S159" s="27" t="s">
        <v>8</v>
      </c>
      <c r="U159" s="27" t="s">
        <v>8</v>
      </c>
      <c r="V159" s="27" t="s">
        <v>7</v>
      </c>
      <c r="W159" s="27" t="s">
        <v>8</v>
      </c>
      <c r="X159" s="27" t="s">
        <v>7</v>
      </c>
      <c r="Y159" s="27" t="s">
        <v>8</v>
      </c>
      <c r="Z159" s="31"/>
      <c r="AV159" s="27" t="s">
        <v>7</v>
      </c>
    </row>
    <row r="160" spans="1:48" x14ac:dyDescent="0.25">
      <c r="A160" s="30">
        <v>2.4304420967397839E-2</v>
      </c>
      <c r="B160"/>
      <c r="C160"/>
      <c r="D160"/>
      <c r="E160"/>
      <c r="H160" s="27" t="s">
        <v>7</v>
      </c>
      <c r="M160" s="27" t="s">
        <v>8</v>
      </c>
      <c r="R160" s="27" t="s">
        <v>7</v>
      </c>
      <c r="S160" s="27" t="s">
        <v>8</v>
      </c>
      <c r="T160" s="27" t="s">
        <v>7</v>
      </c>
      <c r="U160" s="27" t="s">
        <v>8</v>
      </c>
      <c r="V160" s="27" t="s">
        <v>7</v>
      </c>
      <c r="W160" s="27" t="s">
        <v>8</v>
      </c>
      <c r="X160" s="27" t="s">
        <v>7</v>
      </c>
      <c r="Y160" s="31" t="s">
        <v>8</v>
      </c>
      <c r="AV160" s="27" t="s">
        <v>7</v>
      </c>
    </row>
    <row r="161" spans="1:48" x14ac:dyDescent="0.25">
      <c r="A161" s="30">
        <v>2.2094928152179852E-2</v>
      </c>
      <c r="B161"/>
      <c r="C161"/>
      <c r="D161"/>
      <c r="E161"/>
      <c r="H161" s="27" t="s">
        <v>7</v>
      </c>
      <c r="M161" s="27" t="s">
        <v>8</v>
      </c>
      <c r="R161" s="27" t="s">
        <v>7</v>
      </c>
      <c r="S161" s="27" t="s">
        <v>8</v>
      </c>
      <c r="T161" s="27" t="s">
        <v>7</v>
      </c>
      <c r="U161" s="27" t="s">
        <v>8</v>
      </c>
      <c r="V161" s="27" t="s">
        <v>7</v>
      </c>
      <c r="W161" s="27" t="s">
        <v>8</v>
      </c>
      <c r="X161" s="31" t="s">
        <v>7</v>
      </c>
      <c r="AV161" s="27" t="s">
        <v>7</v>
      </c>
    </row>
    <row r="162" spans="1:48" x14ac:dyDescent="0.25">
      <c r="A162" s="30">
        <v>2.0086298320163499E-2</v>
      </c>
      <c r="B162"/>
      <c r="C162"/>
      <c r="D162"/>
      <c r="E162"/>
      <c r="H162" s="27" t="s">
        <v>7</v>
      </c>
      <c r="M162" s="27" t="s">
        <v>8</v>
      </c>
      <c r="R162" s="27" t="s">
        <v>7</v>
      </c>
      <c r="S162" s="27" t="s">
        <v>8</v>
      </c>
      <c r="T162" s="27" t="s">
        <v>7</v>
      </c>
      <c r="V162" s="27" t="s">
        <v>7</v>
      </c>
      <c r="AV162" s="27" t="s">
        <v>7</v>
      </c>
    </row>
    <row r="163" spans="1:48" x14ac:dyDescent="0.25">
      <c r="A163" s="30">
        <v>1.8260271200148632E-2</v>
      </c>
      <c r="B163"/>
      <c r="C163"/>
      <c r="D163"/>
      <c r="E163"/>
      <c r="H163" s="27" t="s">
        <v>7</v>
      </c>
      <c r="I163" s="27" t="s">
        <v>8</v>
      </c>
      <c r="K163" s="27" t="s">
        <v>8</v>
      </c>
      <c r="M163" s="27" t="s">
        <v>8</v>
      </c>
      <c r="R163" s="27" t="s">
        <v>7</v>
      </c>
      <c r="S163" s="27" t="s">
        <v>8</v>
      </c>
    </row>
    <row r="164" spans="1:48" x14ac:dyDescent="0.25">
      <c r="A164" s="30">
        <v>1.6600246545589663E-2</v>
      </c>
      <c r="B164"/>
      <c r="C164"/>
      <c r="D164"/>
      <c r="E164"/>
      <c r="H164" s="27" t="s">
        <v>7</v>
      </c>
      <c r="I164" s="27" t="s">
        <v>8</v>
      </c>
      <c r="J164" s="27" t="s">
        <v>7</v>
      </c>
      <c r="K164" s="27" t="s">
        <v>8</v>
      </c>
      <c r="L164" s="27" t="s">
        <v>7</v>
      </c>
      <c r="M164" s="27" t="s">
        <v>8</v>
      </c>
      <c r="R164" s="27" t="s">
        <v>7</v>
      </c>
      <c r="S164" s="27" t="s">
        <v>8</v>
      </c>
    </row>
    <row r="165" spans="1:48" x14ac:dyDescent="0.25">
      <c r="A165" s="30">
        <v>1.5091133223263328E-2</v>
      </c>
      <c r="B165"/>
      <c r="C165"/>
      <c r="D165"/>
      <c r="E165"/>
      <c r="H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  <c r="R165" s="27" t="s">
        <v>7</v>
      </c>
    </row>
    <row r="166" spans="1:48" x14ac:dyDescent="0.25">
      <c r="A166" s="30">
        <v>1.3719212021148477E-2</v>
      </c>
      <c r="B166"/>
      <c r="C166"/>
      <c r="D166"/>
      <c r="E166"/>
      <c r="H166" s="27" t="s">
        <v>7</v>
      </c>
      <c r="I166" s="27" t="s">
        <v>8</v>
      </c>
      <c r="J166" s="27" t="s">
        <v>7</v>
      </c>
      <c r="K166" s="27" t="s">
        <v>8</v>
      </c>
      <c r="L166" s="27" t="s">
        <v>7</v>
      </c>
      <c r="M166" s="27" t="s">
        <v>8</v>
      </c>
    </row>
    <row r="167" spans="1:48" x14ac:dyDescent="0.25">
      <c r="A167" s="30">
        <v>1.2472010928316795E-2</v>
      </c>
      <c r="B167"/>
      <c r="C167"/>
      <c r="D167"/>
      <c r="E167"/>
      <c r="H167" s="27" t="s">
        <v>7</v>
      </c>
      <c r="I167" s="27" t="s">
        <v>8</v>
      </c>
      <c r="J167" s="27" t="s">
        <v>7</v>
      </c>
      <c r="K167" s="27" t="s">
        <v>8</v>
      </c>
      <c r="L167" s="27" t="s">
        <v>7</v>
      </c>
    </row>
    <row r="168" spans="1:48" x14ac:dyDescent="0.25">
      <c r="A168" s="30">
        <v>1.1338191753015267E-2</v>
      </c>
      <c r="B168"/>
      <c r="C168"/>
      <c r="D168"/>
      <c r="E168"/>
      <c r="H168" s="27" t="s">
        <v>7</v>
      </c>
      <c r="I168" s="27" t="s">
        <v>8</v>
      </c>
      <c r="J168" s="27" t="s">
        <v>7</v>
      </c>
      <c r="K168" s="27" t="s">
        <v>8</v>
      </c>
    </row>
    <row r="169" spans="1:48" x14ac:dyDescent="0.25">
      <c r="A169" s="30">
        <v>1.0307447048195697E-2</v>
      </c>
      <c r="B169"/>
      <c r="C169"/>
      <c r="D169"/>
      <c r="E169"/>
      <c r="H169" s="27" t="s">
        <v>7</v>
      </c>
      <c r="I169" s="27" t="s">
        <v>8</v>
      </c>
      <c r="J169" s="27" t="s">
        <v>7</v>
      </c>
    </row>
    <row r="170" spans="1:48" x14ac:dyDescent="0.25">
      <c r="A170" s="30">
        <v>9.3704064074506318E-3</v>
      </c>
      <c r="B170"/>
      <c r="C170"/>
      <c r="D170"/>
      <c r="E170"/>
      <c r="H170" s="27" t="s">
        <v>7</v>
      </c>
    </row>
    <row r="171" spans="1:48" x14ac:dyDescent="0.25">
      <c r="A171" s="30">
        <v>8.5185512795005747E-3</v>
      </c>
    </row>
    <row r="172" spans="1:48" x14ac:dyDescent="0.25">
      <c r="A172" s="30">
        <v>7.744137526818704E-3</v>
      </c>
    </row>
    <row r="173" spans="1:48" x14ac:dyDescent="0.25">
      <c r="A173" s="30">
        <v>7.0401250243806394E-3</v>
      </c>
    </row>
    <row r="174" spans="1:48" x14ac:dyDescent="0.25">
      <c r="A174" s="30">
        <v>6.4001136585278536E-3</v>
      </c>
    </row>
    <row r="175" spans="1:48" x14ac:dyDescent="0.25">
      <c r="A175" s="30">
        <v>5.8182851441162305E-3</v>
      </c>
    </row>
    <row r="176" spans="1:48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26" operator="equal">
      <formula>$U$1</formula>
    </cfRule>
    <cfRule type="cellIs" dxfId="30" priority="1127" operator="equal">
      <formula>$S$1</formula>
    </cfRule>
  </conditionalFormatting>
  <conditionalFormatting sqref="D136">
    <cfRule type="cellIs" dxfId="29" priority="1124" operator="equal">
      <formula>$S$1</formula>
    </cfRule>
    <cfRule type="cellIs" dxfId="28" priority="1125" operator="equal">
      <formula>$U$1</formula>
    </cfRule>
  </conditionalFormatting>
  <conditionalFormatting sqref="C102">
    <cfRule type="cellIs" dxfId="27" priority="1122" operator="equal">
      <formula>$U$1</formula>
    </cfRule>
    <cfRule type="cellIs" dxfId="26" priority="1123" operator="equal">
      <formula>$S$1</formula>
    </cfRule>
  </conditionalFormatting>
  <conditionalFormatting sqref="D102">
    <cfRule type="cellIs" dxfId="25" priority="1120" operator="equal">
      <formula>$S$1</formula>
    </cfRule>
    <cfRule type="cellIs" dxfId="24" priority="1121" operator="equal">
      <formula>$U$1</formula>
    </cfRule>
  </conditionalFormatting>
  <conditionalFormatting sqref="C77">
    <cfRule type="cellIs" dxfId="23" priority="1118" operator="equal">
      <formula>$U$1</formula>
    </cfRule>
    <cfRule type="cellIs" dxfId="22" priority="1119" operator="equal">
      <formula>$S$1</formula>
    </cfRule>
  </conditionalFormatting>
  <conditionalFormatting sqref="D77">
    <cfRule type="cellIs" dxfId="21" priority="1116" operator="equal">
      <formula>$S$1</formula>
    </cfRule>
    <cfRule type="cellIs" dxfId="20" priority="1117" operator="equal">
      <formula>$U$1</formula>
    </cfRule>
  </conditionalFormatting>
  <conditionalFormatting sqref="C52">
    <cfRule type="cellIs" dxfId="19" priority="1114" operator="equal">
      <formula>$U$1</formula>
    </cfRule>
    <cfRule type="cellIs" dxfId="18" priority="1115" operator="equal">
      <formula>$S$1</formula>
    </cfRule>
  </conditionalFormatting>
  <conditionalFormatting sqref="D52">
    <cfRule type="cellIs" dxfId="17" priority="1112" operator="equal">
      <formula>$S$1</formula>
    </cfRule>
    <cfRule type="cellIs" dxfId="16" priority="1113" operator="equal">
      <formula>$U$1</formula>
    </cfRule>
  </conditionalFormatting>
  <conditionalFormatting sqref="C26">
    <cfRule type="cellIs" dxfId="15" priority="1110" operator="equal">
      <formula>$U$1</formula>
    </cfRule>
    <cfRule type="cellIs" dxfId="14" priority="1111" operator="equal">
      <formula>$S$1</formula>
    </cfRule>
  </conditionalFormatting>
  <conditionalFormatting sqref="D26">
    <cfRule type="cellIs" dxfId="13" priority="1108" operator="equal">
      <formula>$S$1</formula>
    </cfRule>
    <cfRule type="cellIs" dxfId="12" priority="110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3.4509475941378875E-2</v>
      </c>
      <c r="F3" s="30">
        <v>3.6234949738447833E-2</v>
      </c>
      <c r="G3" s="30">
        <v>6.197406067703403E-2</v>
      </c>
      <c r="H3" s="25">
        <f>IF(G3="","",(3*(G3-F3))+E3)</f>
        <v>0.11172680875713747</v>
      </c>
      <c r="I3" s="7"/>
      <c r="J3" s="7">
        <f>(E3+G3)/2</f>
        <v>4.8241768309206456E-2</v>
      </c>
      <c r="K3" s="7">
        <f>H3/2</f>
        <v>5.5863404378568737E-2</v>
      </c>
      <c r="M3" s="26">
        <f>IF(OR(J3="",H3=""),"",H3/J3)</f>
        <v>2.3159766458190867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2022-01-28T01:14:42Z</dcterms:modified>
</cp:coreProperties>
</file>