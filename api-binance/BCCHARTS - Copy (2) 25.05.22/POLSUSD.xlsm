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D6E208A-A383-4B8A-A095-A3CD4DFA524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D136" i="4" s="1"/>
  <c r="C116" i="4"/>
  <c r="C118" i="3"/>
  <c r="C122" i="3"/>
  <c r="C133" i="3" s="1"/>
  <c r="C136" i="3" s="1"/>
  <c r="R765" i="1"/>
  <c r="D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<sst xmlns="http://schemas.openxmlformats.org/spreadsheetml/2006/main" count="2899" uniqueCount="34">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</sst>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1.4970000000000001</c:v>
                </c:pt>
                <c:pt idx="1">
                  <c:v>1.534</c:v>
                </c:pt>
                <c:pt idx="2">
                  <c:v>1.56</c:v>
                </c:pt>
                <c:pt idx="3">
                  <c:v>1.587</c:v>
                </c:pt>
                <c:pt idx="4">
                  <c:v>1.6</c:v>
                </c:pt>
                <c:pt idx="5">
                  <c:v>1.5089999999999999</c:v>
                </c:pt>
                <c:pt idx="6">
                  <c:v>1.657</c:v>
                </c:pt>
                <c:pt idx="7">
                  <c:v>2.0760000000000001</c:v>
                </c:pt>
                <c:pt idx="8">
                  <c:v>2.1349999999999998</c:v>
                </c:pt>
                <c:pt idx="9">
                  <c:v>2.1840000000000002</c:v>
                </c:pt>
                <c:pt idx="10">
                  <c:v>2.181</c:v>
                </c:pt>
                <c:pt idx="11">
                  <c:v>2.2799999999999998</c:v>
                </c:pt>
                <c:pt idx="12">
                  <c:v>2.3439999999999999</c:v>
                </c:pt>
                <c:pt idx="13">
                  <c:v>2.331</c:v>
                </c:pt>
                <c:pt idx="14">
                  <c:v>2.282</c:v>
                </c:pt>
                <c:pt idx="15">
                  <c:v>2.4239999999999999</c:v>
                </c:pt>
                <c:pt idx="16">
                  <c:v>2.31</c:v>
                </c:pt>
                <c:pt idx="17">
                  <c:v>2.1589999999999998</c:v>
                </c:pt>
                <c:pt idx="18">
                  <c:v>2.323</c:v>
                </c:pt>
                <c:pt idx="19">
                  <c:v>2.1869999999999998</c:v>
                </c:pt>
                <c:pt idx="20">
                  <c:v>2.323</c:v>
                </c:pt>
                <c:pt idx="21">
                  <c:v>2.5710000000000002</c:v>
                </c:pt>
                <c:pt idx="22">
                  <c:v>2.6280000000000001</c:v>
                </c:pt>
                <c:pt idx="23">
                  <c:v>2.8650000000000002</c:v>
                </c:pt>
                <c:pt idx="24">
                  <c:v>2.9580000000000002</c:v>
                </c:pt>
                <c:pt idx="25">
                  <c:v>3.0059999999999998</c:v>
                </c:pt>
                <c:pt idx="26">
                  <c:v>2.8980000000000001</c:v>
                </c:pt>
                <c:pt idx="27">
                  <c:v>2.7440000000000002</c:v>
                </c:pt>
                <c:pt idx="28">
                  <c:v>2.7890000000000001</c:v>
                </c:pt>
                <c:pt idx="29">
                  <c:v>2.6709999999999998</c:v>
                </c:pt>
                <c:pt idx="30">
                  <c:v>2.802</c:v>
                </c:pt>
                <c:pt idx="31">
                  <c:v>2.9489999999999998</c:v>
                </c:pt>
                <c:pt idx="32">
                  <c:v>2.9319999999999999</c:v>
                </c:pt>
                <c:pt idx="33">
                  <c:v>2.93</c:v>
                </c:pt>
                <c:pt idx="34">
                  <c:v>2.8439999999999999</c:v>
                </c:pt>
                <c:pt idx="35">
                  <c:v>2.7719999999999998</c:v>
                </c:pt>
                <c:pt idx="36">
                  <c:v>2.6589999999999998</c:v>
                </c:pt>
                <c:pt idx="37">
                  <c:v>2.7549999999999999</c:v>
                </c:pt>
                <c:pt idx="38">
                  <c:v>2.59</c:v>
                </c:pt>
                <c:pt idx="39">
                  <c:v>2.746</c:v>
                </c:pt>
                <c:pt idx="40">
                  <c:v>2.82</c:v>
                </c:pt>
                <c:pt idx="41">
                  <c:v>2.847</c:v>
                </c:pt>
                <c:pt idx="42">
                  <c:v>3.06</c:v>
                </c:pt>
                <c:pt idx="43">
                  <c:v>3.2650000000000001</c:v>
                </c:pt>
                <c:pt idx="44">
                  <c:v>3.1659999999999999</c:v>
                </c:pt>
                <c:pt idx="45">
                  <c:v>3.1339999999999999</c:v>
                </c:pt>
                <c:pt idx="46">
                  <c:v>3.4380000000000002</c:v>
                </c:pt>
                <c:pt idx="47">
                  <c:v>3.3250000000000002</c:v>
                </c:pt>
                <c:pt idx="48">
                  <c:v>3.302</c:v>
                </c:pt>
                <c:pt idx="49">
                  <c:v>3.3679999999999999</c:v>
                </c:pt>
                <c:pt idx="50">
                  <c:v>3.738</c:v>
                </c:pt>
                <c:pt idx="51">
                  <c:v>3.88</c:v>
                </c:pt>
                <c:pt idx="52">
                  <c:v>3.8159999999999998</c:v>
                </c:pt>
                <c:pt idx="53">
                  <c:v>3.2650000000000001</c:v>
                </c:pt>
                <c:pt idx="54">
                  <c:v>3.4249999999999998</c:v>
                </c:pt>
                <c:pt idx="55">
                  <c:v>3.7389999999999999</c:v>
                </c:pt>
                <c:pt idx="56">
                  <c:v>3.9769999999999999</c:v>
                </c:pt>
                <c:pt idx="57">
                  <c:v>4.2370000000000001</c:v>
                </c:pt>
                <c:pt idx="58">
                  <c:v>3.8319999999999999</c:v>
                </c:pt>
                <c:pt idx="59">
                  <c:v>3.8290000000000002</c:v>
                </c:pt>
                <c:pt idx="60">
                  <c:v>3.778</c:v>
                </c:pt>
                <c:pt idx="61">
                  <c:v>3.6629999999999998</c:v>
                </c:pt>
                <c:pt idx="62">
                  <c:v>3.681</c:v>
                </c:pt>
                <c:pt idx="63">
                  <c:v>3.8159999999999998</c:v>
                </c:pt>
                <c:pt idx="64">
                  <c:v>3.4780000000000002</c:v>
                </c:pt>
                <c:pt idx="65">
                  <c:v>3.4009999999999998</c:v>
                </c:pt>
                <c:pt idx="66">
                  <c:v>3.1179999999999999</c:v>
                </c:pt>
                <c:pt idx="67">
                  <c:v>3.1190000000000002</c:v>
                </c:pt>
                <c:pt idx="68">
                  <c:v>3.1970000000000001</c:v>
                </c:pt>
                <c:pt idx="69">
                  <c:v>2.9670000000000001</c:v>
                </c:pt>
                <c:pt idx="70">
                  <c:v>2.6989999999999998</c:v>
                </c:pt>
                <c:pt idx="71">
                  <c:v>2.9289999999999998</c:v>
                </c:pt>
                <c:pt idx="72">
                  <c:v>2.8210000000000002</c:v>
                </c:pt>
                <c:pt idx="73">
                  <c:v>2.956</c:v>
                </c:pt>
                <c:pt idx="74">
                  <c:v>3.1309999999999998</c:v>
                </c:pt>
                <c:pt idx="75">
                  <c:v>3.1269999999999998</c:v>
                </c:pt>
                <c:pt idx="76">
                  <c:v>3.1160000000000001</c:v>
                </c:pt>
                <c:pt idx="77">
                  <c:v>3.1579999999999999</c:v>
                </c:pt>
                <c:pt idx="78">
                  <c:v>2.9089999999999998</c:v>
                </c:pt>
                <c:pt idx="79">
                  <c:v>3.1190000000000002</c:v>
                </c:pt>
                <c:pt idx="80">
                  <c:v>3.22</c:v>
                </c:pt>
                <c:pt idx="81">
                  <c:v>3.2240000000000002</c:v>
                </c:pt>
                <c:pt idx="82">
                  <c:v>2.9929999999999999</c:v>
                </c:pt>
                <c:pt idx="83">
                  <c:v>2.9489999999999998</c:v>
                </c:pt>
                <c:pt idx="84">
                  <c:v>2.9780000000000002</c:v>
                </c:pt>
                <c:pt idx="85">
                  <c:v>2.9780000000000002</c:v>
                </c:pt>
                <c:pt idx="86">
                  <c:v>3.121</c:v>
                </c:pt>
                <c:pt idx="87">
                  <c:v>3.0579999999999998</c:v>
                </c:pt>
                <c:pt idx="88">
                  <c:v>2.5720000000000001</c:v>
                </c:pt>
                <c:pt idx="89">
                  <c:v>2.63</c:v>
                </c:pt>
                <c:pt idx="90">
                  <c:v>2.7719999999999998</c:v>
                </c:pt>
                <c:pt idx="91">
                  <c:v>2.6859999999999999</c:v>
                </c:pt>
                <c:pt idx="92">
                  <c:v>2.48</c:v>
                </c:pt>
                <c:pt idx="93">
                  <c:v>2.6589999999999998</c:v>
                </c:pt>
                <c:pt idx="94">
                  <c:v>2.8140000000000001</c:v>
                </c:pt>
                <c:pt idx="95">
                  <c:v>2.8620000000000001</c:v>
                </c:pt>
                <c:pt idx="96">
                  <c:v>3.0019999999999998</c:v>
                </c:pt>
                <c:pt idx="97">
                  <c:v>3.1059999999999999</c:v>
                </c:pt>
                <c:pt idx="98">
                  <c:v>2.8410000000000002</c:v>
                </c:pt>
                <c:pt idx="99">
                  <c:v>2.8239999999999998</c:v>
                </c:pt>
                <c:pt idx="100">
                  <c:v>2.7879999999999998</c:v>
                </c:pt>
                <c:pt idx="101">
                  <c:v>2.6190000000000002</c:v>
                </c:pt>
                <c:pt idx="102">
                  <c:v>2.8439999999999999</c:v>
                </c:pt>
                <c:pt idx="103">
                  <c:v>3.0840000000000001</c:v>
                </c:pt>
                <c:pt idx="104">
                  <c:v>2.4319999999999999</c:v>
                </c:pt>
                <c:pt idx="105">
                  <c:v>2.278</c:v>
                </c:pt>
                <c:pt idx="106">
                  <c:v>2.444</c:v>
                </c:pt>
                <c:pt idx="107">
                  <c:v>2.0470000000000002</c:v>
                </c:pt>
                <c:pt idx="108">
                  <c:v>2.032</c:v>
                </c:pt>
                <c:pt idx="109">
                  <c:v>2.032</c:v>
                </c:pt>
                <c:pt idx="110">
                  <c:v>2.0920000000000001</c:v>
                </c:pt>
                <c:pt idx="111">
                  <c:v>2.0609999999999999</c:v>
                </c:pt>
                <c:pt idx="112">
                  <c:v>1.9510000000000001</c:v>
                </c:pt>
                <c:pt idx="113">
                  <c:v>1.9450000000000001</c:v>
                </c:pt>
                <c:pt idx="114">
                  <c:v>1.9450000000000001</c:v>
                </c:pt>
                <c:pt idx="115">
                  <c:v>1.9730000000000001</c:v>
                </c:pt>
                <c:pt idx="116">
                  <c:v>1.833</c:v>
                </c:pt>
                <c:pt idx="117">
                  <c:v>1.855</c:v>
                </c:pt>
                <c:pt idx="118">
                  <c:v>1.837</c:v>
                </c:pt>
                <c:pt idx="119">
                  <c:v>1.554</c:v>
                </c:pt>
                <c:pt idx="120">
                  <c:v>1.454</c:v>
                </c:pt>
                <c:pt idx="121">
                  <c:v>1.43</c:v>
                </c:pt>
                <c:pt idx="122">
                  <c:v>1.4610000000000001</c:v>
                </c:pt>
                <c:pt idx="123">
                  <c:v>1.5</c:v>
                </c:pt>
                <c:pt idx="124">
                  <c:v>1.4830000000000001</c:v>
                </c:pt>
                <c:pt idx="125">
                  <c:v>1.5029999999999999</c:v>
                </c:pt>
                <c:pt idx="126">
                  <c:v>1.615</c:v>
                </c:pt>
                <c:pt idx="127">
                  <c:v>1.6</c:v>
                </c:pt>
                <c:pt idx="128">
                  <c:v>1.4219999999999999</c:v>
                </c:pt>
                <c:pt idx="129">
                  <c:v>1.631</c:v>
                </c:pt>
                <c:pt idx="130">
                  <c:v>1.7370000000000001</c:v>
                </c:pt>
                <c:pt idx="131">
                  <c:v>1.8009999999999999</c:v>
                </c:pt>
                <c:pt idx="132">
                  <c:v>1.7869999999999999</c:v>
                </c:pt>
                <c:pt idx="133">
                  <c:v>1.91</c:v>
                </c:pt>
                <c:pt idx="134">
                  <c:v>1.881</c:v>
                </c:pt>
                <c:pt idx="135">
                  <c:v>1.8560000000000001</c:v>
                </c:pt>
                <c:pt idx="136">
                  <c:v>1.722</c:v>
                </c:pt>
                <c:pt idx="137">
                  <c:v>1.855</c:v>
                </c:pt>
                <c:pt idx="138">
                  <c:v>1.764</c:v>
                </c:pt>
                <c:pt idx="139">
                  <c:v>1.7569999999999999</c:v>
                </c:pt>
                <c:pt idx="140">
                  <c:v>1.8720000000000001</c:v>
                </c:pt>
                <c:pt idx="141">
                  <c:v>1.7749999999999999</c:v>
                </c:pt>
                <c:pt idx="142">
                  <c:v>1.7210000000000001</c:v>
                </c:pt>
                <c:pt idx="143">
                  <c:v>2.1779999999999999</c:v>
                </c:pt>
                <c:pt idx="144">
                  <c:v>2.0649999999999999</c:v>
                </c:pt>
                <c:pt idx="145">
                  <c:v>2.02</c:v>
                </c:pt>
                <c:pt idx="146">
                  <c:v>1.9730000000000001</c:v>
                </c:pt>
                <c:pt idx="147">
                  <c:v>1.9079999999999999</c:v>
                </c:pt>
                <c:pt idx="148">
                  <c:v>2.0339999999999998</c:v>
                </c:pt>
                <c:pt idx="149">
                  <c:v>2.0070000000000001</c:v>
                </c:pt>
                <c:pt idx="150">
                  <c:v>1.8320000000000001</c:v>
                </c:pt>
                <c:pt idx="151">
                  <c:v>1.863</c:v>
                </c:pt>
                <c:pt idx="152">
                  <c:v>1.917</c:v>
                </c:pt>
                <c:pt idx="153">
                  <c:v>1.8939999999999999</c:v>
                </c:pt>
                <c:pt idx="154">
                  <c:v>1.738</c:v>
                </c:pt>
                <c:pt idx="155">
                  <c:v>1.915</c:v>
                </c:pt>
                <c:pt idx="156">
                  <c:v>1.9330000000000001</c:v>
                </c:pt>
                <c:pt idx="157">
                  <c:v>2.1459999999999999</c:v>
                </c:pt>
                <c:pt idx="158">
                  <c:v>1.819</c:v>
                </c:pt>
                <c:pt idx="159">
                  <c:v>1.798</c:v>
                </c:pt>
                <c:pt idx="160">
                  <c:v>1.89</c:v>
                </c:pt>
                <c:pt idx="161">
                  <c:v>1.821</c:v>
                </c:pt>
                <c:pt idx="162">
                  <c:v>1.762</c:v>
                </c:pt>
                <c:pt idx="163">
                  <c:v>1.79</c:v>
                </c:pt>
                <c:pt idx="164">
                  <c:v>1.694</c:v>
                </c:pt>
                <c:pt idx="165">
                  <c:v>1.5680000000000001</c:v>
                </c:pt>
                <c:pt idx="166">
                  <c:v>1.571</c:v>
                </c:pt>
                <c:pt idx="167">
                  <c:v>1.597</c:v>
                </c:pt>
                <c:pt idx="168">
                  <c:v>1.4610000000000001</c:v>
                </c:pt>
                <c:pt idx="169">
                  <c:v>1.51</c:v>
                </c:pt>
                <c:pt idx="170">
                  <c:v>1.47</c:v>
                </c:pt>
                <c:pt idx="171">
                  <c:v>1.5029999999999999</c:v>
                </c:pt>
                <c:pt idx="172">
                  <c:v>1.4750000000000001</c:v>
                </c:pt>
                <c:pt idx="173">
                  <c:v>1.6259999999999999</c:v>
                </c:pt>
                <c:pt idx="174">
                  <c:v>1.3080000000000001</c:v>
                </c:pt>
                <c:pt idx="175">
                  <c:v>1.333</c:v>
                </c:pt>
                <c:pt idx="176">
                  <c:v>1.1930000000000001</c:v>
                </c:pt>
                <c:pt idx="177">
                  <c:v>1.125</c:v>
                </c:pt>
                <c:pt idx="178">
                  <c:v>1.1779999999999999</c:v>
                </c:pt>
                <c:pt idx="179">
                  <c:v>1.1359999999999999</c:v>
                </c:pt>
                <c:pt idx="180">
                  <c:v>1.1479999999999999</c:v>
                </c:pt>
                <c:pt idx="181">
                  <c:v>1.1679999999999999</c:v>
                </c:pt>
                <c:pt idx="182">
                  <c:v>1.181</c:v>
                </c:pt>
                <c:pt idx="183">
                  <c:v>1.054</c:v>
                </c:pt>
                <c:pt idx="184">
                  <c:v>1.016</c:v>
                </c:pt>
                <c:pt idx="185">
                  <c:v>0.99</c:v>
                </c:pt>
                <c:pt idx="186">
                  <c:v>0.99</c:v>
                </c:pt>
                <c:pt idx="187">
                  <c:v>0.95399999999999996</c:v>
                </c:pt>
                <c:pt idx="188">
                  <c:v>0.94</c:v>
                </c:pt>
                <c:pt idx="189">
                  <c:v>0.91500000000000004</c:v>
                </c:pt>
                <c:pt idx="190">
                  <c:v>0.90400000000000003</c:v>
                </c:pt>
                <c:pt idx="191">
                  <c:v>0.81899999999999995</c:v>
                </c:pt>
                <c:pt idx="192">
                  <c:v>0.90100000000000002</c:v>
                </c:pt>
                <c:pt idx="193">
                  <c:v>0.96799999999999997</c:v>
                </c:pt>
                <c:pt idx="194">
                  <c:v>0.96099999999999997</c:v>
                </c:pt>
                <c:pt idx="195">
                  <c:v>0.96199999999999997</c:v>
                </c:pt>
                <c:pt idx="196">
                  <c:v>1.0169999999999999</c:v>
                </c:pt>
                <c:pt idx="197">
                  <c:v>1.0580000000000001</c:v>
                </c:pt>
                <c:pt idx="198">
                  <c:v>1.0409999999999999</c:v>
                </c:pt>
                <c:pt idx="199">
                  <c:v>1.103</c:v>
                </c:pt>
                <c:pt idx="200">
                  <c:v>1.1719999999999999</c:v>
                </c:pt>
                <c:pt idx="201">
                  <c:v>1.1359999999999999</c:v>
                </c:pt>
                <c:pt idx="202">
                  <c:v>1.1819999999999999</c:v>
                </c:pt>
                <c:pt idx="203">
                  <c:v>1.1990000000000001</c:v>
                </c:pt>
                <c:pt idx="204">
                  <c:v>1.331</c:v>
                </c:pt>
                <c:pt idx="205">
                  <c:v>1.2609999999999999</c:v>
                </c:pt>
                <c:pt idx="206">
                  <c:v>1.2509999999999999</c:v>
                </c:pt>
                <c:pt idx="207">
                  <c:v>1.361</c:v>
                </c:pt>
                <c:pt idx="208">
                  <c:v>1.2529999999999999</c:v>
                </c:pt>
                <c:pt idx="209">
                  <c:v>1.0609999999999999</c:v>
                </c:pt>
                <c:pt idx="210">
                  <c:v>1.036</c:v>
                </c:pt>
                <c:pt idx="211">
                  <c:v>1.05</c:v>
                </c:pt>
                <c:pt idx="212">
                  <c:v>1.0580000000000001</c:v>
                </c:pt>
                <c:pt idx="213">
                  <c:v>1.0369999999999999</c:v>
                </c:pt>
                <c:pt idx="214">
                  <c:v>1.0029999999999999</c:v>
                </c:pt>
                <c:pt idx="215">
                  <c:v>0.93300000000000005</c:v>
                </c:pt>
                <c:pt idx="216">
                  <c:v>0.93600000000000005</c:v>
                </c:pt>
                <c:pt idx="217">
                  <c:v>1.056</c:v>
                </c:pt>
                <c:pt idx="218">
                  <c:v>1.026</c:v>
                </c:pt>
                <c:pt idx="219">
                  <c:v>0.98599999999999999</c:v>
                </c:pt>
                <c:pt idx="220">
                  <c:v>1.125</c:v>
                </c:pt>
                <c:pt idx="221">
                  <c:v>1.571</c:v>
                </c:pt>
                <c:pt idx="222">
                  <c:v>1.3740000000000001</c:v>
                </c:pt>
                <c:pt idx="223">
                  <c:v>1.2250000000000001</c:v>
                </c:pt>
                <c:pt idx="224">
                  <c:v>1.3340000000000001</c:v>
                </c:pt>
                <c:pt idx="225">
                  <c:v>1.3029999999999999</c:v>
                </c:pt>
                <c:pt idx="226">
                  <c:v>1.39</c:v>
                </c:pt>
                <c:pt idx="227">
                  <c:v>1.446</c:v>
                </c:pt>
                <c:pt idx="228">
                  <c:v>1.389</c:v>
                </c:pt>
                <c:pt idx="229">
                  <c:v>1.2709999999999999</c:v>
                </c:pt>
                <c:pt idx="230">
                  <c:v>1.385</c:v>
                </c:pt>
                <c:pt idx="231">
                  <c:v>1.4850000000000001</c:v>
                </c:pt>
                <c:pt idx="232">
                  <c:v>1.595</c:v>
                </c:pt>
                <c:pt idx="233">
                  <c:v>1.5329999999999999</c:v>
                </c:pt>
                <c:pt idx="234">
                  <c:v>1.6060000000000001</c:v>
                </c:pt>
                <c:pt idx="235">
                  <c:v>1.742</c:v>
                </c:pt>
                <c:pt idx="236">
                  <c:v>1.7190000000000001</c:v>
                </c:pt>
                <c:pt idx="237">
                  <c:v>1.7849999999999999</c:v>
                </c:pt>
                <c:pt idx="238">
                  <c:v>2.0310000000000001</c:v>
                </c:pt>
                <c:pt idx="239">
                  <c:v>1.8740000000000001</c:v>
                </c:pt>
                <c:pt idx="240">
                  <c:v>1.8879999999999999</c:v>
                </c:pt>
                <c:pt idx="241">
                  <c:v>1.843</c:v>
                </c:pt>
                <c:pt idx="242">
                  <c:v>1.698</c:v>
                </c:pt>
                <c:pt idx="243">
                  <c:v>1.6319999999999999</c:v>
                </c:pt>
                <c:pt idx="244">
                  <c:v>1.7370000000000001</c:v>
                </c:pt>
                <c:pt idx="245">
                  <c:v>2.0579999999999998</c:v>
                </c:pt>
                <c:pt idx="246">
                  <c:v>2.0619999999999998</c:v>
                </c:pt>
                <c:pt idx="247">
                  <c:v>1.927</c:v>
                </c:pt>
                <c:pt idx="248">
                  <c:v>2.04</c:v>
                </c:pt>
                <c:pt idx="249">
                  <c:v>1.5820000000000001</c:v>
                </c:pt>
                <c:pt idx="250">
                  <c:v>1.8879999999999999</c:v>
                </c:pt>
                <c:pt idx="251">
                  <c:v>2.1760000000000002</c:v>
                </c:pt>
                <c:pt idx="252">
                  <c:v>2.4809999999999999</c:v>
                </c:pt>
                <c:pt idx="253">
                  <c:v>2.1720000000000002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2-4518-B874-BB7EECCD52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-0.90003152774170803</c:v>
                </c:pt>
                <c:pt idx="1">
                  <c:v>-0.89976323574170791</c:v>
                </c:pt>
                <c:pt idx="2">
                  <c:v>-0.89383435491243968</c:v>
                </c:pt>
                <c:pt idx="3">
                  <c:v>-0.8927783635081844</c:v>
                </c:pt>
                <c:pt idx="4">
                  <c:v>-0.90039959431287186</c:v>
                </c:pt>
                <c:pt idx="5">
                  <c:v>-0.90008296025642032</c:v>
                </c:pt>
                <c:pt idx="6">
                  <c:v>-0.89579378802112619</c:v>
                </c:pt>
                <c:pt idx="7">
                  <c:v>-0.87259374829385339</c:v>
                </c:pt>
                <c:pt idx="8">
                  <c:v>-0.86639447550437965</c:v>
                </c:pt>
                <c:pt idx="9">
                  <c:v>-0.86683677889831912</c:v>
                </c:pt>
                <c:pt idx="10">
                  <c:v>-0.86975673773257334</c:v>
                </c:pt>
                <c:pt idx="11">
                  <c:v>-0.86816845333820725</c:v>
                </c:pt>
                <c:pt idx="12">
                  <c:v>-0.86785486768246944</c:v>
                </c:pt>
                <c:pt idx="13">
                  <c:v>-0.8697778481255074</c:v>
                </c:pt>
                <c:pt idx="14">
                  <c:v>-0.8713367028818525</c:v>
                </c:pt>
                <c:pt idx="15">
                  <c:v>-0.86646576555328114</c:v>
                </c:pt>
                <c:pt idx="16">
                  <c:v>-0.86893887761473376</c:v>
                </c:pt>
                <c:pt idx="17">
                  <c:v>-0.87277373951423121</c:v>
                </c:pt>
                <c:pt idx="18">
                  <c:v>-0.8702308406976631</c:v>
                </c:pt>
                <c:pt idx="19">
                  <c:v>-0.87013343162928702</c:v>
                </c:pt>
                <c:pt idx="20">
                  <c:v>-0.86829334057449248</c:v>
                </c:pt>
                <c:pt idx="21">
                  <c:v>-0.86559055072791713</c:v>
                </c:pt>
                <c:pt idx="22">
                  <c:v>-0.86767724543379954</c:v>
                </c:pt>
                <c:pt idx="23">
                  <c:v>-0.86271847389721401</c:v>
                </c:pt>
                <c:pt idx="24">
                  <c:v>-0.85792598004747322</c:v>
                </c:pt>
                <c:pt idx="25">
                  <c:v>-0.85014795567448287</c:v>
                </c:pt>
                <c:pt idx="26">
                  <c:v>-0.85351832967448293</c:v>
                </c:pt>
                <c:pt idx="27">
                  <c:v>-0.85708440558459542</c:v>
                </c:pt>
                <c:pt idx="28">
                  <c:v>-0.85597620236508309</c:v>
                </c:pt>
                <c:pt idx="29">
                  <c:v>-0.8563795950709655</c:v>
                </c:pt>
                <c:pt idx="30">
                  <c:v>-0.85274365719671408</c:v>
                </c:pt>
                <c:pt idx="31">
                  <c:v>-0.8515122025630143</c:v>
                </c:pt>
                <c:pt idx="32">
                  <c:v>-0.84995100189137252</c:v>
                </c:pt>
                <c:pt idx="33">
                  <c:v>-0.85194275380973972</c:v>
                </c:pt>
                <c:pt idx="34">
                  <c:v>-0.85544526642432317</c:v>
                </c:pt>
                <c:pt idx="35">
                  <c:v>-0.85275344542432319</c:v>
                </c:pt>
                <c:pt idx="36">
                  <c:v>-0.85773966263644441</c:v>
                </c:pt>
                <c:pt idx="37">
                  <c:v>-0.85088249063644439</c:v>
                </c:pt>
                <c:pt idx="38">
                  <c:v>-0.85662713274069147</c:v>
                </c:pt>
                <c:pt idx="39">
                  <c:v>-0.85385537010432777</c:v>
                </c:pt>
                <c:pt idx="40">
                  <c:v>-0.84867979510432778</c:v>
                </c:pt>
                <c:pt idx="41">
                  <c:v>-0.84626494701021016</c:v>
                </c:pt>
                <c:pt idx="42">
                  <c:v>-0.84014005018262405</c:v>
                </c:pt>
                <c:pt idx="43">
                  <c:v>-0.83416168180974259</c:v>
                </c:pt>
                <c:pt idx="44">
                  <c:v>-0.83868645765506644</c:v>
                </c:pt>
                <c:pt idx="45">
                  <c:v>-0.84061791947575604</c:v>
                </c:pt>
                <c:pt idx="46">
                  <c:v>-0.82628274278503433</c:v>
                </c:pt>
                <c:pt idx="47">
                  <c:v>-0.83088433292853214</c:v>
                </c:pt>
                <c:pt idx="48">
                  <c:v>-0.83155032223887704</c:v>
                </c:pt>
                <c:pt idx="49">
                  <c:v>-0.82354215981894818</c:v>
                </c:pt>
                <c:pt idx="50">
                  <c:v>-0.80919138713682903</c:v>
                </c:pt>
                <c:pt idx="51">
                  <c:v>-0.79199054272657254</c:v>
                </c:pt>
                <c:pt idx="52">
                  <c:v>-0.68208504845173823</c:v>
                </c:pt>
                <c:pt idx="53">
                  <c:v>-0.70488627453645825</c:v>
                </c:pt>
                <c:pt idx="54">
                  <c:v>-0.69362052354754478</c:v>
                </c:pt>
                <c:pt idx="55">
                  <c:v>-0.69474831438781326</c:v>
                </c:pt>
                <c:pt idx="56">
                  <c:v>-0.6942127019809996</c:v>
                </c:pt>
                <c:pt idx="57">
                  <c:v>-0.68998303648567239</c:v>
                </c:pt>
                <c:pt idx="58">
                  <c:v>-0.70145077502648234</c:v>
                </c:pt>
                <c:pt idx="59">
                  <c:v>-0.70776307780426007</c:v>
                </c:pt>
                <c:pt idx="60">
                  <c:v>-0.70595493612684068</c:v>
                </c:pt>
                <c:pt idx="61">
                  <c:v>-0.71463956412684071</c:v>
                </c:pt>
                <c:pt idx="62">
                  <c:v>-0.70910964503272289</c:v>
                </c:pt>
                <c:pt idx="63">
                  <c:v>-0.71271182208656914</c:v>
                </c:pt>
                <c:pt idx="64">
                  <c:v>-0.7239792090289775</c:v>
                </c:pt>
                <c:pt idx="65">
                  <c:v>-0.7276429060842966</c:v>
                </c:pt>
                <c:pt idx="66">
                  <c:v>-0.73508844921170968</c:v>
                </c:pt>
                <c:pt idx="67">
                  <c:v>-0.73361084275858457</c:v>
                </c:pt>
                <c:pt idx="68">
                  <c:v>-0.71909960986496768</c:v>
                </c:pt>
                <c:pt idx="69">
                  <c:v>-0.72303082902914673</c:v>
                </c:pt>
                <c:pt idx="70">
                  <c:v>-0.72392966175369766</c:v>
                </c:pt>
                <c:pt idx="71">
                  <c:v>-0.71782381732964706</c:v>
                </c:pt>
                <c:pt idx="72">
                  <c:v>-0.72552493298856191</c:v>
                </c:pt>
                <c:pt idx="73">
                  <c:v>-0.72649995940466916</c:v>
                </c:pt>
                <c:pt idx="74">
                  <c:v>-0.71315841442829131</c:v>
                </c:pt>
                <c:pt idx="75">
                  <c:v>-0.71529382694257704</c:v>
                </c:pt>
                <c:pt idx="76">
                  <c:v>-0.71561901814257689</c:v>
                </c:pt>
                <c:pt idx="77">
                  <c:v>-0.70304410992439514</c:v>
                </c:pt>
                <c:pt idx="78">
                  <c:v>-0.71186375085338915</c:v>
                </c:pt>
                <c:pt idx="79">
                  <c:v>-0.69862267469754502</c:v>
                </c:pt>
                <c:pt idx="80">
                  <c:v>-0.68353349399484231</c:v>
                </c:pt>
                <c:pt idx="81">
                  <c:v>-0.68933071175713745</c:v>
                </c:pt>
                <c:pt idx="82">
                  <c:v>-0.70362546996430875</c:v>
                </c:pt>
                <c:pt idx="83">
                  <c:v>-0.71001033396430868</c:v>
                </c:pt>
                <c:pt idx="84">
                  <c:v>-0.70209375630577209</c:v>
                </c:pt>
                <c:pt idx="85">
                  <c:v>-0.71017530277999885</c:v>
                </c:pt>
                <c:pt idx="86">
                  <c:v>-0.69711279249653446</c:v>
                </c:pt>
                <c:pt idx="87">
                  <c:v>-0.69291847976491039</c:v>
                </c:pt>
                <c:pt idx="88">
                  <c:v>-0.73187887304491039</c:v>
                </c:pt>
                <c:pt idx="89">
                  <c:v>-0.72915767565360601</c:v>
                </c:pt>
                <c:pt idx="90">
                  <c:v>-0.72171675704704863</c:v>
                </c:pt>
                <c:pt idx="91">
                  <c:v>-0.72060617817593753</c:v>
                </c:pt>
                <c:pt idx="92">
                  <c:v>-0.7311828607261105</c:v>
                </c:pt>
                <c:pt idx="93">
                  <c:v>-0.7046225913187032</c:v>
                </c:pt>
                <c:pt idx="94">
                  <c:v>-0.68389813539870303</c:v>
                </c:pt>
                <c:pt idx="95">
                  <c:v>-0.67091876242768866</c:v>
                </c:pt>
                <c:pt idx="96">
                  <c:v>-0.66358722442768858</c:v>
                </c:pt>
                <c:pt idx="97">
                  <c:v>-0.65603840410076553</c:v>
                </c:pt>
                <c:pt idx="98">
                  <c:v>-0.63005206196996377</c:v>
                </c:pt>
                <c:pt idx="99">
                  <c:v>-0.6299464202696381</c:v>
                </c:pt>
                <c:pt idx="100">
                  <c:v>-0.64469161784498052</c:v>
                </c:pt>
                <c:pt idx="101">
                  <c:v>-0.63712581008740476</c:v>
                </c:pt>
                <c:pt idx="102">
                  <c:v>-0.58372307025083969</c:v>
                </c:pt>
                <c:pt idx="103">
                  <c:v>-0.53605023770063875</c:v>
                </c:pt>
                <c:pt idx="104">
                  <c:v>-0.36258592905840337</c:v>
                </c:pt>
                <c:pt idx="105">
                  <c:v>-0.38351326572954425</c:v>
                </c:pt>
                <c:pt idx="106">
                  <c:v>-0.35760123844772607</c:v>
                </c:pt>
                <c:pt idx="107">
                  <c:v>-0.42443420096954421</c:v>
                </c:pt>
                <c:pt idx="108">
                  <c:v>-0.42511031177152436</c:v>
                </c:pt>
                <c:pt idx="109">
                  <c:v>-0.41812843210047179</c:v>
                </c:pt>
                <c:pt idx="110">
                  <c:v>-0.40949960775264566</c:v>
                </c:pt>
                <c:pt idx="111">
                  <c:v>-0.40377515046506401</c:v>
                </c:pt>
                <c:pt idx="112">
                  <c:v>-0.40643736055515417</c:v>
                </c:pt>
                <c:pt idx="113">
                  <c:v>-0.39563203645515421</c:v>
                </c:pt>
                <c:pt idx="114">
                  <c:v>-0.40169063613257355</c:v>
                </c:pt>
                <c:pt idx="115">
                  <c:v>-0.40003478923714875</c:v>
                </c:pt>
                <c:pt idx="116">
                  <c:v>-0.39965737574815124</c:v>
                </c:pt>
                <c:pt idx="117">
                  <c:v>-0.38263543845053222</c:v>
                </c:pt>
                <c:pt idx="118">
                  <c:v>-0.37303575478788159</c:v>
                </c:pt>
                <c:pt idx="119">
                  <c:v>-0.39120737039805109</c:v>
                </c:pt>
                <c:pt idx="120">
                  <c:v>-0.39502562497820376</c:v>
                </c:pt>
                <c:pt idx="121">
                  <c:v>-0.39440881521076193</c:v>
                </c:pt>
                <c:pt idx="122">
                  <c:v>-0.3833907498774286</c:v>
                </c:pt>
                <c:pt idx="123">
                  <c:v>-0.36662523634488431</c:v>
                </c:pt>
                <c:pt idx="124">
                  <c:v>-0.37496575214218153</c:v>
                </c:pt>
                <c:pt idx="125">
                  <c:v>-0.36137406770382541</c:v>
                </c:pt>
                <c:pt idx="126">
                  <c:v>-0.35916942476857355</c:v>
                </c:pt>
                <c:pt idx="127">
                  <c:v>-0.36103382198596484</c:v>
                </c:pt>
                <c:pt idx="128">
                  <c:v>-0.3834888573657117</c:v>
                </c:pt>
                <c:pt idx="129">
                  <c:v>-0.37142348320316754</c:v>
                </c:pt>
                <c:pt idx="130">
                  <c:v>-0.36814461325352726</c:v>
                </c:pt>
                <c:pt idx="131">
                  <c:v>-0.36395028167457993</c:v>
                </c:pt>
                <c:pt idx="132">
                  <c:v>-0.35578294404957989</c:v>
                </c:pt>
                <c:pt idx="133">
                  <c:v>-0.34193542711092956</c:v>
                </c:pt>
                <c:pt idx="134">
                  <c:v>-0.34695157944426286</c:v>
                </c:pt>
                <c:pt idx="135">
                  <c:v>-0.36115833490742072</c:v>
                </c:pt>
                <c:pt idx="136">
                  <c:v>-0.3774401240724693</c:v>
                </c:pt>
                <c:pt idx="137">
                  <c:v>-0.37473040517207096</c:v>
                </c:pt>
                <c:pt idx="138">
                  <c:v>-0.38242822391492809</c:v>
                </c:pt>
                <c:pt idx="139">
                  <c:v>-0.37792782125025742</c:v>
                </c:pt>
                <c:pt idx="140">
                  <c:v>-0.36396943734337478</c:v>
                </c:pt>
                <c:pt idx="141">
                  <c:v>-0.36622346770533803</c:v>
                </c:pt>
                <c:pt idx="142">
                  <c:v>-0.3797955178539324</c:v>
                </c:pt>
                <c:pt idx="143">
                  <c:v>-0.3735816871412983</c:v>
                </c:pt>
                <c:pt idx="144">
                  <c:v>-0.37804525209109419</c:v>
                </c:pt>
                <c:pt idx="145">
                  <c:v>-0.39414390720647885</c:v>
                </c:pt>
                <c:pt idx="146">
                  <c:v>-0.39516514110391482</c:v>
                </c:pt>
                <c:pt idx="147">
                  <c:v>-0.40065065094051611</c:v>
                </c:pt>
                <c:pt idx="148">
                  <c:v>-0.38312524859086577</c:v>
                </c:pt>
                <c:pt idx="149">
                  <c:v>-0.39558235700465882</c:v>
                </c:pt>
                <c:pt idx="150">
                  <c:v>-0.38659218608938783</c:v>
                </c:pt>
                <c:pt idx="151">
                  <c:v>-0.37877845251149844</c:v>
                </c:pt>
                <c:pt idx="152">
                  <c:v>-0.3619059754834496</c:v>
                </c:pt>
                <c:pt idx="153">
                  <c:v>-0.37449146087913304</c:v>
                </c:pt>
                <c:pt idx="154">
                  <c:v>-0.38809891772054272</c:v>
                </c:pt>
                <c:pt idx="155">
                  <c:v>-0.36968351186622173</c:v>
                </c:pt>
                <c:pt idx="156">
                  <c:v>-0.37846676369264665</c:v>
                </c:pt>
                <c:pt idx="157">
                  <c:v>-0.36010587407664663</c:v>
                </c:pt>
                <c:pt idx="158">
                  <c:v>-0.38587178226417213</c:v>
                </c:pt>
                <c:pt idx="159">
                  <c:v>-0.38669430558917217</c:v>
                </c:pt>
                <c:pt idx="160">
                  <c:v>-0.375103406358403</c:v>
                </c:pt>
                <c:pt idx="161">
                  <c:v>-0.38588023815672695</c:v>
                </c:pt>
                <c:pt idx="162">
                  <c:v>-0.40544106763272686</c:v>
                </c:pt>
                <c:pt idx="163">
                  <c:v>-0.38610617986813056</c:v>
                </c:pt>
                <c:pt idx="164">
                  <c:v>-0.17371087144254915</c:v>
                </c:pt>
                <c:pt idx="165">
                  <c:v>-0.18687005113485683</c:v>
                </c:pt>
                <c:pt idx="166">
                  <c:v>-0.19311081013485681</c:v>
                </c:pt>
                <c:pt idx="167">
                  <c:v>-0.19728232293367337</c:v>
                </c:pt>
                <c:pt idx="168">
                  <c:v>-0.20698425116413022</c:v>
                </c:pt>
                <c:pt idx="169">
                  <c:v>-0.19894955703592512</c:v>
                </c:pt>
                <c:pt idx="170">
                  <c:v>-0.18715210446757069</c:v>
                </c:pt>
                <c:pt idx="171">
                  <c:v>-0.18122795942017186</c:v>
                </c:pt>
                <c:pt idx="172">
                  <c:v>-0.18005634089474815</c:v>
                </c:pt>
                <c:pt idx="173">
                  <c:v>-0.10453085049474814</c:v>
                </c:pt>
                <c:pt idx="174">
                  <c:v>-0.11191721050564848</c:v>
                </c:pt>
                <c:pt idx="175">
                  <c:v>-0.12206653637923337</c:v>
                </c:pt>
                <c:pt idx="176">
                  <c:v>-0.14883342775747163</c:v>
                </c:pt>
                <c:pt idx="177">
                  <c:v>-0.15672381396038426</c:v>
                </c:pt>
                <c:pt idx="178">
                  <c:v>-0.1435207949127652</c:v>
                </c:pt>
                <c:pt idx="179">
                  <c:v>-0.14329569745334489</c:v>
                </c:pt>
                <c:pt idx="180">
                  <c:v>-0.13169835255480472</c:v>
                </c:pt>
                <c:pt idx="181">
                  <c:v>-0.13487826404584946</c:v>
                </c:pt>
                <c:pt idx="182">
                  <c:v>-0.13937902272195007</c:v>
                </c:pt>
                <c:pt idx="183">
                  <c:v>-0.1690999056060771</c:v>
                </c:pt>
                <c:pt idx="184">
                  <c:v>-0.17015325639651185</c:v>
                </c:pt>
                <c:pt idx="185">
                  <c:v>-0.17462289183861712</c:v>
                </c:pt>
                <c:pt idx="186">
                  <c:v>-0.15572199521991212</c:v>
                </c:pt>
                <c:pt idx="187">
                  <c:v>-0.16626417052265186</c:v>
                </c:pt>
                <c:pt idx="188">
                  <c:v>-0.16543080348992453</c:v>
                </c:pt>
                <c:pt idx="189">
                  <c:v>-0.1732299720613531</c:v>
                </c:pt>
                <c:pt idx="190">
                  <c:v>-0.16890483004498946</c:v>
                </c:pt>
                <c:pt idx="191">
                  <c:v>-0.16964562915332279</c:v>
                </c:pt>
                <c:pt idx="192">
                  <c:v>-0.16395816167096985</c:v>
                </c:pt>
                <c:pt idx="193">
                  <c:v>-0.15656419951444811</c:v>
                </c:pt>
                <c:pt idx="194">
                  <c:v>-0.15183999918825766</c:v>
                </c:pt>
                <c:pt idx="195">
                  <c:v>-0.15171460197123637</c:v>
                </c:pt>
                <c:pt idx="196">
                  <c:v>-0.14141931463790305</c:v>
                </c:pt>
                <c:pt idx="197">
                  <c:v>-0.13362916875749065</c:v>
                </c:pt>
                <c:pt idx="198">
                  <c:v>-0.13561587008042644</c:v>
                </c:pt>
                <c:pt idx="199">
                  <c:v>-0.12629652349820419</c:v>
                </c:pt>
                <c:pt idx="200">
                  <c:v>-0.12178248529340423</c:v>
                </c:pt>
                <c:pt idx="201">
                  <c:v>-0.12211042045281012</c:v>
                </c:pt>
                <c:pt idx="202">
                  <c:v>-0.1166231028666032</c:v>
                </c:pt>
                <c:pt idx="203">
                  <c:v>-0.1158203360160414</c:v>
                </c:pt>
                <c:pt idx="204">
                  <c:v>-0.10488993359809268</c:v>
                </c:pt>
                <c:pt idx="205">
                  <c:v>-9.7326654776524066E-2</c:v>
                </c:pt>
                <c:pt idx="206">
                  <c:v>-8.8483534463515881E-2</c:v>
                </c:pt>
                <c:pt idx="207">
                  <c:v>-8.1796109826849164E-2</c:v>
                </c:pt>
                <c:pt idx="208">
                  <c:v>-9.4875642043365724E-2</c:v>
                </c:pt>
                <c:pt idx="209">
                  <c:v>-0.11637596078462444</c:v>
                </c:pt>
                <c:pt idx="210">
                  <c:v>-0.11926456359152096</c:v>
                </c:pt>
                <c:pt idx="211">
                  <c:v>-9.5996756727387236E-2</c:v>
                </c:pt>
                <c:pt idx="212">
                  <c:v>-0.10040858398277187</c:v>
                </c:pt>
                <c:pt idx="213">
                  <c:v>-9.4822950002284107E-2</c:v>
                </c:pt>
                <c:pt idx="214">
                  <c:v>-8.5945999942878146E-2</c:v>
                </c:pt>
                <c:pt idx="215">
                  <c:v>-9.1341315847355747E-2</c:v>
                </c:pt>
                <c:pt idx="216">
                  <c:v>-9.2390023449529665E-2</c:v>
                </c:pt>
                <c:pt idx="217">
                  <c:v>-8.3664285671889924E-2</c:v>
                </c:pt>
                <c:pt idx="218">
                  <c:v>-8.2656284393967855E-2</c:v>
                </c:pt>
                <c:pt idx="219">
                  <c:v>-6.8744829526400292E-2</c:v>
                </c:pt>
                <c:pt idx="220">
                  <c:v>-5.9554383508531955E-2</c:v>
                </c:pt>
                <c:pt idx="221">
                  <c:v>-2.0391084695981342E-2</c:v>
                </c:pt>
                <c:pt idx="222">
                  <c:v>-9.7373434197235181E-2</c:v>
                </c:pt>
                <c:pt idx="223">
                  <c:v>-6.6179608083915153E-2</c:v>
                </c:pt>
                <c:pt idx="224">
                  <c:v>-6.3359457340541672E-2</c:v>
                </c:pt>
                <c:pt idx="225">
                  <c:v>-6.2147732055175819E-2</c:v>
                </c:pt>
                <c:pt idx="226">
                  <c:v>-5.5870084900474966E-2</c:v>
                </c:pt>
                <c:pt idx="227">
                  <c:v>-5.0771351002169868E-2</c:v>
                </c:pt>
                <c:pt idx="228">
                  <c:v>-5.9600605743474193E-2</c:v>
                </c:pt>
                <c:pt idx="229">
                  <c:v>-6.4632051919298356E-2</c:v>
                </c:pt>
                <c:pt idx="230">
                  <c:v>-5.9995362025180708E-2</c:v>
                </c:pt>
                <c:pt idx="231">
                  <c:v>-5.3886384731106629E-2</c:v>
                </c:pt>
                <c:pt idx="232">
                  <c:v>-4.969849773335383E-2</c:v>
                </c:pt>
                <c:pt idx="233">
                  <c:v>-5.6855183034846359E-2</c:v>
                </c:pt>
                <c:pt idx="234">
                  <c:v>-5.742557847373525E-2</c:v>
                </c:pt>
                <c:pt idx="235">
                  <c:v>-4.8052051289735255E-2</c:v>
                </c:pt>
                <c:pt idx="236">
                  <c:v>-4.9105090815108388E-2</c:v>
                </c:pt>
                <c:pt idx="237">
                  <c:v>-4.552535146831941E-2</c:v>
                </c:pt>
                <c:pt idx="238">
                  <c:v>-3.9186520840722959E-2</c:v>
                </c:pt>
                <c:pt idx="239">
                  <c:v>-4.9164645383799888E-2</c:v>
                </c:pt>
                <c:pt idx="240">
                  <c:v>-4.8859296253365124E-2</c:v>
                </c:pt>
                <c:pt idx="241">
                  <c:v>-5.3515297088270755E-2</c:v>
                </c:pt>
                <c:pt idx="242">
                  <c:v>-6.5042835861993387E-2</c:v>
                </c:pt>
                <c:pt idx="243">
                  <c:v>-6.9616978566125615E-2</c:v>
                </c:pt>
                <c:pt idx="244">
                  <c:v>-6.3785849898302258E-2</c:v>
                </c:pt>
                <c:pt idx="245">
                  <c:v>-5.1344278377517052E-2</c:v>
                </c:pt>
                <c:pt idx="246">
                  <c:v>-2.9152553845124399E-2</c:v>
                </c:pt>
                <c:pt idx="247">
                  <c:v>-3.1885585990329861E-2</c:v>
                </c:pt>
                <c:pt idx="248">
                  <c:v>-3.078972750663634E-2</c:v>
                </c:pt>
                <c:pt idx="249">
                  <c:v>-4.9657315678334452E-2</c:v>
                </c:pt>
                <c:pt idx="250">
                  <c:v>-4.6353812197824709E-2</c:v>
                </c:pt>
                <c:pt idx="251">
                  <c:v>-3.6674401591083115E-2</c:v>
                </c:pt>
                <c:pt idx="252">
                  <c:v>-3.1129928189905266E-2</c:v>
                </c:pt>
                <c:pt idx="253">
                  <c:v>-3.5051954622138261E-2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02-4518-B874-BB7EECCD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914032"/>
        <c:axId val="585919024"/>
      </c:lineChart>
      <c:dateAx>
        <c:axId val="585914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919024"/>
        <c:crosses val="autoZero"/>
        <c:auto val="1"/>
        <c:lblOffset val="100"/>
        <c:baseTimeUnit val="days"/>
      </c:dateAx>
      <c:valAx>
        <c:axId val="5859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B7AE79-2709-4FB6-9653-BB2C373D0EBF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3B45E4-BCD3-4341-A795-EB97A6280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5.27</v>
      </c>
      <c r="D2" s="4">
        <f>MIN(D3:D1912)</f>
        <v>0.8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1.534</v>
      </c>
      <c r="C5">
        <v>1.55</v>
      </c>
      <c r="D5">
        <v>1.4970000000000001</v>
      </c>
      <c r="E5">
        <v>1.4970000000000001</v>
      </c>
      <c r="F5">
        <v>26829.200000000001</v>
      </c>
      <c r="G5">
        <v>1.4970000000000001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-26829.200000000001</v>
      </c>
      <c r="R5">
        <f t="shared" ref="R5" si="2">R6+Q5</f>
        <v>-90003152.774170801</v>
      </c>
      <c r="S5">
        <f t="shared" ref="S5" si="3">R5/100000</f>
        <v>-900.03152774170803</v>
      </c>
      <c r="T5">
        <f t="shared" ref="T5" si="4">S5/1000</f>
        <v>-0.90003152774170803</v>
      </c>
    </row>
    <row r="6" spans="1:20" x14ac:dyDescent="0.25">
      <c r="A6" s="5">
        <v>44587</v>
      </c>
      <c r="B6">
        <v>1.56</v>
      </c>
      <c r="C6">
        <v>1.6679999999999999</v>
      </c>
      <c r="D6">
        <v>1.504</v>
      </c>
      <c r="E6">
        <v>1.534</v>
      </c>
      <c r="F6">
        <v>934938.9</v>
      </c>
      <c r="G6">
        <v>1.534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-0.63414634146341409</v>
      </c>
      <c r="Q6">
        <f t="shared" ref="Q6" si="6">F6*P6</f>
        <v>-592888.08292682876</v>
      </c>
      <c r="R6">
        <f t="shared" ref="R6" si="7">R7+Q6</f>
        <v>-89976323.574170798</v>
      </c>
      <c r="S6">
        <f t="shared" ref="S6" si="8">R6/100000</f>
        <v>-899.76323574170794</v>
      </c>
      <c r="T6">
        <f t="shared" ref="T6" si="9">S6/1000</f>
        <v>-0.89976323574170791</v>
      </c>
    </row>
    <row r="7" spans="1:20" x14ac:dyDescent="0.25">
      <c r="A7" s="5">
        <v>44586</v>
      </c>
      <c r="B7">
        <v>1.587</v>
      </c>
      <c r="C7">
        <v>1.641</v>
      </c>
      <c r="D7">
        <v>1.5</v>
      </c>
      <c r="E7">
        <v>1.56</v>
      </c>
      <c r="F7">
        <v>709022.8</v>
      </c>
      <c r="G7">
        <v>1.56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-0.14893617021276528</v>
      </c>
      <c r="Q7">
        <f t="shared" ref="Q7" si="11">F7*P7</f>
        <v>-105599.14042553144</v>
      </c>
      <c r="R7">
        <f t="shared" ref="R7" si="12">R8+Q7</f>
        <v>-89383435.491243973</v>
      </c>
      <c r="S7">
        <f t="shared" ref="S7" si="13">R7/100000</f>
        <v>-893.83435491243972</v>
      </c>
      <c r="T7">
        <f t="shared" ref="T7" si="14">S7/1000</f>
        <v>-0.89383435491243968</v>
      </c>
    </row>
    <row r="8" spans="1:20" x14ac:dyDescent="0.25">
      <c r="A8" s="5">
        <v>44585</v>
      </c>
      <c r="B8">
        <v>1.599</v>
      </c>
      <c r="C8">
        <v>1.6240000000000001</v>
      </c>
      <c r="D8">
        <v>1.3680000000000001</v>
      </c>
      <c r="E8">
        <v>1.587</v>
      </c>
      <c r="F8">
        <v>1071997.3</v>
      </c>
      <c r="G8">
        <v>1.587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0.71093749999999889</v>
      </c>
      <c r="Q8">
        <f t="shared" ref="Q8" si="16">F8*P8</f>
        <v>762123.08046874881</v>
      </c>
      <c r="R8">
        <f t="shared" ref="R8" si="17">R9+Q8</f>
        <v>-89277836.35081844</v>
      </c>
      <c r="S8">
        <f t="shared" ref="S8" si="18">R8/100000</f>
        <v>-892.77836350818438</v>
      </c>
      <c r="T8">
        <f t="shared" ref="T8" si="19">S8/1000</f>
        <v>-0.8927783635081844</v>
      </c>
    </row>
    <row r="9" spans="1:20" x14ac:dyDescent="0.25">
      <c r="A9" s="5">
        <v>44584</v>
      </c>
      <c r="B9">
        <v>1.508</v>
      </c>
      <c r="C9">
        <v>1.7270000000000001</v>
      </c>
      <c r="D9">
        <v>1.4790000000000001</v>
      </c>
      <c r="E9">
        <v>1.6</v>
      </c>
      <c r="F9">
        <v>1308754.1000000001</v>
      </c>
      <c r="G9">
        <v>1.6</v>
      </c>
      <c r="L9" t="s">
        <v>8</v>
      </c>
      <c r="M9" t="s">
        <v>8</v>
      </c>
      <c r="N9" t="s">
        <v>7</v>
      </c>
      <c r="P9">
        <f t="shared" ref="P9" si="20">IF(C9=D9,0,((E9-D9)-(C9-E9))/(C9-D9))</f>
        <v>-2.4193548387096794E-2</v>
      </c>
      <c r="Q9">
        <f t="shared" ref="Q9" si="21">F9*P9</f>
        <v>-31663.405645161318</v>
      </c>
      <c r="R9">
        <f t="shared" ref="R9" si="22">R10+Q9</f>
        <v>-90039959.431287184</v>
      </c>
      <c r="S9">
        <f t="shared" ref="S9" si="23">R9/100000</f>
        <v>-900.39959431287184</v>
      </c>
      <c r="T9">
        <f t="shared" ref="T9" si="24">S9/1000</f>
        <v>-0.90039959431287186</v>
      </c>
    </row>
    <row r="10" spans="1:20" x14ac:dyDescent="0.25">
      <c r="A10" s="5">
        <v>44583</v>
      </c>
      <c r="B10">
        <v>1.6579999999999999</v>
      </c>
      <c r="C10">
        <v>1.7749999999999999</v>
      </c>
      <c r="D10">
        <v>1.2989999999999999</v>
      </c>
      <c r="E10">
        <v>1.5089999999999999</v>
      </c>
      <c r="F10">
        <v>3645796.4</v>
      </c>
      <c r="G10">
        <v>1.5089999999999999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-0.11764705882352952</v>
      </c>
      <c r="Q10">
        <f t="shared" ref="Q10" si="26">F10*P10</f>
        <v>-428917.22352941218</v>
      </c>
      <c r="R10">
        <f t="shared" ref="R10" si="27">R11+Q10</f>
        <v>-90008296.025642022</v>
      </c>
      <c r="S10">
        <f t="shared" ref="S10" si="28">R10/100000</f>
        <v>-900.08296025642028</v>
      </c>
      <c r="T10">
        <f t="shared" ref="T10" si="29">S10/1000</f>
        <v>-0.90008296025642032</v>
      </c>
    </row>
    <row r="11" spans="1:20" x14ac:dyDescent="0.25">
      <c r="A11" s="5">
        <v>44582</v>
      </c>
      <c r="B11">
        <v>2.0680000000000001</v>
      </c>
      <c r="C11">
        <v>2.101</v>
      </c>
      <c r="D11">
        <v>1.617</v>
      </c>
      <c r="E11">
        <v>1.657</v>
      </c>
      <c r="F11">
        <v>2779410.7</v>
      </c>
      <c r="G11">
        <v>1.657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-0.83471074380165278</v>
      </c>
      <c r="Q11">
        <f t="shared" ref="Q11" si="31">F11*P11</f>
        <v>-2320003.9727272727</v>
      </c>
      <c r="R11">
        <f t="shared" ref="R11" si="32">R12+Q11</f>
        <v>-89579378.802112609</v>
      </c>
      <c r="S11">
        <f t="shared" ref="S11" si="33">R11/100000</f>
        <v>-895.79378802112615</v>
      </c>
      <c r="T11">
        <f t="shared" ref="T11" si="34">S11/1000</f>
        <v>-0.89579378802112619</v>
      </c>
    </row>
    <row r="12" spans="1:20" x14ac:dyDescent="0.25">
      <c r="A12" s="5">
        <v>44581</v>
      </c>
      <c r="B12">
        <v>2.1320000000000001</v>
      </c>
      <c r="C12">
        <v>2.31</v>
      </c>
      <c r="D12">
        <v>2.0630000000000002</v>
      </c>
      <c r="E12">
        <v>2.0760000000000001</v>
      </c>
      <c r="F12">
        <v>692859.9</v>
      </c>
      <c r="G12">
        <v>2.0760000000000001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-0.89473684210526394</v>
      </c>
      <c r="Q12">
        <f t="shared" ref="Q12" si="36">F12*P12</f>
        <v>-619927.27894736896</v>
      </c>
      <c r="R12">
        <f t="shared" ref="R12" si="37">R13+Q12</f>
        <v>-87259374.82938534</v>
      </c>
      <c r="S12">
        <f t="shared" ref="S12" si="38">R12/100000</f>
        <v>-872.59374829385342</v>
      </c>
      <c r="T12">
        <f t="shared" ref="T12" si="39">S12/1000</f>
        <v>-0.87259374829385339</v>
      </c>
    </row>
    <row r="13" spans="1:20" x14ac:dyDescent="0.25">
      <c r="A13" s="5">
        <v>44580</v>
      </c>
      <c r="B13">
        <v>2.1840000000000002</v>
      </c>
      <c r="C13">
        <v>2.1930000000000001</v>
      </c>
      <c r="D13">
        <v>2.0609999999999999</v>
      </c>
      <c r="E13">
        <v>2.1349999999999998</v>
      </c>
      <c r="F13">
        <v>364900.3</v>
      </c>
      <c r="G13">
        <v>2.1349999999999998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0.12121212121211784</v>
      </c>
      <c r="Q13">
        <f t="shared" ref="Q13" si="41">F13*P13</f>
        <v>44230.339393938164</v>
      </c>
      <c r="R13">
        <f t="shared" ref="R13" si="42">R14+Q13</f>
        <v>-86639447.550437972</v>
      </c>
      <c r="S13">
        <f t="shared" ref="S13" si="43">R13/100000</f>
        <v>-866.39447550437967</v>
      </c>
      <c r="T13">
        <f t="shared" ref="T13" si="44">S13/1000</f>
        <v>-0.86639447550437965</v>
      </c>
    </row>
    <row r="14" spans="1:20" x14ac:dyDescent="0.25">
      <c r="A14" s="5">
        <v>44579</v>
      </c>
      <c r="B14">
        <v>2.1829999999999998</v>
      </c>
      <c r="C14">
        <v>2.2410000000000001</v>
      </c>
      <c r="D14">
        <v>2.06</v>
      </c>
      <c r="E14">
        <v>2.1840000000000002</v>
      </c>
      <c r="F14">
        <v>788824.7</v>
      </c>
      <c r="G14">
        <v>2.1840000000000002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0.37016574585635442</v>
      </c>
      <c r="Q14">
        <f t="shared" ref="Q14" si="46">F14*P14</f>
        <v>291995.88342541503</v>
      </c>
      <c r="R14">
        <f t="shared" ref="R14" si="47">R15+Q14</f>
        <v>-86683677.889831915</v>
      </c>
      <c r="S14">
        <f t="shared" ref="S14" si="48">R14/100000</f>
        <v>-866.83677889831915</v>
      </c>
      <c r="T14">
        <f t="shared" ref="T14" si="49">S14/1000</f>
        <v>-0.86683677889831912</v>
      </c>
    </row>
    <row r="15" spans="1:20" x14ac:dyDescent="0.25">
      <c r="A15" s="5">
        <v>44578</v>
      </c>
      <c r="B15">
        <v>2.2799999999999998</v>
      </c>
      <c r="C15">
        <v>2.2839999999999998</v>
      </c>
      <c r="D15">
        <v>2.1419999999999999</v>
      </c>
      <c r="E15">
        <v>2.181</v>
      </c>
      <c r="F15">
        <v>352400.6</v>
      </c>
      <c r="G15">
        <v>2.181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-0.45070422535211024</v>
      </c>
      <c r="Q15">
        <f t="shared" ref="Q15" si="51">F15*P15</f>
        <v>-158828.43943661885</v>
      </c>
      <c r="R15">
        <f t="shared" ref="R15" si="52">R16+Q15</f>
        <v>-86975673.77325733</v>
      </c>
      <c r="S15">
        <f t="shared" ref="S15" si="53">R15/100000</f>
        <v>-869.75673773257336</v>
      </c>
      <c r="T15">
        <f t="shared" ref="T15" si="54">S15/1000</f>
        <v>-0.86975673773257334</v>
      </c>
    </row>
    <row r="16" spans="1:20" x14ac:dyDescent="0.25">
      <c r="A16" s="5">
        <v>44577</v>
      </c>
      <c r="B16">
        <v>2.343</v>
      </c>
      <c r="C16">
        <v>2.3460000000000001</v>
      </c>
      <c r="D16">
        <v>2.2240000000000002</v>
      </c>
      <c r="E16">
        <v>2.2799999999999998</v>
      </c>
      <c r="F16">
        <v>382574.5</v>
      </c>
      <c r="G16">
        <v>2.2799999999999998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-8.1967213114759713E-2</v>
      </c>
      <c r="Q16">
        <f t="shared" ref="Q16" si="56">F16*P16</f>
        <v>-31358.565573772641</v>
      </c>
      <c r="R16">
        <f t="shared" ref="R16" si="57">R17+Q16</f>
        <v>-86816845.333820716</v>
      </c>
      <c r="S16">
        <f t="shared" ref="S16" si="58">R16/100000</f>
        <v>-868.1684533382072</v>
      </c>
      <c r="T16">
        <f t="shared" ref="T16" si="59">S16/1000</f>
        <v>-0.86816845333820725</v>
      </c>
    </row>
    <row r="17" spans="1:20" x14ac:dyDescent="0.25">
      <c r="A17" s="5">
        <v>44576</v>
      </c>
      <c r="B17">
        <v>2.331</v>
      </c>
      <c r="C17">
        <v>2.3610000000000002</v>
      </c>
      <c r="D17">
        <v>2.282</v>
      </c>
      <c r="E17">
        <v>2.3439999999999999</v>
      </c>
      <c r="F17">
        <v>337589.9</v>
      </c>
      <c r="G17">
        <v>2.3439999999999999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0.56962025316454912</v>
      </c>
      <c r="Q17">
        <f t="shared" ref="Q17" si="61">F17*P17</f>
        <v>192298.04430379483</v>
      </c>
      <c r="R17">
        <f t="shared" ref="R17" si="62">R18+Q17</f>
        <v>-86785486.768246949</v>
      </c>
      <c r="S17">
        <f t="shared" ref="S17" si="63">R17/100000</f>
        <v>-867.85486768246949</v>
      </c>
      <c r="T17">
        <f t="shared" ref="T17" si="64">S17/1000</f>
        <v>-0.86785486768246944</v>
      </c>
    </row>
    <row r="18" spans="1:20" x14ac:dyDescent="0.25">
      <c r="A18" s="5">
        <v>44575</v>
      </c>
      <c r="B18">
        <v>2.2850000000000001</v>
      </c>
      <c r="C18">
        <v>2.4089999999999998</v>
      </c>
      <c r="D18">
        <v>2.2120000000000002</v>
      </c>
      <c r="E18">
        <v>2.331</v>
      </c>
      <c r="F18">
        <v>749010.7</v>
      </c>
      <c r="G18">
        <v>2.331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0.20812182741116753</v>
      </c>
      <c r="Q18">
        <f t="shared" ref="Q18" si="66">F18*P18</f>
        <v>155885.47563451776</v>
      </c>
      <c r="R18">
        <f t="shared" ref="R18" si="67">R19+Q18</f>
        <v>-86977784.812550738</v>
      </c>
      <c r="S18">
        <f t="shared" ref="S18" si="68">R18/100000</f>
        <v>-869.77784812550738</v>
      </c>
      <c r="T18">
        <f t="shared" ref="T18" si="69">S18/1000</f>
        <v>-0.8697778481255074</v>
      </c>
    </row>
    <row r="19" spans="1:20" x14ac:dyDescent="0.25">
      <c r="A19" s="5">
        <v>44574</v>
      </c>
      <c r="B19">
        <v>2.427</v>
      </c>
      <c r="C19">
        <v>2.556</v>
      </c>
      <c r="D19">
        <v>2.2759999999999998</v>
      </c>
      <c r="E19">
        <v>2.282</v>
      </c>
      <c r="F19">
        <v>508903.9</v>
      </c>
      <c r="G19">
        <v>2.282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-0.95714285714285552</v>
      </c>
      <c r="Q19">
        <f t="shared" ref="Q19" si="71">F19*P19</f>
        <v>-487093.73285714205</v>
      </c>
      <c r="R19">
        <f t="shared" ref="R19" si="72">R20+Q19</f>
        <v>-87133670.288185254</v>
      </c>
      <c r="S19">
        <f t="shared" ref="S19" si="73">R19/100000</f>
        <v>-871.33670288185249</v>
      </c>
      <c r="T19">
        <f t="shared" ref="T19" si="74">S19/1000</f>
        <v>-0.8713367028818525</v>
      </c>
    </row>
    <row r="20" spans="1:20" x14ac:dyDescent="0.25">
      <c r="A20" s="5">
        <v>44573</v>
      </c>
      <c r="B20">
        <v>2.31</v>
      </c>
      <c r="C20">
        <v>2.4700000000000002</v>
      </c>
      <c r="D20">
        <v>2.2909999999999999</v>
      </c>
      <c r="E20">
        <v>2.4239999999999999</v>
      </c>
      <c r="F20">
        <v>508835.7</v>
      </c>
      <c r="G20">
        <v>2.4239999999999999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0.48603351955307045</v>
      </c>
      <c r="Q20">
        <f t="shared" ref="Q20" si="76">F20*P20</f>
        <v>247311.2061452503</v>
      </c>
      <c r="R20">
        <f t="shared" ref="R20" si="77">R21+Q20</f>
        <v>-86646576.555328116</v>
      </c>
      <c r="S20">
        <f t="shared" ref="S20" si="78">R20/100000</f>
        <v>-866.46576555328113</v>
      </c>
      <c r="T20">
        <f t="shared" ref="T20" si="79">S20/1000</f>
        <v>-0.86646576555328114</v>
      </c>
    </row>
    <row r="21" spans="1:20" x14ac:dyDescent="0.25">
      <c r="A21" s="5">
        <v>44572</v>
      </c>
      <c r="B21">
        <v>2.1579999999999999</v>
      </c>
      <c r="C21">
        <v>2.3380000000000001</v>
      </c>
      <c r="D21">
        <v>2.1389999999999998</v>
      </c>
      <c r="E21">
        <v>2.31</v>
      </c>
      <c r="F21">
        <v>533662.6</v>
      </c>
      <c r="G21">
        <v>2.31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0.71859296482412072</v>
      </c>
      <c r="Q21">
        <f t="shared" ref="Q21" si="81">F21*P21</f>
        <v>383486.1899497488</v>
      </c>
      <c r="R21">
        <f t="shared" ref="R21" si="82">R22+Q21</f>
        <v>-86893887.761473373</v>
      </c>
      <c r="S21">
        <f t="shared" ref="S21" si="83">R21/100000</f>
        <v>-868.93887761473377</v>
      </c>
      <c r="T21">
        <f t="shared" ref="T21" si="84">S21/1000</f>
        <v>-0.86893887761473376</v>
      </c>
    </row>
    <row r="22" spans="1:20" x14ac:dyDescent="0.25">
      <c r="A22" s="5">
        <v>44571</v>
      </c>
      <c r="B22">
        <v>2.323</v>
      </c>
      <c r="C22">
        <v>2.3780000000000001</v>
      </c>
      <c r="D22">
        <v>2.04</v>
      </c>
      <c r="E22">
        <v>2.1589999999999998</v>
      </c>
      <c r="F22">
        <v>859499.8</v>
      </c>
      <c r="G22">
        <v>2.1589999999999998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-0.29585798816568198</v>
      </c>
      <c r="Q22">
        <f t="shared" ref="Q22" si="86">F22*P22</f>
        <v>-254289.88165680604</v>
      </c>
      <c r="R22">
        <f t="shared" ref="R22" si="87">R23+Q22</f>
        <v>-87277373.951423123</v>
      </c>
      <c r="S22">
        <f t="shared" ref="S22" si="88">R22/100000</f>
        <v>-872.77373951423124</v>
      </c>
      <c r="T22">
        <f t="shared" ref="T22" si="89">S22/1000</f>
        <v>-0.87277373951423121</v>
      </c>
    </row>
    <row r="23" spans="1:20" x14ac:dyDescent="0.25">
      <c r="A23" s="5">
        <v>44570</v>
      </c>
      <c r="B23">
        <v>2.1869999999999998</v>
      </c>
      <c r="C23">
        <v>2.5</v>
      </c>
      <c r="D23">
        <v>2.149</v>
      </c>
      <c r="E23">
        <v>2.323</v>
      </c>
      <c r="F23">
        <v>1139686.1000000001</v>
      </c>
      <c r="G23">
        <v>2.323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-8.5470085470088723E-3</v>
      </c>
      <c r="Q23">
        <f t="shared" ref="Q23" si="91">F23*P23</f>
        <v>-9740.9068376072082</v>
      </c>
      <c r="R23">
        <f t="shared" ref="R23" si="92">R24+Q23</f>
        <v>-87023084.069766313</v>
      </c>
      <c r="S23">
        <f t="shared" ref="S23" si="93">R23/100000</f>
        <v>-870.2308406976631</v>
      </c>
      <c r="T23">
        <f t="shared" ref="T23" si="94">S23/1000</f>
        <v>-0.8702308406976631</v>
      </c>
    </row>
    <row r="24" spans="1:20" x14ac:dyDescent="0.25">
      <c r="A24" s="5">
        <v>44569</v>
      </c>
      <c r="B24">
        <v>2.3290000000000002</v>
      </c>
      <c r="C24">
        <v>2.375</v>
      </c>
      <c r="D24">
        <v>2.0830000000000002</v>
      </c>
      <c r="E24">
        <v>2.1869999999999998</v>
      </c>
      <c r="F24">
        <v>639650.69999999995</v>
      </c>
      <c r="G24">
        <v>2.1869999999999998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-0.28767123287671431</v>
      </c>
      <c r="Q24">
        <f t="shared" ref="Q24" si="96">F24*P24</f>
        <v>-184009.10547945331</v>
      </c>
      <c r="R24">
        <f t="shared" ref="R24" si="97">R25+Q24</f>
        <v>-87013343.1629287</v>
      </c>
      <c r="S24">
        <f t="shared" ref="S24" si="98">R24/100000</f>
        <v>-870.13343162928697</v>
      </c>
      <c r="T24">
        <f t="shared" ref="T24" si="99">S24/1000</f>
        <v>-0.87013343162928702</v>
      </c>
    </row>
    <row r="25" spans="1:20" x14ac:dyDescent="0.25">
      <c r="A25" s="5">
        <v>44568</v>
      </c>
      <c r="B25">
        <v>2.5710000000000002</v>
      </c>
      <c r="C25">
        <v>2.5710000000000002</v>
      </c>
      <c r="D25">
        <v>2.206</v>
      </c>
      <c r="E25">
        <v>2.323</v>
      </c>
      <c r="F25">
        <v>753067.4</v>
      </c>
      <c r="G25">
        <v>2.323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-0.35890410958904151</v>
      </c>
      <c r="Q25">
        <f t="shared" ref="Q25" si="101">F25*P25</f>
        <v>-270278.98465753457</v>
      </c>
      <c r="R25">
        <f t="shared" ref="R25" si="102">R26+Q25</f>
        <v>-86829334.057449251</v>
      </c>
      <c r="S25">
        <f t="shared" ref="S25" si="103">R25/100000</f>
        <v>-868.2933405744925</v>
      </c>
      <c r="T25">
        <f t="shared" ref="T25" si="104">S25/1000</f>
        <v>-0.86829334057449248</v>
      </c>
    </row>
    <row r="26" spans="1:20" x14ac:dyDescent="0.25">
      <c r="A26" s="5">
        <v>44567</v>
      </c>
      <c r="B26">
        <v>2.6309999999999998</v>
      </c>
      <c r="C26">
        <v>2.6309999999999998</v>
      </c>
      <c r="D26">
        <v>2.4609999999999999</v>
      </c>
      <c r="E26">
        <v>2.5710000000000002</v>
      </c>
      <c r="F26">
        <v>709476.2</v>
      </c>
      <c r="G26">
        <v>2.5710000000000002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0.29411764705882781</v>
      </c>
      <c r="Q26">
        <f t="shared" ref="Q26" si="106">F26*P26</f>
        <v>208669.47058823833</v>
      </c>
      <c r="R26">
        <f t="shared" ref="R26" si="107">R27+Q26</f>
        <v>-86559055.07279171</v>
      </c>
      <c r="S26">
        <f t="shared" ref="S26" si="108">R26/100000</f>
        <v>-865.59055072791716</v>
      </c>
      <c r="T26">
        <f t="shared" ref="T26" si="109">S26/1000</f>
        <v>-0.86559055072791713</v>
      </c>
    </row>
    <row r="27" spans="1:20" x14ac:dyDescent="0.25">
      <c r="A27" s="5">
        <v>44566</v>
      </c>
      <c r="B27">
        <v>2.8650000000000002</v>
      </c>
      <c r="C27">
        <v>2.8679999999999999</v>
      </c>
      <c r="D27">
        <v>2.54</v>
      </c>
      <c r="E27">
        <v>2.6280000000000001</v>
      </c>
      <c r="F27">
        <v>1070050.7</v>
      </c>
      <c r="G27">
        <v>2.6280000000000001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-0.46341463414634071</v>
      </c>
      <c r="Q27">
        <f t="shared" ref="Q27" si="111">F27*P27</f>
        <v>-495877.15365853574</v>
      </c>
      <c r="R27">
        <f t="shared" ref="R27" si="112">R28+Q27</f>
        <v>-86767724.543379948</v>
      </c>
      <c r="S27">
        <f t="shared" ref="S27" si="113">R27/100000</f>
        <v>-867.6772454337995</v>
      </c>
      <c r="T27">
        <f t="shared" ref="T27" si="114">S27/1000</f>
        <v>-0.86767724543379954</v>
      </c>
    </row>
    <row r="28" spans="1:20" x14ac:dyDescent="0.25">
      <c r="A28" s="5">
        <v>44565</v>
      </c>
      <c r="B28">
        <v>2.96</v>
      </c>
      <c r="C28">
        <v>3.0329999999999999</v>
      </c>
      <c r="D28">
        <v>2.84</v>
      </c>
      <c r="E28">
        <v>2.8650000000000002</v>
      </c>
      <c r="F28">
        <v>646819.1</v>
      </c>
      <c r="G28">
        <v>2.8650000000000002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-0.74093264248704305</v>
      </c>
      <c r="Q28">
        <f t="shared" ref="Q28" si="116">F28*P28</f>
        <v>-479249.38497409091</v>
      </c>
      <c r="R28">
        <f t="shared" ref="R28" si="117">R29+Q28</f>
        <v>-86271847.389721408</v>
      </c>
      <c r="S28">
        <f t="shared" ref="S28" si="118">R28/100000</f>
        <v>-862.71847389721404</v>
      </c>
      <c r="T28">
        <f t="shared" ref="T28" si="119">S28/1000</f>
        <v>-0.86271847389721401</v>
      </c>
    </row>
    <row r="29" spans="1:20" x14ac:dyDescent="0.25">
      <c r="A29" s="5">
        <v>44564</v>
      </c>
      <c r="B29">
        <v>3.0049999999999999</v>
      </c>
      <c r="C29">
        <v>3.2</v>
      </c>
      <c r="D29">
        <v>2.8889999999999998</v>
      </c>
      <c r="E29">
        <v>2.9580000000000002</v>
      </c>
      <c r="F29">
        <v>1398246</v>
      </c>
      <c r="G29">
        <v>2.9580000000000002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-0.5562700964630205</v>
      </c>
      <c r="Q29">
        <f t="shared" ref="Q29" si="121">F29*P29</f>
        <v>-777802.43729903258</v>
      </c>
      <c r="R29">
        <f t="shared" ref="R29" si="122">R30+Q29</f>
        <v>-85792598.004747316</v>
      </c>
      <c r="S29">
        <f t="shared" ref="S29" si="123">R29/100000</f>
        <v>-857.92598004747322</v>
      </c>
      <c r="T29">
        <f t="shared" ref="T29" si="124">S29/1000</f>
        <v>-0.85792598004747322</v>
      </c>
    </row>
    <row r="30" spans="1:20" x14ac:dyDescent="0.25">
      <c r="A30" s="5">
        <v>44563</v>
      </c>
      <c r="B30">
        <v>2.8980000000000001</v>
      </c>
      <c r="C30">
        <v>3.05</v>
      </c>
      <c r="D30">
        <v>2.83</v>
      </c>
      <c r="E30">
        <v>3.0059999999999998</v>
      </c>
      <c r="F30">
        <v>561729</v>
      </c>
      <c r="G30">
        <v>3.0059999999999998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0.5999999999999992</v>
      </c>
      <c r="Q30">
        <f t="shared" ref="Q30" si="126">F30*P30</f>
        <v>337037.39999999956</v>
      </c>
      <c r="R30">
        <f t="shared" ref="R30" si="127">R31+Q30</f>
        <v>-85014795.567448288</v>
      </c>
      <c r="S30">
        <f t="shared" ref="S30" si="128">R30/100000</f>
        <v>-850.14795567448289</v>
      </c>
      <c r="T30">
        <f t="shared" ref="T30" si="129">S30/1000</f>
        <v>-0.85014795567448287</v>
      </c>
    </row>
    <row r="31" spans="1:20" x14ac:dyDescent="0.25">
      <c r="A31" s="5">
        <v>44562</v>
      </c>
      <c r="B31">
        <v>2.7429999999999999</v>
      </c>
      <c r="C31">
        <v>2.91</v>
      </c>
      <c r="D31">
        <v>2.7320000000000002</v>
      </c>
      <c r="E31">
        <v>2.8980000000000001</v>
      </c>
      <c r="F31">
        <v>412182.8</v>
      </c>
      <c r="G31">
        <v>2.8980000000000001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0.86516853932584248</v>
      </c>
      <c r="Q31">
        <f t="shared" ref="Q31" si="131">F31*P31</f>
        <v>356607.59101123584</v>
      </c>
      <c r="R31">
        <f t="shared" ref="R31" si="132">R32+Q31</f>
        <v>-85351832.967448294</v>
      </c>
      <c r="S31">
        <f t="shared" ref="S31" si="133">R31/100000</f>
        <v>-853.51832967448297</v>
      </c>
      <c r="T31">
        <f t="shared" ref="T31" si="134">S31/1000</f>
        <v>-0.85351832967448293</v>
      </c>
    </row>
    <row r="32" spans="1:20" x14ac:dyDescent="0.25">
      <c r="A32" s="5">
        <v>44561</v>
      </c>
      <c r="B32">
        <v>2.7890000000000001</v>
      </c>
      <c r="C32">
        <v>2.85</v>
      </c>
      <c r="D32">
        <v>2.6859999999999999</v>
      </c>
      <c r="E32">
        <v>2.7440000000000002</v>
      </c>
      <c r="F32">
        <v>378636.1</v>
      </c>
      <c r="G32">
        <v>2.7440000000000002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-0.29268292682926561</v>
      </c>
      <c r="Q32">
        <f t="shared" ref="Q32" si="136">F32*P32</f>
        <v>-110820.32195121849</v>
      </c>
      <c r="R32">
        <f t="shared" ref="R32" si="137">R33+Q32</f>
        <v>-85708440.558459535</v>
      </c>
      <c r="S32">
        <f t="shared" ref="S32" si="138">R32/100000</f>
        <v>-857.0844055845954</v>
      </c>
      <c r="T32">
        <f t="shared" ref="T32" si="139">S32/1000</f>
        <v>-0.85708440558459542</v>
      </c>
    </row>
    <row r="33" spans="1:20" x14ac:dyDescent="0.25">
      <c r="A33" s="5">
        <v>44560</v>
      </c>
      <c r="B33">
        <v>2.6749999999999998</v>
      </c>
      <c r="C33">
        <v>2.923</v>
      </c>
      <c r="D33">
        <v>2.6339999999999999</v>
      </c>
      <c r="E33">
        <v>2.7890000000000001</v>
      </c>
      <c r="F33">
        <v>555145.19999999995</v>
      </c>
      <c r="G33">
        <v>2.7890000000000001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7.2664359861592878E-2</v>
      </c>
      <c r="Q33">
        <f t="shared" ref="Q33" si="141">F33*P33</f>
        <v>40339.270588235944</v>
      </c>
      <c r="R33">
        <f t="shared" ref="R33" si="142">R34+Q33</f>
        <v>-85597620.23650831</v>
      </c>
      <c r="S33">
        <f t="shared" ref="S33" si="143">R33/100000</f>
        <v>-855.97620236508305</v>
      </c>
      <c r="T33">
        <f t="shared" ref="T33" si="144">S33/1000</f>
        <v>-0.85597620236508309</v>
      </c>
    </row>
    <row r="34" spans="1:20" x14ac:dyDescent="0.25">
      <c r="A34" s="5">
        <v>44559</v>
      </c>
      <c r="B34">
        <v>2.8050000000000002</v>
      </c>
      <c r="C34">
        <v>2.8170000000000002</v>
      </c>
      <c r="D34">
        <v>2.65</v>
      </c>
      <c r="E34">
        <v>2.6709999999999998</v>
      </c>
      <c r="F34">
        <v>485761.3</v>
      </c>
      <c r="G34">
        <v>2.6709999999999998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-0.74850299401197751</v>
      </c>
      <c r="Q34">
        <f t="shared" ref="Q34" si="146">F34*P34</f>
        <v>-363593.7874251504</v>
      </c>
      <c r="R34">
        <f t="shared" ref="R34" si="147">R35+Q34</f>
        <v>-85637959.507096544</v>
      </c>
      <c r="S34">
        <f t="shared" ref="S34" si="148">R34/100000</f>
        <v>-856.37959507096548</v>
      </c>
      <c r="T34">
        <f t="shared" ref="T34" si="149">S34/1000</f>
        <v>-0.8563795950709655</v>
      </c>
    </row>
    <row r="35" spans="1:20" x14ac:dyDescent="0.25">
      <c r="A35" s="5">
        <v>44558</v>
      </c>
      <c r="B35">
        <v>2.9489999999999998</v>
      </c>
      <c r="C35">
        <v>2.96</v>
      </c>
      <c r="D35">
        <v>2.6869999999999998</v>
      </c>
      <c r="E35">
        <v>2.802</v>
      </c>
      <c r="F35">
        <v>781830.5</v>
      </c>
      <c r="G35">
        <v>2.802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-0.15750915750915637</v>
      </c>
      <c r="Q35">
        <f t="shared" ref="Q35" si="151">F35*P35</f>
        <v>-123145.46336996248</v>
      </c>
      <c r="R35">
        <f t="shared" ref="R35" si="152">R36+Q35</f>
        <v>-85274365.719671398</v>
      </c>
      <c r="S35">
        <f t="shared" ref="S35" si="153">R35/100000</f>
        <v>-852.74365719671403</v>
      </c>
      <c r="T35">
        <f t="shared" ref="T35" si="154">S35/1000</f>
        <v>-0.85274365719671408</v>
      </c>
    </row>
    <row r="36" spans="1:20" x14ac:dyDescent="0.25">
      <c r="A36" s="5">
        <v>44557</v>
      </c>
      <c r="B36">
        <v>2.931</v>
      </c>
      <c r="C36">
        <v>3.0720000000000001</v>
      </c>
      <c r="D36">
        <v>2.871</v>
      </c>
      <c r="E36">
        <v>2.9489999999999998</v>
      </c>
      <c r="F36">
        <v>697336.3</v>
      </c>
      <c r="G36">
        <v>2.9489999999999998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-0.22388059701492716</v>
      </c>
      <c r="Q36">
        <f t="shared" ref="Q36" si="156">F36*P36</f>
        <v>-156120.06716418036</v>
      </c>
      <c r="R36">
        <f t="shared" ref="R36" si="157">R37+Q36</f>
        <v>-85151220.256301433</v>
      </c>
      <c r="S36">
        <f t="shared" ref="S36" si="158">R36/100000</f>
        <v>-851.51220256301428</v>
      </c>
      <c r="T36">
        <f t="shared" ref="T36" si="159">S36/1000</f>
        <v>-0.8515122025630143</v>
      </c>
    </row>
    <row r="37" spans="1:20" x14ac:dyDescent="0.25">
      <c r="A37" s="5">
        <v>44556</v>
      </c>
      <c r="B37">
        <v>2.9289999999999998</v>
      </c>
      <c r="C37">
        <v>2.98</v>
      </c>
      <c r="D37">
        <v>2.8330000000000002</v>
      </c>
      <c r="E37">
        <v>2.9319999999999999</v>
      </c>
      <c r="F37">
        <v>574093.19999999995</v>
      </c>
      <c r="G37">
        <v>2.9319999999999999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0.34693877551020258</v>
      </c>
      <c r="Q37">
        <f t="shared" ref="Q37" si="161">F37*P37</f>
        <v>199175.19183673381</v>
      </c>
      <c r="R37">
        <f t="shared" ref="R37" si="162">R38+Q37</f>
        <v>-84995100.18913725</v>
      </c>
      <c r="S37">
        <f t="shared" ref="S37" si="163">R37/100000</f>
        <v>-849.95100189137247</v>
      </c>
      <c r="T37">
        <f t="shared" ref="T37" si="164">S37/1000</f>
        <v>-0.84995100189137252</v>
      </c>
    </row>
    <row r="38" spans="1:20" x14ac:dyDescent="0.25">
      <c r="A38" s="5">
        <v>44555</v>
      </c>
      <c r="B38">
        <v>2.8460000000000001</v>
      </c>
      <c r="C38">
        <v>2.9649999999999999</v>
      </c>
      <c r="D38">
        <v>2.7730000000000001</v>
      </c>
      <c r="E38">
        <v>2.93</v>
      </c>
      <c r="F38">
        <v>551215.1</v>
      </c>
      <c r="G38">
        <v>2.93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0.63541666666666929</v>
      </c>
      <c r="Q38">
        <f t="shared" ref="Q38" si="166">F38*P38</f>
        <v>350251.26145833475</v>
      </c>
      <c r="R38">
        <f t="shared" ref="R38" si="167">R39+Q38</f>
        <v>-85194275.38097398</v>
      </c>
      <c r="S38">
        <f t="shared" ref="S38" si="168">R38/100000</f>
        <v>-851.94275380973977</v>
      </c>
      <c r="T38">
        <f t="shared" ref="T38" si="169">S38/1000</f>
        <v>-0.85194275380973972</v>
      </c>
    </row>
    <row r="39" spans="1:20" x14ac:dyDescent="0.25">
      <c r="A39" s="5">
        <v>44554</v>
      </c>
      <c r="B39">
        <v>2.7690000000000001</v>
      </c>
      <c r="C39">
        <v>2.9889999999999999</v>
      </c>
      <c r="D39">
        <v>2.754</v>
      </c>
      <c r="E39">
        <v>2.8439999999999999</v>
      </c>
      <c r="F39">
        <v>1150141.7</v>
      </c>
      <c r="G39">
        <v>2.8439999999999999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-0.23404255319149017</v>
      </c>
      <c r="Q39">
        <f t="shared" ref="Q39" si="171">F39*P39</f>
        <v>-269182.10000000091</v>
      </c>
      <c r="R39">
        <f t="shared" ref="R39" si="172">R40+Q39</f>
        <v>-85544526.642432317</v>
      </c>
      <c r="S39">
        <f t="shared" ref="S39" si="173">R39/100000</f>
        <v>-855.44526642432322</v>
      </c>
      <c r="T39">
        <f t="shared" ref="T39" si="174">S39/1000</f>
        <v>-0.85544526642432317</v>
      </c>
    </row>
    <row r="40" spans="1:20" x14ac:dyDescent="0.25">
      <c r="A40" s="5">
        <v>44553</v>
      </c>
      <c r="B40">
        <v>2.66</v>
      </c>
      <c r="C40">
        <v>2.8210000000000002</v>
      </c>
      <c r="D40">
        <v>2.59</v>
      </c>
      <c r="E40">
        <v>2.7719999999999998</v>
      </c>
      <c r="F40">
        <v>866027.2</v>
      </c>
      <c r="G40">
        <v>2.7719999999999998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0.57575757575757303</v>
      </c>
      <c r="Q40">
        <f t="shared" ref="Q40" si="176">F40*P40</f>
        <v>498621.72121211881</v>
      </c>
      <c r="R40">
        <f t="shared" ref="R40" si="177">R41+Q40</f>
        <v>-85275344.542432323</v>
      </c>
      <c r="S40">
        <f t="shared" ref="S40" si="178">R40/100000</f>
        <v>-852.75344542432322</v>
      </c>
      <c r="T40">
        <f t="shared" ref="T40" si="179">S40/1000</f>
        <v>-0.85275344542432319</v>
      </c>
    </row>
    <row r="41" spans="1:20" x14ac:dyDescent="0.25">
      <c r="A41" s="5">
        <v>44552</v>
      </c>
      <c r="B41">
        <v>2.7559999999999998</v>
      </c>
      <c r="C41">
        <v>2.8260000000000001</v>
      </c>
      <c r="D41">
        <v>2.6589999999999998</v>
      </c>
      <c r="E41">
        <v>2.6589999999999998</v>
      </c>
      <c r="F41">
        <v>685717.2</v>
      </c>
      <c r="G41">
        <v>2.6589999999999998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-1</v>
      </c>
      <c r="Q41">
        <f t="shared" ref="Q41" si="181">F41*P41</f>
        <v>-685717.2</v>
      </c>
      <c r="R41">
        <f t="shared" ref="R41" si="182">R42+Q41</f>
        <v>-85773966.263644442</v>
      </c>
      <c r="S41">
        <f t="shared" ref="S41" si="183">R41/100000</f>
        <v>-857.73966263644445</v>
      </c>
      <c r="T41">
        <f t="shared" ref="T41" si="184">S41/1000</f>
        <v>-0.85773966263644441</v>
      </c>
    </row>
    <row r="42" spans="1:20" x14ac:dyDescent="0.25">
      <c r="A42" s="5">
        <v>44551</v>
      </c>
      <c r="B42">
        <v>2.5939999999999999</v>
      </c>
      <c r="C42">
        <v>2.7890000000000001</v>
      </c>
      <c r="D42">
        <v>2.5299999999999998</v>
      </c>
      <c r="E42">
        <v>2.7549999999999999</v>
      </c>
      <c r="F42">
        <v>778985.5</v>
      </c>
      <c r="G42">
        <v>2.7549999999999999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0.73745173745173587</v>
      </c>
      <c r="Q42">
        <f t="shared" ref="Q42" si="186">F42*P42</f>
        <v>574464.21042470913</v>
      </c>
      <c r="R42">
        <f t="shared" ref="R42" si="187">R43+Q42</f>
        <v>-85088249.063644439</v>
      </c>
      <c r="S42">
        <f t="shared" ref="S42" si="188">R42/100000</f>
        <v>-850.88249063644435</v>
      </c>
      <c r="T42">
        <f t="shared" ref="T42" si="189">S42/1000</f>
        <v>-0.85088249063644439</v>
      </c>
    </row>
    <row r="43" spans="1:20" x14ac:dyDescent="0.25">
      <c r="A43" s="5">
        <v>44550</v>
      </c>
      <c r="B43">
        <v>2.746</v>
      </c>
      <c r="C43">
        <v>2.7639999999999998</v>
      </c>
      <c r="D43">
        <v>2.5</v>
      </c>
      <c r="E43">
        <v>2.59</v>
      </c>
      <c r="F43">
        <v>871125.4</v>
      </c>
      <c r="G43">
        <v>2.59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-0.31818181818181873</v>
      </c>
      <c r="Q43">
        <f t="shared" ref="Q43" si="191">F43*P43</f>
        <v>-277176.26363636414</v>
      </c>
      <c r="R43">
        <f t="shared" ref="R43" si="192">R44+Q43</f>
        <v>-85662713.274069145</v>
      </c>
      <c r="S43">
        <f t="shared" ref="S43" si="193">R43/100000</f>
        <v>-856.62713274069142</v>
      </c>
      <c r="T43">
        <f t="shared" ref="T43" si="194">S43/1000</f>
        <v>-0.85662713274069147</v>
      </c>
    </row>
    <row r="44" spans="1:20" x14ac:dyDescent="0.25">
      <c r="A44" s="5">
        <v>44549</v>
      </c>
      <c r="B44">
        <v>2.8170000000000002</v>
      </c>
      <c r="C44">
        <v>2.8849999999999998</v>
      </c>
      <c r="D44">
        <v>2.746</v>
      </c>
      <c r="E44">
        <v>2.746</v>
      </c>
      <c r="F44">
        <v>517557.5</v>
      </c>
      <c r="G44">
        <v>2.746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-1</v>
      </c>
      <c r="Q44">
        <f t="shared" ref="Q44" si="196">F44*P44</f>
        <v>-517557.5</v>
      </c>
      <c r="R44">
        <f t="shared" ref="R44" si="197">R45+Q44</f>
        <v>-85385537.01043278</v>
      </c>
      <c r="S44">
        <f t="shared" ref="S44" si="198">R44/100000</f>
        <v>-853.85537010432779</v>
      </c>
      <c r="T44">
        <f t="shared" ref="T44" si="199">S44/1000</f>
        <v>-0.85385537010432777</v>
      </c>
    </row>
    <row r="45" spans="1:20" x14ac:dyDescent="0.25">
      <c r="A45" s="5">
        <v>44548</v>
      </c>
      <c r="B45">
        <v>2.8439999999999999</v>
      </c>
      <c r="C45">
        <v>2.9420000000000002</v>
      </c>
      <c r="D45">
        <v>2.7719999999999998</v>
      </c>
      <c r="E45">
        <v>2.82</v>
      </c>
      <c r="F45">
        <v>554762.4</v>
      </c>
      <c r="G45">
        <v>2.82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-0.43529411764705955</v>
      </c>
      <c r="Q45">
        <f t="shared" ref="Q45" si="201">F45*P45</f>
        <v>-241484.80941176513</v>
      </c>
      <c r="R45">
        <f t="shared" ref="R45" si="202">R46+Q45</f>
        <v>-84867979.51043278</v>
      </c>
      <c r="S45">
        <f t="shared" ref="S45" si="203">R45/100000</f>
        <v>-848.67979510432781</v>
      </c>
      <c r="T45">
        <f t="shared" ref="T45" si="204">S45/1000</f>
        <v>-0.84867979510432778</v>
      </c>
    </row>
    <row r="46" spans="1:20" x14ac:dyDescent="0.25">
      <c r="A46" s="5">
        <v>44547</v>
      </c>
      <c r="B46">
        <v>3.0569999999999999</v>
      </c>
      <c r="C46">
        <v>3.0840000000000001</v>
      </c>
      <c r="D46">
        <v>2.794</v>
      </c>
      <c r="E46">
        <v>2.847</v>
      </c>
      <c r="F46">
        <v>965337</v>
      </c>
      <c r="G46">
        <v>2.847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-0.63448275862069015</v>
      </c>
      <c r="Q46">
        <f t="shared" ref="Q46" si="206">F46*P46</f>
        <v>-612489.68275862117</v>
      </c>
      <c r="R46">
        <f t="shared" ref="R46" si="207">R47+Q46</f>
        <v>-84626494.701021016</v>
      </c>
      <c r="S46">
        <f t="shared" ref="S46" si="208">R46/100000</f>
        <v>-846.26494701021011</v>
      </c>
      <c r="T46">
        <f t="shared" ref="T46" si="209">S46/1000</f>
        <v>-0.84626494701021016</v>
      </c>
    </row>
    <row r="47" spans="1:20" x14ac:dyDescent="0.25">
      <c r="A47" s="5">
        <v>44546</v>
      </c>
      <c r="B47">
        <v>3.2650000000000001</v>
      </c>
      <c r="C47">
        <v>3.286</v>
      </c>
      <c r="D47">
        <v>3.05</v>
      </c>
      <c r="E47">
        <v>3.06</v>
      </c>
      <c r="F47">
        <v>653192.1</v>
      </c>
      <c r="G47">
        <v>3.06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-0.91525423728813371</v>
      </c>
      <c r="Q47">
        <f t="shared" ref="Q47" si="211">F47*P47</f>
        <v>-597836.83728813438</v>
      </c>
      <c r="R47">
        <f t="shared" ref="R47" si="212">R48+Q47</f>
        <v>-84014005.018262401</v>
      </c>
      <c r="S47">
        <f t="shared" ref="S47" si="213">R47/100000</f>
        <v>-840.14005018262401</v>
      </c>
      <c r="T47">
        <f t="shared" ref="T47" si="214">S47/1000</f>
        <v>-0.84014005018262405</v>
      </c>
    </row>
    <row r="48" spans="1:20" x14ac:dyDescent="0.25">
      <c r="A48" s="5">
        <v>44545</v>
      </c>
      <c r="B48">
        <v>3.1659999999999999</v>
      </c>
      <c r="C48">
        <v>3.448</v>
      </c>
      <c r="D48">
        <v>2.8919999999999999</v>
      </c>
      <c r="E48">
        <v>3.2650000000000001</v>
      </c>
      <c r="F48">
        <v>1324092.3</v>
      </c>
      <c r="G48">
        <v>3.2650000000000001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0.34172661870503662</v>
      </c>
      <c r="Q48">
        <f t="shared" ref="Q48" si="216">F48*P48</f>
        <v>452477.58453237498</v>
      </c>
      <c r="R48">
        <f t="shared" ref="R48" si="217">R49+Q48</f>
        <v>-83416168.18097426</v>
      </c>
      <c r="S48">
        <f t="shared" ref="S48" si="218">R48/100000</f>
        <v>-834.16168180974262</v>
      </c>
      <c r="T48">
        <f t="shared" ref="T48" si="219">S48/1000</f>
        <v>-0.83416168180974259</v>
      </c>
    </row>
    <row r="49" spans="1:20" x14ac:dyDescent="0.25">
      <c r="A49" s="5">
        <v>44544</v>
      </c>
      <c r="B49">
        <v>3.1339999999999999</v>
      </c>
      <c r="C49">
        <v>3.29</v>
      </c>
      <c r="D49">
        <v>3</v>
      </c>
      <c r="E49">
        <v>3.1659999999999999</v>
      </c>
      <c r="F49">
        <v>1333628.3999999999</v>
      </c>
      <c r="G49">
        <v>3.1659999999999999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0.1448275862068959</v>
      </c>
      <c r="Q49">
        <f t="shared" ref="Q49" si="221">F49*P49</f>
        <v>193146.18206896464</v>
      </c>
      <c r="R49">
        <f t="shared" ref="R49" si="222">R50+Q49</f>
        <v>-83868645.76550664</v>
      </c>
      <c r="S49">
        <f t="shared" ref="S49" si="223">R49/100000</f>
        <v>-838.68645765506642</v>
      </c>
      <c r="T49">
        <f t="shared" ref="T49" si="224">S49/1000</f>
        <v>-0.83868645765506644</v>
      </c>
    </row>
    <row r="50" spans="1:20" x14ac:dyDescent="0.25">
      <c r="A50" s="5">
        <v>44543</v>
      </c>
      <c r="B50">
        <v>3.4380000000000002</v>
      </c>
      <c r="C50">
        <v>3.6760000000000002</v>
      </c>
      <c r="D50">
        <v>3.0939999999999999</v>
      </c>
      <c r="E50">
        <v>3.1339999999999999</v>
      </c>
      <c r="F50">
        <v>1661966.7</v>
      </c>
      <c r="G50">
        <v>3.1339999999999999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-0.86254295532646041</v>
      </c>
      <c r="Q50">
        <f t="shared" ref="Q50" si="226">F50*P50</f>
        <v>-1433517.6690721647</v>
      </c>
      <c r="R50">
        <f t="shared" ref="R50" si="227">R51+Q50</f>
        <v>-84061791.947575599</v>
      </c>
      <c r="S50">
        <f t="shared" ref="S50" si="228">R50/100000</f>
        <v>-840.61791947575603</v>
      </c>
      <c r="T50">
        <f t="shared" ref="T50" si="229">S50/1000</f>
        <v>-0.84061791947575604</v>
      </c>
    </row>
    <row r="51" spans="1:20" x14ac:dyDescent="0.25">
      <c r="A51" s="5">
        <v>44542</v>
      </c>
      <c r="B51">
        <v>3.4209999999999998</v>
      </c>
      <c r="C51">
        <v>3.5</v>
      </c>
      <c r="D51">
        <v>3.2770000000000001</v>
      </c>
      <c r="E51">
        <v>3.4380000000000002</v>
      </c>
      <c r="F51">
        <v>1036519.8</v>
      </c>
      <c r="G51">
        <v>3.4380000000000002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0.44394618834080835</v>
      </c>
      <c r="Q51">
        <f t="shared" ref="Q51" si="231">F51*P51</f>
        <v>460159.01434977702</v>
      </c>
      <c r="R51">
        <f t="shared" ref="R51" si="232">R52+Q51</f>
        <v>-82628274.278503433</v>
      </c>
      <c r="S51">
        <f t="shared" ref="S51" si="233">R51/100000</f>
        <v>-826.28274278503432</v>
      </c>
      <c r="T51">
        <f t="shared" ref="T51" si="234">S51/1000</f>
        <v>-0.82628274278503433</v>
      </c>
    </row>
    <row r="52" spans="1:20" x14ac:dyDescent="0.25">
      <c r="A52" s="5">
        <v>44541</v>
      </c>
      <c r="B52">
        <v>3.3029999999999999</v>
      </c>
      <c r="C52">
        <v>3.3279999999999998</v>
      </c>
      <c r="D52">
        <v>3.2120000000000002</v>
      </c>
      <c r="E52">
        <v>3.3250000000000002</v>
      </c>
      <c r="F52">
        <v>70231.600000000006</v>
      </c>
      <c r="G52">
        <v>3.3250000000000002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0.94827586206897108</v>
      </c>
      <c r="Q52">
        <f t="shared" ref="Q52" si="236">F52*P52</f>
        <v>66598.931034483161</v>
      </c>
      <c r="R52">
        <f t="shared" ref="R52" si="237">R53+Q52</f>
        <v>-83088433.292853206</v>
      </c>
      <c r="S52">
        <f t="shared" ref="S52" si="238">R52/100000</f>
        <v>-830.8843329285321</v>
      </c>
      <c r="T52">
        <f t="shared" ref="T52" si="239">S52/1000</f>
        <v>-0.83088433292853214</v>
      </c>
    </row>
    <row r="53" spans="1:20" x14ac:dyDescent="0.25">
      <c r="A53" s="5">
        <v>44540</v>
      </c>
      <c r="B53">
        <v>3.363</v>
      </c>
      <c r="C53">
        <v>3.5649999999999999</v>
      </c>
      <c r="D53">
        <v>3.2839999999999998</v>
      </c>
      <c r="E53">
        <v>3.302</v>
      </c>
      <c r="F53">
        <v>918487.2</v>
      </c>
      <c r="G53">
        <v>3.302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-0.8718861209964397</v>
      </c>
      <c r="Q53">
        <f t="shared" ref="Q53" si="241">F53*P53</f>
        <v>-800816.24199288106</v>
      </c>
      <c r="R53">
        <f t="shared" ref="R53" si="242">R54+Q53</f>
        <v>-83155032.223887697</v>
      </c>
      <c r="S53">
        <f t="shared" ref="S53" si="243">R53/100000</f>
        <v>-831.55032223887702</v>
      </c>
      <c r="T53">
        <f t="shared" ref="T53" si="244">S53/1000</f>
        <v>-0.83155032223887704</v>
      </c>
    </row>
    <row r="54" spans="1:20" x14ac:dyDescent="0.25">
      <c r="A54" s="5">
        <v>44539</v>
      </c>
      <c r="B54">
        <v>3.7349999999999999</v>
      </c>
      <c r="C54">
        <v>3.7770000000000001</v>
      </c>
      <c r="D54">
        <v>3.3239999999999998</v>
      </c>
      <c r="E54">
        <v>3.3679999999999999</v>
      </c>
      <c r="F54">
        <v>1781068.5</v>
      </c>
      <c r="G54">
        <v>3.3679999999999999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-0.80573951434878588</v>
      </c>
      <c r="Q54">
        <f t="shared" ref="Q54" si="246">F54*P54</f>
        <v>-1435077.2682119205</v>
      </c>
      <c r="R54">
        <f t="shared" ref="R54" si="247">R55+Q54</f>
        <v>-82354215.981894821</v>
      </c>
      <c r="S54">
        <f t="shared" ref="S54" si="248">R54/100000</f>
        <v>-823.54215981894822</v>
      </c>
      <c r="T54">
        <f t="shared" ref="T54" si="249">S54/1000</f>
        <v>-0.82354215981894818</v>
      </c>
    </row>
    <row r="55" spans="1:20" x14ac:dyDescent="0.25">
      <c r="A55" s="5">
        <v>44538</v>
      </c>
      <c r="B55">
        <v>3.8820000000000001</v>
      </c>
      <c r="C55">
        <v>4.274</v>
      </c>
      <c r="D55">
        <v>3.65</v>
      </c>
      <c r="E55">
        <v>3.738</v>
      </c>
      <c r="F55">
        <v>2395831.9</v>
      </c>
      <c r="G55">
        <v>3.738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-0.71794871794871773</v>
      </c>
      <c r="Q55">
        <f t="shared" ref="Q55" si="251">F55*P55</f>
        <v>-1720084.4410256403</v>
      </c>
      <c r="R55">
        <f t="shared" ref="R55" si="252">R56+Q55</f>
        <v>-80919138.713682905</v>
      </c>
      <c r="S55">
        <f t="shared" ref="S55" si="253">R55/100000</f>
        <v>-809.19138713682901</v>
      </c>
      <c r="T55">
        <f t="shared" ref="T55" si="254">S55/1000</f>
        <v>-0.80919138713682903</v>
      </c>
    </row>
    <row r="56" spans="1:20" x14ac:dyDescent="0.25">
      <c r="A56" s="5">
        <v>44537</v>
      </c>
      <c r="B56">
        <v>3.8109999999999999</v>
      </c>
      <c r="C56">
        <v>5.27</v>
      </c>
      <c r="D56">
        <v>3.76</v>
      </c>
      <c r="E56">
        <v>3.88</v>
      </c>
      <c r="F56">
        <v>13067503.65</v>
      </c>
      <c r="G56">
        <v>3.88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-0.84105960264900648</v>
      </c>
      <c r="Q56">
        <f t="shared" ref="Q56" si="256">F56*P56</f>
        <v>-10990549.427483441</v>
      </c>
      <c r="R56">
        <f t="shared" ref="R56" si="257">R57+Q56</f>
        <v>-79199054.27265726</v>
      </c>
      <c r="S56">
        <f t="shared" ref="S56" si="258">R56/100000</f>
        <v>-791.99054272657258</v>
      </c>
      <c r="T56">
        <f t="shared" ref="T56" si="259">S56/1000</f>
        <v>-0.79199054272657254</v>
      </c>
    </row>
    <row r="57" spans="1:20" x14ac:dyDescent="0.25">
      <c r="A57" s="5">
        <v>44536</v>
      </c>
      <c r="B57">
        <v>3.266</v>
      </c>
      <c r="C57">
        <v>4.2</v>
      </c>
      <c r="D57">
        <v>2.8780000000000001</v>
      </c>
      <c r="E57">
        <v>3.8159999999999998</v>
      </c>
      <c r="F57">
        <v>5441014.5999999996</v>
      </c>
      <c r="G57">
        <v>3.8159999999999998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0.41906202723146696</v>
      </c>
      <c r="Q57">
        <f t="shared" ref="Q57" si="261">F57*P57</f>
        <v>2280122.6084720092</v>
      </c>
      <c r="R57">
        <f t="shared" ref="R57" si="262">R58+Q57</f>
        <v>-68208504.845173821</v>
      </c>
      <c r="S57">
        <f t="shared" ref="S57" si="263">R57/100000</f>
        <v>-682.0850484517382</v>
      </c>
      <c r="T57">
        <f t="shared" ref="T57" si="264">S57/1000</f>
        <v>-0.68208504845173823</v>
      </c>
    </row>
    <row r="58" spans="1:20" x14ac:dyDescent="0.25">
      <c r="A58" s="5">
        <v>44535</v>
      </c>
      <c r="B58">
        <v>3.423</v>
      </c>
      <c r="C58">
        <v>3.6739999999999999</v>
      </c>
      <c r="D58">
        <v>3.2229999999999999</v>
      </c>
      <c r="E58">
        <v>3.2650000000000001</v>
      </c>
      <c r="F58">
        <v>1384428.8</v>
      </c>
      <c r="G58">
        <v>3.2650000000000001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-0.81374722838137359</v>
      </c>
      <c r="Q58">
        <f t="shared" ref="Q58" si="266">F58*P58</f>
        <v>-1126575.0988913509</v>
      </c>
      <c r="R58">
        <f t="shared" ref="R58" si="267">R59+Q58</f>
        <v>-70488627.453645825</v>
      </c>
      <c r="S58">
        <f t="shared" ref="S58" si="268">R58/100000</f>
        <v>-704.88627453645825</v>
      </c>
      <c r="T58">
        <f t="shared" ref="T58" si="269">S58/1000</f>
        <v>-0.70488627453645825</v>
      </c>
    </row>
    <row r="59" spans="1:20" x14ac:dyDescent="0.25">
      <c r="A59" s="5">
        <v>44534</v>
      </c>
      <c r="B59">
        <v>3.7309999999999999</v>
      </c>
      <c r="C59">
        <v>3.7730000000000001</v>
      </c>
      <c r="D59">
        <v>3.028</v>
      </c>
      <c r="E59">
        <v>3.4249999999999998</v>
      </c>
      <c r="F59">
        <v>1714702.4</v>
      </c>
      <c r="G59">
        <v>3.4249999999999998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6.5771812080536216E-2</v>
      </c>
      <c r="Q59">
        <f t="shared" ref="Q59" si="271">F59*P59</f>
        <v>112779.08402684443</v>
      </c>
      <c r="R59">
        <f t="shared" ref="R59" si="272">R60+Q59</f>
        <v>-69362052.354754478</v>
      </c>
      <c r="S59">
        <f t="shared" ref="S59" si="273">R59/100000</f>
        <v>-693.62052354754474</v>
      </c>
      <c r="T59">
        <f t="shared" ref="T59" si="274">S59/1000</f>
        <v>-0.69362052354754478</v>
      </c>
    </row>
    <row r="60" spans="1:20" x14ac:dyDescent="0.25">
      <c r="A60" s="5">
        <v>44533</v>
      </c>
      <c r="B60">
        <v>3.9769999999999999</v>
      </c>
      <c r="C60">
        <v>3.9990000000000001</v>
      </c>
      <c r="D60">
        <v>3.5</v>
      </c>
      <c r="E60">
        <v>3.7389999999999999</v>
      </c>
      <c r="F60">
        <v>1272717.1000000001</v>
      </c>
      <c r="G60">
        <v>3.7389999999999999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-4.2084168336674041E-2</v>
      </c>
      <c r="Q60">
        <f t="shared" ref="Q60" si="276">F60*P60</f>
        <v>-53561.240681363612</v>
      </c>
      <c r="R60">
        <f t="shared" ref="R60" si="277">R61+Q60</f>
        <v>-69474831.438781321</v>
      </c>
      <c r="S60">
        <f t="shared" ref="S60" si="278">R60/100000</f>
        <v>-694.74831438781325</v>
      </c>
      <c r="T60">
        <f t="shared" ref="T60" si="279">S60/1000</f>
        <v>-0.69474831438781326</v>
      </c>
    </row>
    <row r="61" spans="1:20" x14ac:dyDescent="0.25">
      <c r="A61" s="5">
        <v>44532</v>
      </c>
      <c r="B61">
        <v>4.2309999999999999</v>
      </c>
      <c r="C61">
        <v>4.2549999999999999</v>
      </c>
      <c r="D61">
        <v>3.827</v>
      </c>
      <c r="E61">
        <v>3.9769999999999999</v>
      </c>
      <c r="F61">
        <v>1414294.4</v>
      </c>
      <c r="G61">
        <v>3.9769999999999999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-0.29906542056074797</v>
      </c>
      <c r="Q61">
        <f t="shared" ref="Q61" si="281">F61*P61</f>
        <v>-422966.54953271069</v>
      </c>
      <c r="R61">
        <f t="shared" ref="R61" si="282">R62+Q61</f>
        <v>-69421270.198099956</v>
      </c>
      <c r="S61">
        <f t="shared" ref="S61" si="283">R61/100000</f>
        <v>-694.21270198099955</v>
      </c>
      <c r="T61">
        <f t="shared" ref="T61" si="284">S61/1000</f>
        <v>-0.6942127019809996</v>
      </c>
    </row>
    <row r="62" spans="1:20" x14ac:dyDescent="0.25">
      <c r="A62" s="5">
        <v>44531</v>
      </c>
      <c r="B62">
        <v>3.851</v>
      </c>
      <c r="C62">
        <v>4.4000000000000004</v>
      </c>
      <c r="D62">
        <v>3.758</v>
      </c>
      <c r="E62">
        <v>4.2370000000000001</v>
      </c>
      <c r="F62">
        <v>2329838.02</v>
      </c>
      <c r="G62">
        <v>4.2370000000000001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0.49221183800623003</v>
      </c>
      <c r="Q62">
        <f t="shared" ref="Q62" si="286">F62*P62</f>
        <v>1146773.8540809958</v>
      </c>
      <c r="R62">
        <f t="shared" ref="R62" si="287">R63+Q62</f>
        <v>-68998303.648567244</v>
      </c>
      <c r="S62">
        <f t="shared" ref="S62" si="288">R62/100000</f>
        <v>-689.98303648567241</v>
      </c>
      <c r="T62">
        <f t="shared" ref="T62" si="289">S62/1000</f>
        <v>-0.68998303648567239</v>
      </c>
    </row>
    <row r="63" spans="1:20" x14ac:dyDescent="0.25">
      <c r="A63" s="5">
        <v>44530</v>
      </c>
      <c r="B63">
        <v>3.8290000000000002</v>
      </c>
      <c r="C63">
        <v>3.879</v>
      </c>
      <c r="D63">
        <v>3.6</v>
      </c>
      <c r="E63">
        <v>3.8319999999999999</v>
      </c>
      <c r="F63">
        <v>951963.5</v>
      </c>
      <c r="G63">
        <v>3.8319999999999999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0.66308243727598448</v>
      </c>
      <c r="Q63">
        <f t="shared" ref="Q63" si="291">F63*P63</f>
        <v>631230.2777777767</v>
      </c>
      <c r="R63">
        <f t="shared" ref="R63" si="292">R64+Q63</f>
        <v>-70145077.502648234</v>
      </c>
      <c r="S63">
        <f t="shared" ref="S63" si="293">R63/100000</f>
        <v>-701.45077502648235</v>
      </c>
      <c r="T63">
        <f t="shared" ref="T63" si="294">S63/1000</f>
        <v>-0.70145077502648234</v>
      </c>
    </row>
    <row r="64" spans="1:20" x14ac:dyDescent="0.25">
      <c r="A64" s="5">
        <v>44529</v>
      </c>
      <c r="B64">
        <v>3.7759999999999998</v>
      </c>
      <c r="C64">
        <v>3.99</v>
      </c>
      <c r="D64">
        <v>3.7109999999999999</v>
      </c>
      <c r="E64">
        <v>3.8290000000000002</v>
      </c>
      <c r="F64">
        <v>1173189.6000000001</v>
      </c>
      <c r="G64">
        <v>3.8290000000000002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-0.15412186379928189</v>
      </c>
      <c r="Q64">
        <f t="shared" ref="Q64" si="296">F64*P64</f>
        <v>-180814.16774193401</v>
      </c>
      <c r="R64">
        <f t="shared" ref="R64" si="297">R65+Q64</f>
        <v>-70776307.78042601</v>
      </c>
      <c r="S64">
        <f t="shared" ref="S64" si="298">R64/100000</f>
        <v>-707.76307780426009</v>
      </c>
      <c r="T64">
        <f t="shared" ref="T64" si="299">S64/1000</f>
        <v>-0.70776307780426007</v>
      </c>
    </row>
    <row r="65" spans="1:20" x14ac:dyDescent="0.25">
      <c r="A65" s="5">
        <v>44528</v>
      </c>
      <c r="B65">
        <v>3.6619999999999999</v>
      </c>
      <c r="C65">
        <v>3.778</v>
      </c>
      <c r="D65">
        <v>3.488</v>
      </c>
      <c r="E65">
        <v>3.778</v>
      </c>
      <c r="F65">
        <v>868462.8</v>
      </c>
      <c r="G65">
        <v>3.778</v>
      </c>
      <c r="L65" t="s">
        <v>7</v>
      </c>
      <c r="M65" t="s">
        <v>8</v>
      </c>
      <c r="N65" t="s">
        <v>8</v>
      </c>
      <c r="P65">
        <f t="shared" ref="P65" si="300">IF(C65=D65,0,((E65-D65)-(C65-E65))/(C65-D65))</f>
        <v>1</v>
      </c>
      <c r="Q65">
        <f t="shared" ref="Q65" si="301">F65*P65</f>
        <v>868462.8</v>
      </c>
      <c r="R65">
        <f t="shared" ref="R65" si="302">R66+Q65</f>
        <v>-70595493.612684071</v>
      </c>
      <c r="S65">
        <f t="shared" ref="S65" si="303">R65/100000</f>
        <v>-705.95493612684072</v>
      </c>
      <c r="T65">
        <f t="shared" ref="T65" si="304">S65/1000</f>
        <v>-0.70595493612684068</v>
      </c>
    </row>
    <row r="66" spans="1:20" x14ac:dyDescent="0.25">
      <c r="A66" s="5">
        <v>44527</v>
      </c>
      <c r="B66">
        <v>3.6859999999999999</v>
      </c>
      <c r="C66">
        <v>3.9</v>
      </c>
      <c r="D66">
        <v>3.56</v>
      </c>
      <c r="E66">
        <v>3.6629999999999998</v>
      </c>
      <c r="F66">
        <v>1403113.8</v>
      </c>
      <c r="G66">
        <v>3.6629999999999998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-0.39411764705882468</v>
      </c>
      <c r="Q66">
        <f t="shared" ref="Q66" si="306">F66*P66</f>
        <v>-552991.90941176633</v>
      </c>
      <c r="R66">
        <f t="shared" ref="R66" si="307">R67+Q66</f>
        <v>-71463956.412684068</v>
      </c>
      <c r="S66">
        <f t="shared" ref="S66" si="308">R66/100000</f>
        <v>-714.6395641268407</v>
      </c>
      <c r="T66">
        <f t="shared" ref="T66" si="309">S66/1000</f>
        <v>-0.71463956412684071</v>
      </c>
    </row>
    <row r="67" spans="1:20" x14ac:dyDescent="0.25">
      <c r="A67" s="5">
        <v>44526</v>
      </c>
      <c r="B67">
        <v>3.8140000000000001</v>
      </c>
      <c r="C67">
        <v>3.9</v>
      </c>
      <c r="D67">
        <v>3.38</v>
      </c>
      <c r="E67">
        <v>3.681</v>
      </c>
      <c r="F67">
        <v>2284307.4</v>
      </c>
      <c r="G67">
        <v>3.681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0.15769230769230824</v>
      </c>
      <c r="Q67">
        <f t="shared" ref="Q67" si="311">F67*P67</f>
        <v>360217.70538461662</v>
      </c>
      <c r="R67">
        <f t="shared" ref="R67" si="312">R68+Q67</f>
        <v>-70910964.503272295</v>
      </c>
      <c r="S67">
        <f t="shared" ref="S67" si="313">R67/100000</f>
        <v>-709.10964503272294</v>
      </c>
      <c r="T67">
        <f t="shared" ref="T67" si="314">S67/1000</f>
        <v>-0.70910964503272289</v>
      </c>
    </row>
    <row r="68" spans="1:20" x14ac:dyDescent="0.25">
      <c r="A68" s="5">
        <v>44525</v>
      </c>
      <c r="B68">
        <v>3.6619999999999999</v>
      </c>
      <c r="C68">
        <v>3.85</v>
      </c>
      <c r="D68">
        <v>3.468</v>
      </c>
      <c r="E68">
        <v>3.8159999999999998</v>
      </c>
      <c r="F68">
        <v>1370745.8</v>
      </c>
      <c r="G68">
        <v>3.8159999999999998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0.82198952879581022</v>
      </c>
      <c r="Q68">
        <f t="shared" ref="Q68" si="316">F68*P68</f>
        <v>1126738.694240836</v>
      </c>
      <c r="R68">
        <f t="shared" ref="R68" si="317">R69+Q68</f>
        <v>-71271182.208656907</v>
      </c>
      <c r="S68">
        <f t="shared" ref="S68" si="318">R68/100000</f>
        <v>-712.7118220865691</v>
      </c>
      <c r="T68">
        <f t="shared" ref="T68" si="319">S68/1000</f>
        <v>-0.71271182208656914</v>
      </c>
    </row>
    <row r="69" spans="1:20" x14ac:dyDescent="0.25">
      <c r="A69" s="5">
        <v>44524</v>
      </c>
      <c r="B69">
        <v>3.4119999999999999</v>
      </c>
      <c r="C69">
        <v>3.536</v>
      </c>
      <c r="D69">
        <v>3.3010000000000002</v>
      </c>
      <c r="E69">
        <v>3.4780000000000002</v>
      </c>
      <c r="F69">
        <v>723503.2</v>
      </c>
      <c r="G69">
        <v>3.4780000000000002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0.50638297872340543</v>
      </c>
      <c r="Q69">
        <f t="shared" ref="Q69" si="321">F69*P69</f>
        <v>366369.70553191571</v>
      </c>
      <c r="R69">
        <f t="shared" ref="R69" si="322">R70+Q69</f>
        <v>-72397920.902897745</v>
      </c>
      <c r="S69">
        <f t="shared" ref="S69" si="323">R69/100000</f>
        <v>-723.97920902897749</v>
      </c>
      <c r="T69">
        <f t="shared" ref="T69" si="324">S69/1000</f>
        <v>-0.7239792090289775</v>
      </c>
    </row>
    <row r="70" spans="1:20" x14ac:dyDescent="0.25">
      <c r="A70" s="5">
        <v>44523</v>
      </c>
      <c r="B70">
        <v>3.113</v>
      </c>
      <c r="C70">
        <v>3.5449999999999999</v>
      </c>
      <c r="D70">
        <v>3.0270000000000001</v>
      </c>
      <c r="E70">
        <v>3.4009999999999998</v>
      </c>
      <c r="F70">
        <v>1676865.8</v>
      </c>
      <c r="G70">
        <v>3.4009999999999998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0.44401544401544329</v>
      </c>
      <c r="Q70">
        <f t="shared" ref="Q70" si="326">F70*P70</f>
        <v>744554.3127413115</v>
      </c>
      <c r="R70">
        <f t="shared" ref="R70" si="327">R71+Q70</f>
        <v>-72764290.608429655</v>
      </c>
      <c r="S70">
        <f t="shared" ref="S70" si="328">R70/100000</f>
        <v>-727.64290608429656</v>
      </c>
      <c r="T70">
        <f t="shared" ref="T70" si="329">S70/1000</f>
        <v>-0.7276429060842966</v>
      </c>
    </row>
    <row r="71" spans="1:20" x14ac:dyDescent="0.25">
      <c r="A71" s="5">
        <v>44522</v>
      </c>
      <c r="B71">
        <v>3.1139999999999999</v>
      </c>
      <c r="C71">
        <v>3.2679999999999998</v>
      </c>
      <c r="D71">
        <v>3.012</v>
      </c>
      <c r="E71">
        <v>3.1179999999999999</v>
      </c>
      <c r="F71">
        <v>859698.3</v>
      </c>
      <c r="G71">
        <v>3.1179999999999999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-0.17187500000000031</v>
      </c>
      <c r="Q71">
        <f t="shared" ref="Q71" si="331">F71*P71</f>
        <v>-147760.64531250027</v>
      </c>
      <c r="R71">
        <f t="shared" ref="R71" si="332">R72+Q71</f>
        <v>-73508844.921170965</v>
      </c>
      <c r="S71">
        <f t="shared" ref="S71" si="333">R71/100000</f>
        <v>-735.08844921170964</v>
      </c>
      <c r="T71">
        <f t="shared" ref="T71" si="334">S71/1000</f>
        <v>-0.73508844921170968</v>
      </c>
    </row>
    <row r="72" spans="1:20" x14ac:dyDescent="0.25">
      <c r="A72" s="5">
        <v>44521</v>
      </c>
      <c r="B72">
        <v>3.1970000000000001</v>
      </c>
      <c r="C72">
        <v>3.3820000000000001</v>
      </c>
      <c r="D72">
        <v>3.1</v>
      </c>
      <c r="E72">
        <v>3.1190000000000002</v>
      </c>
      <c r="F72">
        <v>1677117.9</v>
      </c>
      <c r="G72">
        <v>3.1190000000000002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-0.86524822695035375</v>
      </c>
      <c r="Q72">
        <f t="shared" ref="Q72" si="336">F72*P72</f>
        <v>-1451123.2893617006</v>
      </c>
      <c r="R72">
        <f t="shared" ref="R72" si="337">R73+Q72</f>
        <v>-73361084.275858462</v>
      </c>
      <c r="S72">
        <f t="shared" ref="S72" si="338">R72/100000</f>
        <v>-733.61084275858457</v>
      </c>
      <c r="T72">
        <f t="shared" ref="T72" si="339">S72/1000</f>
        <v>-0.73361084275858457</v>
      </c>
    </row>
    <row r="73" spans="1:20" x14ac:dyDescent="0.25">
      <c r="A73" s="5">
        <v>44520</v>
      </c>
      <c r="B73">
        <v>2.972</v>
      </c>
      <c r="C73">
        <v>3.3</v>
      </c>
      <c r="D73">
        <v>2.9649999999999999</v>
      </c>
      <c r="E73">
        <v>3.1970000000000001</v>
      </c>
      <c r="F73">
        <v>1020898</v>
      </c>
      <c r="G73">
        <v>3.1970000000000001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0.38507462686567301</v>
      </c>
      <c r="Q73">
        <f t="shared" ref="Q73" si="341">F73*P73</f>
        <v>393121.91641791182</v>
      </c>
      <c r="R73">
        <f t="shared" ref="R73" si="342">R74+Q73</f>
        <v>-71909960.986496761</v>
      </c>
      <c r="S73">
        <f t="shared" ref="S73" si="343">R73/100000</f>
        <v>-719.09960986496765</v>
      </c>
      <c r="T73">
        <f t="shared" ref="T73" si="344">S73/1000</f>
        <v>-0.71909960986496768</v>
      </c>
    </row>
    <row r="74" spans="1:20" x14ac:dyDescent="0.25">
      <c r="A74" s="5">
        <v>44519</v>
      </c>
      <c r="B74">
        <v>2.6949999999999998</v>
      </c>
      <c r="C74">
        <v>3.19</v>
      </c>
      <c r="D74">
        <v>2.6890000000000001</v>
      </c>
      <c r="E74">
        <v>2.9670000000000001</v>
      </c>
      <c r="F74">
        <v>818754.9</v>
      </c>
      <c r="G74">
        <v>2.9670000000000001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0.10978043912175683</v>
      </c>
      <c r="Q74">
        <f t="shared" ref="Q74" si="346">F74*P74</f>
        <v>89883.272455090104</v>
      </c>
      <c r="R74">
        <f t="shared" ref="R74" si="347">R75+Q74</f>
        <v>-72303082.902914673</v>
      </c>
      <c r="S74">
        <f t="shared" ref="S74" si="348">R74/100000</f>
        <v>-723.03082902914673</v>
      </c>
      <c r="T74">
        <f t="shared" ref="T74" si="349">S74/1000</f>
        <v>-0.72303082902914673</v>
      </c>
    </row>
    <row r="75" spans="1:20" x14ac:dyDescent="0.25">
      <c r="A75" s="5">
        <v>44518</v>
      </c>
      <c r="B75">
        <v>2.93</v>
      </c>
      <c r="C75">
        <v>2.956</v>
      </c>
      <c r="D75">
        <v>2.64</v>
      </c>
      <c r="E75">
        <v>2.6989999999999998</v>
      </c>
      <c r="F75">
        <v>974468.1</v>
      </c>
      <c r="G75">
        <v>2.6989999999999998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-0.62658227848101422</v>
      </c>
      <c r="Q75">
        <f t="shared" ref="Q75" si="351">F75*P75</f>
        <v>-610584.44240506482</v>
      </c>
      <c r="R75">
        <f t="shared" ref="R75" si="352">R76+Q75</f>
        <v>-72392966.175369769</v>
      </c>
      <c r="S75">
        <f t="shared" ref="S75" si="353">R75/100000</f>
        <v>-723.9296617536977</v>
      </c>
      <c r="T75">
        <f t="shared" ref="T75" si="354">S75/1000</f>
        <v>-0.72392966175369766</v>
      </c>
    </row>
    <row r="76" spans="1:20" x14ac:dyDescent="0.25">
      <c r="A76" s="5">
        <v>44517</v>
      </c>
      <c r="B76">
        <v>2.82</v>
      </c>
      <c r="C76">
        <v>2.9460000000000002</v>
      </c>
      <c r="D76">
        <v>2.6880000000000002</v>
      </c>
      <c r="E76">
        <v>2.9289999999999998</v>
      </c>
      <c r="F76">
        <v>887003.5</v>
      </c>
      <c r="G76">
        <v>2.9289999999999998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0.86821705426356321</v>
      </c>
      <c r="Q76">
        <f t="shared" ref="Q76" si="356">F76*P76</f>
        <v>770111.56589147053</v>
      </c>
      <c r="R76">
        <f t="shared" ref="R76" si="357">R77+Q76</f>
        <v>-71782381.732964709</v>
      </c>
      <c r="S76">
        <f t="shared" ref="S76" si="358">R76/100000</f>
        <v>-717.82381732964711</v>
      </c>
      <c r="T76">
        <f t="shared" ref="T76" si="359">S76/1000</f>
        <v>-0.71782381732964706</v>
      </c>
    </row>
    <row r="77" spans="1:20" x14ac:dyDescent="0.25">
      <c r="A77" s="5">
        <v>44516</v>
      </c>
      <c r="B77">
        <v>2.9540000000000002</v>
      </c>
      <c r="C77">
        <v>2.9580000000000002</v>
      </c>
      <c r="D77">
        <v>2.66</v>
      </c>
      <c r="E77">
        <v>2.8210000000000002</v>
      </c>
      <c r="F77">
        <v>1210657.8</v>
      </c>
      <c r="G77">
        <v>2.8210000000000002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8.0536912751677917E-2</v>
      </c>
      <c r="Q77">
        <f t="shared" ref="Q77" si="361">F77*P77</f>
        <v>97502.641610738341</v>
      </c>
      <c r="R77">
        <f t="shared" ref="R77" si="362">R78+Q77</f>
        <v>-72552493.298856184</v>
      </c>
      <c r="S77">
        <f t="shared" ref="S77" si="363">R77/100000</f>
        <v>-725.52493298856189</v>
      </c>
      <c r="T77">
        <f t="shared" ref="T77" si="364">S77/1000</f>
        <v>-0.72552493298856191</v>
      </c>
    </row>
    <row r="78" spans="1:20" x14ac:dyDescent="0.25">
      <c r="A78" s="5">
        <v>44515</v>
      </c>
      <c r="B78">
        <v>3.1309999999999998</v>
      </c>
      <c r="C78">
        <v>3.18</v>
      </c>
      <c r="D78">
        <v>2.9260000000000002</v>
      </c>
      <c r="E78">
        <v>2.956</v>
      </c>
      <c r="F78">
        <v>1746779.6</v>
      </c>
      <c r="G78">
        <v>2.956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-0.76377952755905665</v>
      </c>
      <c r="Q78">
        <f t="shared" ref="Q78" si="366">F78*P78</f>
        <v>-1334154.4976377981</v>
      </c>
      <c r="R78">
        <f t="shared" ref="R78" si="367">R79+Q78</f>
        <v>-72649995.940466926</v>
      </c>
      <c r="S78">
        <f t="shared" ref="S78" si="368">R78/100000</f>
        <v>-726.4999594046692</v>
      </c>
      <c r="T78">
        <f t="shared" ref="T78" si="369">S78/1000</f>
        <v>-0.72649995940466916</v>
      </c>
    </row>
    <row r="79" spans="1:20" x14ac:dyDescent="0.25">
      <c r="A79" s="5">
        <v>44514</v>
      </c>
      <c r="B79">
        <v>3.1269999999999998</v>
      </c>
      <c r="C79">
        <v>3.2040000000000002</v>
      </c>
      <c r="D79">
        <v>3.0289999999999999</v>
      </c>
      <c r="E79">
        <v>3.1309999999999998</v>
      </c>
      <c r="F79">
        <v>1288611</v>
      </c>
      <c r="G79">
        <v>3.1309999999999998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0.16571428571428243</v>
      </c>
      <c r="Q79">
        <f t="shared" ref="Q79" si="371">F79*P79</f>
        <v>213541.25142856719</v>
      </c>
      <c r="R79">
        <f t="shared" ref="R79" si="372">R80+Q79</f>
        <v>-71315841.442829132</v>
      </c>
      <c r="S79">
        <f t="shared" ref="S79" si="373">R79/100000</f>
        <v>-713.15841442829128</v>
      </c>
      <c r="T79">
        <f t="shared" ref="T79" si="374">S79/1000</f>
        <v>-0.71315841442829131</v>
      </c>
    </row>
    <row r="80" spans="1:20" x14ac:dyDescent="0.25">
      <c r="A80" s="5">
        <v>44513</v>
      </c>
      <c r="B80">
        <v>3.1160000000000001</v>
      </c>
      <c r="C80">
        <v>3.2</v>
      </c>
      <c r="D80">
        <v>3.05</v>
      </c>
      <c r="E80">
        <v>3.1269999999999998</v>
      </c>
      <c r="F80">
        <v>1219467</v>
      </c>
      <c r="G80">
        <v>3.1269999999999998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2.6666666666663667E-2</v>
      </c>
      <c r="Q80">
        <f t="shared" ref="Q80" si="376">F80*P80</f>
        <v>32519.119999996343</v>
      </c>
      <c r="R80">
        <f t="shared" ref="R80" si="377">R81+Q80</f>
        <v>-71529382.694257706</v>
      </c>
      <c r="S80">
        <f t="shared" ref="S80" si="378">R80/100000</f>
        <v>-715.29382694257708</v>
      </c>
      <c r="T80">
        <f t="shared" ref="T80" si="379">S80/1000</f>
        <v>-0.71529382694257704</v>
      </c>
    </row>
    <row r="81" spans="1:20" x14ac:dyDescent="0.25">
      <c r="A81" s="5">
        <v>44512</v>
      </c>
      <c r="B81">
        <v>3.1560000000000001</v>
      </c>
      <c r="C81">
        <v>3.4</v>
      </c>
      <c r="D81">
        <v>3.0150000000000001</v>
      </c>
      <c r="E81">
        <v>3.1160000000000001</v>
      </c>
      <c r="F81">
        <v>2645540.7999999998</v>
      </c>
      <c r="G81">
        <v>3.1160000000000001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-0.47532467532467515</v>
      </c>
      <c r="Q81">
        <f t="shared" ref="Q81" si="381">F81*P81</f>
        <v>-1257490.8218181813</v>
      </c>
      <c r="R81">
        <f t="shared" ref="R81" si="382">R82+Q81</f>
        <v>-71561901.814257696</v>
      </c>
      <c r="S81">
        <f t="shared" ref="S81" si="383">R81/100000</f>
        <v>-715.61901814257692</v>
      </c>
      <c r="T81">
        <f t="shared" ref="T81" si="384">S81/1000</f>
        <v>-0.71561901814257689</v>
      </c>
    </row>
    <row r="82" spans="1:20" x14ac:dyDescent="0.25">
      <c r="A82" s="5">
        <v>44511</v>
      </c>
      <c r="B82">
        <v>2.9089999999999998</v>
      </c>
      <c r="C82">
        <v>3.226</v>
      </c>
      <c r="D82">
        <v>2.8879999999999999</v>
      </c>
      <c r="E82">
        <v>3.1579999999999999</v>
      </c>
      <c r="F82">
        <v>1475761.7</v>
      </c>
      <c r="G82">
        <v>3.1579999999999999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0.59763313609467428</v>
      </c>
      <c r="Q82">
        <f t="shared" ref="Q82" si="386">F82*P82</f>
        <v>881964.09289940784</v>
      </c>
      <c r="R82">
        <f t="shared" ref="R82" si="387">R83+Q82</f>
        <v>-70304410.992439508</v>
      </c>
      <c r="S82">
        <f t="shared" ref="S82" si="388">R82/100000</f>
        <v>-703.04410992439512</v>
      </c>
      <c r="T82">
        <f t="shared" ref="T82" si="389">S82/1000</f>
        <v>-0.70304410992439514</v>
      </c>
    </row>
    <row r="83" spans="1:20" x14ac:dyDescent="0.25">
      <c r="A83" s="5">
        <v>44510</v>
      </c>
      <c r="B83">
        <v>3.1190000000000002</v>
      </c>
      <c r="C83">
        <v>3.3210000000000002</v>
      </c>
      <c r="D83">
        <v>2.859</v>
      </c>
      <c r="E83">
        <v>2.9089999999999998</v>
      </c>
      <c r="F83">
        <v>1689883.2</v>
      </c>
      <c r="G83">
        <v>2.9089999999999998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-0.78354978354978444</v>
      </c>
      <c r="Q83">
        <f t="shared" ref="Q83" si="391">F83*P83</f>
        <v>-1324107.615584417</v>
      </c>
      <c r="R83">
        <f t="shared" ref="R83" si="392">R84+Q83</f>
        <v>-71186375.08533892</v>
      </c>
      <c r="S83">
        <f t="shared" ref="S83" si="393">R83/100000</f>
        <v>-711.86375085338921</v>
      </c>
      <c r="T83">
        <f t="shared" ref="T83" si="394">S83/1000</f>
        <v>-0.71186375085338915</v>
      </c>
    </row>
    <row r="84" spans="1:20" x14ac:dyDescent="0.25">
      <c r="A84" s="5">
        <v>44509</v>
      </c>
      <c r="B84">
        <v>3.22</v>
      </c>
      <c r="C84">
        <v>3.4</v>
      </c>
      <c r="D84">
        <v>3.1040000000000001</v>
      </c>
      <c r="E84">
        <v>3.1190000000000002</v>
      </c>
      <c r="F84">
        <v>1679096.8</v>
      </c>
      <c r="G84">
        <v>3.1190000000000002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-0.8986486486486478</v>
      </c>
      <c r="Q84">
        <f t="shared" ref="Q84" si="396">F84*P84</f>
        <v>-1508918.0702702689</v>
      </c>
      <c r="R84">
        <f t="shared" ref="R84" si="397">R85+Q84</f>
        <v>-69862267.469754502</v>
      </c>
      <c r="S84">
        <f t="shared" ref="S84" si="398">R84/100000</f>
        <v>-698.62267469754499</v>
      </c>
      <c r="T84">
        <f t="shared" ref="T84" si="399">S84/1000</f>
        <v>-0.69862267469754502</v>
      </c>
    </row>
    <row r="85" spans="1:20" x14ac:dyDescent="0.25">
      <c r="A85" s="5">
        <v>44508</v>
      </c>
      <c r="B85">
        <v>3.2250000000000001</v>
      </c>
      <c r="C85">
        <v>3.2890000000000001</v>
      </c>
      <c r="D85">
        <v>3.0449999999999999</v>
      </c>
      <c r="E85">
        <v>3.22</v>
      </c>
      <c r="F85">
        <v>1334453.8999999999</v>
      </c>
      <c r="G85">
        <v>3.22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0.43442622950819765</v>
      </c>
      <c r="Q85">
        <f t="shared" ref="Q85" si="401">F85*P85</f>
        <v>579721.77622950939</v>
      </c>
      <c r="R85">
        <f t="shared" ref="R85" si="402">R86+Q85</f>
        <v>-68353349.399484232</v>
      </c>
      <c r="S85">
        <f t="shared" ref="S85" si="403">R85/100000</f>
        <v>-683.53349399484227</v>
      </c>
      <c r="T85">
        <f t="shared" ref="T85" si="404">S85/1000</f>
        <v>-0.68353349399484231</v>
      </c>
    </row>
    <row r="86" spans="1:20" x14ac:dyDescent="0.25">
      <c r="A86" s="5">
        <v>44507</v>
      </c>
      <c r="B86">
        <v>2.992</v>
      </c>
      <c r="C86">
        <v>3.24</v>
      </c>
      <c r="D86">
        <v>2.9889999999999999</v>
      </c>
      <c r="E86">
        <v>3.2240000000000002</v>
      </c>
      <c r="F86">
        <v>1638349</v>
      </c>
      <c r="G86">
        <v>3.2240000000000002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0.87250996015936255</v>
      </c>
      <c r="Q86">
        <f t="shared" ref="Q86" si="406">F86*P86</f>
        <v>1429475.8207171315</v>
      </c>
      <c r="R86">
        <f t="shared" ref="R86" si="407">R87+Q86</f>
        <v>-68933071.175713748</v>
      </c>
      <c r="S86">
        <f t="shared" ref="S86" si="408">R86/100000</f>
        <v>-689.33071175713746</v>
      </c>
      <c r="T86">
        <f t="shared" ref="T86" si="409">S86/1000</f>
        <v>-0.68933071175713745</v>
      </c>
    </row>
    <row r="87" spans="1:20" x14ac:dyDescent="0.25">
      <c r="A87" s="5">
        <v>44506</v>
      </c>
      <c r="B87">
        <v>2.9449999999999998</v>
      </c>
      <c r="C87">
        <v>2.9990000000000001</v>
      </c>
      <c r="D87">
        <v>2.843</v>
      </c>
      <c r="E87">
        <v>2.9929999999999999</v>
      </c>
      <c r="F87">
        <v>691693.6</v>
      </c>
      <c r="G87">
        <v>2.9929999999999999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0.92307692307692024</v>
      </c>
      <c r="Q87">
        <f t="shared" ref="Q87" si="411">F87*P87</f>
        <v>638486.39999999804</v>
      </c>
      <c r="R87">
        <f t="shared" ref="R87" si="412">R88+Q87</f>
        <v>-70362546.996430874</v>
      </c>
      <c r="S87">
        <f t="shared" ref="S87" si="413">R87/100000</f>
        <v>-703.62546996430876</v>
      </c>
      <c r="T87">
        <f t="shared" ref="T87" si="414">S87/1000</f>
        <v>-0.70362546996430875</v>
      </c>
    </row>
    <row r="88" spans="1:20" x14ac:dyDescent="0.25">
      <c r="A88" s="5">
        <v>44505</v>
      </c>
      <c r="B88">
        <v>2.9740000000000002</v>
      </c>
      <c r="C88">
        <v>3.0830000000000002</v>
      </c>
      <c r="D88">
        <v>2.919</v>
      </c>
      <c r="E88">
        <v>2.9489999999999998</v>
      </c>
      <c r="F88">
        <v>1248383.3999999999</v>
      </c>
      <c r="G88">
        <v>2.9489999999999998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-0.63414634146341731</v>
      </c>
      <c r="Q88">
        <f t="shared" ref="Q88" si="416">F88*P88</f>
        <v>-791657.76585366181</v>
      </c>
      <c r="R88">
        <f t="shared" ref="R88" si="417">R89+Q88</f>
        <v>-71001033.396430865</v>
      </c>
      <c r="S88">
        <f t="shared" ref="S88" si="418">R88/100000</f>
        <v>-710.01033396430864</v>
      </c>
      <c r="T88">
        <f t="shared" ref="T88" si="419">S88/1000</f>
        <v>-0.71001033396430868</v>
      </c>
    </row>
    <row r="89" spans="1:20" x14ac:dyDescent="0.25">
      <c r="A89" s="5">
        <v>44504</v>
      </c>
      <c r="B89">
        <v>2.9790000000000001</v>
      </c>
      <c r="C89">
        <v>3.0209999999999999</v>
      </c>
      <c r="D89">
        <v>2.827</v>
      </c>
      <c r="E89">
        <v>2.9780000000000002</v>
      </c>
      <c r="F89">
        <v>1451685.2</v>
      </c>
      <c r="G89">
        <v>2.9780000000000002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0.55670103092783796</v>
      </c>
      <c r="Q89">
        <f t="shared" ref="Q89" si="421">F89*P89</f>
        <v>808154.64742268459</v>
      </c>
      <c r="R89">
        <f t="shared" ref="R89" si="422">R90+Q89</f>
        <v>-70209375.630577207</v>
      </c>
      <c r="S89">
        <f t="shared" ref="S89" si="423">R89/100000</f>
        <v>-702.0937563057721</v>
      </c>
      <c r="T89">
        <f t="shared" ref="T89" si="424">S89/1000</f>
        <v>-0.70209375630577209</v>
      </c>
    </row>
    <row r="90" spans="1:20" x14ac:dyDescent="0.25">
      <c r="A90" s="5">
        <v>44503</v>
      </c>
      <c r="B90">
        <v>3.121</v>
      </c>
      <c r="C90">
        <v>3.379</v>
      </c>
      <c r="D90">
        <v>2.871</v>
      </c>
      <c r="E90">
        <v>2.9780000000000002</v>
      </c>
      <c r="F90">
        <v>2257059.6</v>
      </c>
      <c r="G90">
        <v>2.9780000000000002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-0.57874015748031415</v>
      </c>
      <c r="Q90">
        <f t="shared" ref="Q90" si="426">F90*P90</f>
        <v>-1306251.028346455</v>
      </c>
      <c r="R90">
        <f t="shared" ref="R90" si="427">R91+Q90</f>
        <v>-71017530.277999893</v>
      </c>
      <c r="S90">
        <f t="shared" ref="S90" si="428">R90/100000</f>
        <v>-710.1753027799989</v>
      </c>
      <c r="T90">
        <f t="shared" ref="T90" si="429">S90/1000</f>
        <v>-0.71017530277999885</v>
      </c>
    </row>
    <row r="91" spans="1:20" x14ac:dyDescent="0.25">
      <c r="A91" s="5">
        <v>44502</v>
      </c>
      <c r="B91">
        <v>3.0630000000000002</v>
      </c>
      <c r="C91">
        <v>3.44</v>
      </c>
      <c r="D91">
        <v>2.855</v>
      </c>
      <c r="E91">
        <v>3.121</v>
      </c>
      <c r="F91">
        <v>4629571.5999999996</v>
      </c>
      <c r="G91">
        <v>3.121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-9.0598290598290498E-2</v>
      </c>
      <c r="Q91">
        <f t="shared" ref="Q91" si="431">F91*P91</f>
        <v>-419431.27316239267</v>
      </c>
      <c r="R91">
        <f t="shared" ref="R91" si="432">R92+Q91</f>
        <v>-69711279.249653444</v>
      </c>
      <c r="S91">
        <f t="shared" ref="S91" si="433">R91/100000</f>
        <v>-697.11279249653444</v>
      </c>
      <c r="T91">
        <f t="shared" ref="T91" si="434">S91/1000</f>
        <v>-0.69711279249653446</v>
      </c>
    </row>
    <row r="92" spans="1:20" x14ac:dyDescent="0.25">
      <c r="A92" s="5">
        <v>44501</v>
      </c>
      <c r="B92">
        <v>2.5710000000000002</v>
      </c>
      <c r="C92">
        <v>3.0859999999999999</v>
      </c>
      <c r="D92">
        <v>2.4860000000000002</v>
      </c>
      <c r="E92">
        <v>3.0579999999999998</v>
      </c>
      <c r="F92">
        <v>4297102.2</v>
      </c>
      <c r="G92">
        <v>3.0579999999999998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0.90666666666666651</v>
      </c>
      <c r="Q92">
        <f t="shared" ref="Q92" si="436">F92*P92</f>
        <v>3896039.3279999993</v>
      </c>
      <c r="R92">
        <f t="shared" ref="R92" si="437">R93+Q92</f>
        <v>-69291847.976491049</v>
      </c>
      <c r="S92">
        <f t="shared" ref="S92" si="438">R92/100000</f>
        <v>-692.91847976491044</v>
      </c>
      <c r="T92">
        <f t="shared" ref="T92" si="439">S92/1000</f>
        <v>-0.69291847976491039</v>
      </c>
    </row>
    <row r="93" spans="1:20" x14ac:dyDescent="0.25">
      <c r="A93" s="5">
        <v>44500</v>
      </c>
      <c r="B93">
        <v>2.6320000000000001</v>
      </c>
      <c r="C93">
        <v>2.6840000000000002</v>
      </c>
      <c r="D93">
        <v>2.5</v>
      </c>
      <c r="E93">
        <v>2.5720000000000001</v>
      </c>
      <c r="F93">
        <v>1251750.8</v>
      </c>
      <c r="G93">
        <v>2.5720000000000001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-0.21739130434782608</v>
      </c>
      <c r="Q93">
        <f t="shared" ref="Q93" si="441">F93*P93</f>
        <v>-272119.73913043481</v>
      </c>
      <c r="R93">
        <f t="shared" ref="R93" si="442">R94+Q93</f>
        <v>-73187887.304491043</v>
      </c>
      <c r="S93">
        <f t="shared" ref="S93" si="443">R93/100000</f>
        <v>-731.87887304491039</v>
      </c>
      <c r="T93">
        <f t="shared" ref="T93" si="444">S93/1000</f>
        <v>-0.73187887304491039</v>
      </c>
    </row>
    <row r="94" spans="1:20" x14ac:dyDescent="0.25">
      <c r="A94" s="5">
        <v>44499</v>
      </c>
      <c r="B94">
        <v>2.774</v>
      </c>
      <c r="C94">
        <v>2.7829999999999999</v>
      </c>
      <c r="D94">
        <v>2.6</v>
      </c>
      <c r="E94">
        <v>2.63</v>
      </c>
      <c r="F94">
        <v>1107063.5</v>
      </c>
      <c r="G94">
        <v>2.63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-0.67213114754098546</v>
      </c>
      <c r="Q94">
        <f t="shared" ref="Q94" si="446">F94*P94</f>
        <v>-744091.86065573979</v>
      </c>
      <c r="R94">
        <f t="shared" ref="R94" si="447">R95+Q94</f>
        <v>-72915767.565360606</v>
      </c>
      <c r="S94">
        <f t="shared" ref="S94" si="448">R94/100000</f>
        <v>-729.15767565360602</v>
      </c>
      <c r="T94">
        <f t="shared" ref="T94" si="449">S94/1000</f>
        <v>-0.72915767565360601</v>
      </c>
    </row>
    <row r="95" spans="1:20" x14ac:dyDescent="0.25">
      <c r="A95" s="5">
        <v>44498</v>
      </c>
      <c r="B95">
        <v>2.6850000000000001</v>
      </c>
      <c r="C95">
        <v>2.89</v>
      </c>
      <c r="D95">
        <v>2.665</v>
      </c>
      <c r="E95">
        <v>2.7719999999999998</v>
      </c>
      <c r="F95">
        <v>2271638.6</v>
      </c>
      <c r="G95">
        <v>2.7719999999999998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-4.8888888888891383E-2</v>
      </c>
      <c r="Q95">
        <f t="shared" ref="Q95" si="451">F95*P95</f>
        <v>-111057.88711111678</v>
      </c>
      <c r="R95">
        <f t="shared" ref="R95" si="452">R96+Q95</f>
        <v>-72171675.704704866</v>
      </c>
      <c r="S95">
        <f t="shared" ref="S95" si="453">R95/100000</f>
        <v>-721.71675704704865</v>
      </c>
      <c r="T95">
        <f t="shared" ref="T95" si="454">S95/1000</f>
        <v>-0.72171675704704863</v>
      </c>
    </row>
    <row r="96" spans="1:20" x14ac:dyDescent="0.25">
      <c r="A96" s="5">
        <v>44497</v>
      </c>
      <c r="B96">
        <v>2.4809999999999999</v>
      </c>
      <c r="C96">
        <v>2.746</v>
      </c>
      <c r="D96">
        <v>2.4569999999999999</v>
      </c>
      <c r="E96">
        <v>2.6859999999999999</v>
      </c>
      <c r="F96">
        <v>1808675.3</v>
      </c>
      <c r="G96">
        <v>2.6859999999999999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0.58477508650519017</v>
      </c>
      <c r="Q96">
        <f t="shared" ref="Q96" si="456">F96*P96</f>
        <v>1057668.2550173008</v>
      </c>
      <c r="R96">
        <f t="shared" ref="R96" si="457">R97+Q96</f>
        <v>-72060617.817593753</v>
      </c>
      <c r="S96">
        <f t="shared" ref="S96" si="458">R96/100000</f>
        <v>-720.60617817593754</v>
      </c>
      <c r="T96">
        <f t="shared" ref="T96" si="459">S96/1000</f>
        <v>-0.72060617817593753</v>
      </c>
    </row>
    <row r="97" spans="1:20" x14ac:dyDescent="0.25">
      <c r="A97" s="5">
        <v>44496</v>
      </c>
      <c r="B97">
        <v>2.661</v>
      </c>
      <c r="C97">
        <v>2.746</v>
      </c>
      <c r="D97">
        <v>2.476</v>
      </c>
      <c r="E97">
        <v>2.48</v>
      </c>
      <c r="F97">
        <v>2737127</v>
      </c>
      <c r="G97">
        <v>2.48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-0.97037037037037033</v>
      </c>
      <c r="Q97">
        <f t="shared" ref="Q97" si="461">F97*P97</f>
        <v>-2656026.9407407404</v>
      </c>
      <c r="R97">
        <f t="shared" ref="R97" si="462">R98+Q97</f>
        <v>-73118286.072611049</v>
      </c>
      <c r="S97">
        <f t="shared" ref="S97" si="463">R97/100000</f>
        <v>-731.18286072611045</v>
      </c>
      <c r="T97">
        <f t="shared" ref="T97" si="464">S97/1000</f>
        <v>-0.7311828607261105</v>
      </c>
    </row>
    <row r="98" spans="1:20" x14ac:dyDescent="0.25">
      <c r="A98" s="5">
        <v>44495</v>
      </c>
      <c r="B98">
        <v>2.8140000000000001</v>
      </c>
      <c r="C98">
        <v>2.8450000000000002</v>
      </c>
      <c r="D98">
        <v>2.62</v>
      </c>
      <c r="E98">
        <v>2.6589999999999998</v>
      </c>
      <c r="F98">
        <v>3172110.6</v>
      </c>
      <c r="G98">
        <v>2.6589999999999998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-0.6533333333333361</v>
      </c>
      <c r="Q98">
        <f t="shared" ref="Q98" si="466">F98*P98</f>
        <v>-2072445.5920000088</v>
      </c>
      <c r="R98">
        <f t="shared" ref="R98" si="467">R99+Q98</f>
        <v>-70462259.131870314</v>
      </c>
      <c r="S98">
        <f t="shared" ref="S98" si="468">R98/100000</f>
        <v>-704.62259131870314</v>
      </c>
      <c r="T98">
        <f t="shared" ref="T98" si="469">S98/1000</f>
        <v>-0.7046225913187032</v>
      </c>
    </row>
    <row r="99" spans="1:20" x14ac:dyDescent="0.25">
      <c r="A99" s="5">
        <v>44494</v>
      </c>
      <c r="B99">
        <v>2.859</v>
      </c>
      <c r="C99">
        <v>2.9239999999999999</v>
      </c>
      <c r="D99">
        <v>2.786</v>
      </c>
      <c r="E99">
        <v>2.8140000000000001</v>
      </c>
      <c r="F99">
        <v>2184333.5</v>
      </c>
      <c r="G99">
        <v>2.8140000000000001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-0.59420289855072395</v>
      </c>
      <c r="Q99">
        <f t="shared" ref="Q99" si="471">F99*P99</f>
        <v>-1297937.2971014478</v>
      </c>
      <c r="R99">
        <f t="shared" ref="R99" si="472">R100+Q99</f>
        <v>-68389813.539870307</v>
      </c>
      <c r="S99">
        <f t="shared" ref="S99" si="473">R99/100000</f>
        <v>-683.89813539870306</v>
      </c>
      <c r="T99">
        <f t="shared" ref="T99" si="474">S99/1000</f>
        <v>-0.68389813539870303</v>
      </c>
    </row>
    <row r="100" spans="1:20" x14ac:dyDescent="0.25">
      <c r="A100" s="5">
        <v>44493</v>
      </c>
      <c r="B100">
        <v>2.9980000000000002</v>
      </c>
      <c r="C100">
        <v>3.0459999999999998</v>
      </c>
      <c r="D100">
        <v>2.8010000000000002</v>
      </c>
      <c r="E100">
        <v>2.8620000000000001</v>
      </c>
      <c r="F100">
        <v>1460347</v>
      </c>
      <c r="G100">
        <v>2.8620000000000001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-0.50204081632653041</v>
      </c>
      <c r="Q100">
        <f t="shared" ref="Q100" si="476">F100*P100</f>
        <v>-733153.7999999997</v>
      </c>
      <c r="R100">
        <f t="shared" ref="R100" si="477">R101+Q100</f>
        <v>-67091876.242768861</v>
      </c>
      <c r="S100">
        <f t="shared" ref="S100" si="478">R100/100000</f>
        <v>-670.91876242768865</v>
      </c>
      <c r="T100">
        <f t="shared" ref="T100" si="479">S100/1000</f>
        <v>-0.67091876242768866</v>
      </c>
    </row>
    <row r="101" spans="1:20" x14ac:dyDescent="0.25">
      <c r="A101" s="5">
        <v>44492</v>
      </c>
      <c r="B101">
        <v>3.1070000000000002</v>
      </c>
      <c r="C101">
        <v>3.1480000000000001</v>
      </c>
      <c r="D101">
        <v>2.94</v>
      </c>
      <c r="E101">
        <v>3.0019999999999998</v>
      </c>
      <c r="F101">
        <v>1869231.7</v>
      </c>
      <c r="G101">
        <v>3.0019999999999998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-0.40384615384615596</v>
      </c>
      <c r="Q101">
        <f t="shared" ref="Q101" si="481">F101*P101</f>
        <v>-754882.03269231168</v>
      </c>
      <c r="R101">
        <f t="shared" ref="R101" si="482">R102+Q101</f>
        <v>-66358722.442768864</v>
      </c>
      <c r="S101">
        <f t="shared" ref="S101" si="483">R101/100000</f>
        <v>-663.58722442768862</v>
      </c>
      <c r="T101">
        <f t="shared" ref="T101" si="484">S101/1000</f>
        <v>-0.66358722442768858</v>
      </c>
    </row>
    <row r="102" spans="1:20" x14ac:dyDescent="0.25">
      <c r="A102" s="5">
        <v>44491</v>
      </c>
      <c r="B102">
        <v>2.8410000000000002</v>
      </c>
      <c r="C102">
        <v>3.55</v>
      </c>
      <c r="D102">
        <v>2.839</v>
      </c>
      <c r="E102">
        <v>3.1059999999999999</v>
      </c>
      <c r="F102">
        <v>10438581.5</v>
      </c>
      <c r="G102">
        <v>3.1059999999999999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-0.24894514767932502</v>
      </c>
      <c r="Q102">
        <f t="shared" ref="Q102" si="486">F102*P102</f>
        <v>-2598634.2130801701</v>
      </c>
      <c r="R102">
        <f t="shared" ref="R102" si="487">R103+Q102</f>
        <v>-65603840.410076551</v>
      </c>
      <c r="S102">
        <f t="shared" ref="S102" si="488">R102/100000</f>
        <v>-656.03840410076555</v>
      </c>
      <c r="T102">
        <f t="shared" ref="T102" si="489">S102/1000</f>
        <v>-0.65603840410076553</v>
      </c>
    </row>
    <row r="103" spans="1:20" x14ac:dyDescent="0.25">
      <c r="A103" s="5">
        <v>44490</v>
      </c>
      <c r="B103">
        <v>2.8239999999999998</v>
      </c>
      <c r="C103">
        <v>2.9950000000000001</v>
      </c>
      <c r="D103">
        <v>2.6880000000000002</v>
      </c>
      <c r="E103">
        <v>2.8410000000000002</v>
      </c>
      <c r="F103">
        <v>3243200.2</v>
      </c>
      <c r="G103">
        <v>2.8410000000000002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-3.257328990227655E-3</v>
      </c>
      <c r="Q103">
        <f t="shared" ref="Q103" si="491">F103*P103</f>
        <v>-10564.170032572129</v>
      </c>
      <c r="R103">
        <f t="shared" ref="R103" si="492">R104+Q103</f>
        <v>-63005206.196996383</v>
      </c>
      <c r="S103">
        <f t="shared" ref="S103" si="493">R103/100000</f>
        <v>-630.0520619699638</v>
      </c>
      <c r="T103">
        <f t="shared" ref="T103" si="494">S103/1000</f>
        <v>-0.63005206196996377</v>
      </c>
    </row>
    <row r="104" spans="1:20" x14ac:dyDescent="0.25">
      <c r="A104" s="5">
        <v>44489</v>
      </c>
      <c r="B104">
        <v>2.7879999999999998</v>
      </c>
      <c r="C104">
        <v>2.8580000000000001</v>
      </c>
      <c r="D104">
        <v>2.6389999999999998</v>
      </c>
      <c r="E104">
        <v>2.8239999999999998</v>
      </c>
      <c r="F104">
        <v>2138541.9</v>
      </c>
      <c r="G104">
        <v>2.8239999999999998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0.6894977168949753</v>
      </c>
      <c r="Q104">
        <f t="shared" ref="Q104" si="496">F104*P104</f>
        <v>1474519.7575342425</v>
      </c>
      <c r="R104">
        <f t="shared" ref="R104" si="497">R105+Q104</f>
        <v>-62994642.026963808</v>
      </c>
      <c r="S104">
        <f t="shared" ref="S104" si="498">R104/100000</f>
        <v>-629.94642026963811</v>
      </c>
      <c r="T104">
        <f t="shared" ref="T104" si="499">S104/1000</f>
        <v>-0.6299464202696381</v>
      </c>
    </row>
    <row r="105" spans="1:20" x14ac:dyDescent="0.25">
      <c r="A105" s="5">
        <v>44488</v>
      </c>
      <c r="B105">
        <v>2.6190000000000002</v>
      </c>
      <c r="C105">
        <v>3.0449999999999999</v>
      </c>
      <c r="D105">
        <v>2.5830000000000002</v>
      </c>
      <c r="E105">
        <v>2.7879999999999998</v>
      </c>
      <c r="F105">
        <v>6721929.2000000002</v>
      </c>
      <c r="G105">
        <v>2.7879999999999998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-0.11255411255411368</v>
      </c>
      <c r="Q105">
        <f t="shared" ref="Q105" si="501">F105*P105</f>
        <v>-756580.77575758332</v>
      </c>
      <c r="R105">
        <f t="shared" ref="R105" si="502">R106+Q105</f>
        <v>-64469161.784498051</v>
      </c>
      <c r="S105">
        <f t="shared" ref="S105" si="503">R105/100000</f>
        <v>-644.69161784498056</v>
      </c>
      <c r="T105">
        <f t="shared" ref="T105" si="504">S105/1000</f>
        <v>-0.64469161784498052</v>
      </c>
    </row>
    <row r="106" spans="1:20" x14ac:dyDescent="0.25">
      <c r="A106" s="5">
        <v>44487</v>
      </c>
      <c r="B106">
        <v>2.8439999999999999</v>
      </c>
      <c r="C106">
        <v>2.9249999999999998</v>
      </c>
      <c r="D106">
        <v>2.5640000000000001</v>
      </c>
      <c r="E106">
        <v>2.6190000000000002</v>
      </c>
      <c r="F106">
        <v>7680633.0999999996</v>
      </c>
      <c r="G106">
        <v>2.6190000000000002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-0.69529085872576069</v>
      </c>
      <c r="Q106">
        <f t="shared" ref="Q106" si="506">F106*P106</f>
        <v>-5340273.9836565014</v>
      </c>
      <c r="R106">
        <f t="shared" ref="R106" si="507">R107+Q106</f>
        <v>-63712581.00874047</v>
      </c>
      <c r="S106">
        <f t="shared" ref="S106" si="508">R106/100000</f>
        <v>-637.12581008740472</v>
      </c>
      <c r="T106">
        <f t="shared" ref="T106" si="509">S106/1000</f>
        <v>-0.63712581008740476</v>
      </c>
    </row>
    <row r="107" spans="1:20" x14ac:dyDescent="0.25">
      <c r="A107" s="5">
        <v>44486</v>
      </c>
      <c r="B107">
        <v>3.0840000000000001</v>
      </c>
      <c r="C107">
        <v>3.206</v>
      </c>
      <c r="D107">
        <v>2.7080000000000002</v>
      </c>
      <c r="E107">
        <v>2.8439999999999999</v>
      </c>
      <c r="F107">
        <v>10504898.5</v>
      </c>
      <c r="G107">
        <v>2.8439999999999999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-0.45381526104417774</v>
      </c>
      <c r="Q107">
        <f t="shared" ref="Q107" si="511">F107*P107</f>
        <v>-4767283.2550200913</v>
      </c>
      <c r="R107">
        <f t="shared" ref="R107" si="512">R108+Q107</f>
        <v>-58372307.025083967</v>
      </c>
      <c r="S107">
        <f t="shared" ref="S107" si="513">R107/100000</f>
        <v>-583.72307025083967</v>
      </c>
      <c r="T107">
        <f t="shared" ref="T107" si="514">S107/1000</f>
        <v>-0.58372307025083969</v>
      </c>
    </row>
    <row r="108" spans="1:20" x14ac:dyDescent="0.25">
      <c r="A108" s="5">
        <v>44485</v>
      </c>
      <c r="B108">
        <v>2.4319999999999999</v>
      </c>
      <c r="C108">
        <v>4.28</v>
      </c>
      <c r="D108">
        <v>2.419</v>
      </c>
      <c r="E108">
        <v>3.0840000000000001</v>
      </c>
      <c r="F108">
        <v>60794176.719999999</v>
      </c>
      <c r="G108">
        <v>3.0840000000000001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-0.28533046749059648</v>
      </c>
      <c r="Q108">
        <f t="shared" ref="Q108" si="516">F108*P108</f>
        <v>-17346430.864223536</v>
      </c>
      <c r="R108">
        <f t="shared" ref="R108" si="517">R109+Q108</f>
        <v>-53605023.770063877</v>
      </c>
      <c r="S108">
        <f t="shared" ref="S108" si="518">R108/100000</f>
        <v>-536.05023770063872</v>
      </c>
      <c r="T108">
        <f t="shared" ref="T108" si="519">S108/1000</f>
        <v>-0.53605023770063875</v>
      </c>
    </row>
    <row r="109" spans="1:20" x14ac:dyDescent="0.25">
      <c r="A109" s="5">
        <v>44484</v>
      </c>
      <c r="B109">
        <v>2.278</v>
      </c>
      <c r="C109">
        <v>2.4990000000000001</v>
      </c>
      <c r="D109">
        <v>2.2010000000000001</v>
      </c>
      <c r="E109">
        <v>2.4319999999999999</v>
      </c>
      <c r="F109">
        <v>3802650.2</v>
      </c>
      <c r="G109">
        <v>2.4319999999999999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0.55033557046979753</v>
      </c>
      <c r="Q109">
        <f t="shared" ref="Q109" si="521">F109*P109</f>
        <v>2092733.6671140897</v>
      </c>
      <c r="R109">
        <f t="shared" ref="R109" si="522">R110+Q109</f>
        <v>-36258592.905840337</v>
      </c>
      <c r="S109">
        <f t="shared" ref="S109" si="523">R109/100000</f>
        <v>-362.58592905840339</v>
      </c>
      <c r="T109">
        <f t="shared" ref="T109" si="524">S109/1000</f>
        <v>-0.36258592905840337</v>
      </c>
    </row>
    <row r="110" spans="1:20" x14ac:dyDescent="0.25">
      <c r="A110" s="5">
        <v>44483</v>
      </c>
      <c r="B110">
        <v>2.444</v>
      </c>
      <c r="C110">
        <v>2.4569999999999999</v>
      </c>
      <c r="D110">
        <v>2.2370000000000001</v>
      </c>
      <c r="E110">
        <v>2.278</v>
      </c>
      <c r="F110">
        <v>4130902.9</v>
      </c>
      <c r="G110">
        <v>2.278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-0.62727272727272754</v>
      </c>
      <c r="Q110">
        <f t="shared" ref="Q110" si="526">F110*P110</f>
        <v>-2591202.7281818194</v>
      </c>
      <c r="R110">
        <f t="shared" ref="R110" si="527">R111+Q110</f>
        <v>-38351326.572954424</v>
      </c>
      <c r="S110">
        <f t="shared" ref="S110" si="528">R110/100000</f>
        <v>-383.51326572954423</v>
      </c>
      <c r="T110">
        <f t="shared" ref="T110" si="529">S110/1000</f>
        <v>-0.38351326572954425</v>
      </c>
    </row>
    <row r="111" spans="1:20" x14ac:dyDescent="0.25">
      <c r="A111" s="5">
        <v>44482</v>
      </c>
      <c r="B111">
        <v>2.0459999999999998</v>
      </c>
      <c r="C111">
        <v>2.6</v>
      </c>
      <c r="D111">
        <v>1.94</v>
      </c>
      <c r="E111">
        <v>2.444</v>
      </c>
      <c r="F111">
        <v>12675217.029999999</v>
      </c>
      <c r="G111">
        <v>2.444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0.527272727272727</v>
      </c>
      <c r="Q111">
        <f t="shared" ref="Q111" si="531">F111*P111</f>
        <v>6683296.2521818141</v>
      </c>
      <c r="R111">
        <f t="shared" ref="R111" si="532">R112+Q111</f>
        <v>-35760123.844772607</v>
      </c>
      <c r="S111">
        <f t="shared" ref="S111" si="533">R111/100000</f>
        <v>-357.60123844772608</v>
      </c>
      <c r="T111">
        <f t="shared" ref="T111" si="534">S111/1000</f>
        <v>-0.35760123844772607</v>
      </c>
    </row>
    <row r="112" spans="1:20" x14ac:dyDescent="0.25">
      <c r="A112" s="5">
        <v>44481</v>
      </c>
      <c r="B112">
        <v>2.032</v>
      </c>
      <c r="C112">
        <v>2.145</v>
      </c>
      <c r="D112">
        <v>1.9430000000000001</v>
      </c>
      <c r="E112">
        <v>2.0470000000000002</v>
      </c>
      <c r="F112">
        <v>2276239.7000000002</v>
      </c>
      <c r="G112">
        <v>2.0470000000000002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2.9702970297030836E-2</v>
      </c>
      <c r="Q112">
        <f t="shared" ref="Q112" si="536">F112*P112</f>
        <v>67611.080198022391</v>
      </c>
      <c r="R112">
        <f t="shared" ref="R112" si="537">R113+Q112</f>
        <v>-42443420.09695442</v>
      </c>
      <c r="S112">
        <f t="shared" ref="S112" si="538">R112/100000</f>
        <v>-424.43420096954418</v>
      </c>
      <c r="T112">
        <f t="shared" ref="T112" si="539">S112/1000</f>
        <v>-0.42443420096954421</v>
      </c>
    </row>
    <row r="113" spans="1:20" x14ac:dyDescent="0.25">
      <c r="A113" s="5">
        <v>44480</v>
      </c>
      <c r="B113">
        <v>2.028</v>
      </c>
      <c r="C113">
        <v>2.153</v>
      </c>
      <c r="D113">
        <v>2.0009999999999999</v>
      </c>
      <c r="E113">
        <v>2.032</v>
      </c>
      <c r="F113">
        <v>1179161.8999999999</v>
      </c>
      <c r="G113">
        <v>2.032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-0.59210526315789325</v>
      </c>
      <c r="Q113">
        <f t="shared" ref="Q113" si="541">F113*P113</f>
        <v>-698187.9671052614</v>
      </c>
      <c r="R113">
        <f t="shared" ref="R113" si="542">R114+Q113</f>
        <v>-42511031.17715244</v>
      </c>
      <c r="S113">
        <f t="shared" ref="S113" si="543">R113/100000</f>
        <v>-425.11031177152438</v>
      </c>
      <c r="T113">
        <f t="shared" ref="T113" si="544">S113/1000</f>
        <v>-0.42511031177152436</v>
      </c>
    </row>
    <row r="114" spans="1:20" x14ac:dyDescent="0.25">
      <c r="A114" s="5">
        <v>44479</v>
      </c>
      <c r="B114">
        <v>2.0859999999999999</v>
      </c>
      <c r="C114">
        <v>2.1960000000000002</v>
      </c>
      <c r="D114">
        <v>2.012</v>
      </c>
      <c r="E114">
        <v>2.032</v>
      </c>
      <c r="F114">
        <v>1102572</v>
      </c>
      <c r="G114">
        <v>2.032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-0.78260869565217395</v>
      </c>
      <c r="Q114">
        <f t="shared" ref="Q114" si="546">F114*P114</f>
        <v>-862882.43478260876</v>
      </c>
      <c r="R114">
        <f t="shared" ref="R114" si="547">R115+Q114</f>
        <v>-41812843.210047178</v>
      </c>
      <c r="S114">
        <f t="shared" ref="S114" si="548">R114/100000</f>
        <v>-418.1284321004718</v>
      </c>
      <c r="T114">
        <f t="shared" ref="T114" si="549">S114/1000</f>
        <v>-0.41812843210047179</v>
      </c>
    </row>
    <row r="115" spans="1:20" x14ac:dyDescent="0.25">
      <c r="A115" s="5">
        <v>44478</v>
      </c>
      <c r="B115">
        <v>2.0630000000000002</v>
      </c>
      <c r="C115">
        <v>2.1989999999999998</v>
      </c>
      <c r="D115">
        <v>2.0459999999999998</v>
      </c>
      <c r="E115">
        <v>2.0920000000000001</v>
      </c>
      <c r="F115">
        <v>1435806.5</v>
      </c>
      <c r="G115">
        <v>2.0920000000000001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-0.39869281045751298</v>
      </c>
      <c r="Q115">
        <f t="shared" ref="Q115" si="551">F115*P115</f>
        <v>-572445.72875816515</v>
      </c>
      <c r="R115">
        <f t="shared" ref="R115" si="552">R116+Q115</f>
        <v>-40949960.775264569</v>
      </c>
      <c r="S115">
        <f t="shared" ref="S115" si="553">R115/100000</f>
        <v>-409.49960775264566</v>
      </c>
      <c r="T115">
        <f t="shared" ref="T115" si="554">S115/1000</f>
        <v>-0.40949960775264566</v>
      </c>
    </row>
    <row r="116" spans="1:20" x14ac:dyDescent="0.25">
      <c r="A116" s="5">
        <v>44477</v>
      </c>
      <c r="B116">
        <v>1.95</v>
      </c>
      <c r="C116">
        <v>2.1520000000000001</v>
      </c>
      <c r="D116">
        <v>1.93</v>
      </c>
      <c r="E116">
        <v>2.0609999999999999</v>
      </c>
      <c r="F116">
        <v>1477526.6</v>
      </c>
      <c r="G116">
        <v>2.0609999999999999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0.18018018018017917</v>
      </c>
      <c r="Q116">
        <f t="shared" ref="Q116" si="556">F116*P116</f>
        <v>266221.00900900754</v>
      </c>
      <c r="R116">
        <f t="shared" ref="R116" si="557">R117+Q116</f>
        <v>-40377515.046506405</v>
      </c>
      <c r="S116">
        <f t="shared" ref="S116" si="558">R116/100000</f>
        <v>-403.77515046506403</v>
      </c>
      <c r="T116">
        <f t="shared" ref="T116" si="559">S116/1000</f>
        <v>-0.40377515046506401</v>
      </c>
    </row>
    <row r="117" spans="1:20" x14ac:dyDescent="0.25">
      <c r="A117" s="5">
        <v>44476</v>
      </c>
      <c r="B117">
        <v>1.9450000000000001</v>
      </c>
      <c r="C117">
        <v>2.14</v>
      </c>
      <c r="D117">
        <v>1.9</v>
      </c>
      <c r="E117">
        <v>1.9510000000000001</v>
      </c>
      <c r="F117">
        <v>1879186.8</v>
      </c>
      <c r="G117">
        <v>1.9510000000000001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-0.57499999999999907</v>
      </c>
      <c r="Q117">
        <f t="shared" ref="Q117" si="561">F117*P117</f>
        <v>-1080532.4099999983</v>
      </c>
      <c r="R117">
        <f t="shared" ref="R117" si="562">R118+Q117</f>
        <v>-40643736.055515416</v>
      </c>
      <c r="S117">
        <f t="shared" ref="S117" si="563">R117/100000</f>
        <v>-406.43736055515416</v>
      </c>
      <c r="T117">
        <f t="shared" ref="T117" si="564">S117/1000</f>
        <v>-0.40643736055515417</v>
      </c>
    </row>
    <row r="118" spans="1:20" x14ac:dyDescent="0.25">
      <c r="A118" s="5">
        <v>44475</v>
      </c>
      <c r="B118">
        <v>1.9430000000000001</v>
      </c>
      <c r="C118">
        <v>1.9930000000000001</v>
      </c>
      <c r="D118">
        <v>1.8069999999999999</v>
      </c>
      <c r="E118">
        <v>1.9450000000000001</v>
      </c>
      <c r="F118">
        <v>1252110.6000000001</v>
      </c>
      <c r="G118">
        <v>1.9450000000000001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0.4838709677419355</v>
      </c>
      <c r="Q118">
        <f t="shared" ref="Q118" si="566">F118*P118</f>
        <v>605859.96774193551</v>
      </c>
      <c r="R118">
        <f t="shared" ref="R118" si="567">R119+Q118</f>
        <v>-39563203.64551542</v>
      </c>
      <c r="S118">
        <f t="shared" ref="S118" si="568">R118/100000</f>
        <v>-395.63203645515421</v>
      </c>
      <c r="T118">
        <f t="shared" ref="T118" si="569">S118/1000</f>
        <v>-0.39563203645515421</v>
      </c>
    </row>
    <row r="119" spans="1:20" x14ac:dyDescent="0.25">
      <c r="A119" s="5">
        <v>44474</v>
      </c>
      <c r="B119">
        <v>1.988</v>
      </c>
      <c r="C119">
        <v>2.109</v>
      </c>
      <c r="D119">
        <v>1.8029999999999999</v>
      </c>
      <c r="E119">
        <v>1.9450000000000001</v>
      </c>
      <c r="F119">
        <v>2303132.5</v>
      </c>
      <c r="G119">
        <v>1.9450000000000001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-7.1895424836600635E-2</v>
      </c>
      <c r="Q119">
        <f t="shared" ref="Q119" si="571">F119*P119</f>
        <v>-165584.68954248211</v>
      </c>
      <c r="R119">
        <f t="shared" ref="R119" si="572">R120+Q119</f>
        <v>-40169063.613257356</v>
      </c>
      <c r="S119">
        <f t="shared" ref="S119" si="573">R119/100000</f>
        <v>-401.69063613257356</v>
      </c>
      <c r="T119">
        <f t="shared" ref="T119" si="574">S119/1000</f>
        <v>-0.40169063613257355</v>
      </c>
    </row>
    <row r="120" spans="1:20" x14ac:dyDescent="0.25">
      <c r="A120" s="5">
        <v>44473</v>
      </c>
      <c r="B120">
        <v>1.843</v>
      </c>
      <c r="C120">
        <v>2.1789999999999998</v>
      </c>
      <c r="D120">
        <v>1.77</v>
      </c>
      <c r="E120">
        <v>1.9730000000000001</v>
      </c>
      <c r="F120">
        <v>5145403.9000000004</v>
      </c>
      <c r="G120">
        <v>1.9730000000000001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-7.33496332518257E-3</v>
      </c>
      <c r="Q120">
        <f t="shared" ref="Q120" si="576">F120*P120</f>
        <v>-37741.348899751363</v>
      </c>
      <c r="R120">
        <f t="shared" ref="R120" si="577">R121+Q120</f>
        <v>-40003478.923714876</v>
      </c>
      <c r="S120">
        <f t="shared" ref="S120" si="578">R120/100000</f>
        <v>-400.03478923714874</v>
      </c>
      <c r="T120">
        <f t="shared" ref="T120" si="579">S120/1000</f>
        <v>-0.40003478923714875</v>
      </c>
    </row>
    <row r="121" spans="1:20" x14ac:dyDescent="0.25">
      <c r="A121" s="5">
        <v>44472</v>
      </c>
      <c r="B121">
        <v>1.855</v>
      </c>
      <c r="C121">
        <v>1.958</v>
      </c>
      <c r="D121">
        <v>1.79</v>
      </c>
      <c r="E121">
        <v>1.833</v>
      </c>
      <c r="F121">
        <v>3487421.3</v>
      </c>
      <c r="G121">
        <v>1.833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-0.48809523809523875</v>
      </c>
      <c r="Q121">
        <f t="shared" ref="Q121" si="581">F121*P121</f>
        <v>-1702193.7297619069</v>
      </c>
      <c r="R121">
        <f t="shared" ref="R121" si="582">R122+Q121</f>
        <v>-39965737.574815124</v>
      </c>
      <c r="S121">
        <f t="shared" ref="S121" si="583">R121/100000</f>
        <v>-399.65737574815125</v>
      </c>
      <c r="T121">
        <f t="shared" ref="T121" si="584">S121/1000</f>
        <v>-0.39965737574815124</v>
      </c>
    </row>
    <row r="122" spans="1:20" x14ac:dyDescent="0.25">
      <c r="A122" s="5">
        <v>44471</v>
      </c>
      <c r="B122">
        <v>1.837</v>
      </c>
      <c r="C122">
        <v>1.986</v>
      </c>
      <c r="D122">
        <v>1.82</v>
      </c>
      <c r="E122">
        <v>1.855</v>
      </c>
      <c r="F122">
        <v>1659945.3</v>
      </c>
      <c r="G122">
        <v>1.855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-0.57831325301204894</v>
      </c>
      <c r="Q122">
        <f t="shared" ref="Q122" si="586">F122*P122</f>
        <v>-959968.36626506154</v>
      </c>
      <c r="R122">
        <f t="shared" ref="R122" si="587">R123+Q122</f>
        <v>-38263543.845053218</v>
      </c>
      <c r="S122">
        <f t="shared" ref="S122" si="588">R122/100000</f>
        <v>-382.63543845053221</v>
      </c>
      <c r="T122">
        <f t="shared" ref="T122" si="589">S122/1000</f>
        <v>-0.38263543845053222</v>
      </c>
    </row>
    <row r="123" spans="1:20" x14ac:dyDescent="0.25">
      <c r="A123" s="5">
        <v>44470</v>
      </c>
      <c r="B123">
        <v>1.5549999999999999</v>
      </c>
      <c r="C123">
        <v>1.885</v>
      </c>
      <c r="D123">
        <v>1.5309999999999999</v>
      </c>
      <c r="E123">
        <v>1.837</v>
      </c>
      <c r="F123">
        <v>2493314.7000000002</v>
      </c>
      <c r="G123">
        <v>1.837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0.72881355932203373</v>
      </c>
      <c r="Q123">
        <f t="shared" ref="Q123" si="591">F123*P123</f>
        <v>1817161.5610169489</v>
      </c>
      <c r="R123">
        <f t="shared" ref="R123" si="592">R124+Q123</f>
        <v>-37303575.47878816</v>
      </c>
      <c r="S123">
        <f t="shared" ref="S123" si="593">R123/100000</f>
        <v>-373.03575478788161</v>
      </c>
      <c r="T123">
        <f t="shared" ref="T123" si="594">S123/1000</f>
        <v>-0.37303575478788159</v>
      </c>
    </row>
    <row r="124" spans="1:20" x14ac:dyDescent="0.25">
      <c r="A124" s="5">
        <v>44469</v>
      </c>
      <c r="B124">
        <v>1.454</v>
      </c>
      <c r="C124">
        <v>1.585</v>
      </c>
      <c r="D124">
        <v>1.454</v>
      </c>
      <c r="E124">
        <v>1.554</v>
      </c>
      <c r="F124">
        <v>724915</v>
      </c>
      <c r="G124">
        <v>1.554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0.52671755725190972</v>
      </c>
      <c r="Q124">
        <f t="shared" ref="Q124" si="596">F124*P124</f>
        <v>381825.45801526814</v>
      </c>
      <c r="R124">
        <f t="shared" ref="R124" si="597">R125+Q124</f>
        <v>-39120737.039805107</v>
      </c>
      <c r="S124">
        <f t="shared" ref="S124" si="598">R124/100000</f>
        <v>-391.20737039805107</v>
      </c>
      <c r="T124">
        <f t="shared" ref="T124" si="599">S124/1000</f>
        <v>-0.39120737039805109</v>
      </c>
    </row>
    <row r="125" spans="1:20" x14ac:dyDescent="0.25">
      <c r="A125" s="5">
        <v>44468</v>
      </c>
      <c r="B125">
        <v>1.429</v>
      </c>
      <c r="C125">
        <v>1.502</v>
      </c>
      <c r="D125">
        <v>1.4159999999999999</v>
      </c>
      <c r="E125">
        <v>1.454</v>
      </c>
      <c r="F125">
        <v>530456.4</v>
      </c>
      <c r="G125">
        <v>1.454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-0.11627906976744186</v>
      </c>
      <c r="Q125">
        <f t="shared" ref="Q125" si="601">F125*P125</f>
        <v>-61680.976744186046</v>
      </c>
      <c r="R125">
        <f t="shared" ref="R125" si="602">R126+Q125</f>
        <v>-39502562.497820377</v>
      </c>
      <c r="S125">
        <f t="shared" ref="S125" si="603">R125/100000</f>
        <v>-395.02562497820378</v>
      </c>
      <c r="T125">
        <f t="shared" ref="T125" si="604">S125/1000</f>
        <v>-0.39502562497820376</v>
      </c>
    </row>
    <row r="126" spans="1:20" x14ac:dyDescent="0.25">
      <c r="A126" s="5">
        <v>44467</v>
      </c>
      <c r="B126">
        <v>1.4610000000000001</v>
      </c>
      <c r="C126">
        <v>1.53</v>
      </c>
      <c r="D126">
        <v>1.41</v>
      </c>
      <c r="E126">
        <v>1.43</v>
      </c>
      <c r="F126">
        <v>1652709.8</v>
      </c>
      <c r="G126">
        <v>1.43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-0.66666666666666663</v>
      </c>
      <c r="Q126">
        <f t="shared" ref="Q126" si="606">F126*P126</f>
        <v>-1101806.5333333332</v>
      </c>
      <c r="R126">
        <f t="shared" ref="R126" si="607">R127+Q126</f>
        <v>-39440881.521076195</v>
      </c>
      <c r="S126">
        <f t="shared" ref="S126" si="608">R126/100000</f>
        <v>-394.40881521076193</v>
      </c>
      <c r="T126">
        <f t="shared" ref="T126" si="609">S126/1000</f>
        <v>-0.39440881521076193</v>
      </c>
    </row>
    <row r="127" spans="1:20" x14ac:dyDescent="0.25">
      <c r="A127" s="5">
        <v>44466</v>
      </c>
      <c r="B127">
        <v>1.4990000000000001</v>
      </c>
      <c r="C127">
        <v>1.627</v>
      </c>
      <c r="D127">
        <v>1.458</v>
      </c>
      <c r="E127">
        <v>1.4610000000000001</v>
      </c>
      <c r="F127">
        <v>1738264.9</v>
      </c>
      <c r="G127">
        <v>1.4610000000000001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-0.96449704142011705</v>
      </c>
      <c r="Q127">
        <f t="shared" ref="Q127" si="611">F127*P127</f>
        <v>-1676551.3532544356</v>
      </c>
      <c r="R127">
        <f t="shared" ref="R127" si="612">R128+Q127</f>
        <v>-38339074.987742864</v>
      </c>
      <c r="S127">
        <f t="shared" ref="S127" si="613">R127/100000</f>
        <v>-383.39074987742862</v>
      </c>
      <c r="T127">
        <f t="shared" ref="T127" si="614">S127/1000</f>
        <v>-0.3833907498774286</v>
      </c>
    </row>
    <row r="128" spans="1:20" x14ac:dyDescent="0.25">
      <c r="A128" s="5">
        <v>44465</v>
      </c>
      <c r="B128">
        <v>1.482</v>
      </c>
      <c r="C128">
        <v>1.54</v>
      </c>
      <c r="D128">
        <v>1.355</v>
      </c>
      <c r="E128">
        <v>1.5</v>
      </c>
      <c r="F128">
        <v>1469519.45</v>
      </c>
      <c r="G128">
        <v>1.5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0.56756756756756732</v>
      </c>
      <c r="Q128">
        <f t="shared" ref="Q128" si="616">F128*P128</f>
        <v>834051.57972972933</v>
      </c>
      <c r="R128">
        <f t="shared" ref="R128" si="617">R129+Q128</f>
        <v>-36662523.634488426</v>
      </c>
      <c r="S128">
        <f t="shared" ref="S128" si="618">R128/100000</f>
        <v>-366.62523634488429</v>
      </c>
      <c r="T128">
        <f t="shared" ref="T128" si="619">S128/1000</f>
        <v>-0.36662523634488431</v>
      </c>
    </row>
    <row r="129" spans="1:20" x14ac:dyDescent="0.25">
      <c r="A129" s="5">
        <v>44464</v>
      </c>
      <c r="B129">
        <v>1.5049999999999999</v>
      </c>
      <c r="C129">
        <v>1.6519999999999999</v>
      </c>
      <c r="D129">
        <v>1.4330000000000001</v>
      </c>
      <c r="E129">
        <v>1.4830000000000001</v>
      </c>
      <c r="F129">
        <v>2501326.7999999998</v>
      </c>
      <c r="G129">
        <v>1.4830000000000001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-0.54337899543378931</v>
      </c>
      <c r="Q129">
        <f t="shared" ref="Q129" si="621">F129*P129</f>
        <v>-1359168.4438356147</v>
      </c>
      <c r="R129">
        <f t="shared" ref="R129" si="622">R130+Q129</f>
        <v>-37496575.214218155</v>
      </c>
      <c r="S129">
        <f t="shared" ref="S129" si="623">R129/100000</f>
        <v>-374.96575214218154</v>
      </c>
      <c r="T129">
        <f t="shared" ref="T129" si="624">S129/1000</f>
        <v>-0.37496575214218153</v>
      </c>
    </row>
    <row r="130" spans="1:20" x14ac:dyDescent="0.25">
      <c r="A130" s="5">
        <v>44463</v>
      </c>
      <c r="B130">
        <v>1.615</v>
      </c>
      <c r="C130">
        <v>1.6659999999999999</v>
      </c>
      <c r="D130">
        <v>1.3879999999999999</v>
      </c>
      <c r="E130">
        <v>1.5029999999999999</v>
      </c>
      <c r="F130">
        <v>1276855.7</v>
      </c>
      <c r="G130">
        <v>1.5029999999999999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-0.17266187050359727</v>
      </c>
      <c r="Q130">
        <f t="shared" ref="Q130" si="626">F130*P130</f>
        <v>-220464.29352518002</v>
      </c>
      <c r="R130">
        <f t="shared" ref="R130" si="627">R131+Q130</f>
        <v>-36137406.770382538</v>
      </c>
      <c r="S130">
        <f t="shared" ref="S130" si="628">R130/100000</f>
        <v>-361.3740677038254</v>
      </c>
      <c r="T130">
        <f t="shared" ref="T130" si="629">S130/1000</f>
        <v>-0.36137406770382541</v>
      </c>
    </row>
    <row r="131" spans="1:20" x14ac:dyDescent="0.25">
      <c r="A131" s="5">
        <v>44462</v>
      </c>
      <c r="B131">
        <v>1.6</v>
      </c>
      <c r="C131">
        <v>1.665</v>
      </c>
      <c r="D131">
        <v>1.55</v>
      </c>
      <c r="E131">
        <v>1.615</v>
      </c>
      <c r="F131">
        <v>1429371.2</v>
      </c>
      <c r="G131">
        <v>1.615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0.13043478260869482</v>
      </c>
      <c r="Q131">
        <f t="shared" ref="Q131" si="631">F131*P131</f>
        <v>186439.72173912922</v>
      </c>
      <c r="R131">
        <f t="shared" ref="R131" si="632">R132+Q131</f>
        <v>-35916942.476857357</v>
      </c>
      <c r="S131">
        <f t="shared" ref="S131" si="633">R131/100000</f>
        <v>-359.16942476857355</v>
      </c>
      <c r="T131">
        <f t="shared" ref="T131" si="634">S131/1000</f>
        <v>-0.35916942476857355</v>
      </c>
    </row>
    <row r="132" spans="1:20" x14ac:dyDescent="0.25">
      <c r="A132" s="5">
        <v>44461</v>
      </c>
      <c r="B132">
        <v>1.4239999999999999</v>
      </c>
      <c r="C132">
        <v>1.6259999999999999</v>
      </c>
      <c r="D132">
        <v>1.389</v>
      </c>
      <c r="E132">
        <v>1.6</v>
      </c>
      <c r="F132">
        <v>2876672.1</v>
      </c>
      <c r="G132">
        <v>1.6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0.78059071729957963</v>
      </c>
      <c r="Q132">
        <f t="shared" ref="Q132" si="636">F132*P132</f>
        <v>2245503.5379746882</v>
      </c>
      <c r="R132">
        <f t="shared" ref="R132" si="637">R133+Q132</f>
        <v>-36103382.198596485</v>
      </c>
      <c r="S132">
        <f t="shared" ref="S132" si="638">R132/100000</f>
        <v>-361.03382198596483</v>
      </c>
      <c r="T132">
        <f t="shared" ref="T132" si="639">S132/1000</f>
        <v>-0.36103382198596484</v>
      </c>
    </row>
    <row r="133" spans="1:20" x14ac:dyDescent="0.25">
      <c r="A133" s="5">
        <v>44460</v>
      </c>
      <c r="B133">
        <v>1.54</v>
      </c>
      <c r="C133">
        <v>1.659</v>
      </c>
      <c r="D133">
        <v>1.3759999999999999</v>
      </c>
      <c r="E133">
        <v>1.4219999999999999</v>
      </c>
      <c r="F133">
        <v>1787696.8</v>
      </c>
      <c r="G133">
        <v>1.4219999999999999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-0.67491166077738507</v>
      </c>
      <c r="Q133">
        <f t="shared" ref="Q133" si="641">F133*P133</f>
        <v>-1206537.4162544168</v>
      </c>
      <c r="R133">
        <f t="shared" ref="R133" si="642">R134+Q133</f>
        <v>-38348885.73657117</v>
      </c>
      <c r="S133">
        <f t="shared" ref="S133" si="643">R133/100000</f>
        <v>-383.48885736571168</v>
      </c>
      <c r="T133">
        <f t="shared" ref="T133" si="644">S133/1000</f>
        <v>-0.3834888573657117</v>
      </c>
    </row>
    <row r="134" spans="1:20" x14ac:dyDescent="0.25">
      <c r="A134" s="5">
        <v>44459</v>
      </c>
      <c r="B134">
        <v>1.738</v>
      </c>
      <c r="C134">
        <v>1.7390000000000001</v>
      </c>
      <c r="D134">
        <v>1.6</v>
      </c>
      <c r="E134">
        <v>1.631</v>
      </c>
      <c r="F134">
        <v>591899.9</v>
      </c>
      <c r="G134">
        <v>1.631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-0.55395683453237532</v>
      </c>
      <c r="Q134">
        <f t="shared" ref="Q134" si="646">F134*P134</f>
        <v>-327886.99496402952</v>
      </c>
      <c r="R134">
        <f t="shared" ref="R134" si="647">R135+Q134</f>
        <v>-37142348.320316754</v>
      </c>
      <c r="S134">
        <f t="shared" ref="S134" si="648">R134/100000</f>
        <v>-371.42348320316756</v>
      </c>
      <c r="T134">
        <f t="shared" ref="T134" si="649">S134/1000</f>
        <v>-0.37142348320316754</v>
      </c>
    </row>
    <row r="135" spans="1:20" x14ac:dyDescent="0.25">
      <c r="A135" s="5">
        <v>44458</v>
      </c>
      <c r="B135">
        <v>1.7989999999999999</v>
      </c>
      <c r="C135">
        <v>1.835</v>
      </c>
      <c r="D135">
        <v>1.702</v>
      </c>
      <c r="E135">
        <v>1.7370000000000001</v>
      </c>
      <c r="F135">
        <v>885470</v>
      </c>
      <c r="G135">
        <v>1.7370000000000001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-0.47368421052631365</v>
      </c>
      <c r="Q135">
        <f t="shared" ref="Q135" si="651">F135*P135</f>
        <v>-419433.15789473493</v>
      </c>
      <c r="R135">
        <f t="shared" ref="R135" si="652">R136+Q135</f>
        <v>-36814461.325352728</v>
      </c>
      <c r="S135">
        <f t="shared" ref="S135" si="653">R135/100000</f>
        <v>-368.14461325352727</v>
      </c>
      <c r="T135">
        <f t="shared" ref="T135" si="654">S135/1000</f>
        <v>-0.36814461325352726</v>
      </c>
    </row>
    <row r="136" spans="1:20" x14ac:dyDescent="0.25">
      <c r="A136" s="5">
        <v>44457</v>
      </c>
      <c r="B136">
        <v>1.79</v>
      </c>
      <c r="C136">
        <v>1.899</v>
      </c>
      <c r="D136">
        <v>1.7709999999999999</v>
      </c>
      <c r="E136">
        <v>1.8009999999999999</v>
      </c>
      <c r="F136">
        <v>1537381.2</v>
      </c>
      <c r="G136">
        <v>1.8009999999999999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-0.53125</v>
      </c>
      <c r="Q136">
        <f t="shared" ref="Q136" si="656">F136*P136</f>
        <v>-816733.76249999995</v>
      </c>
      <c r="R136">
        <f t="shared" ref="R136" si="657">R137+Q136</f>
        <v>-36395028.16745799</v>
      </c>
      <c r="S136">
        <f t="shared" ref="S136" si="658">R136/100000</f>
        <v>-363.95028167457991</v>
      </c>
      <c r="T136">
        <f t="shared" ref="T136" si="659">S136/1000</f>
        <v>-0.36395028167457993</v>
      </c>
    </row>
    <row r="137" spans="1:20" x14ac:dyDescent="0.25">
      <c r="A137" s="5">
        <v>44456</v>
      </c>
      <c r="B137">
        <v>1.91</v>
      </c>
      <c r="C137">
        <v>1.9350000000000001</v>
      </c>
      <c r="D137">
        <v>1.772</v>
      </c>
      <c r="E137">
        <v>1.7869999999999999</v>
      </c>
      <c r="F137">
        <v>1697101.7</v>
      </c>
      <c r="G137">
        <v>1.7869999999999999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-0.81595092024540006</v>
      </c>
      <c r="Q137">
        <f t="shared" ref="Q137" si="661">F137*P137</f>
        <v>-1384751.6938650329</v>
      </c>
      <c r="R137">
        <f t="shared" ref="R137" si="662">R138+Q137</f>
        <v>-35578294.404957987</v>
      </c>
      <c r="S137">
        <f t="shared" ref="S137" si="663">R137/100000</f>
        <v>-355.7829440495799</v>
      </c>
      <c r="T137">
        <f t="shared" ref="T137" si="664">S137/1000</f>
        <v>-0.35578294404957989</v>
      </c>
    </row>
    <row r="138" spans="1:20" x14ac:dyDescent="0.25">
      <c r="A138" s="5">
        <v>44455</v>
      </c>
      <c r="B138">
        <v>1.881</v>
      </c>
      <c r="C138">
        <v>1.9490000000000001</v>
      </c>
      <c r="D138">
        <v>1.8320000000000001</v>
      </c>
      <c r="E138">
        <v>1.91</v>
      </c>
      <c r="F138">
        <v>1504845.7</v>
      </c>
      <c r="G138">
        <v>1.91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0.33333333333333082</v>
      </c>
      <c r="Q138">
        <f t="shared" ref="Q138" si="666">F138*P138</f>
        <v>501615.23333332955</v>
      </c>
      <c r="R138">
        <f t="shared" ref="R138" si="667">R139+Q138</f>
        <v>-34193542.711092956</v>
      </c>
      <c r="S138">
        <f t="shared" ref="S138" si="668">R138/100000</f>
        <v>-341.93542711092954</v>
      </c>
      <c r="T138">
        <f t="shared" ref="T138" si="669">S138/1000</f>
        <v>-0.34193542711092956</v>
      </c>
    </row>
    <row r="139" spans="1:20" x14ac:dyDescent="0.25">
      <c r="A139" s="5">
        <v>44454</v>
      </c>
      <c r="B139">
        <v>1.8540000000000001</v>
      </c>
      <c r="C139">
        <v>1.895</v>
      </c>
      <c r="D139">
        <v>1.8</v>
      </c>
      <c r="E139">
        <v>1.881</v>
      </c>
      <c r="F139">
        <v>2014390.7</v>
      </c>
      <c r="G139">
        <v>1.881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0.70526315789473648</v>
      </c>
      <c r="Q139">
        <f t="shared" ref="Q139" si="671">F139*P139</f>
        <v>1420675.5463157888</v>
      </c>
      <c r="R139">
        <f t="shared" ref="R139" si="672">R140+Q139</f>
        <v>-34695157.944426283</v>
      </c>
      <c r="S139">
        <f t="shared" ref="S139" si="673">R139/100000</f>
        <v>-346.95157944426285</v>
      </c>
      <c r="T139">
        <f t="shared" ref="T139" si="674">S139/1000</f>
        <v>-0.34695157944426286</v>
      </c>
    </row>
    <row r="140" spans="1:20" x14ac:dyDescent="0.25">
      <c r="A140" s="5">
        <v>44453</v>
      </c>
      <c r="B140">
        <v>1.722</v>
      </c>
      <c r="C140">
        <v>1.907</v>
      </c>
      <c r="D140">
        <v>1.7010000000000001</v>
      </c>
      <c r="E140">
        <v>1.8560000000000001</v>
      </c>
      <c r="F140">
        <v>3225046.7</v>
      </c>
      <c r="G140">
        <v>1.8560000000000001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0.50485436893203939</v>
      </c>
      <c r="Q140">
        <f t="shared" ref="Q140" si="676">F140*P140</f>
        <v>1628178.9165048562</v>
      </c>
      <c r="R140">
        <f t="shared" ref="R140" si="677">R141+Q140</f>
        <v>-36115833.490742072</v>
      </c>
      <c r="S140">
        <f t="shared" ref="S140" si="678">R140/100000</f>
        <v>-361.15833490742074</v>
      </c>
      <c r="T140">
        <f t="shared" ref="T140" si="679">S140/1000</f>
        <v>-0.36115833490742072</v>
      </c>
    </row>
    <row r="141" spans="1:20" x14ac:dyDescent="0.25">
      <c r="A141" s="5">
        <v>44452</v>
      </c>
      <c r="B141">
        <v>1.8560000000000001</v>
      </c>
      <c r="C141">
        <v>1.871</v>
      </c>
      <c r="D141">
        <v>1.62</v>
      </c>
      <c r="E141">
        <v>1.722</v>
      </c>
      <c r="F141">
        <v>1447105.2</v>
      </c>
      <c r="G141">
        <v>1.722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-0.18725099601593695</v>
      </c>
      <c r="Q141">
        <f t="shared" ref="Q141" si="681">F141*P141</f>
        <v>-270971.89003984164</v>
      </c>
      <c r="R141">
        <f t="shared" ref="R141" si="682">R142+Q141</f>
        <v>-37744012.407246932</v>
      </c>
      <c r="S141">
        <f t="shared" ref="S141" si="683">R141/100000</f>
        <v>-377.4401240724693</v>
      </c>
      <c r="T141">
        <f t="shared" ref="T141" si="684">S141/1000</f>
        <v>-0.3774401240724693</v>
      </c>
    </row>
    <row r="142" spans="1:20" x14ac:dyDescent="0.25">
      <c r="A142" s="5">
        <v>44451</v>
      </c>
      <c r="B142">
        <v>1.7669999999999999</v>
      </c>
      <c r="C142">
        <v>1.879</v>
      </c>
      <c r="D142">
        <v>1.7390000000000001</v>
      </c>
      <c r="E142">
        <v>1.855</v>
      </c>
      <c r="F142">
        <v>1171407.2</v>
      </c>
      <c r="G142">
        <v>1.855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0.65714285714285658</v>
      </c>
      <c r="Q142">
        <f t="shared" ref="Q142" si="686">F142*P142</f>
        <v>769781.87428571365</v>
      </c>
      <c r="R142">
        <f t="shared" ref="R142" si="687">R143+Q142</f>
        <v>-37473040.517207094</v>
      </c>
      <c r="S142">
        <f t="shared" ref="S142" si="688">R142/100000</f>
        <v>-374.73040517207096</v>
      </c>
      <c r="T142">
        <f t="shared" ref="T142" si="689">S142/1000</f>
        <v>-0.37473040517207096</v>
      </c>
    </row>
    <row r="143" spans="1:20" x14ac:dyDescent="0.25">
      <c r="A143" s="5">
        <v>44450</v>
      </c>
      <c r="B143">
        <v>1.7569999999999999</v>
      </c>
      <c r="C143">
        <v>1.875</v>
      </c>
      <c r="D143">
        <v>1.708</v>
      </c>
      <c r="E143">
        <v>1.764</v>
      </c>
      <c r="F143">
        <v>1366485.9</v>
      </c>
      <c r="G143">
        <v>1.764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-0.329341317365269</v>
      </c>
      <c r="Q143">
        <f t="shared" ref="Q143" si="691">F143*P143</f>
        <v>-450040.2664670652</v>
      </c>
      <c r="R143">
        <f t="shared" ref="R143" si="692">R144+Q143</f>
        <v>-38242822.391492806</v>
      </c>
      <c r="S143">
        <f t="shared" ref="S143" si="693">R143/100000</f>
        <v>-382.42822391492808</v>
      </c>
      <c r="T143">
        <f t="shared" ref="T143" si="694">S143/1000</f>
        <v>-0.38242822391492809</v>
      </c>
    </row>
    <row r="144" spans="1:20" x14ac:dyDescent="0.25">
      <c r="A144" s="5">
        <v>44449</v>
      </c>
      <c r="B144">
        <v>1.873</v>
      </c>
      <c r="C144">
        <v>1.9530000000000001</v>
      </c>
      <c r="D144">
        <v>1.706</v>
      </c>
      <c r="E144">
        <v>1.7569999999999999</v>
      </c>
      <c r="F144">
        <v>2377738.5</v>
      </c>
      <c r="G144">
        <v>1.7569999999999999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-0.58704453441295623</v>
      </c>
      <c r="Q144">
        <f t="shared" ref="Q144" si="696">F144*P144</f>
        <v>-1395838.390688261</v>
      </c>
      <c r="R144">
        <f t="shared" ref="R144" si="697">R145+Q144</f>
        <v>-37792782.125025742</v>
      </c>
      <c r="S144">
        <f t="shared" ref="S144" si="698">R144/100000</f>
        <v>-377.92782125025741</v>
      </c>
      <c r="T144">
        <f t="shared" ref="T144" si="699">S144/1000</f>
        <v>-0.37792782125025742</v>
      </c>
    </row>
    <row r="145" spans="1:20" x14ac:dyDescent="0.25">
      <c r="A145" s="5">
        <v>44448</v>
      </c>
      <c r="B145">
        <v>1.7749999999999999</v>
      </c>
      <c r="C145">
        <v>2.0219999999999998</v>
      </c>
      <c r="D145">
        <v>1.696</v>
      </c>
      <c r="E145">
        <v>1.8720000000000001</v>
      </c>
      <c r="F145">
        <v>2826207.3</v>
      </c>
      <c r="G145">
        <v>1.8720000000000001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7.9754601226995334E-2</v>
      </c>
      <c r="Q145">
        <f t="shared" ref="Q145" si="701">F145*P145</f>
        <v>225403.03619632314</v>
      </c>
      <c r="R145">
        <f t="shared" ref="R145" si="702">R146+Q145</f>
        <v>-36396943.734337479</v>
      </c>
      <c r="S145">
        <f t="shared" ref="S145" si="703">R145/100000</f>
        <v>-363.96943734337481</v>
      </c>
      <c r="T145">
        <f t="shared" ref="T145" si="704">S145/1000</f>
        <v>-0.36396943734337478</v>
      </c>
    </row>
    <row r="146" spans="1:20" x14ac:dyDescent="0.25">
      <c r="A146" s="5">
        <v>44447</v>
      </c>
      <c r="B146">
        <v>1.722</v>
      </c>
      <c r="C146">
        <v>1.8</v>
      </c>
      <c r="D146">
        <v>1.5509999999999999</v>
      </c>
      <c r="E146">
        <v>1.7749999999999999</v>
      </c>
      <c r="F146">
        <v>1698211.3</v>
      </c>
      <c r="G146">
        <v>1.7749999999999999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0.79919678714859343</v>
      </c>
      <c r="Q146">
        <f t="shared" ref="Q146" si="706">F146*P146</f>
        <v>1357205.0148594361</v>
      </c>
      <c r="R146">
        <f t="shared" ref="R146" si="707">R147+Q146</f>
        <v>-36622346.7705338</v>
      </c>
      <c r="S146">
        <f t="shared" ref="S146" si="708">R146/100000</f>
        <v>-366.22346770533801</v>
      </c>
      <c r="T146">
        <f t="shared" ref="T146" si="709">S146/1000</f>
        <v>-0.36622346770533803</v>
      </c>
    </row>
    <row r="147" spans="1:20" x14ac:dyDescent="0.25">
      <c r="A147" s="5">
        <v>44446</v>
      </c>
      <c r="B147">
        <v>2.1779999999999999</v>
      </c>
      <c r="C147">
        <v>2.2189999999999999</v>
      </c>
      <c r="D147">
        <v>1.38</v>
      </c>
      <c r="E147">
        <v>1.7210000000000001</v>
      </c>
      <c r="F147">
        <v>3320639.47</v>
      </c>
      <c r="G147">
        <v>1.7210000000000001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-0.18712753277711514</v>
      </c>
      <c r="Q147">
        <f t="shared" ref="Q147" si="711">F147*P147</f>
        <v>-621383.07126340724</v>
      </c>
      <c r="R147">
        <f t="shared" ref="R147" si="712">R148+Q147</f>
        <v>-37979551.785393238</v>
      </c>
      <c r="S147">
        <f t="shared" ref="S147" si="713">R147/100000</f>
        <v>-379.79551785393238</v>
      </c>
      <c r="T147">
        <f t="shared" ref="T147" si="714">S147/1000</f>
        <v>-0.3797955178539324</v>
      </c>
    </row>
    <row r="148" spans="1:20" x14ac:dyDescent="0.25">
      <c r="A148" s="5">
        <v>44445</v>
      </c>
      <c r="B148">
        <v>2.0640000000000001</v>
      </c>
      <c r="C148">
        <v>2.2850000000000001</v>
      </c>
      <c r="D148">
        <v>2.04</v>
      </c>
      <c r="E148">
        <v>2.1779999999999999</v>
      </c>
      <c r="F148">
        <v>3527656.17</v>
      </c>
      <c r="G148">
        <v>2.1779999999999999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0.12653061224489665</v>
      </c>
      <c r="Q148">
        <f t="shared" ref="Q148" si="716">F148*P148</f>
        <v>446356.49497958721</v>
      </c>
      <c r="R148">
        <f t="shared" ref="R148" si="717">R149+Q148</f>
        <v>-37358168.714129828</v>
      </c>
      <c r="S148">
        <f t="shared" ref="S148" si="718">R148/100000</f>
        <v>-373.58168714129829</v>
      </c>
      <c r="T148">
        <f t="shared" ref="T148" si="719">S148/1000</f>
        <v>-0.3735816871412983</v>
      </c>
    </row>
    <row r="149" spans="1:20" x14ac:dyDescent="0.25">
      <c r="A149" s="5">
        <v>44444</v>
      </c>
      <c r="B149">
        <v>2.0179999999999998</v>
      </c>
      <c r="C149">
        <v>2.0699999999999998</v>
      </c>
      <c r="D149">
        <v>1.966</v>
      </c>
      <c r="E149">
        <v>2.0649999999999999</v>
      </c>
      <c r="F149">
        <v>1781127.8</v>
      </c>
      <c r="G149">
        <v>2.0649999999999999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0.90384615384615574</v>
      </c>
      <c r="Q149">
        <f t="shared" ref="Q149" si="721">F149*P149</f>
        <v>1609865.511538465</v>
      </c>
      <c r="R149">
        <f t="shared" ref="R149" si="722">R150+Q149</f>
        <v>-37804525.209109418</v>
      </c>
      <c r="S149">
        <f t="shared" ref="S149" si="723">R149/100000</f>
        <v>-378.0452520910942</v>
      </c>
      <c r="T149">
        <f t="shared" ref="T149" si="724">S149/1000</f>
        <v>-0.37804525209109419</v>
      </c>
    </row>
    <row r="150" spans="1:20" x14ac:dyDescent="0.25">
      <c r="A150" s="5">
        <v>44443</v>
      </c>
      <c r="B150">
        <v>1.9730000000000001</v>
      </c>
      <c r="C150">
        <v>2.0939999999999999</v>
      </c>
      <c r="D150">
        <v>1.9379999999999999</v>
      </c>
      <c r="E150">
        <v>2.02</v>
      </c>
      <c r="F150">
        <v>1991406.1</v>
      </c>
      <c r="G150">
        <v>2.02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5.1282051282052779E-2</v>
      </c>
      <c r="Q150">
        <f t="shared" ref="Q150" si="726">F150*P150</f>
        <v>102123.38974359274</v>
      </c>
      <c r="R150">
        <f t="shared" ref="R150" si="727">R151+Q150</f>
        <v>-39414390.720647886</v>
      </c>
      <c r="S150">
        <f t="shared" ref="S150" si="728">R150/100000</f>
        <v>-394.14390720647884</v>
      </c>
      <c r="T150">
        <f t="shared" ref="T150" si="729">S150/1000</f>
        <v>-0.39414390720647885</v>
      </c>
    </row>
    <row r="151" spans="1:20" x14ac:dyDescent="0.25">
      <c r="A151" s="5">
        <v>44442</v>
      </c>
      <c r="B151">
        <v>1.91</v>
      </c>
      <c r="C151">
        <v>2.0219999999999998</v>
      </c>
      <c r="D151">
        <v>1.869</v>
      </c>
      <c r="E151">
        <v>1.9730000000000001</v>
      </c>
      <c r="F151">
        <v>1525969.1</v>
      </c>
      <c r="G151">
        <v>1.9730000000000001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0.35947712418300948</v>
      </c>
      <c r="Q151">
        <f t="shared" ref="Q151" si="731">F151*P151</f>
        <v>548550.98366013519</v>
      </c>
      <c r="R151">
        <f t="shared" ref="R151" si="732">R152+Q151</f>
        <v>-39516514.110391483</v>
      </c>
      <c r="S151">
        <f t="shared" ref="S151" si="733">R151/100000</f>
        <v>-395.16514110391483</v>
      </c>
      <c r="T151">
        <f t="shared" ref="T151" si="734">S151/1000</f>
        <v>-0.39516514110391482</v>
      </c>
    </row>
    <row r="152" spans="1:20" x14ac:dyDescent="0.25">
      <c r="A152" s="5">
        <v>44441</v>
      </c>
      <c r="B152">
        <v>2.036</v>
      </c>
      <c r="C152">
        <v>2.044</v>
      </c>
      <c r="D152">
        <v>1.901</v>
      </c>
      <c r="E152">
        <v>1.9079999999999999</v>
      </c>
      <c r="F152">
        <v>1942738.4</v>
      </c>
      <c r="G152">
        <v>1.9079999999999999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-0.90209790209790353</v>
      </c>
      <c r="Q152">
        <f t="shared" ref="Q152" si="736">F152*P152</f>
        <v>-1752540.2349650376</v>
      </c>
      <c r="R152">
        <f t="shared" ref="R152" si="737">R153+Q152</f>
        <v>-40065065.094051614</v>
      </c>
      <c r="S152">
        <f t="shared" ref="S152" si="738">R152/100000</f>
        <v>-400.65065094051613</v>
      </c>
      <c r="T152">
        <f t="shared" ref="T152" si="739">S152/1000</f>
        <v>-0.40065065094051611</v>
      </c>
    </row>
    <row r="153" spans="1:20" x14ac:dyDescent="0.25">
      <c r="A153" s="5">
        <v>44440</v>
      </c>
      <c r="B153">
        <v>2.004</v>
      </c>
      <c r="C153">
        <v>2.06</v>
      </c>
      <c r="D153">
        <v>1.944</v>
      </c>
      <c r="E153">
        <v>2.0339999999999998</v>
      </c>
      <c r="F153">
        <v>2257850.9</v>
      </c>
      <c r="G153">
        <v>2.0339999999999998</v>
      </c>
      <c r="L153" t="s">
        <v>7</v>
      </c>
      <c r="M153" t="s">
        <v>8</v>
      </c>
      <c r="N153" t="s">
        <v>7</v>
      </c>
      <c r="P153">
        <f t="shared" ref="P153" si="740">IF(C153=D153,0,((E153-D153)-(C153-E153))/(C153-D153))</f>
        <v>0.5517241379310307</v>
      </c>
      <c r="Q153">
        <f t="shared" ref="Q153" si="741">F153*P153</f>
        <v>1245710.8413793019</v>
      </c>
      <c r="R153">
        <f t="shared" ref="R153" si="742">R154+Q153</f>
        <v>-38312524.859086581</v>
      </c>
      <c r="S153">
        <f t="shared" ref="S153" si="743">R153/100000</f>
        <v>-383.12524859086579</v>
      </c>
      <c r="T153">
        <f t="shared" ref="T153" si="744">S153/1000</f>
        <v>-0.38312524859086577</v>
      </c>
    </row>
    <row r="154" spans="1:20" x14ac:dyDescent="0.25">
      <c r="A154" s="5">
        <v>44439</v>
      </c>
      <c r="B154">
        <v>1.831</v>
      </c>
      <c r="C154">
        <v>2.2320000000000002</v>
      </c>
      <c r="D154">
        <v>1.8260000000000001</v>
      </c>
      <c r="E154">
        <v>2.0070000000000001</v>
      </c>
      <c r="F154">
        <v>8295475.8899999997</v>
      </c>
      <c r="G154">
        <v>2.0070000000000001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-0.10837438423645326</v>
      </c>
      <c r="Q154">
        <f t="shared" ref="Q154" si="746">F154*P154</f>
        <v>-899017.09152709402</v>
      </c>
      <c r="R154">
        <f t="shared" ref="R154" si="747">R155+Q154</f>
        <v>-39558235.70046588</v>
      </c>
      <c r="S154">
        <f t="shared" ref="S154" si="748">R154/100000</f>
        <v>-395.58235700465883</v>
      </c>
      <c r="T154">
        <f t="shared" ref="T154" si="749">S154/1000</f>
        <v>-0.39558235700465882</v>
      </c>
    </row>
    <row r="155" spans="1:20" x14ac:dyDescent="0.25">
      <c r="A155" s="5">
        <v>44438</v>
      </c>
      <c r="B155">
        <v>1.863</v>
      </c>
      <c r="C155">
        <v>1.96</v>
      </c>
      <c r="D155">
        <v>1.7609999999999999</v>
      </c>
      <c r="E155">
        <v>1.8320000000000001</v>
      </c>
      <c r="F155">
        <v>2727952.6</v>
      </c>
      <c r="G155">
        <v>1.8320000000000001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-0.28643216080401857</v>
      </c>
      <c r="Q155">
        <f t="shared" ref="Q155" si="751">F155*P155</f>
        <v>-781373.35778894054</v>
      </c>
      <c r="R155">
        <f t="shared" ref="R155" si="752">R156+Q155</f>
        <v>-38659218.608938783</v>
      </c>
      <c r="S155">
        <f t="shared" ref="S155" si="753">R155/100000</f>
        <v>-386.59218608938784</v>
      </c>
      <c r="T155">
        <f t="shared" ref="T155" si="754">S155/1000</f>
        <v>-0.38659218608938783</v>
      </c>
    </row>
    <row r="156" spans="1:20" x14ac:dyDescent="0.25">
      <c r="A156" s="5">
        <v>44437</v>
      </c>
      <c r="B156">
        <v>1.923</v>
      </c>
      <c r="C156">
        <v>1.998</v>
      </c>
      <c r="D156">
        <v>1.8340000000000001</v>
      </c>
      <c r="E156">
        <v>1.863</v>
      </c>
      <c r="F156">
        <v>2610458.71</v>
      </c>
      <c r="G156">
        <v>1.863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-0.64634146341463505</v>
      </c>
      <c r="Q156">
        <f t="shared" ref="Q156" si="756">F156*P156</f>
        <v>-1687247.7028048804</v>
      </c>
      <c r="R156">
        <f t="shared" ref="R156" si="757">R157+Q156</f>
        <v>-37877845.251149841</v>
      </c>
      <c r="S156">
        <f t="shared" ref="S156" si="758">R156/100000</f>
        <v>-378.77845251149841</v>
      </c>
      <c r="T156">
        <f t="shared" ref="T156" si="759">S156/1000</f>
        <v>-0.37877845251149844</v>
      </c>
    </row>
    <row r="157" spans="1:20" x14ac:dyDescent="0.25">
      <c r="A157" s="5">
        <v>44436</v>
      </c>
      <c r="B157">
        <v>1.8979999999999999</v>
      </c>
      <c r="C157">
        <v>1.9370000000000001</v>
      </c>
      <c r="D157">
        <v>1.798</v>
      </c>
      <c r="E157">
        <v>1.917</v>
      </c>
      <c r="F157">
        <v>1767053</v>
      </c>
      <c r="G157">
        <v>1.917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0.71223021582733792</v>
      </c>
      <c r="Q157">
        <f t="shared" ref="Q157" si="761">F157*P157</f>
        <v>1258548.5395683451</v>
      </c>
      <c r="R157">
        <f t="shared" ref="R157" si="762">R158+Q157</f>
        <v>-36190597.548344962</v>
      </c>
      <c r="S157">
        <f t="shared" ref="S157" si="763">R157/100000</f>
        <v>-361.90597548344959</v>
      </c>
      <c r="T157">
        <f t="shared" ref="T157" si="764">S157/1000</f>
        <v>-0.3619059754834496</v>
      </c>
    </row>
    <row r="158" spans="1:20" x14ac:dyDescent="0.25">
      <c r="A158" s="5">
        <v>44435</v>
      </c>
      <c r="B158">
        <v>1.738</v>
      </c>
      <c r="C158">
        <v>1.91</v>
      </c>
      <c r="D158">
        <v>1.6830000000000001</v>
      </c>
      <c r="E158">
        <v>1.8939999999999999</v>
      </c>
      <c r="F158">
        <v>1584047.54</v>
      </c>
      <c r="G158">
        <v>1.8939999999999999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0.85903083700440508</v>
      </c>
      <c r="Q158">
        <f t="shared" ref="Q158" si="766">F158*P158</f>
        <v>1360745.6841409688</v>
      </c>
      <c r="R158">
        <f t="shared" ref="R158" si="767">R159+Q158</f>
        <v>-37449146.087913305</v>
      </c>
      <c r="S158">
        <f t="shared" ref="S158" si="768">R158/100000</f>
        <v>-374.49146087913306</v>
      </c>
      <c r="T158">
        <f t="shared" ref="T158" si="769">S158/1000</f>
        <v>-0.37449146087913304</v>
      </c>
    </row>
    <row r="159" spans="1:20" x14ac:dyDescent="0.25">
      <c r="A159" s="5">
        <v>44434</v>
      </c>
      <c r="B159">
        <v>1.9159999999999999</v>
      </c>
      <c r="C159">
        <v>1.9530000000000001</v>
      </c>
      <c r="D159">
        <v>1.71</v>
      </c>
      <c r="E159">
        <v>1.738</v>
      </c>
      <c r="F159">
        <v>2393017.98</v>
      </c>
      <c r="G159">
        <v>1.738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-0.7695473251028806</v>
      </c>
      <c r="Q159">
        <f t="shared" ref="Q159" si="771">F159*P159</f>
        <v>-1841540.5854320987</v>
      </c>
      <c r="R159">
        <f t="shared" ref="R159" si="772">R160+Q159</f>
        <v>-38809891.77205427</v>
      </c>
      <c r="S159">
        <f t="shared" ref="S159" si="773">R159/100000</f>
        <v>-388.09891772054272</v>
      </c>
      <c r="T159">
        <f t="shared" ref="T159" si="774">S159/1000</f>
        <v>-0.38809891772054272</v>
      </c>
    </row>
    <row r="160" spans="1:20" x14ac:dyDescent="0.25">
      <c r="A160" s="5">
        <v>44433</v>
      </c>
      <c r="B160">
        <v>1.9390000000000001</v>
      </c>
      <c r="C160">
        <v>1.974</v>
      </c>
      <c r="D160">
        <v>1.7809999999999999</v>
      </c>
      <c r="E160">
        <v>1.915</v>
      </c>
      <c r="F160">
        <v>2260223.4700000002</v>
      </c>
      <c r="G160">
        <v>1.915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0.38860103626943088</v>
      </c>
      <c r="Q160">
        <f t="shared" ref="Q160" si="776">F160*P160</f>
        <v>878325.18264248897</v>
      </c>
      <c r="R160">
        <f t="shared" ref="R160" si="777">R161+Q160</f>
        <v>-36968351.186622173</v>
      </c>
      <c r="S160">
        <f t="shared" ref="S160" si="778">R160/100000</f>
        <v>-369.68351186622175</v>
      </c>
      <c r="T160">
        <f t="shared" ref="T160" si="779">S160/1000</f>
        <v>-0.36968351186622173</v>
      </c>
    </row>
    <row r="161" spans="1:20" x14ac:dyDescent="0.25">
      <c r="A161" s="5">
        <v>44432</v>
      </c>
      <c r="B161">
        <v>2.1480000000000001</v>
      </c>
      <c r="C161">
        <v>2.165</v>
      </c>
      <c r="D161">
        <v>1.865</v>
      </c>
      <c r="E161">
        <v>1.9330000000000001</v>
      </c>
      <c r="F161">
        <v>3358699.32</v>
      </c>
      <c r="G161">
        <v>1.9330000000000001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-0.5466666666666663</v>
      </c>
      <c r="Q161">
        <f t="shared" ref="Q161" si="781">F161*P161</f>
        <v>-1836088.9615999986</v>
      </c>
      <c r="R161">
        <f t="shared" ref="R161" si="782">R162+Q161</f>
        <v>-37846676.369264662</v>
      </c>
      <c r="S161">
        <f t="shared" ref="S161" si="783">R161/100000</f>
        <v>-378.46676369264662</v>
      </c>
      <c r="T161">
        <f t="shared" ref="T161" si="784">S161/1000</f>
        <v>-0.37846676369264665</v>
      </c>
    </row>
    <row r="162" spans="1:20" x14ac:dyDescent="0.25">
      <c r="A162" s="5">
        <v>44431</v>
      </c>
      <c r="B162">
        <v>1.857</v>
      </c>
      <c r="C162">
        <v>2.33</v>
      </c>
      <c r="D162">
        <v>1.841</v>
      </c>
      <c r="E162">
        <v>2.1459999999999999</v>
      </c>
      <c r="F162">
        <v>10412833.970000001</v>
      </c>
      <c r="G162">
        <v>2.1459999999999999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0.24744376278118557</v>
      </c>
      <c r="Q162">
        <f t="shared" ref="Q162" si="786">F162*P162</f>
        <v>2576590.818752551</v>
      </c>
      <c r="R162">
        <f t="shared" ref="R162" si="787">R163+Q162</f>
        <v>-36010587.407664664</v>
      </c>
      <c r="S162">
        <f t="shared" ref="S162" si="788">R162/100000</f>
        <v>-360.10587407664661</v>
      </c>
      <c r="T162">
        <f t="shared" ref="T162" si="789">S162/1000</f>
        <v>-0.36010587407664663</v>
      </c>
    </row>
    <row r="163" spans="1:20" x14ac:dyDescent="0.25">
      <c r="A163" s="5">
        <v>44430</v>
      </c>
      <c r="B163">
        <v>1.798</v>
      </c>
      <c r="C163">
        <v>1.843</v>
      </c>
      <c r="D163">
        <v>1.7789999999999999</v>
      </c>
      <c r="E163">
        <v>1.819</v>
      </c>
      <c r="F163">
        <v>329009.33</v>
      </c>
      <c r="G163">
        <v>1.819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0.25</v>
      </c>
      <c r="Q163">
        <f t="shared" ref="Q163" si="791">F163*P163</f>
        <v>82252.332500000004</v>
      </c>
      <c r="R163">
        <f t="shared" ref="R163" si="792">R164+Q163</f>
        <v>-38587178.226417214</v>
      </c>
      <c r="S163">
        <f t="shared" ref="S163" si="793">R163/100000</f>
        <v>-385.87178226417211</v>
      </c>
      <c r="T163">
        <f t="shared" ref="T163" si="794">S163/1000</f>
        <v>-0.38587178226417213</v>
      </c>
    </row>
    <row r="164" spans="1:20" x14ac:dyDescent="0.25">
      <c r="A164" s="5">
        <v>44429</v>
      </c>
      <c r="B164">
        <v>1.893</v>
      </c>
      <c r="C164">
        <v>1.893</v>
      </c>
      <c r="D164">
        <v>1.7629999999999999</v>
      </c>
      <c r="E164">
        <v>1.798</v>
      </c>
      <c r="F164">
        <v>2511361.5</v>
      </c>
      <c r="G164">
        <v>1.798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-0.46153846153845984</v>
      </c>
      <c r="Q164">
        <f t="shared" ref="Q164" si="796">F164*P164</f>
        <v>-1159089.9230769188</v>
      </c>
      <c r="R164">
        <f t="shared" ref="R164" si="797">R165+Q164</f>
        <v>-38669430.558917217</v>
      </c>
      <c r="S164">
        <f t="shared" ref="S164" si="798">R164/100000</f>
        <v>-386.69430558917219</v>
      </c>
      <c r="T164">
        <f t="shared" ref="T164" si="799">S164/1000</f>
        <v>-0.38669430558917217</v>
      </c>
    </row>
    <row r="165" spans="1:20" x14ac:dyDescent="0.25">
      <c r="A165" s="5">
        <v>44428</v>
      </c>
      <c r="B165">
        <v>1.821</v>
      </c>
      <c r="C165">
        <v>1.9490000000000001</v>
      </c>
      <c r="D165">
        <v>1.77</v>
      </c>
      <c r="E165">
        <v>1.89</v>
      </c>
      <c r="F165">
        <v>3162381.79</v>
      </c>
      <c r="G165">
        <v>1.89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0.3407821229050263</v>
      </c>
      <c r="Q165">
        <f t="shared" ref="Q165" si="801">F165*P165</f>
        <v>1077683.179832397</v>
      </c>
      <c r="R165">
        <f t="shared" ref="R165" si="802">R166+Q165</f>
        <v>-37510340.635840297</v>
      </c>
      <c r="S165">
        <f t="shared" ref="S165" si="803">R165/100000</f>
        <v>-375.10340635840299</v>
      </c>
      <c r="T165">
        <f t="shared" ref="T165" si="804">S165/1000</f>
        <v>-0.375103406358403</v>
      </c>
    </row>
    <row r="166" spans="1:20" x14ac:dyDescent="0.25">
      <c r="A166" s="5">
        <v>44427</v>
      </c>
      <c r="B166">
        <v>1.7569999999999999</v>
      </c>
      <c r="C166">
        <v>1.87</v>
      </c>
      <c r="D166">
        <v>1.67</v>
      </c>
      <c r="E166">
        <v>1.821</v>
      </c>
      <c r="F166">
        <v>3835456.76</v>
      </c>
      <c r="G166">
        <v>1.821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0.5099999999999989</v>
      </c>
      <c r="Q166">
        <f t="shared" ref="Q166" si="806">F166*P166</f>
        <v>1956082.9475999956</v>
      </c>
      <c r="R166">
        <f t="shared" ref="R166" si="807">R167+Q166</f>
        <v>-38588023.815672696</v>
      </c>
      <c r="S166">
        <f t="shared" ref="S166" si="808">R166/100000</f>
        <v>-385.88023815672693</v>
      </c>
      <c r="T166">
        <f t="shared" ref="T166" si="809">S166/1000</f>
        <v>-0.38588023815672695</v>
      </c>
    </row>
    <row r="167" spans="1:20" x14ac:dyDescent="0.25">
      <c r="A167" s="5">
        <v>44426</v>
      </c>
      <c r="B167">
        <v>1.79</v>
      </c>
      <c r="C167">
        <v>1.8720000000000001</v>
      </c>
      <c r="D167">
        <v>1.7110000000000001</v>
      </c>
      <c r="E167">
        <v>1.762</v>
      </c>
      <c r="F167">
        <v>5276130.3899999997</v>
      </c>
      <c r="G167">
        <v>1.762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-0.36645962732919352</v>
      </c>
      <c r="Q167">
        <f t="shared" ref="Q167" si="811">F167*P167</f>
        <v>-1933488.7764596322</v>
      </c>
      <c r="R167">
        <f t="shared" ref="R167" si="812">R168+Q167</f>
        <v>-40544106.763272688</v>
      </c>
      <c r="S167">
        <f t="shared" ref="S167" si="813">R167/100000</f>
        <v>-405.44106763272686</v>
      </c>
      <c r="T167">
        <f t="shared" ref="T167" si="814">S167/1000</f>
        <v>-0.40544106763272686</v>
      </c>
    </row>
    <row r="168" spans="1:20" x14ac:dyDescent="0.25">
      <c r="A168" s="5">
        <v>44425</v>
      </c>
      <c r="B168">
        <v>1.694</v>
      </c>
      <c r="C168">
        <v>2.4900000000000002</v>
      </c>
      <c r="D168">
        <v>1.63</v>
      </c>
      <c r="E168">
        <v>1.79</v>
      </c>
      <c r="F168">
        <v>33825919.490000002</v>
      </c>
      <c r="G168">
        <v>1.79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-0.62790697674418583</v>
      </c>
      <c r="Q168">
        <f t="shared" ref="Q168" si="816">F168*P168</f>
        <v>-21239530.842558134</v>
      </c>
      <c r="R168">
        <f t="shared" ref="R168" si="817">R169+Q168</f>
        <v>-38610617.986813053</v>
      </c>
      <c r="S168">
        <f t="shared" ref="S168" si="818">R168/100000</f>
        <v>-386.10617986813054</v>
      </c>
      <c r="T168">
        <f t="shared" ref="T168" si="819">S168/1000</f>
        <v>-0.38610617986813056</v>
      </c>
    </row>
    <row r="169" spans="1:20" x14ac:dyDescent="0.25">
      <c r="A169" s="5">
        <v>44424</v>
      </c>
      <c r="B169">
        <v>1.5720000000000001</v>
      </c>
      <c r="C169">
        <v>1.75</v>
      </c>
      <c r="D169">
        <v>1.5680000000000001</v>
      </c>
      <c r="E169">
        <v>1.694</v>
      </c>
      <c r="F169">
        <v>3421386.72</v>
      </c>
      <c r="G169">
        <v>1.694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0.38461538461538386</v>
      </c>
      <c r="Q169">
        <f t="shared" ref="Q169" si="821">F169*P169</f>
        <v>1315917.9692307666</v>
      </c>
      <c r="R169">
        <f t="shared" ref="R169" si="822">R170+Q169</f>
        <v>-17371087.144254915</v>
      </c>
      <c r="S169">
        <f t="shared" ref="S169" si="823">R169/100000</f>
        <v>-173.71087144254915</v>
      </c>
      <c r="T169">
        <f t="shared" ref="T169" si="824">S169/1000</f>
        <v>-0.17371087144254915</v>
      </c>
    </row>
    <row r="170" spans="1:20" x14ac:dyDescent="0.25">
      <c r="A170" s="5">
        <v>44423</v>
      </c>
      <c r="B170">
        <v>1.5720000000000001</v>
      </c>
      <c r="C170">
        <v>1.6</v>
      </c>
      <c r="D170">
        <v>1.48</v>
      </c>
      <c r="E170">
        <v>1.5680000000000001</v>
      </c>
      <c r="F170">
        <v>1337305.5</v>
      </c>
      <c r="G170">
        <v>1.5680000000000001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0.46666666666666667</v>
      </c>
      <c r="Q170">
        <f t="shared" ref="Q170" si="826">F170*P170</f>
        <v>624075.9</v>
      </c>
      <c r="R170">
        <f t="shared" ref="R170" si="827">R171+Q170</f>
        <v>-18687005.113485683</v>
      </c>
      <c r="S170">
        <f t="shared" ref="S170" si="828">R170/100000</f>
        <v>-186.87005113485682</v>
      </c>
      <c r="T170">
        <f t="shared" ref="T170" si="829">S170/1000</f>
        <v>-0.18687005113485683</v>
      </c>
    </row>
    <row r="171" spans="1:20" x14ac:dyDescent="0.25">
      <c r="A171" s="5">
        <v>44422</v>
      </c>
      <c r="B171">
        <v>1.5960000000000001</v>
      </c>
      <c r="C171">
        <v>1.64</v>
      </c>
      <c r="D171">
        <v>1.4710000000000001</v>
      </c>
      <c r="E171">
        <v>1.571</v>
      </c>
      <c r="F171">
        <v>2274147.2999999998</v>
      </c>
      <c r="G171">
        <v>1.571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0.18343195266272161</v>
      </c>
      <c r="Q171">
        <f t="shared" ref="Q171" si="831">F171*P171</f>
        <v>417151.27988165611</v>
      </c>
      <c r="R171">
        <f t="shared" ref="R171" si="832">R172+Q171</f>
        <v>-19311081.013485681</v>
      </c>
      <c r="S171">
        <f t="shared" ref="S171" si="833">R171/100000</f>
        <v>-193.11081013485682</v>
      </c>
      <c r="T171">
        <f t="shared" ref="T171" si="834">S171/1000</f>
        <v>-0.19311081013485681</v>
      </c>
    </row>
    <row r="172" spans="1:20" x14ac:dyDescent="0.25">
      <c r="A172" s="5">
        <v>44421</v>
      </c>
      <c r="B172">
        <v>1.462</v>
      </c>
      <c r="C172">
        <v>1.65</v>
      </c>
      <c r="D172">
        <v>1.4530000000000001</v>
      </c>
      <c r="E172">
        <v>1.597</v>
      </c>
      <c r="F172">
        <v>2100307.54</v>
      </c>
      <c r="G172">
        <v>1.597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0.4619289340101525</v>
      </c>
      <c r="Q172">
        <f t="shared" ref="Q172" si="836">F172*P172</f>
        <v>970192.82304568577</v>
      </c>
      <c r="R172">
        <f t="shared" ref="R172" si="837">R173+Q172</f>
        <v>-19728232.293367337</v>
      </c>
      <c r="S172">
        <f t="shared" ref="S172" si="838">R172/100000</f>
        <v>-197.28232293367338</v>
      </c>
      <c r="T172">
        <f t="shared" ref="T172" si="839">S172/1000</f>
        <v>-0.19728232293367337</v>
      </c>
    </row>
    <row r="173" spans="1:20" x14ac:dyDescent="0.25">
      <c r="A173" s="5">
        <v>44420</v>
      </c>
      <c r="B173">
        <v>1.508</v>
      </c>
      <c r="C173">
        <v>1.5589999999999999</v>
      </c>
      <c r="D173">
        <v>1.403</v>
      </c>
      <c r="E173">
        <v>1.4610000000000001</v>
      </c>
      <c r="F173">
        <v>3133530.71</v>
      </c>
      <c r="G173">
        <v>1.4610000000000001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-0.25641025641025533</v>
      </c>
      <c r="Q173">
        <f t="shared" ref="Q173" si="841">F173*P173</f>
        <v>-803469.4128205094</v>
      </c>
      <c r="R173">
        <f t="shared" ref="R173" si="842">R174+Q173</f>
        <v>-20698425.116413023</v>
      </c>
      <c r="S173">
        <f t="shared" ref="S173" si="843">R173/100000</f>
        <v>-206.98425116413023</v>
      </c>
      <c r="T173">
        <f t="shared" ref="T173" si="844">S173/1000</f>
        <v>-0.20698425116413022</v>
      </c>
    </row>
    <row r="174" spans="1:20" x14ac:dyDescent="0.25">
      <c r="A174" s="5">
        <v>44419</v>
      </c>
      <c r="B174">
        <v>1.47</v>
      </c>
      <c r="C174">
        <v>1.62</v>
      </c>
      <c r="D174">
        <v>1.462</v>
      </c>
      <c r="E174">
        <v>1.51</v>
      </c>
      <c r="F174">
        <v>3006447.59</v>
      </c>
      <c r="G174">
        <v>1.51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-0.39240506329113922</v>
      </c>
      <c r="Q174">
        <f t="shared" ref="Q174" si="846">F174*P174</f>
        <v>-1179745.256835443</v>
      </c>
      <c r="R174">
        <f t="shared" ref="R174" si="847">R175+Q174</f>
        <v>-19894955.703592513</v>
      </c>
      <c r="S174">
        <f t="shared" ref="S174" si="848">R174/100000</f>
        <v>-198.94955703592512</v>
      </c>
      <c r="T174">
        <f t="shared" ref="T174" si="849">S174/1000</f>
        <v>-0.19894955703592512</v>
      </c>
    </row>
    <row r="175" spans="1:20" x14ac:dyDescent="0.25">
      <c r="A175" s="5">
        <v>44418</v>
      </c>
      <c r="B175">
        <v>1.5029999999999999</v>
      </c>
      <c r="C175">
        <v>1.58</v>
      </c>
      <c r="D175">
        <v>1.407</v>
      </c>
      <c r="E175">
        <v>1.47</v>
      </c>
      <c r="F175">
        <v>2180589.56</v>
      </c>
      <c r="G175">
        <v>1.47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-0.27167630057803549</v>
      </c>
      <c r="Q175">
        <f t="shared" ref="Q175" si="851">F175*P175</f>
        <v>-592414.50473988615</v>
      </c>
      <c r="R175">
        <f t="shared" ref="R175" si="852">R176+Q175</f>
        <v>-18715210.446757071</v>
      </c>
      <c r="S175">
        <f t="shared" ref="S175" si="853">R175/100000</f>
        <v>-187.15210446757069</v>
      </c>
      <c r="T175">
        <f t="shared" ref="T175" si="854">S175/1000</f>
        <v>-0.18715210446757069</v>
      </c>
    </row>
    <row r="176" spans="1:20" x14ac:dyDescent="0.25">
      <c r="A176" s="5">
        <v>44417</v>
      </c>
      <c r="B176">
        <v>1.474</v>
      </c>
      <c r="C176">
        <v>1.6259999999999999</v>
      </c>
      <c r="D176">
        <v>1.39</v>
      </c>
      <c r="E176">
        <v>1.5029999999999999</v>
      </c>
      <c r="F176">
        <v>2765019.72</v>
      </c>
      <c r="G176">
        <v>1.5029999999999999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-4.2372881355932243E-2</v>
      </c>
      <c r="Q176">
        <f t="shared" ref="Q176" si="856">F176*P176</f>
        <v>-117161.852542373</v>
      </c>
      <c r="R176">
        <f t="shared" ref="R176" si="857">R177+Q176</f>
        <v>-18122795.942017186</v>
      </c>
      <c r="S176">
        <f t="shared" ref="S176" si="858">R176/100000</f>
        <v>-181.22795942017186</v>
      </c>
      <c r="T176">
        <f t="shared" ref="T176" si="859">S176/1000</f>
        <v>-0.18122795942017186</v>
      </c>
    </row>
    <row r="177" spans="1:20" x14ac:dyDescent="0.25">
      <c r="A177" s="5">
        <v>44416</v>
      </c>
      <c r="B177">
        <v>1.6240000000000001</v>
      </c>
      <c r="C177">
        <v>1.8</v>
      </c>
      <c r="D177">
        <v>1.427</v>
      </c>
      <c r="E177">
        <v>1.4750000000000001</v>
      </c>
      <c r="F177">
        <v>10170038.960000001</v>
      </c>
      <c r="G177">
        <v>1.4750000000000001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-0.74262734584450374</v>
      </c>
      <c r="Q177">
        <f t="shared" ref="Q177" si="861">F177*P177</f>
        <v>-7552549.0399999982</v>
      </c>
      <c r="R177">
        <f t="shared" ref="R177" si="862">R178+Q177</f>
        <v>-18005634.089474812</v>
      </c>
      <c r="S177">
        <f t="shared" ref="S177" si="863">R177/100000</f>
        <v>-180.05634089474813</v>
      </c>
      <c r="T177">
        <f t="shared" ref="T177" si="864">S177/1000</f>
        <v>-0.18005634089474815</v>
      </c>
    </row>
    <row r="178" spans="1:20" x14ac:dyDescent="0.25">
      <c r="A178" s="5">
        <v>44415</v>
      </c>
      <c r="B178">
        <v>1.3089999999999999</v>
      </c>
      <c r="C178">
        <v>1.9330000000000001</v>
      </c>
      <c r="D178">
        <v>1.3</v>
      </c>
      <c r="E178">
        <v>1.6259999999999999</v>
      </c>
      <c r="F178">
        <v>24608241.510000002</v>
      </c>
      <c r="G178">
        <v>1.6259999999999999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3.0015797788309137E-2</v>
      </c>
      <c r="Q178">
        <f t="shared" ref="Q178" si="866">F178*P178</f>
        <v>738636.00109003519</v>
      </c>
      <c r="R178">
        <f t="shared" ref="R178" si="867">R179+Q178</f>
        <v>-10453085.049474813</v>
      </c>
      <c r="S178">
        <f t="shared" ref="S178" si="868">R178/100000</f>
        <v>-104.53085049474814</v>
      </c>
      <c r="T178">
        <f t="shared" ref="T178" si="869">S178/1000</f>
        <v>-0.10453085049474814</v>
      </c>
    </row>
    <row r="179" spans="1:20" x14ac:dyDescent="0.25">
      <c r="A179" s="5">
        <v>44414</v>
      </c>
      <c r="B179">
        <v>1.333</v>
      </c>
      <c r="C179">
        <v>1.34</v>
      </c>
      <c r="D179">
        <v>1.234</v>
      </c>
      <c r="E179">
        <v>1.3080000000000001</v>
      </c>
      <c r="F179">
        <v>2561496.5299999998</v>
      </c>
      <c r="G179">
        <v>1.3080000000000001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0.39622641509433965</v>
      </c>
      <c r="Q179">
        <f t="shared" ref="Q179" si="871">F179*P179</f>
        <v>1014932.5873584906</v>
      </c>
      <c r="R179">
        <f t="shared" ref="R179" si="872">R180+Q179</f>
        <v>-11191721.050564848</v>
      </c>
      <c r="S179">
        <f t="shared" ref="S179" si="873">R179/100000</f>
        <v>-111.91721050564848</v>
      </c>
      <c r="T179">
        <f t="shared" ref="T179" si="874">S179/1000</f>
        <v>-0.11191721050564848</v>
      </c>
    </row>
    <row r="180" spans="1:20" x14ac:dyDescent="0.25">
      <c r="A180" s="5">
        <v>44413</v>
      </c>
      <c r="B180">
        <v>1.196</v>
      </c>
      <c r="C180">
        <v>1.3720000000000001</v>
      </c>
      <c r="D180">
        <v>1.179</v>
      </c>
      <c r="E180">
        <v>1.333</v>
      </c>
      <c r="F180">
        <v>4492182.6399999997</v>
      </c>
      <c r="G180">
        <v>1.333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0.59585492227979131</v>
      </c>
      <c r="Q180">
        <f t="shared" ref="Q180" si="876">F180*P180</f>
        <v>2676689.1378238276</v>
      </c>
      <c r="R180">
        <f t="shared" ref="R180" si="877">R181+Q180</f>
        <v>-12206653.637923338</v>
      </c>
      <c r="S180">
        <f t="shared" ref="S180" si="878">R180/100000</f>
        <v>-122.06653637923337</v>
      </c>
      <c r="T180">
        <f t="shared" ref="T180" si="879">S180/1000</f>
        <v>-0.12206653637923337</v>
      </c>
    </row>
    <row r="181" spans="1:20" x14ac:dyDescent="0.25">
      <c r="A181" s="5">
        <v>44412</v>
      </c>
      <c r="B181">
        <v>1.125</v>
      </c>
      <c r="C181">
        <v>1.2110000000000001</v>
      </c>
      <c r="D181">
        <v>1.1080000000000001</v>
      </c>
      <c r="E181">
        <v>1.1930000000000001</v>
      </c>
      <c r="F181">
        <v>1212999.67</v>
      </c>
      <c r="G181">
        <v>1.1930000000000001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0.65048543689320348</v>
      </c>
      <c r="Q181">
        <f t="shared" ref="Q181" si="881">F181*P181</f>
        <v>789038.62029126158</v>
      </c>
      <c r="R181">
        <f t="shared" ref="R181" si="882">R182+Q181</f>
        <v>-14883342.775747165</v>
      </c>
      <c r="S181">
        <f t="shared" ref="S181" si="883">R181/100000</f>
        <v>-148.83342775747164</v>
      </c>
      <c r="T181">
        <f t="shared" ref="T181" si="884">S181/1000</f>
        <v>-0.14883342775747163</v>
      </c>
    </row>
    <row r="182" spans="1:20" x14ac:dyDescent="0.25">
      <c r="A182" s="5">
        <v>44411</v>
      </c>
      <c r="B182">
        <v>1.18</v>
      </c>
      <c r="C182">
        <v>1.1990000000000001</v>
      </c>
      <c r="D182">
        <v>1.115</v>
      </c>
      <c r="E182">
        <v>1.125</v>
      </c>
      <c r="F182">
        <v>1732896.25</v>
      </c>
      <c r="G182">
        <v>1.125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-0.76190476190476186</v>
      </c>
      <c r="Q182">
        <f t="shared" ref="Q182" si="886">F182*P182</f>
        <v>-1320301.9047619046</v>
      </c>
      <c r="R182">
        <f t="shared" ref="R182" si="887">R183+Q182</f>
        <v>-15672381.396038426</v>
      </c>
      <c r="S182">
        <f t="shared" ref="S182" si="888">R182/100000</f>
        <v>-156.72381396038426</v>
      </c>
      <c r="T182">
        <f t="shared" ref="T182" si="889">S182/1000</f>
        <v>-0.15672381396038426</v>
      </c>
    </row>
    <row r="183" spans="1:20" x14ac:dyDescent="0.25">
      <c r="A183" s="5">
        <v>44410</v>
      </c>
      <c r="B183">
        <v>1.1339999999999999</v>
      </c>
      <c r="C183">
        <v>1.248</v>
      </c>
      <c r="D183">
        <v>1.1100000000000001</v>
      </c>
      <c r="E183">
        <v>1.1779999999999999</v>
      </c>
      <c r="F183">
        <v>1553172.47</v>
      </c>
      <c r="G183">
        <v>1.1779999999999999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-1.4492753623190038E-2</v>
      </c>
      <c r="Q183">
        <f t="shared" ref="Q183" si="891">F183*P183</f>
        <v>-22509.745942031521</v>
      </c>
      <c r="R183">
        <f t="shared" ref="R183" si="892">R184+Q183</f>
        <v>-14352079.491276521</v>
      </c>
      <c r="S183">
        <f t="shared" ref="S183" si="893">R183/100000</f>
        <v>-143.52079491276521</v>
      </c>
      <c r="T183">
        <f t="shared" ref="T183" si="894">S183/1000</f>
        <v>-0.1435207949127652</v>
      </c>
    </row>
    <row r="184" spans="1:20" x14ac:dyDescent="0.25">
      <c r="A184" s="5">
        <v>44409</v>
      </c>
      <c r="B184">
        <v>1.147</v>
      </c>
      <c r="C184">
        <v>1.26</v>
      </c>
      <c r="D184">
        <v>1.123</v>
      </c>
      <c r="E184">
        <v>1.1359999999999999</v>
      </c>
      <c r="F184">
        <v>1431384.01</v>
      </c>
      <c r="G184">
        <v>1.1359999999999999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-0.81021897810219123</v>
      </c>
      <c r="Q184">
        <f t="shared" ref="Q184" si="896">F184*P184</f>
        <v>-1159734.4898540166</v>
      </c>
      <c r="R184">
        <f t="shared" ref="R184" si="897">R185+Q184</f>
        <v>-14329569.745334489</v>
      </c>
      <c r="S184">
        <f t="shared" ref="S184" si="898">R184/100000</f>
        <v>-143.2956974533449</v>
      </c>
      <c r="T184">
        <f t="shared" ref="T184" si="899">S184/1000</f>
        <v>-0.14329569745334489</v>
      </c>
    </row>
    <row r="185" spans="1:20" x14ac:dyDescent="0.25">
      <c r="A185" s="5">
        <v>44408</v>
      </c>
      <c r="B185">
        <v>1.169</v>
      </c>
      <c r="C185">
        <v>1.171</v>
      </c>
      <c r="D185">
        <v>1.1040000000000001</v>
      </c>
      <c r="E185">
        <v>1.1479999999999999</v>
      </c>
      <c r="F185">
        <v>1014543.19</v>
      </c>
      <c r="G185">
        <v>1.1479999999999999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0.3134328358208911</v>
      </c>
      <c r="Q185">
        <f t="shared" ref="Q185" si="901">F185*P185</f>
        <v>317991.14910447312</v>
      </c>
      <c r="R185">
        <f t="shared" ref="R185" si="902">R186+Q185</f>
        <v>-13169835.255480472</v>
      </c>
      <c r="S185">
        <f t="shared" ref="S185" si="903">R185/100000</f>
        <v>-131.69835255480473</v>
      </c>
      <c r="T185">
        <f t="shared" ref="T185" si="904">S185/1000</f>
        <v>-0.13169835255480472</v>
      </c>
    </row>
    <row r="186" spans="1:20" x14ac:dyDescent="0.25">
      <c r="A186" s="5">
        <v>44407</v>
      </c>
      <c r="B186">
        <v>1.1819999999999999</v>
      </c>
      <c r="C186">
        <v>1.23</v>
      </c>
      <c r="D186">
        <v>1.071</v>
      </c>
      <c r="E186">
        <v>1.1679999999999999</v>
      </c>
      <c r="F186">
        <v>2044630.37</v>
      </c>
      <c r="G186">
        <v>1.1679999999999999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0.22012578616352146</v>
      </c>
      <c r="Q186">
        <f t="shared" ref="Q186" si="906">F186*P186</f>
        <v>450075.86761006177</v>
      </c>
      <c r="R186">
        <f t="shared" ref="R186" si="907">R187+Q186</f>
        <v>-13487826.404584944</v>
      </c>
      <c r="S186">
        <f t="shared" ref="S186" si="908">R186/100000</f>
        <v>-134.87826404584945</v>
      </c>
      <c r="T186">
        <f t="shared" ref="T186" si="909">S186/1000</f>
        <v>-0.13487826404584946</v>
      </c>
    </row>
    <row r="187" spans="1:20" x14ac:dyDescent="0.25">
      <c r="A187" s="5">
        <v>44406</v>
      </c>
      <c r="B187">
        <v>1.0529999999999999</v>
      </c>
      <c r="C187">
        <v>1.214</v>
      </c>
      <c r="D187">
        <v>1.0249999999999999</v>
      </c>
      <c r="E187">
        <v>1.181</v>
      </c>
      <c r="F187">
        <v>4566867.37</v>
      </c>
      <c r="G187">
        <v>1.181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0.65079365079365181</v>
      </c>
      <c r="Q187">
        <f t="shared" ref="Q187" si="911">F187*P187</f>
        <v>2972088.2884127032</v>
      </c>
      <c r="R187">
        <f t="shared" ref="R187" si="912">R188+Q187</f>
        <v>-13937902.272195006</v>
      </c>
      <c r="S187">
        <f t="shared" ref="S187" si="913">R187/100000</f>
        <v>-139.37902272195007</v>
      </c>
      <c r="T187">
        <f t="shared" ref="T187" si="914">S187/1000</f>
        <v>-0.13937902272195007</v>
      </c>
    </row>
    <row r="188" spans="1:20" x14ac:dyDescent="0.25">
      <c r="A188" s="5">
        <v>44405</v>
      </c>
      <c r="B188">
        <v>1.016</v>
      </c>
      <c r="C188">
        <v>1.1080000000000001</v>
      </c>
      <c r="D188">
        <v>0.99299999999999999</v>
      </c>
      <c r="E188">
        <v>1.054</v>
      </c>
      <c r="F188">
        <v>1730504.87</v>
      </c>
      <c r="G188">
        <v>1.054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6.0869565217391307E-2</v>
      </c>
      <c r="Q188">
        <f t="shared" ref="Q188" si="916">F188*P188</f>
        <v>105335.07904347827</v>
      </c>
      <c r="R188">
        <f t="shared" ref="R188" si="917">R189+Q188</f>
        <v>-16909990.560607709</v>
      </c>
      <c r="S188">
        <f t="shared" ref="S188" si="918">R188/100000</f>
        <v>-169.0999056060771</v>
      </c>
      <c r="T188">
        <f t="shared" ref="T188" si="919">S188/1000</f>
        <v>-0.1690999056060771</v>
      </c>
    </row>
    <row r="189" spans="1:20" x14ac:dyDescent="0.25">
      <c r="A189" s="5">
        <v>44404</v>
      </c>
      <c r="B189">
        <v>0.99</v>
      </c>
      <c r="C189">
        <v>1.0449999999999999</v>
      </c>
      <c r="D189">
        <v>0.95</v>
      </c>
      <c r="E189">
        <v>1.016</v>
      </c>
      <c r="F189">
        <v>1147609.1000000001</v>
      </c>
      <c r="G189">
        <v>1.016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0.38947368421052792</v>
      </c>
      <c r="Q189">
        <f t="shared" ref="Q189" si="921">F189*P189</f>
        <v>446963.5442105282</v>
      </c>
      <c r="R189">
        <f t="shared" ref="R189" si="922">R190+Q189</f>
        <v>-17015325.639651187</v>
      </c>
      <c r="S189">
        <f t="shared" ref="S189" si="923">R189/100000</f>
        <v>-170.15325639651186</v>
      </c>
      <c r="T189">
        <f t="shared" ref="T189" si="924">S189/1000</f>
        <v>-0.17015325639651185</v>
      </c>
    </row>
    <row r="190" spans="1:20" x14ac:dyDescent="0.25">
      <c r="A190" s="5">
        <v>44403</v>
      </c>
      <c r="B190">
        <v>0.99</v>
      </c>
      <c r="C190">
        <v>1.1080000000000001</v>
      </c>
      <c r="D190">
        <v>0.96899999999999997</v>
      </c>
      <c r="E190">
        <v>0.99</v>
      </c>
      <c r="F190">
        <v>2708479</v>
      </c>
      <c r="G190">
        <v>0.99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-0.69784172661870503</v>
      </c>
      <c r="Q190">
        <f t="shared" ref="Q190" si="926">F190*P190</f>
        <v>-1890089.6618705036</v>
      </c>
      <c r="R190">
        <f t="shared" ref="R190" si="927">R191+Q190</f>
        <v>-17462289.183861714</v>
      </c>
      <c r="S190">
        <f t="shared" ref="S190" si="928">R190/100000</f>
        <v>-174.62289183861714</v>
      </c>
      <c r="T190">
        <f t="shared" ref="T190" si="929">S190/1000</f>
        <v>-0.17462289183861712</v>
      </c>
    </row>
    <row r="191" spans="1:20" x14ac:dyDescent="0.25">
      <c r="A191" s="5">
        <v>44402</v>
      </c>
      <c r="B191">
        <v>0.95199999999999996</v>
      </c>
      <c r="C191">
        <v>0.99199999999999999</v>
      </c>
      <c r="D191">
        <v>0.91900000000000004</v>
      </c>
      <c r="E191">
        <v>0.99</v>
      </c>
      <c r="F191">
        <v>1115331.5900000001</v>
      </c>
      <c r="G191">
        <v>0.99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0.94520547945205469</v>
      </c>
      <c r="Q191">
        <f t="shared" ref="Q191" si="931">F191*P191</f>
        <v>1054217.5302739725</v>
      </c>
      <c r="R191">
        <f t="shared" ref="R191" si="932">R192+Q191</f>
        <v>-15572199.521991212</v>
      </c>
      <c r="S191">
        <f t="shared" ref="S191" si="933">R191/100000</f>
        <v>-155.72199521991212</v>
      </c>
      <c r="T191">
        <f t="shared" ref="T191:T197" si="934">S191/1000</f>
        <v>-0.15572199521991212</v>
      </c>
    </row>
    <row r="192" spans="1:20" x14ac:dyDescent="0.25">
      <c r="A192" s="5">
        <v>44401</v>
      </c>
      <c r="B192">
        <v>0.94199999999999995</v>
      </c>
      <c r="C192">
        <v>0.98299999999999998</v>
      </c>
      <c r="D192">
        <v>0.92800000000000005</v>
      </c>
      <c r="E192">
        <v>0.95399999999999996</v>
      </c>
      <c r="F192">
        <v>1527839.56</v>
      </c>
      <c r="G192">
        <v>0.95399999999999996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-5.4545454545456673E-2</v>
      </c>
      <c r="Q192">
        <f t="shared" ref="Q192" si="936">F192*P192</f>
        <v>-83336.70327273052</v>
      </c>
      <c r="R192">
        <f t="shared" ref="R192" si="937">R193+Q192</f>
        <v>-16626417.052265184</v>
      </c>
      <c r="S192">
        <f t="shared" ref="S192" si="938">R192/100000</f>
        <v>-166.26417052265185</v>
      </c>
      <c r="T192">
        <f t="shared" si="934"/>
        <v>-0.16626417052265186</v>
      </c>
    </row>
    <row r="193" spans="1:20" x14ac:dyDescent="0.25">
      <c r="A193" s="5">
        <v>44400</v>
      </c>
      <c r="B193">
        <v>0.91600000000000004</v>
      </c>
      <c r="C193">
        <v>0.95</v>
      </c>
      <c r="D193">
        <v>0.88</v>
      </c>
      <c r="E193">
        <v>0.94</v>
      </c>
      <c r="F193">
        <v>1091883.6000000001</v>
      </c>
      <c r="G193">
        <v>0.94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0.71428571428571386</v>
      </c>
      <c r="Q193">
        <f t="shared" ref="Q193" si="940">F193*P193</f>
        <v>779916.85714285669</v>
      </c>
      <c r="R193">
        <f t="shared" ref="R193" si="941">R194+Q193</f>
        <v>-16543080.348992454</v>
      </c>
      <c r="S193">
        <f t="shared" ref="S193" si="942">R193/100000</f>
        <v>-165.43080348992453</v>
      </c>
      <c r="T193">
        <f t="shared" si="934"/>
        <v>-0.16543080348992453</v>
      </c>
    </row>
    <row r="194" spans="1:20" x14ac:dyDescent="0.25">
      <c r="A194" s="5">
        <v>44399</v>
      </c>
      <c r="B194">
        <v>0.90300000000000002</v>
      </c>
      <c r="C194">
        <v>0.95299999999999996</v>
      </c>
      <c r="D194">
        <v>0.89800000000000002</v>
      </c>
      <c r="E194">
        <v>0.91500000000000004</v>
      </c>
      <c r="F194">
        <v>1132775.29</v>
      </c>
      <c r="G194">
        <v>0.91500000000000004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-0.38181818181818056</v>
      </c>
      <c r="Q194">
        <f t="shared" ref="Q194" si="944">F194*P194</f>
        <v>-432514.20163636224</v>
      </c>
      <c r="R194">
        <f t="shared" ref="R194" si="945">R195+Q194</f>
        <v>-17322997.20613531</v>
      </c>
      <c r="S194">
        <f t="shared" ref="S194" si="946">R194/100000</f>
        <v>-173.2299720613531</v>
      </c>
      <c r="T194">
        <f t="shared" si="934"/>
        <v>-0.1732299720613531</v>
      </c>
    </row>
    <row r="195" spans="1:20" x14ac:dyDescent="0.25">
      <c r="A195" s="5">
        <v>44398</v>
      </c>
      <c r="B195">
        <v>0.81799999999999995</v>
      </c>
      <c r="C195">
        <v>0.996</v>
      </c>
      <c r="D195">
        <v>0.80400000000000005</v>
      </c>
      <c r="E195">
        <v>0.90400000000000003</v>
      </c>
      <c r="F195">
        <v>1777917.86</v>
      </c>
      <c r="G195">
        <v>0.90400000000000003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4.1666666666666713E-2</v>
      </c>
      <c r="Q195">
        <f t="shared" ref="Q195" si="948">F195*P195</f>
        <v>74079.910833333415</v>
      </c>
      <c r="R195">
        <f t="shared" ref="R195" si="949">R196+Q195</f>
        <v>-16890483.004498947</v>
      </c>
      <c r="S195">
        <f t="shared" ref="S195" si="950">R195/100000</f>
        <v>-168.90483004498947</v>
      </c>
      <c r="T195">
        <f t="shared" si="934"/>
        <v>-0.16890483004498946</v>
      </c>
    </row>
    <row r="196" spans="1:20" x14ac:dyDescent="0.25">
      <c r="A196" s="5">
        <v>44397</v>
      </c>
      <c r="B196">
        <v>0.90100000000000002</v>
      </c>
      <c r="C196">
        <v>0.90200000000000002</v>
      </c>
      <c r="D196">
        <v>0.8</v>
      </c>
      <c r="E196">
        <v>0.81899999999999995</v>
      </c>
      <c r="F196">
        <v>906440.13</v>
      </c>
      <c r="G196">
        <v>0.81899999999999995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-0.62745098039215863</v>
      </c>
      <c r="Q196">
        <f t="shared" ref="Q196" si="952">F196*P196</f>
        <v>-568746.74823529576</v>
      </c>
      <c r="R196">
        <f t="shared" ref="R196" si="953">R197+Q196</f>
        <v>-16964562.91533228</v>
      </c>
      <c r="S196">
        <f t="shared" ref="S196" si="954">R196/100000</f>
        <v>-169.6456291533228</v>
      </c>
      <c r="T196">
        <f t="shared" si="934"/>
        <v>-0.16964562915332279</v>
      </c>
    </row>
    <row r="197" spans="1:20" x14ac:dyDescent="0.25">
      <c r="A197" s="5">
        <v>44396</v>
      </c>
      <c r="B197">
        <v>0.96799999999999997</v>
      </c>
      <c r="C197">
        <v>0.97899999999999998</v>
      </c>
      <c r="D197">
        <v>0.88700000000000001</v>
      </c>
      <c r="E197">
        <v>0.90100000000000002</v>
      </c>
      <c r="F197">
        <v>1062882.06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-0.69565217391304313</v>
      </c>
      <c r="Q197">
        <f t="shared" ref="Q197" si="956">F197*P197</f>
        <v>-739396.21565217362</v>
      </c>
      <c r="R197">
        <f t="shared" ref="R197" si="957">R198+Q197</f>
        <v>-16395816.167096986</v>
      </c>
      <c r="S197">
        <f t="shared" ref="S197" si="958">R197/100000</f>
        <v>-163.95816167096984</v>
      </c>
      <c r="T197">
        <f t="shared" si="934"/>
        <v>-0.16395816167096985</v>
      </c>
    </row>
    <row r="198" spans="1:20" x14ac:dyDescent="0.25">
      <c r="A198" s="5">
        <v>44395</v>
      </c>
      <c r="B198">
        <v>0.96099999999999997</v>
      </c>
      <c r="C198">
        <v>1.0389999999999999</v>
      </c>
      <c r="D198">
        <v>0.95499999999999996</v>
      </c>
      <c r="E198">
        <v>0.96799999999999997</v>
      </c>
      <c r="F198">
        <v>684194.53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-0.69047619047619002</v>
      </c>
      <c r="Q198">
        <f t="shared" ref="Q198:Q261" si="960">F198*P198</f>
        <v>-472420.03261904733</v>
      </c>
      <c r="R198">
        <f t="shared" ref="R198:R261" si="961">R199+Q198</f>
        <v>-15656419.951444812</v>
      </c>
      <c r="S198">
        <f t="shared" ref="S198:S261" si="962">R198/100000</f>
        <v>-156.56419951444812</v>
      </c>
      <c r="T198">
        <f t="shared" ref="T198:T261" si="963">S198/1000</f>
        <v>-0.15656419951444811</v>
      </c>
    </row>
    <row r="199" spans="1:20" x14ac:dyDescent="0.25">
      <c r="A199" s="5">
        <v>44394</v>
      </c>
      <c r="B199">
        <v>0.96199999999999997</v>
      </c>
      <c r="C199">
        <v>0.98499999999999999</v>
      </c>
      <c r="D199">
        <v>0.93799999999999994</v>
      </c>
      <c r="E199">
        <v>0.96099999999999997</v>
      </c>
      <c r="F199">
        <v>589366.92000000004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-2.1276595744680851E-2</v>
      </c>
      <c r="Q199">
        <f t="shared" si="960"/>
        <v>-12539.721702127661</v>
      </c>
      <c r="R199">
        <f t="shared" si="961"/>
        <v>-15183999.918825764</v>
      </c>
      <c r="S199">
        <f t="shared" si="962"/>
        <v>-151.83999918825765</v>
      </c>
      <c r="T199">
        <f t="shared" si="963"/>
        <v>-0.15183999918825766</v>
      </c>
    </row>
    <row r="200" spans="1:20" x14ac:dyDescent="0.25">
      <c r="A200" s="5">
        <v>44393</v>
      </c>
      <c r="B200">
        <v>1.0169999999999999</v>
      </c>
      <c r="C200">
        <v>1.044</v>
      </c>
      <c r="D200">
        <v>0.96</v>
      </c>
      <c r="E200">
        <v>0.96199999999999997</v>
      </c>
      <c r="F200">
        <v>1081005.17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-0.95238095238095233</v>
      </c>
      <c r="Q200">
        <f t="shared" si="960"/>
        <v>-1029528.7333333332</v>
      </c>
      <c r="R200">
        <f t="shared" si="961"/>
        <v>-15171460.197123637</v>
      </c>
      <c r="S200">
        <f t="shared" si="962"/>
        <v>-151.71460197123636</v>
      </c>
      <c r="T200">
        <f t="shared" si="963"/>
        <v>-0.15171460197123637</v>
      </c>
    </row>
    <row r="201" spans="1:20" x14ac:dyDescent="0.25">
      <c r="A201" s="5">
        <v>44392</v>
      </c>
      <c r="B201">
        <v>1.0580000000000001</v>
      </c>
      <c r="C201">
        <v>1.0920000000000001</v>
      </c>
      <c r="D201">
        <v>0.995</v>
      </c>
      <c r="E201">
        <v>1.0169999999999999</v>
      </c>
      <c r="F201">
        <v>1425743.68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-0.54639175257732187</v>
      </c>
      <c r="Q201">
        <f t="shared" si="960"/>
        <v>-779014.58804124035</v>
      </c>
      <c r="R201">
        <f t="shared" si="961"/>
        <v>-14141931.463790305</v>
      </c>
      <c r="S201">
        <f t="shared" si="962"/>
        <v>-141.41931463790306</v>
      </c>
      <c r="T201">
        <f t="shared" si="963"/>
        <v>-0.14141931463790305</v>
      </c>
    </row>
    <row r="202" spans="1:20" x14ac:dyDescent="0.25">
      <c r="A202" s="5">
        <v>44391</v>
      </c>
      <c r="B202">
        <v>1.042</v>
      </c>
      <c r="C202">
        <v>1.103</v>
      </c>
      <c r="D202">
        <v>0.99399999999999999</v>
      </c>
      <c r="E202">
        <v>1.0580000000000001</v>
      </c>
      <c r="F202">
        <v>1139739.18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0.17431192660550579</v>
      </c>
      <c r="Q202">
        <f t="shared" si="960"/>
        <v>198670.13229357934</v>
      </c>
      <c r="R202">
        <f t="shared" si="961"/>
        <v>-13362916.875749065</v>
      </c>
      <c r="S202">
        <f t="shared" si="962"/>
        <v>-133.62916875749065</v>
      </c>
      <c r="T202">
        <f t="shared" si="963"/>
        <v>-0.13362916875749065</v>
      </c>
    </row>
    <row r="203" spans="1:20" x14ac:dyDescent="0.25">
      <c r="A203" s="5">
        <v>44390</v>
      </c>
      <c r="B203">
        <v>1.107</v>
      </c>
      <c r="C203">
        <v>1.1200000000000001</v>
      </c>
      <c r="D203">
        <v>1.03</v>
      </c>
      <c r="E203">
        <v>1.0409999999999999</v>
      </c>
      <c r="F203">
        <v>1233442.93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-0.75555555555555798</v>
      </c>
      <c r="Q203">
        <f t="shared" si="960"/>
        <v>-931934.65822222515</v>
      </c>
      <c r="R203">
        <f t="shared" si="961"/>
        <v>-13561587.008042645</v>
      </c>
      <c r="S203">
        <f t="shared" si="962"/>
        <v>-135.61587008042645</v>
      </c>
      <c r="T203">
        <f t="shared" si="963"/>
        <v>-0.13561587008042644</v>
      </c>
    </row>
    <row r="204" spans="1:20" x14ac:dyDescent="0.25">
      <c r="A204" s="5">
        <v>44389</v>
      </c>
      <c r="B204">
        <v>1.17</v>
      </c>
      <c r="C204">
        <v>1.1859999999999999</v>
      </c>
      <c r="D204">
        <v>1.0609999999999999</v>
      </c>
      <c r="E204">
        <v>1.103</v>
      </c>
      <c r="F204">
        <v>1376231.16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-0.3279999999999994</v>
      </c>
      <c r="Q204">
        <f t="shared" si="960"/>
        <v>-451403.82047999918</v>
      </c>
      <c r="R204">
        <f t="shared" si="961"/>
        <v>-12629652.34982042</v>
      </c>
      <c r="S204">
        <f t="shared" si="962"/>
        <v>-126.29652349820419</v>
      </c>
      <c r="T204">
        <f t="shared" si="963"/>
        <v>-0.12629652349820419</v>
      </c>
    </row>
    <row r="205" spans="1:20" x14ac:dyDescent="0.25">
      <c r="A205" s="5">
        <v>44388</v>
      </c>
      <c r="B205">
        <v>1.1359999999999999</v>
      </c>
      <c r="C205">
        <v>1.2210000000000001</v>
      </c>
      <c r="D205">
        <v>1.1200000000000001</v>
      </c>
      <c r="E205">
        <v>1.1719999999999999</v>
      </c>
      <c r="F205">
        <v>1104048.3700000001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2.9702970297026437E-2</v>
      </c>
      <c r="Q205">
        <f t="shared" si="960"/>
        <v>32793.515940590456</v>
      </c>
      <c r="R205">
        <f t="shared" si="961"/>
        <v>-12178248.529340422</v>
      </c>
      <c r="S205">
        <f t="shared" si="962"/>
        <v>-121.78248529340422</v>
      </c>
      <c r="T205">
        <f t="shared" si="963"/>
        <v>-0.12178248529340423</v>
      </c>
    </row>
    <row r="206" spans="1:20" x14ac:dyDescent="0.25">
      <c r="A206" s="5">
        <v>44387</v>
      </c>
      <c r="B206">
        <v>1.1830000000000001</v>
      </c>
      <c r="C206">
        <v>1.2170000000000001</v>
      </c>
      <c r="D206">
        <v>1.1299999999999999</v>
      </c>
      <c r="E206">
        <v>1.1359999999999999</v>
      </c>
      <c r="F206">
        <v>636528.84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-0.86206896551724155</v>
      </c>
      <c r="Q206">
        <f t="shared" si="960"/>
        <v>-548731.75862068974</v>
      </c>
      <c r="R206">
        <f t="shared" si="961"/>
        <v>-12211042.045281012</v>
      </c>
      <c r="S206">
        <f t="shared" si="962"/>
        <v>-122.11042045281012</v>
      </c>
      <c r="T206">
        <f t="shared" si="963"/>
        <v>-0.12211042045281012</v>
      </c>
    </row>
    <row r="207" spans="1:20" x14ac:dyDescent="0.25">
      <c r="A207" s="5">
        <v>44386</v>
      </c>
      <c r="B207">
        <v>1.1990000000000001</v>
      </c>
      <c r="C207">
        <v>1.23</v>
      </c>
      <c r="D207">
        <v>1.141</v>
      </c>
      <c r="E207">
        <v>1.1819999999999999</v>
      </c>
      <c r="F207">
        <v>1020660.71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-7.8651685393259771E-2</v>
      </c>
      <c r="Q207">
        <f t="shared" si="960"/>
        <v>-80276.685056181144</v>
      </c>
      <c r="R207">
        <f t="shared" si="961"/>
        <v>-11662310.286660321</v>
      </c>
      <c r="S207">
        <f t="shared" si="962"/>
        <v>-116.6231028666032</v>
      </c>
      <c r="T207">
        <f t="shared" si="963"/>
        <v>-0.1166231028666032</v>
      </c>
    </row>
    <row r="208" spans="1:20" x14ac:dyDescent="0.25">
      <c r="A208" s="5">
        <v>44385</v>
      </c>
      <c r="B208">
        <v>1.329</v>
      </c>
      <c r="C208">
        <v>1.335</v>
      </c>
      <c r="D208">
        <v>1.179</v>
      </c>
      <c r="E208">
        <v>1.1990000000000001</v>
      </c>
      <c r="F208">
        <v>1469950.67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-0.74358974358974328</v>
      </c>
      <c r="Q208">
        <f t="shared" si="960"/>
        <v>-1093040.2417948714</v>
      </c>
      <c r="R208">
        <f t="shared" si="961"/>
        <v>-11582033.601604139</v>
      </c>
      <c r="S208">
        <f t="shared" si="962"/>
        <v>-115.8203360160414</v>
      </c>
      <c r="T208">
        <f t="shared" si="963"/>
        <v>-0.1158203360160414</v>
      </c>
    </row>
    <row r="209" spans="1:20" x14ac:dyDescent="0.25">
      <c r="A209" s="5">
        <v>44384</v>
      </c>
      <c r="B209">
        <v>1.26</v>
      </c>
      <c r="C209">
        <v>1.4550000000000001</v>
      </c>
      <c r="D209">
        <v>1.2509999999999999</v>
      </c>
      <c r="E209">
        <v>1.331</v>
      </c>
      <c r="F209">
        <v>3506611.09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-0.21568627450980393</v>
      </c>
      <c r="Q209">
        <f t="shared" si="960"/>
        <v>-756327.88215686276</v>
      </c>
      <c r="R209">
        <f t="shared" si="961"/>
        <v>-10488993.359809268</v>
      </c>
      <c r="S209">
        <f t="shared" si="962"/>
        <v>-104.88993359809268</v>
      </c>
      <c r="T209">
        <f t="shared" si="963"/>
        <v>-0.10488993359809268</v>
      </c>
    </row>
    <row r="210" spans="1:20" x14ac:dyDescent="0.25">
      <c r="A210" s="5">
        <v>44383</v>
      </c>
      <c r="B210">
        <v>1.25</v>
      </c>
      <c r="C210">
        <v>1.35</v>
      </c>
      <c r="D210">
        <v>1.2270000000000001</v>
      </c>
      <c r="E210">
        <v>1.2609999999999999</v>
      </c>
      <c r="F210">
        <v>1977643.27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-0.44715447154471855</v>
      </c>
      <c r="Q210">
        <f t="shared" si="960"/>
        <v>-884312.03130081913</v>
      </c>
      <c r="R210">
        <f t="shared" si="961"/>
        <v>-9732665.4776524063</v>
      </c>
      <c r="S210">
        <f t="shared" si="962"/>
        <v>-97.326654776524066</v>
      </c>
      <c r="T210">
        <f t="shared" si="963"/>
        <v>-9.7326654776524066E-2</v>
      </c>
    </row>
    <row r="211" spans="1:20" x14ac:dyDescent="0.25">
      <c r="A211" s="5">
        <v>44382</v>
      </c>
      <c r="B211">
        <v>1.3620000000000001</v>
      </c>
      <c r="C211">
        <v>1.3620000000000001</v>
      </c>
      <c r="D211">
        <v>1.1819999999999999</v>
      </c>
      <c r="E211">
        <v>1.2509999999999999</v>
      </c>
      <c r="F211">
        <v>2866039.13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-0.23333333333333456</v>
      </c>
      <c r="Q211">
        <f t="shared" si="960"/>
        <v>-668742.46366667014</v>
      </c>
      <c r="R211">
        <f t="shared" si="961"/>
        <v>-8848353.4463515878</v>
      </c>
      <c r="S211">
        <f t="shared" si="962"/>
        <v>-88.48353446351588</v>
      </c>
      <c r="T211">
        <f t="shared" si="963"/>
        <v>-8.8483534463515881E-2</v>
      </c>
    </row>
    <row r="212" spans="1:20" x14ac:dyDescent="0.25">
      <c r="A212" s="5">
        <v>44381</v>
      </c>
      <c r="B212">
        <v>1.2529999999999999</v>
      </c>
      <c r="C212">
        <v>1.5009999999999999</v>
      </c>
      <c r="D212">
        <v>1.1679999999999999</v>
      </c>
      <c r="E212">
        <v>1.361</v>
      </c>
      <c r="F212">
        <v>8217894.7699999996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0.15915915915915965</v>
      </c>
      <c r="Q212">
        <f t="shared" si="960"/>
        <v>1307953.2216516556</v>
      </c>
      <c r="R212">
        <f t="shared" si="961"/>
        <v>-8179610.9826849168</v>
      </c>
      <c r="S212">
        <f t="shared" si="962"/>
        <v>-81.796109826849161</v>
      </c>
      <c r="T212">
        <f t="shared" si="963"/>
        <v>-8.1796109826849164E-2</v>
      </c>
    </row>
    <row r="213" spans="1:20" x14ac:dyDescent="0.25">
      <c r="A213" s="5">
        <v>44380</v>
      </c>
      <c r="B213">
        <v>1.0609999999999999</v>
      </c>
      <c r="C213">
        <v>1.329</v>
      </c>
      <c r="D213">
        <v>1.0429999999999999</v>
      </c>
      <c r="E213">
        <v>1.2529999999999999</v>
      </c>
      <c r="F213">
        <v>4588874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0.4685314685314681</v>
      </c>
      <c r="Q213">
        <f t="shared" si="960"/>
        <v>2150031.8741258723</v>
      </c>
      <c r="R213">
        <f t="shared" si="961"/>
        <v>-9487564.2043365724</v>
      </c>
      <c r="S213">
        <f t="shared" si="962"/>
        <v>-94.87564204336573</v>
      </c>
      <c r="T213">
        <f t="shared" si="963"/>
        <v>-9.4875642043365724E-2</v>
      </c>
    </row>
    <row r="214" spans="1:20" x14ac:dyDescent="0.25">
      <c r="A214" s="5">
        <v>44379</v>
      </c>
      <c r="B214">
        <v>1.036</v>
      </c>
      <c r="C214">
        <v>1.1080000000000001</v>
      </c>
      <c r="D214">
        <v>0.99199999999999999</v>
      </c>
      <c r="E214">
        <v>1.0609999999999999</v>
      </c>
      <c r="F214">
        <v>1523081.48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0.18965517241379118</v>
      </c>
      <c r="Q214">
        <f t="shared" si="960"/>
        <v>288860.28068965225</v>
      </c>
      <c r="R214">
        <f t="shared" si="961"/>
        <v>-11637596.078462444</v>
      </c>
      <c r="S214">
        <f t="shared" si="962"/>
        <v>-116.37596078462444</v>
      </c>
      <c r="T214">
        <f t="shared" si="963"/>
        <v>-0.11637596078462444</v>
      </c>
    </row>
    <row r="215" spans="1:20" x14ac:dyDescent="0.25">
      <c r="A215" s="5">
        <v>44378</v>
      </c>
      <c r="B215">
        <v>1.05</v>
      </c>
      <c r="C215">
        <v>1.3</v>
      </c>
      <c r="D215">
        <v>0.97099999999999997</v>
      </c>
      <c r="E215">
        <v>1.036</v>
      </c>
      <c r="F215">
        <v>3846788.17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-0.60486322188449826</v>
      </c>
      <c r="Q215">
        <f t="shared" si="960"/>
        <v>-2326780.6864133729</v>
      </c>
      <c r="R215">
        <f t="shared" si="961"/>
        <v>-11926456.359152097</v>
      </c>
      <c r="S215">
        <f t="shared" si="962"/>
        <v>-119.26456359152097</v>
      </c>
      <c r="T215">
        <f t="shared" si="963"/>
        <v>-0.11926456359152096</v>
      </c>
    </row>
    <row r="216" spans="1:20" x14ac:dyDescent="0.25">
      <c r="A216" s="5">
        <v>44377</v>
      </c>
      <c r="B216">
        <v>1.056</v>
      </c>
      <c r="C216">
        <v>1.0609999999999999</v>
      </c>
      <c r="D216">
        <v>0.996</v>
      </c>
      <c r="E216">
        <v>1.05</v>
      </c>
      <c r="F216">
        <v>666904.12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0.66153846153846441</v>
      </c>
      <c r="Q216">
        <f t="shared" si="960"/>
        <v>441182.72553846345</v>
      </c>
      <c r="R216">
        <f t="shared" si="961"/>
        <v>-9599675.6727387235</v>
      </c>
      <c r="S216">
        <f t="shared" si="962"/>
        <v>-95.996756727387236</v>
      </c>
      <c r="T216">
        <f t="shared" si="963"/>
        <v>-9.5996756727387236E-2</v>
      </c>
    </row>
    <row r="217" spans="1:20" x14ac:dyDescent="0.25">
      <c r="A217" s="5">
        <v>44376</v>
      </c>
      <c r="B217">
        <v>1.0409999999999999</v>
      </c>
      <c r="C217">
        <v>1.121</v>
      </c>
      <c r="D217">
        <v>1.0389999999999999</v>
      </c>
      <c r="E217">
        <v>1.0580000000000001</v>
      </c>
      <c r="F217">
        <v>1040959.06</v>
      </c>
      <c r="G217">
        <v>0</v>
      </c>
      <c r="L217" t="s">
        <v>7</v>
      </c>
      <c r="M217" t="s">
        <v>8</v>
      </c>
      <c r="N217" t="s">
        <v>7</v>
      </c>
      <c r="P217">
        <f t="shared" si="959"/>
        <v>-0.53658536585365579</v>
      </c>
      <c r="Q217">
        <f t="shared" si="960"/>
        <v>-558563.39804877772</v>
      </c>
      <c r="R217">
        <f t="shared" si="961"/>
        <v>-10040858.398277188</v>
      </c>
      <c r="S217">
        <f t="shared" si="962"/>
        <v>-100.40858398277187</v>
      </c>
      <c r="T217">
        <f t="shared" si="963"/>
        <v>-0.10040858398277187</v>
      </c>
    </row>
    <row r="218" spans="1:20" x14ac:dyDescent="0.25">
      <c r="A218" s="5">
        <v>44375</v>
      </c>
      <c r="B218">
        <v>1.0029999999999999</v>
      </c>
      <c r="C218">
        <v>1.173</v>
      </c>
      <c r="D218">
        <v>0.97099999999999997</v>
      </c>
      <c r="E218">
        <v>1.0369999999999999</v>
      </c>
      <c r="F218">
        <v>2561634.16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-0.34653465346534729</v>
      </c>
      <c r="Q218">
        <f t="shared" si="960"/>
        <v>-887695.00594059599</v>
      </c>
      <c r="R218">
        <f t="shared" si="961"/>
        <v>-9482295.0002284106</v>
      </c>
      <c r="S218">
        <f t="shared" si="962"/>
        <v>-94.822950002284102</v>
      </c>
      <c r="T218">
        <f t="shared" si="963"/>
        <v>-9.4822950002284107E-2</v>
      </c>
    </row>
    <row r="219" spans="1:20" x14ac:dyDescent="0.25">
      <c r="A219" s="5">
        <v>44374</v>
      </c>
      <c r="B219">
        <v>0.93400000000000005</v>
      </c>
      <c r="C219">
        <v>1.042</v>
      </c>
      <c r="D219">
        <v>0.90800000000000003</v>
      </c>
      <c r="E219">
        <v>1.0029999999999999</v>
      </c>
      <c r="F219">
        <v>1291022.02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0.41791044776119191</v>
      </c>
      <c r="Q219">
        <f t="shared" si="960"/>
        <v>539531.59044775844</v>
      </c>
      <c r="R219">
        <f t="shared" si="961"/>
        <v>-8594599.9942878149</v>
      </c>
      <c r="S219">
        <f t="shared" si="962"/>
        <v>-85.945999942878146</v>
      </c>
      <c r="T219">
        <f t="shared" si="963"/>
        <v>-8.5945999942878146E-2</v>
      </c>
    </row>
    <row r="220" spans="1:20" x14ac:dyDescent="0.25">
      <c r="A220" s="5">
        <v>44373</v>
      </c>
      <c r="B220">
        <v>0.93300000000000005</v>
      </c>
      <c r="C220">
        <v>0.97199999999999998</v>
      </c>
      <c r="D220">
        <v>0.88</v>
      </c>
      <c r="E220">
        <v>0.93300000000000005</v>
      </c>
      <c r="F220">
        <v>689150.71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0.15217391304347966</v>
      </c>
      <c r="Q220">
        <f t="shared" si="960"/>
        <v>104870.76021739226</v>
      </c>
      <c r="R220">
        <f t="shared" si="961"/>
        <v>-9134131.5847355742</v>
      </c>
      <c r="S220">
        <f t="shared" si="962"/>
        <v>-91.341315847355744</v>
      </c>
      <c r="T220">
        <f t="shared" si="963"/>
        <v>-9.1341315847355747E-2</v>
      </c>
    </row>
    <row r="221" spans="1:20" x14ac:dyDescent="0.25">
      <c r="A221" s="5">
        <v>44372</v>
      </c>
      <c r="B221">
        <v>1.056</v>
      </c>
      <c r="C221">
        <v>1.0860000000000001</v>
      </c>
      <c r="D221">
        <v>0.92500000000000004</v>
      </c>
      <c r="E221">
        <v>0.93600000000000005</v>
      </c>
      <c r="F221">
        <v>1010678.98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-0.8633540372670806</v>
      </c>
      <c r="Q221">
        <f t="shared" si="960"/>
        <v>-872573.77776397497</v>
      </c>
      <c r="R221">
        <f t="shared" si="961"/>
        <v>-9239002.344952967</v>
      </c>
      <c r="S221">
        <f t="shared" si="962"/>
        <v>-92.390023449529664</v>
      </c>
      <c r="T221">
        <f t="shared" si="963"/>
        <v>-9.2390023449529665E-2</v>
      </c>
    </row>
    <row r="222" spans="1:20" x14ac:dyDescent="0.25">
      <c r="A222" s="5">
        <v>44371</v>
      </c>
      <c r="B222">
        <v>1.026</v>
      </c>
      <c r="C222">
        <v>1.139</v>
      </c>
      <c r="D222">
        <v>0.98499999999999999</v>
      </c>
      <c r="E222">
        <v>1.056</v>
      </c>
      <c r="F222">
        <v>1293601.6399999999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-7.7922077922077254E-2</v>
      </c>
      <c r="Q222">
        <f t="shared" si="960"/>
        <v>-100800.12779220691</v>
      </c>
      <c r="R222">
        <f t="shared" si="961"/>
        <v>-8366428.5671889922</v>
      </c>
      <c r="S222">
        <f t="shared" si="962"/>
        <v>-83.664285671889928</v>
      </c>
      <c r="T222">
        <f t="shared" si="963"/>
        <v>-8.3664285671889924E-2</v>
      </c>
    </row>
    <row r="223" spans="1:20" x14ac:dyDescent="0.25">
      <c r="A223" s="5">
        <v>44370</v>
      </c>
      <c r="B223">
        <v>0.98399999999999999</v>
      </c>
      <c r="C223">
        <v>1.25</v>
      </c>
      <c r="D223">
        <v>0.95399999999999996</v>
      </c>
      <c r="E223">
        <v>1.026</v>
      </c>
      <c r="F223">
        <v>2709072.79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-0.51351351351351315</v>
      </c>
      <c r="Q223">
        <f t="shared" si="960"/>
        <v>-1391145.4867567557</v>
      </c>
      <c r="R223">
        <f t="shared" si="961"/>
        <v>-8265628.4393967856</v>
      </c>
      <c r="S223">
        <f t="shared" si="962"/>
        <v>-82.656284393967852</v>
      </c>
      <c r="T223">
        <f t="shared" si="963"/>
        <v>-8.2656284393967855E-2</v>
      </c>
    </row>
    <row r="224" spans="1:20" x14ac:dyDescent="0.25">
      <c r="A224" s="5">
        <v>44369</v>
      </c>
      <c r="B224">
        <v>1.125</v>
      </c>
      <c r="C224">
        <v>1.2010000000000001</v>
      </c>
      <c r="D224">
        <v>0.88200000000000001</v>
      </c>
      <c r="E224">
        <v>0.98599999999999999</v>
      </c>
      <c r="F224">
        <v>2641218.27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-0.34796238244514133</v>
      </c>
      <c r="Q224">
        <f t="shared" si="960"/>
        <v>-919044.60178683454</v>
      </c>
      <c r="R224">
        <f t="shared" si="961"/>
        <v>-6874482.9526400296</v>
      </c>
      <c r="S224">
        <f t="shared" si="962"/>
        <v>-68.744829526400295</v>
      </c>
      <c r="T224">
        <f t="shared" si="963"/>
        <v>-6.8744829526400292E-2</v>
      </c>
    </row>
    <row r="225" spans="1:20" x14ac:dyDescent="0.25">
      <c r="A225" s="5">
        <v>44368</v>
      </c>
      <c r="B225">
        <v>1.571</v>
      </c>
      <c r="C225">
        <v>1.613</v>
      </c>
      <c r="D225">
        <v>1.119</v>
      </c>
      <c r="E225">
        <v>1.125</v>
      </c>
      <c r="F225">
        <v>4013831.87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-0.97570850202429149</v>
      </c>
      <c r="Q225">
        <f t="shared" si="960"/>
        <v>-3916329.8812550609</v>
      </c>
      <c r="R225">
        <f t="shared" si="961"/>
        <v>-5955438.3508531954</v>
      </c>
      <c r="S225">
        <f t="shared" si="962"/>
        <v>-59.554383508531956</v>
      </c>
      <c r="T225">
        <f t="shared" si="963"/>
        <v>-5.9554383508531955E-2</v>
      </c>
    </row>
    <row r="226" spans="1:20" x14ac:dyDescent="0.25">
      <c r="A226" s="5">
        <v>44367</v>
      </c>
      <c r="B226">
        <v>1.373</v>
      </c>
      <c r="C226">
        <v>1.645</v>
      </c>
      <c r="D226">
        <v>1.3260000000000001</v>
      </c>
      <c r="E226">
        <v>1.571</v>
      </c>
      <c r="F226">
        <v>14361034.789999999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0.53605015673981138</v>
      </c>
      <c r="Q226">
        <f t="shared" si="960"/>
        <v>7698234.9501253841</v>
      </c>
      <c r="R226">
        <f t="shared" si="961"/>
        <v>-2039108.469598134</v>
      </c>
      <c r="S226">
        <f t="shared" si="962"/>
        <v>-20.391084695981341</v>
      </c>
      <c r="T226">
        <f t="shared" si="963"/>
        <v>-2.0391084695981342E-2</v>
      </c>
    </row>
    <row r="227" spans="1:20" x14ac:dyDescent="0.25">
      <c r="A227" s="5">
        <v>44366</v>
      </c>
      <c r="B227">
        <v>1.2250000000000001</v>
      </c>
      <c r="C227">
        <v>1.7030000000000001</v>
      </c>
      <c r="D227">
        <v>1.2</v>
      </c>
      <c r="E227">
        <v>1.3740000000000001</v>
      </c>
      <c r="F227">
        <v>10122899.699999999</v>
      </c>
      <c r="G227">
        <v>0</v>
      </c>
      <c r="L227" t="s">
        <v>8</v>
      </c>
      <c r="M227" t="s">
        <v>8</v>
      </c>
      <c r="N227" t="s">
        <v>8</v>
      </c>
      <c r="P227">
        <f t="shared" si="959"/>
        <v>-0.30815109343936337</v>
      </c>
      <c r="Q227">
        <f t="shared" si="960"/>
        <v>-3119382.611332003</v>
      </c>
      <c r="R227">
        <f t="shared" si="961"/>
        <v>-9737343.4197235182</v>
      </c>
      <c r="S227">
        <f t="shared" si="962"/>
        <v>-97.373434197235184</v>
      </c>
      <c r="T227">
        <f t="shared" si="963"/>
        <v>-9.7373434197235181E-2</v>
      </c>
    </row>
    <row r="228" spans="1:20" x14ac:dyDescent="0.25">
      <c r="A228" s="5">
        <v>44365</v>
      </c>
      <c r="B228">
        <v>1.333</v>
      </c>
      <c r="C228">
        <v>1.345</v>
      </c>
      <c r="D228">
        <v>1.179</v>
      </c>
      <c r="E228">
        <v>1.2250000000000001</v>
      </c>
      <c r="F228">
        <v>632628.41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-0.44578313253011975</v>
      </c>
      <c r="Q228">
        <f t="shared" si="960"/>
        <v>-282015.07433734892</v>
      </c>
      <c r="R228">
        <f t="shared" si="961"/>
        <v>-6617960.8083915161</v>
      </c>
      <c r="S228">
        <f t="shared" si="962"/>
        <v>-66.179608083915156</v>
      </c>
      <c r="T228">
        <f t="shared" si="963"/>
        <v>-6.6179608083915153E-2</v>
      </c>
    </row>
    <row r="229" spans="1:20" x14ac:dyDescent="0.25">
      <c r="A229" s="5">
        <v>44364</v>
      </c>
      <c r="B229">
        <v>1.3009999999999999</v>
      </c>
      <c r="C229">
        <v>1.3819999999999999</v>
      </c>
      <c r="D229">
        <v>1.3</v>
      </c>
      <c r="E229">
        <v>1.3340000000000001</v>
      </c>
      <c r="F229">
        <v>709724.81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-0.17073170731707094</v>
      </c>
      <c r="Q229">
        <f t="shared" si="960"/>
        <v>-121172.52853658379</v>
      </c>
      <c r="R229">
        <f t="shared" si="961"/>
        <v>-6335945.7340541668</v>
      </c>
      <c r="S229">
        <f t="shared" si="962"/>
        <v>-63.359457340541667</v>
      </c>
      <c r="T229">
        <f t="shared" si="963"/>
        <v>-6.3359457340541672E-2</v>
      </c>
    </row>
    <row r="230" spans="1:20" x14ac:dyDescent="0.25">
      <c r="A230" s="5">
        <v>44363</v>
      </c>
      <c r="B230">
        <v>1.3879999999999999</v>
      </c>
      <c r="C230">
        <v>1.4159999999999999</v>
      </c>
      <c r="D230">
        <v>1.2989999999999999</v>
      </c>
      <c r="E230">
        <v>1.3029999999999999</v>
      </c>
      <c r="F230">
        <v>673839.19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-0.93162393162393153</v>
      </c>
      <c r="Q230">
        <f t="shared" si="960"/>
        <v>-627764.71547008539</v>
      </c>
      <c r="R230">
        <f t="shared" si="961"/>
        <v>-6214773.2055175826</v>
      </c>
      <c r="S230">
        <f t="shared" si="962"/>
        <v>-62.147732055175823</v>
      </c>
      <c r="T230">
        <f t="shared" si="963"/>
        <v>-6.2147732055175819E-2</v>
      </c>
    </row>
    <row r="231" spans="1:20" x14ac:dyDescent="0.25">
      <c r="A231" s="5">
        <v>44362</v>
      </c>
      <c r="B231">
        <v>1.4450000000000001</v>
      </c>
      <c r="C231">
        <v>1.4890000000000001</v>
      </c>
      <c r="D231">
        <v>1.371</v>
      </c>
      <c r="E231">
        <v>1.39</v>
      </c>
      <c r="F231">
        <v>752063.25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-0.67796610169491711</v>
      </c>
      <c r="Q231">
        <f t="shared" si="960"/>
        <v>-509873.3898305099</v>
      </c>
      <c r="R231">
        <f t="shared" si="961"/>
        <v>-5587008.4900474967</v>
      </c>
      <c r="S231">
        <f t="shared" si="962"/>
        <v>-55.870084900474964</v>
      </c>
      <c r="T231">
        <f t="shared" si="963"/>
        <v>-5.5870084900474966E-2</v>
      </c>
    </row>
    <row r="232" spans="1:20" x14ac:dyDescent="0.25">
      <c r="A232" s="5">
        <v>44361</v>
      </c>
      <c r="B232">
        <v>1.385</v>
      </c>
      <c r="C232">
        <v>1.4550000000000001</v>
      </c>
      <c r="D232">
        <v>1.363</v>
      </c>
      <c r="E232">
        <v>1.446</v>
      </c>
      <c r="F232">
        <v>1097691.1299999999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0.8043478260869541</v>
      </c>
      <c r="Q232">
        <f t="shared" si="960"/>
        <v>882925.47413043201</v>
      </c>
      <c r="R232">
        <f t="shared" si="961"/>
        <v>-5077135.1002169866</v>
      </c>
      <c r="S232">
        <f t="shared" si="962"/>
        <v>-50.771351002169865</v>
      </c>
      <c r="T232">
        <f t="shared" si="963"/>
        <v>-5.0771351002169868E-2</v>
      </c>
    </row>
    <row r="233" spans="1:20" x14ac:dyDescent="0.25">
      <c r="A233" s="5">
        <v>44360</v>
      </c>
      <c r="B233">
        <v>1.268</v>
      </c>
      <c r="C233">
        <v>1.4359999999999999</v>
      </c>
      <c r="D233">
        <v>1.254</v>
      </c>
      <c r="E233">
        <v>1.389</v>
      </c>
      <c r="F233">
        <v>1040594.55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0.48351648351648413</v>
      </c>
      <c r="Q233">
        <f t="shared" si="960"/>
        <v>503144.61758241826</v>
      </c>
      <c r="R233">
        <f t="shared" si="961"/>
        <v>-5960060.5743474187</v>
      </c>
      <c r="S233">
        <f t="shared" si="962"/>
        <v>-59.60060574347419</v>
      </c>
      <c r="T233">
        <f t="shared" si="963"/>
        <v>-5.9600605743474193E-2</v>
      </c>
    </row>
    <row r="234" spans="1:20" x14ac:dyDescent="0.25">
      <c r="A234" s="5">
        <v>44359</v>
      </c>
      <c r="B234">
        <v>1.3839999999999999</v>
      </c>
      <c r="C234">
        <v>1.3859999999999999</v>
      </c>
      <c r="D234">
        <v>1.25</v>
      </c>
      <c r="E234">
        <v>1.2709999999999999</v>
      </c>
      <c r="F234">
        <v>670840.24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-0.69117647058823639</v>
      </c>
      <c r="Q234">
        <f t="shared" si="960"/>
        <v>-463668.98941176542</v>
      </c>
      <c r="R234">
        <f t="shared" si="961"/>
        <v>-6463205.1919298368</v>
      </c>
      <c r="S234">
        <f t="shared" si="962"/>
        <v>-64.632051919298362</v>
      </c>
      <c r="T234">
        <f t="shared" si="963"/>
        <v>-6.4632051919298356E-2</v>
      </c>
    </row>
    <row r="235" spans="1:20" x14ac:dyDescent="0.25">
      <c r="A235" s="5">
        <v>44358</v>
      </c>
      <c r="B235">
        <v>1.476</v>
      </c>
      <c r="C235">
        <v>1.5029999999999999</v>
      </c>
      <c r="D235">
        <v>1.3680000000000001</v>
      </c>
      <c r="E235">
        <v>1.385</v>
      </c>
      <c r="F235">
        <v>816546.47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-0.74814814814814912</v>
      </c>
      <c r="Q235">
        <f t="shared" si="960"/>
        <v>-610897.72940740816</v>
      </c>
      <c r="R235">
        <f t="shared" si="961"/>
        <v>-5999536.202518071</v>
      </c>
      <c r="S235">
        <f t="shared" si="962"/>
        <v>-59.995362025180711</v>
      </c>
      <c r="T235">
        <f t="shared" si="963"/>
        <v>-5.9995362025180708E-2</v>
      </c>
    </row>
    <row r="236" spans="1:20" x14ac:dyDescent="0.25">
      <c r="A236" s="5">
        <v>44357</v>
      </c>
      <c r="B236">
        <v>1.593</v>
      </c>
      <c r="C236">
        <v>1.6279999999999999</v>
      </c>
      <c r="D236">
        <v>1.45</v>
      </c>
      <c r="E236">
        <v>1.4850000000000001</v>
      </c>
      <c r="F236">
        <v>690225.82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-0.60674157303370613</v>
      </c>
      <c r="Q236">
        <f t="shared" si="960"/>
        <v>-418788.69977527967</v>
      </c>
      <c r="R236">
        <f t="shared" si="961"/>
        <v>-5388638.4731106628</v>
      </c>
      <c r="S236">
        <f t="shared" si="962"/>
        <v>-53.886384731106631</v>
      </c>
      <c r="T236">
        <f t="shared" si="963"/>
        <v>-5.3886384731106629E-2</v>
      </c>
    </row>
    <row r="237" spans="1:20" x14ac:dyDescent="0.25">
      <c r="A237" s="5">
        <v>44356</v>
      </c>
      <c r="B237">
        <v>1.5469999999999999</v>
      </c>
      <c r="C237">
        <v>1.6140000000000001</v>
      </c>
      <c r="D237">
        <v>1.48</v>
      </c>
      <c r="E237">
        <v>1.595</v>
      </c>
      <c r="F237">
        <v>998953.99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0.71641791044775949</v>
      </c>
      <c r="Q237">
        <f t="shared" si="960"/>
        <v>715668.53014925204</v>
      </c>
      <c r="R237">
        <f t="shared" si="961"/>
        <v>-4969849.7733353833</v>
      </c>
      <c r="S237">
        <f t="shared" si="962"/>
        <v>-49.698497733353832</v>
      </c>
      <c r="T237">
        <f t="shared" si="963"/>
        <v>-4.969849773335383E-2</v>
      </c>
    </row>
    <row r="238" spans="1:20" x14ac:dyDescent="0.25">
      <c r="A238" s="5">
        <v>44355</v>
      </c>
      <c r="B238">
        <v>1.6120000000000001</v>
      </c>
      <c r="C238">
        <v>1.6519999999999999</v>
      </c>
      <c r="D238">
        <v>1.4</v>
      </c>
      <c r="E238">
        <v>1.5329999999999999</v>
      </c>
      <c r="F238">
        <v>1026711.79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5.5555555555555601E-2</v>
      </c>
      <c r="Q238">
        <f t="shared" si="960"/>
        <v>57039.54388888894</v>
      </c>
      <c r="R238">
        <f t="shared" si="961"/>
        <v>-5685518.3034846354</v>
      </c>
      <c r="S238">
        <f t="shared" si="962"/>
        <v>-56.855183034846355</v>
      </c>
      <c r="T238">
        <f t="shared" si="963"/>
        <v>-5.6855183034846359E-2</v>
      </c>
    </row>
    <row r="239" spans="1:20" x14ac:dyDescent="0.25">
      <c r="A239" s="5">
        <v>44354</v>
      </c>
      <c r="B239">
        <v>1.742</v>
      </c>
      <c r="C239">
        <v>1.85</v>
      </c>
      <c r="D239">
        <v>1.6</v>
      </c>
      <c r="E239">
        <v>1.6060000000000001</v>
      </c>
      <c r="F239">
        <v>984614.2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-0.95199999999999996</v>
      </c>
      <c r="Q239">
        <f t="shared" si="960"/>
        <v>-937352.7183999999</v>
      </c>
      <c r="R239">
        <f t="shared" si="961"/>
        <v>-5742557.8473735247</v>
      </c>
      <c r="S239">
        <f t="shared" si="962"/>
        <v>-57.42557847373525</v>
      </c>
      <c r="T239">
        <f t="shared" si="963"/>
        <v>-5.742557847373525E-2</v>
      </c>
    </row>
    <row r="240" spans="1:20" x14ac:dyDescent="0.25">
      <c r="A240" s="5">
        <v>44353</v>
      </c>
      <c r="B240">
        <v>1.722</v>
      </c>
      <c r="C240">
        <v>1.7669999999999999</v>
      </c>
      <c r="D240">
        <v>1.7</v>
      </c>
      <c r="E240">
        <v>1.742</v>
      </c>
      <c r="F240">
        <v>415021.46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0.25373134328358415</v>
      </c>
      <c r="Q240">
        <f t="shared" si="960"/>
        <v>105303.9525373143</v>
      </c>
      <c r="R240">
        <f t="shared" si="961"/>
        <v>-4805205.128973525</v>
      </c>
      <c r="S240">
        <f t="shared" si="962"/>
        <v>-48.052051289735253</v>
      </c>
      <c r="T240">
        <f t="shared" si="963"/>
        <v>-4.8052051289735255E-2</v>
      </c>
    </row>
    <row r="241" spans="1:20" x14ac:dyDescent="0.25">
      <c r="A241" s="5">
        <v>44352</v>
      </c>
      <c r="B241">
        <v>1.786</v>
      </c>
      <c r="C241">
        <v>1.88</v>
      </c>
      <c r="D241">
        <v>1.6619999999999999</v>
      </c>
      <c r="E241">
        <v>1.7190000000000001</v>
      </c>
      <c r="F241">
        <v>750368.44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-0.47706422018348471</v>
      </c>
      <c r="Q241">
        <f t="shared" si="960"/>
        <v>-357973.9346788979</v>
      </c>
      <c r="R241">
        <f t="shared" si="961"/>
        <v>-4910509.0815108391</v>
      </c>
      <c r="S241">
        <f t="shared" si="962"/>
        <v>-49.10509081510839</v>
      </c>
      <c r="T241">
        <f t="shared" si="963"/>
        <v>-4.9105090815108388E-2</v>
      </c>
    </row>
    <row r="242" spans="1:20" x14ac:dyDescent="0.25">
      <c r="A242" s="5">
        <v>44351</v>
      </c>
      <c r="B242">
        <v>2.032</v>
      </c>
      <c r="C242">
        <v>2.04</v>
      </c>
      <c r="D242">
        <v>1.7030000000000001</v>
      </c>
      <c r="E242">
        <v>1.7849999999999999</v>
      </c>
      <c r="F242">
        <v>1234789.55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-0.51335311572700382</v>
      </c>
      <c r="Q242">
        <f t="shared" si="960"/>
        <v>-633883.06275964493</v>
      </c>
      <c r="R242">
        <f t="shared" si="961"/>
        <v>-4552535.1468319409</v>
      </c>
      <c r="S242">
        <f t="shared" si="962"/>
        <v>-45.525351468319407</v>
      </c>
      <c r="T242">
        <f t="shared" si="963"/>
        <v>-4.552535146831941E-2</v>
      </c>
    </row>
    <row r="243" spans="1:20" x14ac:dyDescent="0.25">
      <c r="A243" s="5">
        <v>44350</v>
      </c>
      <c r="B243">
        <v>1.875</v>
      </c>
      <c r="C243">
        <v>2.06</v>
      </c>
      <c r="D243">
        <v>1.8</v>
      </c>
      <c r="E243">
        <v>2.0310000000000001</v>
      </c>
      <c r="F243">
        <v>1284313.06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0.7769230769230776</v>
      </c>
      <c r="Q243">
        <f t="shared" si="960"/>
        <v>997812.45430769317</v>
      </c>
      <c r="R243">
        <f t="shared" si="961"/>
        <v>-3918652.0840722956</v>
      </c>
      <c r="S243">
        <f t="shared" si="962"/>
        <v>-39.186520840722956</v>
      </c>
      <c r="T243">
        <f t="shared" si="963"/>
        <v>-3.9186520840722959E-2</v>
      </c>
    </row>
    <row r="244" spans="1:20" x14ac:dyDescent="0.25">
      <c r="A244" s="5">
        <v>44349</v>
      </c>
      <c r="B244">
        <v>1.8879999999999999</v>
      </c>
      <c r="C244">
        <v>1.98</v>
      </c>
      <c r="D244">
        <v>1.7729999999999999</v>
      </c>
      <c r="E244">
        <v>1.8740000000000001</v>
      </c>
      <c r="F244">
        <v>1264145.3999999999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-2.415458937197908E-2</v>
      </c>
      <c r="Q244">
        <f t="shared" si="960"/>
        <v>-30534.913043476241</v>
      </c>
      <c r="R244">
        <f t="shared" si="961"/>
        <v>-4916464.5383799886</v>
      </c>
      <c r="S244">
        <f t="shared" si="962"/>
        <v>-49.164645383799886</v>
      </c>
      <c r="T244">
        <f t="shared" si="963"/>
        <v>-4.9164645383799888E-2</v>
      </c>
    </row>
    <row r="245" spans="1:20" x14ac:dyDescent="0.25">
      <c r="A245" s="5">
        <v>44348</v>
      </c>
      <c r="B245">
        <v>1.839</v>
      </c>
      <c r="C245">
        <v>1.9590000000000001</v>
      </c>
      <c r="D245">
        <v>1.7470000000000001</v>
      </c>
      <c r="E245">
        <v>1.8879999999999999</v>
      </c>
      <c r="F245">
        <v>1410103.11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0.33018867924528128</v>
      </c>
      <c r="Q245">
        <f t="shared" si="960"/>
        <v>465600.08349056361</v>
      </c>
      <c r="R245">
        <f t="shared" si="961"/>
        <v>-4885929.625336512</v>
      </c>
      <c r="S245">
        <f t="shared" si="962"/>
        <v>-48.859296253365123</v>
      </c>
      <c r="T245">
        <f t="shared" si="963"/>
        <v>-4.8859296253365124E-2</v>
      </c>
    </row>
    <row r="246" spans="1:20" x14ac:dyDescent="0.25">
      <c r="A246" s="5">
        <v>44347</v>
      </c>
      <c r="B246">
        <v>1.698</v>
      </c>
      <c r="C246">
        <v>1.85</v>
      </c>
      <c r="D246">
        <v>1.5760000000000001</v>
      </c>
      <c r="E246">
        <v>1.843</v>
      </c>
      <c r="F246">
        <v>1214825.24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0.94890510948905027</v>
      </c>
      <c r="Q246">
        <f t="shared" si="960"/>
        <v>1152753.8773722618</v>
      </c>
      <c r="R246">
        <f t="shared" si="961"/>
        <v>-5351529.7088270755</v>
      </c>
      <c r="S246">
        <f t="shared" si="962"/>
        <v>-53.515297088270756</v>
      </c>
      <c r="T246">
        <f t="shared" si="963"/>
        <v>-5.3515297088270755E-2</v>
      </c>
    </row>
    <row r="247" spans="1:20" x14ac:dyDescent="0.25">
      <c r="A247" s="5">
        <v>44346</v>
      </c>
      <c r="B247">
        <v>1.633</v>
      </c>
      <c r="C247">
        <v>1.7709999999999999</v>
      </c>
      <c r="D247">
        <v>1.5289999999999999</v>
      </c>
      <c r="E247">
        <v>1.698</v>
      </c>
      <c r="F247">
        <v>1153065.1399999999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0.3966942148760334</v>
      </c>
      <c r="Q247">
        <f t="shared" si="960"/>
        <v>457414.27041322348</v>
      </c>
      <c r="R247">
        <f t="shared" si="961"/>
        <v>-6504283.5861993376</v>
      </c>
      <c r="S247">
        <f t="shared" si="962"/>
        <v>-65.042835861993382</v>
      </c>
      <c r="T247">
        <f t="shared" si="963"/>
        <v>-6.5042835861993387E-2</v>
      </c>
    </row>
    <row r="248" spans="1:20" x14ac:dyDescent="0.25">
      <c r="A248" s="5">
        <v>44345</v>
      </c>
      <c r="B248">
        <v>1.738</v>
      </c>
      <c r="C248">
        <v>1.877</v>
      </c>
      <c r="D248">
        <v>1.56</v>
      </c>
      <c r="E248">
        <v>1.6319999999999999</v>
      </c>
      <c r="F248">
        <v>1068478.49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-0.54574132492113658</v>
      </c>
      <c r="Q248">
        <f t="shared" si="960"/>
        <v>-583112.86678233533</v>
      </c>
      <c r="R248">
        <f t="shared" si="961"/>
        <v>-6961697.8566125613</v>
      </c>
      <c r="S248">
        <f t="shared" si="962"/>
        <v>-69.61697856612561</v>
      </c>
      <c r="T248">
        <f t="shared" si="963"/>
        <v>-6.9616978566125615E-2</v>
      </c>
    </row>
    <row r="249" spans="1:20" x14ac:dyDescent="0.25">
      <c r="A249" s="5">
        <v>44344</v>
      </c>
      <c r="B249">
        <v>2.056</v>
      </c>
      <c r="C249">
        <v>2.105</v>
      </c>
      <c r="D249">
        <v>1.6719999999999999</v>
      </c>
      <c r="E249">
        <v>1.7370000000000001</v>
      </c>
      <c r="F249">
        <v>1777953.95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-0.69976905311778215</v>
      </c>
      <c r="Q249">
        <f t="shared" si="960"/>
        <v>-1244157.1520785205</v>
      </c>
      <c r="R249">
        <f t="shared" si="961"/>
        <v>-6378584.9898302257</v>
      </c>
      <c r="S249">
        <f t="shared" si="962"/>
        <v>-63.78584989830226</v>
      </c>
      <c r="T249">
        <f t="shared" si="963"/>
        <v>-6.3785849898302258E-2</v>
      </c>
    </row>
    <row r="250" spans="1:20" x14ac:dyDescent="0.25">
      <c r="A250" s="5">
        <v>44343</v>
      </c>
      <c r="B250">
        <v>2.0619999999999998</v>
      </c>
      <c r="C250">
        <v>2.6469999999999998</v>
      </c>
      <c r="D250">
        <v>1.8320000000000001</v>
      </c>
      <c r="E250">
        <v>2.0579999999999998</v>
      </c>
      <c r="F250">
        <v>4982439.53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-0.4453987730061354</v>
      </c>
      <c r="Q250">
        <f t="shared" si="960"/>
        <v>-2219172.4532392658</v>
      </c>
      <c r="R250">
        <f t="shared" si="961"/>
        <v>-5134427.8377517052</v>
      </c>
      <c r="S250">
        <f t="shared" si="962"/>
        <v>-51.34427837751705</v>
      </c>
      <c r="T250">
        <f t="shared" si="963"/>
        <v>-5.1344278377517052E-2</v>
      </c>
    </row>
    <row r="251" spans="1:20" x14ac:dyDescent="0.25">
      <c r="A251" s="5">
        <v>44342</v>
      </c>
      <c r="B251">
        <v>1.923</v>
      </c>
      <c r="C251">
        <v>2.1720000000000002</v>
      </c>
      <c r="D251">
        <v>1.88</v>
      </c>
      <c r="E251">
        <v>2.0619999999999998</v>
      </c>
      <c r="F251">
        <v>1108396.3700000001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0.24657534246575191</v>
      </c>
      <c r="Q251">
        <f t="shared" si="960"/>
        <v>273303.21452054632</v>
      </c>
      <c r="R251">
        <f t="shared" si="961"/>
        <v>-2915255.3845124398</v>
      </c>
      <c r="S251">
        <f t="shared" si="962"/>
        <v>-29.152553845124398</v>
      </c>
      <c r="T251">
        <f t="shared" si="963"/>
        <v>-2.9152553845124399E-2</v>
      </c>
    </row>
    <row r="252" spans="1:20" x14ac:dyDescent="0.25">
      <c r="A252" s="5">
        <v>44341</v>
      </c>
      <c r="B252">
        <v>2.0470000000000002</v>
      </c>
      <c r="C252">
        <v>2.2000000000000002</v>
      </c>
      <c r="D252">
        <v>1.6910000000000001</v>
      </c>
      <c r="E252">
        <v>1.927</v>
      </c>
      <c r="F252">
        <v>1507545.86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-7.2691552062868633E-2</v>
      </c>
      <c r="Q252">
        <f t="shared" si="960"/>
        <v>-109585.84836935207</v>
      </c>
      <c r="R252">
        <f t="shared" si="961"/>
        <v>-3188558.599032986</v>
      </c>
      <c r="S252">
        <f t="shared" si="962"/>
        <v>-31.885585990329862</v>
      </c>
      <c r="T252">
        <f t="shared" si="963"/>
        <v>-3.1885585990329861E-2</v>
      </c>
    </row>
    <row r="253" spans="1:20" x14ac:dyDescent="0.25">
      <c r="A253" s="5">
        <v>44340</v>
      </c>
      <c r="B253">
        <v>1.571</v>
      </c>
      <c r="C253">
        <v>2.1</v>
      </c>
      <c r="D253">
        <v>1.57</v>
      </c>
      <c r="E253">
        <v>2.04</v>
      </c>
      <c r="F253">
        <v>2438980.91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0.77358490566037719</v>
      </c>
      <c r="Q253">
        <f t="shared" si="960"/>
        <v>1886758.8171698111</v>
      </c>
      <c r="R253">
        <f t="shared" si="961"/>
        <v>-3078972.7506636339</v>
      </c>
      <c r="S253">
        <f t="shared" si="962"/>
        <v>-30.789727506636339</v>
      </c>
      <c r="T253">
        <f t="shared" si="963"/>
        <v>-3.078972750663634E-2</v>
      </c>
    </row>
    <row r="254" spans="1:20" x14ac:dyDescent="0.25">
      <c r="A254" s="5">
        <v>44339</v>
      </c>
      <c r="B254">
        <v>1.8979999999999999</v>
      </c>
      <c r="C254">
        <v>1.9670000000000001</v>
      </c>
      <c r="D254">
        <v>1.3</v>
      </c>
      <c r="E254">
        <v>1.5820000000000001</v>
      </c>
      <c r="F254">
        <v>2139259.0499999998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-0.15442278860569711</v>
      </c>
      <c r="Q254">
        <f t="shared" si="960"/>
        <v>-330350.34805097437</v>
      </c>
      <c r="R254">
        <f t="shared" si="961"/>
        <v>-4965731.567833445</v>
      </c>
      <c r="S254">
        <f t="shared" si="962"/>
        <v>-49.657315678334449</v>
      </c>
      <c r="T254">
        <f t="shared" si="963"/>
        <v>-4.9657315678334452E-2</v>
      </c>
    </row>
    <row r="255" spans="1:20" x14ac:dyDescent="0.25">
      <c r="A255" s="5">
        <v>44338</v>
      </c>
      <c r="B255">
        <v>2.1760000000000002</v>
      </c>
      <c r="C255">
        <v>2.206</v>
      </c>
      <c r="D255">
        <v>1.85</v>
      </c>
      <c r="E255">
        <v>1.8879999999999999</v>
      </c>
      <c r="F255">
        <v>1230667.92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-0.7865168539325853</v>
      </c>
      <c r="Q255">
        <f t="shared" si="960"/>
        <v>-967941.06067415851</v>
      </c>
      <c r="R255">
        <f t="shared" si="961"/>
        <v>-4635381.2197824707</v>
      </c>
      <c r="S255">
        <f t="shared" si="962"/>
        <v>-46.353812197824709</v>
      </c>
      <c r="T255">
        <f t="shared" si="963"/>
        <v>-4.6353812197824709E-2</v>
      </c>
    </row>
    <row r="256" spans="1:20" x14ac:dyDescent="0.25">
      <c r="A256" s="5">
        <v>44337</v>
      </c>
      <c r="B256">
        <v>2.48</v>
      </c>
      <c r="C256">
        <v>2.7</v>
      </c>
      <c r="D256">
        <v>1.851</v>
      </c>
      <c r="E256">
        <v>2.1760000000000002</v>
      </c>
      <c r="F256">
        <v>2365456.2400000002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-0.23439340400471118</v>
      </c>
      <c r="Q256">
        <f t="shared" si="960"/>
        <v>-554447.34011778515</v>
      </c>
      <c r="R256">
        <f t="shared" si="961"/>
        <v>-3667440.1591083119</v>
      </c>
      <c r="S256">
        <f t="shared" si="962"/>
        <v>-36.674401591083118</v>
      </c>
      <c r="T256">
        <f t="shared" si="963"/>
        <v>-3.6674401591083115E-2</v>
      </c>
    </row>
    <row r="257" spans="1:20" x14ac:dyDescent="0.25">
      <c r="A257" s="5">
        <v>44336</v>
      </c>
      <c r="B257">
        <v>2.173</v>
      </c>
      <c r="C257">
        <v>2.93</v>
      </c>
      <c r="D257">
        <v>1.9</v>
      </c>
      <c r="E257">
        <v>2.4809999999999999</v>
      </c>
      <c r="F257">
        <v>3060369.11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0.12815533980582489</v>
      </c>
      <c r="Q257">
        <f t="shared" si="960"/>
        <v>392202.64322329988</v>
      </c>
      <c r="R257">
        <f t="shared" si="961"/>
        <v>-3112992.8189905267</v>
      </c>
      <c r="S257">
        <f t="shared" si="962"/>
        <v>-31.129928189905268</v>
      </c>
      <c r="T257">
        <f t="shared" si="963"/>
        <v>-3.1129928189905266E-2</v>
      </c>
    </row>
    <row r="258" spans="1:20" x14ac:dyDescent="0.25">
      <c r="A258" s="5">
        <v>44335</v>
      </c>
      <c r="B258">
        <v>3.218</v>
      </c>
      <c r="C258">
        <v>3.99</v>
      </c>
      <c r="D258">
        <v>1.343</v>
      </c>
      <c r="E258">
        <v>2.1720000000000002</v>
      </c>
      <c r="F258">
        <v>9381448.3200000003</v>
      </c>
      <c r="G258">
        <v>0</v>
      </c>
      <c r="P258">
        <f t="shared" si="959"/>
        <v>-0.37363052512278044</v>
      </c>
      <c r="Q258">
        <f t="shared" si="960"/>
        <v>-3505195.4622138264</v>
      </c>
      <c r="R258">
        <f t="shared" si="961"/>
        <v>-3505195.4622138264</v>
      </c>
      <c r="S258">
        <f t="shared" si="962"/>
        <v>-35.051954622138261</v>
      </c>
      <c r="T258">
        <f t="shared" si="963"/>
        <v>-3.5051954622138261E-2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J566" sqref="EJ56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$A$565</v>
      </c>
      <c r="D111" s="1" t="str">
        <f>ADDRESS(C121-1,D121,1,1)</f>
        <v>$EJ$565</v>
      </c>
      <c r="E111"/>
    </row>
    <row r="112" spans="1:5" x14ac:dyDescent="0.25">
      <c r="A112" s="7">
        <v>12164.144957890772</v>
      </c>
      <c r="C112" s="1" t="str">
        <f>ADDRESS(C121,1,1,1)</f>
        <v>$A$566</v>
      </c>
      <c r="D112" s="1" t="str">
        <f>ADDRESS(C121,D121-1,1,1)</f>
        <v>$EI$566</v>
      </c>
      <c r="E112"/>
    </row>
    <row r="113" spans="1:5" x14ac:dyDescent="0.25">
      <c r="A113" s="7">
        <v>11925.63231165762</v>
      </c>
      <c r="C113" s="1" t="str">
        <f>ADDRESS(C121+1,1,1,1)</f>
        <v>$A$567</v>
      </c>
      <c r="D113" s="1" t="str">
        <f>ADDRESS(C121-1,D121+1,1,1)</f>
        <v>$EK$565</v>
      </c>
    </row>
    <row r="114" spans="1:5" x14ac:dyDescent="0.25">
      <c r="A114" s="7">
        <v>11691.796383978059</v>
      </c>
      <c r="C114" s="1" t="str">
        <f>ADDRESS(C121,D121,1,1)</f>
        <v>$EJ$566</v>
      </c>
      <c r="D114" s="1" t="str">
        <f>ADDRESS(C121+1,D121+1,1,1)</f>
        <v>$EK$567</v>
      </c>
    </row>
    <row r="115" spans="1:5" x14ac:dyDescent="0.25">
      <c r="A115" s="7">
        <v>11462.545474488292</v>
      </c>
      <c r="C115" s="1" t="str">
        <f>ADDRESS(C121+1,D121,1,1)</f>
        <v>$EJ$567</v>
      </c>
    </row>
    <row r="116" spans="1:5" x14ac:dyDescent="0.25">
      <c r="A116" s="7">
        <v>11237.789680870874</v>
      </c>
      <c r="C116" s="1">
        <f>C117-1</f>
        <v>565</v>
      </c>
    </row>
    <row r="117" spans="1:5" x14ac:dyDescent="0.25">
      <c r="A117" s="7">
        <v>11017.440863598895</v>
      </c>
      <c r="C117" s="1">
        <f>C121</f>
        <v>566</v>
      </c>
      <c r="D117" s="1">
        <f>D121</f>
        <v>140</v>
      </c>
    </row>
    <row r="118" spans="1:5" x14ac:dyDescent="0.25">
      <c r="A118" s="7">
        <v>10801.412611371465</v>
      </c>
      <c r="C118" s="1">
        <f>C117+1</f>
        <v>567</v>
      </c>
      <c r="D118" s="1">
        <f>D117+1</f>
        <v>141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566</v>
      </c>
      <c r="D121" s="19">
        <v>140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R566</v>
      </c>
      <c r="D123" s="1" t="str">
        <f>"C"&amp;D121</f>
        <v>C140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1.5156663438979221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116" x14ac:dyDescent="0.25">
      <c r="A497" s="7">
        <v>5.9431331263054545</v>
      </c>
      <c r="B497"/>
      <c r="C497"/>
      <c r="D497"/>
      <c r="E497"/>
    </row>
    <row r="498" spans="1:116" x14ac:dyDescent="0.25">
      <c r="A498" s="7">
        <v>5.8266011042210337</v>
      </c>
      <c r="B498"/>
      <c r="C498"/>
      <c r="D498"/>
      <c r="E498"/>
    </row>
    <row r="499" spans="1:116" x14ac:dyDescent="0.25">
      <c r="A499" s="7">
        <v>5.7123540237461112</v>
      </c>
      <c r="B499"/>
      <c r="C499"/>
      <c r="D499"/>
      <c r="E499"/>
    </row>
    <row r="500" spans="1:116" x14ac:dyDescent="0.25">
      <c r="A500" s="7">
        <v>5.6003470821040304</v>
      </c>
      <c r="B500"/>
      <c r="C500"/>
      <c r="D500"/>
      <c r="E500"/>
    </row>
    <row r="501" spans="1:116" x14ac:dyDescent="0.25">
      <c r="A501" s="7">
        <v>5.4905363550039512</v>
      </c>
      <c r="B501"/>
      <c r="C501"/>
      <c r="D501"/>
      <c r="E501"/>
    </row>
    <row r="502" spans="1:116" x14ac:dyDescent="0.25">
      <c r="A502" s="7">
        <v>5.3828787794156385</v>
      </c>
      <c r="B502"/>
      <c r="C502"/>
      <c r="D502"/>
      <c r="E502"/>
    </row>
    <row r="503" spans="1:116" x14ac:dyDescent="0.25">
      <c r="A503" s="7">
        <v>5.2773321366819985</v>
      </c>
      <c r="B503"/>
      <c r="C503"/>
      <c r="D503"/>
      <c r="E503"/>
    </row>
    <row r="504" spans="1:116" x14ac:dyDescent="0.25">
      <c r="A504" s="7">
        <v>5.1738550359627435</v>
      </c>
      <c r="B504"/>
      <c r="C504"/>
      <c r="D504"/>
      <c r="E504"/>
      <c r="DK504" s="27" t="s">
        <v>8</v>
      </c>
    </row>
    <row r="505" spans="1:116" x14ac:dyDescent="0.25">
      <c r="A505" s="7">
        <v>5.07240689800269</v>
      </c>
      <c r="B505"/>
      <c r="C505"/>
      <c r="D505"/>
      <c r="E505"/>
      <c r="DK505" s="27" t="s">
        <v>8</v>
      </c>
      <c r="DL505" s="27" t="s">
        <v>7</v>
      </c>
    </row>
    <row r="506" spans="1:116" x14ac:dyDescent="0.25">
      <c r="A506" s="7">
        <v>4.9729479392183231</v>
      </c>
      <c r="B506"/>
      <c r="C506"/>
      <c r="D506"/>
      <c r="E506"/>
      <c r="DK506" s="27" t="s">
        <v>8</v>
      </c>
      <c r="DL506" s="27" t="s">
        <v>7</v>
      </c>
    </row>
    <row r="507" spans="1:116" x14ac:dyDescent="0.25">
      <c r="A507" s="7">
        <v>4.8754391560963954</v>
      </c>
      <c r="B507"/>
      <c r="C507"/>
      <c r="D507"/>
      <c r="E507"/>
      <c r="DK507" s="27" t="s">
        <v>8</v>
      </c>
      <c r="DL507" s="27" t="s">
        <v>7</v>
      </c>
    </row>
    <row r="508" spans="1:116" x14ac:dyDescent="0.25">
      <c r="A508" s="7">
        <v>4.7798423098984264</v>
      </c>
      <c r="B508"/>
      <c r="C508"/>
      <c r="D508"/>
      <c r="E508"/>
      <c r="DK508" s="27" t="s">
        <v>8</v>
      </c>
      <c r="DL508" s="27" t="s">
        <v>7</v>
      </c>
    </row>
    <row r="509" spans="1:116" x14ac:dyDescent="0.25">
      <c r="A509" s="7">
        <v>4.6861199116651235</v>
      </c>
      <c r="B509"/>
      <c r="C509"/>
      <c r="D509"/>
      <c r="E509"/>
      <c r="DK509" s="27" t="s">
        <v>8</v>
      </c>
      <c r="DL509" s="27" t="s">
        <v>7</v>
      </c>
    </row>
    <row r="510" spans="1:116" x14ac:dyDescent="0.25">
      <c r="A510" s="7">
        <v>4.5942352075148269</v>
      </c>
      <c r="B510"/>
      <c r="C510"/>
      <c r="D510"/>
      <c r="E510"/>
      <c r="DK510" s="27" t="s">
        <v>8</v>
      </c>
      <c r="DL510" s="27" t="s">
        <v>7</v>
      </c>
    </row>
    <row r="511" spans="1:116" x14ac:dyDescent="0.25">
      <c r="A511" s="7">
        <v>4.5041521642302227</v>
      </c>
      <c r="B511"/>
      <c r="C511"/>
      <c r="D511"/>
      <c r="E511"/>
      <c r="DK511" s="27" t="s">
        <v>8</v>
      </c>
      <c r="DL511" s="27" t="s">
        <v>7</v>
      </c>
    </row>
    <row r="512" spans="1:116" x14ac:dyDescent="0.25">
      <c r="A512" s="7">
        <v>4.4158354551276693</v>
      </c>
      <c r="B512"/>
      <c r="C512"/>
      <c r="D512"/>
      <c r="E512"/>
      <c r="DK512" s="27" t="s">
        <v>8</v>
      </c>
      <c r="DL512" s="27" t="s">
        <v>7</v>
      </c>
    </row>
    <row r="513" spans="1:122" x14ac:dyDescent="0.25">
      <c r="A513" s="7">
        <v>4.3292504462035977</v>
      </c>
      <c r="B513"/>
      <c r="C513"/>
      <c r="D513"/>
      <c r="E513"/>
      <c r="DI513" s="27" t="s">
        <v>8</v>
      </c>
      <c r="DK513" s="27" t="s">
        <v>8</v>
      </c>
      <c r="DL513" s="27" t="s">
        <v>7</v>
      </c>
    </row>
    <row r="514" spans="1:122" x14ac:dyDescent="0.25">
      <c r="A514" s="7">
        <v>4.2443631825525463</v>
      </c>
      <c r="B514"/>
      <c r="C514"/>
      <c r="D514"/>
      <c r="E514"/>
      <c r="CI514" s="27" t="s">
        <v>8</v>
      </c>
      <c r="DI514" s="27" t="s">
        <v>8</v>
      </c>
      <c r="DJ514" s="27" t="s">
        <v>7</v>
      </c>
      <c r="DK514" s="27" t="s">
        <v>8</v>
      </c>
      <c r="DL514" s="27" t="s">
        <v>7</v>
      </c>
    </row>
    <row r="515" spans="1:122" x14ac:dyDescent="0.25">
      <c r="A515" s="7">
        <v>4.1611403750515157</v>
      </c>
      <c r="B515"/>
      <c r="C515"/>
      <c r="D515"/>
      <c r="E515"/>
      <c r="CI515" s="27" t="s">
        <v>8</v>
      </c>
      <c r="CJ515" s="27" t="s">
        <v>7</v>
      </c>
      <c r="DI515" s="27" t="s">
        <v>8</v>
      </c>
      <c r="DJ515" s="27" t="s">
        <v>7</v>
      </c>
      <c r="DK515" s="27" t="s">
        <v>8</v>
      </c>
      <c r="DL515" s="27" t="s">
        <v>7</v>
      </c>
    </row>
    <row r="516" spans="1:122" x14ac:dyDescent="0.25">
      <c r="A516" s="7">
        <v>4.0795493873054074</v>
      </c>
      <c r="B516"/>
      <c r="C516"/>
      <c r="D516"/>
      <c r="E516"/>
      <c r="CI516" s="27" t="s">
        <v>8</v>
      </c>
      <c r="CJ516" s="27" t="s">
        <v>7</v>
      </c>
      <c r="DI516" s="27" t="s">
        <v>8</v>
      </c>
      <c r="DJ516" s="27" t="s">
        <v>7</v>
      </c>
      <c r="DK516" s="27" t="s">
        <v>8</v>
      </c>
      <c r="DL516" s="27" t="s">
        <v>7</v>
      </c>
    </row>
    <row r="517" spans="1:122" x14ac:dyDescent="0.25">
      <c r="A517" s="7">
        <v>3.9995582228484383</v>
      </c>
      <c r="B517"/>
      <c r="C517"/>
      <c r="D517"/>
      <c r="E517"/>
      <c r="CI517" s="27" t="s">
        <v>8</v>
      </c>
      <c r="CJ517" s="27" t="s">
        <v>7</v>
      </c>
      <c r="DI517" s="27" t="s">
        <v>8</v>
      </c>
      <c r="DJ517" s="27" t="s">
        <v>7</v>
      </c>
      <c r="DK517" s="27" t="s">
        <v>8</v>
      </c>
      <c r="DL517" s="27" t="s">
        <v>7</v>
      </c>
    </row>
    <row r="518" spans="1:122" x14ac:dyDescent="0.25">
      <c r="A518" s="7">
        <v>3.9211355125965079</v>
      </c>
      <c r="B518"/>
      <c r="C518"/>
      <c r="D518"/>
      <c r="E518"/>
      <c r="CI518" s="27" t="s">
        <v>8</v>
      </c>
      <c r="CJ518" s="27" t="s">
        <v>7</v>
      </c>
      <c r="DG518" s="27" t="s">
        <v>8</v>
      </c>
      <c r="DI518" s="27" t="s">
        <v>8</v>
      </c>
      <c r="DJ518" s="27" t="s">
        <v>7</v>
      </c>
      <c r="DK518" s="27" t="s">
        <v>8</v>
      </c>
      <c r="DL518" s="27" t="s">
        <v>7</v>
      </c>
    </row>
    <row r="519" spans="1:122" x14ac:dyDescent="0.25">
      <c r="A519" s="7">
        <v>3.844250502545596</v>
      </c>
      <c r="B519"/>
      <c r="C519"/>
      <c r="D519"/>
      <c r="E519"/>
      <c r="CI519" s="27" t="s">
        <v>8</v>
      </c>
      <c r="CJ519" s="27" t="s">
        <v>7</v>
      </c>
      <c r="DC519" s="27" t="s">
        <v>8</v>
      </c>
      <c r="DE519" s="27" t="s">
        <v>8</v>
      </c>
      <c r="DG519" s="27" t="s">
        <v>8</v>
      </c>
      <c r="DH519" s="27" t="s">
        <v>7</v>
      </c>
      <c r="DI519" s="27" t="s">
        <v>8</v>
      </c>
      <c r="DJ519" s="27" t="s">
        <v>7</v>
      </c>
      <c r="DK519" s="27" t="s">
        <v>8</v>
      </c>
      <c r="DL519" s="27" t="s">
        <v>7</v>
      </c>
    </row>
    <row r="520" spans="1:122" x14ac:dyDescent="0.25">
      <c r="A520" s="7">
        <v>3.7688730417113687</v>
      </c>
      <c r="B520"/>
      <c r="C520"/>
      <c r="D520"/>
      <c r="E520"/>
      <c r="CI520" s="27" t="s">
        <v>8</v>
      </c>
      <c r="CJ520" s="27" t="s">
        <v>7</v>
      </c>
      <c r="DC520" s="27" t="s">
        <v>8</v>
      </c>
      <c r="DD520" s="27" t="s">
        <v>7</v>
      </c>
      <c r="DE520" s="27" t="s">
        <v>8</v>
      </c>
      <c r="DF520" s="27" t="s">
        <v>7</v>
      </c>
      <c r="DG520" s="27" t="s">
        <v>8</v>
      </c>
      <c r="DH520" s="27" t="s">
        <v>7</v>
      </c>
      <c r="DI520" s="27" t="s">
        <v>8</v>
      </c>
      <c r="DJ520" s="27" t="s">
        <v>7</v>
      </c>
      <c r="DK520" s="27" t="s">
        <v>8</v>
      </c>
      <c r="DL520" s="27" t="s">
        <v>7</v>
      </c>
    </row>
    <row r="521" spans="1:122" x14ac:dyDescent="0.25">
      <c r="A521" s="7">
        <v>3.6949735703052635</v>
      </c>
      <c r="B521"/>
      <c r="C521"/>
      <c r="D521"/>
      <c r="E521"/>
      <c r="CI521" s="27" t="s">
        <v>8</v>
      </c>
      <c r="CJ521" s="27" t="s">
        <v>7</v>
      </c>
      <c r="DC521" s="27" t="s">
        <v>8</v>
      </c>
      <c r="DD521" s="27" t="s">
        <v>7</v>
      </c>
      <c r="DE521" s="27" t="s">
        <v>8</v>
      </c>
      <c r="DF521" s="27" t="s">
        <v>7</v>
      </c>
      <c r="DG521" s="27" t="s">
        <v>8</v>
      </c>
      <c r="DH521" s="27" t="s">
        <v>7</v>
      </c>
      <c r="DI521" s="27" t="s">
        <v>8</v>
      </c>
      <c r="DJ521" s="27" t="s">
        <v>7</v>
      </c>
      <c r="DK521" s="27" t="s">
        <v>8</v>
      </c>
      <c r="DL521" s="27" t="s">
        <v>7</v>
      </c>
    </row>
    <row r="522" spans="1:122" x14ac:dyDescent="0.25">
      <c r="A522" s="7">
        <v>3.6225231081424152</v>
      </c>
      <c r="B522"/>
      <c r="C522"/>
      <c r="D522"/>
      <c r="E522"/>
      <c r="CI522" s="27" t="s">
        <v>8</v>
      </c>
      <c r="CJ522" s="27" t="s">
        <v>7</v>
      </c>
      <c r="DC522" s="27" t="s">
        <v>8</v>
      </c>
      <c r="DD522" s="27" t="s">
        <v>7</v>
      </c>
      <c r="DE522" s="27" t="s">
        <v>8</v>
      </c>
      <c r="DF522" s="27" t="s">
        <v>7</v>
      </c>
      <c r="DG522" s="27" t="s">
        <v>8</v>
      </c>
      <c r="DH522" s="27" t="s">
        <v>7</v>
      </c>
      <c r="DJ522" s="27" t="s">
        <v>7</v>
      </c>
      <c r="DK522" s="27" t="s">
        <v>8</v>
      </c>
      <c r="DL522" s="27" t="s">
        <v>7</v>
      </c>
      <c r="DO522" s="27" t="s">
        <v>8</v>
      </c>
    </row>
    <row r="523" spans="1:122" x14ac:dyDescent="0.25">
      <c r="A523" s="7">
        <v>3.5514932432768775</v>
      </c>
      <c r="B523"/>
      <c r="C523"/>
      <c r="D523"/>
      <c r="E523"/>
      <c r="CI523" s="27" t="s">
        <v>8</v>
      </c>
      <c r="CJ523" s="27" t="s">
        <v>7</v>
      </c>
      <c r="DC523" s="27" t="s">
        <v>8</v>
      </c>
      <c r="DD523" s="27" t="s">
        <v>7</v>
      </c>
      <c r="DE523" s="27" t="s">
        <v>8</v>
      </c>
      <c r="DF523" s="27" t="s">
        <v>7</v>
      </c>
      <c r="DJ523" s="27" t="s">
        <v>7</v>
      </c>
      <c r="DK523" s="27" t="s">
        <v>8</v>
      </c>
      <c r="DL523" s="27" t="s">
        <v>7</v>
      </c>
      <c r="DM523" s="27" t="s">
        <v>8</v>
      </c>
      <c r="DO523" s="27" t="s">
        <v>8</v>
      </c>
      <c r="DP523" s="27" t="s">
        <v>7</v>
      </c>
    </row>
    <row r="524" spans="1:122" x14ac:dyDescent="0.25">
      <c r="A524" s="7">
        <v>3.4818561208596837</v>
      </c>
      <c r="B524"/>
      <c r="C524"/>
      <c r="D524"/>
      <c r="E524"/>
      <c r="CI524" s="27" t="s">
        <v>8</v>
      </c>
      <c r="CJ524" s="27" t="s">
        <v>7</v>
      </c>
      <c r="CM524" s="27" t="s">
        <v>8</v>
      </c>
      <c r="DC524" s="27" t="s">
        <v>8</v>
      </c>
      <c r="DD524" s="27" t="s">
        <v>7</v>
      </c>
      <c r="DE524" s="27" t="s">
        <v>8</v>
      </c>
      <c r="DJ524" s="27" t="s">
        <v>7</v>
      </c>
      <c r="DK524" s="27" t="s">
        <v>8</v>
      </c>
      <c r="DL524" s="27" t="s">
        <v>7</v>
      </c>
      <c r="DM524" s="27" t="s">
        <v>8</v>
      </c>
      <c r="DN524" s="27" t="s">
        <v>7</v>
      </c>
      <c r="DO524" s="27" t="s">
        <v>8</v>
      </c>
      <c r="DP524" s="27" t="s">
        <v>7</v>
      </c>
    </row>
    <row r="525" spans="1:122" x14ac:dyDescent="0.25">
      <c r="A525" s="7">
        <v>3.4135844322153761</v>
      </c>
      <c r="B525"/>
      <c r="C525"/>
      <c r="D525"/>
      <c r="E525"/>
      <c r="CI525" s="27" t="s">
        <v>8</v>
      </c>
      <c r="CJ525" s="27" t="s">
        <v>7</v>
      </c>
      <c r="CM525" s="27" t="s">
        <v>8</v>
      </c>
      <c r="CN525" s="27" t="s">
        <v>7</v>
      </c>
      <c r="CQ525" s="27" t="s">
        <v>8</v>
      </c>
      <c r="DC525" s="27" t="s">
        <v>8</v>
      </c>
      <c r="DD525" s="27" t="s">
        <v>7</v>
      </c>
      <c r="DJ525" s="27" t="s">
        <v>7</v>
      </c>
      <c r="DK525" s="27" t="s">
        <v>8</v>
      </c>
      <c r="DL525" s="27" t="s">
        <v>7</v>
      </c>
      <c r="DM525" s="27" t="s">
        <v>8</v>
      </c>
      <c r="DN525" s="27" t="s">
        <v>7</v>
      </c>
      <c r="DO525" s="27" t="s">
        <v>8</v>
      </c>
      <c r="DP525" s="27" t="s">
        <v>7</v>
      </c>
    </row>
    <row r="526" spans="1:122" x14ac:dyDescent="0.25">
      <c r="A526" s="7">
        <v>3.3466514041327216</v>
      </c>
      <c r="B526"/>
      <c r="C526"/>
      <c r="D526"/>
      <c r="E526"/>
      <c r="CI526" s="27" t="s">
        <v>8</v>
      </c>
      <c r="CJ526" s="27" t="s">
        <v>7</v>
      </c>
      <c r="CM526" s="27" t="s">
        <v>8</v>
      </c>
      <c r="CN526" s="27" t="s">
        <v>7</v>
      </c>
      <c r="CQ526" s="27" t="s">
        <v>8</v>
      </c>
      <c r="CR526" s="27" t="s">
        <v>7</v>
      </c>
      <c r="CU526" s="27" t="s">
        <v>8</v>
      </c>
      <c r="CW526" s="27" t="s">
        <v>8</v>
      </c>
      <c r="DA526" s="27" t="s">
        <v>8</v>
      </c>
      <c r="DC526" s="27" t="s">
        <v>8</v>
      </c>
      <c r="DJ526" s="27" t="s">
        <v>7</v>
      </c>
      <c r="DK526" s="27" t="s">
        <v>8</v>
      </c>
      <c r="DL526" s="27" t="s">
        <v>7</v>
      </c>
      <c r="DN526" s="27" t="s">
        <v>7</v>
      </c>
      <c r="DO526" s="27" t="s">
        <v>8</v>
      </c>
      <c r="DP526" s="27" t="s">
        <v>7</v>
      </c>
    </row>
    <row r="527" spans="1:122" x14ac:dyDescent="0.25">
      <c r="A527" s="7">
        <v>3.2810307883654133</v>
      </c>
      <c r="B527"/>
      <c r="C527"/>
      <c r="D527"/>
      <c r="E527"/>
      <c r="CI527" s="27" t="s">
        <v>8</v>
      </c>
      <c r="CJ527" s="27" t="s">
        <v>7</v>
      </c>
      <c r="CM527" s="27" t="s">
        <v>8</v>
      </c>
      <c r="CN527" s="27" t="s">
        <v>7</v>
      </c>
      <c r="CQ527" s="27" t="s">
        <v>8</v>
      </c>
      <c r="CR527" s="27" t="s">
        <v>7</v>
      </c>
      <c r="CU527" s="27" t="s">
        <v>8</v>
      </c>
      <c r="CV527" s="27" t="s">
        <v>7</v>
      </c>
      <c r="CW527" s="27" t="s">
        <v>8</v>
      </c>
      <c r="CX527" s="27" t="s">
        <v>7</v>
      </c>
      <c r="DA527" s="27" t="s">
        <v>8</v>
      </c>
      <c r="DB527" s="27" t="s">
        <v>7</v>
      </c>
      <c r="DC527" s="27" t="s">
        <v>8</v>
      </c>
      <c r="DJ527" s="27" t="s">
        <v>7</v>
      </c>
      <c r="DK527" s="27" t="s">
        <v>8</v>
      </c>
      <c r="DN527" s="27" t="s">
        <v>7</v>
      </c>
      <c r="DO527" s="27" t="s">
        <v>8</v>
      </c>
      <c r="DP527" s="27" t="s">
        <v>7</v>
      </c>
      <c r="DQ527" s="27" t="s">
        <v>8</v>
      </c>
    </row>
    <row r="528" spans="1:122" x14ac:dyDescent="0.25">
      <c r="A528" s="7">
        <v>3.2166968513386403</v>
      </c>
      <c r="B528"/>
      <c r="C528"/>
      <c r="D528"/>
      <c r="E528"/>
      <c r="CI528" s="27" t="s">
        <v>8</v>
      </c>
      <c r="CJ528" s="27" t="s">
        <v>7</v>
      </c>
      <c r="CM528" s="27" t="s">
        <v>8</v>
      </c>
      <c r="CN528" s="27" t="s">
        <v>7</v>
      </c>
      <c r="CQ528" s="27" t="s">
        <v>8</v>
      </c>
      <c r="CR528" s="27" t="s">
        <v>7</v>
      </c>
      <c r="CU528" s="27" t="s">
        <v>8</v>
      </c>
      <c r="CV528" s="27" t="s">
        <v>7</v>
      </c>
      <c r="CW528" s="27" t="s">
        <v>8</v>
      </c>
      <c r="CX528" s="27" t="s">
        <v>7</v>
      </c>
      <c r="DA528" s="27" t="s">
        <v>8</v>
      </c>
      <c r="DB528" s="27" t="s">
        <v>7</v>
      </c>
      <c r="DC528" s="27" t="s">
        <v>8</v>
      </c>
      <c r="DJ528" s="27" t="s">
        <v>7</v>
      </c>
      <c r="DK528" s="27" t="s">
        <v>8</v>
      </c>
      <c r="DN528" s="27" t="s">
        <v>7</v>
      </c>
      <c r="DP528" s="27" t="s">
        <v>7</v>
      </c>
      <c r="DQ528" s="27" t="s">
        <v>8</v>
      </c>
      <c r="DR528" s="27" t="s">
        <v>7</v>
      </c>
    </row>
    <row r="529" spans="1:134" x14ac:dyDescent="0.25">
      <c r="A529" s="7">
        <v>3.1536243640574906</v>
      </c>
      <c r="B529"/>
      <c r="C529"/>
      <c r="D529"/>
      <c r="E529"/>
      <c r="CI529" s="27" t="s">
        <v>8</v>
      </c>
      <c r="CJ529" s="27" t="s">
        <v>7</v>
      </c>
      <c r="CM529" s="27" t="s">
        <v>8</v>
      </c>
      <c r="CN529" s="27" t="s">
        <v>7</v>
      </c>
      <c r="CQ529" s="27" t="s">
        <v>8</v>
      </c>
      <c r="CR529" s="27" t="s">
        <v>7</v>
      </c>
      <c r="CU529" s="27" t="s">
        <v>8</v>
      </c>
      <c r="CV529" s="27" t="s">
        <v>7</v>
      </c>
      <c r="CW529" s="27" t="s">
        <v>8</v>
      </c>
      <c r="CX529" s="27" t="s">
        <v>7</v>
      </c>
      <c r="DA529" s="27" t="s">
        <v>8</v>
      </c>
      <c r="DB529" s="27" t="s">
        <v>7</v>
      </c>
      <c r="DC529" s="27" t="s">
        <v>8</v>
      </c>
      <c r="DJ529" s="27" t="s">
        <v>7</v>
      </c>
      <c r="DK529" s="27" t="s">
        <v>8</v>
      </c>
      <c r="DP529" s="27" t="s">
        <v>7</v>
      </c>
      <c r="DQ529" s="27" t="s">
        <v>8</v>
      </c>
      <c r="DR529" s="27" t="s">
        <v>7</v>
      </c>
      <c r="DY529" s="27" t="s">
        <v>8</v>
      </c>
    </row>
    <row r="530" spans="1:134" x14ac:dyDescent="0.25">
      <c r="A530" s="7">
        <v>3.0917885922132262</v>
      </c>
      <c r="B530"/>
      <c r="C530"/>
      <c r="D530"/>
      <c r="E530"/>
      <c r="CI530" s="27" t="s">
        <v>8</v>
      </c>
      <c r="CJ530" s="27" t="s">
        <v>7</v>
      </c>
      <c r="CM530" s="27" t="s">
        <v>8</v>
      </c>
      <c r="CN530" s="27" t="s">
        <v>7</v>
      </c>
      <c r="CQ530" s="27" t="s">
        <v>8</v>
      </c>
      <c r="CR530" s="27" t="s">
        <v>7</v>
      </c>
      <c r="CU530" s="27" t="s">
        <v>8</v>
      </c>
      <c r="CV530" s="27" t="s">
        <v>7</v>
      </c>
      <c r="CW530" s="27" t="s">
        <v>8</v>
      </c>
      <c r="CX530" s="27" t="s">
        <v>7</v>
      </c>
      <c r="DA530" s="27" t="s">
        <v>8</v>
      </c>
      <c r="DB530" s="27" t="s">
        <v>7</v>
      </c>
      <c r="DC530" s="27" t="s">
        <v>8</v>
      </c>
      <c r="DJ530" s="27" t="s">
        <v>7</v>
      </c>
      <c r="DK530" s="27" t="s">
        <v>8</v>
      </c>
      <c r="DP530" s="27" t="s">
        <v>7</v>
      </c>
      <c r="DQ530" s="27" t="s">
        <v>8</v>
      </c>
      <c r="DR530" s="27" t="s">
        <v>7</v>
      </c>
      <c r="DY530" s="27" t="s">
        <v>8</v>
      </c>
      <c r="DZ530" s="27" t="s">
        <v>7</v>
      </c>
    </row>
    <row r="531" spans="1:134" x14ac:dyDescent="0.25">
      <c r="A531" s="7">
        <v>3.0311652864835552</v>
      </c>
      <c r="B531"/>
      <c r="C531"/>
      <c r="D531"/>
      <c r="E531"/>
      <c r="CI531" s="27" t="s">
        <v>8</v>
      </c>
      <c r="CJ531" s="27" t="s">
        <v>7</v>
      </c>
      <c r="CK531" s="27" t="s">
        <v>8</v>
      </c>
      <c r="CM531" s="27" t="s">
        <v>8</v>
      </c>
      <c r="CN531" s="27" t="s">
        <v>7</v>
      </c>
      <c r="CQ531" s="27" t="s">
        <v>8</v>
      </c>
      <c r="CR531" s="27" t="s">
        <v>7</v>
      </c>
      <c r="CS531" s="27" t="s">
        <v>8</v>
      </c>
      <c r="CU531" s="27" t="s">
        <v>8</v>
      </c>
      <c r="CV531" s="27" t="s">
        <v>7</v>
      </c>
      <c r="CW531" s="27" t="s">
        <v>8</v>
      </c>
      <c r="CX531" s="27" t="s">
        <v>7</v>
      </c>
      <c r="DA531" s="27" t="s">
        <v>8</v>
      </c>
      <c r="DB531" s="27" t="s">
        <v>7</v>
      </c>
      <c r="DJ531" s="27" t="s">
        <v>7</v>
      </c>
      <c r="DP531" s="27" t="s">
        <v>7</v>
      </c>
      <c r="DQ531" s="27" t="s">
        <v>8</v>
      </c>
      <c r="DR531" s="27" t="s">
        <v>7</v>
      </c>
      <c r="DW531" s="27" t="s">
        <v>8</v>
      </c>
      <c r="DY531" s="27" t="s">
        <v>8</v>
      </c>
      <c r="DZ531" s="27" t="s">
        <v>7</v>
      </c>
    </row>
    <row r="532" spans="1:134" x14ac:dyDescent="0.25">
      <c r="A532" s="7">
        <v>2.9717306730230932</v>
      </c>
      <c r="B532"/>
      <c r="C532"/>
      <c r="D532"/>
      <c r="E532"/>
      <c r="CI532" s="27" t="s">
        <v>8</v>
      </c>
      <c r="CJ532" s="27" t="s">
        <v>7</v>
      </c>
      <c r="CK532" s="27" t="s">
        <v>8</v>
      </c>
      <c r="CL532" s="27" t="s">
        <v>7</v>
      </c>
      <c r="CM532" s="27" t="s">
        <v>8</v>
      </c>
      <c r="CN532" s="27" t="s">
        <v>7</v>
      </c>
      <c r="CQ532" s="27" t="s">
        <v>8</v>
      </c>
      <c r="CR532" s="27" t="s">
        <v>7</v>
      </c>
      <c r="CS532" s="27" t="s">
        <v>8</v>
      </c>
      <c r="CT532" s="27" t="s">
        <v>7</v>
      </c>
      <c r="CU532" s="27" t="s">
        <v>8</v>
      </c>
      <c r="CV532" s="27" t="s">
        <v>7</v>
      </c>
      <c r="CW532" s="27" t="s">
        <v>8</v>
      </c>
      <c r="CX532" s="27" t="s">
        <v>7</v>
      </c>
      <c r="DA532" s="27" t="s">
        <v>8</v>
      </c>
      <c r="DP532" s="27" t="s">
        <v>7</v>
      </c>
      <c r="DQ532" s="27" t="s">
        <v>8</v>
      </c>
      <c r="DR532" s="27" t="s">
        <v>7</v>
      </c>
      <c r="DU532" s="27" t="s">
        <v>8</v>
      </c>
      <c r="DW532" s="27" t="s">
        <v>8</v>
      </c>
      <c r="DX532" s="27" t="s">
        <v>7</v>
      </c>
      <c r="DY532" s="27" t="s">
        <v>8</v>
      </c>
      <c r="DZ532" s="27" t="s">
        <v>7</v>
      </c>
    </row>
    <row r="533" spans="1:134" x14ac:dyDescent="0.25">
      <c r="A533" s="7">
        <v>2.9134614441402875</v>
      </c>
      <c r="B533"/>
      <c r="C533"/>
      <c r="D533"/>
      <c r="E533" t="s">
        <v>8</v>
      </c>
      <c r="CI533" s="27" t="s">
        <v>8</v>
      </c>
      <c r="CJ533" s="27" t="s">
        <v>7</v>
      </c>
      <c r="CK533" s="27" t="s">
        <v>8</v>
      </c>
      <c r="CL533" s="27" t="s">
        <v>7</v>
      </c>
      <c r="CM533" s="27" t="s">
        <v>8</v>
      </c>
      <c r="CN533" s="27" t="s">
        <v>7</v>
      </c>
      <c r="CQ533" s="27" t="s">
        <v>8</v>
      </c>
      <c r="CR533" s="27" t="s">
        <v>7</v>
      </c>
      <c r="CS533" s="27" t="s">
        <v>8</v>
      </c>
      <c r="CT533" s="27" t="s">
        <v>7</v>
      </c>
      <c r="CU533" s="27" t="s">
        <v>8</v>
      </c>
      <c r="CV533" s="27" t="s">
        <v>7</v>
      </c>
      <c r="CX533" s="27" t="s">
        <v>7</v>
      </c>
      <c r="CY533" s="27" t="s">
        <v>8</v>
      </c>
      <c r="DA533" s="27" t="s">
        <v>8</v>
      </c>
      <c r="DP533" s="27" t="s">
        <v>7</v>
      </c>
      <c r="DR533" s="27" t="s">
        <v>7</v>
      </c>
      <c r="DU533" s="27" t="s">
        <v>8</v>
      </c>
      <c r="DV533" s="27" t="s">
        <v>7</v>
      </c>
      <c r="DW533" s="27" t="s">
        <v>8</v>
      </c>
      <c r="DX533" s="27" t="s">
        <v>7</v>
      </c>
      <c r="DY533" s="27" t="s">
        <v>8</v>
      </c>
      <c r="DZ533" s="27" t="s">
        <v>7</v>
      </c>
    </row>
    <row r="534" spans="1:134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CI534" s="27" t="s">
        <v>8</v>
      </c>
      <c r="CJ534" s="27" t="s">
        <v>7</v>
      </c>
      <c r="CK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CQ534" s="27" t="s">
        <v>8</v>
      </c>
      <c r="CR534" s="27" t="s">
        <v>7</v>
      </c>
      <c r="CT534" s="27" t="s">
        <v>7</v>
      </c>
      <c r="CX534" s="27" t="s">
        <v>7</v>
      </c>
      <c r="CY534" s="27" t="s">
        <v>8</v>
      </c>
      <c r="CZ534" s="27" t="s">
        <v>7</v>
      </c>
      <c r="DA534" s="27" t="s">
        <v>8</v>
      </c>
      <c r="DR534" s="27" t="s">
        <v>7</v>
      </c>
      <c r="DU534" s="27" t="s">
        <v>8</v>
      </c>
      <c r="DV534" s="27" t="s">
        <v>7</v>
      </c>
      <c r="DW534" s="27" t="s">
        <v>8</v>
      </c>
      <c r="DX534" s="27" t="s">
        <v>7</v>
      </c>
      <c r="DY534" s="27" t="s">
        <v>8</v>
      </c>
      <c r="DZ534" s="27" t="s">
        <v>7</v>
      </c>
    </row>
    <row r="535" spans="1:134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CI535" s="27" t="s">
        <v>8</v>
      </c>
      <c r="CJ535" s="27" t="s">
        <v>7</v>
      </c>
      <c r="CK535" s="27" t="s">
        <v>8</v>
      </c>
      <c r="CL535" s="27" t="s">
        <v>7</v>
      </c>
      <c r="CM535" s="27" t="s">
        <v>8</v>
      </c>
      <c r="CN535" s="27" t="s">
        <v>7</v>
      </c>
      <c r="CO535" s="27" t="s">
        <v>8</v>
      </c>
      <c r="CP535" s="27" t="s">
        <v>7</v>
      </c>
      <c r="CQ535" s="27" t="s">
        <v>8</v>
      </c>
      <c r="CX535" s="27" t="s">
        <v>7</v>
      </c>
      <c r="CY535" s="27" t="s">
        <v>8</v>
      </c>
      <c r="CZ535" s="27" t="s">
        <v>7</v>
      </c>
      <c r="DA535" s="27" t="s">
        <v>8</v>
      </c>
      <c r="DR535" s="27" t="s">
        <v>7</v>
      </c>
      <c r="DS535" s="27" t="s">
        <v>8</v>
      </c>
      <c r="DU535" s="27" t="s">
        <v>8</v>
      </c>
      <c r="DV535" s="27" t="s">
        <v>7</v>
      </c>
      <c r="DX535" s="27" t="s">
        <v>7</v>
      </c>
      <c r="DY535" s="27" t="s">
        <v>8</v>
      </c>
      <c r="DZ535" s="27" t="s">
        <v>7</v>
      </c>
    </row>
    <row r="536" spans="1:134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CI536" s="27" t="s">
        <v>8</v>
      </c>
      <c r="CJ536" s="27" t="s">
        <v>7</v>
      </c>
      <c r="CK536" s="27" t="s">
        <v>8</v>
      </c>
      <c r="CL536" s="27" t="s">
        <v>7</v>
      </c>
      <c r="CM536" s="27" t="s">
        <v>8</v>
      </c>
      <c r="CN536" s="27" t="s">
        <v>7</v>
      </c>
      <c r="CO536" s="27" t="s">
        <v>8</v>
      </c>
      <c r="CP536" s="27" t="s">
        <v>7</v>
      </c>
      <c r="CQ536" s="27" t="s">
        <v>8</v>
      </c>
      <c r="CX536" s="27" t="s">
        <v>7</v>
      </c>
      <c r="CY536" s="27" t="s">
        <v>8</v>
      </c>
      <c r="CZ536" s="27" t="s">
        <v>7</v>
      </c>
      <c r="DA536" s="27" t="s">
        <v>8</v>
      </c>
      <c r="DR536" s="27" t="s">
        <v>7</v>
      </c>
      <c r="DS536" s="27" t="s">
        <v>8</v>
      </c>
      <c r="DT536" s="27" t="s">
        <v>7</v>
      </c>
      <c r="DU536" s="27" t="s">
        <v>8</v>
      </c>
      <c r="DX536" s="27" t="s">
        <v>7</v>
      </c>
      <c r="DY536" s="27" t="s">
        <v>8</v>
      </c>
      <c r="DZ536" s="27" t="s">
        <v>7</v>
      </c>
    </row>
    <row r="537" spans="1:134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CI537" s="27" t="s">
        <v>8</v>
      </c>
      <c r="CJ537" s="27" t="s">
        <v>7</v>
      </c>
      <c r="CK537" s="27" t="s">
        <v>8</v>
      </c>
      <c r="CL537" s="27" t="s">
        <v>7</v>
      </c>
      <c r="CN537" s="27" t="s">
        <v>7</v>
      </c>
      <c r="CO537" s="27" t="s">
        <v>8</v>
      </c>
      <c r="CP537" s="27" t="s">
        <v>7</v>
      </c>
      <c r="CQ537" s="27" t="s">
        <v>8</v>
      </c>
      <c r="CX537" s="27" t="s">
        <v>7</v>
      </c>
      <c r="CZ537" s="27" t="s">
        <v>7</v>
      </c>
      <c r="DR537" s="27" t="s">
        <v>7</v>
      </c>
      <c r="DS537" s="27" t="s">
        <v>8</v>
      </c>
      <c r="DT537" s="27" t="s">
        <v>7</v>
      </c>
      <c r="DU537" s="27" t="s">
        <v>8</v>
      </c>
      <c r="DX537" s="27" t="s">
        <v>7</v>
      </c>
      <c r="DY537" s="27" t="s">
        <v>8</v>
      </c>
      <c r="DZ537" s="27" t="s">
        <v>7</v>
      </c>
    </row>
    <row r="538" spans="1:134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CI538" s="27" t="s">
        <v>8</v>
      </c>
      <c r="CJ538" s="27" t="s">
        <v>7</v>
      </c>
      <c r="CK538" s="27" t="s">
        <v>8</v>
      </c>
      <c r="CN538" s="27" t="s">
        <v>7</v>
      </c>
      <c r="CO538" s="27" t="s">
        <v>8</v>
      </c>
      <c r="CP538" s="27" t="s">
        <v>7</v>
      </c>
      <c r="CQ538" s="27" t="s">
        <v>8</v>
      </c>
      <c r="DR538" s="27" t="s">
        <v>7</v>
      </c>
      <c r="DS538" s="27" t="s">
        <v>8</v>
      </c>
      <c r="DT538" s="27" t="s">
        <v>7</v>
      </c>
      <c r="DX538" s="27" t="s">
        <v>7</v>
      </c>
      <c r="DZ538" s="27" t="s">
        <v>7</v>
      </c>
    </row>
    <row r="539" spans="1:134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CG539" s="27" t="s">
        <v>8</v>
      </c>
      <c r="CI539" s="27" t="s">
        <v>8</v>
      </c>
      <c r="CJ539" s="27" t="s">
        <v>7</v>
      </c>
      <c r="CN539" s="27" t="s">
        <v>7</v>
      </c>
      <c r="CO539" s="27" t="s">
        <v>8</v>
      </c>
      <c r="CP539" s="27" t="s">
        <v>7</v>
      </c>
      <c r="CQ539" s="27" t="s">
        <v>8</v>
      </c>
      <c r="DR539" s="27" t="s">
        <v>7</v>
      </c>
      <c r="DS539" s="27" t="s">
        <v>8</v>
      </c>
      <c r="DZ539" s="27" t="s">
        <v>7</v>
      </c>
    </row>
    <row r="540" spans="1:134" x14ac:dyDescent="0.25">
      <c r="A540" s="7">
        <v>2.53634351519552</v>
      </c>
      <c r="B540"/>
      <c r="C540"/>
      <c r="D540"/>
      <c r="E540" t="s">
        <v>8</v>
      </c>
      <c r="F540" s="27" t="s">
        <v>7</v>
      </c>
      <c r="CG540" s="27" t="s">
        <v>8</v>
      </c>
      <c r="CH540" s="27" t="s">
        <v>7</v>
      </c>
      <c r="CI540" s="27" t="s">
        <v>8</v>
      </c>
      <c r="CN540" s="27" t="s">
        <v>7</v>
      </c>
      <c r="CO540" s="27" t="s">
        <v>8</v>
      </c>
      <c r="CP540" s="27" t="s">
        <v>7</v>
      </c>
      <c r="CQ540" s="27" t="s">
        <v>8</v>
      </c>
      <c r="DR540" s="27" t="s">
        <v>7</v>
      </c>
      <c r="DZ540" s="27" t="s">
        <v>7</v>
      </c>
      <c r="EC540" s="27" t="s">
        <v>8</v>
      </c>
    </row>
    <row r="541" spans="1:134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AY541" s="27" t="s">
        <v>8</v>
      </c>
      <c r="CG541" s="27" t="s">
        <v>8</v>
      </c>
      <c r="CH541" s="27" t="s">
        <v>7</v>
      </c>
      <c r="CI541" s="27" t="s">
        <v>8</v>
      </c>
      <c r="CN541" s="27" t="s">
        <v>7</v>
      </c>
      <c r="CP541" s="27" t="s">
        <v>7</v>
      </c>
      <c r="DZ541" s="27" t="s">
        <v>7</v>
      </c>
      <c r="EA541" s="27" t="s">
        <v>8</v>
      </c>
      <c r="EC541" s="27" t="s">
        <v>8</v>
      </c>
      <c r="ED541" s="27" t="s">
        <v>7</v>
      </c>
    </row>
    <row r="542" spans="1:134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AY542" s="27" t="s">
        <v>8</v>
      </c>
      <c r="AZ542" s="27" t="s">
        <v>7</v>
      </c>
      <c r="CG542" s="27" t="s">
        <v>8</v>
      </c>
      <c r="CH542" s="27" t="s">
        <v>7</v>
      </c>
      <c r="CI542" s="27" t="s">
        <v>8</v>
      </c>
      <c r="DZ542" s="27" t="s">
        <v>7</v>
      </c>
      <c r="EA542" s="27" t="s">
        <v>8</v>
      </c>
      <c r="EB542" s="27" t="s">
        <v>7</v>
      </c>
      <c r="EC542" s="27" t="s">
        <v>8</v>
      </c>
      <c r="ED542" s="27" t="s">
        <v>7</v>
      </c>
    </row>
    <row r="543" spans="1:134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AY543" s="27" t="s">
        <v>8</v>
      </c>
      <c r="AZ543" s="27" t="s">
        <v>7</v>
      </c>
      <c r="CG543" s="27" t="s">
        <v>8</v>
      </c>
      <c r="CH543" s="27" t="s">
        <v>7</v>
      </c>
      <c r="CI543" s="27" t="s">
        <v>8</v>
      </c>
      <c r="DZ543" s="27" t="s">
        <v>7</v>
      </c>
      <c r="EA543" s="27" t="s">
        <v>8</v>
      </c>
      <c r="EB543" s="27" t="s">
        <v>7</v>
      </c>
      <c r="EC543" s="27" t="s">
        <v>8</v>
      </c>
      <c r="ED543" s="27" t="s">
        <v>7</v>
      </c>
    </row>
    <row r="544" spans="1:134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AY544" s="27" t="s">
        <v>8</v>
      </c>
      <c r="AZ544" s="27" t="s">
        <v>7</v>
      </c>
      <c r="CG544" s="27" t="s">
        <v>8</v>
      </c>
      <c r="CH544" s="27" t="s">
        <v>7</v>
      </c>
      <c r="CI544" s="27" t="s">
        <v>8</v>
      </c>
      <c r="DZ544" s="27" t="s">
        <v>7</v>
      </c>
      <c r="EA544" s="27" t="s">
        <v>8</v>
      </c>
      <c r="EB544" s="27" t="s">
        <v>7</v>
      </c>
      <c r="EC544" s="27" t="s">
        <v>8</v>
      </c>
      <c r="ED544" s="27" t="s">
        <v>7</v>
      </c>
    </row>
    <row r="545" spans="1:137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AY545" s="27" t="s">
        <v>8</v>
      </c>
      <c r="AZ545" s="27" t="s">
        <v>7</v>
      </c>
      <c r="BC545" s="27" t="s">
        <v>8</v>
      </c>
      <c r="CG545" s="27" t="s">
        <v>8</v>
      </c>
      <c r="CH545" s="27" t="s">
        <v>7</v>
      </c>
      <c r="CI545" s="27" t="s">
        <v>8</v>
      </c>
      <c r="DZ545" s="27" t="s">
        <v>7</v>
      </c>
      <c r="EA545" s="27" t="s">
        <v>8</v>
      </c>
      <c r="EB545" s="27" t="s">
        <v>7</v>
      </c>
      <c r="EC545" s="27" t="s">
        <v>8</v>
      </c>
      <c r="ED545" s="27" t="s">
        <v>7</v>
      </c>
      <c r="EE545" s="27" t="s">
        <v>8</v>
      </c>
    </row>
    <row r="546" spans="1:137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AY546" s="27" t="s">
        <v>8</v>
      </c>
      <c r="AZ546" s="27" t="s">
        <v>7</v>
      </c>
      <c r="BC546" s="27" t="s">
        <v>8</v>
      </c>
      <c r="BD546" s="27" t="s">
        <v>7</v>
      </c>
      <c r="BI546" s="27" t="s">
        <v>8</v>
      </c>
      <c r="CG546" s="27" t="s">
        <v>8</v>
      </c>
      <c r="CH546" s="27" t="s">
        <v>7</v>
      </c>
      <c r="CI546" s="27" t="s">
        <v>8</v>
      </c>
      <c r="DZ546" s="27" t="s">
        <v>7</v>
      </c>
      <c r="EA546" s="27" t="s">
        <v>8</v>
      </c>
      <c r="EB546" s="27" t="s">
        <v>7</v>
      </c>
      <c r="EC546" s="27" t="s">
        <v>8</v>
      </c>
      <c r="ED546" s="27" t="s">
        <v>7</v>
      </c>
      <c r="EE546" s="27" t="s">
        <v>8</v>
      </c>
      <c r="EF546" s="27" t="s">
        <v>7</v>
      </c>
    </row>
    <row r="547" spans="1:137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AY547" s="27" t="s">
        <v>8</v>
      </c>
      <c r="AZ547" s="27" t="s">
        <v>7</v>
      </c>
      <c r="BC547" s="27" t="s">
        <v>8</v>
      </c>
      <c r="BD547" s="27" t="s">
        <v>7</v>
      </c>
      <c r="BG547" s="27" t="s">
        <v>8</v>
      </c>
      <c r="BI547" s="27" t="s">
        <v>8</v>
      </c>
      <c r="BJ547" s="27" t="s">
        <v>7</v>
      </c>
      <c r="CG547" s="27" t="s">
        <v>8</v>
      </c>
      <c r="CH547" s="27" t="s">
        <v>7</v>
      </c>
      <c r="DZ547" s="27" t="s">
        <v>7</v>
      </c>
      <c r="EA547" s="27" t="s">
        <v>8</v>
      </c>
      <c r="EB547" s="27" t="s">
        <v>7</v>
      </c>
      <c r="EC547" s="27" t="s">
        <v>8</v>
      </c>
      <c r="ED547" s="27" t="s">
        <v>7</v>
      </c>
      <c r="EE547" s="27" t="s">
        <v>8</v>
      </c>
      <c r="EF547" s="27" t="s">
        <v>7</v>
      </c>
    </row>
    <row r="548" spans="1:137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I548" s="27" t="s">
        <v>8</v>
      </c>
      <c r="AY548" s="27" t="s">
        <v>8</v>
      </c>
      <c r="AZ548" s="27" t="s">
        <v>7</v>
      </c>
      <c r="BC548" s="27" t="s">
        <v>8</v>
      </c>
      <c r="BD548" s="27" t="s">
        <v>7</v>
      </c>
      <c r="BG548" s="27" t="s">
        <v>8</v>
      </c>
      <c r="BH548" s="27" t="s">
        <v>7</v>
      </c>
      <c r="BI548" s="27" t="s">
        <v>8</v>
      </c>
      <c r="BJ548" s="27" t="s">
        <v>7</v>
      </c>
      <c r="CE548" s="27" t="s">
        <v>8</v>
      </c>
      <c r="CG548" s="27" t="s">
        <v>8</v>
      </c>
      <c r="DZ548" s="27" t="s">
        <v>7</v>
      </c>
      <c r="EA548" s="27" t="s">
        <v>8</v>
      </c>
      <c r="EB548" s="27" t="s">
        <v>7</v>
      </c>
      <c r="EC548" s="27" t="s">
        <v>8</v>
      </c>
      <c r="ED548" s="27" t="s">
        <v>7</v>
      </c>
      <c r="EE548" s="27" t="s">
        <v>8</v>
      </c>
      <c r="EF548" s="27" t="s">
        <v>7</v>
      </c>
    </row>
    <row r="549" spans="1:137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I549" s="27" t="s">
        <v>8</v>
      </c>
      <c r="J549" s="27" t="s">
        <v>7</v>
      </c>
      <c r="AY549" s="27" t="s">
        <v>8</v>
      </c>
      <c r="AZ549" s="27" t="s">
        <v>7</v>
      </c>
      <c r="BC549" s="27" t="s">
        <v>8</v>
      </c>
      <c r="BD549" s="27" t="s">
        <v>7</v>
      </c>
      <c r="BG549" s="27" t="s">
        <v>8</v>
      </c>
      <c r="BH549" s="27" t="s">
        <v>7</v>
      </c>
      <c r="BI549" s="27" t="s">
        <v>8</v>
      </c>
      <c r="BJ549" s="27" t="s">
        <v>7</v>
      </c>
      <c r="CC549" s="27" t="s">
        <v>8</v>
      </c>
      <c r="CE549" s="27" t="s">
        <v>8</v>
      </c>
      <c r="CF549" s="27" t="s">
        <v>7</v>
      </c>
      <c r="CG549" s="27" t="s">
        <v>8</v>
      </c>
      <c r="DZ549" s="27" t="s">
        <v>7</v>
      </c>
      <c r="EB549" s="27" t="s">
        <v>7</v>
      </c>
      <c r="EC549" s="27" t="s">
        <v>8</v>
      </c>
      <c r="ED549" s="27" t="s">
        <v>7</v>
      </c>
      <c r="EE549" s="27" t="s">
        <v>8</v>
      </c>
      <c r="EF549" s="27" t="s">
        <v>7</v>
      </c>
    </row>
    <row r="550" spans="1:137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J550" s="27" t="s">
        <v>7</v>
      </c>
      <c r="AY550" s="27" t="s">
        <v>8</v>
      </c>
      <c r="AZ550" s="27" t="s">
        <v>7</v>
      </c>
      <c r="BC550" s="27" t="s">
        <v>8</v>
      </c>
      <c r="BD550" s="27" t="s">
        <v>7</v>
      </c>
      <c r="BG550" s="27" t="s">
        <v>8</v>
      </c>
      <c r="BH550" s="27" t="s">
        <v>7</v>
      </c>
      <c r="BI550" s="27" t="s">
        <v>8</v>
      </c>
      <c r="BJ550" s="27" t="s">
        <v>7</v>
      </c>
      <c r="CA550" s="27" t="s">
        <v>8</v>
      </c>
      <c r="CC550" s="27" t="s">
        <v>8</v>
      </c>
      <c r="CD550" s="27" t="s">
        <v>7</v>
      </c>
      <c r="CE550" s="27" t="s">
        <v>8</v>
      </c>
      <c r="CF550" s="27" t="s">
        <v>7</v>
      </c>
      <c r="CG550" s="27" t="s">
        <v>8</v>
      </c>
      <c r="EB550" s="27" t="s">
        <v>7</v>
      </c>
      <c r="ED550" s="27" t="s">
        <v>7</v>
      </c>
      <c r="EF550" s="27" t="s">
        <v>7</v>
      </c>
    </row>
    <row r="551" spans="1:137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I551" s="27" t="s">
        <v>8</v>
      </c>
      <c r="J551" s="27" t="s">
        <v>7</v>
      </c>
      <c r="K551" s="27" t="s">
        <v>8</v>
      </c>
      <c r="AY551" s="27" t="s">
        <v>8</v>
      </c>
      <c r="AZ551" s="27" t="s">
        <v>7</v>
      </c>
      <c r="BC551" s="27" t="s">
        <v>8</v>
      </c>
      <c r="BD551" s="27" t="s">
        <v>7</v>
      </c>
      <c r="BG551" s="27" t="s">
        <v>8</v>
      </c>
      <c r="BH551" s="27" t="s">
        <v>7</v>
      </c>
      <c r="BI551" s="27" t="s">
        <v>8</v>
      </c>
      <c r="BJ551" s="27" t="s">
        <v>7</v>
      </c>
      <c r="CA551" s="27" t="s">
        <v>8</v>
      </c>
      <c r="CB551" s="27" t="s">
        <v>7</v>
      </c>
      <c r="CC551" s="27" t="s">
        <v>8</v>
      </c>
      <c r="CD551" s="27" t="s">
        <v>7</v>
      </c>
      <c r="CE551" s="27" t="s">
        <v>8</v>
      </c>
      <c r="CF551" s="27" t="s">
        <v>7</v>
      </c>
      <c r="CG551" s="27" t="s">
        <v>8</v>
      </c>
      <c r="EF551" s="27" t="s">
        <v>7</v>
      </c>
    </row>
    <row r="552" spans="1:137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H552" s="27" t="s">
        <v>7</v>
      </c>
      <c r="I552" s="27" t="s">
        <v>8</v>
      </c>
      <c r="J552" s="27" t="s">
        <v>7</v>
      </c>
      <c r="K552" s="27" t="s">
        <v>8</v>
      </c>
      <c r="L552" s="27" t="s">
        <v>7</v>
      </c>
      <c r="AY552" s="27" t="s">
        <v>8</v>
      </c>
      <c r="AZ552" s="27" t="s">
        <v>7</v>
      </c>
      <c r="BC552" s="27" t="s">
        <v>8</v>
      </c>
      <c r="BD552" s="27" t="s">
        <v>7</v>
      </c>
      <c r="BG552" s="27" t="s">
        <v>8</v>
      </c>
      <c r="BH552" s="27" t="s">
        <v>7</v>
      </c>
      <c r="BI552" s="27" t="s">
        <v>8</v>
      </c>
      <c r="BJ552" s="27" t="s">
        <v>7</v>
      </c>
      <c r="BK552" s="27" t="s">
        <v>8</v>
      </c>
      <c r="CA552" s="27" t="s">
        <v>8</v>
      </c>
      <c r="CB552" s="27" t="s">
        <v>7</v>
      </c>
      <c r="CC552" s="27" t="s">
        <v>8</v>
      </c>
      <c r="CD552" s="27" t="s">
        <v>7</v>
      </c>
      <c r="CE552" s="27" t="s">
        <v>8</v>
      </c>
      <c r="CF552" s="27" t="s">
        <v>7</v>
      </c>
      <c r="CG552" s="27" t="s">
        <v>8</v>
      </c>
      <c r="EF552" s="27" t="s">
        <v>7</v>
      </c>
    </row>
    <row r="553" spans="1:137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H553" s="27" t="s">
        <v>7</v>
      </c>
      <c r="I553" s="27" t="s">
        <v>8</v>
      </c>
      <c r="J553" s="27" t="s">
        <v>7</v>
      </c>
      <c r="K553" s="27" t="s">
        <v>8</v>
      </c>
      <c r="L553" s="27" t="s">
        <v>7</v>
      </c>
      <c r="AY553" s="27" t="s">
        <v>8</v>
      </c>
      <c r="AZ553" s="27" t="s">
        <v>7</v>
      </c>
      <c r="BC553" s="27" t="s">
        <v>8</v>
      </c>
      <c r="BD553" s="27" t="s">
        <v>7</v>
      </c>
      <c r="BE553" s="27" t="s">
        <v>8</v>
      </c>
      <c r="BG553" s="27" t="s">
        <v>8</v>
      </c>
      <c r="BH553" s="27" t="s">
        <v>7</v>
      </c>
      <c r="BI553" s="27" t="s">
        <v>8</v>
      </c>
      <c r="BJ553" s="27" t="s">
        <v>7</v>
      </c>
      <c r="BK553" s="27" t="s">
        <v>8</v>
      </c>
      <c r="BL553" s="27" t="s">
        <v>7</v>
      </c>
      <c r="BY553" s="27" t="s">
        <v>8</v>
      </c>
      <c r="CA553" s="27" t="s">
        <v>8</v>
      </c>
      <c r="CB553" s="27" t="s">
        <v>7</v>
      </c>
      <c r="CC553" s="27" t="s">
        <v>8</v>
      </c>
      <c r="CD553" s="27" t="s">
        <v>7</v>
      </c>
      <c r="CF553" s="27" t="s">
        <v>7</v>
      </c>
      <c r="EF553" s="27" t="s">
        <v>7</v>
      </c>
    </row>
    <row r="554" spans="1:137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I554" s="27" t="s">
        <v>8</v>
      </c>
      <c r="J554" s="27" t="s">
        <v>7</v>
      </c>
      <c r="K554" s="27" t="s">
        <v>8</v>
      </c>
      <c r="L554" s="27" t="s">
        <v>7</v>
      </c>
      <c r="AS554" s="27" t="s">
        <v>8</v>
      </c>
      <c r="AY554" s="27" t="s">
        <v>8</v>
      </c>
      <c r="AZ554" s="27" t="s">
        <v>7</v>
      </c>
      <c r="BA554" s="27" t="s">
        <v>8</v>
      </c>
      <c r="BC554" s="27" t="s">
        <v>8</v>
      </c>
      <c r="BD554" s="27" t="s">
        <v>7</v>
      </c>
      <c r="BE554" s="27" t="s">
        <v>8</v>
      </c>
      <c r="BF554" s="27" t="s">
        <v>7</v>
      </c>
      <c r="BG554" s="27" t="s">
        <v>8</v>
      </c>
      <c r="BH554" s="27" t="s">
        <v>7</v>
      </c>
      <c r="BI554" s="27" t="s">
        <v>8</v>
      </c>
      <c r="BJ554" s="27" t="s">
        <v>7</v>
      </c>
      <c r="BK554" s="27" t="s">
        <v>8</v>
      </c>
      <c r="BL554" s="27" t="s">
        <v>7</v>
      </c>
      <c r="BO554" s="27" t="s">
        <v>8</v>
      </c>
      <c r="BY554" s="27" t="s">
        <v>8</v>
      </c>
      <c r="BZ554" s="27" t="s">
        <v>7</v>
      </c>
      <c r="CA554" s="27" t="s">
        <v>8</v>
      </c>
      <c r="CB554" s="27" t="s">
        <v>7</v>
      </c>
      <c r="CC554" s="27" t="s">
        <v>8</v>
      </c>
      <c r="EF554" s="27" t="s">
        <v>7</v>
      </c>
    </row>
    <row r="555" spans="1:137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H555" s="27" t="s">
        <v>7</v>
      </c>
      <c r="I555" s="27" t="s">
        <v>8</v>
      </c>
      <c r="J555" s="27" t="s">
        <v>7</v>
      </c>
      <c r="K555" s="27" t="s">
        <v>8</v>
      </c>
      <c r="L555" s="27" t="s">
        <v>7</v>
      </c>
      <c r="AS555" s="27" t="s">
        <v>8</v>
      </c>
      <c r="AT555" s="27" t="s">
        <v>7</v>
      </c>
      <c r="AY555" s="27" t="s">
        <v>8</v>
      </c>
      <c r="AZ555" s="27" t="s">
        <v>7</v>
      </c>
      <c r="BA555" s="27" t="s">
        <v>8</v>
      </c>
      <c r="BB555" s="27" t="s">
        <v>7</v>
      </c>
      <c r="BC555" s="27" t="s">
        <v>8</v>
      </c>
      <c r="BD555" s="27" t="s">
        <v>7</v>
      </c>
      <c r="BE555" s="27" t="s">
        <v>8</v>
      </c>
      <c r="BF555" s="27" t="s">
        <v>7</v>
      </c>
      <c r="BG555" s="27" t="s">
        <v>8</v>
      </c>
      <c r="BH555" s="27" t="s">
        <v>7</v>
      </c>
      <c r="BJ555" s="27" t="s">
        <v>7</v>
      </c>
      <c r="BK555" s="27" t="s">
        <v>8</v>
      </c>
      <c r="BL555" s="27" t="s">
        <v>7</v>
      </c>
      <c r="BO555" s="27" t="s">
        <v>8</v>
      </c>
      <c r="BP555" s="27" t="s">
        <v>7</v>
      </c>
      <c r="BQ555" s="27" t="s">
        <v>8</v>
      </c>
      <c r="BY555" s="27" t="s">
        <v>8</v>
      </c>
      <c r="BZ555" s="27" t="s">
        <v>7</v>
      </c>
      <c r="CA555" s="27" t="s">
        <v>8</v>
      </c>
      <c r="CB555" s="27" t="s">
        <v>7</v>
      </c>
      <c r="CC555" s="27" t="s">
        <v>8</v>
      </c>
      <c r="EF555" s="27" t="s">
        <v>7</v>
      </c>
    </row>
    <row r="556" spans="1:137" x14ac:dyDescent="0.25">
      <c r="A556" s="7">
        <v>1.8475888157854219</v>
      </c>
      <c r="B556"/>
      <c r="C556"/>
      <c r="D556"/>
      <c r="E556" t="s">
        <v>8</v>
      </c>
      <c r="H556" s="27" t="s">
        <v>7</v>
      </c>
      <c r="I556" s="27" t="s">
        <v>8</v>
      </c>
      <c r="J556" s="27" t="s">
        <v>7</v>
      </c>
      <c r="K556" s="27" t="s">
        <v>8</v>
      </c>
      <c r="L556" s="27" t="s">
        <v>7</v>
      </c>
      <c r="AS556" s="27" t="s">
        <v>8</v>
      </c>
      <c r="AT556" s="27" t="s">
        <v>7</v>
      </c>
      <c r="AY556" s="27" t="s">
        <v>8</v>
      </c>
      <c r="AZ556" s="27" t="s">
        <v>7</v>
      </c>
      <c r="BA556" s="27" t="s">
        <v>8</v>
      </c>
      <c r="BB556" s="27" t="s">
        <v>7</v>
      </c>
      <c r="BC556" s="27" t="s">
        <v>8</v>
      </c>
      <c r="BD556" s="27" t="s">
        <v>7</v>
      </c>
      <c r="BE556" s="27" t="s">
        <v>8</v>
      </c>
      <c r="BF556" s="27" t="s">
        <v>7</v>
      </c>
      <c r="BG556" s="27" t="s">
        <v>8</v>
      </c>
      <c r="BJ556" s="27" t="s">
        <v>7</v>
      </c>
      <c r="BK556" s="27" t="s">
        <v>8</v>
      </c>
      <c r="BL556" s="27" t="s">
        <v>7</v>
      </c>
      <c r="BM556" s="27" t="s">
        <v>8</v>
      </c>
      <c r="BO556" s="27" t="s">
        <v>8</v>
      </c>
      <c r="BP556" s="27" t="s">
        <v>7</v>
      </c>
      <c r="BQ556" s="27" t="s">
        <v>8</v>
      </c>
      <c r="BR556" s="27" t="s">
        <v>7</v>
      </c>
      <c r="BY556" s="27" t="s">
        <v>8</v>
      </c>
      <c r="BZ556" s="27" t="s">
        <v>7</v>
      </c>
      <c r="CA556" s="27" t="s">
        <v>8</v>
      </c>
      <c r="CB556" s="27" t="s">
        <v>7</v>
      </c>
      <c r="CC556" s="27" t="s">
        <v>8</v>
      </c>
      <c r="EF556" s="27" t="s">
        <v>7</v>
      </c>
    </row>
    <row r="557" spans="1:137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I557" s="27" t="s">
        <v>8</v>
      </c>
      <c r="J557" s="27" t="s">
        <v>7</v>
      </c>
      <c r="K557" s="27" t="s">
        <v>8</v>
      </c>
      <c r="L557" s="27" t="s">
        <v>7</v>
      </c>
      <c r="AS557" s="27" t="s">
        <v>8</v>
      </c>
      <c r="AT557" s="27" t="s">
        <v>7</v>
      </c>
      <c r="AY557" s="27" t="s">
        <v>8</v>
      </c>
      <c r="AZ557" s="27" t="s">
        <v>7</v>
      </c>
      <c r="BA557" s="27" t="s">
        <v>8</v>
      </c>
      <c r="BB557" s="27" t="s">
        <v>7</v>
      </c>
      <c r="BC557" s="27" t="s">
        <v>8</v>
      </c>
      <c r="BD557" s="27" t="s">
        <v>7</v>
      </c>
      <c r="BE557" s="27" t="s">
        <v>8</v>
      </c>
      <c r="BF557" s="27" t="s">
        <v>7</v>
      </c>
      <c r="BG557" s="27" t="s">
        <v>8</v>
      </c>
      <c r="BJ557" s="27" t="s">
        <v>7</v>
      </c>
      <c r="BK557" s="27" t="s">
        <v>8</v>
      </c>
      <c r="BL557" s="27" t="s">
        <v>7</v>
      </c>
      <c r="BM557" s="27" t="s">
        <v>8</v>
      </c>
      <c r="BN557" s="27" t="s">
        <v>7</v>
      </c>
      <c r="BO557" s="27" t="s">
        <v>8</v>
      </c>
      <c r="BP557" s="27" t="s">
        <v>7</v>
      </c>
      <c r="BQ557" s="27" t="s">
        <v>8</v>
      </c>
      <c r="BR557" s="27" t="s">
        <v>7</v>
      </c>
      <c r="BY557" s="27" t="s">
        <v>8</v>
      </c>
      <c r="BZ557" s="27" t="s">
        <v>7</v>
      </c>
      <c r="CA557" s="27" t="s">
        <v>8</v>
      </c>
      <c r="CB557" s="27" t="s">
        <v>7</v>
      </c>
      <c r="EF557" s="27" t="s">
        <v>7</v>
      </c>
    </row>
    <row r="558" spans="1:137" x14ac:dyDescent="0.25">
      <c r="A558" s="7">
        <v>1.7758446902974065</v>
      </c>
      <c r="B558"/>
      <c r="C558"/>
      <c r="D558"/>
      <c r="E558" t="s">
        <v>8</v>
      </c>
      <c r="H558" s="27" t="s">
        <v>7</v>
      </c>
      <c r="I558" s="27" t="s">
        <v>8</v>
      </c>
      <c r="J558" s="27" t="s">
        <v>7</v>
      </c>
      <c r="K558" s="27" t="s">
        <v>8</v>
      </c>
      <c r="L558" s="27" t="s">
        <v>7</v>
      </c>
      <c r="AS558" s="27" t="s">
        <v>8</v>
      </c>
      <c r="AT558" s="27" t="s">
        <v>7</v>
      </c>
      <c r="AY558" s="27" t="s">
        <v>8</v>
      </c>
      <c r="AZ558" s="27" t="s">
        <v>7</v>
      </c>
      <c r="BA558" s="27" t="s">
        <v>8</v>
      </c>
      <c r="BB558" s="27" t="s">
        <v>7</v>
      </c>
      <c r="BD558" s="27" t="s">
        <v>7</v>
      </c>
      <c r="BE558" s="27" t="s">
        <v>8</v>
      </c>
      <c r="BF558" s="27" t="s">
        <v>7</v>
      </c>
      <c r="BJ558" s="27" t="s">
        <v>7</v>
      </c>
      <c r="BK558" s="27" t="s">
        <v>8</v>
      </c>
      <c r="BL558" s="27" t="s">
        <v>7</v>
      </c>
      <c r="BM558" s="27" t="s">
        <v>8</v>
      </c>
      <c r="BN558" s="27" t="s">
        <v>7</v>
      </c>
      <c r="BO558" s="27" t="s">
        <v>8</v>
      </c>
      <c r="BP558" s="27" t="s">
        <v>7</v>
      </c>
      <c r="BR558" s="27" t="s">
        <v>7</v>
      </c>
      <c r="BY558" s="27" t="s">
        <v>8</v>
      </c>
      <c r="BZ558" s="27" t="s">
        <v>7</v>
      </c>
      <c r="EF558" s="27" t="s">
        <v>7</v>
      </c>
    </row>
    <row r="559" spans="1:137" x14ac:dyDescent="0.25">
      <c r="A559" s="7">
        <v>1.7410242061739281</v>
      </c>
      <c r="B559"/>
      <c r="C559"/>
      <c r="D559"/>
      <c r="E559" t="s">
        <v>8</v>
      </c>
      <c r="H559" s="27" t="s">
        <v>7</v>
      </c>
      <c r="I559" s="27" t="s">
        <v>8</v>
      </c>
      <c r="J559" s="27" t="s">
        <v>7</v>
      </c>
      <c r="K559" s="27" t="s">
        <v>8</v>
      </c>
      <c r="L559" s="27" t="s">
        <v>7</v>
      </c>
      <c r="AS559" s="27" t="s">
        <v>8</v>
      </c>
      <c r="AT559" s="27" t="s">
        <v>7</v>
      </c>
      <c r="AY559" s="27" t="s">
        <v>8</v>
      </c>
      <c r="AZ559" s="27" t="s">
        <v>7</v>
      </c>
      <c r="BA559" s="27" t="s">
        <v>8</v>
      </c>
      <c r="BD559" s="27" t="s">
        <v>7</v>
      </c>
      <c r="BE559" s="27" t="s">
        <v>8</v>
      </c>
      <c r="BJ559" s="27" t="s">
        <v>7</v>
      </c>
      <c r="BK559" s="27" t="s">
        <v>8</v>
      </c>
      <c r="BL559" s="27" t="s">
        <v>7</v>
      </c>
      <c r="BM559" s="27" t="s">
        <v>8</v>
      </c>
      <c r="BN559" s="27" t="s">
        <v>7</v>
      </c>
      <c r="BO559" s="27" t="s">
        <v>8</v>
      </c>
      <c r="BR559" s="27" t="s">
        <v>7</v>
      </c>
      <c r="BY559" s="27" t="s">
        <v>8</v>
      </c>
      <c r="EF559" s="27" t="s">
        <v>7</v>
      </c>
    </row>
    <row r="560" spans="1:137" x14ac:dyDescent="0.25">
      <c r="A560" s="7">
        <v>1.7068864766411058</v>
      </c>
      <c r="B560"/>
      <c r="C560"/>
      <c r="D560"/>
      <c r="E560" t="s">
        <v>8</v>
      </c>
      <c r="H560" s="27" t="s">
        <v>7</v>
      </c>
      <c r="I560" s="27" t="s">
        <v>8</v>
      </c>
      <c r="J560" s="27" t="s">
        <v>7</v>
      </c>
      <c r="K560" s="27" t="s">
        <v>8</v>
      </c>
      <c r="L560" s="27" t="s">
        <v>7</v>
      </c>
      <c r="AS560" s="27" t="s">
        <v>8</v>
      </c>
      <c r="AT560" s="27" t="s">
        <v>7</v>
      </c>
      <c r="AY560" s="27" t="s">
        <v>8</v>
      </c>
      <c r="AZ560" s="27" t="s">
        <v>7</v>
      </c>
      <c r="BA560" s="27" t="s">
        <v>8</v>
      </c>
      <c r="BD560" s="27" t="s">
        <v>7</v>
      </c>
      <c r="BJ560" s="27" t="s">
        <v>7</v>
      </c>
      <c r="BK560" s="27" t="s">
        <v>8</v>
      </c>
      <c r="BL560" s="27" t="s">
        <v>7</v>
      </c>
      <c r="BN560" s="27" t="s">
        <v>7</v>
      </c>
      <c r="BO560" s="27" t="s">
        <v>8</v>
      </c>
      <c r="BR560" s="27" t="s">
        <v>7</v>
      </c>
      <c r="BY560" s="27" t="s">
        <v>8</v>
      </c>
      <c r="EF560" s="27" t="s">
        <v>7</v>
      </c>
      <c r="EG560" s="27" t="s">
        <v>8</v>
      </c>
    </row>
    <row r="561" spans="1:140" x14ac:dyDescent="0.25">
      <c r="A561" s="7">
        <v>1.6734181143540252</v>
      </c>
      <c r="B561"/>
      <c r="C561"/>
      <c r="D561"/>
      <c r="E561" t="s">
        <v>8</v>
      </c>
      <c r="H561" s="27" t="s">
        <v>7</v>
      </c>
      <c r="I561" s="27" t="s">
        <v>8</v>
      </c>
      <c r="J561" s="27" t="s">
        <v>7</v>
      </c>
      <c r="K561" s="27" t="s">
        <v>8</v>
      </c>
      <c r="L561" s="27" t="s">
        <v>7</v>
      </c>
      <c r="Q561" s="27" t="s">
        <v>8</v>
      </c>
      <c r="AS561" s="27" t="s">
        <v>8</v>
      </c>
      <c r="AT561" s="27" t="s">
        <v>7</v>
      </c>
      <c r="AY561" s="27" t="s">
        <v>8</v>
      </c>
      <c r="AZ561" s="27" t="s">
        <v>7</v>
      </c>
      <c r="BJ561" s="27" t="s">
        <v>7</v>
      </c>
      <c r="BK561" s="27" t="s">
        <v>8</v>
      </c>
      <c r="BN561" s="27" t="s">
        <v>7</v>
      </c>
      <c r="BO561" s="27" t="s">
        <v>8</v>
      </c>
      <c r="BR561" s="27" t="s">
        <v>7</v>
      </c>
      <c r="BY561" s="27" t="s">
        <v>8</v>
      </c>
      <c r="EF561" s="27" t="s">
        <v>7</v>
      </c>
      <c r="EG561" s="27" t="s">
        <v>8</v>
      </c>
      <c r="EH561" s="27" t="s">
        <v>7</v>
      </c>
    </row>
    <row r="562" spans="1:140" x14ac:dyDescent="0.25">
      <c r="A562" s="7">
        <v>1.6406059944647307</v>
      </c>
      <c r="B562"/>
      <c r="C562"/>
      <c r="D562"/>
      <c r="E562" t="s">
        <v>8</v>
      </c>
      <c r="H562" s="27" t="s">
        <v>7</v>
      </c>
      <c r="I562" s="27" t="s">
        <v>8</v>
      </c>
      <c r="J562" s="27" t="s">
        <v>7</v>
      </c>
      <c r="K562" s="27" t="s">
        <v>8</v>
      </c>
      <c r="L562" s="27" t="s">
        <v>7</v>
      </c>
      <c r="Q562" s="27" t="s">
        <v>8</v>
      </c>
      <c r="R562" s="27" t="s">
        <v>7</v>
      </c>
      <c r="AS562" s="27" t="s">
        <v>8</v>
      </c>
      <c r="AT562" s="27" t="s">
        <v>7</v>
      </c>
      <c r="AW562" s="27" t="s">
        <v>8</v>
      </c>
      <c r="AY562" s="27" t="s">
        <v>8</v>
      </c>
      <c r="BJ562" s="27" t="s">
        <v>7</v>
      </c>
      <c r="BK562" s="27" t="s">
        <v>8</v>
      </c>
      <c r="BN562" s="27" t="s">
        <v>7</v>
      </c>
      <c r="BR562" s="27" t="s">
        <v>7</v>
      </c>
      <c r="BS562" s="27" t="s">
        <v>8</v>
      </c>
      <c r="BU562" s="27" t="s">
        <v>8</v>
      </c>
      <c r="BY562" s="27" t="s">
        <v>8</v>
      </c>
      <c r="EF562" s="27" t="s">
        <v>7</v>
      </c>
      <c r="EG562" s="27" t="s">
        <v>8</v>
      </c>
      <c r="EH562" s="27" t="s">
        <v>7</v>
      </c>
      <c r="EI562" s="27" t="s">
        <v>8</v>
      </c>
    </row>
    <row r="563" spans="1:140" x14ac:dyDescent="0.25">
      <c r="A563" s="7">
        <v>1.6084372494752261</v>
      </c>
      <c r="B563"/>
      <c r="C563"/>
      <c r="D563"/>
      <c r="E563" t="s">
        <v>8</v>
      </c>
      <c r="H563" s="27" t="s">
        <v>7</v>
      </c>
      <c r="I563" s="27" t="s">
        <v>8</v>
      </c>
      <c r="J563" s="27" t="s">
        <v>7</v>
      </c>
      <c r="K563" s="27" t="s">
        <v>8</v>
      </c>
      <c r="L563" s="27" t="s">
        <v>7</v>
      </c>
      <c r="M563" s="27" t="s">
        <v>8</v>
      </c>
      <c r="Q563" s="27" t="s">
        <v>8</v>
      </c>
      <c r="R563" s="27" t="s">
        <v>7</v>
      </c>
      <c r="AS563" s="27" t="s">
        <v>8</v>
      </c>
      <c r="AT563" s="27" t="s">
        <v>7</v>
      </c>
      <c r="AU563" s="27" t="s">
        <v>8</v>
      </c>
      <c r="AW563" s="27" t="s">
        <v>8</v>
      </c>
      <c r="AX563" s="27" t="s">
        <v>7</v>
      </c>
      <c r="AY563" s="27" t="s">
        <v>8</v>
      </c>
      <c r="BJ563" s="27" t="s">
        <v>7</v>
      </c>
      <c r="BK563" s="27" t="s">
        <v>8</v>
      </c>
      <c r="BR563" s="27" t="s">
        <v>7</v>
      </c>
      <c r="BS563" s="27" t="s">
        <v>8</v>
      </c>
      <c r="BT563" s="27" t="s">
        <v>7</v>
      </c>
      <c r="BU563" s="27" t="s">
        <v>8</v>
      </c>
      <c r="BV563" s="27" t="s">
        <v>7</v>
      </c>
      <c r="BW563" s="27" t="s">
        <v>8</v>
      </c>
      <c r="BY563" s="27" t="s">
        <v>8</v>
      </c>
      <c r="EF563" s="27" t="s">
        <v>7</v>
      </c>
      <c r="EG563" s="27" t="s">
        <v>8</v>
      </c>
      <c r="EH563" s="27" t="s">
        <v>7</v>
      </c>
      <c r="EI563" s="27" t="s">
        <v>8</v>
      </c>
      <c r="EJ563" s="27" t="s">
        <v>7</v>
      </c>
    </row>
    <row r="564" spans="1:140" x14ac:dyDescent="0.25">
      <c r="A564" s="7">
        <v>1.5768992641913981</v>
      </c>
      <c r="B564"/>
      <c r="C564"/>
      <c r="D564"/>
      <c r="E564" t="s">
        <v>8</v>
      </c>
      <c r="H564" s="27" t="s">
        <v>7</v>
      </c>
      <c r="I564" s="27" t="s">
        <v>8</v>
      </c>
      <c r="J564" s="27" t="s">
        <v>7</v>
      </c>
      <c r="K564" s="27" t="s">
        <v>8</v>
      </c>
      <c r="L564" s="27" t="s">
        <v>7</v>
      </c>
      <c r="M564" s="27" t="s">
        <v>8</v>
      </c>
      <c r="N564" s="27" t="s">
        <v>7</v>
      </c>
      <c r="Q564" s="27" t="s">
        <v>8</v>
      </c>
      <c r="R564" s="27" t="s">
        <v>7</v>
      </c>
      <c r="AS564" s="27" t="s">
        <v>8</v>
      </c>
      <c r="AT564" s="27" t="s">
        <v>7</v>
      </c>
      <c r="AU564" s="27" t="s">
        <v>8</v>
      </c>
      <c r="AV564" s="27" t="s">
        <v>7</v>
      </c>
      <c r="AW564" s="27" t="s">
        <v>8</v>
      </c>
      <c r="AX564" s="27" t="s">
        <v>7</v>
      </c>
      <c r="AY564" s="27" t="s">
        <v>8</v>
      </c>
      <c r="BJ564" s="27" t="s">
        <v>7</v>
      </c>
      <c r="BK564" s="27" t="s">
        <v>8</v>
      </c>
      <c r="BR564" s="27" t="s">
        <v>7</v>
      </c>
      <c r="BS564" s="27" t="s">
        <v>8</v>
      </c>
      <c r="BT564" s="27" t="s">
        <v>7</v>
      </c>
      <c r="BU564" s="27" t="s">
        <v>8</v>
      </c>
      <c r="BV564" s="27" t="s">
        <v>7</v>
      </c>
      <c r="BW564" s="27" t="s">
        <v>8</v>
      </c>
      <c r="BX564" s="27" t="s">
        <v>7</v>
      </c>
      <c r="BY564" s="27" t="s">
        <v>8</v>
      </c>
      <c r="EF564" s="27" t="s">
        <v>7</v>
      </c>
      <c r="EG564" s="27" t="s">
        <v>8</v>
      </c>
      <c r="EH564" s="27" t="s">
        <v>7</v>
      </c>
      <c r="EI564" s="27" t="s">
        <v>8</v>
      </c>
      <c r="EJ564" s="27" t="s">
        <v>7</v>
      </c>
    </row>
    <row r="565" spans="1:140" x14ac:dyDescent="0.25">
      <c r="A565" s="7">
        <v>1.5459796707758806</v>
      </c>
      <c r="B565"/>
      <c r="C565"/>
      <c r="D565"/>
      <c r="E565" t="s">
        <v>8</v>
      </c>
      <c r="H565" s="27" t="s">
        <v>7</v>
      </c>
      <c r="I565" s="27" t="s">
        <v>8</v>
      </c>
      <c r="J565" s="27" t="s">
        <v>7</v>
      </c>
      <c r="L565" s="27" t="s">
        <v>7</v>
      </c>
      <c r="M565" s="27" t="s">
        <v>8</v>
      </c>
      <c r="N565" s="27" t="s">
        <v>7</v>
      </c>
      <c r="Q565" s="27" t="s">
        <v>8</v>
      </c>
      <c r="R565" s="27" t="s">
        <v>7</v>
      </c>
      <c r="AS565" s="27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AY565" s="27" t="s">
        <v>8</v>
      </c>
      <c r="BJ565" s="27" t="s">
        <v>7</v>
      </c>
      <c r="BK565" s="27" t="s">
        <v>8</v>
      </c>
      <c r="BR565" s="27" t="s">
        <v>7</v>
      </c>
      <c r="BS565" s="27" t="s">
        <v>8</v>
      </c>
      <c r="BT565" s="27" t="s">
        <v>7</v>
      </c>
      <c r="BU565" s="27" t="s">
        <v>8</v>
      </c>
      <c r="BV565" s="27" t="s">
        <v>7</v>
      </c>
      <c r="BW565" s="27" t="s">
        <v>8</v>
      </c>
      <c r="BX565" s="27" t="s">
        <v>7</v>
      </c>
      <c r="BY565" s="27" t="s">
        <v>8</v>
      </c>
      <c r="EF565" s="27" t="s">
        <v>7</v>
      </c>
      <c r="EG565" s="27" t="s">
        <v>8</v>
      </c>
      <c r="EH565" s="27" t="s">
        <v>7</v>
      </c>
      <c r="EI565" s="27" t="s">
        <v>8</v>
      </c>
      <c r="EJ565" s="27" t="s">
        <v>7</v>
      </c>
    </row>
    <row r="566" spans="1:140" x14ac:dyDescent="0.25">
      <c r="A566" s="7">
        <v>1.5156663438979221</v>
      </c>
      <c r="B566"/>
      <c r="C566"/>
      <c r="D566"/>
      <c r="E566" t="s">
        <v>8</v>
      </c>
      <c r="H566" s="27" t="s">
        <v>7</v>
      </c>
      <c r="I566" s="27" t="s">
        <v>8</v>
      </c>
      <c r="L566" s="27" t="s">
        <v>7</v>
      </c>
      <c r="M566" s="27" t="s">
        <v>8</v>
      </c>
      <c r="N566" s="27" t="s">
        <v>7</v>
      </c>
      <c r="Q566" s="27" t="s">
        <v>8</v>
      </c>
      <c r="R566" s="27" t="s">
        <v>7</v>
      </c>
      <c r="AS566" s="27" t="s">
        <v>8</v>
      </c>
      <c r="AT566" s="27" t="s">
        <v>7</v>
      </c>
      <c r="AU566" s="27" t="s">
        <v>8</v>
      </c>
      <c r="AV566" s="27" t="s">
        <v>7</v>
      </c>
      <c r="AW566" s="27" t="s">
        <v>8</v>
      </c>
      <c r="AX566" s="27" t="s">
        <v>7</v>
      </c>
      <c r="AY566" s="27" t="s">
        <v>8</v>
      </c>
      <c r="BJ566" s="27" t="s">
        <v>7</v>
      </c>
      <c r="BK566" s="27" t="s">
        <v>8</v>
      </c>
      <c r="BR566" s="27" t="s">
        <v>7</v>
      </c>
      <c r="BS566" s="27" t="s">
        <v>8</v>
      </c>
      <c r="BT566" s="27" t="s">
        <v>7</v>
      </c>
      <c r="BU566" s="27" t="s">
        <v>8</v>
      </c>
      <c r="BV566" s="27" t="s">
        <v>7</v>
      </c>
      <c r="BW566" s="27" t="s">
        <v>8</v>
      </c>
      <c r="BX566" s="27" t="s">
        <v>7</v>
      </c>
      <c r="BY566" s="27" t="s">
        <v>8</v>
      </c>
      <c r="EF566" s="27" t="s">
        <v>7</v>
      </c>
      <c r="EG566" s="27" t="s">
        <v>8</v>
      </c>
      <c r="EH566" s="27" t="s">
        <v>7</v>
      </c>
      <c r="EI566" s="27" t="s">
        <v>8</v>
      </c>
      <c r="EJ566" s="27" t="s">
        <v>7</v>
      </c>
    </row>
    <row r="567" spans="1:140" x14ac:dyDescent="0.25">
      <c r="A567" s="7">
        <v>1.4859473959783549</v>
      </c>
      <c r="B567"/>
      <c r="C567"/>
      <c r="D567"/>
      <c r="E567" t="s">
        <v>8</v>
      </c>
      <c r="H567" s="27" t="s">
        <v>7</v>
      </c>
      <c r="I567" s="27" t="s">
        <v>8</v>
      </c>
      <c r="L567" s="27" t="s">
        <v>7</v>
      </c>
      <c r="M567" s="27" t="s">
        <v>8</v>
      </c>
      <c r="N567" s="27" t="s">
        <v>7</v>
      </c>
      <c r="O567" s="27" t="s">
        <v>8</v>
      </c>
      <c r="Q567" s="27" t="s">
        <v>8</v>
      </c>
      <c r="R567" s="27" t="s">
        <v>7</v>
      </c>
      <c r="W567" s="27" t="s">
        <v>8</v>
      </c>
      <c r="AS567" s="27" t="s">
        <v>8</v>
      </c>
      <c r="AT567" s="27" t="s">
        <v>7</v>
      </c>
      <c r="AU567" s="27" t="s">
        <v>8</v>
      </c>
      <c r="AV567" s="27" t="s">
        <v>7</v>
      </c>
      <c r="AW567" s="27" t="s">
        <v>8</v>
      </c>
      <c r="AX567" s="27" t="s">
        <v>7</v>
      </c>
      <c r="BJ567" s="27" t="s">
        <v>7</v>
      </c>
      <c r="BK567" s="27" t="s">
        <v>8</v>
      </c>
      <c r="BR567" s="27" t="s">
        <v>7</v>
      </c>
      <c r="BS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BY567" s="27" t="s">
        <v>8</v>
      </c>
      <c r="EF567" s="27" t="s">
        <v>7</v>
      </c>
      <c r="EG567" s="27" t="s">
        <v>8</v>
      </c>
      <c r="EH567" s="27" t="s">
        <v>7</v>
      </c>
      <c r="EI567" s="27" t="s">
        <v>8</v>
      </c>
    </row>
    <row r="568" spans="1:140" x14ac:dyDescent="0.25">
      <c r="A568" s="7">
        <v>1.4568111725277988</v>
      </c>
      <c r="B568"/>
      <c r="C568"/>
      <c r="D568"/>
      <c r="E568" t="s">
        <v>8</v>
      </c>
      <c r="H568" s="27" t="s">
        <v>7</v>
      </c>
      <c r="I568" s="27" t="s">
        <v>8</v>
      </c>
      <c r="L568" s="27" t="s">
        <v>7</v>
      </c>
      <c r="M568" s="27" t="s">
        <v>8</v>
      </c>
      <c r="N568" s="27" t="s">
        <v>7</v>
      </c>
      <c r="O568" s="27" t="s">
        <v>8</v>
      </c>
      <c r="P568" s="27" t="s">
        <v>7</v>
      </c>
      <c r="Q568" s="27" t="s">
        <v>8</v>
      </c>
      <c r="R568" s="27" t="s">
        <v>7</v>
      </c>
      <c r="W568" s="27" t="s">
        <v>8</v>
      </c>
      <c r="X568" s="27" t="s">
        <v>7</v>
      </c>
      <c r="AS568" s="27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BJ568" s="27" t="s">
        <v>7</v>
      </c>
      <c r="BK568" s="27" t="s">
        <v>8</v>
      </c>
      <c r="BR568" s="27" t="s">
        <v>7</v>
      </c>
      <c r="BS568" s="27" t="s">
        <v>8</v>
      </c>
      <c r="BT568" s="27" t="s">
        <v>7</v>
      </c>
      <c r="BU568" s="27" t="s">
        <v>8</v>
      </c>
      <c r="BV568" s="27" t="s">
        <v>7</v>
      </c>
      <c r="BW568" s="27" t="s">
        <v>8</v>
      </c>
      <c r="BX568" s="27" t="s">
        <v>7</v>
      </c>
      <c r="BY568" s="27" t="s">
        <v>8</v>
      </c>
      <c r="EF568" s="27" t="s">
        <v>7</v>
      </c>
      <c r="EG568" s="27" t="s">
        <v>8</v>
      </c>
      <c r="EH568" s="27" t="s">
        <v>7</v>
      </c>
      <c r="EI568" s="27" t="s">
        <v>8</v>
      </c>
    </row>
    <row r="569" spans="1:140" x14ac:dyDescent="0.25">
      <c r="A569" s="7">
        <v>1.4282462475762734</v>
      </c>
      <c r="B569"/>
      <c r="C569"/>
      <c r="D569"/>
      <c r="E569" t="s">
        <v>8</v>
      </c>
      <c r="H569" s="27" t="s">
        <v>7</v>
      </c>
      <c r="I569" s="27" t="s">
        <v>8</v>
      </c>
      <c r="L569" s="27" t="s">
        <v>7</v>
      </c>
      <c r="M569" s="27" t="s">
        <v>8</v>
      </c>
      <c r="N569" s="27" t="s">
        <v>7</v>
      </c>
      <c r="O569" s="27" t="s">
        <v>8</v>
      </c>
      <c r="P569" s="27" t="s">
        <v>7</v>
      </c>
      <c r="Q569" s="27" t="s">
        <v>8</v>
      </c>
      <c r="R569" s="27" t="s">
        <v>7</v>
      </c>
      <c r="W569" s="27" t="s">
        <v>8</v>
      </c>
      <c r="X569" s="27" t="s">
        <v>7</v>
      </c>
      <c r="Y569" s="27" t="s">
        <v>8</v>
      </c>
      <c r="AS569" s="27" t="s">
        <v>8</v>
      </c>
      <c r="AT569" s="27" t="s">
        <v>7</v>
      </c>
      <c r="AU569" s="27" t="s">
        <v>8</v>
      </c>
      <c r="AV569" s="27" t="s">
        <v>7</v>
      </c>
      <c r="BJ569" s="27" t="s">
        <v>7</v>
      </c>
      <c r="BK569" s="27" t="s">
        <v>8</v>
      </c>
      <c r="BR569" s="27" t="s">
        <v>7</v>
      </c>
      <c r="BS569" s="27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  <c r="EF569" s="27" t="s">
        <v>7</v>
      </c>
      <c r="EG569" s="27" t="s">
        <v>8</v>
      </c>
      <c r="EH569" s="27" t="s">
        <v>7</v>
      </c>
      <c r="EI569" s="27" t="s">
        <v>8</v>
      </c>
    </row>
    <row r="570" spans="1:140" x14ac:dyDescent="0.25">
      <c r="A570" s="7">
        <v>1.4002414191924248</v>
      </c>
      <c r="B570"/>
      <c r="C570"/>
      <c r="D570"/>
      <c r="E570" t="s">
        <v>8</v>
      </c>
      <c r="H570" s="27" t="s">
        <v>7</v>
      </c>
      <c r="I570" s="27" t="s">
        <v>8</v>
      </c>
      <c r="L570" s="27" t="s">
        <v>7</v>
      </c>
      <c r="N570" s="27" t="s">
        <v>7</v>
      </c>
      <c r="O570" s="27" t="s">
        <v>8</v>
      </c>
      <c r="P570" s="27" t="s">
        <v>7</v>
      </c>
      <c r="Q570" s="27" t="s">
        <v>8</v>
      </c>
      <c r="R570" s="27" t="s">
        <v>7</v>
      </c>
      <c r="W570" s="27" t="s">
        <v>8</v>
      </c>
      <c r="X570" s="27" t="s">
        <v>7</v>
      </c>
      <c r="Y570" s="27" t="s">
        <v>8</v>
      </c>
      <c r="Z570" s="27" t="s">
        <v>7</v>
      </c>
      <c r="AS570" s="27" t="s">
        <v>8</v>
      </c>
      <c r="AT570" s="27" t="s">
        <v>7</v>
      </c>
      <c r="BJ570" s="27" t="s">
        <v>7</v>
      </c>
      <c r="BR570" s="27" t="s">
        <v>7</v>
      </c>
      <c r="BT570" s="27" t="s">
        <v>7</v>
      </c>
      <c r="BV570" s="27" t="s">
        <v>7</v>
      </c>
      <c r="BW570" s="27" t="s">
        <v>8</v>
      </c>
      <c r="EF570" s="27" t="s">
        <v>7</v>
      </c>
      <c r="EG570" s="27" t="s">
        <v>8</v>
      </c>
      <c r="EH570" s="27" t="s">
        <v>7</v>
      </c>
      <c r="EI570" s="27" t="s">
        <v>8</v>
      </c>
    </row>
    <row r="571" spans="1:140" x14ac:dyDescent="0.25">
      <c r="A571" s="7">
        <v>1.3727857050906125</v>
      </c>
      <c r="B571"/>
      <c r="C571"/>
      <c r="D571"/>
      <c r="E571" t="s">
        <v>8</v>
      </c>
      <c r="H571" s="27" t="s">
        <v>7</v>
      </c>
      <c r="I571" s="27" t="s">
        <v>8</v>
      </c>
      <c r="N571" s="27" t="s">
        <v>7</v>
      </c>
      <c r="O571" s="27" t="s">
        <v>8</v>
      </c>
      <c r="P571" s="27" t="s">
        <v>7</v>
      </c>
      <c r="Q571" s="27" t="s">
        <v>8</v>
      </c>
      <c r="R571" s="27" t="s">
        <v>7</v>
      </c>
      <c r="W571" s="27" t="s">
        <v>8</v>
      </c>
      <c r="X571" s="27" t="s">
        <v>7</v>
      </c>
      <c r="Y571" s="27" t="s">
        <v>8</v>
      </c>
      <c r="Z571" s="27" t="s">
        <v>7</v>
      </c>
      <c r="AS571" s="27" t="s">
        <v>8</v>
      </c>
      <c r="BV571" s="27" t="s">
        <v>7</v>
      </c>
      <c r="EF571" s="27" t="s">
        <v>7</v>
      </c>
      <c r="EG571" s="27" t="s">
        <v>8</v>
      </c>
      <c r="EH571" s="27" t="s">
        <v>7</v>
      </c>
    </row>
    <row r="572" spans="1:140" x14ac:dyDescent="0.25">
      <c r="A572" s="7">
        <v>1.3458683383241299</v>
      </c>
      <c r="B572"/>
      <c r="C572"/>
      <c r="D572"/>
      <c r="E572" t="s">
        <v>8</v>
      </c>
      <c r="H572" s="27" t="s">
        <v>7</v>
      </c>
      <c r="I572" s="27" t="s">
        <v>8</v>
      </c>
      <c r="N572" s="27" t="s">
        <v>7</v>
      </c>
      <c r="O572" s="27" t="s">
        <v>8</v>
      </c>
      <c r="P572" s="27" t="s">
        <v>7</v>
      </c>
      <c r="Q572" s="27" t="s">
        <v>8</v>
      </c>
      <c r="R572" s="27" t="s">
        <v>7</v>
      </c>
      <c r="W572" s="27" t="s">
        <v>8</v>
      </c>
      <c r="X572" s="27" t="s">
        <v>7</v>
      </c>
      <c r="Y572" s="27" t="s">
        <v>8</v>
      </c>
      <c r="Z572" s="27" t="s">
        <v>7</v>
      </c>
      <c r="AQ572" s="27" t="s">
        <v>8</v>
      </c>
      <c r="AS572" s="27" t="s">
        <v>8</v>
      </c>
      <c r="EF572" s="27" t="s">
        <v>7</v>
      </c>
      <c r="EG572" s="27" t="s">
        <v>8</v>
      </c>
    </row>
    <row r="573" spans="1:140" x14ac:dyDescent="0.25">
      <c r="A573" s="7">
        <v>1.3194787630628724</v>
      </c>
      <c r="B573"/>
      <c r="C573"/>
      <c r="D573"/>
      <c r="E573" t="s">
        <v>8</v>
      </c>
      <c r="H573" s="27" t="s">
        <v>7</v>
      </c>
      <c r="N573" s="27" t="s">
        <v>7</v>
      </c>
      <c r="O573" s="27" t="s">
        <v>8</v>
      </c>
      <c r="P573" s="27" t="s">
        <v>7</v>
      </c>
      <c r="Q573" s="27" t="s">
        <v>8</v>
      </c>
      <c r="R573" s="27" t="s">
        <v>7</v>
      </c>
      <c r="W573" s="27" t="s">
        <v>8</v>
      </c>
      <c r="X573" s="27" t="s">
        <v>7</v>
      </c>
      <c r="Y573" s="27" t="s">
        <v>8</v>
      </c>
      <c r="Z573" s="27" t="s">
        <v>7</v>
      </c>
      <c r="AQ573" s="27" t="s">
        <v>8</v>
      </c>
      <c r="AR573" s="27" t="s">
        <v>7</v>
      </c>
      <c r="AS573" s="27" t="s">
        <v>8</v>
      </c>
      <c r="EF573" s="27" t="s">
        <v>7</v>
      </c>
    </row>
    <row r="574" spans="1:140" x14ac:dyDescent="0.25">
      <c r="A574" s="7">
        <v>1.2936066304537963</v>
      </c>
      <c r="B574"/>
      <c r="C574"/>
      <c r="D574"/>
      <c r="E574" t="s">
        <v>8</v>
      </c>
      <c r="N574" s="27" t="s">
        <v>7</v>
      </c>
      <c r="O574" s="27" t="s">
        <v>8</v>
      </c>
      <c r="P574" s="27" t="s">
        <v>7</v>
      </c>
      <c r="Q574" s="27" t="s">
        <v>8</v>
      </c>
      <c r="R574" s="27" t="s">
        <v>7</v>
      </c>
      <c r="W574" s="27" t="s">
        <v>8</v>
      </c>
      <c r="X574" s="27" t="s">
        <v>7</v>
      </c>
      <c r="Y574" s="27" t="s">
        <v>8</v>
      </c>
      <c r="Z574" s="27" t="s">
        <v>7</v>
      </c>
      <c r="AQ574" s="27" t="s">
        <v>8</v>
      </c>
      <c r="AR574" s="27" t="s">
        <v>7</v>
      </c>
      <c r="AS574" s="27" t="s">
        <v>8</v>
      </c>
    </row>
    <row r="575" spans="1:140" x14ac:dyDescent="0.25">
      <c r="A575" s="7">
        <v>1.2682417945625455</v>
      </c>
      <c r="B575"/>
      <c r="C575"/>
      <c r="D575"/>
      <c r="E575" t="s">
        <v>8</v>
      </c>
      <c r="N575" s="27" t="s">
        <v>7</v>
      </c>
      <c r="P575" s="27" t="s">
        <v>7</v>
      </c>
      <c r="Q575" s="27" t="s">
        <v>8</v>
      </c>
      <c r="R575" s="27" t="s">
        <v>7</v>
      </c>
      <c r="W575" s="27" t="s">
        <v>8</v>
      </c>
      <c r="X575" s="27" t="s">
        <v>7</v>
      </c>
      <c r="Y575" s="27" t="s">
        <v>8</v>
      </c>
      <c r="Z575" s="27" t="s">
        <v>7</v>
      </c>
      <c r="AQ575" s="27" t="s">
        <v>8</v>
      </c>
      <c r="AR575" s="27" t="s">
        <v>7</v>
      </c>
      <c r="AS575" s="27" t="s">
        <v>8</v>
      </c>
    </row>
    <row r="576" spans="1:140" x14ac:dyDescent="0.25">
      <c r="A576" s="7">
        <v>1.2433743083946525</v>
      </c>
      <c r="B576"/>
      <c r="C576"/>
      <c r="D576"/>
      <c r="E576" t="s">
        <v>8</v>
      </c>
      <c r="P576" s="27" t="s">
        <v>7</v>
      </c>
      <c r="Q576" s="27" t="s">
        <v>8</v>
      </c>
      <c r="R576" s="27" t="s">
        <v>7</v>
      </c>
      <c r="S576" s="27" t="s">
        <v>8</v>
      </c>
      <c r="W576" s="27" t="s">
        <v>8</v>
      </c>
      <c r="X576" s="27" t="s">
        <v>7</v>
      </c>
      <c r="Y576" s="27" t="s">
        <v>8</v>
      </c>
      <c r="Z576" s="27" t="s">
        <v>7</v>
      </c>
      <c r="AM576" s="27" t="s">
        <v>8</v>
      </c>
      <c r="AQ576" s="27" t="s">
        <v>8</v>
      </c>
      <c r="AR576" s="27" t="s">
        <v>7</v>
      </c>
    </row>
    <row r="577" spans="1:43" x14ac:dyDescent="0.25">
      <c r="A577" s="7">
        <v>1.2189944199947573</v>
      </c>
      <c r="B577"/>
      <c r="C577"/>
      <c r="D577"/>
      <c r="E577" t="s">
        <v>8</v>
      </c>
      <c r="P577" s="27" t="s">
        <v>7</v>
      </c>
      <c r="Q577" s="27" t="s">
        <v>8</v>
      </c>
      <c r="R577" s="27" t="s">
        <v>7</v>
      </c>
      <c r="S577" s="27" t="s">
        <v>8</v>
      </c>
      <c r="T577" s="27" t="s">
        <v>7</v>
      </c>
      <c r="W577" s="27" t="s">
        <v>8</v>
      </c>
      <c r="X577" s="27" t="s">
        <v>7</v>
      </c>
      <c r="Y577" s="27" t="s">
        <v>8</v>
      </c>
      <c r="Z577" s="27" t="s">
        <v>7</v>
      </c>
      <c r="AK577" s="27" t="s">
        <v>8</v>
      </c>
      <c r="AM577" s="27" t="s">
        <v>8</v>
      </c>
      <c r="AN577" s="27" t="s">
        <v>7</v>
      </c>
      <c r="AQ577" s="27" t="s">
        <v>8</v>
      </c>
    </row>
    <row r="578" spans="1:43" x14ac:dyDescent="0.25">
      <c r="A578" s="7">
        <v>1.1950925686223111</v>
      </c>
      <c r="B578"/>
      <c r="C578"/>
      <c r="D578"/>
      <c r="E578" t="s">
        <v>8</v>
      </c>
      <c r="P578" s="27" t="s">
        <v>7</v>
      </c>
      <c r="R578" s="27" t="s">
        <v>7</v>
      </c>
      <c r="S578" s="27" t="s">
        <v>8</v>
      </c>
      <c r="T578" s="27" t="s">
        <v>7</v>
      </c>
      <c r="W578" s="27" t="s">
        <v>8</v>
      </c>
      <c r="X578" s="27" t="s">
        <v>7</v>
      </c>
      <c r="Z578" s="27" t="s">
        <v>7</v>
      </c>
      <c r="AK578" s="27" t="s">
        <v>8</v>
      </c>
      <c r="AL578" s="27" t="s">
        <v>7</v>
      </c>
      <c r="AM578" s="27" t="s">
        <v>8</v>
      </c>
      <c r="AN578" s="27" t="s">
        <v>7</v>
      </c>
      <c r="AO578" s="27" t="s">
        <v>8</v>
      </c>
      <c r="AQ578" s="27" t="s">
        <v>8</v>
      </c>
    </row>
    <row r="579" spans="1:43" x14ac:dyDescent="0.25">
      <c r="A579" s="7">
        <v>1.1716593810022657</v>
      </c>
      <c r="B579"/>
      <c r="C579"/>
      <c r="D579"/>
      <c r="E579" t="s">
        <v>8</v>
      </c>
      <c r="R579" s="27" t="s">
        <v>7</v>
      </c>
      <c r="S579" s="27" t="s">
        <v>8</v>
      </c>
      <c r="T579" s="27" t="s">
        <v>7</v>
      </c>
      <c r="U579" s="27" t="s">
        <v>8</v>
      </c>
      <c r="W579" s="27" t="s">
        <v>8</v>
      </c>
      <c r="Z579" s="27" t="s">
        <v>7</v>
      </c>
      <c r="AK579" s="27" t="s">
        <v>8</v>
      </c>
      <c r="AL579" s="27" t="s">
        <v>7</v>
      </c>
      <c r="AM579" s="27" t="s">
        <v>8</v>
      </c>
      <c r="AN579" s="27" t="s">
        <v>7</v>
      </c>
      <c r="AO579" s="27" t="s">
        <v>8</v>
      </c>
      <c r="AP579" s="27" t="s">
        <v>7</v>
      </c>
      <c r="AQ579" s="27" t="s">
        <v>8</v>
      </c>
    </row>
    <row r="580" spans="1:43" x14ac:dyDescent="0.25">
      <c r="A580" s="7">
        <v>1.14868566764928</v>
      </c>
      <c r="B580"/>
      <c r="C580"/>
      <c r="D580"/>
      <c r="E580" t="s">
        <v>8</v>
      </c>
      <c r="R580" s="27" t="s">
        <v>7</v>
      </c>
      <c r="S580" s="27" t="s">
        <v>8</v>
      </c>
      <c r="T580" s="27" t="s">
        <v>7</v>
      </c>
      <c r="U580" s="27" t="s">
        <v>8</v>
      </c>
      <c r="V580" s="27" t="s">
        <v>7</v>
      </c>
      <c r="W580" s="27" t="s">
        <v>8</v>
      </c>
      <c r="Z580" s="27" t="s">
        <v>7</v>
      </c>
      <c r="AK580" s="27" t="s">
        <v>8</v>
      </c>
      <c r="AL580" s="27" t="s">
        <v>7</v>
      </c>
      <c r="AM580" s="27" t="s">
        <v>8</v>
      </c>
      <c r="AN580" s="27" t="s">
        <v>7</v>
      </c>
      <c r="AO580" s="27" t="s">
        <v>8</v>
      </c>
      <c r="AP580" s="27" t="s">
        <v>7</v>
      </c>
      <c r="AQ580" s="27" t="s">
        <v>8</v>
      </c>
    </row>
    <row r="581" spans="1:43" x14ac:dyDescent="0.25">
      <c r="A581" s="7">
        <v>1.1261624192640001</v>
      </c>
      <c r="B581"/>
      <c r="C581"/>
      <c r="D581"/>
      <c r="E581" t="s">
        <v>8</v>
      </c>
      <c r="R581" s="27" t="s">
        <v>7</v>
      </c>
      <c r="S581" s="27" t="s">
        <v>8</v>
      </c>
      <c r="T581" s="27" t="s">
        <v>7</v>
      </c>
      <c r="U581" s="27" t="s">
        <v>8</v>
      </c>
      <c r="V581" s="27" t="s">
        <v>7</v>
      </c>
      <c r="W581" s="27" t="s">
        <v>8</v>
      </c>
      <c r="Z581" s="27" t="s">
        <v>7</v>
      </c>
      <c r="AK581" s="27" t="s">
        <v>8</v>
      </c>
      <c r="AL581" s="27" t="s">
        <v>7</v>
      </c>
      <c r="AM581" s="27" t="s">
        <v>8</v>
      </c>
      <c r="AN581" s="27" t="s">
        <v>7</v>
      </c>
      <c r="AP581" s="27" t="s">
        <v>7</v>
      </c>
    </row>
    <row r="582" spans="1:43" x14ac:dyDescent="0.25">
      <c r="A582" s="7">
        <v>1.1040808032</v>
      </c>
      <c r="B582"/>
      <c r="C582"/>
      <c r="D582"/>
      <c r="E582" t="s">
        <v>8</v>
      </c>
      <c r="R582" s="27" t="s">
        <v>7</v>
      </c>
      <c r="S582" s="27" t="s">
        <v>8</v>
      </c>
      <c r="T582" s="27" t="s">
        <v>7</v>
      </c>
      <c r="U582" s="27" t="s">
        <v>8</v>
      </c>
      <c r="V582" s="27" t="s">
        <v>7</v>
      </c>
      <c r="W582" s="27" t="s">
        <v>8</v>
      </c>
      <c r="Z582" s="27" t="s">
        <v>7</v>
      </c>
      <c r="AI582" s="27" t="s">
        <v>8</v>
      </c>
      <c r="AK582" s="27" t="s">
        <v>8</v>
      </c>
      <c r="AL582" s="27" t="s">
        <v>7</v>
      </c>
    </row>
    <row r="583" spans="1:43" x14ac:dyDescent="0.25">
      <c r="A583" s="7">
        <v>1.08243216</v>
      </c>
      <c r="B583"/>
      <c r="C583"/>
      <c r="D583"/>
      <c r="E583" t="s">
        <v>8</v>
      </c>
      <c r="R583" s="27" t="s">
        <v>7</v>
      </c>
      <c r="S583" s="27" t="s">
        <v>8</v>
      </c>
      <c r="T583" s="27" t="s">
        <v>7</v>
      </c>
      <c r="U583" s="27" t="s">
        <v>8</v>
      </c>
      <c r="V583" s="27" t="s">
        <v>7</v>
      </c>
      <c r="W583" s="27" t="s">
        <v>8</v>
      </c>
      <c r="Z583" s="27" t="s">
        <v>7</v>
      </c>
      <c r="AA583" s="27" t="s">
        <v>8</v>
      </c>
      <c r="AI583" s="27" t="s">
        <v>8</v>
      </c>
      <c r="AJ583" s="27" t="s">
        <v>7</v>
      </c>
      <c r="AK583" s="27" t="s">
        <v>8</v>
      </c>
    </row>
    <row r="584" spans="1:43" x14ac:dyDescent="0.25">
      <c r="A584" s="7">
        <v>1.0612079999999999</v>
      </c>
      <c r="B584"/>
      <c r="C584"/>
      <c r="D584"/>
      <c r="E584" t="s">
        <v>8</v>
      </c>
      <c r="R584" s="27" t="s">
        <v>7</v>
      </c>
      <c r="S584" s="27" t="s">
        <v>8</v>
      </c>
      <c r="T584" s="27" t="s">
        <v>7</v>
      </c>
      <c r="U584" s="27" t="s">
        <v>8</v>
      </c>
      <c r="V584" s="27" t="s">
        <v>7</v>
      </c>
      <c r="W584" s="27" t="s">
        <v>8</v>
      </c>
      <c r="Z584" s="27" t="s">
        <v>7</v>
      </c>
      <c r="AA584" s="27" t="s">
        <v>8</v>
      </c>
      <c r="AB584" s="27" t="s">
        <v>7</v>
      </c>
      <c r="AI584" s="27" t="s">
        <v>8</v>
      </c>
      <c r="AJ584" s="27" t="s">
        <v>7</v>
      </c>
      <c r="AK584" s="27" t="s">
        <v>8</v>
      </c>
    </row>
    <row r="585" spans="1:43" x14ac:dyDescent="0.25">
      <c r="A585" s="7">
        <v>1.0404</v>
      </c>
      <c r="B585"/>
      <c r="C585"/>
      <c r="D585"/>
      <c r="E585" t="s">
        <v>8</v>
      </c>
      <c r="R585" s="27" t="s">
        <v>7</v>
      </c>
      <c r="S585" s="27" t="s">
        <v>8</v>
      </c>
      <c r="T585" s="27" t="s">
        <v>7</v>
      </c>
      <c r="U585" s="27" t="s">
        <v>8</v>
      </c>
      <c r="V585" s="27" t="s">
        <v>7</v>
      </c>
      <c r="W585" s="27" t="s">
        <v>8</v>
      </c>
      <c r="Z585" s="27" t="s">
        <v>7</v>
      </c>
      <c r="AA585" s="27" t="s">
        <v>8</v>
      </c>
      <c r="AB585" s="27" t="s">
        <v>7</v>
      </c>
      <c r="AI585" s="27" t="s">
        <v>8</v>
      </c>
      <c r="AJ585" s="27" t="s">
        <v>7</v>
      </c>
      <c r="AK585" s="27" t="s">
        <v>8</v>
      </c>
    </row>
    <row r="586" spans="1:43" x14ac:dyDescent="0.25">
      <c r="A586" s="7">
        <v>1.02</v>
      </c>
      <c r="B586"/>
      <c r="C586"/>
      <c r="D586"/>
      <c r="E586" t="s">
        <v>8</v>
      </c>
      <c r="R586" s="27" t="s">
        <v>7</v>
      </c>
      <c r="S586" s="27" t="s">
        <v>8</v>
      </c>
      <c r="T586" s="27" t="s">
        <v>7</v>
      </c>
      <c r="U586" s="27" t="s">
        <v>8</v>
      </c>
      <c r="V586" s="27" t="s">
        <v>7</v>
      </c>
      <c r="W586" s="27" t="s">
        <v>8</v>
      </c>
      <c r="Z586" s="27" t="s">
        <v>7</v>
      </c>
      <c r="AA586" s="27" t="s">
        <v>8</v>
      </c>
      <c r="AB586" s="27" t="s">
        <v>7</v>
      </c>
      <c r="AC586" s="27" t="s">
        <v>8</v>
      </c>
      <c r="AI586" s="27" t="s">
        <v>8</v>
      </c>
      <c r="AJ586" s="27" t="s">
        <v>7</v>
      </c>
      <c r="AK586" s="27" t="s">
        <v>8</v>
      </c>
    </row>
    <row r="587" spans="1:43" x14ac:dyDescent="0.25">
      <c r="A587" s="7">
        <v>1</v>
      </c>
      <c r="B587"/>
      <c r="C587"/>
      <c r="D587"/>
      <c r="E587" s="29" t="s">
        <v>8</v>
      </c>
      <c r="R587" s="27" t="s">
        <v>7</v>
      </c>
      <c r="S587" s="27" t="s">
        <v>8</v>
      </c>
      <c r="T587" s="27" t="s">
        <v>7</v>
      </c>
      <c r="U587" s="27" t="s">
        <v>8</v>
      </c>
      <c r="V587" s="27" t="s">
        <v>7</v>
      </c>
      <c r="W587" s="27" t="s">
        <v>8</v>
      </c>
      <c r="Z587" s="27" t="s">
        <v>7</v>
      </c>
      <c r="AB587" s="27" t="s">
        <v>7</v>
      </c>
      <c r="AC587" s="27" t="s">
        <v>8</v>
      </c>
      <c r="AD587" s="27" t="s">
        <v>7</v>
      </c>
      <c r="AI587" s="27" t="s">
        <v>8</v>
      </c>
      <c r="AJ587" s="27" t="s">
        <v>7</v>
      </c>
      <c r="AK587" s="27" t="s">
        <v>8</v>
      </c>
    </row>
    <row r="588" spans="1:43" x14ac:dyDescent="0.25">
      <c r="A588" s="7">
        <v>0.98039215686274506</v>
      </c>
      <c r="B588"/>
      <c r="C588"/>
      <c r="D588"/>
      <c r="E588"/>
      <c r="R588" s="27" t="s">
        <v>7</v>
      </c>
      <c r="S588" s="27" t="s">
        <v>8</v>
      </c>
      <c r="T588" s="27" t="s">
        <v>7</v>
      </c>
      <c r="U588" s="27" t="s">
        <v>8</v>
      </c>
      <c r="V588" s="27" t="s">
        <v>7</v>
      </c>
      <c r="AB588" s="27" t="s">
        <v>7</v>
      </c>
      <c r="AC588" s="27" t="s">
        <v>8</v>
      </c>
      <c r="AD588" s="27" t="s">
        <v>7</v>
      </c>
      <c r="AE588" s="27" t="s">
        <v>8</v>
      </c>
      <c r="AG588" s="27" t="s">
        <v>8</v>
      </c>
      <c r="AI588" s="27" t="s">
        <v>8</v>
      </c>
      <c r="AJ588" s="27" t="s">
        <v>7</v>
      </c>
      <c r="AK588" s="27" t="s">
        <v>8</v>
      </c>
    </row>
    <row r="589" spans="1:43" x14ac:dyDescent="0.25">
      <c r="A589" s="7">
        <v>0.96116878123798544</v>
      </c>
      <c r="B589"/>
      <c r="C589"/>
      <c r="D589"/>
      <c r="E589"/>
      <c r="R589" s="27" t="s">
        <v>7</v>
      </c>
      <c r="S589" s="27" t="s">
        <v>8</v>
      </c>
      <c r="T589" s="27" t="s">
        <v>7</v>
      </c>
      <c r="U589" s="27" t="s">
        <v>8</v>
      </c>
      <c r="AB589" s="27" t="s">
        <v>7</v>
      </c>
      <c r="AC589" s="27" t="s">
        <v>8</v>
      </c>
      <c r="AD589" s="27" t="s">
        <v>7</v>
      </c>
      <c r="AE589" s="27" t="s">
        <v>8</v>
      </c>
      <c r="AF589" s="27" t="s">
        <v>7</v>
      </c>
      <c r="AG589" s="27" t="s">
        <v>8</v>
      </c>
      <c r="AH589" s="27" t="s">
        <v>7</v>
      </c>
      <c r="AI589" s="27" t="s">
        <v>8</v>
      </c>
      <c r="AJ589" s="27" t="s">
        <v>7</v>
      </c>
    </row>
    <row r="590" spans="1:43" x14ac:dyDescent="0.25">
      <c r="A590" s="7">
        <v>0.94232233454704462</v>
      </c>
      <c r="B590"/>
      <c r="C590"/>
      <c r="D590"/>
      <c r="E590"/>
      <c r="R590" s="27" t="s">
        <v>7</v>
      </c>
      <c r="S590" s="27" t="s">
        <v>8</v>
      </c>
      <c r="T590" s="27" t="s">
        <v>7</v>
      </c>
      <c r="U590" s="27" t="s">
        <v>8</v>
      </c>
      <c r="AB590" s="27" t="s">
        <v>7</v>
      </c>
      <c r="AD590" s="27" t="s">
        <v>7</v>
      </c>
      <c r="AE590" s="27" t="s">
        <v>8</v>
      </c>
      <c r="AF590" s="27" t="s">
        <v>7</v>
      </c>
      <c r="AG590" s="27" t="s">
        <v>8</v>
      </c>
      <c r="AH590" s="27" t="s">
        <v>7</v>
      </c>
      <c r="AI590" s="27" t="s">
        <v>8</v>
      </c>
    </row>
    <row r="591" spans="1:43" x14ac:dyDescent="0.25">
      <c r="A591" s="7">
        <v>0.92384542602651432</v>
      </c>
      <c r="B591"/>
      <c r="C591"/>
      <c r="D591"/>
      <c r="E591"/>
      <c r="R591" s="27" t="s">
        <v>7</v>
      </c>
      <c r="S591" s="27" t="s">
        <v>8</v>
      </c>
      <c r="T591" s="27" t="s">
        <v>7</v>
      </c>
      <c r="U591" s="27" t="s">
        <v>8</v>
      </c>
      <c r="AD591" s="27" t="s">
        <v>7</v>
      </c>
      <c r="AE591" s="27" t="s">
        <v>8</v>
      </c>
      <c r="AF591" s="27" t="s">
        <v>7</v>
      </c>
      <c r="AG591" s="27" t="s">
        <v>8</v>
      </c>
      <c r="AH591" s="27" t="s">
        <v>7</v>
      </c>
    </row>
    <row r="592" spans="1:43" x14ac:dyDescent="0.25">
      <c r="A592" s="7">
        <v>0.90573080982991594</v>
      </c>
      <c r="B592"/>
      <c r="C592"/>
      <c r="D592"/>
      <c r="E592"/>
      <c r="R592" s="27" t="s">
        <v>7</v>
      </c>
      <c r="S592" s="27" t="s">
        <v>8</v>
      </c>
      <c r="T592" s="27" t="s">
        <v>7</v>
      </c>
      <c r="U592" s="27" t="s">
        <v>8</v>
      </c>
      <c r="AD592" s="27" t="s">
        <v>7</v>
      </c>
      <c r="AE592" s="27" t="s">
        <v>8</v>
      </c>
      <c r="AF592" s="27" t="s">
        <v>7</v>
      </c>
      <c r="AG592" s="27" t="s">
        <v>8</v>
      </c>
    </row>
    <row r="593" spans="1:32" x14ac:dyDescent="0.25">
      <c r="A593" s="7">
        <v>0.8879713821861922</v>
      </c>
      <c r="B593"/>
      <c r="C593"/>
      <c r="D593"/>
      <c r="E593"/>
      <c r="R593" s="27" t="s">
        <v>7</v>
      </c>
      <c r="T593" s="27" t="s">
        <v>7</v>
      </c>
      <c r="AD593" s="18" t="s">
        <v>7</v>
      </c>
      <c r="AE593" s="27" t="s">
        <v>8</v>
      </c>
      <c r="AF593" s="27" t="s">
        <v>7</v>
      </c>
    </row>
    <row r="594" spans="1:32" x14ac:dyDescent="0.25">
      <c r="A594" s="7">
        <v>0.87056017861391399</v>
      </c>
      <c r="B594"/>
      <c r="C594"/>
      <c r="D594"/>
      <c r="E594"/>
      <c r="AD594" s="27" t="s">
        <v>7</v>
      </c>
      <c r="AE594" s="27" t="s">
        <v>8</v>
      </c>
    </row>
    <row r="595" spans="1:32" x14ac:dyDescent="0.25">
      <c r="A595" s="7">
        <v>0.85349037119011173</v>
      </c>
      <c r="B595"/>
      <c r="C595"/>
      <c r="D595"/>
      <c r="E595"/>
      <c r="AD595" s="27" t="s">
        <v>7</v>
      </c>
      <c r="AE595" s="27" t="s">
        <v>8</v>
      </c>
    </row>
    <row r="596" spans="1:32" x14ac:dyDescent="0.25">
      <c r="A596" s="7">
        <v>0.83675526587265858</v>
      </c>
      <c r="B596"/>
      <c r="C596"/>
      <c r="D596"/>
      <c r="E596"/>
      <c r="AD596" s="27" t="s">
        <v>7</v>
      </c>
      <c r="AE596" s="27" t="s">
        <v>8</v>
      </c>
    </row>
    <row r="597" spans="1:32" x14ac:dyDescent="0.25">
      <c r="A597" s="7">
        <v>0.82034829987515545</v>
      </c>
      <c r="B597"/>
      <c r="C597"/>
      <c r="D597"/>
      <c r="E597"/>
      <c r="AD597" s="27" t="s">
        <v>7</v>
      </c>
      <c r="AE597" s="27" t="s">
        <v>8</v>
      </c>
    </row>
    <row r="598" spans="1:32" x14ac:dyDescent="0.25">
      <c r="A598" s="7">
        <v>0.80426303909328967</v>
      </c>
      <c r="B598"/>
      <c r="C598"/>
      <c r="D598"/>
      <c r="E598"/>
      <c r="AD598" s="27" t="s">
        <v>7</v>
      </c>
    </row>
    <row r="599" spans="1:32" x14ac:dyDescent="0.25">
      <c r="A599" s="7">
        <v>0.78849317558165644</v>
      </c>
      <c r="B599"/>
      <c r="C599"/>
      <c r="D599"/>
      <c r="E599"/>
    </row>
    <row r="600" spans="1:32" x14ac:dyDescent="0.25">
      <c r="A600" s="7">
        <v>0.77303252508005538</v>
      </c>
      <c r="B600"/>
      <c r="C600"/>
      <c r="D600"/>
      <c r="E600"/>
    </row>
    <row r="601" spans="1:32" x14ac:dyDescent="0.25">
      <c r="A601" s="7">
        <v>0.75787502458828959</v>
      </c>
      <c r="B601"/>
      <c r="C601"/>
      <c r="D601"/>
      <c r="E601"/>
    </row>
    <row r="602" spans="1:32" x14ac:dyDescent="0.25">
      <c r="A602" s="7">
        <v>0.74301472998851925</v>
      </c>
      <c r="B602"/>
      <c r="C602"/>
      <c r="D602"/>
      <c r="E602"/>
    </row>
    <row r="603" spans="1:32" x14ac:dyDescent="0.25">
      <c r="A603" s="7">
        <v>0.72844581371423456</v>
      </c>
      <c r="B603"/>
      <c r="C603"/>
      <c r="D603"/>
      <c r="E603"/>
    </row>
    <row r="604" spans="1:32" x14ac:dyDescent="0.25">
      <c r="A604" s="7">
        <v>0.71416256246493581</v>
      </c>
      <c r="B604"/>
      <c r="C604"/>
      <c r="D604"/>
      <c r="E604"/>
    </row>
    <row r="605" spans="1:32" x14ac:dyDescent="0.25">
      <c r="A605" s="7">
        <v>0.7001593749656233</v>
      </c>
      <c r="B605"/>
      <c r="C605"/>
      <c r="D605"/>
      <c r="E605"/>
    </row>
    <row r="606" spans="1:32" x14ac:dyDescent="0.25">
      <c r="A606" s="7">
        <v>0.68643075977021883</v>
      </c>
      <c r="B606"/>
      <c r="C606"/>
      <c r="D606"/>
      <c r="E606"/>
    </row>
    <row r="607" spans="1:32" x14ac:dyDescent="0.25">
      <c r="A607" s="7">
        <v>0.67297133310805768</v>
      </c>
      <c r="B607"/>
      <c r="C607"/>
      <c r="D607"/>
      <c r="E607"/>
    </row>
    <row r="608" spans="1:32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59" operator="equal">
      <formula>$U$1</formula>
    </cfRule>
    <cfRule type="cellIs" dxfId="89" priority="660" operator="equal">
      <formula>$S$1</formula>
    </cfRule>
  </conditionalFormatting>
  <conditionalFormatting sqref="D27">
    <cfRule type="cellIs" dxfId="88" priority="657" operator="equal">
      <formula>$S$1</formula>
    </cfRule>
    <cfRule type="cellIs" dxfId="87" priority="658" operator="equal">
      <formula>$U$1</formula>
    </cfRule>
  </conditionalFormatting>
  <conditionalFormatting sqref="C164">
    <cfRule type="cellIs" dxfId="86" priority="655" operator="equal">
      <formula>$U$1</formula>
    </cfRule>
    <cfRule type="cellIs" dxfId="85" priority="656" operator="equal">
      <formula>$S$1</formula>
    </cfRule>
  </conditionalFormatting>
  <conditionalFormatting sqref="D164">
    <cfRule type="cellIs" dxfId="84" priority="653" operator="equal">
      <formula>$S$1</formula>
    </cfRule>
    <cfRule type="cellIs" dxfId="83" priority="654" operator="equal">
      <formula>$U$1</formula>
    </cfRule>
  </conditionalFormatting>
  <conditionalFormatting sqref="C55">
    <cfRule type="cellIs" dxfId="82" priority="651" operator="equal">
      <formula>$U$1</formula>
    </cfRule>
    <cfRule type="cellIs" dxfId="81" priority="652" operator="equal">
      <formula>$S$1</formula>
    </cfRule>
  </conditionalFormatting>
  <conditionalFormatting sqref="D55">
    <cfRule type="cellIs" dxfId="80" priority="649" operator="equal">
      <formula>$S$1</formula>
    </cfRule>
    <cfRule type="cellIs" dxfId="79" priority="650" operator="equal">
      <formula>$U$1</formula>
    </cfRule>
  </conditionalFormatting>
  <conditionalFormatting sqref="C89">
    <cfRule type="cellIs" dxfId="78" priority="647" operator="equal">
      <formula>$U$1</formula>
    </cfRule>
    <cfRule type="cellIs" dxfId="77" priority="648" operator="equal">
      <formula>$S$1</formula>
    </cfRule>
  </conditionalFormatting>
  <conditionalFormatting sqref="D89">
    <cfRule type="cellIs" dxfId="76" priority="645" operator="equal">
      <formula>$S$1</formula>
    </cfRule>
    <cfRule type="cellIs" dxfId="75" priority="646" operator="equal">
      <formula>$U$1</formula>
    </cfRule>
  </conditionalFormatting>
  <conditionalFormatting sqref="C136">
    <cfRule type="cellIs" dxfId="74" priority="643" operator="equal">
      <formula>$U$1</formula>
    </cfRule>
    <cfRule type="cellIs" dxfId="73" priority="644" operator="equal">
      <formula>$S$1</formula>
    </cfRule>
  </conditionalFormatting>
  <conditionalFormatting sqref="D136">
    <cfRule type="cellIs" dxfId="72" priority="641" operator="equal">
      <formula>$S$1</formula>
    </cfRule>
    <cfRule type="cellIs" dxfId="71" priority="642" operator="equal">
      <formula>$U$1</formula>
    </cfRule>
  </conditionalFormatting>
  <conditionalFormatting sqref="C1">
    <cfRule type="cellIs" dxfId="70" priority="64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S230" sqref="BS23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$A$229</v>
      </c>
      <c r="D111" s="1" t="str">
        <f>ADDRESS(C121-1,D121,1,1)</f>
        <v>$BS$229</v>
      </c>
      <c r="E111"/>
    </row>
    <row r="112" spans="1:5" x14ac:dyDescent="0.25">
      <c r="A112" s="30">
        <v>515.50191262726139</v>
      </c>
      <c r="C112" s="1" t="str">
        <f>ADDRESS(C121,1,1,1)</f>
        <v>$A$230</v>
      </c>
      <c r="D112" s="1" t="str">
        <f>ADDRESS(C121,D121-1,1,1)</f>
        <v>$BR$230</v>
      </c>
      <c r="E112"/>
    </row>
    <row r="113" spans="1:5" x14ac:dyDescent="0.25">
      <c r="A113" s="30">
        <v>490.95420250215363</v>
      </c>
      <c r="C113" s="1" t="str">
        <f>ADDRESS(C121+1,1,1,1)</f>
        <v>$A$231</v>
      </c>
      <c r="D113" s="1" t="str">
        <f>ADDRESS(C121-1,D121+1,1,1)</f>
        <v>$BT$229</v>
      </c>
    </row>
    <row r="114" spans="1:5" x14ac:dyDescent="0.25">
      <c r="A114" s="30">
        <v>467.57543095443202</v>
      </c>
      <c r="C114" s="1" t="str">
        <f>ADDRESS(C121,D121,1,1)</f>
        <v>$BS$230</v>
      </c>
      <c r="D114" s="1" t="str">
        <f>ADDRESS(C121+1,D121+1,1,1)</f>
        <v>$BT$231</v>
      </c>
    </row>
    <row r="115" spans="1:5" x14ac:dyDescent="0.25">
      <c r="A115" s="30">
        <v>445.30993424231622</v>
      </c>
      <c r="C115" s="1" t="str">
        <f>ADDRESS(C121+1,D121,1,1)</f>
        <v>$BS$231</v>
      </c>
    </row>
    <row r="116" spans="1:5" x14ac:dyDescent="0.25">
      <c r="A116" s="30">
        <v>424.10469927839637</v>
      </c>
      <c r="C116" s="1">
        <f>C117-1</f>
        <v>229</v>
      </c>
    </row>
    <row r="117" spans="1:5" x14ac:dyDescent="0.25">
      <c r="A117" s="30">
        <v>403.9092374079965</v>
      </c>
      <c r="C117" s="1">
        <f>C121</f>
        <v>230</v>
      </c>
      <c r="D117" s="1">
        <f>D121</f>
        <v>71</v>
      </c>
    </row>
    <row r="118" spans="1:5" x14ac:dyDescent="0.25">
      <c r="A118" s="30">
        <v>384.6754641980919</v>
      </c>
      <c r="C118" s="1">
        <f>C117+1</f>
        <v>231</v>
      </c>
      <c r="D118" s="1">
        <f>D117+1</f>
        <v>72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230</v>
      </c>
      <c r="D121" s="19">
        <v>71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R230</v>
      </c>
      <c r="D123" s="1" t="str">
        <f>"C"&amp;D121</f>
        <v>C71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1.628894626777442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62" x14ac:dyDescent="0.25">
      <c r="A193" s="30">
        <v>9.9059710923258422</v>
      </c>
      <c r="E193"/>
    </row>
    <row r="194" spans="1:62" x14ac:dyDescent="0.25">
      <c r="A194" s="30">
        <v>9.4342581831674686</v>
      </c>
      <c r="E194"/>
    </row>
    <row r="195" spans="1:62" x14ac:dyDescent="0.25">
      <c r="A195" s="30">
        <v>8.9850077934928265</v>
      </c>
      <c r="E195"/>
    </row>
    <row r="196" spans="1:62" x14ac:dyDescent="0.25">
      <c r="A196" s="30">
        <v>8.5571502795169767</v>
      </c>
      <c r="E196"/>
    </row>
    <row r="197" spans="1:62" x14ac:dyDescent="0.25">
      <c r="A197" s="30">
        <v>8.1496669328733109</v>
      </c>
      <c r="E197"/>
    </row>
    <row r="198" spans="1:62" x14ac:dyDescent="0.25">
      <c r="A198" s="30">
        <v>7.7615875551174378</v>
      </c>
      <c r="E198"/>
    </row>
    <row r="199" spans="1:62" x14ac:dyDescent="0.25">
      <c r="A199" s="30">
        <v>7.3919881477308929</v>
      </c>
      <c r="E199"/>
    </row>
    <row r="200" spans="1:62" x14ac:dyDescent="0.25">
      <c r="A200" s="30">
        <v>7.0399887121246598</v>
      </c>
      <c r="E200"/>
    </row>
    <row r="201" spans="1:62" x14ac:dyDescent="0.25">
      <c r="A201" s="30">
        <v>6.7047511544044376</v>
      </c>
      <c r="E201"/>
    </row>
    <row r="202" spans="1:62" x14ac:dyDescent="0.25">
      <c r="A202" s="30">
        <v>6.3854772899089882</v>
      </c>
      <c r="E202"/>
    </row>
    <row r="203" spans="1:62" x14ac:dyDescent="0.25">
      <c r="A203" s="30">
        <v>6.0814069427704647</v>
      </c>
      <c r="C203" s="7"/>
      <c r="D203"/>
      <c r="E203"/>
    </row>
    <row r="204" spans="1:62" x14ac:dyDescent="0.25">
      <c r="A204" s="30">
        <v>5.7918161359718709</v>
      </c>
      <c r="E204"/>
    </row>
    <row r="205" spans="1:62" x14ac:dyDescent="0.25">
      <c r="A205" s="30">
        <v>5.5160153675922574</v>
      </c>
      <c r="E205"/>
    </row>
    <row r="206" spans="1:62" x14ac:dyDescent="0.25">
      <c r="A206" s="30">
        <v>5.2533479691354827</v>
      </c>
      <c r="C206"/>
      <c r="D206"/>
      <c r="E206"/>
      <c r="BI206" s="27" t="s">
        <v>8</v>
      </c>
    </row>
    <row r="207" spans="1:62" x14ac:dyDescent="0.25">
      <c r="A207" s="30">
        <v>5.0031885420337927</v>
      </c>
      <c r="E207"/>
      <c r="BI207" s="27" t="s">
        <v>8</v>
      </c>
      <c r="BJ207" s="27" t="s">
        <v>7</v>
      </c>
    </row>
    <row r="208" spans="1:62" x14ac:dyDescent="0.25">
      <c r="A208" s="30">
        <v>4.7649414686036122</v>
      </c>
      <c r="E208"/>
      <c r="BI208" s="27" t="s">
        <v>8</v>
      </c>
      <c r="BJ208" s="27" t="s">
        <v>7</v>
      </c>
    </row>
    <row r="209" spans="1:68" x14ac:dyDescent="0.25">
      <c r="A209" s="30">
        <v>4.5380394939082018</v>
      </c>
      <c r="E209"/>
      <c r="BI209" s="27" t="s">
        <v>8</v>
      </c>
      <c r="BJ209" s="27" t="s">
        <v>7</v>
      </c>
    </row>
    <row r="210" spans="1:68" x14ac:dyDescent="0.25">
      <c r="A210" s="30">
        <v>4.3219423751506678</v>
      </c>
      <c r="C210"/>
      <c r="E210"/>
      <c r="BG210" s="27" t="s">
        <v>8</v>
      </c>
      <c r="BI210" s="27" t="s">
        <v>8</v>
      </c>
      <c r="BJ210" s="27" t="s">
        <v>7</v>
      </c>
    </row>
    <row r="211" spans="1:68" x14ac:dyDescent="0.25">
      <c r="A211" s="30">
        <v>4.1161355953815884</v>
      </c>
      <c r="E211"/>
      <c r="AW211" s="27" t="s">
        <v>8</v>
      </c>
      <c r="BG211" s="27" t="s">
        <v>8</v>
      </c>
      <c r="BH211" s="27" t="s">
        <v>7</v>
      </c>
      <c r="BI211" s="27" t="s">
        <v>8</v>
      </c>
      <c r="BJ211" s="27" t="s">
        <v>7</v>
      </c>
    </row>
    <row r="212" spans="1:68" x14ac:dyDescent="0.25">
      <c r="A212" s="30">
        <v>3.9201291384586554</v>
      </c>
      <c r="E212"/>
      <c r="AW212" s="27" t="s">
        <v>8</v>
      </c>
      <c r="AX212" s="27" t="s">
        <v>7</v>
      </c>
      <c r="BG212" s="27" t="s">
        <v>8</v>
      </c>
      <c r="BH212" s="27" t="s">
        <v>7</v>
      </c>
      <c r="BI212" s="27" t="s">
        <v>8</v>
      </c>
      <c r="BJ212" s="27" t="s">
        <v>7</v>
      </c>
    </row>
    <row r="213" spans="1:68" x14ac:dyDescent="0.25">
      <c r="A213" s="30">
        <v>3.7334563223415764</v>
      </c>
      <c r="E213"/>
      <c r="AW213" s="27" t="s">
        <v>8</v>
      </c>
      <c r="AX213" s="27" t="s">
        <v>7</v>
      </c>
      <c r="BG213" s="27" t="s">
        <v>8</v>
      </c>
      <c r="BH213" s="27" t="s">
        <v>7</v>
      </c>
      <c r="BI213" s="27" t="s">
        <v>8</v>
      </c>
      <c r="BJ213" s="27" t="s">
        <v>7</v>
      </c>
    </row>
    <row r="214" spans="1:68" x14ac:dyDescent="0.25">
      <c r="A214" s="30">
        <v>3.5556726879443583</v>
      </c>
      <c r="E214"/>
      <c r="AW214" s="27" t="s">
        <v>8</v>
      </c>
      <c r="AX214" s="27" t="s">
        <v>7</v>
      </c>
      <c r="BG214" s="27" t="s">
        <v>8</v>
      </c>
      <c r="BH214" s="27" t="s">
        <v>7</v>
      </c>
      <c r="BI214" s="27" t="s">
        <v>8</v>
      </c>
      <c r="BJ214" s="27" t="s">
        <v>7</v>
      </c>
    </row>
    <row r="215" spans="1:68" x14ac:dyDescent="0.25">
      <c r="A215" s="30">
        <v>3.3863549408993889</v>
      </c>
      <c r="E215"/>
      <c r="AW215" s="27" t="s">
        <v>8</v>
      </c>
      <c r="AX215" s="27" t="s">
        <v>7</v>
      </c>
      <c r="AY215" s="27" t="s">
        <v>8</v>
      </c>
      <c r="BA215" s="27" t="s">
        <v>8</v>
      </c>
      <c r="BC215" s="27" t="s">
        <v>8</v>
      </c>
      <c r="BE215" s="27" t="s">
        <v>8</v>
      </c>
      <c r="BG215" s="27" t="s">
        <v>8</v>
      </c>
      <c r="BH215" s="27" t="s">
        <v>7</v>
      </c>
      <c r="BI215" s="27" t="s">
        <v>8</v>
      </c>
      <c r="BJ215" s="27" t="s">
        <v>7</v>
      </c>
    </row>
    <row r="216" spans="1:68" x14ac:dyDescent="0.25">
      <c r="A216" s="30">
        <v>3.2250999437137038</v>
      </c>
      <c r="E216"/>
      <c r="AW216" s="27" t="s">
        <v>8</v>
      </c>
      <c r="AX216" s="27" t="s">
        <v>7</v>
      </c>
      <c r="AY216" s="27" t="s">
        <v>8</v>
      </c>
      <c r="AZ216" s="27" t="s">
        <v>7</v>
      </c>
      <c r="BA216" s="27" t="s">
        <v>8</v>
      </c>
      <c r="BB216" s="27" t="s">
        <v>7</v>
      </c>
      <c r="BC216" s="27" t="s">
        <v>8</v>
      </c>
      <c r="BD216" s="27" t="s">
        <v>7</v>
      </c>
      <c r="BE216" s="27" t="s">
        <v>8</v>
      </c>
      <c r="BF216" s="27" t="s">
        <v>7</v>
      </c>
      <c r="BG216" s="27" t="s">
        <v>8</v>
      </c>
      <c r="BH216" s="27" t="s">
        <v>7</v>
      </c>
      <c r="BI216" s="27" t="s">
        <v>8</v>
      </c>
      <c r="BJ216" s="27" t="s">
        <v>7</v>
      </c>
    </row>
    <row r="217" spans="1:68" x14ac:dyDescent="0.25">
      <c r="A217" s="30">
        <v>3.0715237559178128</v>
      </c>
      <c r="E217"/>
      <c r="AW217" s="2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  <c r="BB217" s="27" t="s">
        <v>7</v>
      </c>
      <c r="BC217" s="27" t="s">
        <v>8</v>
      </c>
      <c r="BD217" s="27" t="s">
        <v>7</v>
      </c>
      <c r="BE217" s="27" t="s">
        <v>8</v>
      </c>
      <c r="BF217" s="27" t="s">
        <v>7</v>
      </c>
      <c r="BG217" s="27" t="s">
        <v>8</v>
      </c>
      <c r="BH217" s="27" t="s">
        <v>7</v>
      </c>
      <c r="BJ217" s="27" t="s">
        <v>7</v>
      </c>
      <c r="BK217" s="27" t="s">
        <v>8</v>
      </c>
      <c r="BM217" s="27" t="s">
        <v>8</v>
      </c>
    </row>
    <row r="218" spans="1:68" x14ac:dyDescent="0.25">
      <c r="A218" s="30">
        <v>2.9252607199217264</v>
      </c>
      <c r="E218" t="s">
        <v>8</v>
      </c>
      <c r="AW218" s="27" t="s">
        <v>8</v>
      </c>
      <c r="AX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D218" s="27" t="s">
        <v>7</v>
      </c>
      <c r="BF218" s="27" t="s">
        <v>7</v>
      </c>
      <c r="BG218" s="27" t="s">
        <v>8</v>
      </c>
      <c r="BJ218" s="27" t="s">
        <v>7</v>
      </c>
      <c r="BK218" s="27" t="s">
        <v>8</v>
      </c>
      <c r="BL218" s="27" t="s">
        <v>7</v>
      </c>
      <c r="BM218" s="27" t="s">
        <v>8</v>
      </c>
      <c r="BN218" s="27" t="s">
        <v>7</v>
      </c>
    </row>
    <row r="219" spans="1:68" x14ac:dyDescent="0.25">
      <c r="A219" s="30">
        <v>2.7859625904016441</v>
      </c>
      <c r="E219" t="s">
        <v>8</v>
      </c>
      <c r="F219" s="27" t="s">
        <v>7</v>
      </c>
      <c r="AW219" s="27" t="s">
        <v>8</v>
      </c>
      <c r="AX219" s="27" t="s">
        <v>7</v>
      </c>
      <c r="AY219" s="27" t="s">
        <v>8</v>
      </c>
      <c r="AZ219" s="27" t="s">
        <v>7</v>
      </c>
      <c r="BA219" s="27" t="s">
        <v>8</v>
      </c>
      <c r="BF219" s="27" t="s">
        <v>7</v>
      </c>
      <c r="BG219" s="27" t="s">
        <v>8</v>
      </c>
      <c r="BJ219" s="27" t="s">
        <v>7</v>
      </c>
      <c r="BK219" s="27" t="s">
        <v>8</v>
      </c>
      <c r="BL219" s="27" t="s">
        <v>7</v>
      </c>
      <c r="BM219" s="27" t="s">
        <v>8</v>
      </c>
      <c r="BN219" s="27" t="s">
        <v>7</v>
      </c>
    </row>
    <row r="220" spans="1:68" x14ac:dyDescent="0.25">
      <c r="A220" s="30">
        <v>2.6532977051444226</v>
      </c>
      <c r="E220" t="s">
        <v>8</v>
      </c>
      <c r="F220" s="27" t="s">
        <v>7</v>
      </c>
      <c r="AW220" s="27" t="s">
        <v>8</v>
      </c>
      <c r="AX220" s="27" t="s">
        <v>7</v>
      </c>
      <c r="AZ220" s="27" t="s">
        <v>7</v>
      </c>
      <c r="BA220" s="27" t="s">
        <v>8</v>
      </c>
      <c r="BF220" s="27" t="s">
        <v>7</v>
      </c>
      <c r="BJ220" s="27" t="s">
        <v>7</v>
      </c>
      <c r="BK220" s="27" t="s">
        <v>8</v>
      </c>
      <c r="BL220" s="27" t="s">
        <v>7</v>
      </c>
      <c r="BN220" s="27" t="s">
        <v>7</v>
      </c>
    </row>
    <row r="221" spans="1:68" x14ac:dyDescent="0.25">
      <c r="A221" s="30">
        <v>2.5269501953756404</v>
      </c>
      <c r="E221" t="s">
        <v>8</v>
      </c>
      <c r="F221" s="27" t="s">
        <v>7</v>
      </c>
      <c r="K221" s="27" t="s">
        <v>8</v>
      </c>
      <c r="AW221" s="27" t="s">
        <v>8</v>
      </c>
      <c r="AZ221" s="27" t="s">
        <v>7</v>
      </c>
      <c r="BJ221" s="27" t="s">
        <v>7</v>
      </c>
      <c r="BN221" s="27" t="s">
        <v>7</v>
      </c>
      <c r="BO221" s="27" t="s">
        <v>8</v>
      </c>
    </row>
    <row r="222" spans="1:68" x14ac:dyDescent="0.25">
      <c r="A222" s="30">
        <v>2.4066192336910861</v>
      </c>
      <c r="E222" t="s">
        <v>8</v>
      </c>
      <c r="F222" s="27" t="s">
        <v>7</v>
      </c>
      <c r="K222" s="27" t="s">
        <v>8</v>
      </c>
      <c r="L222" s="27" t="s">
        <v>7</v>
      </c>
      <c r="AG222" s="27" t="s">
        <v>8</v>
      </c>
      <c r="AW222" s="27" t="s">
        <v>8</v>
      </c>
      <c r="BN222" s="27" t="s">
        <v>7</v>
      </c>
      <c r="BO222" s="27" t="s">
        <v>8</v>
      </c>
      <c r="BP222" s="27" t="s">
        <v>7</v>
      </c>
    </row>
    <row r="223" spans="1:68" x14ac:dyDescent="0.25">
      <c r="A223" s="30">
        <v>2.2920183178010345</v>
      </c>
      <c r="E223" t="s">
        <v>8</v>
      </c>
      <c r="F223" s="27" t="s">
        <v>7</v>
      </c>
      <c r="K223" s="27" t="s">
        <v>8</v>
      </c>
      <c r="L223" s="27" t="s">
        <v>7</v>
      </c>
      <c r="AG223" s="27" t="s">
        <v>8</v>
      </c>
      <c r="AH223" s="27" t="s">
        <v>7</v>
      </c>
      <c r="AI223" s="27" t="s">
        <v>8</v>
      </c>
      <c r="AW223" s="27" t="s">
        <v>8</v>
      </c>
      <c r="BN223" s="27" t="s">
        <v>7</v>
      </c>
      <c r="BO223" s="27" t="s">
        <v>8</v>
      </c>
      <c r="BP223" s="27" t="s">
        <v>7</v>
      </c>
    </row>
    <row r="224" spans="1:68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I224" s="27" t="s">
        <v>8</v>
      </c>
      <c r="K224" s="27" t="s">
        <v>8</v>
      </c>
      <c r="L224" s="27" t="s">
        <v>7</v>
      </c>
      <c r="AG224" s="27" t="s">
        <v>8</v>
      </c>
      <c r="AH224" s="27" t="s">
        <v>7</v>
      </c>
      <c r="AI224" s="27" t="s">
        <v>8</v>
      </c>
      <c r="AJ224" s="27" t="s">
        <v>7</v>
      </c>
      <c r="AK224" s="27" t="s">
        <v>8</v>
      </c>
      <c r="AM224" s="27" t="s">
        <v>8</v>
      </c>
      <c r="AW224" s="27" t="s">
        <v>8</v>
      </c>
      <c r="BN224" s="27" t="s">
        <v>7</v>
      </c>
      <c r="BO224" s="27" t="s">
        <v>8</v>
      </c>
      <c r="BP224" s="27" t="s">
        <v>7</v>
      </c>
    </row>
    <row r="225" spans="1:71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H225" s="27" t="s">
        <v>7</v>
      </c>
      <c r="I225" s="27" t="s">
        <v>8</v>
      </c>
      <c r="J225" s="27" t="s">
        <v>7</v>
      </c>
      <c r="K225" s="27" t="s">
        <v>8</v>
      </c>
      <c r="L225" s="27" t="s">
        <v>7</v>
      </c>
      <c r="AG225" s="27" t="s">
        <v>8</v>
      </c>
      <c r="AH225" s="27" t="s">
        <v>7</v>
      </c>
      <c r="AI225" s="27" t="s">
        <v>8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  <c r="AW225" s="27" t="s">
        <v>8</v>
      </c>
      <c r="BN225" s="27" t="s">
        <v>7</v>
      </c>
      <c r="BP225" s="27" t="s">
        <v>7</v>
      </c>
    </row>
    <row r="226" spans="1:71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H226" s="27" t="s">
        <v>7</v>
      </c>
      <c r="I226" s="27" t="s">
        <v>8</v>
      </c>
      <c r="J226" s="27" t="s">
        <v>7</v>
      </c>
      <c r="K226" s="27" t="s">
        <v>8</v>
      </c>
      <c r="L226" s="27" t="s">
        <v>7</v>
      </c>
      <c r="M226" s="27" t="s">
        <v>8</v>
      </c>
      <c r="AG226" s="27" t="s">
        <v>8</v>
      </c>
      <c r="AH226" s="27" t="s">
        <v>7</v>
      </c>
      <c r="AI226" s="27" t="s">
        <v>8</v>
      </c>
      <c r="AJ226" s="27" t="s">
        <v>7</v>
      </c>
      <c r="AK226" s="27" t="s">
        <v>8</v>
      </c>
      <c r="AL226" s="27" t="s">
        <v>7</v>
      </c>
      <c r="AM226" s="27" t="s">
        <v>8</v>
      </c>
      <c r="AN226" s="27" t="s">
        <v>7</v>
      </c>
      <c r="AO226" s="27" t="s">
        <v>8</v>
      </c>
      <c r="AW226" s="27" t="s">
        <v>8</v>
      </c>
      <c r="BP226" s="27" t="s">
        <v>7</v>
      </c>
    </row>
    <row r="227" spans="1:71" x14ac:dyDescent="0.25">
      <c r="A227" s="30">
        <v>1.8856491423232367</v>
      </c>
      <c r="E227" t="s">
        <v>8</v>
      </c>
      <c r="F227" s="27" t="s">
        <v>7</v>
      </c>
      <c r="H227" s="27" t="s">
        <v>7</v>
      </c>
      <c r="I227" s="27" t="s">
        <v>8</v>
      </c>
      <c r="J227" s="27" t="s">
        <v>7</v>
      </c>
      <c r="L227" s="27" t="s">
        <v>7</v>
      </c>
      <c r="M227" s="27" t="s">
        <v>8</v>
      </c>
      <c r="N227" s="27" t="s">
        <v>7</v>
      </c>
      <c r="AE227" s="27" t="s">
        <v>8</v>
      </c>
      <c r="AG227" s="27" t="s">
        <v>8</v>
      </c>
      <c r="AH227" s="27" t="s">
        <v>7</v>
      </c>
      <c r="AI227" s="27" t="s">
        <v>8</v>
      </c>
      <c r="AJ227" s="27" t="s">
        <v>7</v>
      </c>
      <c r="AK227" s="27" t="s">
        <v>8</v>
      </c>
      <c r="AL227" s="27" t="s">
        <v>7</v>
      </c>
      <c r="AN227" s="27" t="s">
        <v>7</v>
      </c>
      <c r="AO227" s="27" t="s">
        <v>8</v>
      </c>
      <c r="AP227" s="27" t="s">
        <v>7</v>
      </c>
      <c r="AQ227" s="27" t="s">
        <v>8</v>
      </c>
      <c r="AW227" s="27" t="s">
        <v>8</v>
      </c>
      <c r="BP227" s="27" t="s">
        <v>7</v>
      </c>
    </row>
    <row r="228" spans="1:71" x14ac:dyDescent="0.25">
      <c r="A228" s="30">
        <v>1.7958563260221301</v>
      </c>
      <c r="C228" s="7"/>
      <c r="D228"/>
      <c r="E228" t="s">
        <v>8</v>
      </c>
      <c r="H228" s="27" t="s">
        <v>7</v>
      </c>
      <c r="I228" s="27" t="s">
        <v>8</v>
      </c>
      <c r="L228" s="27" t="s">
        <v>7</v>
      </c>
      <c r="M228" s="27" t="s">
        <v>8</v>
      </c>
      <c r="N228" s="27" t="s">
        <v>7</v>
      </c>
      <c r="AE228" s="27" t="s">
        <v>8</v>
      </c>
      <c r="AF228" s="27" t="s">
        <v>7</v>
      </c>
      <c r="AG228" s="27" t="s">
        <v>8</v>
      </c>
      <c r="AH228" s="27" t="s">
        <v>7</v>
      </c>
      <c r="AI228" s="27" t="s">
        <v>8</v>
      </c>
      <c r="AJ228" s="27" t="s">
        <v>7</v>
      </c>
      <c r="AK228" s="27" t="s">
        <v>8</v>
      </c>
      <c r="AN228" s="27" t="s">
        <v>7</v>
      </c>
      <c r="AO228" s="27" t="s">
        <v>8</v>
      </c>
      <c r="AP228" s="27" t="s">
        <v>7</v>
      </c>
      <c r="AQ228" s="27" t="s">
        <v>8</v>
      </c>
      <c r="AR228" s="27" t="s">
        <v>7</v>
      </c>
      <c r="AW228" s="27" t="s">
        <v>8</v>
      </c>
      <c r="BP228" s="27" t="s">
        <v>7</v>
      </c>
    </row>
    <row r="229" spans="1:71" x14ac:dyDescent="0.25">
      <c r="A229" s="30">
        <v>1.7103393581163142</v>
      </c>
      <c r="E229" t="s">
        <v>8</v>
      </c>
      <c r="H229" s="27" t="s">
        <v>7</v>
      </c>
      <c r="I229" s="27" t="s">
        <v>8</v>
      </c>
      <c r="L229" s="27" t="s">
        <v>7</v>
      </c>
      <c r="M229" s="27" t="s">
        <v>8</v>
      </c>
      <c r="N229" s="27" t="s">
        <v>7</v>
      </c>
      <c r="AE229" s="27" t="s">
        <v>8</v>
      </c>
      <c r="AF229" s="27" t="s">
        <v>7</v>
      </c>
      <c r="AG229" s="27" t="s">
        <v>8</v>
      </c>
      <c r="AH229" s="27" t="s">
        <v>7</v>
      </c>
      <c r="AJ229" s="27" t="s">
        <v>7</v>
      </c>
      <c r="AN229" s="27" t="s">
        <v>7</v>
      </c>
      <c r="AO229" s="27" t="s">
        <v>8</v>
      </c>
      <c r="AP229" s="27" t="s">
        <v>7</v>
      </c>
      <c r="AQ229" s="27" t="s">
        <v>8</v>
      </c>
      <c r="AR229" s="27" t="s">
        <v>7</v>
      </c>
      <c r="AW229" s="27" t="s">
        <v>8</v>
      </c>
      <c r="BP229" s="27" t="s">
        <v>7</v>
      </c>
      <c r="BQ229" s="27" t="s">
        <v>8</v>
      </c>
    </row>
    <row r="230" spans="1:71" x14ac:dyDescent="0.25">
      <c r="A230" s="30">
        <v>1.628894626777442</v>
      </c>
      <c r="E230" t="s">
        <v>8</v>
      </c>
      <c r="H230" s="27" t="s">
        <v>7</v>
      </c>
      <c r="I230" s="27" t="s">
        <v>8</v>
      </c>
      <c r="L230" s="27" t="s">
        <v>7</v>
      </c>
      <c r="M230" s="27" t="s">
        <v>8</v>
      </c>
      <c r="N230" s="27" t="s">
        <v>7</v>
      </c>
      <c r="Q230" s="27" t="s">
        <v>8</v>
      </c>
      <c r="AE230" s="27" t="s">
        <v>8</v>
      </c>
      <c r="AF230" s="27" t="s">
        <v>7</v>
      </c>
      <c r="AG230" s="27" t="s">
        <v>8</v>
      </c>
      <c r="AN230" s="27" t="s">
        <v>7</v>
      </c>
      <c r="AO230" s="27" t="s">
        <v>8</v>
      </c>
      <c r="AP230" s="27" t="s">
        <v>7</v>
      </c>
      <c r="AR230" s="27" t="s">
        <v>7</v>
      </c>
      <c r="AS230" s="27" t="s">
        <v>8</v>
      </c>
      <c r="AU230" s="27" t="s">
        <v>8</v>
      </c>
      <c r="AW230" s="27" t="s">
        <v>8</v>
      </c>
      <c r="BP230" s="27" t="s">
        <v>7</v>
      </c>
      <c r="BQ230" s="27" t="s">
        <v>8</v>
      </c>
      <c r="BR230" s="27" t="s">
        <v>7</v>
      </c>
      <c r="BS230" s="27" t="s">
        <v>8</v>
      </c>
    </row>
    <row r="231" spans="1:71" x14ac:dyDescent="0.25">
      <c r="A231" s="30">
        <v>1.5513282159785162</v>
      </c>
      <c r="C231"/>
      <c r="D231"/>
      <c r="E231" t="s">
        <v>8</v>
      </c>
      <c r="H231" s="27" t="s">
        <v>7</v>
      </c>
      <c r="I231" s="27" t="s">
        <v>8</v>
      </c>
      <c r="L231" s="27" t="s">
        <v>7</v>
      </c>
      <c r="N231" s="27" t="s">
        <v>7</v>
      </c>
      <c r="Q231" s="27" t="s">
        <v>8</v>
      </c>
      <c r="R231" s="27" t="s">
        <v>7</v>
      </c>
      <c r="AE231" s="27" t="s">
        <v>8</v>
      </c>
      <c r="AF231" s="27" t="s">
        <v>7</v>
      </c>
      <c r="AG231" s="27" t="s">
        <v>8</v>
      </c>
      <c r="AN231" s="27" t="s">
        <v>7</v>
      </c>
      <c r="AO231" s="27" t="s">
        <v>8</v>
      </c>
      <c r="AR231" s="27" t="s">
        <v>7</v>
      </c>
      <c r="AS231" s="27" t="s">
        <v>8</v>
      </c>
      <c r="AT231" s="27" t="s">
        <v>7</v>
      </c>
      <c r="AU231" s="27" t="s">
        <v>8</v>
      </c>
      <c r="AV231" s="27" t="s">
        <v>7</v>
      </c>
      <c r="AW231" s="27" t="s">
        <v>8</v>
      </c>
      <c r="BP231" s="27" t="s">
        <v>7</v>
      </c>
      <c r="BQ231" s="27" t="s">
        <v>8</v>
      </c>
      <c r="BR231" s="27" t="s">
        <v>7</v>
      </c>
      <c r="BS231" s="27" t="s">
        <v>8</v>
      </c>
    </row>
    <row r="232" spans="1:71" x14ac:dyDescent="0.25">
      <c r="A232" s="30">
        <v>1.477455443789063</v>
      </c>
      <c r="E232" t="s">
        <v>8</v>
      </c>
      <c r="H232" s="27" t="s">
        <v>7</v>
      </c>
      <c r="I232" s="27" t="s">
        <v>8</v>
      </c>
      <c r="N232" s="27" t="s">
        <v>7</v>
      </c>
      <c r="O232" s="27" t="s">
        <v>8</v>
      </c>
      <c r="Q232" s="27" t="s">
        <v>8</v>
      </c>
      <c r="R232" s="27" t="s">
        <v>7</v>
      </c>
      <c r="Y232" s="27" t="s">
        <v>8</v>
      </c>
      <c r="AE232" s="27" t="s">
        <v>8</v>
      </c>
      <c r="AF232" s="27" t="s">
        <v>7</v>
      </c>
      <c r="AG232" s="27" t="s">
        <v>8</v>
      </c>
      <c r="AN232" s="27" t="s">
        <v>7</v>
      </c>
      <c r="AO232" s="27" t="s">
        <v>8</v>
      </c>
      <c r="AR232" s="27" t="s">
        <v>7</v>
      </c>
      <c r="AS232" s="27" t="s">
        <v>8</v>
      </c>
      <c r="AT232" s="27" t="s">
        <v>7</v>
      </c>
      <c r="AU232" s="27" t="s">
        <v>8</v>
      </c>
      <c r="AV232" s="27" t="s">
        <v>7</v>
      </c>
      <c r="AW232" s="27" t="s">
        <v>8</v>
      </c>
      <c r="BP232" s="27" t="s">
        <v>7</v>
      </c>
      <c r="BQ232" s="27" t="s">
        <v>8</v>
      </c>
      <c r="BR232" s="27" t="s">
        <v>7</v>
      </c>
      <c r="BS232" s="27" t="s">
        <v>8</v>
      </c>
    </row>
    <row r="233" spans="1:71" x14ac:dyDescent="0.25">
      <c r="A233" s="30">
        <v>1.4071004226562505</v>
      </c>
      <c r="E233" t="s">
        <v>8</v>
      </c>
      <c r="H233" s="27" t="s">
        <v>7</v>
      </c>
      <c r="I233" s="27" t="s">
        <v>8</v>
      </c>
      <c r="N233" s="27" t="s">
        <v>7</v>
      </c>
      <c r="O233" s="27" t="s">
        <v>8</v>
      </c>
      <c r="P233" s="27" t="s">
        <v>7</v>
      </c>
      <c r="Q233" s="27" t="s">
        <v>8</v>
      </c>
      <c r="R233" s="27" t="s">
        <v>7</v>
      </c>
      <c r="Y233" s="27" t="s">
        <v>8</v>
      </c>
      <c r="Z233" s="27" t="s">
        <v>7</v>
      </c>
      <c r="AA233" s="27" t="s">
        <v>8</v>
      </c>
      <c r="AE233" s="27" t="s">
        <v>8</v>
      </c>
      <c r="AF233" s="27" t="s">
        <v>7</v>
      </c>
      <c r="AN233" s="27" t="s">
        <v>7</v>
      </c>
      <c r="AR233" s="27" t="s">
        <v>7</v>
      </c>
      <c r="AT233" s="27" t="s">
        <v>7</v>
      </c>
      <c r="AV233" s="27" t="s">
        <v>7</v>
      </c>
      <c r="BP233" s="27" t="s">
        <v>7</v>
      </c>
      <c r="BQ233" s="27" t="s">
        <v>8</v>
      </c>
      <c r="BR233" s="27" t="s">
        <v>7</v>
      </c>
    </row>
    <row r="234" spans="1:71" x14ac:dyDescent="0.25">
      <c r="A234" s="30">
        <v>1.3400956406250004</v>
      </c>
      <c r="E234" t="s">
        <v>8</v>
      </c>
      <c r="H234" s="27" t="s">
        <v>7</v>
      </c>
      <c r="N234" s="27" t="s">
        <v>7</v>
      </c>
      <c r="O234" s="27" t="s">
        <v>8</v>
      </c>
      <c r="P234" s="27" t="s">
        <v>7</v>
      </c>
      <c r="Q234" s="27" t="s">
        <v>8</v>
      </c>
      <c r="R234" s="27" t="s">
        <v>7</v>
      </c>
      <c r="Y234" s="27" t="s">
        <v>8</v>
      </c>
      <c r="Z234" s="27" t="s">
        <v>7</v>
      </c>
      <c r="AA234" s="27" t="s">
        <v>8</v>
      </c>
      <c r="AB234" s="27" t="s">
        <v>7</v>
      </c>
      <c r="AE234" s="27" t="s">
        <v>8</v>
      </c>
      <c r="BP234" s="27" t="s">
        <v>7</v>
      </c>
    </row>
    <row r="235" spans="1:71" x14ac:dyDescent="0.25">
      <c r="A235" s="30">
        <v>1.2762815625000004</v>
      </c>
      <c r="C235"/>
      <c r="E235" t="s">
        <v>8</v>
      </c>
      <c r="N235" s="27" t="s">
        <v>7</v>
      </c>
      <c r="P235" s="27" t="s">
        <v>7</v>
      </c>
      <c r="Q235" s="27" t="s">
        <v>8</v>
      </c>
      <c r="R235" s="27" t="s">
        <v>7</v>
      </c>
      <c r="W235" s="27" t="s">
        <v>8</v>
      </c>
      <c r="Y235" s="27" t="s">
        <v>8</v>
      </c>
      <c r="Z235" s="27" t="s">
        <v>7</v>
      </c>
      <c r="AA235" s="27" t="s">
        <v>8</v>
      </c>
      <c r="AB235" s="27" t="s">
        <v>7</v>
      </c>
      <c r="AE235" s="27" t="s">
        <v>8</v>
      </c>
    </row>
    <row r="236" spans="1:71" x14ac:dyDescent="0.25">
      <c r="A236" s="30">
        <v>1.2155062500000002</v>
      </c>
      <c r="E236" t="s">
        <v>8</v>
      </c>
      <c r="P236" s="27" t="s">
        <v>7</v>
      </c>
      <c r="R236" s="27" t="s">
        <v>7</v>
      </c>
      <c r="S236" s="27" t="s">
        <v>8</v>
      </c>
      <c r="W236" s="27" t="s">
        <v>8</v>
      </c>
      <c r="X236" s="27" t="s">
        <v>7</v>
      </c>
      <c r="Y236" s="27" t="s">
        <v>8</v>
      </c>
      <c r="Z236" s="27" t="s">
        <v>7</v>
      </c>
      <c r="AB236" s="27" t="s">
        <v>7</v>
      </c>
      <c r="AE236" s="27" t="s">
        <v>8</v>
      </c>
    </row>
    <row r="237" spans="1:7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R237" s="27" t="s">
        <v>7</v>
      </c>
      <c r="S237" s="27" t="s">
        <v>8</v>
      </c>
      <c r="T237" s="27" t="s">
        <v>7</v>
      </c>
      <c r="U237" s="27" t="s">
        <v>8</v>
      </c>
      <c r="W237" s="27" t="s">
        <v>8</v>
      </c>
      <c r="X237" s="27" t="s">
        <v>7</v>
      </c>
      <c r="Y237" s="27" t="s">
        <v>8</v>
      </c>
      <c r="AB237" s="27" t="s">
        <v>7</v>
      </c>
      <c r="AE237" s="27" t="s">
        <v>8</v>
      </c>
    </row>
    <row r="238" spans="1:71" x14ac:dyDescent="0.25">
      <c r="A238" s="30">
        <v>1.1025</v>
      </c>
      <c r="E238" t="s">
        <v>8</v>
      </c>
      <c r="R238" s="27" t="s">
        <v>7</v>
      </c>
      <c r="S238" s="27" t="s">
        <v>8</v>
      </c>
      <c r="T238" s="27" t="s">
        <v>7</v>
      </c>
      <c r="U238" s="27" t="s">
        <v>8</v>
      </c>
      <c r="V238" s="27" t="s">
        <v>7</v>
      </c>
      <c r="W238" s="27" t="s">
        <v>8</v>
      </c>
      <c r="X238" s="27" t="s">
        <v>7</v>
      </c>
      <c r="Y238" s="27" t="s">
        <v>8</v>
      </c>
      <c r="AB238" s="27" t="s">
        <v>7</v>
      </c>
      <c r="AC238" s="27" t="s">
        <v>8</v>
      </c>
      <c r="AE238" s="27" t="s">
        <v>8</v>
      </c>
    </row>
    <row r="239" spans="1:71" x14ac:dyDescent="0.25">
      <c r="A239" s="30">
        <v>1.05</v>
      </c>
      <c r="E239" t="s">
        <v>8</v>
      </c>
      <c r="R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W239" s="27" t="s">
        <v>8</v>
      </c>
      <c r="X239" s="27" t="s">
        <v>7</v>
      </c>
      <c r="Y239" s="27" t="s">
        <v>8</v>
      </c>
      <c r="AB239" s="27" t="s">
        <v>7</v>
      </c>
      <c r="AC239" s="27" t="s">
        <v>8</v>
      </c>
      <c r="AD239" s="27" t="s">
        <v>7</v>
      </c>
      <c r="AE239" s="27" t="s">
        <v>8</v>
      </c>
    </row>
    <row r="240" spans="1:71" x14ac:dyDescent="0.25">
      <c r="A240" s="30">
        <v>1</v>
      </c>
      <c r="E240" s="29" t="s">
        <v>8</v>
      </c>
      <c r="R240" s="27" t="s">
        <v>7</v>
      </c>
      <c r="S240" s="27" t="s">
        <v>8</v>
      </c>
      <c r="T240" s="27" t="s">
        <v>7</v>
      </c>
      <c r="U240" s="27" t="s">
        <v>8</v>
      </c>
      <c r="V240" s="27" t="s">
        <v>7</v>
      </c>
      <c r="X240" s="27" t="s">
        <v>7</v>
      </c>
      <c r="AB240" s="27" t="s">
        <v>7</v>
      </c>
      <c r="AC240" s="27" t="s">
        <v>8</v>
      </c>
      <c r="AD240" s="27" t="s">
        <v>7</v>
      </c>
      <c r="AE240" s="27" t="s">
        <v>8</v>
      </c>
    </row>
    <row r="241" spans="1:30" x14ac:dyDescent="0.25">
      <c r="A241" s="30">
        <v>0.952380952380952</v>
      </c>
      <c r="B241"/>
      <c r="C241"/>
      <c r="D241"/>
      <c r="E241"/>
      <c r="R241" s="27" t="s">
        <v>7</v>
      </c>
      <c r="S241" s="27" t="s">
        <v>8</v>
      </c>
      <c r="T241" s="27" t="s">
        <v>7</v>
      </c>
      <c r="U241" s="27" t="s">
        <v>8</v>
      </c>
      <c r="AB241" s="27" t="s">
        <v>7</v>
      </c>
      <c r="AC241" s="27" t="s">
        <v>8</v>
      </c>
      <c r="AD241" s="27" t="s">
        <v>7</v>
      </c>
    </row>
    <row r="242" spans="1:30" x14ac:dyDescent="0.25">
      <c r="A242" s="30">
        <v>0.90702947845804915</v>
      </c>
      <c r="B242"/>
      <c r="C242"/>
      <c r="D242"/>
      <c r="E242"/>
      <c r="R242" s="27" t="s">
        <v>7</v>
      </c>
      <c r="T242" s="27" t="s">
        <v>7</v>
      </c>
      <c r="AB242" s="18" t="s">
        <v>7</v>
      </c>
      <c r="AC242" s="27" t="s">
        <v>8</v>
      </c>
    </row>
    <row r="243" spans="1:30" x14ac:dyDescent="0.25">
      <c r="A243" s="30">
        <v>0.86383759853147501</v>
      </c>
      <c r="B243"/>
      <c r="C243"/>
      <c r="D243"/>
      <c r="E243"/>
      <c r="AB243" s="27" t="s">
        <v>7</v>
      </c>
      <c r="AC243" s="27" t="s">
        <v>8</v>
      </c>
    </row>
    <row r="244" spans="1:30" x14ac:dyDescent="0.25">
      <c r="A244" s="30">
        <v>0.82270247479188063</v>
      </c>
      <c r="B244"/>
      <c r="C244"/>
      <c r="D244"/>
      <c r="E244"/>
      <c r="AB244" s="27" t="s">
        <v>7</v>
      </c>
    </row>
    <row r="245" spans="1:30" x14ac:dyDescent="0.25">
      <c r="A245" s="30">
        <v>0.78352616646845741</v>
      </c>
      <c r="B245"/>
      <c r="C245"/>
      <c r="D245"/>
      <c r="E245"/>
    </row>
    <row r="246" spans="1:30" x14ac:dyDescent="0.25">
      <c r="A246" s="30">
        <v>0.74621539663662584</v>
      </c>
      <c r="B246"/>
      <c r="C246"/>
      <c r="D246"/>
      <c r="E246"/>
    </row>
    <row r="247" spans="1:30" x14ac:dyDescent="0.25">
      <c r="A247" s="30">
        <v>0.71068133013011958</v>
      </c>
      <c r="B247"/>
      <c r="C247"/>
      <c r="D247"/>
      <c r="E247"/>
    </row>
    <row r="248" spans="1:30" x14ac:dyDescent="0.25">
      <c r="A248" s="30">
        <v>0.676839362028685</v>
      </c>
      <c r="B248"/>
      <c r="C248"/>
      <c r="D248"/>
      <c r="E248"/>
    </row>
    <row r="249" spans="1:30" x14ac:dyDescent="0.25">
      <c r="A249" s="30">
        <v>0.64460891621779492</v>
      </c>
      <c r="B249"/>
      <c r="C249"/>
      <c r="D249"/>
      <c r="E249"/>
    </row>
    <row r="250" spans="1:30" x14ac:dyDescent="0.25">
      <c r="A250" s="30">
        <v>0.61391325354075688</v>
      </c>
      <c r="B250"/>
      <c r="C250"/>
      <c r="D250"/>
      <c r="E250"/>
    </row>
    <row r="251" spans="1:30" x14ac:dyDescent="0.25">
      <c r="A251" s="30">
        <v>0.58467928908643485</v>
      </c>
      <c r="B251"/>
      <c r="C251"/>
      <c r="D251"/>
      <c r="E251"/>
    </row>
    <row r="252" spans="1:30" x14ac:dyDescent="0.25">
      <c r="A252" s="30">
        <v>0.55683741817755672</v>
      </c>
      <c r="B252"/>
      <c r="C252"/>
      <c r="D252"/>
      <c r="E252"/>
    </row>
    <row r="253" spans="1:30" x14ac:dyDescent="0.25">
      <c r="A253" s="30">
        <v>0.53032135064529184</v>
      </c>
      <c r="B253"/>
      <c r="C253"/>
      <c r="D253"/>
      <c r="E253"/>
    </row>
    <row r="254" spans="1:30" x14ac:dyDescent="0.25">
      <c r="A254" s="30">
        <v>0.50506795299551588</v>
      </c>
      <c r="B254"/>
      <c r="C254"/>
      <c r="D254"/>
      <c r="E254"/>
    </row>
    <row r="255" spans="1:30" x14ac:dyDescent="0.25">
      <c r="A255" s="30">
        <v>0.48101709809096732</v>
      </c>
      <c r="E255"/>
    </row>
    <row r="256" spans="1:30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74" operator="equal">
      <formula>$U$1</formula>
    </cfRule>
    <cfRule type="cellIs" dxfId="67" priority="675" operator="equal">
      <formula>$S$1</formula>
    </cfRule>
  </conditionalFormatting>
  <conditionalFormatting sqref="D136">
    <cfRule type="cellIs" dxfId="66" priority="672" operator="equal">
      <formula>$S$1</formula>
    </cfRule>
    <cfRule type="cellIs" dxfId="65" priority="673" operator="equal">
      <formula>$U$1</formula>
    </cfRule>
  </conditionalFormatting>
  <conditionalFormatting sqref="C162">
    <cfRule type="cellIs" dxfId="64" priority="670" operator="equal">
      <formula>$U$1</formula>
    </cfRule>
    <cfRule type="cellIs" dxfId="63" priority="671" operator="equal">
      <formula>$S$1</formula>
    </cfRule>
  </conditionalFormatting>
  <conditionalFormatting sqref="D162">
    <cfRule type="cellIs" dxfId="62" priority="668" operator="equal">
      <formula>$S$1</formula>
    </cfRule>
    <cfRule type="cellIs" dxfId="61" priority="669" operator="equal">
      <formula>$U$1</formula>
    </cfRule>
  </conditionalFormatting>
  <conditionalFormatting sqref="C187">
    <cfRule type="cellIs" dxfId="60" priority="666" operator="equal">
      <formula>$U$1</formula>
    </cfRule>
    <cfRule type="cellIs" dxfId="59" priority="667" operator="equal">
      <formula>$S$1</formula>
    </cfRule>
  </conditionalFormatting>
  <conditionalFormatting sqref="D187">
    <cfRule type="cellIs" dxfId="58" priority="664" operator="equal">
      <formula>$S$1</formula>
    </cfRule>
    <cfRule type="cellIs" dxfId="57" priority="665" operator="equal">
      <formula>$U$1</formula>
    </cfRule>
  </conditionalFormatting>
  <conditionalFormatting sqref="C212">
    <cfRule type="cellIs" dxfId="56" priority="662" operator="equal">
      <formula>$U$1</formula>
    </cfRule>
    <cfRule type="cellIs" dxfId="55" priority="663" operator="equal">
      <formula>$S$1</formula>
    </cfRule>
  </conditionalFormatting>
  <conditionalFormatting sqref="D212">
    <cfRule type="cellIs" dxfId="54" priority="660" operator="equal">
      <formula>$S$1</formula>
    </cfRule>
    <cfRule type="cellIs" dxfId="53" priority="661" operator="equal">
      <formula>$U$1</formula>
    </cfRule>
  </conditionalFormatting>
  <conditionalFormatting sqref="C237">
    <cfRule type="cellIs" dxfId="52" priority="658" operator="equal">
      <formula>$U$1</formula>
    </cfRule>
    <cfRule type="cellIs" dxfId="51" priority="659" operator="equal">
      <formula>$S$1</formula>
    </cfRule>
  </conditionalFormatting>
  <conditionalFormatting sqref="D237">
    <cfRule type="cellIs" dxfId="50" priority="656" operator="equal">
      <formula>$S$1</formula>
    </cfRule>
    <cfRule type="cellIs" dxfId="49" priority="657" operator="equal">
      <formula>$U$1</formula>
    </cfRule>
  </conditionalFormatting>
  <conditionalFormatting sqref="C106">
    <cfRule type="cellIs" dxfId="48" priority="654" operator="equal">
      <formula>$U$1</formula>
    </cfRule>
    <cfRule type="cellIs" dxfId="47" priority="655" operator="equal">
      <formula>$S$1</formula>
    </cfRule>
  </conditionalFormatting>
  <conditionalFormatting sqref="D106">
    <cfRule type="cellIs" dxfId="46" priority="652" operator="equal">
      <formula>$S$1</formula>
    </cfRule>
    <cfRule type="cellIs" dxfId="45" priority="653" operator="equal">
      <formula>$U$1</formula>
    </cfRule>
  </conditionalFormatting>
  <conditionalFormatting sqref="C81">
    <cfRule type="cellIs" dxfId="44" priority="650" operator="equal">
      <formula>$U$1</formula>
    </cfRule>
    <cfRule type="cellIs" dxfId="43" priority="651" operator="equal">
      <formula>$S$1</formula>
    </cfRule>
  </conditionalFormatting>
  <conditionalFormatting sqref="D81">
    <cfRule type="cellIs" dxfId="42" priority="648" operator="equal">
      <formula>$S$1</formula>
    </cfRule>
    <cfRule type="cellIs" dxfId="41" priority="649" operator="equal">
      <formula>$U$1</formula>
    </cfRule>
  </conditionalFormatting>
  <conditionalFormatting sqref="C56">
    <cfRule type="cellIs" dxfId="40" priority="646" operator="equal">
      <formula>$U$1</formula>
    </cfRule>
    <cfRule type="cellIs" dxfId="39" priority="647" operator="equal">
      <formula>$S$1</formula>
    </cfRule>
  </conditionalFormatting>
  <conditionalFormatting sqref="D56">
    <cfRule type="cellIs" dxfId="38" priority="644" operator="equal">
      <formula>$S$1</formula>
    </cfRule>
    <cfRule type="cellIs" dxfId="37" priority="645" operator="equal">
      <formula>$U$1</formula>
    </cfRule>
  </conditionalFormatting>
  <conditionalFormatting sqref="C31">
    <cfRule type="cellIs" dxfId="36" priority="642" operator="equal">
      <formula>$U$1</formula>
    </cfRule>
    <cfRule type="cellIs" dxfId="35" priority="643" operator="equal">
      <formula>$S$1</formula>
    </cfRule>
  </conditionalFormatting>
  <conditionalFormatting sqref="D31">
    <cfRule type="cellIs" dxfId="34" priority="640" operator="equal">
      <formula>$S$1</formula>
    </cfRule>
    <cfRule type="cellIs" dxfId="33" priority="64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Z118" sqref="Z11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6" x14ac:dyDescent="0.25">
      <c r="A97" s="30">
        <v>9.849732675807628</v>
      </c>
      <c r="E97"/>
    </row>
    <row r="98" spans="1:26" x14ac:dyDescent="0.25">
      <c r="A98" s="30">
        <v>8.9543024325523888</v>
      </c>
      <c r="C98" s="1" t="s">
        <v>13</v>
      </c>
      <c r="E98"/>
    </row>
    <row r="99" spans="1:26" x14ac:dyDescent="0.25">
      <c r="A99" s="30">
        <v>8.140274938683989</v>
      </c>
      <c r="C99" s="1">
        <f>C88</f>
        <v>0</v>
      </c>
      <c r="E99"/>
    </row>
    <row r="100" spans="1:26" x14ac:dyDescent="0.25">
      <c r="A100" s="30">
        <v>7.4002499442581717</v>
      </c>
      <c r="C100"/>
      <c r="D100"/>
      <c r="E100"/>
    </row>
    <row r="101" spans="1:26" x14ac:dyDescent="0.25">
      <c r="A101" s="30">
        <v>6.72749994932561</v>
      </c>
      <c r="C101" s="1" t="s">
        <v>14</v>
      </c>
      <c r="E101"/>
    </row>
    <row r="102" spans="1:2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26" x14ac:dyDescent="0.25">
      <c r="A103" s="30">
        <v>5.5599173134922388</v>
      </c>
      <c r="E103"/>
    </row>
    <row r="104" spans="1:26" x14ac:dyDescent="0.25">
      <c r="A104" s="30">
        <v>5.0544702849929442</v>
      </c>
      <c r="E104"/>
      <c r="Y104" s="27" t="s">
        <v>8</v>
      </c>
    </row>
    <row r="105" spans="1:26" x14ac:dyDescent="0.25">
      <c r="A105" s="30">
        <v>4.594972986357222</v>
      </c>
      <c r="E105"/>
      <c r="Y105" s="27" t="s">
        <v>8</v>
      </c>
      <c r="Z105" s="27" t="s">
        <v>7</v>
      </c>
    </row>
    <row r="106" spans="1:26" x14ac:dyDescent="0.25">
      <c r="A106" s="30">
        <v>4.1772481694156562</v>
      </c>
      <c r="E106"/>
      <c r="S106" s="27" t="s">
        <v>8</v>
      </c>
      <c r="W106" s="27" t="s">
        <v>8</v>
      </c>
      <c r="Y106" s="27" t="s">
        <v>8</v>
      </c>
      <c r="Z106" s="27" t="s">
        <v>7</v>
      </c>
    </row>
    <row r="107" spans="1:26" x14ac:dyDescent="0.25">
      <c r="A107" s="30">
        <v>3.7974983358324148</v>
      </c>
      <c r="E107"/>
      <c r="S107" s="27" t="s">
        <v>8</v>
      </c>
      <c r="T107" s="27" t="s">
        <v>7</v>
      </c>
      <c r="W107" s="27" t="s">
        <v>8</v>
      </c>
      <c r="X107" s="27" t="s">
        <v>7</v>
      </c>
      <c r="Y107" s="27" t="s">
        <v>8</v>
      </c>
      <c r="Z107" s="27" t="s">
        <v>7</v>
      </c>
    </row>
    <row r="108" spans="1:26" x14ac:dyDescent="0.25">
      <c r="A108" s="30">
        <v>3.4522712143931042</v>
      </c>
      <c r="E108"/>
      <c r="S108" s="27" t="s">
        <v>8</v>
      </c>
      <c r="T108" s="27" t="s">
        <v>7</v>
      </c>
      <c r="U108" s="27" t="s">
        <v>8</v>
      </c>
      <c r="W108" s="27" t="s">
        <v>8</v>
      </c>
      <c r="X108" s="27" t="s">
        <v>7</v>
      </c>
      <c r="Y108" s="27" t="s">
        <v>8</v>
      </c>
      <c r="Z108" s="27" t="s">
        <v>7</v>
      </c>
    </row>
    <row r="109" spans="1:26" x14ac:dyDescent="0.25">
      <c r="A109" s="30">
        <v>3.1384283767210035</v>
      </c>
      <c r="E109"/>
      <c r="S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X109" s="27" t="s">
        <v>7</v>
      </c>
      <c r="Z109" s="27" t="s">
        <v>7</v>
      </c>
    </row>
    <row r="110" spans="1:26" x14ac:dyDescent="0.25">
      <c r="A110" s="30">
        <v>2.8531167061100029</v>
      </c>
      <c r="E110" t="s">
        <v>8</v>
      </c>
      <c r="S110" s="27" t="s">
        <v>8</v>
      </c>
      <c r="T110" s="27" t="s">
        <v>7</v>
      </c>
      <c r="U110" s="27" t="s">
        <v>8</v>
      </c>
      <c r="V110" s="27" t="s">
        <v>7</v>
      </c>
      <c r="W110" s="27" t="s">
        <v>8</v>
      </c>
      <c r="Z110" s="27" t="s">
        <v>7</v>
      </c>
    </row>
    <row r="111" spans="1:26" x14ac:dyDescent="0.25">
      <c r="A111" s="30">
        <v>2.5937424601000023</v>
      </c>
      <c r="C111" s="1" t="str">
        <f>ADDRESS(C121-1,1,1,1)</f>
        <v>$A$117</v>
      </c>
      <c r="D111" s="1" t="str">
        <f>ADDRESS(C121-1,D121,1,1)</f>
        <v>$Z$117</v>
      </c>
      <c r="E111" t="s">
        <v>8</v>
      </c>
      <c r="F111" s="27" t="s">
        <v>7</v>
      </c>
      <c r="G111" s="27" t="s">
        <v>8</v>
      </c>
      <c r="S111" s="27" t="s">
        <v>8</v>
      </c>
      <c r="T111" s="27" t="s">
        <v>7</v>
      </c>
      <c r="V111" s="27" t="s">
        <v>7</v>
      </c>
      <c r="Z111" s="27" t="s">
        <v>7</v>
      </c>
    </row>
    <row r="112" spans="1:26" x14ac:dyDescent="0.25">
      <c r="A112" s="30">
        <v>2.3579476910000019</v>
      </c>
      <c r="C112" s="1" t="str">
        <f>ADDRESS(C121,1,1,1)</f>
        <v>$A$118</v>
      </c>
      <c r="D112" s="1" t="str">
        <f>ADDRESS(C121,D121-1,1,1)</f>
        <v>$Y$118</v>
      </c>
      <c r="E112" t="s">
        <v>8</v>
      </c>
      <c r="F112" s="27" t="s">
        <v>7</v>
      </c>
      <c r="G112" s="27" t="s">
        <v>8</v>
      </c>
      <c r="H112" s="27" t="s">
        <v>7</v>
      </c>
      <c r="O112" s="27" t="s">
        <v>8</v>
      </c>
      <c r="S112" s="27" t="s">
        <v>8</v>
      </c>
      <c r="Z112" s="27" t="s">
        <v>7</v>
      </c>
    </row>
    <row r="113" spans="1:26" x14ac:dyDescent="0.25">
      <c r="A113" s="30">
        <v>2.1435888100000016</v>
      </c>
      <c r="C113" s="1" t="str">
        <f>ADDRESS(C121+1,1,1,1)</f>
        <v>$A$119</v>
      </c>
      <c r="D113" s="1" t="str">
        <f>ADDRESS(C121-1,D121+1,1,1)</f>
        <v>$AA$117</v>
      </c>
      <c r="E113" s="1" t="s">
        <v>8</v>
      </c>
      <c r="F113" s="27" t="s">
        <v>7</v>
      </c>
      <c r="G113" s="27" t="s">
        <v>8</v>
      </c>
      <c r="H113" s="27" t="s">
        <v>7</v>
      </c>
      <c r="O113" s="27" t="s">
        <v>8</v>
      </c>
      <c r="P113" s="27" t="s">
        <v>7</v>
      </c>
      <c r="S113" s="27" t="s">
        <v>8</v>
      </c>
      <c r="Z113" s="27" t="s">
        <v>7</v>
      </c>
    </row>
    <row r="114" spans="1:26" x14ac:dyDescent="0.25">
      <c r="A114" s="30">
        <v>1.9487171000000014</v>
      </c>
      <c r="C114" s="1" t="str">
        <f>ADDRESS(C121,D121,1,1)</f>
        <v>$Z$118</v>
      </c>
      <c r="D114" s="1" t="str">
        <f>ADDRESS(C121+1,D121+1,1,1)</f>
        <v>$AA$119</v>
      </c>
      <c r="E114" s="1" t="s">
        <v>8</v>
      </c>
      <c r="F114" s="27" t="s">
        <v>7</v>
      </c>
      <c r="G114" s="27" t="s">
        <v>8</v>
      </c>
      <c r="H114" s="27" t="s">
        <v>7</v>
      </c>
      <c r="O114" s="27" t="s">
        <v>8</v>
      </c>
      <c r="P114" s="27" t="s">
        <v>7</v>
      </c>
      <c r="Q114" s="27" t="s">
        <v>8</v>
      </c>
      <c r="S114" s="27" t="s">
        <v>8</v>
      </c>
      <c r="Z114" s="27" t="s">
        <v>7</v>
      </c>
    </row>
    <row r="115" spans="1:26" x14ac:dyDescent="0.25">
      <c r="A115" s="30">
        <v>1.7715610000000011</v>
      </c>
      <c r="C115" s="1" t="str">
        <f>ADDRESS(C121+1,D121,1,1)</f>
        <v>$Z$119</v>
      </c>
      <c r="E115" s="1" t="s">
        <v>8</v>
      </c>
      <c r="F115" s="27" t="s">
        <v>7</v>
      </c>
      <c r="G115" s="27" t="s">
        <v>8</v>
      </c>
      <c r="H115" s="27" t="s">
        <v>7</v>
      </c>
      <c r="O115" s="27" t="s">
        <v>8</v>
      </c>
      <c r="P115" s="27" t="s">
        <v>7</v>
      </c>
      <c r="Q115" s="27" t="s">
        <v>8</v>
      </c>
      <c r="R115" s="27" t="s">
        <v>7</v>
      </c>
      <c r="S115" s="27" t="s">
        <v>8</v>
      </c>
      <c r="Z115" s="27" t="s">
        <v>7</v>
      </c>
    </row>
    <row r="116" spans="1:26" x14ac:dyDescent="0.25">
      <c r="A116" s="30">
        <v>1.6105100000000008</v>
      </c>
      <c r="C116" s="1">
        <f>C117-1</f>
        <v>117</v>
      </c>
      <c r="E116" s="1" t="s">
        <v>8</v>
      </c>
      <c r="F116" s="27" t="s">
        <v>7</v>
      </c>
      <c r="G116" s="27" t="s">
        <v>8</v>
      </c>
      <c r="H116" s="27" t="s">
        <v>7</v>
      </c>
      <c r="I116" s="27" t="s">
        <v>8</v>
      </c>
      <c r="O116" s="27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  <c r="Z116" s="27" t="s">
        <v>7</v>
      </c>
    </row>
    <row r="117" spans="1:26" x14ac:dyDescent="0.25">
      <c r="A117" s="30">
        <v>1.4641000000000006</v>
      </c>
      <c r="C117" s="1">
        <f>C121</f>
        <v>118</v>
      </c>
      <c r="D117" s="1">
        <f>D121</f>
        <v>26</v>
      </c>
      <c r="E117" s="1" t="s">
        <v>8</v>
      </c>
      <c r="F117" s="27" t="s">
        <v>7</v>
      </c>
      <c r="G117" s="27" t="s">
        <v>8</v>
      </c>
      <c r="H117" s="27" t="s">
        <v>7</v>
      </c>
      <c r="I117" s="27" t="s">
        <v>8</v>
      </c>
      <c r="J117" s="27" t="s">
        <v>7</v>
      </c>
      <c r="M117" s="27" t="s">
        <v>8</v>
      </c>
      <c r="O117" s="27" t="s">
        <v>8</v>
      </c>
      <c r="P117" s="27" t="s">
        <v>7</v>
      </c>
      <c r="R117" s="27" t="s">
        <v>7</v>
      </c>
      <c r="Z117" s="27" t="s">
        <v>7</v>
      </c>
    </row>
    <row r="118" spans="1:26" x14ac:dyDescent="0.25">
      <c r="A118" s="30">
        <v>1.3310000000000004</v>
      </c>
      <c r="C118" s="1">
        <f>C117+1</f>
        <v>119</v>
      </c>
      <c r="D118" s="1">
        <f>D117+1</f>
        <v>27</v>
      </c>
      <c r="E118" s="1" t="s">
        <v>8</v>
      </c>
      <c r="F118" s="27" t="s">
        <v>7</v>
      </c>
      <c r="H118" s="27" t="s">
        <v>7</v>
      </c>
      <c r="I118" s="27" t="s">
        <v>8</v>
      </c>
      <c r="J118" s="27" t="s">
        <v>7</v>
      </c>
      <c r="M118" s="27" t="s">
        <v>8</v>
      </c>
      <c r="N118" s="27" t="s">
        <v>7</v>
      </c>
      <c r="O118" s="27" t="s">
        <v>8</v>
      </c>
      <c r="Z118" s="27" t="s">
        <v>7</v>
      </c>
    </row>
    <row r="119" spans="1:26" x14ac:dyDescent="0.25">
      <c r="A119" s="30">
        <v>1.2100000000000002</v>
      </c>
      <c r="E119" s="1" t="s">
        <v>8</v>
      </c>
      <c r="H119" s="27" t="s">
        <v>7</v>
      </c>
      <c r="J119" s="27" t="s">
        <v>7</v>
      </c>
      <c r="K119" s="27" t="s">
        <v>8</v>
      </c>
      <c r="M119" s="27" t="s">
        <v>8</v>
      </c>
      <c r="N119" s="27" t="s">
        <v>7</v>
      </c>
      <c r="O119" s="27" t="s">
        <v>8</v>
      </c>
    </row>
    <row r="120" spans="1:26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N120" s="27" t="s">
        <v>7</v>
      </c>
      <c r="O120" s="27" t="s">
        <v>8</v>
      </c>
    </row>
    <row r="121" spans="1:26" x14ac:dyDescent="0.25">
      <c r="A121" s="30">
        <v>1</v>
      </c>
      <c r="C121" s="18">
        <v>118</v>
      </c>
      <c r="D121" s="19">
        <v>26</v>
      </c>
      <c r="E121" s="18" t="s">
        <v>8</v>
      </c>
      <c r="J121" s="27" t="s">
        <v>7</v>
      </c>
      <c r="K121" s="27" t="s">
        <v>8</v>
      </c>
      <c r="L121" s="27" t="s">
        <v>7</v>
      </c>
      <c r="M121" s="27" t="s">
        <v>8</v>
      </c>
      <c r="N121" s="27" t="s">
        <v>7</v>
      </c>
      <c r="O121" s="27" t="s">
        <v>8</v>
      </c>
    </row>
    <row r="122" spans="1:26" x14ac:dyDescent="0.25">
      <c r="A122" s="30">
        <v>0.90909090909090895</v>
      </c>
      <c r="C122" s="1" t="str">
        <f>INDEX(1:1048576,C117,D117)</f>
        <v>O</v>
      </c>
      <c r="J122" s="27" t="s">
        <v>7</v>
      </c>
      <c r="L122" s="27" t="s">
        <v>7</v>
      </c>
      <c r="N122" s="18" t="s">
        <v>7</v>
      </c>
      <c r="O122" s="27" t="s">
        <v>8</v>
      </c>
    </row>
    <row r="123" spans="1:26" x14ac:dyDescent="0.25">
      <c r="A123" s="30">
        <v>0.82644628099173523</v>
      </c>
      <c r="C123" s="1" t="str">
        <f>"R"&amp;C121</f>
        <v>R118</v>
      </c>
      <c r="D123" s="1" t="str">
        <f>"C"&amp;D121</f>
        <v>C26</v>
      </c>
      <c r="N123" s="27" t="s">
        <v>7</v>
      </c>
    </row>
    <row r="124" spans="1:26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26" x14ac:dyDescent="0.25">
      <c r="A125" s="30">
        <v>0.68301345536507019</v>
      </c>
    </row>
    <row r="126" spans="1:26" x14ac:dyDescent="0.25">
      <c r="A126" s="30">
        <v>0.6209213230591546</v>
      </c>
      <c r="C126" s="1" t="s">
        <v>10</v>
      </c>
    </row>
    <row r="127" spans="1:26" x14ac:dyDescent="0.25">
      <c r="A127" s="30">
        <v>0.56447393005377677</v>
      </c>
      <c r="C127" s="30">
        <v>1.3310000000000004</v>
      </c>
      <c r="D127"/>
    </row>
    <row r="128" spans="1:26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58" operator="equal">
      <formula>$U$1</formula>
    </cfRule>
    <cfRule type="cellIs" dxfId="30" priority="659" operator="equal">
      <formula>$S$1</formula>
    </cfRule>
  </conditionalFormatting>
  <conditionalFormatting sqref="D136">
    <cfRule type="cellIs" dxfId="29" priority="656" operator="equal">
      <formula>$S$1</formula>
    </cfRule>
    <cfRule type="cellIs" dxfId="28" priority="657" operator="equal">
      <formula>$U$1</formula>
    </cfRule>
  </conditionalFormatting>
  <conditionalFormatting sqref="C102">
    <cfRule type="cellIs" dxfId="27" priority="654" operator="equal">
      <formula>$U$1</formula>
    </cfRule>
    <cfRule type="cellIs" dxfId="26" priority="655" operator="equal">
      <formula>$S$1</formula>
    </cfRule>
  </conditionalFormatting>
  <conditionalFormatting sqref="D102">
    <cfRule type="cellIs" dxfId="25" priority="652" operator="equal">
      <formula>$S$1</formula>
    </cfRule>
    <cfRule type="cellIs" dxfId="24" priority="653" operator="equal">
      <formula>$U$1</formula>
    </cfRule>
  </conditionalFormatting>
  <conditionalFormatting sqref="C77">
    <cfRule type="cellIs" dxfId="23" priority="650" operator="equal">
      <formula>$U$1</formula>
    </cfRule>
    <cfRule type="cellIs" dxfId="22" priority="651" operator="equal">
      <formula>$S$1</formula>
    </cfRule>
  </conditionalFormatting>
  <conditionalFormatting sqref="D77">
    <cfRule type="cellIs" dxfId="21" priority="648" operator="equal">
      <formula>$S$1</formula>
    </cfRule>
    <cfRule type="cellIs" dxfId="20" priority="649" operator="equal">
      <formula>$U$1</formula>
    </cfRule>
  </conditionalFormatting>
  <conditionalFormatting sqref="C52">
    <cfRule type="cellIs" dxfId="19" priority="646" operator="equal">
      <formula>$U$1</formula>
    </cfRule>
    <cfRule type="cellIs" dxfId="18" priority="647" operator="equal">
      <formula>$S$1</formula>
    </cfRule>
  </conditionalFormatting>
  <conditionalFormatting sqref="D52">
    <cfRule type="cellIs" dxfId="17" priority="644" operator="equal">
      <formula>$S$1</formula>
    </cfRule>
    <cfRule type="cellIs" dxfId="16" priority="645" operator="equal">
      <formula>$U$1</formula>
    </cfRule>
  </conditionalFormatting>
  <conditionalFormatting sqref="C26">
    <cfRule type="cellIs" dxfId="15" priority="642" operator="equal">
      <formula>$U$1</formula>
    </cfRule>
    <cfRule type="cellIs" dxfId="14" priority="643" operator="equal">
      <formula>$S$1</formula>
    </cfRule>
  </conditionalFormatting>
  <conditionalFormatting sqref="D26">
    <cfRule type="cellIs" dxfId="13" priority="640" operator="equal">
      <formula>$S$1</formula>
    </cfRule>
    <cfRule type="cellIs" dxfId="12" priority="64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2022-01-28T01:20:13Z</dcterms:modified>
</cp:coreProperties>
</file>