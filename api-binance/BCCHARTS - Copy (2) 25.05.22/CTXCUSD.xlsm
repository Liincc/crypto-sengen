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3C7A82CA-30DE-490C-98D6-182CBC6AE251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8" i="5"/>
  <c r="C122" i="5"/>
  <c r="C133" i="5" s="1"/>
  <c r="D136" i="5" s="1"/>
  <c r="C122" i="4"/>
  <c r="C133" i="4" s="1"/>
  <c r="C136" i="4" s="1"/>
  <c r="C118" i="4"/>
  <c r="C118" i="3"/>
  <c r="C122" i="3"/>
  <c r="C133" i="3" s="1"/>
  <c r="D136" i="3" s="1"/>
  <c r="R765" i="1"/>
  <c r="C136" i="5" l="1"/>
  <c r="C138" i="5" s="1"/>
  <c r="D136" i="4"/>
  <c r="C138" i="4" s="1"/>
  <c r="C136" i="3"/>
  <c r="C138" i="3" s="1"/>
  <c r="R764" i="1"/>
  <c r="S765" i="1"/>
  <c r="T765" i="1" s="1"/>
  <c r="S764" i="1" l="1"/>
  <c r="T764" i="1" s="1"/>
  <c r="R763" i="1"/>
  <c r="S763" i="1" l="1"/>
  <c r="T763" i="1" s="1"/>
  <c r="R762" i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S754" i="1" l="1"/>
  <c r="T754" i="1" s="1"/>
  <c r="R753" i="1"/>
  <c r="S753" i="1" l="1"/>
  <c r="T753" i="1" s="1"/>
  <c r="R752" i="1"/>
  <c r="R751" i="1" l="1"/>
  <c r="S752" i="1"/>
  <c r="T752" i="1" s="1"/>
  <c r="R750" i="1" l="1"/>
  <c r="S751" i="1"/>
  <c r="T751" i="1" s="1"/>
  <c r="S750" i="1" l="1"/>
  <c r="T750" i="1" s="1"/>
  <c r="R749" i="1"/>
  <c r="S749" i="1" l="1"/>
  <c r="T749" i="1" s="1"/>
  <c r="R748" i="1"/>
  <c r="R747" i="1" l="1"/>
  <c r="S748" i="1"/>
  <c r="T748" i="1" s="1"/>
  <c r="R746" i="1" l="1"/>
  <c r="S747" i="1"/>
  <c r="T747" i="1" s="1"/>
  <c r="S746" i="1" l="1"/>
  <c r="T746" i="1" s="1"/>
  <c r="R745" i="1"/>
  <c r="S745" i="1" l="1"/>
  <c r="T745" i="1" s="1"/>
  <c r="R744" i="1"/>
  <c r="R743" i="1" l="1"/>
  <c r="S744" i="1"/>
  <c r="T744" i="1" s="1"/>
  <c r="R742" i="1" l="1"/>
  <c r="S743" i="1"/>
  <c r="T743" i="1" s="1"/>
  <c r="S742" i="1" l="1"/>
  <c r="T742" i="1" s="1"/>
  <c r="R741" i="1"/>
  <c r="S741" i="1" l="1"/>
  <c r="T741" i="1" s="1"/>
  <c r="R740" i="1"/>
  <c r="R739" i="1" l="1"/>
  <c r="S740" i="1"/>
  <c r="T740" i="1" s="1"/>
  <c r="R738" i="1" l="1"/>
  <c r="S739" i="1"/>
  <c r="T739" i="1" s="1"/>
  <c r="S738" i="1" l="1"/>
  <c r="T738" i="1" s="1"/>
  <c r="R737" i="1"/>
  <c r="S737" i="1" l="1"/>
  <c r="T737" i="1" s="1"/>
  <c r="R736" i="1"/>
  <c r="R735" i="1" l="1"/>
  <c r="S736" i="1"/>
  <c r="T736" i="1" s="1"/>
  <c r="R734" i="1" l="1"/>
  <c r="S735" i="1"/>
  <c r="T735" i="1" s="1"/>
  <c r="S734" i="1" l="1"/>
  <c r="T734" i="1" s="1"/>
  <c r="R733" i="1"/>
  <c r="R732" i="1" l="1"/>
  <c r="S733" i="1"/>
  <c r="T733" i="1" s="1"/>
  <c r="R731" i="1" l="1"/>
  <c r="S732" i="1"/>
  <c r="T732" i="1" s="1"/>
  <c r="S731" i="1" l="1"/>
  <c r="T731" i="1" s="1"/>
  <c r="R730" i="1"/>
  <c r="S730" i="1" l="1"/>
  <c r="T730" i="1" s="1"/>
  <c r="R729" i="1"/>
  <c r="R728" i="1" l="1"/>
  <c r="S729" i="1"/>
  <c r="T729" i="1" s="1"/>
  <c r="R727" i="1" l="1"/>
  <c r="S728" i="1"/>
  <c r="T728" i="1" s="1"/>
  <c r="S727" i="1" l="1"/>
  <c r="T727" i="1" s="1"/>
  <c r="R726" i="1"/>
  <c r="S726" i="1" l="1"/>
  <c r="T726" i="1" s="1"/>
  <c r="R725" i="1"/>
  <c r="R724" i="1" l="1"/>
  <c r="S725" i="1"/>
  <c r="T725" i="1" s="1"/>
  <c r="R723" i="1" l="1"/>
  <c r="S724" i="1"/>
  <c r="T724" i="1" s="1"/>
  <c r="S723" i="1" l="1"/>
  <c r="T723" i="1" s="1"/>
  <c r="R722" i="1"/>
  <c r="R721" i="1" l="1"/>
  <c r="S722" i="1"/>
  <c r="T722" i="1" s="1"/>
  <c r="S721" i="1" l="1"/>
  <c r="T721" i="1" s="1"/>
  <c r="R720" i="1"/>
  <c r="S720" i="1" l="1"/>
  <c r="T720" i="1" s="1"/>
  <c r="R719" i="1"/>
  <c r="R718" i="1" l="1"/>
  <c r="S719" i="1"/>
  <c r="T719" i="1" s="1"/>
  <c r="R717" i="1" l="1"/>
  <c r="S718" i="1"/>
  <c r="T718" i="1" s="1"/>
  <c r="S717" i="1" l="1"/>
  <c r="T717" i="1" s="1"/>
  <c r="R716" i="1"/>
  <c r="R715" i="1" l="1"/>
  <c r="S716" i="1"/>
  <c r="T716" i="1" s="1"/>
  <c r="S715" i="1" l="1"/>
  <c r="T715" i="1" s="1"/>
  <c r="R714" i="1"/>
  <c r="S714" i="1" l="1"/>
  <c r="T714" i="1" s="1"/>
  <c r="R713" i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S709" i="1" l="1"/>
  <c r="T709" i="1" s="1"/>
  <c r="R708" i="1"/>
  <c r="S708" i="1" l="1"/>
  <c r="T708" i="1" s="1"/>
  <c r="R707" i="1"/>
  <c r="R706" i="1" l="1"/>
  <c r="S707" i="1"/>
  <c r="T707" i="1" s="1"/>
  <c r="R705" i="1" l="1"/>
  <c r="S706" i="1"/>
  <c r="T706" i="1" s="1"/>
  <c r="S705" i="1" l="1"/>
  <c r="T705" i="1" s="1"/>
  <c r="R704" i="1"/>
  <c r="S704" i="1" l="1"/>
  <c r="T704" i="1" s="1"/>
  <c r="R703" i="1"/>
  <c r="S703" i="1" l="1"/>
  <c r="T703" i="1" s="1"/>
  <c r="R702" i="1"/>
  <c r="R701" i="1" l="1"/>
  <c r="S702" i="1"/>
  <c r="T702" i="1" s="1"/>
  <c r="R700" i="1" l="1"/>
  <c r="S701" i="1"/>
  <c r="T701" i="1" s="1"/>
  <c r="S700" i="1" l="1"/>
  <c r="T700" i="1" s="1"/>
  <c r="R699" i="1"/>
  <c r="S699" i="1" l="1"/>
  <c r="T699" i="1" s="1"/>
  <c r="R698" i="1"/>
  <c r="R697" i="1" l="1"/>
  <c r="S698" i="1"/>
  <c r="T698" i="1" s="1"/>
  <c r="R696" i="1" l="1"/>
  <c r="S697" i="1"/>
  <c r="T697" i="1" s="1"/>
  <c r="S696" i="1" l="1"/>
  <c r="T696" i="1" s="1"/>
  <c r="R695" i="1"/>
  <c r="S695" i="1" l="1"/>
  <c r="T695" i="1" s="1"/>
  <c r="R694" i="1"/>
  <c r="S694" i="1" l="1"/>
  <c r="T694" i="1" s="1"/>
  <c r="R693" i="1"/>
  <c r="R692" i="1" l="1"/>
  <c r="S693" i="1"/>
  <c r="T693" i="1" s="1"/>
  <c r="R691" i="1" l="1"/>
  <c r="S692" i="1"/>
  <c r="T692" i="1" s="1"/>
  <c r="S691" i="1" l="1"/>
  <c r="T691" i="1" s="1"/>
  <c r="R690" i="1"/>
  <c r="S690" i="1" l="1"/>
  <c r="T690" i="1" s="1"/>
  <c r="R689" i="1"/>
  <c r="R688" i="1" l="1"/>
  <c r="S689" i="1"/>
  <c r="T689" i="1" s="1"/>
  <c r="R687" i="1" l="1"/>
  <c r="S688" i="1"/>
  <c r="T688" i="1" s="1"/>
  <c r="R686" i="1" l="1"/>
  <c r="S687" i="1"/>
  <c r="T687" i="1" s="1"/>
  <c r="S686" i="1" l="1"/>
  <c r="T686" i="1" s="1"/>
  <c r="R685" i="1"/>
  <c r="S685" i="1" l="1"/>
  <c r="T685" i="1" s="1"/>
  <c r="R684" i="1"/>
  <c r="R683" i="1" l="1"/>
  <c r="S684" i="1"/>
  <c r="T684" i="1" s="1"/>
  <c r="S683" i="1" l="1"/>
  <c r="T683" i="1" s="1"/>
  <c r="R682" i="1"/>
  <c r="R681" i="1" l="1"/>
  <c r="S682" i="1"/>
  <c r="T682" i="1" s="1"/>
  <c r="R680" i="1" l="1"/>
  <c r="S681" i="1"/>
  <c r="T681" i="1" s="1"/>
  <c r="S680" i="1" l="1"/>
  <c r="T680" i="1" s="1"/>
  <c r="R679" i="1"/>
  <c r="S679" i="1" l="1"/>
  <c r="T679" i="1" s="1"/>
  <c r="R678" i="1"/>
  <c r="R677" i="1" l="1"/>
  <c r="S678" i="1"/>
  <c r="T678" i="1" s="1"/>
  <c r="R676" i="1" l="1"/>
  <c r="S677" i="1"/>
  <c r="T677" i="1" s="1"/>
  <c r="S676" i="1" l="1"/>
  <c r="T676" i="1" s="1"/>
  <c r="R675" i="1"/>
  <c r="S675" i="1" l="1"/>
  <c r="T675" i="1" s="1"/>
  <c r="R674" i="1"/>
  <c r="S674" i="1" l="1"/>
  <c r="T674" i="1" s="1"/>
  <c r="R673" i="1"/>
  <c r="R672" i="1" l="1"/>
  <c r="S673" i="1"/>
  <c r="T673" i="1" s="1"/>
  <c r="R671" i="1" l="1"/>
  <c r="S672" i="1"/>
  <c r="T672" i="1" s="1"/>
  <c r="S671" i="1" l="1"/>
  <c r="T671" i="1" s="1"/>
  <c r="R670" i="1"/>
  <c r="S670" i="1" l="1"/>
  <c r="T670" i="1" s="1"/>
  <c r="R669" i="1"/>
  <c r="R668" i="1" l="1"/>
  <c r="S669" i="1"/>
  <c r="T669" i="1" s="1"/>
  <c r="R667" i="1" l="1"/>
  <c r="S668" i="1"/>
  <c r="T668" i="1" s="1"/>
  <c r="S667" i="1" l="1"/>
  <c r="T667" i="1" s="1"/>
  <c r="R666" i="1"/>
  <c r="S666" i="1" l="1"/>
  <c r="T666" i="1" s="1"/>
  <c r="R665" i="1"/>
  <c r="S665" i="1" l="1"/>
  <c r="T665" i="1" s="1"/>
  <c r="R664" i="1"/>
  <c r="R663" i="1" l="1"/>
  <c r="S664" i="1"/>
  <c r="T664" i="1" s="1"/>
  <c r="R662" i="1" l="1"/>
  <c r="S663" i="1"/>
  <c r="T663" i="1" s="1"/>
  <c r="S662" i="1" l="1"/>
  <c r="T662" i="1" s="1"/>
  <c r="R661" i="1"/>
  <c r="S661" i="1" l="1"/>
  <c r="T661" i="1" s="1"/>
  <c r="R660" i="1"/>
  <c r="R659" i="1" l="1"/>
  <c r="S660" i="1"/>
  <c r="T660" i="1" s="1"/>
  <c r="R658" i="1" l="1"/>
  <c r="S659" i="1"/>
  <c r="T659" i="1" s="1"/>
  <c r="S658" i="1" l="1"/>
  <c r="T658" i="1" s="1"/>
  <c r="R657" i="1"/>
  <c r="S657" i="1" l="1"/>
  <c r="T657" i="1" s="1"/>
  <c r="R656" i="1"/>
  <c r="R655" i="1" l="1"/>
  <c r="S656" i="1"/>
  <c r="T656" i="1" s="1"/>
  <c r="R654" i="1" l="1"/>
  <c r="S655" i="1"/>
  <c r="T655" i="1" s="1"/>
  <c r="R653" i="1" l="1"/>
  <c r="S654" i="1"/>
  <c r="T654" i="1" s="1"/>
  <c r="S653" i="1" l="1"/>
  <c r="T653" i="1" s="1"/>
  <c r="R652" i="1"/>
  <c r="S652" i="1" l="1"/>
  <c r="T652" i="1" s="1"/>
  <c r="R651" i="1"/>
  <c r="R650" i="1" l="1"/>
  <c r="S651" i="1"/>
  <c r="T651" i="1" s="1"/>
  <c r="R649" i="1" l="1"/>
  <c r="S650" i="1"/>
  <c r="T650" i="1" s="1"/>
  <c r="S649" i="1" l="1"/>
  <c r="T649" i="1" s="1"/>
  <c r="R648" i="1"/>
  <c r="R647" i="1" l="1"/>
  <c r="S648" i="1"/>
  <c r="T648" i="1" s="1"/>
  <c r="R646" i="1" l="1"/>
  <c r="S647" i="1"/>
  <c r="T647" i="1" s="1"/>
  <c r="S646" i="1" l="1"/>
  <c r="T646" i="1" s="1"/>
  <c r="R645" i="1"/>
  <c r="S645" i="1" l="1"/>
  <c r="T645" i="1" s="1"/>
  <c r="R644" i="1"/>
  <c r="R643" i="1" l="1"/>
  <c r="S644" i="1"/>
  <c r="T644" i="1" s="1"/>
  <c r="R642" i="1" l="1"/>
  <c r="S643" i="1"/>
  <c r="T643" i="1" s="1"/>
  <c r="R641" i="1" l="1"/>
  <c r="S642" i="1"/>
  <c r="T642" i="1" s="1"/>
  <c r="S641" i="1" l="1"/>
  <c r="T641" i="1" s="1"/>
  <c r="R640" i="1"/>
  <c r="S640" i="1" l="1"/>
  <c r="T640" i="1" s="1"/>
  <c r="R639" i="1"/>
  <c r="R638" i="1" l="1"/>
  <c r="S639" i="1"/>
  <c r="T639" i="1" s="1"/>
  <c r="R637" i="1" l="1"/>
  <c r="S638" i="1"/>
  <c r="T638" i="1" s="1"/>
  <c r="S637" i="1" l="1"/>
  <c r="T637" i="1" s="1"/>
  <c r="R636" i="1"/>
  <c r="S636" i="1" l="1"/>
  <c r="T636" i="1" s="1"/>
  <c r="R635" i="1"/>
  <c r="R634" i="1" l="1"/>
  <c r="S635" i="1"/>
  <c r="T635" i="1" s="1"/>
  <c r="R633" i="1" l="1"/>
  <c r="S634" i="1"/>
  <c r="T634" i="1" s="1"/>
  <c r="S633" i="1" l="1"/>
  <c r="T633" i="1" s="1"/>
  <c r="R632" i="1"/>
  <c r="S632" i="1" l="1"/>
  <c r="T632" i="1" s="1"/>
  <c r="R631" i="1"/>
  <c r="R630" i="1" l="1"/>
  <c r="S631" i="1"/>
  <c r="T631" i="1" s="1"/>
  <c r="R629" i="1" l="1"/>
  <c r="S630" i="1"/>
  <c r="T630" i="1" s="1"/>
  <c r="S629" i="1" l="1"/>
  <c r="T629" i="1" s="1"/>
  <c r="R628" i="1"/>
  <c r="S628" i="1" l="1"/>
  <c r="T628" i="1" s="1"/>
  <c r="R627" i="1"/>
  <c r="R626" i="1" l="1"/>
  <c r="S627" i="1"/>
  <c r="T627" i="1" s="1"/>
  <c r="R625" i="1" l="1"/>
  <c r="S626" i="1"/>
  <c r="T626" i="1" s="1"/>
  <c r="S625" i="1" l="1"/>
  <c r="T625" i="1" s="1"/>
  <c r="R624" i="1"/>
  <c r="S624" i="1" l="1"/>
  <c r="T624" i="1" s="1"/>
  <c r="R623" i="1"/>
  <c r="R622" i="1" l="1"/>
  <c r="S623" i="1"/>
  <c r="T623" i="1" s="1"/>
  <c r="R621" i="1" l="1"/>
  <c r="S622" i="1"/>
  <c r="T622" i="1" s="1"/>
  <c r="S621" i="1" l="1"/>
  <c r="T621" i="1" s="1"/>
  <c r="R620" i="1"/>
  <c r="S620" i="1" l="1"/>
  <c r="T620" i="1" s="1"/>
  <c r="R619" i="1"/>
  <c r="R618" i="1" l="1"/>
  <c r="S619" i="1"/>
  <c r="T619" i="1" s="1"/>
  <c r="S618" i="1" l="1"/>
  <c r="T618" i="1" s="1"/>
  <c r="R617" i="1"/>
  <c r="S617" i="1" l="1"/>
  <c r="T617" i="1" s="1"/>
  <c r="R616" i="1"/>
  <c r="R615" i="1" l="1"/>
  <c r="S616" i="1"/>
  <c r="T616" i="1" s="1"/>
  <c r="R614" i="1" l="1"/>
  <c r="S615" i="1"/>
  <c r="T615" i="1" s="1"/>
  <c r="S614" i="1" l="1"/>
  <c r="T614" i="1" s="1"/>
  <c r="R613" i="1"/>
  <c r="S613" i="1" l="1"/>
  <c r="T613" i="1" s="1"/>
  <c r="R612" i="1"/>
  <c r="R611" i="1" l="1"/>
  <c r="S612" i="1"/>
  <c r="T612" i="1" s="1"/>
  <c r="R610" i="1" l="1"/>
  <c r="S611" i="1"/>
  <c r="T611" i="1" s="1"/>
  <c r="S610" i="1" l="1"/>
  <c r="T610" i="1" s="1"/>
  <c r="R609" i="1"/>
  <c r="S609" i="1" l="1"/>
  <c r="T609" i="1" s="1"/>
  <c r="R608" i="1"/>
  <c r="S608" i="1" l="1"/>
  <c r="T608" i="1" s="1"/>
  <c r="R607" i="1"/>
  <c r="R606" i="1" l="1"/>
  <c r="S607" i="1"/>
  <c r="T607" i="1" s="1"/>
  <c r="R605" i="1" l="1"/>
  <c r="S606" i="1"/>
  <c r="T606" i="1" s="1"/>
  <c r="S605" i="1" l="1"/>
  <c r="T605" i="1" s="1"/>
  <c r="R604" i="1"/>
  <c r="S604" i="1" l="1"/>
  <c r="T604" i="1" s="1"/>
  <c r="R603" i="1"/>
  <c r="S603" i="1" l="1"/>
  <c r="T603" i="1" s="1"/>
  <c r="R602" i="1"/>
  <c r="R601" i="1" l="1"/>
  <c r="S602" i="1"/>
  <c r="T602" i="1" s="1"/>
  <c r="R600" i="1" l="1"/>
  <c r="S601" i="1"/>
  <c r="T601" i="1" s="1"/>
  <c r="S600" i="1" l="1"/>
  <c r="T600" i="1" s="1"/>
  <c r="R599" i="1"/>
  <c r="S599" i="1" l="1"/>
  <c r="T599" i="1" s="1"/>
  <c r="R598" i="1"/>
  <c r="R597" i="1" l="1"/>
  <c r="S598" i="1"/>
  <c r="T598" i="1" s="1"/>
  <c r="R596" i="1" l="1"/>
  <c r="S597" i="1"/>
  <c r="T597" i="1" s="1"/>
  <c r="S596" i="1" l="1"/>
  <c r="T596" i="1" s="1"/>
  <c r="R595" i="1"/>
  <c r="S595" i="1" l="1"/>
  <c r="T595" i="1" s="1"/>
  <c r="R594" i="1"/>
  <c r="R593" i="1" l="1"/>
  <c r="S594" i="1"/>
  <c r="T594" i="1" s="1"/>
  <c r="R592" i="1" l="1"/>
  <c r="S593" i="1"/>
  <c r="T593" i="1" s="1"/>
  <c r="S592" i="1" l="1"/>
  <c r="T592" i="1" s="1"/>
  <c r="R591" i="1"/>
  <c r="S591" i="1" l="1"/>
  <c r="T591" i="1" s="1"/>
  <c r="R590" i="1"/>
  <c r="R589" i="1" l="1"/>
  <c r="S590" i="1"/>
  <c r="T590" i="1" s="1"/>
  <c r="S589" i="1" l="1"/>
  <c r="T589" i="1" s="1"/>
  <c r="R588" i="1"/>
  <c r="S588" i="1" l="1"/>
  <c r="T588" i="1" s="1"/>
  <c r="R587" i="1"/>
  <c r="S587" i="1" l="1"/>
  <c r="T587" i="1" s="1"/>
  <c r="R586" i="1"/>
  <c r="R585" i="1" l="1"/>
  <c r="S586" i="1"/>
  <c r="T586" i="1" s="1"/>
  <c r="S585" i="1" l="1"/>
  <c r="T585" i="1" s="1"/>
  <c r="R584" i="1"/>
  <c r="S584" i="1" l="1"/>
  <c r="T584" i="1" s="1"/>
  <c r="R583" i="1"/>
  <c r="R582" i="1" l="1"/>
  <c r="S583" i="1"/>
  <c r="T583" i="1" s="1"/>
  <c r="S582" i="1" l="1"/>
  <c r="T582" i="1" s="1"/>
  <c r="R581" i="1"/>
  <c r="R580" i="1" l="1"/>
  <c r="S581" i="1"/>
  <c r="T581" i="1" s="1"/>
  <c r="R579" i="1" l="1"/>
  <c r="S580" i="1"/>
  <c r="T580" i="1" s="1"/>
  <c r="S579" i="1" l="1"/>
  <c r="T579" i="1" s="1"/>
  <c r="R578" i="1"/>
  <c r="S578" i="1" l="1"/>
  <c r="T578" i="1" s="1"/>
  <c r="R577" i="1"/>
  <c r="R576" i="1" l="1"/>
  <c r="S577" i="1"/>
  <c r="T577" i="1" s="1"/>
  <c r="R575" i="1" l="1"/>
  <c r="S576" i="1"/>
  <c r="T576" i="1" s="1"/>
  <c r="R574" i="1" l="1"/>
  <c r="S575" i="1"/>
  <c r="T575" i="1" s="1"/>
  <c r="S574" i="1" l="1"/>
  <c r="T574" i="1" s="1"/>
  <c r="R573" i="1"/>
  <c r="S573" i="1" l="1"/>
  <c r="T573" i="1" s="1"/>
  <c r="R572" i="1"/>
  <c r="S572" i="1" l="1"/>
  <c r="T572" i="1" s="1"/>
  <c r="R571" i="1"/>
  <c r="R570" i="1" l="1"/>
  <c r="S571" i="1"/>
  <c r="T571" i="1" s="1"/>
  <c r="R569" i="1" l="1"/>
  <c r="S570" i="1"/>
  <c r="T570" i="1" s="1"/>
  <c r="S569" i="1" l="1"/>
  <c r="T569" i="1" s="1"/>
  <c r="R568" i="1"/>
  <c r="S568" i="1" l="1"/>
  <c r="T568" i="1" s="1"/>
  <c r="R567" i="1"/>
  <c r="R566" i="1" l="1"/>
  <c r="S567" i="1"/>
  <c r="T567" i="1" s="1"/>
  <c r="R565" i="1" l="1"/>
  <c r="S566" i="1"/>
  <c r="T566" i="1" s="1"/>
  <c r="S565" i="1" l="1"/>
  <c r="T565" i="1" s="1"/>
  <c r="R564" i="1"/>
  <c r="S564" i="1" l="1"/>
  <c r="T564" i="1" s="1"/>
  <c r="R563" i="1"/>
  <c r="R562" i="1" l="1"/>
  <c r="S563" i="1"/>
  <c r="T563" i="1" s="1"/>
  <c r="R561" i="1" l="1"/>
  <c r="S562" i="1"/>
  <c r="T562" i="1" s="1"/>
  <c r="S561" i="1" l="1"/>
  <c r="T561" i="1" s="1"/>
  <c r="R560" i="1"/>
  <c r="S560" i="1" l="1"/>
  <c r="T560" i="1" s="1"/>
  <c r="R559" i="1"/>
  <c r="S559" i="1" l="1"/>
  <c r="T559" i="1" s="1"/>
  <c r="R558" i="1"/>
  <c r="R557" i="1" l="1"/>
  <c r="S558" i="1"/>
  <c r="T558" i="1" s="1"/>
  <c r="R556" i="1" l="1"/>
  <c r="S557" i="1"/>
  <c r="T557" i="1" s="1"/>
  <c r="S556" i="1" l="1"/>
  <c r="T556" i="1" s="1"/>
  <c r="R555" i="1"/>
  <c r="S555" i="1" l="1"/>
  <c r="T555" i="1" s="1"/>
  <c r="R554" i="1"/>
  <c r="R553" i="1" l="1"/>
  <c r="S554" i="1"/>
  <c r="T554" i="1" s="1"/>
  <c r="R552" i="1" l="1"/>
  <c r="S553" i="1"/>
  <c r="T553" i="1" s="1"/>
  <c r="S552" i="1" l="1"/>
  <c r="T552" i="1" s="1"/>
  <c r="R551" i="1"/>
  <c r="R550" i="1" l="1"/>
  <c r="S551" i="1"/>
  <c r="T551" i="1" s="1"/>
  <c r="R549" i="1" l="1"/>
  <c r="S550" i="1"/>
  <c r="T550" i="1" s="1"/>
  <c r="S549" i="1" l="1"/>
  <c r="T549" i="1" s="1"/>
  <c r="R548" i="1"/>
  <c r="R547" i="1" l="1"/>
  <c r="S548" i="1"/>
  <c r="T548" i="1" s="1"/>
  <c r="S547" i="1" l="1"/>
  <c r="T547" i="1" s="1"/>
  <c r="R546" i="1"/>
  <c r="S546" i="1" l="1"/>
  <c r="T546" i="1" s="1"/>
  <c r="R545" i="1"/>
  <c r="R544" i="1" l="1"/>
  <c r="S545" i="1"/>
  <c r="T545" i="1" s="1"/>
  <c r="S544" i="1" l="1"/>
  <c r="T544" i="1" s="1"/>
  <c r="R543" i="1"/>
  <c r="S543" i="1" l="1"/>
  <c r="T543" i="1" s="1"/>
  <c r="R542" i="1"/>
  <c r="R541" i="1" l="1"/>
  <c r="S542" i="1"/>
  <c r="T542" i="1" s="1"/>
  <c r="R540" i="1" l="1"/>
  <c r="S541" i="1"/>
  <c r="T541" i="1" s="1"/>
  <c r="S540" i="1" l="1"/>
  <c r="T540" i="1" s="1"/>
  <c r="R539" i="1"/>
  <c r="S539" i="1" l="1"/>
  <c r="T539" i="1" s="1"/>
  <c r="R538" i="1"/>
  <c r="R537" i="1" l="1"/>
  <c r="S538" i="1"/>
  <c r="T538" i="1" s="1"/>
  <c r="R536" i="1" l="1"/>
  <c r="S537" i="1"/>
  <c r="T537" i="1" s="1"/>
  <c r="S536" i="1" l="1"/>
  <c r="T536" i="1" s="1"/>
  <c r="R535" i="1"/>
  <c r="R534" i="1" l="1"/>
  <c r="S535" i="1"/>
  <c r="T535" i="1" s="1"/>
  <c r="S534" i="1" l="1"/>
  <c r="T534" i="1" s="1"/>
  <c r="R533" i="1"/>
  <c r="S533" i="1" l="1"/>
  <c r="T533" i="1" s="1"/>
  <c r="R532" i="1"/>
  <c r="R531" i="1" l="1"/>
  <c r="S532" i="1"/>
  <c r="T532" i="1" s="1"/>
  <c r="R530" i="1" l="1"/>
  <c r="S531" i="1"/>
  <c r="T531" i="1" s="1"/>
  <c r="S530" i="1" l="1"/>
  <c r="T530" i="1" s="1"/>
  <c r="R529" i="1"/>
  <c r="S529" i="1" l="1"/>
  <c r="T529" i="1" s="1"/>
  <c r="R528" i="1"/>
  <c r="S528" i="1" l="1"/>
  <c r="T528" i="1" s="1"/>
  <c r="R527" i="1"/>
  <c r="R526" i="1" l="1"/>
  <c r="S527" i="1"/>
  <c r="T527" i="1" s="1"/>
  <c r="S526" i="1" l="1"/>
  <c r="T526" i="1" s="1"/>
  <c r="R525" i="1"/>
  <c r="S525" i="1" l="1"/>
  <c r="T525" i="1" s="1"/>
  <c r="R524" i="1"/>
  <c r="R523" i="1" l="1"/>
  <c r="S524" i="1"/>
  <c r="T524" i="1" s="1"/>
  <c r="R522" i="1" l="1"/>
  <c r="S523" i="1"/>
  <c r="T523" i="1" s="1"/>
  <c r="S522" i="1" l="1"/>
  <c r="T522" i="1" s="1"/>
  <c r="R521" i="1"/>
  <c r="S521" i="1" l="1"/>
  <c r="T521" i="1" s="1"/>
  <c r="R520" i="1"/>
  <c r="R519" i="1" l="1"/>
  <c r="S520" i="1"/>
  <c r="T520" i="1" s="1"/>
  <c r="R518" i="1" l="1"/>
  <c r="S519" i="1"/>
  <c r="T519" i="1" s="1"/>
  <c r="S518" i="1" l="1"/>
  <c r="T518" i="1" s="1"/>
  <c r="R517" i="1"/>
  <c r="R516" i="1" l="1"/>
  <c r="S517" i="1"/>
  <c r="T517" i="1" s="1"/>
  <c r="R515" i="1" l="1"/>
  <c r="S516" i="1"/>
  <c r="T516" i="1" s="1"/>
  <c r="S515" i="1" l="1"/>
  <c r="T515" i="1" s="1"/>
  <c r="R514" i="1"/>
  <c r="S514" i="1" l="1"/>
  <c r="T514" i="1" s="1"/>
  <c r="R513" i="1"/>
  <c r="S513" i="1" l="1"/>
  <c r="T513" i="1" s="1"/>
  <c r="R512" i="1"/>
  <c r="R511" i="1" l="1"/>
  <c r="S512" i="1"/>
  <c r="T512" i="1" s="1"/>
  <c r="S511" i="1" l="1"/>
  <c r="T511" i="1" s="1"/>
  <c r="R510" i="1"/>
  <c r="S510" i="1" l="1"/>
  <c r="T510" i="1" s="1"/>
  <c r="R509" i="1"/>
  <c r="S509" i="1" l="1"/>
  <c r="T509" i="1" s="1"/>
  <c r="R508" i="1"/>
  <c r="R507" i="1" l="1"/>
  <c r="S508" i="1"/>
  <c r="T508" i="1" s="1"/>
  <c r="R506" i="1" l="1"/>
  <c r="S507" i="1"/>
  <c r="T507" i="1" s="1"/>
  <c r="S506" i="1" l="1"/>
  <c r="T506" i="1" s="1"/>
  <c r="R505" i="1"/>
  <c r="S505" i="1" l="1"/>
  <c r="T505" i="1" s="1"/>
  <c r="R504" i="1"/>
  <c r="R503" i="1" l="1"/>
  <c r="S504" i="1"/>
  <c r="T504" i="1" s="1"/>
  <c r="R502" i="1" l="1"/>
  <c r="S503" i="1"/>
  <c r="T503" i="1" s="1"/>
  <c r="S502" i="1" l="1"/>
  <c r="T502" i="1" s="1"/>
  <c r="R501" i="1"/>
  <c r="R500" i="1" l="1"/>
  <c r="S501" i="1"/>
  <c r="T501" i="1" s="1"/>
  <c r="R499" i="1" l="1"/>
  <c r="S500" i="1"/>
  <c r="T500" i="1" s="1"/>
  <c r="S499" i="1" l="1"/>
  <c r="T499" i="1" s="1"/>
  <c r="R498" i="1"/>
  <c r="S498" i="1" l="1"/>
  <c r="T498" i="1" s="1"/>
  <c r="R497" i="1"/>
  <c r="R496" i="1" l="1"/>
  <c r="S497" i="1"/>
  <c r="T497" i="1" s="1"/>
  <c r="R495" i="1" l="1"/>
  <c r="S496" i="1"/>
  <c r="T496" i="1" s="1"/>
  <c r="S495" i="1" l="1"/>
  <c r="T495" i="1" s="1"/>
  <c r="R494" i="1"/>
  <c r="R493" i="1" l="1"/>
  <c r="S494" i="1"/>
  <c r="T494" i="1" s="1"/>
  <c r="R492" i="1" l="1"/>
  <c r="S493" i="1"/>
  <c r="T493" i="1" s="1"/>
  <c r="S492" i="1" l="1"/>
  <c r="T492" i="1" s="1"/>
  <c r="R491" i="1"/>
  <c r="R490" i="1" l="1"/>
  <c r="S491" i="1"/>
  <c r="T491" i="1" s="1"/>
  <c r="R489" i="1" l="1"/>
  <c r="S490" i="1"/>
  <c r="T490" i="1" s="1"/>
  <c r="S489" i="1" l="1"/>
  <c r="T489" i="1" s="1"/>
  <c r="R488" i="1"/>
  <c r="S488" i="1" l="1"/>
  <c r="T488" i="1" s="1"/>
  <c r="R487" i="1"/>
  <c r="R486" i="1" l="1"/>
  <c r="S487" i="1"/>
  <c r="T487" i="1" s="1"/>
  <c r="R485" i="1" l="1"/>
  <c r="S486" i="1"/>
  <c r="T486" i="1" s="1"/>
  <c r="S485" i="1" l="1"/>
  <c r="T485" i="1" s="1"/>
  <c r="R484" i="1"/>
  <c r="S484" i="1" l="1"/>
  <c r="T484" i="1" s="1"/>
  <c r="R483" i="1"/>
  <c r="R482" i="1" l="1"/>
  <c r="S483" i="1"/>
  <c r="T483" i="1" s="1"/>
  <c r="R481" i="1" l="1"/>
  <c r="S482" i="1"/>
  <c r="T482" i="1" s="1"/>
  <c r="S481" i="1" l="1"/>
  <c r="T481" i="1" s="1"/>
  <c r="R480" i="1"/>
  <c r="S480" i="1" l="1"/>
  <c r="T480" i="1" s="1"/>
  <c r="R479" i="1"/>
  <c r="R478" i="1" l="1"/>
  <c r="S479" i="1"/>
  <c r="T479" i="1" s="1"/>
  <c r="R477" i="1" l="1"/>
  <c r="S478" i="1"/>
  <c r="T478" i="1" s="1"/>
  <c r="S477" i="1" l="1"/>
  <c r="T477" i="1" s="1"/>
  <c r="R476" i="1"/>
  <c r="S476" i="1" l="1"/>
  <c r="T476" i="1" s="1"/>
  <c r="R475" i="1"/>
  <c r="R474" i="1" l="1"/>
  <c r="S475" i="1"/>
  <c r="T475" i="1" s="1"/>
  <c r="R473" i="1" l="1"/>
  <c r="S474" i="1"/>
  <c r="T474" i="1" s="1"/>
  <c r="R472" i="1" l="1"/>
  <c r="S473" i="1"/>
  <c r="T473" i="1" s="1"/>
  <c r="S472" i="1" l="1"/>
  <c r="T472" i="1" s="1"/>
  <c r="R471" i="1"/>
  <c r="S471" i="1" l="1"/>
  <c r="T471" i="1" s="1"/>
  <c r="R470" i="1"/>
  <c r="R469" i="1" l="1"/>
  <c r="S470" i="1"/>
  <c r="T470" i="1" s="1"/>
  <c r="R468" i="1" l="1"/>
  <c r="S469" i="1"/>
  <c r="T469" i="1" s="1"/>
  <c r="R467" i="1" l="1"/>
  <c r="S468" i="1"/>
  <c r="T468" i="1" s="1"/>
  <c r="S467" i="1" l="1"/>
  <c r="T467" i="1" s="1"/>
  <c r="R466" i="1"/>
  <c r="S466" i="1" l="1"/>
  <c r="T466" i="1" s="1"/>
  <c r="R465" i="1"/>
  <c r="R464" i="1" l="1"/>
  <c r="S465" i="1"/>
  <c r="T465" i="1" s="1"/>
  <c r="R463" i="1" l="1"/>
  <c r="S464" i="1"/>
  <c r="T464" i="1" s="1"/>
  <c r="S463" i="1" l="1"/>
  <c r="T463" i="1" s="1"/>
  <c r="R462" i="1"/>
  <c r="R461" i="1" l="1"/>
  <c r="S462" i="1"/>
  <c r="T462" i="1" s="1"/>
  <c r="R460" i="1" l="1"/>
  <c r="S461" i="1"/>
  <c r="T461" i="1" s="1"/>
  <c r="S460" i="1" l="1"/>
  <c r="T460" i="1" s="1"/>
  <c r="R459" i="1"/>
  <c r="S459" i="1" l="1"/>
  <c r="T459" i="1" s="1"/>
  <c r="R458" i="1"/>
  <c r="R457" i="1" l="1"/>
  <c r="S458" i="1"/>
  <c r="T458" i="1" s="1"/>
  <c r="R456" i="1" l="1"/>
  <c r="S457" i="1"/>
  <c r="T457" i="1" s="1"/>
  <c r="S456" i="1" l="1"/>
  <c r="T456" i="1" s="1"/>
  <c r="R455" i="1"/>
  <c r="S455" i="1" l="1"/>
  <c r="T455" i="1" s="1"/>
  <c r="R454" i="1"/>
  <c r="R453" i="1" l="1"/>
  <c r="S454" i="1"/>
  <c r="T454" i="1" s="1"/>
  <c r="S453" i="1" l="1"/>
  <c r="T453" i="1" s="1"/>
  <c r="R452" i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S448" i="1" l="1"/>
  <c r="T448" i="1" s="1"/>
  <c r="R447" i="1"/>
  <c r="S447" i="1" l="1"/>
  <c r="T447" i="1" s="1"/>
  <c r="R446" i="1"/>
  <c r="R445" i="1" l="1"/>
  <c r="S446" i="1"/>
  <c r="T446" i="1" s="1"/>
  <c r="R444" i="1" l="1"/>
  <c r="S445" i="1"/>
  <c r="T445" i="1" s="1"/>
  <c r="R443" i="1" l="1"/>
  <c r="S444" i="1"/>
  <c r="T444" i="1" s="1"/>
  <c r="S443" i="1" l="1"/>
  <c r="T443" i="1" s="1"/>
  <c r="R442" i="1"/>
  <c r="S442" i="1" l="1"/>
  <c r="T442" i="1" s="1"/>
  <c r="R441" i="1"/>
  <c r="S441" i="1" l="1"/>
  <c r="T441" i="1" s="1"/>
  <c r="R440" i="1"/>
  <c r="R439" i="1" l="1"/>
  <c r="S440" i="1"/>
  <c r="T440" i="1" s="1"/>
  <c r="R438" i="1" l="1"/>
  <c r="S439" i="1"/>
  <c r="T439" i="1" s="1"/>
  <c r="R437" i="1" l="1"/>
  <c r="S438" i="1"/>
  <c r="T438" i="1" s="1"/>
  <c r="S437" i="1" l="1"/>
  <c r="T437" i="1" s="1"/>
  <c r="R436" i="1"/>
  <c r="S436" i="1" l="1"/>
  <c r="T436" i="1" s="1"/>
  <c r="R435" i="1"/>
  <c r="R434" i="1" l="1"/>
  <c r="S435" i="1"/>
  <c r="T435" i="1" s="1"/>
  <c r="R433" i="1" l="1"/>
  <c r="S434" i="1"/>
  <c r="T434" i="1" s="1"/>
  <c r="R432" i="1" l="1"/>
  <c r="S433" i="1"/>
  <c r="T433" i="1" s="1"/>
  <c r="S432" i="1" l="1"/>
  <c r="T432" i="1" s="1"/>
  <c r="R431" i="1"/>
  <c r="S431" i="1" l="1"/>
  <c r="T431" i="1" s="1"/>
  <c r="R430" i="1"/>
  <c r="R429" i="1" l="1"/>
  <c r="S430" i="1"/>
  <c r="T430" i="1" s="1"/>
  <c r="R428" i="1" l="1"/>
  <c r="S429" i="1"/>
  <c r="T429" i="1" s="1"/>
  <c r="S428" i="1" l="1"/>
  <c r="T428" i="1" s="1"/>
  <c r="R427" i="1"/>
  <c r="R426" i="1" l="1"/>
  <c r="S427" i="1"/>
  <c r="T427" i="1" s="1"/>
  <c r="R425" i="1" l="1"/>
  <c r="S426" i="1"/>
  <c r="T426" i="1" s="1"/>
  <c r="S425" i="1" l="1"/>
  <c r="T425" i="1" s="1"/>
  <c r="R424" i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S419" i="1" l="1"/>
  <c r="T419" i="1" s="1"/>
  <c r="R418" i="1"/>
  <c r="R417" i="1" l="1"/>
  <c r="S418" i="1"/>
  <c r="T418" i="1" s="1"/>
  <c r="S417" i="1" l="1"/>
  <c r="T417" i="1" s="1"/>
  <c r="R416" i="1"/>
  <c r="S416" i="1" l="1"/>
  <c r="T416" i="1" s="1"/>
  <c r="R415" i="1"/>
  <c r="S415" i="1" l="1"/>
  <c r="T415" i="1" s="1"/>
  <c r="R414" i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S410" i="1" l="1"/>
  <c r="T410" i="1" s="1"/>
  <c r="R409" i="1"/>
  <c r="R408" i="1" l="1"/>
  <c r="S409" i="1"/>
  <c r="T409" i="1" s="1"/>
  <c r="R407" i="1" l="1"/>
  <c r="S408" i="1"/>
  <c r="T408" i="1" s="1"/>
  <c r="S407" i="1" l="1"/>
  <c r="T407" i="1" s="1"/>
  <c r="R406" i="1"/>
  <c r="R405" i="1" l="1"/>
  <c r="S406" i="1"/>
  <c r="T406" i="1" s="1"/>
  <c r="R404" i="1" l="1"/>
  <c r="S405" i="1"/>
  <c r="T405" i="1" s="1"/>
  <c r="S404" i="1" l="1"/>
  <c r="T404" i="1" s="1"/>
  <c r="R403" i="1"/>
  <c r="S403" i="1" l="1"/>
  <c r="T403" i="1" s="1"/>
  <c r="R402" i="1"/>
  <c r="R401" i="1" l="1"/>
  <c r="S402" i="1"/>
  <c r="T402" i="1" s="1"/>
  <c r="R400" i="1" l="1"/>
  <c r="S401" i="1"/>
  <c r="T401" i="1" s="1"/>
  <c r="S400" i="1" l="1"/>
  <c r="T400" i="1" s="1"/>
  <c r="R399" i="1"/>
  <c r="S399" i="1" l="1"/>
  <c r="T399" i="1" s="1"/>
  <c r="R398" i="1"/>
  <c r="R397" i="1" l="1"/>
  <c r="S398" i="1"/>
  <c r="T398" i="1" s="1"/>
  <c r="R396" i="1" l="1"/>
  <c r="S397" i="1"/>
  <c r="T397" i="1" s="1"/>
  <c r="S396" i="1" l="1"/>
  <c r="T396" i="1" s="1"/>
  <c r="R395" i="1"/>
  <c r="S395" i="1" l="1"/>
  <c r="T395" i="1" s="1"/>
  <c r="R394" i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S382" i="1" l="1"/>
  <c r="T382" i="1" s="1"/>
  <c r="R381" i="1"/>
  <c r="S381" i="1" l="1"/>
  <c r="T381" i="1" s="1"/>
  <c r="R380" i="1"/>
  <c r="R379" i="1" l="1"/>
  <c r="S380" i="1"/>
  <c r="T380" i="1" s="1"/>
  <c r="R378" i="1" l="1"/>
  <c r="S379" i="1"/>
  <c r="T379" i="1" s="1"/>
  <c r="S378" i="1" l="1"/>
  <c r="T378" i="1" s="1"/>
  <c r="R377" i="1"/>
  <c r="S377" i="1" l="1"/>
  <c r="T377" i="1" s="1"/>
  <c r="R376" i="1"/>
  <c r="R375" i="1" l="1"/>
  <c r="S376" i="1"/>
  <c r="T376" i="1" s="1"/>
  <c r="R374" i="1" l="1"/>
  <c r="S375" i="1"/>
  <c r="T375" i="1" s="1"/>
  <c r="S374" i="1" l="1"/>
  <c r="T374" i="1" s="1"/>
  <c r="R373" i="1"/>
  <c r="R372" i="1" l="1"/>
  <c r="S373" i="1"/>
  <c r="T373" i="1" s="1"/>
  <c r="R371" i="1" l="1"/>
  <c r="S372" i="1"/>
  <c r="T372" i="1" s="1"/>
  <c r="S371" i="1" l="1"/>
  <c r="T371" i="1" s="1"/>
  <c r="R370" i="1"/>
  <c r="S370" i="1" l="1"/>
  <c r="T370" i="1" s="1"/>
  <c r="R369" i="1"/>
  <c r="R368" i="1" l="1"/>
  <c r="S369" i="1"/>
  <c r="T369" i="1" s="1"/>
  <c r="R367" i="1" l="1"/>
  <c r="S368" i="1"/>
  <c r="T368" i="1" s="1"/>
  <c r="S367" i="1" l="1"/>
  <c r="T367" i="1" s="1"/>
  <c r="R366" i="1"/>
  <c r="S366" i="1" l="1"/>
  <c r="T366" i="1" s="1"/>
  <c r="R365" i="1"/>
  <c r="R364" i="1" l="1"/>
  <c r="S365" i="1"/>
  <c r="T365" i="1" s="1"/>
  <c r="R363" i="1" l="1"/>
  <c r="S364" i="1"/>
  <c r="T364" i="1" s="1"/>
  <c r="S363" i="1" l="1"/>
  <c r="T363" i="1" s="1"/>
  <c r="R362" i="1"/>
  <c r="S362" i="1" l="1"/>
  <c r="T362" i="1" s="1"/>
  <c r="R361" i="1"/>
  <c r="S361" i="1" l="1"/>
  <c r="T361" i="1" s="1"/>
  <c r="R360" i="1"/>
  <c r="R359" i="1" l="1"/>
  <c r="S360" i="1"/>
  <c r="T360" i="1" s="1"/>
  <c r="R358" i="1" l="1"/>
  <c r="S359" i="1"/>
  <c r="T359" i="1" s="1"/>
  <c r="S358" i="1" l="1"/>
  <c r="T358" i="1" s="1"/>
  <c r="R357" i="1"/>
  <c r="R356" i="1" l="1"/>
  <c r="S357" i="1"/>
  <c r="T357" i="1" s="1"/>
  <c r="R355" i="1" l="1"/>
  <c r="S356" i="1"/>
  <c r="T356" i="1" s="1"/>
  <c r="S355" i="1" l="1"/>
  <c r="T355" i="1" s="1"/>
  <c r="R354" i="1"/>
  <c r="S354" i="1" l="1"/>
  <c r="T354" i="1" s="1"/>
  <c r="R353" i="1"/>
  <c r="R352" i="1" l="1"/>
  <c r="S353" i="1"/>
  <c r="T353" i="1" s="1"/>
  <c r="R351" i="1" l="1"/>
  <c r="S352" i="1"/>
  <c r="T352" i="1" s="1"/>
  <c r="S351" i="1" l="1"/>
  <c r="T351" i="1" s="1"/>
  <c r="R350" i="1"/>
  <c r="S350" i="1" l="1"/>
  <c r="T350" i="1" s="1"/>
  <c r="R349" i="1"/>
  <c r="R348" i="1" l="1"/>
  <c r="S349" i="1"/>
  <c r="T349" i="1" s="1"/>
  <c r="R347" i="1" l="1"/>
  <c r="S348" i="1"/>
  <c r="T348" i="1" s="1"/>
  <c r="R346" i="1" l="1"/>
  <c r="S347" i="1"/>
  <c r="T347" i="1" s="1"/>
  <c r="S346" i="1" l="1"/>
  <c r="T346" i="1" s="1"/>
  <c r="R345" i="1"/>
  <c r="R344" i="1" l="1"/>
  <c r="S345" i="1"/>
  <c r="T345" i="1" s="1"/>
  <c r="R343" i="1" l="1"/>
  <c r="S344" i="1"/>
  <c r="T344" i="1" s="1"/>
  <c r="S343" i="1" l="1"/>
  <c r="T343" i="1" s="1"/>
  <c r="R342" i="1"/>
  <c r="S342" i="1" l="1"/>
  <c r="T342" i="1" s="1"/>
  <c r="R341" i="1"/>
  <c r="R340" i="1" l="1"/>
  <c r="S341" i="1"/>
  <c r="T341" i="1" s="1"/>
  <c r="R339" i="1" l="1"/>
  <c r="S340" i="1"/>
  <c r="T340" i="1" s="1"/>
  <c r="S339" i="1" l="1"/>
  <c r="T339" i="1" s="1"/>
  <c r="R338" i="1"/>
  <c r="S338" i="1" l="1"/>
  <c r="T338" i="1" s="1"/>
  <c r="R337" i="1"/>
  <c r="R336" i="1" l="1"/>
  <c r="S337" i="1"/>
  <c r="T337" i="1" s="1"/>
  <c r="R335" i="1" l="1"/>
  <c r="S336" i="1"/>
  <c r="T336" i="1" s="1"/>
  <c r="S335" i="1" l="1"/>
  <c r="T335" i="1" s="1"/>
  <c r="R334" i="1"/>
  <c r="S334" i="1" l="1"/>
  <c r="T334" i="1" s="1"/>
  <c r="R333" i="1"/>
  <c r="R332" i="1" l="1"/>
  <c r="S333" i="1"/>
  <c r="T333" i="1" s="1"/>
  <c r="R331" i="1" l="1"/>
  <c r="S332" i="1"/>
  <c r="T332" i="1" s="1"/>
  <c r="S331" i="1" l="1"/>
  <c r="T331" i="1" s="1"/>
  <c r="R330" i="1"/>
  <c r="S330" i="1" l="1"/>
  <c r="T330" i="1" s="1"/>
  <c r="R329" i="1"/>
  <c r="R328" i="1" l="1"/>
  <c r="S329" i="1"/>
  <c r="T329" i="1" s="1"/>
  <c r="R327" i="1" l="1"/>
  <c r="S328" i="1"/>
  <c r="T328" i="1" s="1"/>
  <c r="S327" i="1" l="1"/>
  <c r="T327" i="1" s="1"/>
  <c r="R326" i="1"/>
  <c r="S326" i="1" l="1"/>
  <c r="T326" i="1" s="1"/>
  <c r="R325" i="1"/>
  <c r="S325" i="1" l="1"/>
  <c r="T325" i="1" s="1"/>
  <c r="R324" i="1"/>
  <c r="R323" i="1" l="1"/>
  <c r="S324" i="1"/>
  <c r="T324" i="1" s="1"/>
  <c r="R322" i="1" l="1"/>
  <c r="S323" i="1"/>
  <c r="T323" i="1" s="1"/>
  <c r="S322" i="1" l="1"/>
  <c r="T322" i="1" s="1"/>
  <c r="R321" i="1"/>
  <c r="S321" i="1" l="1"/>
  <c r="T321" i="1" s="1"/>
  <c r="R320" i="1"/>
  <c r="R319" i="1" l="1"/>
  <c r="S320" i="1"/>
  <c r="T320" i="1" s="1"/>
  <c r="R318" i="1" l="1"/>
  <c r="S319" i="1"/>
  <c r="T319" i="1" s="1"/>
  <c r="R317" i="1" l="1"/>
  <c r="S318" i="1"/>
  <c r="T318" i="1" s="1"/>
  <c r="S317" i="1" l="1"/>
  <c r="T317" i="1" s="1"/>
  <c r="R316" i="1"/>
  <c r="S316" i="1" l="1"/>
  <c r="T316" i="1" s="1"/>
  <c r="R315" i="1"/>
  <c r="R314" i="1" l="1"/>
  <c r="S315" i="1"/>
  <c r="T315" i="1" s="1"/>
  <c r="S314" i="1" l="1"/>
  <c r="T314" i="1" s="1"/>
  <c r="R313" i="1"/>
  <c r="S313" i="1" l="1"/>
  <c r="T313" i="1" s="1"/>
  <c r="R312" i="1"/>
  <c r="S312" i="1" l="1"/>
  <c r="T312" i="1" s="1"/>
  <c r="R311" i="1"/>
  <c r="R310" i="1" l="1"/>
  <c r="S311" i="1"/>
  <c r="T311" i="1" s="1"/>
  <c r="R309" i="1" l="1"/>
  <c r="S310" i="1"/>
  <c r="T310" i="1" s="1"/>
  <c r="S309" i="1" l="1"/>
  <c r="T309" i="1" s="1"/>
  <c r="R308" i="1"/>
  <c r="R307" i="1" l="1"/>
  <c r="S308" i="1"/>
  <c r="T308" i="1" s="1"/>
  <c r="R306" i="1" l="1"/>
  <c r="S307" i="1"/>
  <c r="T307" i="1" s="1"/>
  <c r="S306" i="1" l="1"/>
  <c r="T306" i="1" s="1"/>
  <c r="R305" i="1"/>
  <c r="S305" i="1" l="1"/>
  <c r="T305" i="1" s="1"/>
  <c r="R304" i="1"/>
  <c r="R303" i="1" l="1"/>
  <c r="S304" i="1"/>
  <c r="T304" i="1" s="1"/>
  <c r="R302" i="1" l="1"/>
  <c r="S303" i="1"/>
  <c r="T303" i="1" s="1"/>
  <c r="S302" i="1" l="1"/>
  <c r="T302" i="1" s="1"/>
  <c r="R301" i="1"/>
  <c r="S301" i="1" l="1"/>
  <c r="T301" i="1" s="1"/>
  <c r="R300" i="1"/>
  <c r="S300" i="1" l="1"/>
  <c r="T300" i="1" s="1"/>
  <c r="R299" i="1"/>
  <c r="R298" i="1" l="1"/>
  <c r="S299" i="1"/>
  <c r="T299" i="1" s="1"/>
  <c r="R297" i="1" l="1"/>
  <c r="S298" i="1"/>
  <c r="T298" i="1" s="1"/>
  <c r="S297" i="1" l="1"/>
  <c r="T297" i="1" s="1"/>
  <c r="R296" i="1"/>
  <c r="S296" i="1" l="1"/>
  <c r="T296" i="1" s="1"/>
  <c r="R295" i="1"/>
  <c r="R294" i="1" l="1"/>
  <c r="S295" i="1"/>
  <c r="T295" i="1" s="1"/>
  <c r="R293" i="1" l="1"/>
  <c r="S294" i="1"/>
  <c r="T294" i="1" s="1"/>
  <c r="S293" i="1" l="1"/>
  <c r="T293" i="1" s="1"/>
  <c r="R292" i="1"/>
  <c r="S292" i="1" l="1"/>
  <c r="T292" i="1" s="1"/>
  <c r="R291" i="1"/>
  <c r="R290" i="1" l="1"/>
  <c r="S291" i="1"/>
  <c r="T291" i="1" s="1"/>
  <c r="R289" i="1" l="1"/>
  <c r="S290" i="1"/>
  <c r="T290" i="1" s="1"/>
  <c r="S289" i="1" l="1"/>
  <c r="T289" i="1" s="1"/>
  <c r="R288" i="1"/>
  <c r="S288" i="1" l="1"/>
  <c r="T288" i="1" s="1"/>
  <c r="R287" i="1"/>
  <c r="S287" i="1" l="1"/>
  <c r="T287" i="1" s="1"/>
  <c r="R286" i="1"/>
  <c r="R285" i="1" l="1"/>
  <c r="S286" i="1"/>
  <c r="T286" i="1" s="1"/>
  <c r="R284" i="1" l="1"/>
  <c r="S285" i="1"/>
  <c r="T285" i="1" s="1"/>
  <c r="S284" i="1" l="1"/>
  <c r="T284" i="1" s="1"/>
  <c r="R283" i="1"/>
  <c r="S283" i="1" l="1"/>
  <c r="T283" i="1" s="1"/>
  <c r="R282" i="1"/>
  <c r="R281" i="1" l="1"/>
  <c r="S282" i="1"/>
  <c r="T282" i="1" s="1"/>
  <c r="R280" i="1" l="1"/>
  <c r="S281" i="1"/>
  <c r="T281" i="1" s="1"/>
  <c r="S280" i="1" l="1"/>
  <c r="T280" i="1" s="1"/>
  <c r="R279" i="1"/>
  <c r="S279" i="1" l="1"/>
  <c r="T279" i="1" s="1"/>
  <c r="R278" i="1"/>
  <c r="R277" i="1" l="1"/>
  <c r="S278" i="1"/>
  <c r="T278" i="1" s="1"/>
  <c r="R276" i="1" l="1"/>
  <c r="S277" i="1"/>
  <c r="T277" i="1" s="1"/>
  <c r="S276" i="1" l="1"/>
  <c r="T276" i="1" s="1"/>
  <c r="R275" i="1"/>
  <c r="S275" i="1" l="1"/>
  <c r="T275" i="1" s="1"/>
  <c r="R274" i="1"/>
  <c r="S274" i="1" l="1"/>
  <c r="T274" i="1" s="1"/>
  <c r="R273" i="1"/>
  <c r="R272" i="1" l="1"/>
  <c r="S273" i="1"/>
  <c r="T273" i="1" s="1"/>
  <c r="R271" i="1" l="1"/>
  <c r="S272" i="1"/>
  <c r="T272" i="1" s="1"/>
  <c r="S271" i="1" l="1"/>
  <c r="T271" i="1" s="1"/>
  <c r="R270" i="1"/>
  <c r="S270" i="1" l="1"/>
  <c r="T270" i="1" s="1"/>
  <c r="R269" i="1"/>
  <c r="R268" i="1" l="1"/>
  <c r="S269" i="1"/>
  <c r="T269" i="1" s="1"/>
  <c r="R267" i="1" l="1"/>
  <c r="S268" i="1"/>
  <c r="T268" i="1" s="1"/>
  <c r="S267" i="1" l="1"/>
  <c r="T267" i="1" s="1"/>
  <c r="R266" i="1"/>
  <c r="S266" i="1" l="1"/>
  <c r="T266" i="1" s="1"/>
  <c r="R265" i="1"/>
  <c r="R264" i="1" l="1"/>
  <c r="S265" i="1"/>
  <c r="T265" i="1" s="1"/>
  <c r="R263" i="1" l="1"/>
  <c r="S264" i="1"/>
  <c r="T264" i="1" s="1"/>
  <c r="R262" i="1" l="1"/>
  <c r="S263" i="1"/>
  <c r="T263" i="1" s="1"/>
  <c r="S262" i="1" l="1"/>
  <c r="T262" i="1" s="1"/>
  <c r="R261" i="1"/>
  <c r="S261" i="1" l="1"/>
  <c r="T261" i="1" s="1"/>
  <c r="R260" i="1"/>
  <c r="R259" i="1" l="1"/>
  <c r="S260" i="1"/>
  <c r="T260" i="1" s="1"/>
  <c r="S259" i="1" l="1"/>
  <c r="T259" i="1" s="1"/>
  <c r="R258" i="1"/>
  <c r="S258" i="1" l="1"/>
  <c r="T258" i="1" s="1"/>
  <c r="R257" i="1"/>
  <c r="R256" i="1" l="1"/>
  <c r="S257" i="1"/>
  <c r="T257" i="1" s="1"/>
  <c r="R255" i="1" l="1"/>
  <c r="S256" i="1"/>
  <c r="T256" i="1" s="1"/>
  <c r="S255" i="1" l="1"/>
  <c r="T255" i="1" s="1"/>
  <c r="R254" i="1"/>
  <c r="S254" i="1" l="1"/>
  <c r="T254" i="1" s="1"/>
  <c r="R253" i="1"/>
  <c r="S253" i="1" l="1"/>
  <c r="T253" i="1" s="1"/>
  <c r="R252" i="1"/>
  <c r="R251" i="1" l="1"/>
  <c r="S252" i="1"/>
  <c r="T252" i="1" s="1"/>
  <c r="R250" i="1" l="1"/>
  <c r="S251" i="1"/>
  <c r="T251" i="1" s="1"/>
  <c r="S250" i="1" l="1"/>
  <c r="T250" i="1" s="1"/>
  <c r="R249" i="1"/>
  <c r="S249" i="1" l="1"/>
  <c r="T249" i="1" s="1"/>
  <c r="R248" i="1"/>
  <c r="R247" i="1" l="1"/>
  <c r="S248" i="1"/>
  <c r="T248" i="1" s="1"/>
  <c r="R246" i="1" l="1"/>
  <c r="S247" i="1"/>
  <c r="T247" i="1" s="1"/>
  <c r="S246" i="1" l="1"/>
  <c r="T246" i="1" s="1"/>
  <c r="R245" i="1"/>
  <c r="R244" i="1" l="1"/>
  <c r="S245" i="1"/>
  <c r="T245" i="1" s="1"/>
  <c r="R243" i="1" l="1"/>
  <c r="S244" i="1"/>
  <c r="T244" i="1" s="1"/>
  <c r="S243" i="1" l="1"/>
  <c r="T243" i="1" s="1"/>
  <c r="R242" i="1"/>
  <c r="R241" i="1" l="1"/>
  <c r="S242" i="1"/>
  <c r="T242" i="1" s="1"/>
  <c r="R240" i="1" l="1"/>
  <c r="S241" i="1"/>
  <c r="T241" i="1" s="1"/>
  <c r="S240" i="1" l="1"/>
  <c r="T240" i="1" s="1"/>
  <c r="R239" i="1"/>
  <c r="S239" i="1" l="1"/>
  <c r="T239" i="1" s="1"/>
  <c r="R238" i="1"/>
  <c r="R237" i="1" l="1"/>
  <c r="S238" i="1"/>
  <c r="T238" i="1" s="1"/>
  <c r="R236" i="1" l="1"/>
  <c r="S237" i="1"/>
  <c r="T237" i="1" s="1"/>
  <c r="S236" i="1" l="1"/>
  <c r="T236" i="1" s="1"/>
  <c r="R235" i="1"/>
  <c r="S235" i="1" l="1"/>
  <c r="T235" i="1" s="1"/>
  <c r="R234" i="1"/>
  <c r="R233" i="1" l="1"/>
  <c r="S234" i="1"/>
  <c r="T234" i="1" s="1"/>
  <c r="R232" i="1" l="1"/>
  <c r="S233" i="1"/>
  <c r="T233" i="1" s="1"/>
  <c r="S232" i="1" l="1"/>
  <c r="T232" i="1" s="1"/>
  <c r="R231" i="1"/>
  <c r="S231" i="1" l="1"/>
  <c r="T231" i="1" s="1"/>
  <c r="R230" i="1"/>
  <c r="R229" i="1" l="1"/>
  <c r="S230" i="1"/>
  <c r="T230" i="1" s="1"/>
  <c r="R228" i="1" l="1"/>
  <c r="S229" i="1"/>
  <c r="T229" i="1" s="1"/>
  <c r="S228" i="1" l="1"/>
  <c r="T228" i="1" s="1"/>
  <c r="R227" i="1"/>
  <c r="S227" i="1" l="1"/>
  <c r="T227" i="1" s="1"/>
  <c r="R226" i="1"/>
  <c r="R225" i="1" l="1"/>
  <c r="S226" i="1"/>
  <c r="T226" i="1" s="1"/>
  <c r="R224" i="1" l="1"/>
  <c r="S225" i="1"/>
  <c r="T225" i="1" s="1"/>
  <c r="S224" i="1" l="1"/>
  <c r="T224" i="1" s="1"/>
  <c r="R223" i="1"/>
  <c r="S223" i="1" l="1"/>
  <c r="T223" i="1" s="1"/>
  <c r="R222" i="1"/>
  <c r="R221" i="1" l="1"/>
  <c r="S222" i="1"/>
  <c r="T222" i="1" s="1"/>
  <c r="R220" i="1" l="1"/>
  <c r="S221" i="1"/>
  <c r="T221" i="1" s="1"/>
  <c r="S220" i="1" l="1"/>
  <c r="T220" i="1" s="1"/>
  <c r="R219" i="1"/>
  <c r="S219" i="1" l="1"/>
  <c r="T219" i="1" s="1"/>
  <c r="R218" i="1"/>
  <c r="R217" i="1" l="1"/>
  <c r="S218" i="1"/>
  <c r="T218" i="1" s="1"/>
  <c r="R216" i="1" l="1"/>
  <c r="S217" i="1"/>
  <c r="T217" i="1" s="1"/>
  <c r="S216" i="1" l="1"/>
  <c r="T216" i="1" s="1"/>
  <c r="R215" i="1"/>
  <c r="S215" i="1" l="1"/>
  <c r="T215" i="1" s="1"/>
  <c r="R214" i="1"/>
  <c r="R213" i="1" l="1"/>
  <c r="S214" i="1"/>
  <c r="T214" i="1" s="1"/>
  <c r="R212" i="1" l="1"/>
  <c r="S213" i="1"/>
  <c r="T213" i="1" s="1"/>
  <c r="S212" i="1" l="1"/>
  <c r="T212" i="1" s="1"/>
  <c r="R211" i="1"/>
  <c r="S211" i="1" l="1"/>
  <c r="T211" i="1" s="1"/>
  <c r="R210" i="1"/>
  <c r="R209" i="1" l="1"/>
  <c r="S210" i="1"/>
  <c r="T210" i="1" s="1"/>
  <c r="R208" i="1" l="1"/>
  <c r="S209" i="1"/>
  <c r="T209" i="1" s="1"/>
  <c r="S208" i="1" l="1"/>
  <c r="T208" i="1" s="1"/>
  <c r="R207" i="1"/>
  <c r="S207" i="1" l="1"/>
  <c r="T207" i="1" s="1"/>
  <c r="R206" i="1"/>
  <c r="R205" i="1" l="1"/>
  <c r="S206" i="1"/>
  <c r="T206" i="1" s="1"/>
  <c r="R204" i="1" l="1"/>
  <c r="S205" i="1"/>
  <c r="T205" i="1" s="1"/>
  <c r="S204" i="1" l="1"/>
  <c r="T204" i="1" s="1"/>
  <c r="R203" i="1"/>
  <c r="S203" i="1" l="1"/>
  <c r="T203" i="1" s="1"/>
  <c r="R202" i="1"/>
  <c r="R201" i="1" l="1"/>
  <c r="S202" i="1"/>
  <c r="T202" i="1" s="1"/>
  <c r="R200" i="1" l="1"/>
  <c r="S201" i="1"/>
  <c r="T201" i="1" s="1"/>
  <c r="S200" i="1" l="1"/>
  <c r="T200" i="1" s="1"/>
  <c r="R199" i="1"/>
  <c r="S199" i="1" l="1"/>
  <c r="T199" i="1" s="1"/>
  <c r="R198" i="1"/>
  <c r="S198" i="1" l="1"/>
  <c r="T198" i="1" s="1"/>
  <c r="R197" i="1"/>
  <c r="S197" i="1" l="1"/>
  <c r="T197" i="1" s="1"/>
  <c r="R196" i="1"/>
  <c r="S196" i="1" l="1"/>
  <c r="T196" i="1" s="1"/>
  <c r="R195" i="1"/>
  <c r="S195" i="1" l="1"/>
  <c r="T195" i="1" s="1"/>
  <c r="R194" i="1"/>
  <c r="R193" i="1" l="1"/>
  <c r="S194" i="1"/>
  <c r="T194" i="1" s="1"/>
  <c r="R192" i="1" l="1"/>
  <c r="S193" i="1"/>
  <c r="T193" i="1" s="1"/>
  <c r="S192" i="1" l="1"/>
  <c r="T192" i="1" s="1"/>
  <c r="R191" i="1"/>
  <c r="S191" i="1" l="1"/>
  <c r="T191" i="1" s="1"/>
  <c r="R190" i="1"/>
  <c r="R189" i="1" l="1"/>
  <c r="S190" i="1"/>
  <c r="T190" i="1" s="1"/>
  <c r="R188" i="1" l="1"/>
  <c r="S189" i="1"/>
  <c r="T189" i="1" s="1"/>
  <c r="S188" i="1" l="1"/>
  <c r="T188" i="1" s="1"/>
  <c r="R187" i="1"/>
  <c r="S187" i="1" l="1"/>
  <c r="T187" i="1" s="1"/>
  <c r="R186" i="1"/>
  <c r="S186" i="1" l="1"/>
  <c r="T186" i="1" s="1"/>
  <c r="R185" i="1"/>
  <c r="R184" i="1" l="1"/>
  <c r="S185" i="1"/>
  <c r="T185" i="1" s="1"/>
  <c r="R183" i="1" l="1"/>
  <c r="S184" i="1"/>
  <c r="T184" i="1" s="1"/>
  <c r="S183" i="1" l="1"/>
  <c r="T183" i="1" s="1"/>
  <c r="R182" i="1"/>
  <c r="S182" i="1" l="1"/>
  <c r="T182" i="1" s="1"/>
  <c r="R181" i="1"/>
  <c r="R180" i="1" l="1"/>
  <c r="S181" i="1"/>
  <c r="T181" i="1" s="1"/>
  <c r="R179" i="1" l="1"/>
  <c r="S180" i="1"/>
  <c r="T180" i="1" s="1"/>
  <c r="S179" i="1" l="1"/>
  <c r="T179" i="1" s="1"/>
  <c r="R178" i="1"/>
  <c r="S178" i="1" l="1"/>
  <c r="T178" i="1" s="1"/>
  <c r="R177" i="1"/>
  <c r="R176" i="1" l="1"/>
  <c r="S177" i="1"/>
  <c r="T177" i="1" s="1"/>
  <c r="R175" i="1" l="1"/>
  <c r="S176" i="1"/>
  <c r="T176" i="1" s="1"/>
  <c r="S175" i="1" l="1"/>
  <c r="T175" i="1" s="1"/>
  <c r="R174" i="1"/>
  <c r="S174" i="1" l="1"/>
  <c r="T174" i="1" s="1"/>
  <c r="R173" i="1"/>
  <c r="S173" i="1" l="1"/>
  <c r="T173" i="1" s="1"/>
  <c r="R172" i="1"/>
  <c r="R171" i="1" l="1"/>
  <c r="S172" i="1"/>
  <c r="T172" i="1" s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R165" i="1" l="1"/>
  <c r="S166" i="1"/>
  <c r="T166" i="1" s="1"/>
  <c r="R164" i="1" l="1"/>
  <c r="S165" i="1"/>
  <c r="T165" i="1" s="1"/>
  <c r="S164" i="1" l="1"/>
  <c r="T164" i="1" s="1"/>
  <c r="R163" i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S159" i="1" l="1"/>
  <c r="T159" i="1" s="1"/>
  <c r="R158" i="1"/>
  <c r="R157" i="1" l="1"/>
  <c r="S158" i="1"/>
  <c r="T158" i="1" s="1"/>
  <c r="S157" i="1" l="1"/>
  <c r="T157" i="1" s="1"/>
  <c r="R156" i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S152" i="1" l="1"/>
  <c r="T152" i="1" s="1"/>
  <c r="R151" i="1"/>
  <c r="S151" i="1" l="1"/>
  <c r="T151" i="1" s="1"/>
  <c r="R150" i="1"/>
  <c r="S150" i="1" l="1"/>
  <c r="T150" i="1" s="1"/>
  <c r="R149" i="1"/>
  <c r="S149" i="1" l="1"/>
  <c r="T149" i="1" s="1"/>
  <c r="R148" i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S142" i="1" l="1"/>
  <c r="T142" i="1" s="1"/>
  <c r="R141" i="1"/>
  <c r="R140" i="1" l="1"/>
  <c r="S141" i="1"/>
  <c r="T141" i="1" s="1"/>
  <c r="R139" i="1" l="1"/>
  <c r="S140" i="1"/>
  <c r="T140" i="1" s="1"/>
  <c r="S139" i="1" l="1"/>
  <c r="T139" i="1" s="1"/>
  <c r="R138" i="1"/>
  <c r="S138" i="1" l="1"/>
  <c r="T138" i="1" s="1"/>
  <c r="R137" i="1"/>
  <c r="R136" i="1" l="1"/>
  <c r="S137" i="1"/>
  <c r="T137" i="1" s="1"/>
  <c r="S136" i="1" l="1"/>
  <c r="T136" i="1" s="1"/>
  <c r="R135" i="1"/>
  <c r="S135" i="1" l="1"/>
  <c r="T135" i="1" s="1"/>
  <c r="R134" i="1"/>
  <c r="S134" i="1" l="1"/>
  <c r="T134" i="1" s="1"/>
  <c r="R133" i="1"/>
  <c r="R132" i="1" l="1"/>
  <c r="S133" i="1"/>
  <c r="T133" i="1" s="1"/>
  <c r="R131" i="1" l="1"/>
  <c r="S132" i="1"/>
  <c r="T132" i="1" s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S126" i="1" l="1"/>
  <c r="T126" i="1" s="1"/>
  <c r="R125" i="1"/>
  <c r="S125" i="1" l="1"/>
  <c r="T125" i="1" s="1"/>
  <c r="R124" i="1"/>
  <c r="S124" i="1" l="1"/>
  <c r="T124" i="1" s="1"/>
  <c r="R123" i="1"/>
  <c r="R122" i="1" l="1"/>
  <c r="S123" i="1"/>
  <c r="T123" i="1" s="1"/>
  <c r="R121" i="1" l="1"/>
  <c r="S122" i="1"/>
  <c r="T122" i="1" s="1"/>
  <c r="S121" i="1" l="1"/>
  <c r="T121" i="1" s="1"/>
  <c r="R120" i="1"/>
  <c r="S120" i="1" l="1"/>
  <c r="T120" i="1" s="1"/>
  <c r="R119" i="1"/>
  <c r="R118" i="1" l="1"/>
  <c r="S119" i="1"/>
  <c r="T119" i="1" s="1"/>
  <c r="R117" i="1" l="1"/>
  <c r="S118" i="1"/>
  <c r="T118" i="1" s="1"/>
  <c r="S117" i="1" l="1"/>
  <c r="T117" i="1" s="1"/>
  <c r="R116" i="1"/>
  <c r="R115" i="1" l="1"/>
  <c r="S116" i="1"/>
  <c r="T116" i="1" s="1"/>
  <c r="R114" i="1" l="1"/>
  <c r="S115" i="1"/>
  <c r="T115" i="1" s="1"/>
  <c r="R113" i="1" l="1"/>
  <c r="S114" i="1"/>
  <c r="T114" i="1" s="1"/>
  <c r="S113" i="1" l="1"/>
  <c r="T113" i="1" s="1"/>
  <c r="R112" i="1"/>
  <c r="S112" i="1" l="1"/>
  <c r="T112" i="1" s="1"/>
  <c r="R111" i="1"/>
  <c r="S111" i="1" l="1"/>
  <c r="T111" i="1" s="1"/>
  <c r="R110" i="1"/>
  <c r="S110" i="1" l="1"/>
  <c r="T110" i="1" s="1"/>
  <c r="R109" i="1"/>
  <c r="R108" i="1" l="1"/>
  <c r="S109" i="1"/>
  <c r="T109" i="1" s="1"/>
  <c r="R107" i="1" l="1"/>
  <c r="S108" i="1"/>
  <c r="T108" i="1" s="1"/>
  <c r="R106" i="1" l="1"/>
  <c r="S107" i="1"/>
  <c r="T107" i="1" s="1"/>
  <c r="S106" i="1" l="1"/>
  <c r="T106" i="1" s="1"/>
  <c r="R105" i="1"/>
  <c r="S105" i="1" l="1"/>
  <c r="T105" i="1" s="1"/>
  <c r="R104" i="1"/>
  <c r="S104" i="1" l="1"/>
  <c r="T104" i="1" s="1"/>
  <c r="R103" i="1"/>
  <c r="R102" i="1" l="1"/>
  <c r="S103" i="1"/>
  <c r="T103" i="1" s="1"/>
  <c r="S102" i="1" l="1"/>
  <c r="T102" i="1" s="1"/>
  <c r="R101" i="1"/>
  <c r="R100" i="1" l="1"/>
  <c r="S101" i="1"/>
  <c r="T101" i="1" s="1"/>
  <c r="R99" i="1" l="1"/>
  <c r="S100" i="1"/>
  <c r="T100" i="1" s="1"/>
  <c r="R98" i="1" l="1"/>
  <c r="S99" i="1"/>
  <c r="T99" i="1" s="1"/>
  <c r="S98" i="1" l="1"/>
  <c r="T98" i="1" s="1"/>
  <c r="R97" i="1"/>
  <c r="S97" i="1" l="1"/>
  <c r="T97" i="1" s="1"/>
  <c r="R96" i="1"/>
  <c r="S96" i="1" l="1"/>
  <c r="T96" i="1" s="1"/>
  <c r="R95" i="1"/>
  <c r="S95" i="1" l="1"/>
  <c r="T95" i="1" s="1"/>
  <c r="R94" i="1"/>
  <c r="S94" i="1" l="1"/>
  <c r="T94" i="1" s="1"/>
  <c r="R93" i="1"/>
  <c r="R92" i="1" l="1"/>
  <c r="S93" i="1"/>
  <c r="T93" i="1" s="1"/>
  <c r="R91" i="1" l="1"/>
  <c r="S92" i="1"/>
  <c r="T92" i="1" s="1"/>
  <c r="S91" i="1" l="1"/>
  <c r="T91" i="1" s="1"/>
  <c r="R90" i="1"/>
  <c r="S90" i="1" l="1"/>
  <c r="T90" i="1" s="1"/>
  <c r="R89" i="1"/>
  <c r="S89" i="1" l="1"/>
  <c r="T89" i="1" s="1"/>
  <c r="R88" i="1"/>
  <c r="S88" i="1" l="1"/>
  <c r="T88" i="1" s="1"/>
  <c r="R87" i="1"/>
  <c r="S87" i="1" l="1"/>
  <c r="T87" i="1" s="1"/>
  <c r="R86" i="1"/>
  <c r="S86" i="1" l="1"/>
  <c r="T86" i="1" s="1"/>
  <c r="R85" i="1"/>
  <c r="S85" i="1" l="1"/>
  <c r="T85" i="1" s="1"/>
  <c r="R84" i="1"/>
  <c r="R83" i="1" l="1"/>
  <c r="S84" i="1"/>
  <c r="T84" i="1" s="1"/>
  <c r="R82" i="1" l="1"/>
  <c r="S83" i="1"/>
  <c r="T83" i="1" s="1"/>
  <c r="S82" i="1" l="1"/>
  <c r="T82" i="1" s="1"/>
  <c r="R81" i="1"/>
  <c r="S81" i="1" l="1"/>
  <c r="T81" i="1" s="1"/>
  <c r="R80" i="1"/>
  <c r="S80" i="1" l="1"/>
  <c r="T80" i="1" s="1"/>
  <c r="R79" i="1"/>
  <c r="R78" i="1" l="1"/>
  <c r="S79" i="1"/>
  <c r="T79" i="1" s="1"/>
  <c r="S78" i="1" l="1"/>
  <c r="T78" i="1" s="1"/>
  <c r="R77" i="1"/>
  <c r="R76" i="1" l="1"/>
  <c r="S77" i="1"/>
  <c r="T77" i="1" s="1"/>
  <c r="R75" i="1" l="1"/>
  <c r="S76" i="1"/>
  <c r="T76" i="1" s="1"/>
  <c r="S75" i="1" l="1"/>
  <c r="T75" i="1" s="1"/>
  <c r="R74" i="1"/>
  <c r="S74" i="1" l="1"/>
  <c r="T74" i="1" s="1"/>
  <c r="R73" i="1"/>
  <c r="R72" i="1" l="1"/>
  <c r="S73" i="1"/>
  <c r="T73" i="1" s="1"/>
  <c r="S72" i="1" l="1"/>
  <c r="T72" i="1" s="1"/>
  <c r="R71" i="1"/>
  <c r="R70" i="1" l="1"/>
  <c r="S71" i="1"/>
  <c r="T71" i="1" s="1"/>
  <c r="S70" i="1" l="1"/>
  <c r="T70" i="1" s="1"/>
  <c r="R69" i="1"/>
  <c r="S69" i="1" l="1"/>
  <c r="T69" i="1" s="1"/>
  <c r="R68" i="1"/>
  <c r="R67" i="1" l="1"/>
  <c r="S68" i="1"/>
  <c r="T68" i="1" s="1"/>
  <c r="R66" i="1" l="1"/>
  <c r="S67" i="1"/>
  <c r="T67" i="1" s="1"/>
  <c r="S66" i="1" l="1"/>
  <c r="T66" i="1" s="1"/>
  <c r="R65" i="1"/>
  <c r="R64" i="1" l="1"/>
  <c r="S65" i="1"/>
  <c r="T65" i="1" s="1"/>
  <c r="S64" i="1" l="1"/>
  <c r="T64" i="1" s="1"/>
  <c r="R63" i="1"/>
  <c r="R62" i="1" l="1"/>
  <c r="S63" i="1"/>
  <c r="T63" i="1" s="1"/>
  <c r="S62" i="1" l="1"/>
  <c r="T62" i="1" s="1"/>
  <c r="R61" i="1"/>
  <c r="R60" i="1" l="1"/>
  <c r="S61" i="1"/>
  <c r="T61" i="1" s="1"/>
  <c r="R59" i="1" l="1"/>
  <c r="S60" i="1"/>
  <c r="T60" i="1" s="1"/>
  <c r="S59" i="1" l="1"/>
  <c r="T59" i="1" s="1"/>
  <c r="R58" i="1"/>
  <c r="S58" i="1" l="1"/>
  <c r="T58" i="1" s="1"/>
  <c r="R57" i="1"/>
  <c r="R56" i="1" l="1"/>
  <c r="S57" i="1"/>
  <c r="T57" i="1" s="1"/>
  <c r="R55" i="1" l="1"/>
  <c r="S56" i="1"/>
  <c r="T56" i="1" s="1"/>
  <c r="S55" i="1" l="1"/>
  <c r="T55" i="1" s="1"/>
  <c r="R54" i="1"/>
  <c r="R53" i="1" l="1"/>
  <c r="S54" i="1"/>
  <c r="T54" i="1" s="1"/>
  <c r="S53" i="1" l="1"/>
  <c r="T53" i="1" s="1"/>
  <c r="R52" i="1"/>
  <c r="S52" i="1" l="1"/>
  <c r="T52" i="1" s="1"/>
  <c r="R51" i="1"/>
  <c r="R50" i="1" l="1"/>
  <c r="S51" i="1"/>
  <c r="T51" i="1" s="1"/>
  <c r="R49" i="1" l="1"/>
  <c r="S50" i="1"/>
  <c r="T50" i="1" s="1"/>
  <c r="S49" i="1" l="1"/>
  <c r="T49" i="1" s="1"/>
  <c r="R48" i="1"/>
  <c r="R47" i="1" l="1"/>
  <c r="S48" i="1"/>
  <c r="T48" i="1" s="1"/>
  <c r="S47" i="1" l="1"/>
  <c r="T47" i="1" s="1"/>
  <c r="R46" i="1"/>
  <c r="S46" i="1" l="1"/>
  <c r="T46" i="1" s="1"/>
  <c r="R45" i="1"/>
  <c r="S45" i="1" l="1"/>
  <c r="T45" i="1" s="1"/>
  <c r="R44" i="1"/>
  <c r="R43" i="1" l="1"/>
  <c r="S44" i="1"/>
  <c r="T44" i="1" s="1"/>
  <c r="S43" i="1" l="1"/>
  <c r="T43" i="1" s="1"/>
  <c r="R42" i="1"/>
  <c r="R41" i="1" l="1"/>
  <c r="S42" i="1"/>
  <c r="T42" i="1" s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S34" i="1" l="1"/>
  <c r="T34" i="1" s="1"/>
  <c r="R33" i="1"/>
  <c r="R32" i="1" l="1"/>
  <c r="S33" i="1"/>
  <c r="T33" i="1" s="1"/>
  <c r="S32" i="1" l="1"/>
  <c r="T32" i="1" s="1"/>
  <c r="R31" i="1"/>
  <c r="R30" i="1" l="1"/>
  <c r="S31" i="1"/>
  <c r="T31" i="1" s="1"/>
  <c r="S30" i="1" l="1"/>
  <c r="T30" i="1" s="1"/>
  <c r="R29" i="1"/>
  <c r="R28" i="1" l="1"/>
  <c r="S29" i="1"/>
  <c r="T29" i="1" s="1"/>
  <c r="R27" i="1" l="1"/>
  <c r="S28" i="1"/>
  <c r="T28" i="1" s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<sst xmlns="http://schemas.openxmlformats.org/spreadsheetml/2006/main" count="8906" uniqueCount="34">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</sst>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0.28239999999999998</c:v>
                </c:pt>
                <c:pt idx="1">
                  <c:v>0.29089999999999999</c:v>
                </c:pt>
                <c:pt idx="2">
                  <c:v>0.29420000000000002</c:v>
                </c:pt>
                <c:pt idx="3">
                  <c:v>0.2918</c:v>
                </c:pt>
                <c:pt idx="4">
                  <c:v>0.3024</c:v>
                </c:pt>
                <c:pt idx="5">
                  <c:v>0.26719999999999999</c:v>
                </c:pt>
                <c:pt idx="6">
                  <c:v>0.28849999999999998</c:v>
                </c:pt>
                <c:pt idx="7">
                  <c:v>0.33310000000000001</c:v>
                </c:pt>
                <c:pt idx="8">
                  <c:v>0.35510000000000003</c:v>
                </c:pt>
                <c:pt idx="9">
                  <c:v>0.33529999999999999</c:v>
                </c:pt>
                <c:pt idx="10">
                  <c:v>0.35</c:v>
                </c:pt>
                <c:pt idx="11">
                  <c:v>0.38179999999999997</c:v>
                </c:pt>
                <c:pt idx="12">
                  <c:v>0.3841</c:v>
                </c:pt>
                <c:pt idx="13">
                  <c:v>0.38529999999999998</c:v>
                </c:pt>
                <c:pt idx="14">
                  <c:v>0.38290000000000002</c:v>
                </c:pt>
                <c:pt idx="15">
                  <c:v>0.41849999999999998</c:v>
                </c:pt>
                <c:pt idx="16">
                  <c:v>0.39269999999999999</c:v>
                </c:pt>
                <c:pt idx="17">
                  <c:v>0.38990000000000002</c:v>
                </c:pt>
                <c:pt idx="18">
                  <c:v>0.41570000000000001</c:v>
                </c:pt>
                <c:pt idx="19">
                  <c:v>0.39689999999999998</c:v>
                </c:pt>
                <c:pt idx="20">
                  <c:v>0.40689999999999998</c:v>
                </c:pt>
                <c:pt idx="21">
                  <c:v>0.44829999999999998</c:v>
                </c:pt>
                <c:pt idx="22">
                  <c:v>0.43430000000000002</c:v>
                </c:pt>
                <c:pt idx="23">
                  <c:v>0.47039999999999998</c:v>
                </c:pt>
                <c:pt idx="24">
                  <c:v>0.48349999999999999</c:v>
                </c:pt>
                <c:pt idx="25">
                  <c:v>0.47</c:v>
                </c:pt>
                <c:pt idx="26">
                  <c:v>0.49709999999999999</c:v>
                </c:pt>
                <c:pt idx="27">
                  <c:v>0.503</c:v>
                </c:pt>
                <c:pt idx="28">
                  <c:v>0.52470000000000006</c:v>
                </c:pt>
                <c:pt idx="29">
                  <c:v>0.45069999999999999</c:v>
                </c:pt>
                <c:pt idx="30">
                  <c:v>0.40710000000000002</c:v>
                </c:pt>
                <c:pt idx="31">
                  <c:v>0.41670000000000001</c:v>
                </c:pt>
                <c:pt idx="32">
                  <c:v>0.43059999999999998</c:v>
                </c:pt>
                <c:pt idx="33">
                  <c:v>0.43519999999999998</c:v>
                </c:pt>
                <c:pt idx="34">
                  <c:v>0.45639999999999997</c:v>
                </c:pt>
                <c:pt idx="35">
                  <c:v>0.42499999999999999</c:v>
                </c:pt>
                <c:pt idx="36">
                  <c:v>0.40250000000000002</c:v>
                </c:pt>
                <c:pt idx="37">
                  <c:v>0.42009999999999997</c:v>
                </c:pt>
                <c:pt idx="38">
                  <c:v>0.42320000000000002</c:v>
                </c:pt>
                <c:pt idx="39">
                  <c:v>0.4254</c:v>
                </c:pt>
                <c:pt idx="40">
                  <c:v>0.48320000000000002</c:v>
                </c:pt>
                <c:pt idx="41">
                  <c:v>0.56399999999999995</c:v>
                </c:pt>
                <c:pt idx="42">
                  <c:v>0.42349999999999999</c:v>
                </c:pt>
                <c:pt idx="43">
                  <c:v>0.29570000000000002</c:v>
                </c:pt>
                <c:pt idx="44">
                  <c:v>0.30990000000000001</c:v>
                </c:pt>
                <c:pt idx="45">
                  <c:v>0.29870000000000002</c:v>
                </c:pt>
                <c:pt idx="46">
                  <c:v>0.34960000000000002</c:v>
                </c:pt>
                <c:pt idx="47">
                  <c:v>0.37469999999999998</c:v>
                </c:pt>
                <c:pt idx="48">
                  <c:v>0.37119999999999997</c:v>
                </c:pt>
                <c:pt idx="49">
                  <c:v>0.36909999999999998</c:v>
                </c:pt>
                <c:pt idx="50">
                  <c:v>0.4118</c:v>
                </c:pt>
                <c:pt idx="51">
                  <c:v>0.41970000000000002</c:v>
                </c:pt>
                <c:pt idx="52">
                  <c:v>0.46710000000000002</c:v>
                </c:pt>
                <c:pt idx="53">
                  <c:v>0.47120000000000001</c:v>
                </c:pt>
                <c:pt idx="54">
                  <c:v>0.53359999999999996</c:v>
                </c:pt>
                <c:pt idx="55">
                  <c:v>0.86739999999999995</c:v>
                </c:pt>
                <c:pt idx="56">
                  <c:v>0.29820000000000002</c:v>
                </c:pt>
                <c:pt idx="57">
                  <c:v>0.2104</c:v>
                </c:pt>
                <c:pt idx="58">
                  <c:v>0.20660000000000001</c:v>
                </c:pt>
                <c:pt idx="59">
                  <c:v>0.2157</c:v>
                </c:pt>
                <c:pt idx="60">
                  <c:v>0.21809999999999999</c:v>
                </c:pt>
                <c:pt idx="61">
                  <c:v>0.2238</c:v>
                </c:pt>
                <c:pt idx="62">
                  <c:v>0.20699999999999999</c:v>
                </c:pt>
                <c:pt idx="63">
                  <c:v>0.22639999999999999</c:v>
                </c:pt>
                <c:pt idx="64">
                  <c:v>0.23169999999999999</c:v>
                </c:pt>
                <c:pt idx="65">
                  <c:v>0.21290000000000001</c:v>
                </c:pt>
                <c:pt idx="66">
                  <c:v>0.2147</c:v>
                </c:pt>
                <c:pt idx="67">
                  <c:v>0.2082</c:v>
                </c:pt>
                <c:pt idx="68">
                  <c:v>0.2102</c:v>
                </c:pt>
                <c:pt idx="69">
                  <c:v>0.1948</c:v>
                </c:pt>
                <c:pt idx="70">
                  <c:v>0.1757</c:v>
                </c:pt>
                <c:pt idx="71">
                  <c:v>0.19139999999999999</c:v>
                </c:pt>
                <c:pt idx="72">
                  <c:v>0.18129999999999999</c:v>
                </c:pt>
                <c:pt idx="73">
                  <c:v>0.1988</c:v>
                </c:pt>
                <c:pt idx="74">
                  <c:v>0.2059</c:v>
                </c:pt>
                <c:pt idx="75">
                  <c:v>0.2064</c:v>
                </c:pt>
                <c:pt idx="76">
                  <c:v>0.20610000000000001</c:v>
                </c:pt>
                <c:pt idx="77">
                  <c:v>0.20910000000000001</c:v>
                </c:pt>
                <c:pt idx="78">
                  <c:v>0.2054</c:v>
                </c:pt>
                <c:pt idx="79">
                  <c:v>0.2185</c:v>
                </c:pt>
                <c:pt idx="80">
                  <c:v>0.21729999999999999</c:v>
                </c:pt>
                <c:pt idx="81">
                  <c:v>0.2175</c:v>
                </c:pt>
                <c:pt idx="82">
                  <c:v>0.21249999999999999</c:v>
                </c:pt>
                <c:pt idx="83">
                  <c:v>0.2132</c:v>
                </c:pt>
                <c:pt idx="84">
                  <c:v>0.21959999999999999</c:v>
                </c:pt>
                <c:pt idx="85">
                  <c:v>0.22950000000000001</c:v>
                </c:pt>
                <c:pt idx="86">
                  <c:v>0.22320000000000001</c:v>
                </c:pt>
                <c:pt idx="87">
                  <c:v>0.21390000000000001</c:v>
                </c:pt>
                <c:pt idx="88">
                  <c:v>0.21029999999999999</c:v>
                </c:pt>
                <c:pt idx="89">
                  <c:v>0.2029</c:v>
                </c:pt>
                <c:pt idx="90">
                  <c:v>0.20330000000000001</c:v>
                </c:pt>
                <c:pt idx="91">
                  <c:v>0.1968</c:v>
                </c:pt>
                <c:pt idx="92">
                  <c:v>0.1875</c:v>
                </c:pt>
                <c:pt idx="93">
                  <c:v>0.22140000000000001</c:v>
                </c:pt>
                <c:pt idx="94">
                  <c:v>0.22670000000000001</c:v>
                </c:pt>
                <c:pt idx="95">
                  <c:v>0.221</c:v>
                </c:pt>
                <c:pt idx="96">
                  <c:v>0.2288</c:v>
                </c:pt>
                <c:pt idx="97">
                  <c:v>0.22919999999999999</c:v>
                </c:pt>
                <c:pt idx="98">
                  <c:v>0.22289999999999999</c:v>
                </c:pt>
                <c:pt idx="99">
                  <c:v>0.22620000000000001</c:v>
                </c:pt>
                <c:pt idx="100">
                  <c:v>0.21679999999999999</c:v>
                </c:pt>
                <c:pt idx="101">
                  <c:v>0.2268</c:v>
                </c:pt>
                <c:pt idx="102">
                  <c:v>0.23880000000000001</c:v>
                </c:pt>
                <c:pt idx="103">
                  <c:v>0.23519999999999999</c:v>
                </c:pt>
                <c:pt idx="104">
                  <c:v>0.23350000000000001</c:v>
                </c:pt>
                <c:pt idx="105">
                  <c:v>0.21659999999999999</c:v>
                </c:pt>
                <c:pt idx="106">
                  <c:v>0.21229999999999999</c:v>
                </c:pt>
                <c:pt idx="107">
                  <c:v>0.2064</c:v>
                </c:pt>
                <c:pt idx="108">
                  <c:v>0.218</c:v>
                </c:pt>
                <c:pt idx="109">
                  <c:v>0.21410000000000001</c:v>
                </c:pt>
                <c:pt idx="110">
                  <c:v>0.21210000000000001</c:v>
                </c:pt>
                <c:pt idx="111">
                  <c:v>0.20860000000000001</c:v>
                </c:pt>
                <c:pt idx="112">
                  <c:v>0.20910000000000001</c:v>
                </c:pt>
                <c:pt idx="113">
                  <c:v>0.20930000000000001</c:v>
                </c:pt>
                <c:pt idx="114">
                  <c:v>0.21809999999999999</c:v>
                </c:pt>
                <c:pt idx="115">
                  <c:v>0.2039</c:v>
                </c:pt>
                <c:pt idx="116">
                  <c:v>0.21290000000000001</c:v>
                </c:pt>
                <c:pt idx="117">
                  <c:v>0.2225</c:v>
                </c:pt>
                <c:pt idx="118">
                  <c:v>0.2019</c:v>
                </c:pt>
                <c:pt idx="119">
                  <c:v>0.19</c:v>
                </c:pt>
                <c:pt idx="120">
                  <c:v>0.18529999999999999</c:v>
                </c:pt>
                <c:pt idx="121">
                  <c:v>0.17780000000000001</c:v>
                </c:pt>
                <c:pt idx="122">
                  <c:v>0.18529999999999999</c:v>
                </c:pt>
                <c:pt idx="123">
                  <c:v>0.19839999999999999</c:v>
                </c:pt>
                <c:pt idx="124">
                  <c:v>0.21590000000000001</c:v>
                </c:pt>
                <c:pt idx="125">
                  <c:v>0.22489999999999999</c:v>
                </c:pt>
                <c:pt idx="126">
                  <c:v>0.24790000000000001</c:v>
                </c:pt>
                <c:pt idx="127">
                  <c:v>0.25340000000000001</c:v>
                </c:pt>
                <c:pt idx="128">
                  <c:v>0.24529999999999999</c:v>
                </c:pt>
                <c:pt idx="129">
                  <c:v>0.22359999999999999</c:v>
                </c:pt>
                <c:pt idx="130">
                  <c:v>0.24759999999999999</c:v>
                </c:pt>
                <c:pt idx="131">
                  <c:v>0.28570000000000001</c:v>
                </c:pt>
                <c:pt idx="132">
                  <c:v>0.22289999999999999</c:v>
                </c:pt>
                <c:pt idx="133">
                  <c:v>0.22720000000000001</c:v>
                </c:pt>
                <c:pt idx="134">
                  <c:v>0.2278</c:v>
                </c:pt>
                <c:pt idx="135">
                  <c:v>0.21279999999999999</c:v>
                </c:pt>
                <c:pt idx="136">
                  <c:v>0.2024</c:v>
                </c:pt>
                <c:pt idx="137">
                  <c:v>0.217</c:v>
                </c:pt>
                <c:pt idx="138">
                  <c:v>0.2049</c:v>
                </c:pt>
                <c:pt idx="139">
                  <c:v>0.20619999999999999</c:v>
                </c:pt>
                <c:pt idx="140">
                  <c:v>0.20050000000000001</c:v>
                </c:pt>
                <c:pt idx="141">
                  <c:v>0.19850000000000001</c:v>
                </c:pt>
                <c:pt idx="142">
                  <c:v>0.20130000000000001</c:v>
                </c:pt>
                <c:pt idx="143">
                  <c:v>0.2576</c:v>
                </c:pt>
                <c:pt idx="144">
                  <c:v>0.23599999999999999</c:v>
                </c:pt>
                <c:pt idx="145">
                  <c:v>0.24579999999999999</c:v>
                </c:pt>
                <c:pt idx="146">
                  <c:v>0.2089</c:v>
                </c:pt>
                <c:pt idx="147">
                  <c:v>0.20499999999999999</c:v>
                </c:pt>
                <c:pt idx="148">
                  <c:v>0.20699999999999999</c:v>
                </c:pt>
                <c:pt idx="149">
                  <c:v>0.20200000000000001</c:v>
                </c:pt>
                <c:pt idx="150">
                  <c:v>0.2049</c:v>
                </c:pt>
                <c:pt idx="151">
                  <c:v>0.22140000000000001</c:v>
                </c:pt>
                <c:pt idx="152">
                  <c:v>0.20069999999999999</c:v>
                </c:pt>
                <c:pt idx="153">
                  <c:v>0.20219999999999999</c:v>
                </c:pt>
                <c:pt idx="154">
                  <c:v>0.1933</c:v>
                </c:pt>
                <c:pt idx="155">
                  <c:v>0.20780000000000001</c:v>
                </c:pt>
                <c:pt idx="156">
                  <c:v>0.19900000000000001</c:v>
                </c:pt>
                <c:pt idx="157">
                  <c:v>0.21629999999999999</c:v>
                </c:pt>
                <c:pt idx="158">
                  <c:v>0.2142</c:v>
                </c:pt>
                <c:pt idx="159">
                  <c:v>0.21079999999999999</c:v>
                </c:pt>
                <c:pt idx="160">
                  <c:v>0.20519999999999999</c:v>
                </c:pt>
                <c:pt idx="161">
                  <c:v>0.19980000000000001</c:v>
                </c:pt>
                <c:pt idx="162">
                  <c:v>0.18640000000000001</c:v>
                </c:pt>
                <c:pt idx="163">
                  <c:v>0.1852</c:v>
                </c:pt>
                <c:pt idx="164">
                  <c:v>0.19819999999999999</c:v>
                </c:pt>
                <c:pt idx="165">
                  <c:v>0.2059</c:v>
                </c:pt>
                <c:pt idx="166">
                  <c:v>0.20419999999999999</c:v>
                </c:pt>
                <c:pt idx="167">
                  <c:v>0.21640000000000001</c:v>
                </c:pt>
                <c:pt idx="168">
                  <c:v>0.18140000000000001</c:v>
                </c:pt>
                <c:pt idx="169">
                  <c:v>0.1908</c:v>
                </c:pt>
                <c:pt idx="170">
                  <c:v>0.188</c:v>
                </c:pt>
                <c:pt idx="171">
                  <c:v>0.1774</c:v>
                </c:pt>
                <c:pt idx="172">
                  <c:v>0.1673</c:v>
                </c:pt>
                <c:pt idx="173">
                  <c:v>0.18920000000000001</c:v>
                </c:pt>
                <c:pt idx="174">
                  <c:v>0.16239999999999999</c:v>
                </c:pt>
                <c:pt idx="175">
                  <c:v>0.1605</c:v>
                </c:pt>
                <c:pt idx="176">
                  <c:v>0.14749999999999999</c:v>
                </c:pt>
                <c:pt idx="177">
                  <c:v>0.14530000000000001</c:v>
                </c:pt>
                <c:pt idx="178">
                  <c:v>0.1429</c:v>
                </c:pt>
                <c:pt idx="179">
                  <c:v>0.13900000000000001</c:v>
                </c:pt>
                <c:pt idx="180">
                  <c:v>0.14349999999999999</c:v>
                </c:pt>
                <c:pt idx="181">
                  <c:v>0.14230000000000001</c:v>
                </c:pt>
                <c:pt idx="182">
                  <c:v>0.1416</c:v>
                </c:pt>
                <c:pt idx="183">
                  <c:v>0.1414</c:v>
                </c:pt>
                <c:pt idx="184">
                  <c:v>0.13250000000000001</c:v>
                </c:pt>
                <c:pt idx="185">
                  <c:v>0.13220000000000001</c:v>
                </c:pt>
                <c:pt idx="186">
                  <c:v>0.1326</c:v>
                </c:pt>
                <c:pt idx="187">
                  <c:v>0.13389999999999999</c:v>
                </c:pt>
                <c:pt idx="188">
                  <c:v>0.12909999999999999</c:v>
                </c:pt>
                <c:pt idx="189">
                  <c:v>0.12790000000000001</c:v>
                </c:pt>
                <c:pt idx="190">
                  <c:v>0.1236</c:v>
                </c:pt>
                <c:pt idx="191">
                  <c:v>0.1138</c:v>
                </c:pt>
                <c:pt idx="192">
                  <c:v>0.1242</c:v>
                </c:pt>
                <c:pt idx="193">
                  <c:v>0.14119999999999999</c:v>
                </c:pt>
                <c:pt idx="194">
                  <c:v>0.13789999999999999</c:v>
                </c:pt>
                <c:pt idx="195">
                  <c:v>0.13900000000000001</c:v>
                </c:pt>
                <c:pt idx="196">
                  <c:v>0.1424</c:v>
                </c:pt>
                <c:pt idx="197">
                  <c:v>0.15359999999999999</c:v>
                </c:pt>
                <c:pt idx="198">
                  <c:v>0.15809999999999999</c:v>
                </c:pt>
                <c:pt idx="199">
                  <c:v>0.14799999999999999</c:v>
                </c:pt>
                <c:pt idx="200">
                  <c:v>0.1484</c:v>
                </c:pt>
                <c:pt idx="201">
                  <c:v>0.14480000000000001</c:v>
                </c:pt>
                <c:pt idx="202">
                  <c:v>0.14560000000000001</c:v>
                </c:pt>
                <c:pt idx="203">
                  <c:v>0.14219999999999999</c:v>
                </c:pt>
                <c:pt idx="204">
                  <c:v>0.1512</c:v>
                </c:pt>
                <c:pt idx="205">
                  <c:v>0.15640000000000001</c:v>
                </c:pt>
                <c:pt idx="206">
                  <c:v>0.14749999999999999</c:v>
                </c:pt>
                <c:pt idx="207">
                  <c:v>0.1527</c:v>
                </c:pt>
                <c:pt idx="208">
                  <c:v>0.15329999999999999</c:v>
                </c:pt>
                <c:pt idx="209">
                  <c:v>0.154</c:v>
                </c:pt>
                <c:pt idx="210">
                  <c:v>0.1522</c:v>
                </c:pt>
                <c:pt idx="211">
                  <c:v>0.15529999999999999</c:v>
                </c:pt>
                <c:pt idx="212">
                  <c:v>0.14849999999999999</c:v>
                </c:pt>
                <c:pt idx="213">
                  <c:v>0.14680000000000001</c:v>
                </c:pt>
                <c:pt idx="214">
                  <c:v>0.14230000000000001</c:v>
                </c:pt>
                <c:pt idx="215">
                  <c:v>0.1404</c:v>
                </c:pt>
                <c:pt idx="216">
                  <c:v>0.13739999999999999</c:v>
                </c:pt>
                <c:pt idx="217">
                  <c:v>0.1474</c:v>
                </c:pt>
                <c:pt idx="218">
                  <c:v>0.1454</c:v>
                </c:pt>
                <c:pt idx="219">
                  <c:v>0.13880000000000001</c:v>
                </c:pt>
                <c:pt idx="220">
                  <c:v>0.15409999999999999</c:v>
                </c:pt>
                <c:pt idx="221">
                  <c:v>0.19689999999999999</c:v>
                </c:pt>
                <c:pt idx="222">
                  <c:v>0.18720000000000001</c:v>
                </c:pt>
                <c:pt idx="223">
                  <c:v>0.18959999999999999</c:v>
                </c:pt>
                <c:pt idx="224">
                  <c:v>0.1981</c:v>
                </c:pt>
                <c:pt idx="225">
                  <c:v>0.20610000000000001</c:v>
                </c:pt>
                <c:pt idx="226">
                  <c:v>0.215</c:v>
                </c:pt>
                <c:pt idx="227">
                  <c:v>0.2026</c:v>
                </c:pt>
                <c:pt idx="228">
                  <c:v>0.20949999999999999</c:v>
                </c:pt>
                <c:pt idx="229">
                  <c:v>0.2301</c:v>
                </c:pt>
                <c:pt idx="230">
                  <c:v>0.17829999999999999</c:v>
                </c:pt>
                <c:pt idx="231">
                  <c:v>0.2039</c:v>
                </c:pt>
                <c:pt idx="232">
                  <c:v>0.19359999999999999</c:v>
                </c:pt>
                <c:pt idx="233">
                  <c:v>0.18410000000000001</c:v>
                </c:pt>
                <c:pt idx="234">
                  <c:v>0.17960000000000001</c:v>
                </c:pt>
                <c:pt idx="235">
                  <c:v>0.20180000000000001</c:v>
                </c:pt>
                <c:pt idx="236">
                  <c:v>0.20499999999999999</c:v>
                </c:pt>
                <c:pt idx="237">
                  <c:v>0.2341</c:v>
                </c:pt>
                <c:pt idx="238">
                  <c:v>0.2024</c:v>
                </c:pt>
                <c:pt idx="239">
                  <c:v>0.19350000000000001</c:v>
                </c:pt>
                <c:pt idx="240">
                  <c:v>0.1762</c:v>
                </c:pt>
                <c:pt idx="241">
                  <c:v>0.18709999999999999</c:v>
                </c:pt>
                <c:pt idx="242">
                  <c:v>0.18140000000000001</c:v>
                </c:pt>
                <c:pt idx="243">
                  <c:v>0.16300000000000001</c:v>
                </c:pt>
                <c:pt idx="244">
                  <c:v>0.17199999999999999</c:v>
                </c:pt>
                <c:pt idx="245">
                  <c:v>0.19739999999999999</c:v>
                </c:pt>
                <c:pt idx="246">
                  <c:v>0.1948</c:v>
                </c:pt>
                <c:pt idx="247">
                  <c:v>0.17349999999999999</c:v>
                </c:pt>
                <c:pt idx="248">
                  <c:v>0.1714</c:v>
                </c:pt>
                <c:pt idx="249">
                  <c:v>0.14649999999999999</c:v>
                </c:pt>
                <c:pt idx="250">
                  <c:v>0.18579999999999999</c:v>
                </c:pt>
                <c:pt idx="251">
                  <c:v>0.18099999999999999</c:v>
                </c:pt>
                <c:pt idx="252">
                  <c:v>0.2208</c:v>
                </c:pt>
                <c:pt idx="253">
                  <c:v>0.1966</c:v>
                </c:pt>
                <c:pt idx="254">
                  <c:v>0.30230000000000001</c:v>
                </c:pt>
                <c:pt idx="255">
                  <c:v>0.28449999999999998</c:v>
                </c:pt>
                <c:pt idx="256">
                  <c:v>0.31269999999999998</c:v>
                </c:pt>
                <c:pt idx="257">
                  <c:v>0.31690000000000002</c:v>
                </c:pt>
                <c:pt idx="258">
                  <c:v>0.3427</c:v>
                </c:pt>
                <c:pt idx="259">
                  <c:v>0.32990000000000003</c:v>
                </c:pt>
                <c:pt idx="260">
                  <c:v>0.34470000000000001</c:v>
                </c:pt>
                <c:pt idx="261">
                  <c:v>0.39510000000000001</c:v>
                </c:pt>
                <c:pt idx="262">
                  <c:v>0.40089999999999998</c:v>
                </c:pt>
                <c:pt idx="263">
                  <c:v>0.5423</c:v>
                </c:pt>
                <c:pt idx="264">
                  <c:v>0.41299999999999998</c:v>
                </c:pt>
                <c:pt idx="265">
                  <c:v>0.38950000000000001</c:v>
                </c:pt>
                <c:pt idx="266">
                  <c:v>0.38030000000000003</c:v>
                </c:pt>
                <c:pt idx="267">
                  <c:v>0.39200000000000002</c:v>
                </c:pt>
                <c:pt idx="268">
                  <c:v>0.35060000000000002</c:v>
                </c:pt>
                <c:pt idx="269">
                  <c:v>0.39779999999999999</c:v>
                </c:pt>
                <c:pt idx="270">
                  <c:v>0.36009999999999998</c:v>
                </c:pt>
                <c:pt idx="271">
                  <c:v>0.37480000000000002</c:v>
                </c:pt>
                <c:pt idx="272">
                  <c:v>0.36980000000000002</c:v>
                </c:pt>
                <c:pt idx="273">
                  <c:v>0.36170000000000002</c:v>
                </c:pt>
                <c:pt idx="274">
                  <c:v>0.34449999999999997</c:v>
                </c:pt>
                <c:pt idx="275">
                  <c:v>0.3669</c:v>
                </c:pt>
                <c:pt idx="276">
                  <c:v>0.34250000000000003</c:v>
                </c:pt>
                <c:pt idx="277">
                  <c:v>0.27639999999999998</c:v>
                </c:pt>
                <c:pt idx="278">
                  <c:v>0.28299999999999997</c:v>
                </c:pt>
                <c:pt idx="279">
                  <c:v>0.29580000000000001</c:v>
                </c:pt>
                <c:pt idx="280">
                  <c:v>0.31459999999999999</c:v>
                </c:pt>
                <c:pt idx="281">
                  <c:v>0.36349999999999999</c:v>
                </c:pt>
                <c:pt idx="282">
                  <c:v>0.38629999999999998</c:v>
                </c:pt>
                <c:pt idx="283">
                  <c:v>0.39179999999999998</c:v>
                </c:pt>
                <c:pt idx="284">
                  <c:v>0.38990000000000002</c:v>
                </c:pt>
                <c:pt idx="285">
                  <c:v>0.45400000000000001</c:v>
                </c:pt>
                <c:pt idx="286">
                  <c:v>0.43719999999999998</c:v>
                </c:pt>
                <c:pt idx="287">
                  <c:v>0.46789999999999998</c:v>
                </c:pt>
                <c:pt idx="288">
                  <c:v>0.4582</c:v>
                </c:pt>
                <c:pt idx="289">
                  <c:v>0.47470000000000001</c:v>
                </c:pt>
                <c:pt idx="290">
                  <c:v>0.46279999999999999</c:v>
                </c:pt>
                <c:pt idx="291">
                  <c:v>0.53620000000000001</c:v>
                </c:pt>
                <c:pt idx="292">
                  <c:v>0.69289999999999996</c:v>
                </c:pt>
                <c:pt idx="293">
                  <c:v>0.42770000000000002</c:v>
                </c:pt>
                <c:pt idx="294">
                  <c:v>0.35360000000000003</c:v>
                </c:pt>
                <c:pt idx="295">
                  <c:v>0.31340000000000001</c:v>
                </c:pt>
                <c:pt idx="296">
                  <c:v>0.36120000000000002</c:v>
                </c:pt>
                <c:pt idx="297">
                  <c:v>0.36299999999999999</c:v>
                </c:pt>
                <c:pt idx="298">
                  <c:v>0.3649</c:v>
                </c:pt>
                <c:pt idx="299">
                  <c:v>0.30780000000000002</c:v>
                </c:pt>
                <c:pt idx="300">
                  <c:v>0.34339999999999998</c:v>
                </c:pt>
                <c:pt idx="301">
                  <c:v>0.3659</c:v>
                </c:pt>
                <c:pt idx="302">
                  <c:v>0.33629999999999999</c:v>
                </c:pt>
                <c:pt idx="303">
                  <c:v>0.33119999999999999</c:v>
                </c:pt>
                <c:pt idx="304">
                  <c:v>0.32400000000000001</c:v>
                </c:pt>
                <c:pt idx="305">
                  <c:v>0.30309999999999998</c:v>
                </c:pt>
                <c:pt idx="306">
                  <c:v>0.29659999999999997</c:v>
                </c:pt>
                <c:pt idx="307">
                  <c:v>0.28289999999999998</c:v>
                </c:pt>
                <c:pt idx="308">
                  <c:v>0.26640000000000003</c:v>
                </c:pt>
                <c:pt idx="309">
                  <c:v>0.27</c:v>
                </c:pt>
                <c:pt idx="310">
                  <c:v>0.29870000000000002</c:v>
                </c:pt>
                <c:pt idx="311">
                  <c:v>0.26860000000000001</c:v>
                </c:pt>
                <c:pt idx="312">
                  <c:v>0.27689999999999998</c:v>
                </c:pt>
                <c:pt idx="313">
                  <c:v>0.28560000000000002</c:v>
                </c:pt>
                <c:pt idx="314">
                  <c:v>0.31340000000000001</c:v>
                </c:pt>
                <c:pt idx="315">
                  <c:v>0.34460000000000002</c:v>
                </c:pt>
                <c:pt idx="316">
                  <c:v>0.29289999999999999</c:v>
                </c:pt>
                <c:pt idx="317">
                  <c:v>0.27800000000000002</c:v>
                </c:pt>
                <c:pt idx="318">
                  <c:v>0.26079999999999998</c:v>
                </c:pt>
                <c:pt idx="319">
                  <c:v>0.28079999999999999</c:v>
                </c:pt>
                <c:pt idx="320">
                  <c:v>0.26800000000000002</c:v>
                </c:pt>
                <c:pt idx="321">
                  <c:v>0.26300000000000001</c:v>
                </c:pt>
                <c:pt idx="322">
                  <c:v>0.24529999999999999</c:v>
                </c:pt>
                <c:pt idx="323">
                  <c:v>0.21179999999999999</c:v>
                </c:pt>
                <c:pt idx="324">
                  <c:v>0.224</c:v>
                </c:pt>
                <c:pt idx="325">
                  <c:v>0.2021</c:v>
                </c:pt>
                <c:pt idx="326">
                  <c:v>0.20030000000000001</c:v>
                </c:pt>
                <c:pt idx="327">
                  <c:v>0.2099</c:v>
                </c:pt>
                <c:pt idx="328">
                  <c:v>0.1744</c:v>
                </c:pt>
                <c:pt idx="329">
                  <c:v>0.16919999999999999</c:v>
                </c:pt>
                <c:pt idx="330">
                  <c:v>0.18579999999999999</c:v>
                </c:pt>
                <c:pt idx="331">
                  <c:v>0.18540000000000001</c:v>
                </c:pt>
                <c:pt idx="332">
                  <c:v>0.1993</c:v>
                </c:pt>
                <c:pt idx="333">
                  <c:v>0.1885</c:v>
                </c:pt>
                <c:pt idx="334">
                  <c:v>0.18060000000000001</c:v>
                </c:pt>
                <c:pt idx="335">
                  <c:v>0.13789999999999999</c:v>
                </c:pt>
                <c:pt idx="336">
                  <c:v>0.1444</c:v>
                </c:pt>
                <c:pt idx="337">
                  <c:v>0.15359999999999999</c:v>
                </c:pt>
                <c:pt idx="338">
                  <c:v>0.14829999999999999</c:v>
                </c:pt>
                <c:pt idx="339">
                  <c:v>0.1913</c:v>
                </c:pt>
                <c:pt idx="340">
                  <c:v>0.21820000000000001</c:v>
                </c:pt>
                <c:pt idx="341">
                  <c:v>0.20699999999999999</c:v>
                </c:pt>
                <c:pt idx="342">
                  <c:v>0.2205</c:v>
                </c:pt>
                <c:pt idx="343">
                  <c:v>0.2351</c:v>
                </c:pt>
                <c:pt idx="344">
                  <c:v>0.22720000000000001</c:v>
                </c:pt>
                <c:pt idx="345">
                  <c:v>0.22220000000000001</c:v>
                </c:pt>
                <c:pt idx="346">
                  <c:v>0.22839999999999999</c:v>
                </c:pt>
                <c:pt idx="347">
                  <c:v>0.25090000000000001</c:v>
                </c:pt>
                <c:pt idx="348">
                  <c:v>0.28670000000000001</c:v>
                </c:pt>
                <c:pt idx="349">
                  <c:v>0.20150000000000001</c:v>
                </c:pt>
                <c:pt idx="350">
                  <c:v>0.1845</c:v>
                </c:pt>
                <c:pt idx="351">
                  <c:v>0.1585</c:v>
                </c:pt>
                <c:pt idx="352">
                  <c:v>0.1565</c:v>
                </c:pt>
                <c:pt idx="353">
                  <c:v>0.14119999999999999</c:v>
                </c:pt>
                <c:pt idx="354">
                  <c:v>0.1346</c:v>
                </c:pt>
                <c:pt idx="355">
                  <c:v>0.1419</c:v>
                </c:pt>
                <c:pt idx="356">
                  <c:v>0.14099999999999999</c:v>
                </c:pt>
                <c:pt idx="357">
                  <c:v>0.1336</c:v>
                </c:pt>
                <c:pt idx="358">
                  <c:v>0.13059999999999999</c:v>
                </c:pt>
                <c:pt idx="359">
                  <c:v>0.1236</c:v>
                </c:pt>
                <c:pt idx="360">
                  <c:v>0.12670000000000001</c:v>
                </c:pt>
                <c:pt idx="361">
                  <c:v>0.12839999999999999</c:v>
                </c:pt>
                <c:pt idx="362">
                  <c:v>0.12330000000000001</c:v>
                </c:pt>
                <c:pt idx="363">
                  <c:v>0.113</c:v>
                </c:pt>
                <c:pt idx="364">
                  <c:v>0.107</c:v>
                </c:pt>
                <c:pt idx="365">
                  <c:v>0.1014</c:v>
                </c:pt>
                <c:pt idx="366">
                  <c:v>0.1017</c:v>
                </c:pt>
                <c:pt idx="367">
                  <c:v>0.10100000000000001</c:v>
                </c:pt>
                <c:pt idx="368">
                  <c:v>0.106</c:v>
                </c:pt>
                <c:pt idx="369">
                  <c:v>0.104</c:v>
                </c:pt>
                <c:pt idx="370">
                  <c:v>0.10639999999999999</c:v>
                </c:pt>
                <c:pt idx="371">
                  <c:v>9.8100000000000007E-2</c:v>
                </c:pt>
                <c:pt idx="372">
                  <c:v>0.1118</c:v>
                </c:pt>
                <c:pt idx="373">
                  <c:v>0.114</c:v>
                </c:pt>
                <c:pt idx="374">
                  <c:v>0.1162</c:v>
                </c:pt>
                <c:pt idx="375">
                  <c:v>0.1163</c:v>
                </c:pt>
                <c:pt idx="376">
                  <c:v>0.11459999999999999</c:v>
                </c:pt>
                <c:pt idx="377">
                  <c:v>0.1137</c:v>
                </c:pt>
                <c:pt idx="378">
                  <c:v>0.13</c:v>
                </c:pt>
                <c:pt idx="379">
                  <c:v>0.1201</c:v>
                </c:pt>
                <c:pt idx="380">
                  <c:v>0.1135</c:v>
                </c:pt>
                <c:pt idx="381">
                  <c:v>0.1154</c:v>
                </c:pt>
                <c:pt idx="382">
                  <c:v>0.16650000000000001</c:v>
                </c:pt>
                <c:pt idx="383">
                  <c:v>0.18260000000000001</c:v>
                </c:pt>
                <c:pt idx="384">
                  <c:v>0.16889999999999999</c:v>
                </c:pt>
                <c:pt idx="385">
                  <c:v>9.4E-2</c:v>
                </c:pt>
                <c:pt idx="386">
                  <c:v>8.2400000000000001E-2</c:v>
                </c:pt>
                <c:pt idx="387">
                  <c:v>7.6999999999999999E-2</c:v>
                </c:pt>
                <c:pt idx="388">
                  <c:v>7.5700000000000003E-2</c:v>
                </c:pt>
                <c:pt idx="389">
                  <c:v>7.8600000000000003E-2</c:v>
                </c:pt>
                <c:pt idx="390">
                  <c:v>8.6099999999999996E-2</c:v>
                </c:pt>
                <c:pt idx="391">
                  <c:v>8.2299999999999998E-2</c:v>
                </c:pt>
                <c:pt idx="392">
                  <c:v>7.8899999999999998E-2</c:v>
                </c:pt>
                <c:pt idx="393">
                  <c:v>7.7799999999999994E-2</c:v>
                </c:pt>
                <c:pt idx="394">
                  <c:v>0.08</c:v>
                </c:pt>
                <c:pt idx="395">
                  <c:v>7.1499999999999994E-2</c:v>
                </c:pt>
                <c:pt idx="396">
                  <c:v>7.1300000000000002E-2</c:v>
                </c:pt>
                <c:pt idx="397">
                  <c:v>7.2400000000000006E-2</c:v>
                </c:pt>
                <c:pt idx="398">
                  <c:v>7.3499999999999996E-2</c:v>
                </c:pt>
                <c:pt idx="399">
                  <c:v>7.4800000000000005E-2</c:v>
                </c:pt>
                <c:pt idx="400">
                  <c:v>6.9099999999999995E-2</c:v>
                </c:pt>
                <c:pt idx="401">
                  <c:v>8.0199999999999994E-2</c:v>
                </c:pt>
                <c:pt idx="402">
                  <c:v>8.2900000000000001E-2</c:v>
                </c:pt>
                <c:pt idx="403">
                  <c:v>8.8999999999999996E-2</c:v>
                </c:pt>
                <c:pt idx="404">
                  <c:v>8.8999999999999996E-2</c:v>
                </c:pt>
                <c:pt idx="405">
                  <c:v>8.5999999999999993E-2</c:v>
                </c:pt>
                <c:pt idx="406">
                  <c:v>8.3799999999999999E-2</c:v>
                </c:pt>
                <c:pt idx="407">
                  <c:v>8.5500000000000007E-2</c:v>
                </c:pt>
                <c:pt idx="408">
                  <c:v>8.2400000000000001E-2</c:v>
                </c:pt>
                <c:pt idx="409">
                  <c:v>8.2500000000000004E-2</c:v>
                </c:pt>
                <c:pt idx="410">
                  <c:v>8.4400000000000003E-2</c:v>
                </c:pt>
                <c:pt idx="411">
                  <c:v>8.5199999999999998E-2</c:v>
                </c:pt>
                <c:pt idx="412">
                  <c:v>7.9699999999999993E-2</c:v>
                </c:pt>
                <c:pt idx="413">
                  <c:v>8.0699999999999994E-2</c:v>
                </c:pt>
                <c:pt idx="414">
                  <c:v>8.2199999999999995E-2</c:v>
                </c:pt>
                <c:pt idx="415">
                  <c:v>8.3199999999999996E-2</c:v>
                </c:pt>
                <c:pt idx="416">
                  <c:v>8.3299999999999999E-2</c:v>
                </c:pt>
                <c:pt idx="417">
                  <c:v>8.4099999999999994E-2</c:v>
                </c:pt>
                <c:pt idx="418">
                  <c:v>8.3599999999999994E-2</c:v>
                </c:pt>
                <c:pt idx="419">
                  <c:v>8.0199999999999994E-2</c:v>
                </c:pt>
                <c:pt idx="420">
                  <c:v>8.5500000000000007E-2</c:v>
                </c:pt>
                <c:pt idx="421">
                  <c:v>8.3699999999999997E-2</c:v>
                </c:pt>
                <c:pt idx="422">
                  <c:v>8.1199999999999994E-2</c:v>
                </c:pt>
                <c:pt idx="423">
                  <c:v>8.5900000000000004E-2</c:v>
                </c:pt>
                <c:pt idx="424">
                  <c:v>8.5000000000000006E-2</c:v>
                </c:pt>
                <c:pt idx="425">
                  <c:v>8.4400000000000003E-2</c:v>
                </c:pt>
                <c:pt idx="426">
                  <c:v>8.1699999999999995E-2</c:v>
                </c:pt>
                <c:pt idx="427">
                  <c:v>8.2600000000000007E-2</c:v>
                </c:pt>
                <c:pt idx="428">
                  <c:v>9.3399999999999997E-2</c:v>
                </c:pt>
                <c:pt idx="429">
                  <c:v>9.3299999999999994E-2</c:v>
                </c:pt>
                <c:pt idx="430">
                  <c:v>8.5300000000000001E-2</c:v>
                </c:pt>
                <c:pt idx="431">
                  <c:v>8.2900000000000001E-2</c:v>
                </c:pt>
                <c:pt idx="432">
                  <c:v>8.4400000000000003E-2</c:v>
                </c:pt>
                <c:pt idx="433">
                  <c:v>7.8899999999999998E-2</c:v>
                </c:pt>
                <c:pt idx="434">
                  <c:v>7.7200000000000005E-2</c:v>
                </c:pt>
                <c:pt idx="435">
                  <c:v>7.9299999999999995E-2</c:v>
                </c:pt>
                <c:pt idx="436">
                  <c:v>8.0399999999999999E-2</c:v>
                </c:pt>
                <c:pt idx="437">
                  <c:v>7.8799999999999995E-2</c:v>
                </c:pt>
                <c:pt idx="438">
                  <c:v>7.6700000000000004E-2</c:v>
                </c:pt>
                <c:pt idx="439">
                  <c:v>7.9399999999999998E-2</c:v>
                </c:pt>
                <c:pt idx="440">
                  <c:v>8.3099999999999993E-2</c:v>
                </c:pt>
                <c:pt idx="441">
                  <c:v>7.9399999999999998E-2</c:v>
                </c:pt>
                <c:pt idx="442">
                  <c:v>8.2100000000000006E-2</c:v>
                </c:pt>
                <c:pt idx="443">
                  <c:v>8.8300000000000003E-2</c:v>
                </c:pt>
                <c:pt idx="444">
                  <c:v>7.9299999999999995E-2</c:v>
                </c:pt>
                <c:pt idx="445">
                  <c:v>7.9799999999999996E-2</c:v>
                </c:pt>
                <c:pt idx="446">
                  <c:v>7.6200000000000004E-2</c:v>
                </c:pt>
                <c:pt idx="447">
                  <c:v>8.0299999999999996E-2</c:v>
                </c:pt>
                <c:pt idx="448">
                  <c:v>7.5899999999999995E-2</c:v>
                </c:pt>
                <c:pt idx="449">
                  <c:v>7.4099999999999999E-2</c:v>
                </c:pt>
                <c:pt idx="450">
                  <c:v>7.5700000000000003E-2</c:v>
                </c:pt>
                <c:pt idx="451">
                  <c:v>7.6600000000000001E-2</c:v>
                </c:pt>
                <c:pt idx="452">
                  <c:v>7.9200000000000007E-2</c:v>
                </c:pt>
                <c:pt idx="453">
                  <c:v>7.6899999999999996E-2</c:v>
                </c:pt>
                <c:pt idx="454">
                  <c:v>7.6100000000000001E-2</c:v>
                </c:pt>
                <c:pt idx="455">
                  <c:v>7.4899999999999994E-2</c:v>
                </c:pt>
                <c:pt idx="456">
                  <c:v>7.4099999999999999E-2</c:v>
                </c:pt>
                <c:pt idx="457">
                  <c:v>8.2199999999999995E-2</c:v>
                </c:pt>
                <c:pt idx="458">
                  <c:v>8.2500000000000004E-2</c:v>
                </c:pt>
                <c:pt idx="459">
                  <c:v>8.5300000000000001E-2</c:v>
                </c:pt>
                <c:pt idx="460">
                  <c:v>8.7499999999999994E-2</c:v>
                </c:pt>
                <c:pt idx="461">
                  <c:v>8.8400000000000006E-2</c:v>
                </c:pt>
                <c:pt idx="462">
                  <c:v>8.8099999999999998E-2</c:v>
                </c:pt>
                <c:pt idx="463">
                  <c:v>8.9200000000000002E-2</c:v>
                </c:pt>
                <c:pt idx="464">
                  <c:v>8.6699999999999999E-2</c:v>
                </c:pt>
                <c:pt idx="465">
                  <c:v>8.7800000000000003E-2</c:v>
                </c:pt>
                <c:pt idx="466">
                  <c:v>8.8900000000000007E-2</c:v>
                </c:pt>
                <c:pt idx="467">
                  <c:v>8.7900000000000006E-2</c:v>
                </c:pt>
                <c:pt idx="468">
                  <c:v>8.6900000000000005E-2</c:v>
                </c:pt>
                <c:pt idx="469">
                  <c:v>8.9599999999999999E-2</c:v>
                </c:pt>
                <c:pt idx="470">
                  <c:v>0.09</c:v>
                </c:pt>
                <c:pt idx="471">
                  <c:v>9.0499999999999997E-2</c:v>
                </c:pt>
                <c:pt idx="472">
                  <c:v>9.0499999999999997E-2</c:v>
                </c:pt>
                <c:pt idx="473">
                  <c:v>9.2700000000000005E-2</c:v>
                </c:pt>
                <c:pt idx="474">
                  <c:v>9.3700000000000006E-2</c:v>
                </c:pt>
                <c:pt idx="475">
                  <c:v>9.2499999999999999E-2</c:v>
                </c:pt>
                <c:pt idx="476">
                  <c:v>8.8999999999999996E-2</c:v>
                </c:pt>
                <c:pt idx="477">
                  <c:v>8.5500000000000007E-2</c:v>
                </c:pt>
                <c:pt idx="478">
                  <c:v>8.4599999999999995E-2</c:v>
                </c:pt>
                <c:pt idx="479">
                  <c:v>8.9700000000000002E-2</c:v>
                </c:pt>
                <c:pt idx="480">
                  <c:v>8.9800000000000005E-2</c:v>
                </c:pt>
                <c:pt idx="481">
                  <c:v>8.9599999999999999E-2</c:v>
                </c:pt>
                <c:pt idx="482">
                  <c:v>8.9099999999999999E-2</c:v>
                </c:pt>
                <c:pt idx="483">
                  <c:v>9.2600000000000002E-2</c:v>
                </c:pt>
                <c:pt idx="484">
                  <c:v>9.4700000000000006E-2</c:v>
                </c:pt>
                <c:pt idx="485">
                  <c:v>9.4899999999999998E-2</c:v>
                </c:pt>
                <c:pt idx="486">
                  <c:v>9.3600000000000003E-2</c:v>
                </c:pt>
                <c:pt idx="487">
                  <c:v>9.69E-2</c:v>
                </c:pt>
                <c:pt idx="488">
                  <c:v>9.6000000000000002E-2</c:v>
                </c:pt>
                <c:pt idx="489">
                  <c:v>9.2999999999999999E-2</c:v>
                </c:pt>
                <c:pt idx="490">
                  <c:v>9.2899999999999996E-2</c:v>
                </c:pt>
                <c:pt idx="491">
                  <c:v>8.6699999999999999E-2</c:v>
                </c:pt>
                <c:pt idx="492">
                  <c:v>9.2700000000000005E-2</c:v>
                </c:pt>
                <c:pt idx="493">
                  <c:v>9.0800000000000006E-2</c:v>
                </c:pt>
                <c:pt idx="494">
                  <c:v>0.1023</c:v>
                </c:pt>
                <c:pt idx="495">
                  <c:v>9.8699999999999996E-2</c:v>
                </c:pt>
                <c:pt idx="496">
                  <c:v>9.8400000000000001E-2</c:v>
                </c:pt>
                <c:pt idx="497">
                  <c:v>9.9000000000000005E-2</c:v>
                </c:pt>
                <c:pt idx="498">
                  <c:v>0.1018</c:v>
                </c:pt>
                <c:pt idx="499">
                  <c:v>9.9900000000000003E-2</c:v>
                </c:pt>
                <c:pt idx="500">
                  <c:v>0.107</c:v>
                </c:pt>
                <c:pt idx="501">
                  <c:v>0.10630000000000001</c:v>
                </c:pt>
                <c:pt idx="502">
                  <c:v>0.114</c:v>
                </c:pt>
                <c:pt idx="503">
                  <c:v>0.11550000000000001</c:v>
                </c:pt>
                <c:pt idx="504">
                  <c:v>0.1133</c:v>
                </c:pt>
                <c:pt idx="505">
                  <c:v>0.1002</c:v>
                </c:pt>
                <c:pt idx="506">
                  <c:v>9.7500000000000003E-2</c:v>
                </c:pt>
                <c:pt idx="507">
                  <c:v>0.1</c:v>
                </c:pt>
                <c:pt idx="508">
                  <c:v>0.1014</c:v>
                </c:pt>
                <c:pt idx="509">
                  <c:v>9.8400000000000001E-2</c:v>
                </c:pt>
                <c:pt idx="510">
                  <c:v>0.11940000000000001</c:v>
                </c:pt>
                <c:pt idx="511">
                  <c:v>0.1111</c:v>
                </c:pt>
                <c:pt idx="512">
                  <c:v>0.15179999999999999</c:v>
                </c:pt>
                <c:pt idx="513">
                  <c:v>0.1573</c:v>
                </c:pt>
                <c:pt idx="514">
                  <c:v>0.14940000000000001</c:v>
                </c:pt>
                <c:pt idx="515">
                  <c:v>0.15540000000000001</c:v>
                </c:pt>
                <c:pt idx="516">
                  <c:v>0.16669999999999999</c:v>
                </c:pt>
                <c:pt idx="517">
                  <c:v>0.15129999999999999</c:v>
                </c:pt>
                <c:pt idx="518">
                  <c:v>0.13930000000000001</c:v>
                </c:pt>
                <c:pt idx="519">
                  <c:v>0.1474</c:v>
                </c:pt>
                <c:pt idx="520">
                  <c:v>0.15859999999999999</c:v>
                </c:pt>
                <c:pt idx="521">
                  <c:v>0.1479</c:v>
                </c:pt>
                <c:pt idx="522">
                  <c:v>0.14430000000000001</c:v>
                </c:pt>
                <c:pt idx="523">
                  <c:v>0.13969999999999999</c:v>
                </c:pt>
                <c:pt idx="524">
                  <c:v>0.13539999999999999</c:v>
                </c:pt>
                <c:pt idx="525">
                  <c:v>0.1396</c:v>
                </c:pt>
                <c:pt idx="526">
                  <c:v>0.13339999999999999</c:v>
                </c:pt>
                <c:pt idx="527">
                  <c:v>0.15040000000000001</c:v>
                </c:pt>
                <c:pt idx="528">
                  <c:v>0.14460000000000001</c:v>
                </c:pt>
                <c:pt idx="529">
                  <c:v>0.13730000000000001</c:v>
                </c:pt>
                <c:pt idx="530">
                  <c:v>0.13789999999999999</c:v>
                </c:pt>
                <c:pt idx="531">
                  <c:v>0.13639999999999999</c:v>
                </c:pt>
                <c:pt idx="532">
                  <c:v>0.14019999999999999</c:v>
                </c:pt>
                <c:pt idx="533">
                  <c:v>0.1447</c:v>
                </c:pt>
                <c:pt idx="534">
                  <c:v>0.1358</c:v>
                </c:pt>
                <c:pt idx="535">
                  <c:v>0.13220000000000001</c:v>
                </c:pt>
                <c:pt idx="536">
                  <c:v>0.13619999999999999</c:v>
                </c:pt>
                <c:pt idx="537">
                  <c:v>0.1231</c:v>
                </c:pt>
                <c:pt idx="538">
                  <c:v>0.1205</c:v>
                </c:pt>
                <c:pt idx="539">
                  <c:v>0.1153</c:v>
                </c:pt>
                <c:pt idx="540">
                  <c:v>0.1147</c:v>
                </c:pt>
                <c:pt idx="541">
                  <c:v>0.1119</c:v>
                </c:pt>
                <c:pt idx="542">
                  <c:v>0.1075</c:v>
                </c:pt>
                <c:pt idx="543">
                  <c:v>0.1066</c:v>
                </c:pt>
                <c:pt idx="544">
                  <c:v>0.11409999999999999</c:v>
                </c:pt>
                <c:pt idx="545">
                  <c:v>0.1142</c:v>
                </c:pt>
                <c:pt idx="546">
                  <c:v>0.1196</c:v>
                </c:pt>
                <c:pt idx="547">
                  <c:v>0.1188</c:v>
                </c:pt>
                <c:pt idx="548">
                  <c:v>0.1118</c:v>
                </c:pt>
                <c:pt idx="549">
                  <c:v>0.10680000000000001</c:v>
                </c:pt>
                <c:pt idx="550">
                  <c:v>0.1168</c:v>
                </c:pt>
                <c:pt idx="551">
                  <c:v>0.12189999999999999</c:v>
                </c:pt>
                <c:pt idx="552">
                  <c:v>0.12790000000000001</c:v>
                </c:pt>
                <c:pt idx="553">
                  <c:v>0.1249</c:v>
                </c:pt>
                <c:pt idx="554">
                  <c:v>0.1303</c:v>
                </c:pt>
                <c:pt idx="555">
                  <c:v>0.13450000000000001</c:v>
                </c:pt>
                <c:pt idx="556">
                  <c:v>0.12429999999999999</c:v>
                </c:pt>
                <c:pt idx="557">
                  <c:v>0.1195</c:v>
                </c:pt>
                <c:pt idx="558">
                  <c:v>0.1145</c:v>
                </c:pt>
                <c:pt idx="559">
                  <c:v>0.1134</c:v>
                </c:pt>
                <c:pt idx="560">
                  <c:v>0.11169999999999999</c:v>
                </c:pt>
                <c:pt idx="561">
                  <c:v>0.114</c:v>
                </c:pt>
                <c:pt idx="562">
                  <c:v>0.1173</c:v>
                </c:pt>
                <c:pt idx="563">
                  <c:v>0.1145</c:v>
                </c:pt>
                <c:pt idx="564">
                  <c:v>0.1174</c:v>
                </c:pt>
                <c:pt idx="565">
                  <c:v>0.1178</c:v>
                </c:pt>
                <c:pt idx="566">
                  <c:v>0.1216</c:v>
                </c:pt>
                <c:pt idx="567">
                  <c:v>0.1105</c:v>
                </c:pt>
                <c:pt idx="568">
                  <c:v>0.11360000000000001</c:v>
                </c:pt>
                <c:pt idx="569">
                  <c:v>0.1138</c:v>
                </c:pt>
                <c:pt idx="570">
                  <c:v>0.1129</c:v>
                </c:pt>
                <c:pt idx="571">
                  <c:v>0.1055</c:v>
                </c:pt>
                <c:pt idx="572">
                  <c:v>0.10829999999999999</c:v>
                </c:pt>
                <c:pt idx="573">
                  <c:v>0.1043</c:v>
                </c:pt>
                <c:pt idx="574">
                  <c:v>0.1022</c:v>
                </c:pt>
                <c:pt idx="575">
                  <c:v>0.1055</c:v>
                </c:pt>
                <c:pt idx="576">
                  <c:v>0.1071</c:v>
                </c:pt>
                <c:pt idx="577">
                  <c:v>0.1069</c:v>
                </c:pt>
                <c:pt idx="578">
                  <c:v>0.1111</c:v>
                </c:pt>
                <c:pt idx="579">
                  <c:v>0.1089</c:v>
                </c:pt>
                <c:pt idx="580">
                  <c:v>0.12470000000000001</c:v>
                </c:pt>
                <c:pt idx="581">
                  <c:v>0.10440000000000001</c:v>
                </c:pt>
                <c:pt idx="582">
                  <c:v>0.10340000000000001</c:v>
                </c:pt>
                <c:pt idx="583">
                  <c:v>0.1085</c:v>
                </c:pt>
                <c:pt idx="584">
                  <c:v>0.1042</c:v>
                </c:pt>
                <c:pt idx="585">
                  <c:v>0.10150000000000001</c:v>
                </c:pt>
                <c:pt idx="586">
                  <c:v>0.10390000000000001</c:v>
                </c:pt>
                <c:pt idx="587">
                  <c:v>0.1004</c:v>
                </c:pt>
                <c:pt idx="588">
                  <c:v>0.10539999999999999</c:v>
                </c:pt>
                <c:pt idx="589">
                  <c:v>0.10680000000000001</c:v>
                </c:pt>
                <c:pt idx="590">
                  <c:v>0.1042</c:v>
                </c:pt>
                <c:pt idx="591">
                  <c:v>0.1021</c:v>
                </c:pt>
                <c:pt idx="592">
                  <c:v>0.1037</c:v>
                </c:pt>
                <c:pt idx="593">
                  <c:v>0.1043</c:v>
                </c:pt>
                <c:pt idx="594">
                  <c:v>0.1062</c:v>
                </c:pt>
                <c:pt idx="595">
                  <c:v>9.8400000000000001E-2</c:v>
                </c:pt>
                <c:pt idx="596">
                  <c:v>0.1159</c:v>
                </c:pt>
                <c:pt idx="597">
                  <c:v>0.1203</c:v>
                </c:pt>
                <c:pt idx="598">
                  <c:v>0.1152</c:v>
                </c:pt>
                <c:pt idx="599">
                  <c:v>0.1168</c:v>
                </c:pt>
                <c:pt idx="600">
                  <c:v>0.1114</c:v>
                </c:pt>
                <c:pt idx="601">
                  <c:v>0.1079</c:v>
                </c:pt>
                <c:pt idx="602">
                  <c:v>0.1105</c:v>
                </c:pt>
                <c:pt idx="603">
                  <c:v>0.1196</c:v>
                </c:pt>
                <c:pt idx="604">
                  <c:v>0.1052</c:v>
                </c:pt>
                <c:pt idx="605">
                  <c:v>0.1047</c:v>
                </c:pt>
                <c:pt idx="606">
                  <c:v>0.1011</c:v>
                </c:pt>
                <c:pt idx="607">
                  <c:v>0.1061</c:v>
                </c:pt>
                <c:pt idx="608">
                  <c:v>0.1047</c:v>
                </c:pt>
                <c:pt idx="609">
                  <c:v>0.1258</c:v>
                </c:pt>
                <c:pt idx="610">
                  <c:v>9.3899999999999997E-2</c:v>
                </c:pt>
                <c:pt idx="611">
                  <c:v>9.3799999999999994E-2</c:v>
                </c:pt>
                <c:pt idx="612">
                  <c:v>9.3600000000000003E-2</c:v>
                </c:pt>
                <c:pt idx="613">
                  <c:v>8.8499999999999995E-2</c:v>
                </c:pt>
                <c:pt idx="614">
                  <c:v>9.5500000000000002E-2</c:v>
                </c:pt>
                <c:pt idx="615">
                  <c:v>9.9500000000000005E-2</c:v>
                </c:pt>
                <c:pt idx="616">
                  <c:v>8.9899999999999994E-2</c:v>
                </c:pt>
                <c:pt idx="617">
                  <c:v>8.9700000000000002E-2</c:v>
                </c:pt>
                <c:pt idx="618">
                  <c:v>8.8400000000000006E-2</c:v>
                </c:pt>
                <c:pt idx="619">
                  <c:v>8.8800000000000004E-2</c:v>
                </c:pt>
                <c:pt idx="620">
                  <c:v>8.8400000000000006E-2</c:v>
                </c:pt>
                <c:pt idx="621">
                  <c:v>8.7999999999999995E-2</c:v>
                </c:pt>
                <c:pt idx="622">
                  <c:v>8.14E-2</c:v>
                </c:pt>
                <c:pt idx="623">
                  <c:v>8.1799999999999998E-2</c:v>
                </c:pt>
                <c:pt idx="624">
                  <c:v>8.2500000000000004E-2</c:v>
                </c:pt>
                <c:pt idx="625">
                  <c:v>8.1900000000000001E-2</c:v>
                </c:pt>
                <c:pt idx="626">
                  <c:v>7.9500000000000001E-2</c:v>
                </c:pt>
                <c:pt idx="627">
                  <c:v>8.0299999999999996E-2</c:v>
                </c:pt>
                <c:pt idx="628">
                  <c:v>9.5100000000000004E-2</c:v>
                </c:pt>
                <c:pt idx="629">
                  <c:v>9.11E-2</c:v>
                </c:pt>
                <c:pt idx="630">
                  <c:v>9.1200000000000003E-2</c:v>
                </c:pt>
                <c:pt idx="631">
                  <c:v>8.8800000000000004E-2</c:v>
                </c:pt>
                <c:pt idx="632">
                  <c:v>9.0999999999999998E-2</c:v>
                </c:pt>
                <c:pt idx="633">
                  <c:v>8.9800000000000005E-2</c:v>
                </c:pt>
                <c:pt idx="634">
                  <c:v>9.2799999999999994E-2</c:v>
                </c:pt>
                <c:pt idx="635">
                  <c:v>9.2999999999999999E-2</c:v>
                </c:pt>
                <c:pt idx="636">
                  <c:v>9.11E-2</c:v>
                </c:pt>
                <c:pt idx="637">
                  <c:v>8.9399999999999993E-2</c:v>
                </c:pt>
                <c:pt idx="638">
                  <c:v>9.1300000000000006E-2</c:v>
                </c:pt>
                <c:pt idx="639">
                  <c:v>8.9200000000000002E-2</c:v>
                </c:pt>
                <c:pt idx="640">
                  <c:v>9.0200000000000002E-2</c:v>
                </c:pt>
                <c:pt idx="641">
                  <c:v>8.9800000000000005E-2</c:v>
                </c:pt>
                <c:pt idx="642">
                  <c:v>8.9800000000000005E-2</c:v>
                </c:pt>
                <c:pt idx="643">
                  <c:v>8.9800000000000005E-2</c:v>
                </c:pt>
                <c:pt idx="644">
                  <c:v>8.8900000000000007E-2</c:v>
                </c:pt>
                <c:pt idx="645">
                  <c:v>8.7499999999999994E-2</c:v>
                </c:pt>
                <c:pt idx="646">
                  <c:v>8.5800000000000001E-2</c:v>
                </c:pt>
                <c:pt idx="647">
                  <c:v>8.3099999999999993E-2</c:v>
                </c:pt>
                <c:pt idx="648">
                  <c:v>9.2200000000000004E-2</c:v>
                </c:pt>
                <c:pt idx="649">
                  <c:v>9.5899999999999999E-2</c:v>
                </c:pt>
                <c:pt idx="650">
                  <c:v>9.69E-2</c:v>
                </c:pt>
                <c:pt idx="651">
                  <c:v>8.8700000000000001E-2</c:v>
                </c:pt>
                <c:pt idx="652">
                  <c:v>8.6599999999999996E-2</c:v>
                </c:pt>
                <c:pt idx="653">
                  <c:v>8.7900000000000006E-2</c:v>
                </c:pt>
                <c:pt idx="654">
                  <c:v>8.5000000000000006E-2</c:v>
                </c:pt>
                <c:pt idx="655">
                  <c:v>8.2900000000000001E-2</c:v>
                </c:pt>
                <c:pt idx="656">
                  <c:v>8.2699999999999996E-2</c:v>
                </c:pt>
                <c:pt idx="657">
                  <c:v>8.5000000000000006E-2</c:v>
                </c:pt>
                <c:pt idx="658">
                  <c:v>8.9800000000000005E-2</c:v>
                </c:pt>
                <c:pt idx="659">
                  <c:v>9.1600000000000001E-2</c:v>
                </c:pt>
                <c:pt idx="660">
                  <c:v>8.5800000000000001E-2</c:v>
                </c:pt>
                <c:pt idx="661">
                  <c:v>8.7800000000000003E-2</c:v>
                </c:pt>
                <c:pt idx="662">
                  <c:v>8.5999999999999993E-2</c:v>
                </c:pt>
                <c:pt idx="663">
                  <c:v>8.7300000000000003E-2</c:v>
                </c:pt>
                <c:pt idx="664">
                  <c:v>9.2600000000000002E-2</c:v>
                </c:pt>
                <c:pt idx="665">
                  <c:v>7.6499999999999999E-2</c:v>
                </c:pt>
                <c:pt idx="666">
                  <c:v>7.5700000000000003E-2</c:v>
                </c:pt>
                <c:pt idx="667">
                  <c:v>7.85E-2</c:v>
                </c:pt>
                <c:pt idx="668">
                  <c:v>7.6399999999999996E-2</c:v>
                </c:pt>
                <c:pt idx="669">
                  <c:v>7.1900000000000006E-2</c:v>
                </c:pt>
                <c:pt idx="670">
                  <c:v>8.2600000000000007E-2</c:v>
                </c:pt>
                <c:pt idx="671">
                  <c:v>8.6900000000000005E-2</c:v>
                </c:pt>
                <c:pt idx="672">
                  <c:v>5.2999999999999999E-2</c:v>
                </c:pt>
                <c:pt idx="673">
                  <c:v>5.2600000000000001E-2</c:v>
                </c:pt>
                <c:pt idx="674">
                  <c:v>5.4800000000000001E-2</c:v>
                </c:pt>
                <c:pt idx="675">
                  <c:v>5.1999999999999998E-2</c:v>
                </c:pt>
                <c:pt idx="676">
                  <c:v>4.4400000000000002E-2</c:v>
                </c:pt>
                <c:pt idx="677">
                  <c:v>5.1499999999999997E-2</c:v>
                </c:pt>
                <c:pt idx="678">
                  <c:v>4.53E-2</c:v>
                </c:pt>
                <c:pt idx="679">
                  <c:v>4.7500000000000001E-2</c:v>
                </c:pt>
                <c:pt idx="680">
                  <c:v>4.0300000000000002E-2</c:v>
                </c:pt>
                <c:pt idx="681">
                  <c:v>4.0399999999999998E-2</c:v>
                </c:pt>
                <c:pt idx="682">
                  <c:v>3.7499999999999999E-2</c:v>
                </c:pt>
                <c:pt idx="683">
                  <c:v>4.2999999999999997E-2</c:v>
                </c:pt>
                <c:pt idx="684">
                  <c:v>3.9199999999999999E-2</c:v>
                </c:pt>
                <c:pt idx="685">
                  <c:v>4.3299999999999998E-2</c:v>
                </c:pt>
                <c:pt idx="686">
                  <c:v>4.1599999999999998E-2</c:v>
                </c:pt>
                <c:pt idx="687">
                  <c:v>6.8000000000000005E-2</c:v>
                </c:pt>
                <c:pt idx="688">
                  <c:v>6.8699999999999997E-2</c:v>
                </c:pt>
                <c:pt idx="689">
                  <c:v>6.5699999999999995E-2</c:v>
                </c:pt>
                <c:pt idx="690">
                  <c:v>6.7100000000000007E-2</c:v>
                </c:pt>
                <c:pt idx="691">
                  <c:v>8.2100000000000006E-2</c:v>
                </c:pt>
                <c:pt idx="692">
                  <c:v>8.4599999999999995E-2</c:v>
                </c:pt>
                <c:pt idx="693">
                  <c:v>8.2199999999999995E-2</c:v>
                </c:pt>
                <c:pt idx="694">
                  <c:v>8.1299999999999997E-2</c:v>
                </c:pt>
                <c:pt idx="695">
                  <c:v>7.9000000000000001E-2</c:v>
                </c:pt>
                <c:pt idx="696">
                  <c:v>7.7299999999999994E-2</c:v>
                </c:pt>
                <c:pt idx="697">
                  <c:v>7.3999999999999996E-2</c:v>
                </c:pt>
                <c:pt idx="698">
                  <c:v>7.3599999999999999E-2</c:v>
                </c:pt>
                <c:pt idx="699">
                  <c:v>7.51E-2</c:v>
                </c:pt>
                <c:pt idx="700">
                  <c:v>7.6399999999999996E-2</c:v>
                </c:pt>
                <c:pt idx="701">
                  <c:v>7.5200000000000003E-2</c:v>
                </c:pt>
                <c:pt idx="702">
                  <c:v>8.7499999999999994E-2</c:v>
                </c:pt>
                <c:pt idx="703">
                  <c:v>9.2899999999999996E-2</c:v>
                </c:pt>
                <c:pt idx="704">
                  <c:v>9.1700000000000004E-2</c:v>
                </c:pt>
                <c:pt idx="705">
                  <c:v>8.8900000000000007E-2</c:v>
                </c:pt>
                <c:pt idx="706">
                  <c:v>9.0200000000000002E-2</c:v>
                </c:pt>
                <c:pt idx="707">
                  <c:v>8.9399999999999993E-2</c:v>
                </c:pt>
                <c:pt idx="708">
                  <c:v>8.9599999999999999E-2</c:v>
                </c:pt>
                <c:pt idx="709">
                  <c:v>0.1012</c:v>
                </c:pt>
                <c:pt idx="710">
                  <c:v>9.69E-2</c:v>
                </c:pt>
                <c:pt idx="711">
                  <c:v>0.10150000000000001</c:v>
                </c:pt>
                <c:pt idx="712">
                  <c:v>0.1086</c:v>
                </c:pt>
                <c:pt idx="713">
                  <c:v>0.1193</c:v>
                </c:pt>
                <c:pt idx="714">
                  <c:v>0.1119</c:v>
                </c:pt>
                <c:pt idx="715">
                  <c:v>0.1188</c:v>
                </c:pt>
                <c:pt idx="716">
                  <c:v>0.1031</c:v>
                </c:pt>
                <c:pt idx="717">
                  <c:v>0.10009999999999999</c:v>
                </c:pt>
                <c:pt idx="718">
                  <c:v>0.1103</c:v>
                </c:pt>
                <c:pt idx="719">
                  <c:v>0.10340000000000001</c:v>
                </c:pt>
                <c:pt idx="720">
                  <c:v>0.10829999999999999</c:v>
                </c:pt>
                <c:pt idx="721">
                  <c:v>9.4399999999999998E-2</c:v>
                </c:pt>
                <c:pt idx="722">
                  <c:v>0.09</c:v>
                </c:pt>
                <c:pt idx="723">
                  <c:v>8.8999999999999996E-2</c:v>
                </c:pt>
                <c:pt idx="724">
                  <c:v>8.1500000000000003E-2</c:v>
                </c:pt>
                <c:pt idx="725">
                  <c:v>8.4000000000000005E-2</c:v>
                </c:pt>
                <c:pt idx="726">
                  <c:v>8.43E-2</c:v>
                </c:pt>
                <c:pt idx="727">
                  <c:v>8.2799999999999999E-2</c:v>
                </c:pt>
                <c:pt idx="728">
                  <c:v>7.6100000000000001E-2</c:v>
                </c:pt>
                <c:pt idx="729">
                  <c:v>7.1999999999999995E-2</c:v>
                </c:pt>
                <c:pt idx="730">
                  <c:v>7.2999999999999995E-2</c:v>
                </c:pt>
                <c:pt idx="731">
                  <c:v>7.1900000000000006E-2</c:v>
                </c:pt>
                <c:pt idx="732">
                  <c:v>7.0599999999999996E-2</c:v>
                </c:pt>
                <c:pt idx="733">
                  <c:v>7.0699999999999999E-2</c:v>
                </c:pt>
                <c:pt idx="734">
                  <c:v>6.9000000000000006E-2</c:v>
                </c:pt>
                <c:pt idx="735">
                  <c:v>6.9800000000000001E-2</c:v>
                </c:pt>
                <c:pt idx="736">
                  <c:v>7.1199999999999999E-2</c:v>
                </c:pt>
                <c:pt idx="737">
                  <c:v>7.0199999999999999E-2</c:v>
                </c:pt>
                <c:pt idx="738">
                  <c:v>6.8199999999999997E-2</c:v>
                </c:pt>
                <c:pt idx="739">
                  <c:v>7.1199999999999999E-2</c:v>
                </c:pt>
                <c:pt idx="740">
                  <c:v>7.5399999999999995E-2</c:v>
                </c:pt>
                <c:pt idx="741">
                  <c:v>7.5899999999999995E-2</c:v>
                </c:pt>
                <c:pt idx="742">
                  <c:v>7.4800000000000005E-2</c:v>
                </c:pt>
                <c:pt idx="743">
                  <c:v>7.7100000000000002E-2</c:v>
                </c:pt>
                <c:pt idx="744">
                  <c:v>7.1999999999999995E-2</c:v>
                </c:pt>
                <c:pt idx="745">
                  <c:v>6.83E-2</c:v>
                </c:pt>
                <c:pt idx="746">
                  <c:v>7.0099999999999996E-2</c:v>
                </c:pt>
                <c:pt idx="747">
                  <c:v>6.7199999999999996E-2</c:v>
                </c:pt>
                <c:pt idx="748">
                  <c:v>6.6600000000000006E-2</c:v>
                </c:pt>
                <c:pt idx="749">
                  <c:v>6.4000000000000001E-2</c:v>
                </c:pt>
                <c:pt idx="750">
                  <c:v>6.4299999999999996E-2</c:v>
                </c:pt>
                <c:pt idx="751">
                  <c:v>7.0599999999999996E-2</c:v>
                </c:pt>
                <c:pt idx="752">
                  <c:v>6.7299999999999999E-2</c:v>
                </c:pt>
                <c:pt idx="753">
                  <c:v>6.6799999999999998E-2</c:v>
                </c:pt>
                <c:pt idx="754">
                  <c:v>6.9800000000000001E-2</c:v>
                </c:pt>
                <c:pt idx="755">
                  <c:v>6.3299999999999995E-2</c:v>
                </c:pt>
                <c:pt idx="756">
                  <c:v>6.1400000000000003E-2</c:v>
                </c:pt>
                <c:pt idx="757">
                  <c:v>6.4000000000000001E-2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0D-4CDD-B6C5-44DF57DBF5B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-24.048989039436169</c:v>
                </c:pt>
                <c:pt idx="1">
                  <c:v>-24.043928281029089</c:v>
                </c:pt>
                <c:pt idx="2">
                  <c:v>-23.950613542735759</c:v>
                </c:pt>
                <c:pt idx="3">
                  <c:v>-23.894763414341391</c:v>
                </c:pt>
                <c:pt idx="4">
                  <c:v>-23.943727205629528</c:v>
                </c:pt>
                <c:pt idx="5">
                  <c:v>-23.713364673202438</c:v>
                </c:pt>
                <c:pt idx="6">
                  <c:v>-23.755533057351048</c:v>
                </c:pt>
                <c:pt idx="7">
                  <c:v>-23.60042000549312</c:v>
                </c:pt>
                <c:pt idx="8">
                  <c:v>-23.120441470746851</c:v>
                </c:pt>
                <c:pt idx="9">
                  <c:v>-22.949256161464696</c:v>
                </c:pt>
                <c:pt idx="10">
                  <c:v>-22.940420040262165</c:v>
                </c:pt>
                <c:pt idx="11">
                  <c:v>-22.848145068572794</c:v>
                </c:pt>
                <c:pt idx="12">
                  <c:v>-22.797723030111253</c:v>
                </c:pt>
                <c:pt idx="13">
                  <c:v>-22.75651699392078</c:v>
                </c:pt>
                <c:pt idx="14">
                  <c:v>-22.741000767380985</c:v>
                </c:pt>
                <c:pt idx="15">
                  <c:v>-22.622408902247294</c:v>
                </c:pt>
                <c:pt idx="16">
                  <c:v>-22.714149704272614</c:v>
                </c:pt>
                <c:pt idx="17">
                  <c:v>-22.779441138043659</c:v>
                </c:pt>
                <c:pt idx="18">
                  <c:v>-22.751881671139742</c:v>
                </c:pt>
                <c:pt idx="19">
                  <c:v>-22.634122467610329</c:v>
                </c:pt>
                <c:pt idx="20">
                  <c:v>-22.505919292326642</c:v>
                </c:pt>
                <c:pt idx="21">
                  <c:v>-22.307350525971497</c:v>
                </c:pt>
                <c:pt idx="22">
                  <c:v>-22.528567789162988</c:v>
                </c:pt>
                <c:pt idx="23">
                  <c:v>-22.284641038625931</c:v>
                </c:pt>
                <c:pt idx="24">
                  <c:v>-22.092682243137212</c:v>
                </c:pt>
                <c:pt idx="25">
                  <c:v>-21.853269789832005</c:v>
                </c:pt>
                <c:pt idx="26">
                  <c:v>-21.735592650735793</c:v>
                </c:pt>
                <c:pt idx="27">
                  <c:v>-21.641100851796395</c:v>
                </c:pt>
                <c:pt idx="28">
                  <c:v>-21.373307780459189</c:v>
                </c:pt>
                <c:pt idx="29">
                  <c:v>-21.314303254245061</c:v>
                </c:pt>
                <c:pt idx="30">
                  <c:v>-20.649840442747735</c:v>
                </c:pt>
                <c:pt idx="31">
                  <c:v>-19.906040164768644</c:v>
                </c:pt>
                <c:pt idx="32">
                  <c:v>-19.750054137268641</c:v>
                </c:pt>
                <c:pt idx="33">
                  <c:v>-19.737451966157533</c:v>
                </c:pt>
                <c:pt idx="34">
                  <c:v>-19.304124335159454</c:v>
                </c:pt>
                <c:pt idx="35">
                  <c:v>-18.71066764126854</c:v>
                </c:pt>
                <c:pt idx="36">
                  <c:v>-19.007327383302439</c:v>
                </c:pt>
                <c:pt idx="37">
                  <c:v>-18.836713858236649</c:v>
                </c:pt>
                <c:pt idx="38">
                  <c:v>-18.607902934998553</c:v>
                </c:pt>
                <c:pt idx="39">
                  <c:v>-18.345741528740351</c:v>
                </c:pt>
                <c:pt idx="40">
                  <c:v>-17.614990840845614</c:v>
                </c:pt>
                <c:pt idx="41">
                  <c:v>-16.27878016630607</c:v>
                </c:pt>
                <c:pt idx="42">
                  <c:v>-14.246544810174921</c:v>
                </c:pt>
                <c:pt idx="43">
                  <c:v>-15.178458076599897</c:v>
                </c:pt>
                <c:pt idx="44">
                  <c:v>-15.289035523556418</c:v>
                </c:pt>
                <c:pt idx="45">
                  <c:v>-14.874618628710085</c:v>
                </c:pt>
                <c:pt idx="46">
                  <c:v>-14.665385734794329</c:v>
                </c:pt>
                <c:pt idx="47">
                  <c:v>-14.620588092336227</c:v>
                </c:pt>
                <c:pt idx="48">
                  <c:v>-14.630896137506298</c:v>
                </c:pt>
                <c:pt idx="49">
                  <c:v>-13.622570490657306</c:v>
                </c:pt>
                <c:pt idx="50">
                  <c:v>-13.40143645757256</c:v>
                </c:pt>
                <c:pt idx="51">
                  <c:v>-13.068701573950062</c:v>
                </c:pt>
                <c:pt idx="52">
                  <c:v>-12.666738564706364</c:v>
                </c:pt>
                <c:pt idx="53">
                  <c:v>-12.291563802524545</c:v>
                </c:pt>
                <c:pt idx="54">
                  <c:v>-11.548637147691034</c:v>
                </c:pt>
                <c:pt idx="55">
                  <c:v>-8.6404276532360793</c:v>
                </c:pt>
                <c:pt idx="56">
                  <c:v>-9.7284708456822138</c:v>
                </c:pt>
                <c:pt idx="57">
                  <c:v>-10.046111066087279</c:v>
                </c:pt>
                <c:pt idx="58">
                  <c:v>-10.04672942066672</c:v>
                </c:pt>
                <c:pt idx="59">
                  <c:v>-10.006715854900953</c:v>
                </c:pt>
                <c:pt idx="60">
                  <c:v>-10.00076120328805</c:v>
                </c:pt>
                <c:pt idx="61">
                  <c:v>-10.00076120328805</c:v>
                </c:pt>
                <c:pt idx="62">
                  <c:v>-9.9626323307762021</c:v>
                </c:pt>
                <c:pt idx="63">
                  <c:v>-9.8942043630351542</c:v>
                </c:pt>
                <c:pt idx="64">
                  <c:v>-9.8483548363684879</c:v>
                </c:pt>
                <c:pt idx="65">
                  <c:v>-9.8954039277826311</c:v>
                </c:pt>
                <c:pt idx="66">
                  <c:v>-9.8390271754600498</c:v>
                </c:pt>
                <c:pt idx="67">
                  <c:v>-9.171667280484284</c:v>
                </c:pt>
                <c:pt idx="68">
                  <c:v>-9.1000797637100916</c:v>
                </c:pt>
                <c:pt idx="69">
                  <c:v>-9.1572121970434246</c:v>
                </c:pt>
                <c:pt idx="70">
                  <c:v>-9.2709047464878687</c:v>
                </c:pt>
                <c:pt idx="71">
                  <c:v>-9.2369317563266975</c:v>
                </c:pt>
                <c:pt idx="72">
                  <c:v>-9.2630554374879868</c:v>
                </c:pt>
                <c:pt idx="73">
                  <c:v>-9.2235273360235528</c:v>
                </c:pt>
                <c:pt idx="74">
                  <c:v>-9.1635500860235517</c:v>
                </c:pt>
                <c:pt idx="75">
                  <c:v>-9.1765172561501345</c:v>
                </c:pt>
                <c:pt idx="76">
                  <c:v>-9.1665319548457873</c:v>
                </c:pt>
                <c:pt idx="77">
                  <c:v>-9.1891917942151569</c:v>
                </c:pt>
                <c:pt idx="78">
                  <c:v>-9.2040893586481474</c:v>
                </c:pt>
                <c:pt idx="79">
                  <c:v>-9.1137759615513723</c:v>
                </c:pt>
                <c:pt idx="80">
                  <c:v>-9.0822985065513713</c:v>
                </c:pt>
                <c:pt idx="81">
                  <c:v>-9.0607039368317448</c:v>
                </c:pt>
                <c:pt idx="82">
                  <c:v>-9.0642528954282362</c:v>
                </c:pt>
                <c:pt idx="83">
                  <c:v>-9.0527077519769108</c:v>
                </c:pt>
                <c:pt idx="84">
                  <c:v>-9.0170320905223651</c:v>
                </c:pt>
                <c:pt idx="85">
                  <c:v>-8.999255025855696</c:v>
                </c:pt>
                <c:pt idx="86">
                  <c:v>-9.0731887906856308</c:v>
                </c:pt>
                <c:pt idx="87">
                  <c:v>-9.102176217792012</c:v>
                </c:pt>
                <c:pt idx="88">
                  <c:v>-9.1597235143036393</c:v>
                </c:pt>
                <c:pt idx="89">
                  <c:v>-9.0389936101489123</c:v>
                </c:pt>
                <c:pt idx="90">
                  <c:v>-9.0384418606539647</c:v>
                </c:pt>
                <c:pt idx="91">
                  <c:v>-9.0602331061085071</c:v>
                </c:pt>
                <c:pt idx="92">
                  <c:v>-9.0858550076469697</c:v>
                </c:pt>
                <c:pt idx="93">
                  <c:v>-8.9632413976469696</c:v>
                </c:pt>
                <c:pt idx="94">
                  <c:v>-8.9417322581732854</c:v>
                </c:pt>
                <c:pt idx="95">
                  <c:v>-8.9654124761732863</c:v>
                </c:pt>
                <c:pt idx="96">
                  <c:v>-8.9534691739857859</c:v>
                </c:pt>
                <c:pt idx="97">
                  <c:v>-8.937339702430231</c:v>
                </c:pt>
                <c:pt idx="98">
                  <c:v>-8.9541315104302299</c:v>
                </c:pt>
                <c:pt idx="99">
                  <c:v>-8.8484813755730869</c:v>
                </c:pt>
                <c:pt idx="100">
                  <c:v>-8.8998648290513476</c:v>
                </c:pt>
                <c:pt idx="101">
                  <c:v>-8.8442179711481224</c:v>
                </c:pt>
                <c:pt idx="102">
                  <c:v>-8.7765718273981221</c:v>
                </c:pt>
                <c:pt idx="103">
                  <c:v>-8.7420088298487162</c:v>
                </c:pt>
                <c:pt idx="104">
                  <c:v>-8.6429091939263856</c:v>
                </c:pt>
                <c:pt idx="105">
                  <c:v>-8.7422623604189216</c:v>
                </c:pt>
                <c:pt idx="106">
                  <c:v>-8.7077301867992905</c:v>
                </c:pt>
                <c:pt idx="107">
                  <c:v>-8.4191349104887721</c:v>
                </c:pt>
                <c:pt idx="108">
                  <c:v>-8.3964257973427046</c:v>
                </c:pt>
                <c:pt idx="109">
                  <c:v>-8.3581181638487294</c:v>
                </c:pt>
                <c:pt idx="110">
                  <c:v>-8.3136616384989335</c:v>
                </c:pt>
                <c:pt idx="111">
                  <c:v>-8.1971933998653945</c:v>
                </c:pt>
                <c:pt idx="112">
                  <c:v>-8.2053722344807785</c:v>
                </c:pt>
                <c:pt idx="113">
                  <c:v>-8.2059867950768055</c:v>
                </c:pt>
                <c:pt idx="114">
                  <c:v>-8.1975622198058709</c:v>
                </c:pt>
                <c:pt idx="115">
                  <c:v>-8.2747094732541449</c:v>
                </c:pt>
                <c:pt idx="116">
                  <c:v>-8.20549632317781</c:v>
                </c:pt>
                <c:pt idx="117">
                  <c:v>-8.0909403759696872</c:v>
                </c:pt>
                <c:pt idx="118">
                  <c:v>-8.099934223953877</c:v>
                </c:pt>
                <c:pt idx="119">
                  <c:v>-8.2330477136461848</c:v>
                </c:pt>
                <c:pt idx="120">
                  <c:v>-8.2508863544024873</c:v>
                </c:pt>
                <c:pt idx="121">
                  <c:v>-8.2094460191866627</c:v>
                </c:pt>
                <c:pt idx="122">
                  <c:v>-8.151136540130981</c:v>
                </c:pt>
                <c:pt idx="123">
                  <c:v>-7.95550617897156</c:v>
                </c:pt>
                <c:pt idx="124">
                  <c:v>-7.9446744348325877</c:v>
                </c:pt>
                <c:pt idx="125">
                  <c:v>-7.8953350074992539</c:v>
                </c:pt>
                <c:pt idx="126">
                  <c:v>-7.8871932499070638</c:v>
                </c:pt>
                <c:pt idx="127">
                  <c:v>-7.9044228620809758</c:v>
                </c:pt>
                <c:pt idx="128">
                  <c:v>-8.0060241627868596</c:v>
                </c:pt>
                <c:pt idx="129">
                  <c:v>-7.5042419662268598</c:v>
                </c:pt>
                <c:pt idx="130">
                  <c:v>-7.4309176237268595</c:v>
                </c:pt>
                <c:pt idx="131">
                  <c:v>-7.2239230992480943</c:v>
                </c:pt>
                <c:pt idx="132">
                  <c:v>-7.3705519500114534</c:v>
                </c:pt>
                <c:pt idx="133">
                  <c:v>-7.1565842911273343</c:v>
                </c:pt>
                <c:pt idx="134">
                  <c:v>-7.1698444811273339</c:v>
                </c:pt>
                <c:pt idx="135">
                  <c:v>-7.1025304847201474</c:v>
                </c:pt>
                <c:pt idx="136">
                  <c:v>-7.1097180680534811</c:v>
                </c:pt>
                <c:pt idx="137">
                  <c:v>-7.0834565102273936</c:v>
                </c:pt>
                <c:pt idx="138">
                  <c:v>-7.0614723159901063</c:v>
                </c:pt>
                <c:pt idx="139">
                  <c:v>-7.0293795231329632</c:v>
                </c:pt>
                <c:pt idx="140">
                  <c:v>-6.9711145537427184</c:v>
                </c:pt>
                <c:pt idx="141">
                  <c:v>-6.9379481660579891</c:v>
                </c:pt>
                <c:pt idx="142">
                  <c:v>-6.9639789474913236</c:v>
                </c:pt>
                <c:pt idx="143">
                  <c:v>-6.823376315553233</c:v>
                </c:pt>
                <c:pt idx="144">
                  <c:v>-6.7892055839984629</c:v>
                </c:pt>
                <c:pt idx="145">
                  <c:v>-5.4802248635817321</c:v>
                </c:pt>
                <c:pt idx="146">
                  <c:v>-5.6029331240319342</c:v>
                </c:pt>
                <c:pt idx="147">
                  <c:v>-5.5893233104470292</c:v>
                </c:pt>
                <c:pt idx="148">
                  <c:v>-5.5588731974333294</c:v>
                </c:pt>
                <c:pt idx="149">
                  <c:v>-5.6070948120761868</c:v>
                </c:pt>
                <c:pt idx="150">
                  <c:v>-5.5809948611172828</c:v>
                </c:pt>
                <c:pt idx="151">
                  <c:v>-5.4535585065458543</c:v>
                </c:pt>
                <c:pt idx="152">
                  <c:v>-5.5431608517702138</c:v>
                </c:pt>
                <c:pt idx="153">
                  <c:v>-5.5479481111250513</c:v>
                </c:pt>
                <c:pt idx="154">
                  <c:v>-5.5850658250159615</c:v>
                </c:pt>
                <c:pt idx="155">
                  <c:v>-5.5236885997400114</c:v>
                </c:pt>
                <c:pt idx="156">
                  <c:v>-5.4811583915507001</c:v>
                </c:pt>
                <c:pt idx="157">
                  <c:v>-5.4517072065506991</c:v>
                </c:pt>
                <c:pt idx="158">
                  <c:v>-5.373789782448374</c:v>
                </c:pt>
                <c:pt idx="159">
                  <c:v>-5.3779448941643739</c:v>
                </c:pt>
                <c:pt idx="160">
                  <c:v>-5.4075586955798984</c:v>
                </c:pt>
                <c:pt idx="161">
                  <c:v>-5.4382736503554074</c:v>
                </c:pt>
                <c:pt idx="162">
                  <c:v>-5.5574420672770293</c:v>
                </c:pt>
                <c:pt idx="163">
                  <c:v>-5.5662142431715127</c:v>
                </c:pt>
                <c:pt idx="164">
                  <c:v>-5.5053596605824726</c:v>
                </c:pt>
                <c:pt idx="165">
                  <c:v>-5.4391447801116843</c:v>
                </c:pt>
                <c:pt idx="166">
                  <c:v>-5.495592255811685</c:v>
                </c:pt>
                <c:pt idx="167">
                  <c:v>-5.4538066364781965</c:v>
                </c:pt>
                <c:pt idx="168">
                  <c:v>-5.599246322656473</c:v>
                </c:pt>
                <c:pt idx="169">
                  <c:v>-5.4096532460469327</c:v>
                </c:pt>
                <c:pt idx="170">
                  <c:v>-5.2356202798646594</c:v>
                </c:pt>
                <c:pt idx="171">
                  <c:v>-5.0375941645139015</c:v>
                </c:pt>
                <c:pt idx="172">
                  <c:v>-5.1065732394122056</c:v>
                </c:pt>
                <c:pt idx="173">
                  <c:v>-4.9645705755403311</c:v>
                </c:pt>
                <c:pt idx="174">
                  <c:v>-5.228101507662589</c:v>
                </c:pt>
                <c:pt idx="175">
                  <c:v>-5.2445871659835763</c:v>
                </c:pt>
                <c:pt idx="176">
                  <c:v>-5.3499536110335759</c:v>
                </c:pt>
                <c:pt idx="177">
                  <c:v>-5.347150038828171</c:v>
                </c:pt>
                <c:pt idx="178">
                  <c:v>-5.427598301088171</c:v>
                </c:pt>
                <c:pt idx="179">
                  <c:v>-5.4420729120997988</c:v>
                </c:pt>
                <c:pt idx="180">
                  <c:v>-5.3712348412804714</c:v>
                </c:pt>
                <c:pt idx="181">
                  <c:v>-5.372041186614589</c:v>
                </c:pt>
                <c:pt idx="182">
                  <c:v>-5.4024342617042427</c:v>
                </c:pt>
                <c:pt idx="183">
                  <c:v>-5.422167664522763</c:v>
                </c:pt>
                <c:pt idx="184">
                  <c:v>-5.422167664522763</c:v>
                </c:pt>
                <c:pt idx="185">
                  <c:v>-5.4321689755263769</c:v>
                </c:pt>
                <c:pt idx="186">
                  <c:v>-5.3296343210342902</c:v>
                </c:pt>
                <c:pt idx="187">
                  <c:v>-5.3539619095860145</c:v>
                </c:pt>
                <c:pt idx="188">
                  <c:v>-5.3919617551560144</c:v>
                </c:pt>
                <c:pt idx="189">
                  <c:v>-5.4165044891657699</c:v>
                </c:pt>
                <c:pt idx="190">
                  <c:v>-5.4337211173180098</c:v>
                </c:pt>
                <c:pt idx="191">
                  <c:v>-5.4858238340680101</c:v>
                </c:pt>
                <c:pt idx="192">
                  <c:v>-5.4484442793183465</c:v>
                </c:pt>
                <c:pt idx="193">
                  <c:v>-5.3374986873366943</c:v>
                </c:pt>
                <c:pt idx="194">
                  <c:v>-5.2181867301050007</c:v>
                </c:pt>
                <c:pt idx="195">
                  <c:v>-5.1485066950073</c:v>
                </c:pt>
                <c:pt idx="196">
                  <c:v>-5.1009195708073003</c:v>
                </c:pt>
                <c:pt idx="197">
                  <c:v>-5.0457560188177304</c:v>
                </c:pt>
                <c:pt idx="198">
                  <c:v>-5.0843626007823639</c:v>
                </c:pt>
                <c:pt idx="199">
                  <c:v>-5.1502841468875182</c:v>
                </c:pt>
                <c:pt idx="200">
                  <c:v>-5.1518970006959526</c:v>
                </c:pt>
                <c:pt idx="201">
                  <c:v>-5.1106032929390297</c:v>
                </c:pt>
                <c:pt idx="202">
                  <c:v>-5.1149599824390286</c:v>
                </c:pt>
                <c:pt idx="203">
                  <c:v>-5.1170822044790292</c:v>
                </c:pt>
                <c:pt idx="204">
                  <c:v>-5.0445711733820362</c:v>
                </c:pt>
                <c:pt idx="205">
                  <c:v>-4.9569586316604362</c:v>
                </c:pt>
                <c:pt idx="206">
                  <c:v>-4.9905279929326989</c:v>
                </c:pt>
                <c:pt idx="207">
                  <c:v>-4.9958354890304086</c:v>
                </c:pt>
                <c:pt idx="208">
                  <c:v>-4.9920126565944862</c:v>
                </c:pt>
                <c:pt idx="209">
                  <c:v>-4.9407584188441156</c:v>
                </c:pt>
                <c:pt idx="210">
                  <c:v>-5.0480307601146359</c:v>
                </c:pt>
                <c:pt idx="211">
                  <c:v>-4.9804934766657309</c:v>
                </c:pt>
                <c:pt idx="212">
                  <c:v>-4.791905899348837</c:v>
                </c:pt>
                <c:pt idx="213">
                  <c:v>-4.6297373602666285</c:v>
                </c:pt>
                <c:pt idx="214">
                  <c:v>-4.6704856651897053</c:v>
                </c:pt>
                <c:pt idx="215">
                  <c:v>-4.693421441323693</c:v>
                </c:pt>
                <c:pt idx="216">
                  <c:v>-4.7304397584960691</c:v>
                </c:pt>
                <c:pt idx="217">
                  <c:v>-4.7139906148885213</c:v>
                </c:pt>
                <c:pt idx="218">
                  <c:v>-4.7696756325053151</c:v>
                </c:pt>
                <c:pt idx="219">
                  <c:v>-4.7759643452370746</c:v>
                </c:pt>
                <c:pt idx="220">
                  <c:v>-4.7153147050272697</c:v>
                </c:pt>
                <c:pt idx="221">
                  <c:v>-4.6154990311087678</c:v>
                </c:pt>
                <c:pt idx="222">
                  <c:v>-4.6412697562171266</c:v>
                </c:pt>
                <c:pt idx="223">
                  <c:v>-4.5930770580037938</c:v>
                </c:pt>
                <c:pt idx="224">
                  <c:v>-4.6204091656669517</c:v>
                </c:pt>
                <c:pt idx="225">
                  <c:v>-4.5564389581336178</c:v>
                </c:pt>
                <c:pt idx="226">
                  <c:v>-4.5261776716078668</c:v>
                </c:pt>
                <c:pt idx="227">
                  <c:v>-4.5394859765572253</c:v>
                </c:pt>
                <c:pt idx="228">
                  <c:v>-4.4192005497677522</c:v>
                </c:pt>
                <c:pt idx="229">
                  <c:v>-4.1431404554144287</c:v>
                </c:pt>
                <c:pt idx="230">
                  <c:v>-4.5389722550562288</c:v>
                </c:pt>
                <c:pt idx="231">
                  <c:v>-4.4778117083666187</c:v>
                </c:pt>
                <c:pt idx="232">
                  <c:v>-4.4125088969635886</c:v>
                </c:pt>
                <c:pt idx="233">
                  <c:v>-4.4913295066986993</c:v>
                </c:pt>
                <c:pt idx="234">
                  <c:v>-4.5260884436400426</c:v>
                </c:pt>
                <c:pt idx="235">
                  <c:v>-4.4371242053999094</c:v>
                </c:pt>
                <c:pt idx="236">
                  <c:v>-4.3784630761825181</c:v>
                </c:pt>
                <c:pt idx="237">
                  <c:v>-4.0491934237500855</c:v>
                </c:pt>
                <c:pt idx="238">
                  <c:v>-4.3216392726790671</c:v>
                </c:pt>
                <c:pt idx="239">
                  <c:v>-4.389353307085794</c:v>
                </c:pt>
                <c:pt idx="240">
                  <c:v>-4.4487861213509454</c:v>
                </c:pt>
                <c:pt idx="241">
                  <c:v>-4.4217703485361302</c:v>
                </c:pt>
                <c:pt idx="242">
                  <c:v>-4.4871139189371254</c:v>
                </c:pt>
                <c:pt idx="243">
                  <c:v>-4.6530677696246254</c:v>
                </c:pt>
                <c:pt idx="244">
                  <c:v>-4.6176387338146263</c:v>
                </c:pt>
                <c:pt idx="245">
                  <c:v>-4.5005716382345691</c:v>
                </c:pt>
                <c:pt idx="246">
                  <c:v>-4.3387090098799606</c:v>
                </c:pt>
                <c:pt idx="247">
                  <c:v>-4.4385773906582049</c:v>
                </c:pt>
                <c:pt idx="248">
                  <c:v>-4.4960520429116304</c:v>
                </c:pt>
                <c:pt idx="249">
                  <c:v>-4.5500328109909196</c:v>
                </c:pt>
                <c:pt idx="250">
                  <c:v>-4.5197566481578804</c:v>
                </c:pt>
                <c:pt idx="251">
                  <c:v>-4.5347923847975622</c:v>
                </c:pt>
                <c:pt idx="252">
                  <c:v>-4.48169813846064</c:v>
                </c:pt>
                <c:pt idx="253">
                  <c:v>-4.5068588819082303</c:v>
                </c:pt>
                <c:pt idx="254">
                  <c:v>-4.4428073063099918</c:v>
                </c:pt>
                <c:pt idx="255">
                  <c:v>-4.459283367637676</c:v>
                </c:pt>
                <c:pt idx="256">
                  <c:v>-4.4323067074704188</c:v>
                </c:pt>
                <c:pt idx="257">
                  <c:v>-4.4052456987781117</c:v>
                </c:pt>
                <c:pt idx="258">
                  <c:v>-4.3710507990396499</c:v>
                </c:pt>
                <c:pt idx="259">
                  <c:v>-4.3708772675814229</c:v>
                </c:pt>
                <c:pt idx="260">
                  <c:v>-4.3579633429060296</c:v>
                </c:pt>
                <c:pt idx="261">
                  <c:v>-4.2592604159104175</c:v>
                </c:pt>
                <c:pt idx="262">
                  <c:v>-4.2284867907548618</c:v>
                </c:pt>
                <c:pt idx="263">
                  <c:v>-3.812921761619978</c:v>
                </c:pt>
                <c:pt idx="264">
                  <c:v>-4.4736655732356789</c:v>
                </c:pt>
                <c:pt idx="265">
                  <c:v>-4.4719681600882115</c:v>
                </c:pt>
                <c:pt idx="266">
                  <c:v>-4.4857273792857821</c:v>
                </c:pt>
                <c:pt idx="267">
                  <c:v>-4.4743786411943542</c:v>
                </c:pt>
                <c:pt idx="268">
                  <c:v>-4.4951607772575928</c:v>
                </c:pt>
                <c:pt idx="269">
                  <c:v>-4.412837424122583</c:v>
                </c:pt>
                <c:pt idx="270">
                  <c:v>-4.4134393828129177</c:v>
                </c:pt>
                <c:pt idx="271">
                  <c:v>-4.4066849296354427</c:v>
                </c:pt>
                <c:pt idx="272">
                  <c:v>-4.3888686133736394</c:v>
                </c:pt>
                <c:pt idx="273">
                  <c:v>-4.3378891614453012</c:v>
                </c:pt>
                <c:pt idx="274">
                  <c:v>-4.3786234193174325</c:v>
                </c:pt>
                <c:pt idx="275">
                  <c:v>-4.3460566101874116</c:v>
                </c:pt>
                <c:pt idx="276">
                  <c:v>-4.4173385647357684</c:v>
                </c:pt>
                <c:pt idx="277">
                  <c:v>-4.4980667664982192</c:v>
                </c:pt>
                <c:pt idx="278">
                  <c:v>-4.471084741004276</c:v>
                </c:pt>
                <c:pt idx="279">
                  <c:v>-4.4494086065242753</c:v>
                </c:pt>
                <c:pt idx="280">
                  <c:v>-4.4774747219622926</c:v>
                </c:pt>
                <c:pt idx="281">
                  <c:v>-4.413968900462292</c:v>
                </c:pt>
                <c:pt idx="282">
                  <c:v>-4.2335361427745468</c:v>
                </c:pt>
                <c:pt idx="283">
                  <c:v>-4.2795514937713204</c:v>
                </c:pt>
                <c:pt idx="284">
                  <c:v>-4.2354863921554982</c:v>
                </c:pt>
                <c:pt idx="285">
                  <c:v>-4.2113659513054467</c:v>
                </c:pt>
                <c:pt idx="286">
                  <c:v>-4.1189896006427524</c:v>
                </c:pt>
                <c:pt idx="287">
                  <c:v>-4.0598935258993212</c:v>
                </c:pt>
                <c:pt idx="288">
                  <c:v>-4.0557360141004075</c:v>
                </c:pt>
                <c:pt idx="289">
                  <c:v>-4.0560564691273218</c:v>
                </c:pt>
                <c:pt idx="290">
                  <c:v>-4.1914158546130356</c:v>
                </c:pt>
                <c:pt idx="291">
                  <c:v>-3.9278193316047023</c:v>
                </c:pt>
                <c:pt idx="292">
                  <c:v>-3.4642432196075656</c:v>
                </c:pt>
                <c:pt idx="293">
                  <c:v>-5.3035935211616803</c:v>
                </c:pt>
                <c:pt idx="294">
                  <c:v>-5.4371125600661401</c:v>
                </c:pt>
                <c:pt idx="295">
                  <c:v>-5.4743412071161401</c:v>
                </c:pt>
                <c:pt idx="296">
                  <c:v>-5.4122440226426889</c:v>
                </c:pt>
                <c:pt idx="297">
                  <c:v>-5.4062832036113084</c:v>
                </c:pt>
                <c:pt idx="298">
                  <c:v>-5.3936660323764087</c:v>
                </c:pt>
                <c:pt idx="299">
                  <c:v>-5.4716913635665678</c:v>
                </c:pt>
                <c:pt idx="300">
                  <c:v>-5.4148900477702711</c:v>
                </c:pt>
                <c:pt idx="301">
                  <c:v>-5.3692512021249374</c:v>
                </c:pt>
                <c:pt idx="302">
                  <c:v>-5.4423950377071595</c:v>
                </c:pt>
                <c:pt idx="303">
                  <c:v>-5.4694165156116474</c:v>
                </c:pt>
                <c:pt idx="304">
                  <c:v>-5.4659745966098416</c:v>
                </c:pt>
                <c:pt idx="305">
                  <c:v>-5.5400888218717466</c:v>
                </c:pt>
                <c:pt idx="306">
                  <c:v>-5.515097026333784</c:v>
                </c:pt>
                <c:pt idx="307">
                  <c:v>-5.5249643853430852</c:v>
                </c:pt>
                <c:pt idx="308">
                  <c:v>-5.5453149480463111</c:v>
                </c:pt>
                <c:pt idx="309">
                  <c:v>-5.5793352127925804</c:v>
                </c:pt>
                <c:pt idx="310">
                  <c:v>-5.4592108576277827</c:v>
                </c:pt>
                <c:pt idx="311">
                  <c:v>-5.5034503821267666</c:v>
                </c:pt>
                <c:pt idx="312">
                  <c:v>-5.3939089697787663</c:v>
                </c:pt>
                <c:pt idx="313">
                  <c:v>-5.3820214068222292</c:v>
                </c:pt>
                <c:pt idx="314">
                  <c:v>-5.2460850516932993</c:v>
                </c:pt>
                <c:pt idx="315">
                  <c:v>-5.0990892221534372</c:v>
                </c:pt>
                <c:pt idx="316">
                  <c:v>-4.9111175798282174</c:v>
                </c:pt>
                <c:pt idx="317">
                  <c:v>-4.9706997822343713</c:v>
                </c:pt>
                <c:pt idx="318">
                  <c:v>-5.0092832511218202</c:v>
                </c:pt>
                <c:pt idx="319">
                  <c:v>-4.9508802621720571</c:v>
                </c:pt>
                <c:pt idx="320">
                  <c:v>-4.9299279680639998</c:v>
                </c:pt>
                <c:pt idx="321">
                  <c:v>-4.8716637055352825</c:v>
                </c:pt>
                <c:pt idx="322">
                  <c:v>-4.9333001613904477</c:v>
                </c:pt>
                <c:pt idx="323">
                  <c:v>-5.0484821197611334</c:v>
                </c:pt>
                <c:pt idx="324">
                  <c:v>-4.8797786678649979</c:v>
                </c:pt>
                <c:pt idx="325">
                  <c:v>-4.9596280489228928</c:v>
                </c:pt>
                <c:pt idx="326">
                  <c:v>-4.9436214862790084</c:v>
                </c:pt>
                <c:pt idx="327">
                  <c:v>-4.7821109370625701</c:v>
                </c:pt>
                <c:pt idx="328">
                  <c:v>-4.8408509738784993</c:v>
                </c:pt>
                <c:pt idx="329">
                  <c:v>-4.8858281815737872</c:v>
                </c:pt>
                <c:pt idx="330">
                  <c:v>-4.8071433289850019</c:v>
                </c:pt>
                <c:pt idx="331">
                  <c:v>-4.7456318804422271</c:v>
                </c:pt>
                <c:pt idx="332">
                  <c:v>-4.689486908434354</c:v>
                </c:pt>
                <c:pt idx="333">
                  <c:v>-4.7000806848726251</c:v>
                </c:pt>
                <c:pt idx="334">
                  <c:v>-3.6296200650597084</c:v>
                </c:pt>
                <c:pt idx="335">
                  <c:v>-3.5523367037281934</c:v>
                </c:pt>
                <c:pt idx="336">
                  <c:v>-3.5587129670881934</c:v>
                </c:pt>
                <c:pt idx="337">
                  <c:v>-3.5171338112881934</c:v>
                </c:pt>
                <c:pt idx="338">
                  <c:v>-3.5165877282064417</c:v>
                </c:pt>
                <c:pt idx="339">
                  <c:v>-3.4747617687390209</c:v>
                </c:pt>
                <c:pt idx="340">
                  <c:v>-3.4757712706093655</c:v>
                </c:pt>
                <c:pt idx="341">
                  <c:v>-3.4836677299162355</c:v>
                </c:pt>
                <c:pt idx="342">
                  <c:v>-3.4321361205475087</c:v>
                </c:pt>
                <c:pt idx="343">
                  <c:v>-3.380106685830842</c:v>
                </c:pt>
                <c:pt idx="344">
                  <c:v>-3.3879130335451273</c:v>
                </c:pt>
                <c:pt idx="345">
                  <c:v>-3.3713870861658362</c:v>
                </c:pt>
                <c:pt idx="346">
                  <c:v>-3.3039979533518058</c:v>
                </c:pt>
                <c:pt idx="347">
                  <c:v>-3.2420579729570833</c:v>
                </c:pt>
                <c:pt idx="348">
                  <c:v>-2.2412263214406782</c:v>
                </c:pt>
                <c:pt idx="349">
                  <c:v>-2.2536543648196523</c:v>
                </c:pt>
                <c:pt idx="350">
                  <c:v>-2.3233379318201677</c:v>
                </c:pt>
                <c:pt idx="351">
                  <c:v>-2.4250702190058018</c:v>
                </c:pt>
                <c:pt idx="352">
                  <c:v>-2.4651137068239835</c:v>
                </c:pt>
                <c:pt idx="353">
                  <c:v>-2.5348673469945715</c:v>
                </c:pt>
                <c:pt idx="354">
                  <c:v>-2.5745370342848943</c:v>
                </c:pt>
                <c:pt idx="355">
                  <c:v>-2.5387804213575436</c:v>
                </c:pt>
                <c:pt idx="356">
                  <c:v>-2.4957071163306779</c:v>
                </c:pt>
                <c:pt idx="357">
                  <c:v>-2.5656754439084555</c:v>
                </c:pt>
                <c:pt idx="358">
                  <c:v>-2.5630531068516373</c:v>
                </c:pt>
                <c:pt idx="359">
                  <c:v>-2.4912479093499194</c:v>
                </c:pt>
                <c:pt idx="360">
                  <c:v>-2.4906682324100697</c:v>
                </c:pt>
                <c:pt idx="361">
                  <c:v>-2.4756647356430541</c:v>
                </c:pt>
                <c:pt idx="362">
                  <c:v>-2.2189950646014052</c:v>
                </c:pt>
                <c:pt idx="363">
                  <c:v>-2.1821230888503851</c:v>
                </c:pt>
                <c:pt idx="364">
                  <c:v>-2.2340951401587965</c:v>
                </c:pt>
                <c:pt idx="365">
                  <c:v>-2.2196096248134727</c:v>
                </c:pt>
                <c:pt idx="366">
                  <c:v>-2.2307445905966308</c:v>
                </c:pt>
                <c:pt idx="367">
                  <c:v>-2.2386456816680593</c:v>
                </c:pt>
                <c:pt idx="368">
                  <c:v>-2.1800540455680588</c:v>
                </c:pt>
                <c:pt idx="369">
                  <c:v>-2.1694128943748776</c:v>
                </c:pt>
                <c:pt idx="370">
                  <c:v>-2.1343403089628774</c:v>
                </c:pt>
                <c:pt idx="371">
                  <c:v>-2.1659936997180806</c:v>
                </c:pt>
                <c:pt idx="372">
                  <c:v>-2.1490854373663564</c:v>
                </c:pt>
                <c:pt idx="373">
                  <c:v>-2.1571915815077709</c:v>
                </c:pt>
                <c:pt idx="374">
                  <c:v>-2.1323998486136535</c:v>
                </c:pt>
                <c:pt idx="375">
                  <c:v>-2.131852776670986</c:v>
                </c:pt>
                <c:pt idx="376">
                  <c:v>-2.1450848950265415</c:v>
                </c:pt>
                <c:pt idx="377">
                  <c:v>-2.0932068823782659</c:v>
                </c:pt>
                <c:pt idx="378">
                  <c:v>-2.0364255382979022</c:v>
                </c:pt>
                <c:pt idx="379">
                  <c:v>-2.1075812927640785</c:v>
                </c:pt>
                <c:pt idx="380">
                  <c:v>-2.213329767455658</c:v>
                </c:pt>
                <c:pt idx="381">
                  <c:v>-2.0261913562556577</c:v>
                </c:pt>
                <c:pt idx="382">
                  <c:v>-1.7406005350378926</c:v>
                </c:pt>
                <c:pt idx="383">
                  <c:v>-1.0174107865569764</c:v>
                </c:pt>
                <c:pt idx="384">
                  <c:v>-0.88031171193993785</c:v>
                </c:pt>
                <c:pt idx="385">
                  <c:v>-1.5557221633789313</c:v>
                </c:pt>
                <c:pt idx="386">
                  <c:v>-1.3391064147793796</c:v>
                </c:pt>
                <c:pt idx="387">
                  <c:v>-1.3464518798901235</c:v>
                </c:pt>
                <c:pt idx="388">
                  <c:v>-1.3583917332062529</c:v>
                </c:pt>
                <c:pt idx="389">
                  <c:v>-1.3455439168584267</c:v>
                </c:pt>
                <c:pt idx="390">
                  <c:v>-1.2838657355004557</c:v>
                </c:pt>
                <c:pt idx="391">
                  <c:v>-1.2855276113258525</c:v>
                </c:pt>
                <c:pt idx="392">
                  <c:v>-1.2908289017892325</c:v>
                </c:pt>
                <c:pt idx="393">
                  <c:v>-1.3042850979535183</c:v>
                </c:pt>
                <c:pt idx="394">
                  <c:v>-1.2976504432013445</c:v>
                </c:pt>
                <c:pt idx="395">
                  <c:v>-1.305496449928617</c:v>
                </c:pt>
                <c:pt idx="396">
                  <c:v>-1.2922601858486169</c:v>
                </c:pt>
                <c:pt idx="397">
                  <c:v>-1.2887664422886169</c:v>
                </c:pt>
                <c:pt idx="398">
                  <c:v>-1.288398100452617</c:v>
                </c:pt>
                <c:pt idx="399">
                  <c:v>-1.2850351024109505</c:v>
                </c:pt>
                <c:pt idx="400">
                  <c:v>-1.2966237070366646</c:v>
                </c:pt>
                <c:pt idx="401">
                  <c:v>-1.2803950132979784</c:v>
                </c:pt>
                <c:pt idx="402">
                  <c:v>-1.275971708457553</c:v>
                </c:pt>
                <c:pt idx="403">
                  <c:v>-1.2647689506406989</c:v>
                </c:pt>
                <c:pt idx="404">
                  <c:v>-1.2426821306211588</c:v>
                </c:pt>
                <c:pt idx="405">
                  <c:v>-1.2239649749621844</c:v>
                </c:pt>
                <c:pt idx="406">
                  <c:v>-1.2307735185621844</c:v>
                </c:pt>
                <c:pt idx="407">
                  <c:v>-1.2295076109088512</c:v>
                </c:pt>
                <c:pt idx="408">
                  <c:v>-1.2363530639246407</c:v>
                </c:pt>
                <c:pt idx="409">
                  <c:v>-1.2323640133646407</c:v>
                </c:pt>
                <c:pt idx="410">
                  <c:v>-1.2307334475424183</c:v>
                </c:pt>
                <c:pt idx="411">
                  <c:v>-1.1824459438041206</c:v>
                </c:pt>
                <c:pt idx="412">
                  <c:v>-1.0890901771321204</c:v>
                </c:pt>
                <c:pt idx="413">
                  <c:v>-1.0909539288654539</c:v>
                </c:pt>
                <c:pt idx="414">
                  <c:v>-1.0911413430751313</c:v>
                </c:pt>
                <c:pt idx="415">
                  <c:v>-1.0954706892264825</c:v>
                </c:pt>
                <c:pt idx="416">
                  <c:v>-1.0809817605283696</c:v>
                </c:pt>
                <c:pt idx="417">
                  <c:v>-1.0779233748283696</c:v>
                </c:pt>
                <c:pt idx="418">
                  <c:v>-1.078710710392655</c:v>
                </c:pt>
                <c:pt idx="419">
                  <c:v>-1.084247767882899</c:v>
                </c:pt>
                <c:pt idx="420">
                  <c:v>-1.0742044075670261</c:v>
                </c:pt>
                <c:pt idx="421">
                  <c:v>-1.082889266741385</c:v>
                </c:pt>
                <c:pt idx="422">
                  <c:v>-1.0913027705052147</c:v>
                </c:pt>
                <c:pt idx="423">
                  <c:v>-1.0897065701479114</c:v>
                </c:pt>
                <c:pt idx="424">
                  <c:v>-1.0920857753818736</c:v>
                </c:pt>
                <c:pt idx="425">
                  <c:v>-1.0935238508294929</c:v>
                </c:pt>
                <c:pt idx="426">
                  <c:v>-1.0960154606756467</c:v>
                </c:pt>
                <c:pt idx="427">
                  <c:v>-1.0891023055274984</c:v>
                </c:pt>
                <c:pt idx="428">
                  <c:v>-1.0760822562926919</c:v>
                </c:pt>
                <c:pt idx="429">
                  <c:v>-1.0673224755917572</c:v>
                </c:pt>
                <c:pt idx="430">
                  <c:v>-1.1349527510917572</c:v>
                </c:pt>
                <c:pt idx="431">
                  <c:v>-1.144120639055646</c:v>
                </c:pt>
                <c:pt idx="432">
                  <c:v>-1.1310362618583858</c:v>
                </c:pt>
                <c:pt idx="433">
                  <c:v>-1.1395113555107668</c:v>
                </c:pt>
                <c:pt idx="434">
                  <c:v>-1.1409519525707668</c:v>
                </c:pt>
                <c:pt idx="435">
                  <c:v>-1.1383482505082667</c:v>
                </c:pt>
                <c:pt idx="436">
                  <c:v>-1.1420185772437508</c:v>
                </c:pt>
                <c:pt idx="437">
                  <c:v>-1.1380406447707776</c:v>
                </c:pt>
                <c:pt idx="438">
                  <c:v>-1.1394834515707775</c:v>
                </c:pt>
                <c:pt idx="439">
                  <c:v>-1.1365128625299612</c:v>
                </c:pt>
                <c:pt idx="440">
                  <c:v>-1.1345049376366281</c:v>
                </c:pt>
                <c:pt idx="441">
                  <c:v>-1.1419600705597051</c:v>
                </c:pt>
                <c:pt idx="442">
                  <c:v>-1.1395916270118787</c:v>
                </c:pt>
                <c:pt idx="443">
                  <c:v>-1.1251106044998787</c:v>
                </c:pt>
                <c:pt idx="444">
                  <c:v>-1.1374741126951913</c:v>
                </c:pt>
                <c:pt idx="445">
                  <c:v>-1.1287706110560607</c:v>
                </c:pt>
                <c:pt idx="446">
                  <c:v>-1.1313181299240609</c:v>
                </c:pt>
                <c:pt idx="447">
                  <c:v>-1.1092972127812035</c:v>
                </c:pt>
                <c:pt idx="448">
                  <c:v>-1.1230950181753214</c:v>
                </c:pt>
                <c:pt idx="449">
                  <c:v>-1.1289694383517919</c:v>
                </c:pt>
                <c:pt idx="450">
                  <c:v>-1.1256973286295697</c:v>
                </c:pt>
                <c:pt idx="451">
                  <c:v>-1.1333789936742504</c:v>
                </c:pt>
                <c:pt idx="452">
                  <c:v>-1.1204672955290893</c:v>
                </c:pt>
                <c:pt idx="453">
                  <c:v>-1.1227174676290892</c:v>
                </c:pt>
                <c:pt idx="454">
                  <c:v>-1.1218168223745437</c:v>
                </c:pt>
                <c:pt idx="455">
                  <c:v>-1.05393929102845</c:v>
                </c:pt>
                <c:pt idx="456">
                  <c:v>-1.0217151328378096</c:v>
                </c:pt>
                <c:pt idx="457">
                  <c:v>-1.0157135731573748</c:v>
                </c:pt>
                <c:pt idx="458">
                  <c:v>-1.0148500383415855</c:v>
                </c:pt>
                <c:pt idx="459">
                  <c:v>-1.0124085108117982</c:v>
                </c:pt>
                <c:pt idx="460">
                  <c:v>-1.0098191510887211</c:v>
                </c:pt>
                <c:pt idx="461">
                  <c:v>-1.0088541010571421</c:v>
                </c:pt>
                <c:pt idx="462">
                  <c:v>-1.0098642624142851</c:v>
                </c:pt>
                <c:pt idx="463">
                  <c:v>-1.007144734964285</c:v>
                </c:pt>
                <c:pt idx="464">
                  <c:v>-1.0074383002407556</c:v>
                </c:pt>
                <c:pt idx="465">
                  <c:v>-1.0064041696607557</c:v>
                </c:pt>
                <c:pt idx="466">
                  <c:v>-1.0052626727357556</c:v>
                </c:pt>
                <c:pt idx="467">
                  <c:v>-0.99588455453575575</c:v>
                </c:pt>
                <c:pt idx="468">
                  <c:v>-0.99689444726908927</c:v>
                </c:pt>
                <c:pt idx="469">
                  <c:v>-0.99474588571524303</c:v>
                </c:pt>
                <c:pt idx="470">
                  <c:v>-0.99635285607524304</c:v>
                </c:pt>
                <c:pt idx="471">
                  <c:v>-0.99657334301274292</c:v>
                </c:pt>
                <c:pt idx="472">
                  <c:v>-0.99604384213496522</c:v>
                </c:pt>
                <c:pt idx="473">
                  <c:v>-0.99712115115718736</c:v>
                </c:pt>
                <c:pt idx="474">
                  <c:v>-0.99583451935718748</c:v>
                </c:pt>
                <c:pt idx="475">
                  <c:v>-0.99857910919248161</c:v>
                </c:pt>
                <c:pt idx="476">
                  <c:v>-1.0034123188646127</c:v>
                </c:pt>
                <c:pt idx="477">
                  <c:v>-1.0074535111521128</c:v>
                </c:pt>
                <c:pt idx="478">
                  <c:v>-1.0128537403854461</c:v>
                </c:pt>
                <c:pt idx="479">
                  <c:v>-1.0099419160178404</c:v>
                </c:pt>
                <c:pt idx="480">
                  <c:v>-1.0103911720928405</c:v>
                </c:pt>
                <c:pt idx="481">
                  <c:v>-1.010960800779797</c:v>
                </c:pt>
                <c:pt idx="482">
                  <c:v>-1.0112374176012255</c:v>
                </c:pt>
                <c:pt idx="483">
                  <c:v>-1.0092762439512255</c:v>
                </c:pt>
                <c:pt idx="484">
                  <c:v>-1.0077606963616734</c:v>
                </c:pt>
                <c:pt idx="485">
                  <c:v>-1.0105821778679234</c:v>
                </c:pt>
                <c:pt idx="486">
                  <c:v>-1.0128313555179234</c:v>
                </c:pt>
                <c:pt idx="487">
                  <c:v>-1.0036462113060591</c:v>
                </c:pt>
                <c:pt idx="488">
                  <c:v>-1.0078693830998089</c:v>
                </c:pt>
                <c:pt idx="489">
                  <c:v>-1.0131930288366511</c:v>
                </c:pt>
                <c:pt idx="490">
                  <c:v>-1.0148491713054013</c:v>
                </c:pt>
                <c:pt idx="491">
                  <c:v>-1.0204943350692901</c:v>
                </c:pt>
                <c:pt idx="492">
                  <c:v>-1.0147266093892902</c:v>
                </c:pt>
                <c:pt idx="493">
                  <c:v>-1.0193174293128195</c:v>
                </c:pt>
                <c:pt idx="494">
                  <c:v>-0.99471491139078572</c:v>
                </c:pt>
                <c:pt idx="495">
                  <c:v>-0.94879896589078583</c:v>
                </c:pt>
                <c:pt idx="496">
                  <c:v>-0.94769463973693946</c:v>
                </c:pt>
                <c:pt idx="497">
                  <c:v>-0.93588879963450045</c:v>
                </c:pt>
                <c:pt idx="498">
                  <c:v>-0.92843645520919937</c:v>
                </c:pt>
                <c:pt idx="499">
                  <c:v>-0.93494076946883231</c:v>
                </c:pt>
                <c:pt idx="500">
                  <c:v>-0.927966478096105</c:v>
                </c:pt>
                <c:pt idx="501">
                  <c:v>-0.93005691277610492</c:v>
                </c:pt>
                <c:pt idx="502">
                  <c:v>-0.92406394149918181</c:v>
                </c:pt>
                <c:pt idx="503">
                  <c:v>-0.92772661299918191</c:v>
                </c:pt>
                <c:pt idx="504">
                  <c:v>-0.941081665690091</c:v>
                </c:pt>
                <c:pt idx="505">
                  <c:v>-0.95833509405335626</c:v>
                </c:pt>
                <c:pt idx="506">
                  <c:v>-0.96324959506416707</c:v>
                </c:pt>
                <c:pt idx="507">
                  <c:v>-0.96271917819273856</c:v>
                </c:pt>
                <c:pt idx="508">
                  <c:v>-0.97438365568477414</c:v>
                </c:pt>
                <c:pt idx="509">
                  <c:v>-0.98181090659043446</c:v>
                </c:pt>
                <c:pt idx="510">
                  <c:v>-0.95863741797580027</c:v>
                </c:pt>
                <c:pt idx="511">
                  <c:v>-0.97814989100649352</c:v>
                </c:pt>
                <c:pt idx="512">
                  <c:v>-0.94016190449060555</c:v>
                </c:pt>
                <c:pt idx="513">
                  <c:v>-0.94016190449060555</c:v>
                </c:pt>
                <c:pt idx="514">
                  <c:v>-0.93480564168281333</c:v>
                </c:pt>
                <c:pt idx="515">
                  <c:v>-0.9060496127318699</c:v>
                </c:pt>
                <c:pt idx="516">
                  <c:v>-0.88196672449069358</c:v>
                </c:pt>
                <c:pt idx="517">
                  <c:v>-0.89010754447274465</c:v>
                </c:pt>
                <c:pt idx="518">
                  <c:v>-0.90603735995146795</c:v>
                </c:pt>
                <c:pt idx="519">
                  <c:v>-0.89351678198003948</c:v>
                </c:pt>
                <c:pt idx="520">
                  <c:v>-0.80556394551057398</c:v>
                </c:pt>
                <c:pt idx="521">
                  <c:v>-0.85869694567149357</c:v>
                </c:pt>
                <c:pt idx="522">
                  <c:v>-0.86696992097149361</c:v>
                </c:pt>
                <c:pt idx="523">
                  <c:v>-0.90405611282149378</c:v>
                </c:pt>
                <c:pt idx="524">
                  <c:v>-0.92693666854668455</c:v>
                </c:pt>
                <c:pt idx="525">
                  <c:v>-0.87853820544668448</c:v>
                </c:pt>
                <c:pt idx="526">
                  <c:v>-0.89744621191460894</c:v>
                </c:pt>
                <c:pt idx="527">
                  <c:v>-0.86711357342753992</c:v>
                </c:pt>
                <c:pt idx="528">
                  <c:v>-0.88611392479658757</c:v>
                </c:pt>
                <c:pt idx="529">
                  <c:v>-0.90307368990167236</c:v>
                </c:pt>
                <c:pt idx="530">
                  <c:v>-0.91380792464284877</c:v>
                </c:pt>
                <c:pt idx="531">
                  <c:v>-0.90758358392856298</c:v>
                </c:pt>
                <c:pt idx="532">
                  <c:v>-0.87373815088639428</c:v>
                </c:pt>
                <c:pt idx="533">
                  <c:v>-0.85261006374173998</c:v>
                </c:pt>
                <c:pt idx="534">
                  <c:v>-0.87684658128918513</c:v>
                </c:pt>
                <c:pt idx="535">
                  <c:v>-0.82399809007329738</c:v>
                </c:pt>
                <c:pt idx="536">
                  <c:v>-0.80477948830057033</c:v>
                </c:pt>
                <c:pt idx="537">
                  <c:v>-0.85692419804501474</c:v>
                </c:pt>
                <c:pt idx="538">
                  <c:v>-0.82386447241457994</c:v>
                </c:pt>
                <c:pt idx="539">
                  <c:v>-0.83630718018407146</c:v>
                </c:pt>
                <c:pt idx="540">
                  <c:v>-0.83683865109607147</c:v>
                </c:pt>
                <c:pt idx="541">
                  <c:v>-0.85033180594152602</c:v>
                </c:pt>
                <c:pt idx="542">
                  <c:v>-0.85682964586152588</c:v>
                </c:pt>
                <c:pt idx="543">
                  <c:v>-0.85648129754069269</c:v>
                </c:pt>
                <c:pt idx="544">
                  <c:v>-0.85338898787356943</c:v>
                </c:pt>
                <c:pt idx="545">
                  <c:v>-0.84866334458984849</c:v>
                </c:pt>
                <c:pt idx="546">
                  <c:v>-0.84021608929984848</c:v>
                </c:pt>
                <c:pt idx="547">
                  <c:v>-0.82742151392136742</c:v>
                </c:pt>
                <c:pt idx="548">
                  <c:v>-0.81462091888784804</c:v>
                </c:pt>
                <c:pt idx="549">
                  <c:v>-0.82105081754964582</c:v>
                </c:pt>
                <c:pt idx="550">
                  <c:v>-0.80092930496994652</c:v>
                </c:pt>
                <c:pt idx="551">
                  <c:v>-0.78601107455456198</c:v>
                </c:pt>
                <c:pt idx="552">
                  <c:v>-0.76581541126567299</c:v>
                </c:pt>
                <c:pt idx="553">
                  <c:v>-0.77191115758385487</c:v>
                </c:pt>
                <c:pt idx="554">
                  <c:v>-0.75902207197236071</c:v>
                </c:pt>
                <c:pt idx="555">
                  <c:v>-0.75388567477236079</c:v>
                </c:pt>
                <c:pt idx="556">
                  <c:v>-0.77316587557236072</c:v>
                </c:pt>
                <c:pt idx="557">
                  <c:v>-0.7631661024142411</c:v>
                </c:pt>
                <c:pt idx="558">
                  <c:v>-0.77115141878497284</c:v>
                </c:pt>
                <c:pt idx="559">
                  <c:v>-0.77165927427956738</c:v>
                </c:pt>
                <c:pt idx="560">
                  <c:v>-0.77472530960049768</c:v>
                </c:pt>
                <c:pt idx="561">
                  <c:v>-0.77790332602515511</c:v>
                </c:pt>
                <c:pt idx="562">
                  <c:v>-0.77124404792932177</c:v>
                </c:pt>
                <c:pt idx="563">
                  <c:v>-0.77647441853397303</c:v>
                </c:pt>
                <c:pt idx="564">
                  <c:v>-0.76911534689968719</c:v>
                </c:pt>
                <c:pt idx="565">
                  <c:v>-0.76230166873968719</c:v>
                </c:pt>
                <c:pt idx="566">
                  <c:v>-0.75967289052363784</c:v>
                </c:pt>
                <c:pt idx="567">
                  <c:v>-0.74606323220819926</c:v>
                </c:pt>
                <c:pt idx="568">
                  <c:v>-0.73929519276375466</c:v>
                </c:pt>
                <c:pt idx="569">
                  <c:v>-0.74168592059232619</c:v>
                </c:pt>
                <c:pt idx="570">
                  <c:v>-0.72667913805711504</c:v>
                </c:pt>
                <c:pt idx="571">
                  <c:v>-0.73684648078164316</c:v>
                </c:pt>
                <c:pt idx="572">
                  <c:v>-0.73476470856164322</c:v>
                </c:pt>
                <c:pt idx="573">
                  <c:v>-0.73448522421497664</c:v>
                </c:pt>
                <c:pt idx="574">
                  <c:v>-0.73400527903897661</c:v>
                </c:pt>
                <c:pt idx="575">
                  <c:v>-0.72974790943462886</c:v>
                </c:pt>
                <c:pt idx="576">
                  <c:v>-0.72102319778224788</c:v>
                </c:pt>
                <c:pt idx="577">
                  <c:v>-0.70845042796517477</c:v>
                </c:pt>
                <c:pt idx="578">
                  <c:v>-0.6899697193811748</c:v>
                </c:pt>
                <c:pt idx="579">
                  <c:v>-0.68921243332792803</c:v>
                </c:pt>
                <c:pt idx="580">
                  <c:v>-0.39887527454702915</c:v>
                </c:pt>
                <c:pt idx="581">
                  <c:v>-0.46556929975015421</c:v>
                </c:pt>
                <c:pt idx="582">
                  <c:v>-0.47499328123838946</c:v>
                </c:pt>
                <c:pt idx="583">
                  <c:v>-0.4684930691118589</c:v>
                </c:pt>
                <c:pt idx="584">
                  <c:v>-0.46911962566900173</c:v>
                </c:pt>
                <c:pt idx="585">
                  <c:v>-0.47311014234233506</c:v>
                </c:pt>
                <c:pt idx="586">
                  <c:v>-0.46680428151733511</c:v>
                </c:pt>
                <c:pt idx="587">
                  <c:v>-0.47104606922701253</c:v>
                </c:pt>
                <c:pt idx="588">
                  <c:v>-0.46470824809844113</c:v>
                </c:pt>
                <c:pt idx="589">
                  <c:v>-0.46342335944708973</c:v>
                </c:pt>
                <c:pt idx="590">
                  <c:v>-0.47355786353484486</c:v>
                </c:pt>
                <c:pt idx="591">
                  <c:v>-0.47992763684010803</c:v>
                </c:pt>
                <c:pt idx="592">
                  <c:v>-0.49235126002654872</c:v>
                </c:pt>
                <c:pt idx="593">
                  <c:v>-0.47376238808808724</c:v>
                </c:pt>
                <c:pt idx="594">
                  <c:v>-0.46341632760808726</c:v>
                </c:pt>
                <c:pt idx="595">
                  <c:v>-0.48262072292723629</c:v>
                </c:pt>
                <c:pt idx="596">
                  <c:v>-0.45859364204019926</c:v>
                </c:pt>
                <c:pt idx="597">
                  <c:v>-0.45039925535434067</c:v>
                </c:pt>
                <c:pt idx="598">
                  <c:v>-0.46214780200500732</c:v>
                </c:pt>
                <c:pt idx="599">
                  <c:v>-0.44784046164330521</c:v>
                </c:pt>
                <c:pt idx="600">
                  <c:v>-0.46908323506229255</c:v>
                </c:pt>
                <c:pt idx="601">
                  <c:v>-0.45566674659161582</c:v>
                </c:pt>
                <c:pt idx="602">
                  <c:v>-0.43938657122911584</c:v>
                </c:pt>
                <c:pt idx="603">
                  <c:v>-0.37153035721457034</c:v>
                </c:pt>
                <c:pt idx="604">
                  <c:v>-0.23056817097583798</c:v>
                </c:pt>
                <c:pt idx="605">
                  <c:v>-0.22943525957437813</c:v>
                </c:pt>
                <c:pt idx="606">
                  <c:v>-0.23310942151741615</c:v>
                </c:pt>
                <c:pt idx="607">
                  <c:v>-0.21568728146027324</c:v>
                </c:pt>
                <c:pt idx="608">
                  <c:v>-0.21568728146027324</c:v>
                </c:pt>
                <c:pt idx="609">
                  <c:v>-0.13851344347777331</c:v>
                </c:pt>
                <c:pt idx="610">
                  <c:v>-0.17971482152295998</c:v>
                </c:pt>
                <c:pt idx="611">
                  <c:v>-0.18110121202295992</c:v>
                </c:pt>
                <c:pt idx="612">
                  <c:v>-0.18023494256841444</c:v>
                </c:pt>
                <c:pt idx="613">
                  <c:v>-0.19004291315908112</c:v>
                </c:pt>
                <c:pt idx="614">
                  <c:v>-0.17815685975908113</c:v>
                </c:pt>
                <c:pt idx="615">
                  <c:v>-0.17145489429995067</c:v>
                </c:pt>
                <c:pt idx="616">
                  <c:v>-0.19115987579995067</c:v>
                </c:pt>
                <c:pt idx="617">
                  <c:v>-0.19727718759770346</c:v>
                </c:pt>
                <c:pt idx="618">
                  <c:v>-0.19935941723299758</c:v>
                </c:pt>
                <c:pt idx="619">
                  <c:v>-0.20055581679453605</c:v>
                </c:pt>
                <c:pt idx="620">
                  <c:v>-0.20554697909453606</c:v>
                </c:pt>
                <c:pt idx="621">
                  <c:v>-0.1875095812666672</c:v>
                </c:pt>
                <c:pt idx="622">
                  <c:v>-0.18642660818300708</c:v>
                </c:pt>
                <c:pt idx="623">
                  <c:v>-0.18679119770065411</c:v>
                </c:pt>
                <c:pt idx="624">
                  <c:v>-0.18416080461241882</c:v>
                </c:pt>
                <c:pt idx="625">
                  <c:v>-0.18185986915787336</c:v>
                </c:pt>
                <c:pt idx="626">
                  <c:v>-0.18385152924048206</c:v>
                </c:pt>
                <c:pt idx="627">
                  <c:v>-0.18375946960264422</c:v>
                </c:pt>
                <c:pt idx="628">
                  <c:v>-0.17728821474612247</c:v>
                </c:pt>
                <c:pt idx="629">
                  <c:v>-0.18220372315120725</c:v>
                </c:pt>
                <c:pt idx="630">
                  <c:v>-0.18416085506454058</c:v>
                </c:pt>
                <c:pt idx="631">
                  <c:v>-0.18506484013120728</c:v>
                </c:pt>
                <c:pt idx="632">
                  <c:v>-0.18093474673120727</c:v>
                </c:pt>
                <c:pt idx="633">
                  <c:v>-0.18225962394029818</c:v>
                </c:pt>
                <c:pt idx="634">
                  <c:v>-0.16645556489792532</c:v>
                </c:pt>
                <c:pt idx="635">
                  <c:v>-0.16972069485870958</c:v>
                </c:pt>
                <c:pt idx="636">
                  <c:v>-0.1750062174725027</c:v>
                </c:pt>
                <c:pt idx="637">
                  <c:v>-0.1750062174725027</c:v>
                </c:pt>
                <c:pt idx="638">
                  <c:v>-0.17034462221640512</c:v>
                </c:pt>
                <c:pt idx="639">
                  <c:v>-0.17376795198111103</c:v>
                </c:pt>
                <c:pt idx="640">
                  <c:v>-0.17338653155383829</c:v>
                </c:pt>
                <c:pt idx="641">
                  <c:v>-0.17359300573588957</c:v>
                </c:pt>
                <c:pt idx="642">
                  <c:v>-0.17136819660345715</c:v>
                </c:pt>
                <c:pt idx="643">
                  <c:v>-0.16920245046345717</c:v>
                </c:pt>
                <c:pt idx="644">
                  <c:v>-0.1688844495067004</c:v>
                </c:pt>
                <c:pt idx="645">
                  <c:v>-0.16572659483380325</c:v>
                </c:pt>
                <c:pt idx="646">
                  <c:v>-0.17235512641984974</c:v>
                </c:pt>
                <c:pt idx="647">
                  <c:v>-0.17282839961984972</c:v>
                </c:pt>
                <c:pt idx="648">
                  <c:v>-0.15991439109842112</c:v>
                </c:pt>
                <c:pt idx="649">
                  <c:v>-0.16120926116312709</c:v>
                </c:pt>
                <c:pt idx="650">
                  <c:v>-0.14137663820928095</c:v>
                </c:pt>
                <c:pt idx="651">
                  <c:v>-0.15014922562081939</c:v>
                </c:pt>
                <c:pt idx="652">
                  <c:v>-0.15635945533721279</c:v>
                </c:pt>
                <c:pt idx="653">
                  <c:v>-0.14075984126541788</c:v>
                </c:pt>
                <c:pt idx="654">
                  <c:v>-0.13317340231380503</c:v>
                </c:pt>
                <c:pt idx="655">
                  <c:v>-0.11615747355635823</c:v>
                </c:pt>
                <c:pt idx="656">
                  <c:v>-0.11282352331001677</c:v>
                </c:pt>
                <c:pt idx="657">
                  <c:v>-0.10448010976791149</c:v>
                </c:pt>
                <c:pt idx="658">
                  <c:v>-0.1030155788903605</c:v>
                </c:pt>
                <c:pt idx="659">
                  <c:v>-9.962511939036052E-2</c:v>
                </c:pt>
                <c:pt idx="660">
                  <c:v>-0.11175624837882206</c:v>
                </c:pt>
                <c:pt idx="661">
                  <c:v>-0.10855504057732951</c:v>
                </c:pt>
                <c:pt idx="662">
                  <c:v>-0.11984796924399617</c:v>
                </c:pt>
                <c:pt idx="663">
                  <c:v>-0.10766076533490518</c:v>
                </c:pt>
                <c:pt idx="664">
                  <c:v>-7.3946239860932572E-2</c:v>
                </c:pt>
                <c:pt idx="665">
                  <c:v>-8.9623011854480933E-2</c:v>
                </c:pt>
                <c:pt idx="666">
                  <c:v>-8.4821207628899511E-2</c:v>
                </c:pt>
                <c:pt idx="667">
                  <c:v>-8.4821207628899511E-2</c:v>
                </c:pt>
                <c:pt idx="668">
                  <c:v>-4.6865936967923918E-2</c:v>
                </c:pt>
                <c:pt idx="669">
                  <c:v>-4.1725877931282657E-2</c:v>
                </c:pt>
                <c:pt idx="670">
                  <c:v>-2.5722340101682676E-2</c:v>
                </c:pt>
                <c:pt idx="671">
                  <c:v>1.6554340461697563E-2</c:v>
                </c:pt>
                <c:pt idx="672">
                  <c:v>4.039941227204343E-3</c:v>
                </c:pt>
                <c:pt idx="673">
                  <c:v>-1.2768913572795656E-2</c:v>
                </c:pt>
                <c:pt idx="674">
                  <c:v>-1.150276895850995E-2</c:v>
                </c:pt>
                <c:pt idx="675">
                  <c:v>-2.3178783679059286E-3</c:v>
                </c:pt>
                <c:pt idx="676">
                  <c:v>-1.6416349818421369E-2</c:v>
                </c:pt>
                <c:pt idx="677">
                  <c:v>-8.1374011255642299E-3</c:v>
                </c:pt>
                <c:pt idx="678">
                  <c:v>-1.4152169083897555E-2</c:v>
                </c:pt>
                <c:pt idx="679">
                  <c:v>7.2148442612801119E-3</c:v>
                </c:pt>
                <c:pt idx="680">
                  <c:v>1.2457960112801079E-3</c:v>
                </c:pt>
                <c:pt idx="681">
                  <c:v>-1.8958877765247743E-3</c:v>
                </c:pt>
                <c:pt idx="682">
                  <c:v>-6.1559823496955086E-3</c:v>
                </c:pt>
                <c:pt idx="683">
                  <c:v>-2.5363570629030542E-3</c:v>
                </c:pt>
                <c:pt idx="684">
                  <c:v>-7.0802157750979246E-4</c:v>
                </c:pt>
                <c:pt idx="685">
                  <c:v>3.7410023866411499E-3</c:v>
                </c:pt>
                <c:pt idx="686">
                  <c:v>-2.6666951099545951E-3</c:v>
                </c:pt>
                <c:pt idx="687">
                  <c:v>1.1587014203032422E-2</c:v>
                </c:pt>
                <c:pt idx="688">
                  <c:v>8.2663102227507144E-3</c:v>
                </c:pt>
                <c:pt idx="689">
                  <c:v>8.5444357683203426E-3</c:v>
                </c:pt>
                <c:pt idx="690">
                  <c:v>6.5201644220516932E-3</c:v>
                </c:pt>
                <c:pt idx="691">
                  <c:v>1.5848741493673303E-2</c:v>
                </c:pt>
                <c:pt idx="692">
                  <c:v>1.851685354265287E-2</c:v>
                </c:pt>
                <c:pt idx="693">
                  <c:v>1.0365776680834726E-2</c:v>
                </c:pt>
                <c:pt idx="694">
                  <c:v>1.3656959324312988E-2</c:v>
                </c:pt>
                <c:pt idx="695">
                  <c:v>1.2709348999312982E-2</c:v>
                </c:pt>
                <c:pt idx="696">
                  <c:v>1.4533603259312982E-2</c:v>
                </c:pt>
                <c:pt idx="697">
                  <c:v>1.1328282346547027E-2</c:v>
                </c:pt>
                <c:pt idx="698">
                  <c:v>1.2696209320231253E-2</c:v>
                </c:pt>
                <c:pt idx="699">
                  <c:v>1.4394696820231251E-2</c:v>
                </c:pt>
                <c:pt idx="700">
                  <c:v>1.5159572658205939E-2</c:v>
                </c:pt>
                <c:pt idx="701">
                  <c:v>1.5159572658205939E-2</c:v>
                </c:pt>
                <c:pt idx="702">
                  <c:v>2.1450135901150712E-2</c:v>
                </c:pt>
                <c:pt idx="703">
                  <c:v>3.4176014272579311E-2</c:v>
                </c:pt>
                <c:pt idx="704">
                  <c:v>3.504104278288861E-2</c:v>
                </c:pt>
                <c:pt idx="705">
                  <c:v>3.5354658628049901E-2</c:v>
                </c:pt>
                <c:pt idx="706">
                  <c:v>3.5190175630789619E-2</c:v>
                </c:pt>
                <c:pt idx="707">
                  <c:v>3.8136202733115195E-2</c:v>
                </c:pt>
                <c:pt idx="708">
                  <c:v>3.5817738818829492E-2</c:v>
                </c:pt>
                <c:pt idx="709">
                  <c:v>4.0121943408506916E-2</c:v>
                </c:pt>
                <c:pt idx="710">
                  <c:v>3.6946318654883722E-2</c:v>
                </c:pt>
                <c:pt idx="711">
                  <c:v>3.2919531949001379E-2</c:v>
                </c:pt>
                <c:pt idx="712">
                  <c:v>3.4527076704225244E-2</c:v>
                </c:pt>
                <c:pt idx="713">
                  <c:v>4.3900501966725243E-2</c:v>
                </c:pt>
                <c:pt idx="714">
                  <c:v>4.4054068297111983E-2</c:v>
                </c:pt>
                <c:pt idx="715">
                  <c:v>4.7944138579969126E-2</c:v>
                </c:pt>
                <c:pt idx="716">
                  <c:v>3.7317169064947676E-2</c:v>
                </c:pt>
                <c:pt idx="717">
                  <c:v>3.1525816477035576E-2</c:v>
                </c:pt>
                <c:pt idx="718">
                  <c:v>3.8056853428099419E-2</c:v>
                </c:pt>
                <c:pt idx="719">
                  <c:v>2.7922866647077538E-2</c:v>
                </c:pt>
                <c:pt idx="720">
                  <c:v>2.7106632019804799E-2</c:v>
                </c:pt>
                <c:pt idx="721">
                  <c:v>2.4708965974843584E-2</c:v>
                </c:pt>
                <c:pt idx="722">
                  <c:v>2.9140515410972619E-2</c:v>
                </c:pt>
                <c:pt idx="723">
                  <c:v>2.8927668387895709E-2</c:v>
                </c:pt>
                <c:pt idx="724">
                  <c:v>2.159413336157992E-2</c:v>
                </c:pt>
                <c:pt idx="725">
                  <c:v>2.4299452541191573E-2</c:v>
                </c:pt>
                <c:pt idx="726">
                  <c:v>2.1801177787137516E-2</c:v>
                </c:pt>
                <c:pt idx="727">
                  <c:v>1.6215779874637511E-2</c:v>
                </c:pt>
                <c:pt idx="728">
                  <c:v>1.5410318891538925E-2</c:v>
                </c:pt>
                <c:pt idx="729">
                  <c:v>1.3158628620110354E-2</c:v>
                </c:pt>
                <c:pt idx="730">
                  <c:v>1.354582953611036E-2</c:v>
                </c:pt>
                <c:pt idx="731">
                  <c:v>1.2819876996110374E-2</c:v>
                </c:pt>
                <c:pt idx="732">
                  <c:v>1.1787269156110345E-2</c:v>
                </c:pt>
                <c:pt idx="733">
                  <c:v>1.1787269156110345E-2</c:v>
                </c:pt>
                <c:pt idx="734">
                  <c:v>1.13625108106558E-2</c:v>
                </c:pt>
                <c:pt idx="735">
                  <c:v>1.0620154810655796E-2</c:v>
                </c:pt>
                <c:pt idx="736">
                  <c:v>1.0300997400129483E-2</c:v>
                </c:pt>
                <c:pt idx="737">
                  <c:v>1.052503908012949E-2</c:v>
                </c:pt>
                <c:pt idx="738">
                  <c:v>1.0207079589653304E-2</c:v>
                </c:pt>
                <c:pt idx="739">
                  <c:v>1.346787989720047E-2</c:v>
                </c:pt>
                <c:pt idx="740">
                  <c:v>1.5950138861486191E-2</c:v>
                </c:pt>
                <c:pt idx="741">
                  <c:v>1.6184192820106885E-2</c:v>
                </c:pt>
                <c:pt idx="742">
                  <c:v>1.4351754290319665E-2</c:v>
                </c:pt>
                <c:pt idx="743">
                  <c:v>1.2287575381228752E-2</c:v>
                </c:pt>
                <c:pt idx="744">
                  <c:v>6.7402665371427356E-3</c:v>
                </c:pt>
                <c:pt idx="745">
                  <c:v>1.3137378624668083E-4</c:v>
                </c:pt>
                <c:pt idx="746">
                  <c:v>1.1994805291038191E-3</c:v>
                </c:pt>
                <c:pt idx="747">
                  <c:v>-8.5365321973337603E-4</c:v>
                </c:pt>
                <c:pt idx="748">
                  <c:v>-1.6295910197333717E-3</c:v>
                </c:pt>
                <c:pt idx="749">
                  <c:v>-5.6630194432628119E-3</c:v>
                </c:pt>
                <c:pt idx="750">
                  <c:v>7.309286923717708E-5</c:v>
                </c:pt>
                <c:pt idx="751">
                  <c:v>6.4327403192371855E-3</c:v>
                </c:pt>
                <c:pt idx="752">
                  <c:v>6.2979410113006926E-3</c:v>
                </c:pt>
                <c:pt idx="753">
                  <c:v>5.9326383113006941E-3</c:v>
                </c:pt>
                <c:pt idx="754">
                  <c:v>7.5956692343776243E-3</c:v>
                </c:pt>
                <c:pt idx="755">
                  <c:v>-1.004578068253967E-3</c:v>
                </c:pt>
                <c:pt idx="756">
                  <c:v>-1.6374617238095164E-3</c:v>
                </c:pt>
                <c:pt idx="757">
                  <c:v>8.312715428571483E-4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0D-4CDD-B6C5-44DF57DBF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5758847"/>
        <c:axId val="1798741583"/>
      </c:lineChart>
      <c:dateAx>
        <c:axId val="180575884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741583"/>
        <c:crosses val="autoZero"/>
        <c:auto val="1"/>
        <c:lblOffset val="100"/>
        <c:baseTimeUnit val="days"/>
      </c:dateAx>
      <c:valAx>
        <c:axId val="179874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7588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32C94B4-B202-4CFA-953B-B4C326942770}">
  <sheetPr/>
  <sheetViews>
    <sheetView zoomScale="8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2AF900-BAFC-4F3D-A4EA-A3ECF0A336A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1.3801000000000001</v>
      </c>
      <c r="D2" s="4">
        <f>MIN(D3:D1912)</f>
        <v>2.5100000000000001E-2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0.29049999999999998</v>
      </c>
      <c r="C5">
        <v>0.29330000000000001</v>
      </c>
      <c r="D5">
        <v>0.28199999999999997</v>
      </c>
      <c r="E5">
        <v>0.28239999999999998</v>
      </c>
      <c r="F5">
        <v>544634</v>
      </c>
      <c r="G5">
        <v>0.28239999999999998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-0.92920353982300707</v>
      </c>
      <c r="Q5">
        <f t="shared" ref="Q5" si="1">F5*P5</f>
        <v>-506075.84070796362</v>
      </c>
      <c r="R5">
        <f t="shared" ref="R5" si="2">R6+Q5</f>
        <v>-2404898903.9436169</v>
      </c>
      <c r="S5">
        <f t="shared" ref="S5" si="3">R5/100000</f>
        <v>-24048.989039436168</v>
      </c>
      <c r="T5">
        <f t="shared" ref="T5" si="4">S5/1000</f>
        <v>-24.048989039436169</v>
      </c>
    </row>
    <row r="6" spans="1:20" x14ac:dyDescent="0.25">
      <c r="A6" s="5">
        <v>44587</v>
      </c>
      <c r="B6">
        <v>0.29430000000000001</v>
      </c>
      <c r="C6">
        <v>0.31929999999999997</v>
      </c>
      <c r="D6">
        <v>0.28179999999999999</v>
      </c>
      <c r="E6">
        <v>0.29089999999999999</v>
      </c>
      <c r="F6">
        <v>18131102</v>
      </c>
      <c r="G6">
        <v>0.29089999999999999</v>
      </c>
      <c r="L6" t="s">
        <v>7</v>
      </c>
      <c r="M6" t="s">
        <v>8</v>
      </c>
      <c r="N6" t="s">
        <v>7</v>
      </c>
      <c r="P6">
        <f t="shared" ref="P6" si="5">IF(C6=D6,0,((E6-D6)-(C6-E6))/(C6-D6))</f>
        <v>-0.51466666666666649</v>
      </c>
      <c r="Q6">
        <f t="shared" ref="Q6" si="6">F6*P6</f>
        <v>-9331473.8293333296</v>
      </c>
      <c r="R6">
        <f t="shared" ref="R6" si="7">R7+Q6</f>
        <v>-2404392828.1029091</v>
      </c>
      <c r="S6">
        <f t="shared" ref="S6" si="8">R6/100000</f>
        <v>-24043.92828102909</v>
      </c>
      <c r="T6">
        <f t="shared" ref="T6" si="9">S6/1000</f>
        <v>-24.043928281029089</v>
      </c>
    </row>
    <row r="7" spans="1:20" x14ac:dyDescent="0.25">
      <c r="A7" s="5">
        <v>44586</v>
      </c>
      <c r="B7">
        <v>0.29110000000000003</v>
      </c>
      <c r="C7">
        <v>0.31809999999999999</v>
      </c>
      <c r="D7">
        <v>0.28260000000000002</v>
      </c>
      <c r="E7">
        <v>0.29420000000000002</v>
      </c>
      <c r="F7">
        <v>16119346</v>
      </c>
      <c r="G7">
        <v>0.29420000000000002</v>
      </c>
      <c r="L7" t="s">
        <v>8</v>
      </c>
      <c r="M7" t="s">
        <v>8</v>
      </c>
      <c r="N7" t="s">
        <v>7</v>
      </c>
      <c r="P7">
        <f t="shared" ref="P7" si="10">IF(C7=D7,0,((E7-D7)-(C7-E7))/(C7-D7))</f>
        <v>-0.34647887323943621</v>
      </c>
      <c r="Q7">
        <f t="shared" ref="Q7" si="11">F7*P7</f>
        <v>-5585012.839436613</v>
      </c>
      <c r="R7">
        <f t="shared" ref="R7" si="12">R8+Q7</f>
        <v>-2395061354.2735758</v>
      </c>
      <c r="S7">
        <f t="shared" ref="S7" si="13">R7/100000</f>
        <v>-23950.613542735759</v>
      </c>
      <c r="T7">
        <f t="shared" ref="T7" si="14">S7/1000</f>
        <v>-23.950613542735759</v>
      </c>
    </row>
    <row r="8" spans="1:20" x14ac:dyDescent="0.25">
      <c r="A8" s="5">
        <v>44585</v>
      </c>
      <c r="B8">
        <v>0.30259999999999998</v>
      </c>
      <c r="C8">
        <v>0.31619999999999998</v>
      </c>
      <c r="D8">
        <v>0.25719999999999998</v>
      </c>
      <c r="E8">
        <v>0.2918</v>
      </c>
      <c r="F8">
        <v>28322193</v>
      </c>
      <c r="G8">
        <v>0.2918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0.17288135593220411</v>
      </c>
      <c r="Q8">
        <f t="shared" ref="Q8" si="16">F8*P8</f>
        <v>4896379.1288135797</v>
      </c>
      <c r="R8">
        <f t="shared" ref="R8" si="17">R9+Q8</f>
        <v>-2389476341.4341393</v>
      </c>
      <c r="S8">
        <f t="shared" ref="S8" si="18">R8/100000</f>
        <v>-23894.763414341392</v>
      </c>
      <c r="T8">
        <f t="shared" ref="T8" si="19">S8/1000</f>
        <v>-23.894763414341391</v>
      </c>
    </row>
    <row r="9" spans="1:20" x14ac:dyDescent="0.25">
      <c r="A9" s="5">
        <v>44584</v>
      </c>
      <c r="B9">
        <v>0.26790000000000003</v>
      </c>
      <c r="C9">
        <v>0.3725</v>
      </c>
      <c r="D9">
        <v>0.26619999999999999</v>
      </c>
      <c r="E9">
        <v>0.3024</v>
      </c>
      <c r="F9">
        <v>72234623</v>
      </c>
      <c r="G9">
        <v>0.3024</v>
      </c>
      <c r="L9" t="s">
        <v>8</v>
      </c>
      <c r="M9" t="s">
        <v>8</v>
      </c>
      <c r="N9" t="s">
        <v>8</v>
      </c>
      <c r="P9">
        <f t="shared" ref="P9" si="20">IF(C9=D9,0,((E9-D9)-(C9-E9))/(C9-D9))</f>
        <v>-0.31890874882408266</v>
      </c>
      <c r="Q9">
        <f t="shared" ref="Q9" si="21">F9*P9</f>
        <v>-23036253.242709305</v>
      </c>
      <c r="R9">
        <f t="shared" ref="R9" si="22">R10+Q9</f>
        <v>-2394372720.562953</v>
      </c>
      <c r="S9">
        <f t="shared" ref="S9" si="23">R9/100000</f>
        <v>-23943.72720562953</v>
      </c>
      <c r="T9">
        <f t="shared" ref="T9" si="24">S9/1000</f>
        <v>-23.943727205629528</v>
      </c>
    </row>
    <row r="10" spans="1:20" x14ac:dyDescent="0.25">
      <c r="A10" s="5">
        <v>44583</v>
      </c>
      <c r="B10">
        <v>0.28849999999999998</v>
      </c>
      <c r="C10">
        <v>0.29430000000000001</v>
      </c>
      <c r="D10">
        <v>0.22969999999999999</v>
      </c>
      <c r="E10">
        <v>0.26719999999999999</v>
      </c>
      <c r="F10">
        <v>26193054</v>
      </c>
      <c r="G10">
        <v>0.26719999999999999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0.16099071207430324</v>
      </c>
      <c r="Q10">
        <f t="shared" ref="Q10" si="26">F10*P10</f>
        <v>4216838.414860677</v>
      </c>
      <c r="R10">
        <f t="shared" ref="R10" si="27">R11+Q10</f>
        <v>-2371336467.3202438</v>
      </c>
      <c r="S10">
        <f t="shared" ref="S10" si="28">R10/100000</f>
        <v>-23713.364673202439</v>
      </c>
      <c r="T10">
        <f t="shared" ref="T10" si="29">S10/1000</f>
        <v>-23.713364673202438</v>
      </c>
    </row>
    <row r="11" spans="1:20" x14ac:dyDescent="0.25">
      <c r="A11" s="5">
        <v>44582</v>
      </c>
      <c r="B11">
        <v>0.33250000000000002</v>
      </c>
      <c r="C11">
        <v>0.33989999999999998</v>
      </c>
      <c r="D11">
        <v>0.28499999999999998</v>
      </c>
      <c r="E11">
        <v>0.28849999999999998</v>
      </c>
      <c r="F11">
        <v>17778093</v>
      </c>
      <c r="G11">
        <v>0.28849999999999998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-0.872495446265938</v>
      </c>
      <c r="Q11">
        <f t="shared" ref="Q11" si="31">F11*P11</f>
        <v>-15511305.185792349</v>
      </c>
      <c r="R11">
        <f t="shared" ref="R11" si="32">R12+Q11</f>
        <v>-2375553305.7351046</v>
      </c>
      <c r="S11">
        <f t="shared" ref="S11" si="33">R11/100000</f>
        <v>-23755.533057351047</v>
      </c>
      <c r="T11">
        <f t="shared" ref="T11" si="34">S11/1000</f>
        <v>-23.755533057351048</v>
      </c>
    </row>
    <row r="12" spans="1:20" x14ac:dyDescent="0.25">
      <c r="A12" s="5">
        <v>44581</v>
      </c>
      <c r="B12">
        <v>0.35520000000000002</v>
      </c>
      <c r="C12">
        <v>0.39800000000000002</v>
      </c>
      <c r="D12">
        <v>0.33100000000000002</v>
      </c>
      <c r="E12">
        <v>0.33310000000000001</v>
      </c>
      <c r="F12">
        <v>51207901</v>
      </c>
      <c r="G12">
        <v>0.33310000000000001</v>
      </c>
      <c r="L12" t="s">
        <v>8</v>
      </c>
      <c r="M12" t="s">
        <v>7</v>
      </c>
      <c r="N12" t="s">
        <v>7</v>
      </c>
      <c r="P12">
        <f t="shared" ref="P12" si="35">IF(C12=D12,0,((E12-D12)-(C12-E12))/(C12-D12))</f>
        <v>-0.93731343283582114</v>
      </c>
      <c r="Q12">
        <f t="shared" ref="Q12" si="36">F12*P12</f>
        <v>-47997853.474626876</v>
      </c>
      <c r="R12">
        <f t="shared" ref="R12" si="37">R13+Q12</f>
        <v>-2360042000.5493121</v>
      </c>
      <c r="S12">
        <f t="shared" ref="S12" si="38">R12/100000</f>
        <v>-23600.420005493121</v>
      </c>
      <c r="T12">
        <f t="shared" ref="T12" si="39">S12/1000</f>
        <v>-23.60042000549312</v>
      </c>
    </row>
    <row r="13" spans="1:20" x14ac:dyDescent="0.25">
      <c r="A13" s="5">
        <v>44580</v>
      </c>
      <c r="B13">
        <v>0.33560000000000001</v>
      </c>
      <c r="C13">
        <v>0.4153</v>
      </c>
      <c r="D13">
        <v>0.315</v>
      </c>
      <c r="E13">
        <v>0.35510000000000003</v>
      </c>
      <c r="F13">
        <v>85422321</v>
      </c>
      <c r="G13">
        <v>0.35510000000000003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-0.20039880358923182</v>
      </c>
      <c r="Q13">
        <f t="shared" ref="Q13" si="41">F13*P13</f>
        <v>-17118530.928215314</v>
      </c>
      <c r="R13">
        <f t="shared" ref="R13" si="42">R14+Q13</f>
        <v>-2312044147.0746851</v>
      </c>
      <c r="S13">
        <f t="shared" ref="S13" si="43">R13/100000</f>
        <v>-23120.44147074685</v>
      </c>
      <c r="T13">
        <f t="shared" ref="T13" si="44">S13/1000</f>
        <v>-23.120441470746851</v>
      </c>
    </row>
    <row r="14" spans="1:20" x14ac:dyDescent="0.25">
      <c r="A14" s="5">
        <v>44579</v>
      </c>
      <c r="B14">
        <v>0.34939999999999999</v>
      </c>
      <c r="C14">
        <v>0.35260000000000002</v>
      </c>
      <c r="D14">
        <v>0.32100000000000001</v>
      </c>
      <c r="E14">
        <v>0.33529999999999999</v>
      </c>
      <c r="F14">
        <v>9307381</v>
      </c>
      <c r="G14">
        <v>0.33529999999999999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-9.493670886076129E-2</v>
      </c>
      <c r="Q14">
        <f t="shared" ref="Q14" si="46">F14*P14</f>
        <v>-883612.12025318132</v>
      </c>
      <c r="R14">
        <f t="shared" ref="R14" si="47">R15+Q14</f>
        <v>-2294925616.1464696</v>
      </c>
      <c r="S14">
        <f t="shared" ref="S14" si="48">R14/100000</f>
        <v>-22949.256161464695</v>
      </c>
      <c r="T14">
        <f t="shared" ref="T14" si="49">S14/1000</f>
        <v>-22.949256161464696</v>
      </c>
    </row>
    <row r="15" spans="1:20" x14ac:dyDescent="0.25">
      <c r="A15" s="5">
        <v>44578</v>
      </c>
      <c r="B15">
        <v>0.38219999999999998</v>
      </c>
      <c r="C15">
        <v>0.38469999999999999</v>
      </c>
      <c r="D15">
        <v>0.34799999999999998</v>
      </c>
      <c r="E15">
        <v>0.35</v>
      </c>
      <c r="F15">
        <v>10356243</v>
      </c>
      <c r="G15">
        <v>0.35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-0.89100817438692093</v>
      </c>
      <c r="Q15">
        <f t="shared" ref="Q15" si="51">F15*P15</f>
        <v>-9227497.1689373292</v>
      </c>
      <c r="R15">
        <f t="shared" ref="R15" si="52">R16+Q15</f>
        <v>-2294042004.0262165</v>
      </c>
      <c r="S15">
        <f t="shared" ref="S15" si="53">R15/100000</f>
        <v>-22940.420040262165</v>
      </c>
      <c r="T15">
        <f t="shared" ref="T15" si="54">S15/1000</f>
        <v>-22.940420040262165</v>
      </c>
    </row>
    <row r="16" spans="1:20" x14ac:dyDescent="0.25">
      <c r="A16" s="5">
        <v>44577</v>
      </c>
      <c r="B16">
        <v>0.3841</v>
      </c>
      <c r="C16">
        <v>0.39560000000000001</v>
      </c>
      <c r="D16">
        <v>0.38</v>
      </c>
      <c r="E16">
        <v>0.38179999999999997</v>
      </c>
      <c r="F16">
        <v>6554865</v>
      </c>
      <c r="G16">
        <v>0.38179999999999997</v>
      </c>
      <c r="L16" t="s">
        <v>7</v>
      </c>
      <c r="M16" t="s">
        <v>7</v>
      </c>
      <c r="N16" t="s">
        <v>7</v>
      </c>
      <c r="P16">
        <f t="shared" ref="P16" si="55">IF(C16=D16,0,((E16-D16)-(C16-E16))/(C16-D16))</f>
        <v>-0.76923076923077338</v>
      </c>
      <c r="Q16">
        <f t="shared" ref="Q16" si="56">F16*P16</f>
        <v>-5042203.846153873</v>
      </c>
      <c r="R16">
        <f t="shared" ref="R16" si="57">R17+Q16</f>
        <v>-2284814506.8572793</v>
      </c>
      <c r="S16">
        <f t="shared" ref="S16" si="58">R16/100000</f>
        <v>-22848.145068572794</v>
      </c>
      <c r="T16">
        <f t="shared" ref="T16" si="59">S16/1000</f>
        <v>-22.848145068572794</v>
      </c>
    </row>
    <row r="17" spans="1:20" x14ac:dyDescent="0.25">
      <c r="A17" s="5">
        <v>44576</v>
      </c>
      <c r="B17">
        <v>0.3856</v>
      </c>
      <c r="C17">
        <v>0.40200000000000002</v>
      </c>
      <c r="D17">
        <v>0.37680000000000002</v>
      </c>
      <c r="E17">
        <v>0.3841</v>
      </c>
      <c r="F17">
        <v>9796152</v>
      </c>
      <c r="G17">
        <v>0.3841</v>
      </c>
      <c r="L17" t="s">
        <v>7</v>
      </c>
      <c r="M17" t="s">
        <v>7</v>
      </c>
      <c r="N17" t="s">
        <v>7</v>
      </c>
      <c r="P17">
        <f t="shared" ref="P17" si="60">IF(C17=D17,0,((E17-D17)-(C17-E17))/(C17-D17))</f>
        <v>-0.42063492063492275</v>
      </c>
      <c r="Q17">
        <f t="shared" ref="Q17" si="61">F17*P17</f>
        <v>-4120603.6190476399</v>
      </c>
      <c r="R17">
        <f t="shared" ref="R17" si="62">R18+Q17</f>
        <v>-2279772303.0111256</v>
      </c>
      <c r="S17">
        <f t="shared" ref="S17" si="63">R17/100000</f>
        <v>-22797.723030111254</v>
      </c>
      <c r="T17">
        <f t="shared" ref="T17" si="64">S17/1000</f>
        <v>-22.797723030111253</v>
      </c>
    </row>
    <row r="18" spans="1:20" x14ac:dyDescent="0.25">
      <c r="A18" s="5">
        <v>44575</v>
      </c>
      <c r="B18">
        <v>0.3831</v>
      </c>
      <c r="C18">
        <v>0.40160000000000001</v>
      </c>
      <c r="D18">
        <v>0.37269999999999998</v>
      </c>
      <c r="E18">
        <v>0.38529999999999998</v>
      </c>
      <c r="F18">
        <v>12119431</v>
      </c>
      <c r="G18">
        <v>0.38529999999999998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-0.12802768166090076</v>
      </c>
      <c r="Q18">
        <f t="shared" ref="Q18" si="66">F18*P18</f>
        <v>-1551622.6539792521</v>
      </c>
      <c r="R18">
        <f t="shared" ref="R18" si="67">R19+Q18</f>
        <v>-2275651699.3920779</v>
      </c>
      <c r="S18">
        <f t="shared" ref="S18" si="68">R18/100000</f>
        <v>-22756.516993920781</v>
      </c>
      <c r="T18">
        <f t="shared" ref="T18" si="69">S18/1000</f>
        <v>-22.75651699392078</v>
      </c>
    </row>
    <row r="19" spans="1:20" x14ac:dyDescent="0.25">
      <c r="A19" s="5">
        <v>44574</v>
      </c>
      <c r="B19">
        <v>0.41830000000000001</v>
      </c>
      <c r="C19">
        <v>0.41870000000000002</v>
      </c>
      <c r="D19">
        <v>0.38129999999999997</v>
      </c>
      <c r="E19">
        <v>0.38290000000000002</v>
      </c>
      <c r="F19">
        <v>12968818</v>
      </c>
      <c r="G19">
        <v>0.38290000000000002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-0.91443850267379445</v>
      </c>
      <c r="Q19">
        <f t="shared" ref="Q19" si="71">F19*P19</f>
        <v>-11859186.513368953</v>
      </c>
      <c r="R19">
        <f t="shared" ref="R19" si="72">R20+Q19</f>
        <v>-2274100076.7380986</v>
      </c>
      <c r="S19">
        <f t="shared" ref="S19" si="73">R19/100000</f>
        <v>-22741.000767380985</v>
      </c>
      <c r="T19">
        <f t="shared" ref="T19" si="74">S19/1000</f>
        <v>-22.741000767380985</v>
      </c>
    </row>
    <row r="20" spans="1:20" x14ac:dyDescent="0.25">
      <c r="A20" s="5">
        <v>44573</v>
      </c>
      <c r="B20">
        <v>0.3926</v>
      </c>
      <c r="C20">
        <v>0.42309999999999998</v>
      </c>
      <c r="D20">
        <v>0.39150000000000001</v>
      </c>
      <c r="E20">
        <v>0.41849999999999998</v>
      </c>
      <c r="F20">
        <v>12942006</v>
      </c>
      <c r="G20">
        <v>0.41849999999999998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0.708860759493671</v>
      </c>
      <c r="Q20">
        <f t="shared" ref="Q20" si="76">F20*P20</f>
        <v>9174080.2025316469</v>
      </c>
      <c r="R20">
        <f t="shared" ref="R20" si="77">R21+Q20</f>
        <v>-2262240890.2247295</v>
      </c>
      <c r="S20">
        <f t="shared" ref="S20" si="78">R20/100000</f>
        <v>-22622.408902247294</v>
      </c>
      <c r="T20">
        <f t="shared" ref="T20" si="79">S20/1000</f>
        <v>-22.622408902247294</v>
      </c>
    </row>
    <row r="21" spans="1:20" x14ac:dyDescent="0.25">
      <c r="A21" s="5">
        <v>44572</v>
      </c>
      <c r="B21">
        <v>0.39</v>
      </c>
      <c r="C21">
        <v>0.40010000000000001</v>
      </c>
      <c r="D21">
        <v>0.37040000000000001</v>
      </c>
      <c r="E21">
        <v>0.39269999999999999</v>
      </c>
      <c r="F21">
        <v>13014467</v>
      </c>
      <c r="G21">
        <v>0.39269999999999999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0.50168350168350051</v>
      </c>
      <c r="Q21">
        <f t="shared" ref="Q21" si="81">F21*P21</f>
        <v>6529143.3771043615</v>
      </c>
      <c r="R21">
        <f t="shared" ref="R21" si="82">R22+Q21</f>
        <v>-2271414970.4272614</v>
      </c>
      <c r="S21">
        <f t="shared" ref="S21" si="83">R21/100000</f>
        <v>-22714.149704272615</v>
      </c>
      <c r="T21">
        <f t="shared" ref="T21" si="84">S21/1000</f>
        <v>-22.714149704272614</v>
      </c>
    </row>
    <row r="22" spans="1:20" x14ac:dyDescent="0.25">
      <c r="A22" s="5">
        <v>44571</v>
      </c>
      <c r="B22">
        <v>0.41570000000000001</v>
      </c>
      <c r="C22">
        <v>0.42249999999999999</v>
      </c>
      <c r="D22">
        <v>0.36630000000000001</v>
      </c>
      <c r="E22">
        <v>0.38990000000000002</v>
      </c>
      <c r="F22">
        <v>17209356</v>
      </c>
      <c r="G22">
        <v>0.38990000000000002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-0.16014234875444763</v>
      </c>
      <c r="Q22">
        <f t="shared" ref="Q22" si="86">F22*P22</f>
        <v>-2755946.690391446</v>
      </c>
      <c r="R22">
        <f t="shared" ref="R22" si="87">R23+Q22</f>
        <v>-2277944113.8043656</v>
      </c>
      <c r="S22">
        <f t="shared" ref="S22" si="88">R22/100000</f>
        <v>-22779.441138043658</v>
      </c>
      <c r="T22">
        <f t="shared" ref="T22" si="89">S22/1000</f>
        <v>-22.779441138043659</v>
      </c>
    </row>
    <row r="23" spans="1:20" x14ac:dyDescent="0.25">
      <c r="A23" s="5">
        <v>44570</v>
      </c>
      <c r="B23">
        <v>0.39650000000000002</v>
      </c>
      <c r="C23">
        <v>0.46200000000000002</v>
      </c>
      <c r="D23">
        <v>0.3906</v>
      </c>
      <c r="E23">
        <v>0.41570000000000001</v>
      </c>
      <c r="F23">
        <v>39660411</v>
      </c>
      <c r="G23">
        <v>0.41570000000000001</v>
      </c>
      <c r="L23" t="s">
        <v>8</v>
      </c>
      <c r="M23" t="s">
        <v>8</v>
      </c>
      <c r="N23" t="s">
        <v>7</v>
      </c>
      <c r="P23">
        <f t="shared" ref="P23" si="90">IF(C23=D23,0,((E23-D23)-(C23-E23))/(C23-D23))</f>
        <v>-0.29691876750700269</v>
      </c>
      <c r="Q23">
        <f t="shared" ref="Q23" si="91">F23*P23</f>
        <v>-11775920.352941172</v>
      </c>
      <c r="R23">
        <f t="shared" ref="R23" si="92">R24+Q23</f>
        <v>-2275188167.1139741</v>
      </c>
      <c r="S23">
        <f t="shared" ref="S23" si="93">R23/100000</f>
        <v>-22751.881671139741</v>
      </c>
      <c r="T23">
        <f t="shared" ref="T23" si="94">S23/1000</f>
        <v>-22.751881671139742</v>
      </c>
    </row>
    <row r="24" spans="1:20" x14ac:dyDescent="0.25">
      <c r="A24" s="5">
        <v>44569</v>
      </c>
      <c r="B24">
        <v>0.40689999999999998</v>
      </c>
      <c r="C24">
        <v>0.44119999999999998</v>
      </c>
      <c r="D24">
        <v>0.38479999999999998</v>
      </c>
      <c r="E24">
        <v>0.39689999999999998</v>
      </c>
      <c r="F24">
        <v>22455463</v>
      </c>
      <c r="G24">
        <v>0.39689999999999998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-0.57092198581560294</v>
      </c>
      <c r="Q24">
        <f t="shared" ref="Q24" si="96">F24*P24</f>
        <v>-12820317.528368797</v>
      </c>
      <c r="R24">
        <f t="shared" ref="R24" si="97">R25+Q24</f>
        <v>-2263412246.7610331</v>
      </c>
      <c r="S24">
        <f t="shared" ref="S24" si="98">R24/100000</f>
        <v>-22634.12246761033</v>
      </c>
      <c r="T24">
        <f t="shared" ref="T24" si="99">S24/1000</f>
        <v>-22.634122467610329</v>
      </c>
    </row>
    <row r="25" spans="1:20" x14ac:dyDescent="0.25">
      <c r="A25" s="5">
        <v>44568</v>
      </c>
      <c r="B25">
        <v>0.44819999999999999</v>
      </c>
      <c r="C25">
        <v>0.44829999999999998</v>
      </c>
      <c r="D25">
        <v>0.40550000000000003</v>
      </c>
      <c r="E25">
        <v>0.40689999999999998</v>
      </c>
      <c r="F25">
        <v>21246858</v>
      </c>
      <c r="G25">
        <v>0.40689999999999998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-0.93457943925233844</v>
      </c>
      <c r="Q25">
        <f t="shared" ref="Q25" si="101">F25*P25</f>
        <v>-19856876.635514062</v>
      </c>
      <c r="R25">
        <f t="shared" ref="R25" si="102">R26+Q25</f>
        <v>-2250591929.2326641</v>
      </c>
      <c r="S25">
        <f t="shared" ref="S25" si="103">R25/100000</f>
        <v>-22505.919292326642</v>
      </c>
      <c r="T25">
        <f t="shared" ref="T25" si="104">S25/1000</f>
        <v>-22.505919292326642</v>
      </c>
    </row>
    <row r="26" spans="1:20" x14ac:dyDescent="0.25">
      <c r="A26" s="5">
        <v>44567</v>
      </c>
      <c r="B26">
        <v>0.43419999999999997</v>
      </c>
      <c r="C26">
        <v>0.45729999999999998</v>
      </c>
      <c r="D26">
        <v>0.4103</v>
      </c>
      <c r="E26">
        <v>0.44829999999999998</v>
      </c>
      <c r="F26">
        <v>35852453</v>
      </c>
      <c r="G26">
        <v>0.44829999999999998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0.61702127659574424</v>
      </c>
      <c r="Q26">
        <f t="shared" ref="Q26" si="106">F26*P26</f>
        <v>22121726.31914892</v>
      </c>
      <c r="R26">
        <f t="shared" ref="R26" si="107">R27+Q26</f>
        <v>-2230735052.5971498</v>
      </c>
      <c r="S26">
        <f t="shared" ref="S26" si="108">R26/100000</f>
        <v>-22307.350525971498</v>
      </c>
      <c r="T26">
        <f t="shared" ref="T26" si="109">S26/1000</f>
        <v>-22.307350525971497</v>
      </c>
    </row>
    <row r="27" spans="1:20" x14ac:dyDescent="0.25">
      <c r="A27" s="5">
        <v>44566</v>
      </c>
      <c r="B27">
        <v>0.47010000000000002</v>
      </c>
      <c r="C27">
        <v>0.5081</v>
      </c>
      <c r="D27">
        <v>0.41499999999999998</v>
      </c>
      <c r="E27">
        <v>0.43430000000000002</v>
      </c>
      <c r="F27">
        <v>41668955</v>
      </c>
      <c r="G27">
        <v>0.43430000000000002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-0.58539205155746432</v>
      </c>
      <c r="Q27">
        <f t="shared" ref="Q27" si="111">F27*P27</f>
        <v>-24392675.053705662</v>
      </c>
      <c r="R27">
        <f t="shared" ref="R27" si="112">R28+Q27</f>
        <v>-2252856778.9162989</v>
      </c>
      <c r="S27">
        <f t="shared" ref="S27" si="113">R27/100000</f>
        <v>-22528.567789162989</v>
      </c>
      <c r="T27">
        <f t="shared" ref="T27" si="114">S27/1000</f>
        <v>-22.528567789162988</v>
      </c>
    </row>
    <row r="28" spans="1:20" x14ac:dyDescent="0.25">
      <c r="A28" s="5">
        <v>44565</v>
      </c>
      <c r="B28">
        <v>0.48349999999999999</v>
      </c>
      <c r="C28">
        <v>0.49519999999999997</v>
      </c>
      <c r="D28">
        <v>0.46860000000000002</v>
      </c>
      <c r="E28">
        <v>0.47039999999999998</v>
      </c>
      <c r="F28">
        <v>22200452</v>
      </c>
      <c r="G28">
        <v>0.47039999999999998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-0.86466165413534046</v>
      </c>
      <c r="Q28">
        <f t="shared" ref="Q28" si="116">F28*P28</f>
        <v>-19195879.548872229</v>
      </c>
      <c r="R28">
        <f t="shared" ref="R28" si="117">R29+Q28</f>
        <v>-2228464103.8625932</v>
      </c>
      <c r="S28">
        <f t="shared" ref="S28" si="118">R28/100000</f>
        <v>-22284.64103862593</v>
      </c>
      <c r="T28">
        <f t="shared" ref="T28" si="119">S28/1000</f>
        <v>-22.284641038625931</v>
      </c>
    </row>
    <row r="29" spans="1:20" x14ac:dyDescent="0.25">
      <c r="A29" s="5">
        <v>44564</v>
      </c>
      <c r="B29">
        <v>0.47</v>
      </c>
      <c r="C29">
        <v>0.53339999999999999</v>
      </c>
      <c r="D29">
        <v>0.46229999999999999</v>
      </c>
      <c r="E29">
        <v>0.48349999999999999</v>
      </c>
      <c r="F29">
        <v>59310890</v>
      </c>
      <c r="G29">
        <v>0.48349999999999999</v>
      </c>
      <c r="L29" t="s">
        <v>8</v>
      </c>
      <c r="M29" t="s">
        <v>7</v>
      </c>
      <c r="N29" t="s">
        <v>8</v>
      </c>
      <c r="P29">
        <f t="shared" ref="P29" si="120">IF(C29=D29,0,((E29-D29)-(C29-E29))/(C29-D29))</f>
        <v>-0.40365682137834041</v>
      </c>
      <c r="Q29">
        <f t="shared" ref="Q29" si="121">F29*P29</f>
        <v>-23941245.330520395</v>
      </c>
      <c r="R29">
        <f t="shared" ref="R29" si="122">R30+Q29</f>
        <v>-2209268224.3137212</v>
      </c>
      <c r="S29">
        <f t="shared" ref="S29" si="123">R29/100000</f>
        <v>-22092.682243137213</v>
      </c>
      <c r="T29">
        <f t="shared" ref="T29" si="124">S29/1000</f>
        <v>-22.092682243137212</v>
      </c>
    </row>
    <row r="30" spans="1:20" x14ac:dyDescent="0.25">
      <c r="A30" s="5">
        <v>44563</v>
      </c>
      <c r="B30">
        <v>0.49709999999999999</v>
      </c>
      <c r="C30">
        <v>0.49880000000000002</v>
      </c>
      <c r="D30">
        <v>0.46450000000000002</v>
      </c>
      <c r="E30">
        <v>0.47</v>
      </c>
      <c r="F30">
        <v>17323287</v>
      </c>
      <c r="G30">
        <v>0.47</v>
      </c>
      <c r="L30" t="s">
        <v>7</v>
      </c>
      <c r="M30" t="s">
        <v>7</v>
      </c>
      <c r="N30" t="s">
        <v>8</v>
      </c>
      <c r="P30">
        <f t="shared" ref="P30" si="125">IF(C30=D30,0,((E30-D30)-(C30-E30))/(C30-D30))</f>
        <v>-0.67930029154519245</v>
      </c>
      <c r="Q30">
        <f t="shared" ref="Q30" si="126">F30*P30</f>
        <v>-11767713.909621043</v>
      </c>
      <c r="R30">
        <f t="shared" ref="R30" si="127">R31+Q30</f>
        <v>-2185326978.9832006</v>
      </c>
      <c r="S30">
        <f t="shared" ref="S30" si="128">R30/100000</f>
        <v>-21853.269789832004</v>
      </c>
      <c r="T30">
        <f t="shared" ref="T30" si="129">S30/1000</f>
        <v>-21.853269789832005</v>
      </c>
    </row>
    <row r="31" spans="1:20" x14ac:dyDescent="0.25">
      <c r="A31" s="5">
        <v>44562</v>
      </c>
      <c r="B31">
        <v>0.50290000000000001</v>
      </c>
      <c r="C31">
        <v>0.52259999999999995</v>
      </c>
      <c r="D31">
        <v>0.48299999999999998</v>
      </c>
      <c r="E31">
        <v>0.49709999999999999</v>
      </c>
      <c r="F31">
        <v>32823467</v>
      </c>
      <c r="G31">
        <v>0.49709999999999999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-0.28787878787878723</v>
      </c>
      <c r="Q31">
        <f t="shared" ref="Q31" si="131">F31*P31</f>
        <v>-9449179.8939393722</v>
      </c>
      <c r="R31">
        <f t="shared" ref="R31" si="132">R32+Q31</f>
        <v>-2173559265.0735793</v>
      </c>
      <c r="S31">
        <f t="shared" ref="S31" si="133">R31/100000</f>
        <v>-21735.592650735794</v>
      </c>
      <c r="T31">
        <f t="shared" ref="T31" si="134">S31/1000</f>
        <v>-21.735592650735793</v>
      </c>
    </row>
    <row r="32" spans="1:20" x14ac:dyDescent="0.25">
      <c r="A32" s="5">
        <v>44561</v>
      </c>
      <c r="B32">
        <v>0.52480000000000004</v>
      </c>
      <c r="C32">
        <v>0.57369999999999999</v>
      </c>
      <c r="D32">
        <v>0.47049999999999997</v>
      </c>
      <c r="E32">
        <v>0.503</v>
      </c>
      <c r="F32">
        <v>72346191</v>
      </c>
      <c r="G32">
        <v>0.503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-0.37015503875968947</v>
      </c>
      <c r="Q32">
        <f t="shared" ref="Q32" si="136">F32*P32</f>
        <v>-26779307.133720897</v>
      </c>
      <c r="R32">
        <f t="shared" ref="R32" si="137">R33+Q32</f>
        <v>-2164110085.1796398</v>
      </c>
      <c r="S32">
        <f t="shared" ref="S32" si="138">R32/100000</f>
        <v>-21641.100851796396</v>
      </c>
      <c r="T32">
        <f t="shared" ref="T32" si="139">S32/1000</f>
        <v>-21.641100851796395</v>
      </c>
    </row>
    <row r="33" spans="1:20" x14ac:dyDescent="0.25">
      <c r="A33" s="5">
        <v>44560</v>
      </c>
      <c r="B33">
        <v>0.45069999999999999</v>
      </c>
      <c r="C33">
        <v>0.61780000000000002</v>
      </c>
      <c r="D33">
        <v>0.43659999999999999</v>
      </c>
      <c r="E33">
        <v>0.52470000000000006</v>
      </c>
      <c r="F33">
        <v>213832403</v>
      </c>
      <c r="G33">
        <v>0.52470000000000006</v>
      </c>
      <c r="L33" t="s">
        <v>8</v>
      </c>
      <c r="M33" t="s">
        <v>8</v>
      </c>
      <c r="N33" t="s">
        <v>8</v>
      </c>
      <c r="P33">
        <f t="shared" ref="P33" si="140">IF(C33=D33,0,((E33-D33)-(C33-E33))/(C33-D33))</f>
        <v>-2.759381898454687E-2</v>
      </c>
      <c r="Q33">
        <f t="shared" ref="Q33" si="141">F33*P33</f>
        <v>-5900452.6214126768</v>
      </c>
      <c r="R33">
        <f t="shared" ref="R33" si="142">R34+Q33</f>
        <v>-2137330778.0459189</v>
      </c>
      <c r="S33">
        <f t="shared" ref="S33" si="143">R33/100000</f>
        <v>-21373.307780459189</v>
      </c>
      <c r="T33">
        <f t="shared" ref="T33" si="144">S33/1000</f>
        <v>-21.373307780459189</v>
      </c>
    </row>
    <row r="34" spans="1:20" x14ac:dyDescent="0.25">
      <c r="A34" s="5">
        <v>44559</v>
      </c>
      <c r="B34">
        <v>0.40739999999999998</v>
      </c>
      <c r="C34">
        <v>0.55500000000000005</v>
      </c>
      <c r="D34">
        <v>0.40539999999999998</v>
      </c>
      <c r="E34">
        <v>0.45069999999999999</v>
      </c>
      <c r="F34">
        <v>168480740</v>
      </c>
      <c r="G34">
        <v>0.45069999999999999</v>
      </c>
      <c r="L34" t="s">
        <v>8</v>
      </c>
      <c r="M34" t="s">
        <v>8</v>
      </c>
      <c r="N34" t="s">
        <v>7</v>
      </c>
      <c r="P34">
        <f t="shared" ref="P34" si="145">IF(C34=D34,0,((E34-D34)-(C34-E34))/(C34-D34))</f>
        <v>-0.3943850267379681</v>
      </c>
      <c r="Q34">
        <f t="shared" ref="Q34" si="146">F34*P34</f>
        <v>-66446281.149732649</v>
      </c>
      <c r="R34">
        <f t="shared" ref="R34" si="147">R35+Q34</f>
        <v>-2131430325.4245062</v>
      </c>
      <c r="S34">
        <f t="shared" ref="S34" si="148">R34/100000</f>
        <v>-21314.30325424506</v>
      </c>
      <c r="T34">
        <f t="shared" ref="T34" si="149">S34/1000</f>
        <v>-21.314303254245061</v>
      </c>
    </row>
    <row r="35" spans="1:20" x14ac:dyDescent="0.25">
      <c r="A35" s="5">
        <v>44558</v>
      </c>
      <c r="B35">
        <v>0.4163</v>
      </c>
      <c r="C35">
        <v>0.50970000000000004</v>
      </c>
      <c r="D35">
        <v>0.39489999999999997</v>
      </c>
      <c r="E35">
        <v>0.40710000000000002</v>
      </c>
      <c r="F35">
        <v>94456053</v>
      </c>
      <c r="G35">
        <v>0.40710000000000002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-0.78745644599303066</v>
      </c>
      <c r="Q35">
        <f t="shared" ref="Q35" si="151">F35*P35</f>
        <v>-74380027.797909349</v>
      </c>
      <c r="R35">
        <f t="shared" ref="R35" si="152">R36+Q35</f>
        <v>-2064984044.2747736</v>
      </c>
      <c r="S35">
        <f t="shared" ref="S35" si="153">R35/100000</f>
        <v>-20649.840442747736</v>
      </c>
      <c r="T35">
        <f t="shared" ref="T35" si="154">S35/1000</f>
        <v>-20.649840442747735</v>
      </c>
    </row>
    <row r="36" spans="1:20" x14ac:dyDescent="0.25">
      <c r="A36" s="5">
        <v>44557</v>
      </c>
      <c r="B36">
        <v>0.43059999999999998</v>
      </c>
      <c r="C36">
        <v>0.437</v>
      </c>
      <c r="D36">
        <v>0.4138</v>
      </c>
      <c r="E36">
        <v>0.41670000000000001</v>
      </c>
      <c r="F36">
        <v>20798137</v>
      </c>
      <c r="G36">
        <v>0.41670000000000001</v>
      </c>
      <c r="L36" t="s">
        <v>7</v>
      </c>
      <c r="M36" t="s">
        <v>7</v>
      </c>
      <c r="N36" t="s">
        <v>7</v>
      </c>
      <c r="P36">
        <f t="shared" ref="P36" si="155">IF(C36=D36,0,((E36-D36)-(C36-E36))/(C36-D36))</f>
        <v>-0.74999999999999878</v>
      </c>
      <c r="Q36">
        <f t="shared" ref="Q36" si="156">F36*P36</f>
        <v>-15598602.749999974</v>
      </c>
      <c r="R36">
        <f t="shared" ref="R36" si="157">R37+Q36</f>
        <v>-1990604016.4768643</v>
      </c>
      <c r="S36">
        <f t="shared" ref="S36" si="158">R36/100000</f>
        <v>-19906.040164768645</v>
      </c>
      <c r="T36">
        <f t="shared" ref="T36" si="159">S36/1000</f>
        <v>-19.906040164768644</v>
      </c>
    </row>
    <row r="37" spans="1:20" x14ac:dyDescent="0.25">
      <c r="A37" s="5">
        <v>44556</v>
      </c>
      <c r="B37">
        <v>0.43519999999999998</v>
      </c>
      <c r="C37">
        <v>0.44790000000000002</v>
      </c>
      <c r="D37">
        <v>0.41460000000000002</v>
      </c>
      <c r="E37">
        <v>0.43059999999999998</v>
      </c>
      <c r="F37">
        <v>32280946</v>
      </c>
      <c r="G37">
        <v>0.43059999999999998</v>
      </c>
      <c r="L37" t="s">
        <v>7</v>
      </c>
      <c r="M37" t="s">
        <v>7</v>
      </c>
      <c r="N37" t="s">
        <v>7</v>
      </c>
      <c r="P37">
        <f t="shared" ref="P37" si="160">IF(C37=D37,0,((E37-D37)-(C37-E37))/(C37-D37))</f>
        <v>-3.9039039039041414E-2</v>
      </c>
      <c r="Q37">
        <f t="shared" ref="Q37" si="161">F37*P37</f>
        <v>-1260217.1111111878</v>
      </c>
      <c r="R37">
        <f t="shared" ref="R37" si="162">R38+Q37</f>
        <v>-1975005413.7268643</v>
      </c>
      <c r="S37">
        <f t="shared" ref="S37" si="163">R37/100000</f>
        <v>-19750.054137268642</v>
      </c>
      <c r="T37">
        <f t="shared" ref="T37" si="164">S37/1000</f>
        <v>-19.750054137268641</v>
      </c>
    </row>
    <row r="38" spans="1:20" x14ac:dyDescent="0.25">
      <c r="A38" s="5">
        <v>44555</v>
      </c>
      <c r="B38">
        <v>0.45669999999999999</v>
      </c>
      <c r="C38">
        <v>0.48209999999999997</v>
      </c>
      <c r="D38">
        <v>0.43</v>
      </c>
      <c r="E38">
        <v>0.43519999999999998</v>
      </c>
      <c r="F38">
        <v>54139975</v>
      </c>
      <c r="G38">
        <v>0.43519999999999998</v>
      </c>
      <c r="L38" t="s">
        <v>7</v>
      </c>
      <c r="M38" t="s">
        <v>7</v>
      </c>
      <c r="N38" t="s">
        <v>8</v>
      </c>
      <c r="P38">
        <f t="shared" ref="P38" si="165">IF(C38=D38,0,((E38-D38)-(C38-E38))/(C38-D38))</f>
        <v>-0.80038387715930959</v>
      </c>
      <c r="Q38">
        <f t="shared" ref="Q38" si="166">F38*P38</f>
        <v>-43332763.099808089</v>
      </c>
      <c r="R38">
        <f t="shared" ref="R38" si="167">R39+Q38</f>
        <v>-1973745196.6157532</v>
      </c>
      <c r="S38">
        <f t="shared" ref="S38" si="168">R38/100000</f>
        <v>-19737.451966157532</v>
      </c>
      <c r="T38">
        <f t="shared" ref="T38" si="169">S38/1000</f>
        <v>-19.737451966157533</v>
      </c>
    </row>
    <row r="39" spans="1:20" x14ac:dyDescent="0.25">
      <c r="A39" s="5">
        <v>44554</v>
      </c>
      <c r="B39">
        <v>0.42499999999999999</v>
      </c>
      <c r="C39">
        <v>0.56499999999999995</v>
      </c>
      <c r="D39">
        <v>0.4</v>
      </c>
      <c r="E39">
        <v>0.45639999999999997</v>
      </c>
      <c r="F39">
        <v>187586886</v>
      </c>
      <c r="G39">
        <v>0.45639999999999997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-0.31636363636363668</v>
      </c>
      <c r="Q39">
        <f t="shared" ref="Q39" si="171">F39*P39</f>
        <v>-59345669.38909097</v>
      </c>
      <c r="R39">
        <f t="shared" ref="R39" si="172">R40+Q39</f>
        <v>-1930412433.5159452</v>
      </c>
      <c r="S39">
        <f t="shared" ref="S39" si="173">R39/100000</f>
        <v>-19304.124335159453</v>
      </c>
      <c r="T39">
        <f t="shared" ref="T39" si="174">S39/1000</f>
        <v>-19.304124335159454</v>
      </c>
    </row>
    <row r="40" spans="1:20" x14ac:dyDescent="0.25">
      <c r="A40" s="5">
        <v>44553</v>
      </c>
      <c r="B40">
        <v>0.40239999999999998</v>
      </c>
      <c r="C40">
        <v>0.43469999999999998</v>
      </c>
      <c r="D40">
        <v>0.37569999999999998</v>
      </c>
      <c r="E40">
        <v>0.42499999999999999</v>
      </c>
      <c r="F40">
        <v>44199305</v>
      </c>
      <c r="G40">
        <v>0.42499999999999999</v>
      </c>
      <c r="L40" t="s">
        <v>7</v>
      </c>
      <c r="M40" t="s">
        <v>7</v>
      </c>
      <c r="N40" t="s">
        <v>7</v>
      </c>
      <c r="P40">
        <f t="shared" ref="P40" si="175">IF(C40=D40,0,((E40-D40)-(C40-E40))/(C40-D40))</f>
        <v>0.67118644067796651</v>
      </c>
      <c r="Q40">
        <f t="shared" ref="Q40" si="176">F40*P40</f>
        <v>29665974.20338985</v>
      </c>
      <c r="R40">
        <f t="shared" ref="R40" si="177">R41+Q40</f>
        <v>-1871066764.1268542</v>
      </c>
      <c r="S40">
        <f t="shared" ref="S40" si="178">R40/100000</f>
        <v>-18710.667641268541</v>
      </c>
      <c r="T40">
        <f t="shared" ref="T40" si="179">S40/1000</f>
        <v>-18.71066764126854</v>
      </c>
    </row>
    <row r="41" spans="1:20" x14ac:dyDescent="0.25">
      <c r="A41" s="5">
        <v>44552</v>
      </c>
      <c r="B41">
        <v>0.41980000000000001</v>
      </c>
      <c r="C41">
        <v>0.4254</v>
      </c>
      <c r="D41">
        <v>0.39500000000000002</v>
      </c>
      <c r="E41">
        <v>0.40250000000000002</v>
      </c>
      <c r="F41">
        <v>33679553</v>
      </c>
      <c r="G41">
        <v>0.40250000000000002</v>
      </c>
      <c r="L41" t="s">
        <v>7</v>
      </c>
      <c r="M41" t="s">
        <v>7</v>
      </c>
      <c r="N41" t="s">
        <v>7</v>
      </c>
      <c r="P41">
        <f t="shared" ref="P41" si="180">IF(C41=D41,0,((E41-D41)-(C41-E41))/(C41-D41))</f>
        <v>-0.50657894736842035</v>
      </c>
      <c r="Q41">
        <f t="shared" ref="Q41" si="181">F41*P41</f>
        <v>-17061352.506578922</v>
      </c>
      <c r="R41">
        <f t="shared" ref="R41" si="182">R42+Q41</f>
        <v>-1900732738.3302441</v>
      </c>
      <c r="S41">
        <f t="shared" ref="S41" si="183">R41/100000</f>
        <v>-19007.32738330244</v>
      </c>
      <c r="T41">
        <f t="shared" ref="T41" si="184">S41/1000</f>
        <v>-19.007327383302439</v>
      </c>
    </row>
    <row r="42" spans="1:20" x14ac:dyDescent="0.25">
      <c r="A42" s="5">
        <v>44551</v>
      </c>
      <c r="B42">
        <v>0.42349999999999999</v>
      </c>
      <c r="C42">
        <v>0.45350000000000001</v>
      </c>
      <c r="D42">
        <v>0.41149999999999998</v>
      </c>
      <c r="E42">
        <v>0.42009999999999997</v>
      </c>
      <c r="F42">
        <v>38750237</v>
      </c>
      <c r="G42">
        <v>0.42009999999999997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-0.59047619047619104</v>
      </c>
      <c r="Q42">
        <f t="shared" ref="Q42" si="186">F42*P42</f>
        <v>-22881092.323809545</v>
      </c>
      <c r="R42">
        <f t="shared" ref="R42" si="187">R43+Q42</f>
        <v>-1883671385.8236651</v>
      </c>
      <c r="S42">
        <f t="shared" ref="S42" si="188">R42/100000</f>
        <v>-18836.71385823665</v>
      </c>
      <c r="T42">
        <f t="shared" ref="T42" si="189">S42/1000</f>
        <v>-18.836713858236649</v>
      </c>
    </row>
    <row r="43" spans="1:20" x14ac:dyDescent="0.25">
      <c r="A43" s="5">
        <v>44550</v>
      </c>
      <c r="B43">
        <v>0.42549999999999999</v>
      </c>
      <c r="C43">
        <v>0.45469999999999999</v>
      </c>
      <c r="D43">
        <v>0.40899999999999997</v>
      </c>
      <c r="E43">
        <v>0.42320000000000002</v>
      </c>
      <c r="F43">
        <v>69253042</v>
      </c>
      <c r="G43">
        <v>0.42320000000000002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-0.37855579868708794</v>
      </c>
      <c r="Q43">
        <f t="shared" ref="Q43" si="191">F43*P43</f>
        <v>-26216140.625820447</v>
      </c>
      <c r="R43">
        <f t="shared" ref="R43" si="192">R44+Q43</f>
        <v>-1860790293.4998555</v>
      </c>
      <c r="S43">
        <f t="shared" ref="S43" si="193">R43/100000</f>
        <v>-18607.902934998554</v>
      </c>
      <c r="T43">
        <f t="shared" ref="T43" si="194">S43/1000</f>
        <v>-18.607902934998553</v>
      </c>
    </row>
    <row r="44" spans="1:20" x14ac:dyDescent="0.25">
      <c r="A44" s="5">
        <v>44549</v>
      </c>
      <c r="B44">
        <v>0.4839</v>
      </c>
      <c r="C44">
        <v>0.53249999999999997</v>
      </c>
      <c r="D44">
        <v>0.42420000000000002</v>
      </c>
      <c r="E44">
        <v>0.4254</v>
      </c>
      <c r="F44">
        <v>74731161</v>
      </c>
      <c r="G44">
        <v>0.4254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-0.97783933518005584</v>
      </c>
      <c r="Q44">
        <f t="shared" ref="Q44" si="196">F44*P44</f>
        <v>-73075068.789473712</v>
      </c>
      <c r="R44">
        <f t="shared" ref="R44" si="197">R45+Q44</f>
        <v>-1834574152.8740351</v>
      </c>
      <c r="S44">
        <f t="shared" ref="S44" si="198">R44/100000</f>
        <v>-18345.741528740353</v>
      </c>
      <c r="T44">
        <f t="shared" ref="T44" si="199">S44/1000</f>
        <v>-18.345741528740351</v>
      </c>
    </row>
    <row r="45" spans="1:20" x14ac:dyDescent="0.25">
      <c r="A45" s="5">
        <v>44548</v>
      </c>
      <c r="B45">
        <v>0.56389999999999996</v>
      </c>
      <c r="C45">
        <v>0.56410000000000005</v>
      </c>
      <c r="D45">
        <v>0.4718</v>
      </c>
      <c r="E45">
        <v>0.48320000000000002</v>
      </c>
      <c r="F45">
        <v>177456468</v>
      </c>
      <c r="G45">
        <v>0.48320000000000002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-0.75297941495124565</v>
      </c>
      <c r="Q45">
        <f t="shared" ref="Q45" si="201">F45*P45</f>
        <v>-133621067.45395444</v>
      </c>
      <c r="R45">
        <f t="shared" ref="R45" si="202">R46+Q45</f>
        <v>-1761499084.0845613</v>
      </c>
      <c r="S45">
        <f t="shared" ref="S45" si="203">R45/100000</f>
        <v>-17614.990840845614</v>
      </c>
      <c r="T45">
        <f t="shared" ref="T45" si="204">S45/1000</f>
        <v>-17.614990840845614</v>
      </c>
    </row>
    <row r="46" spans="1:20" x14ac:dyDescent="0.25">
      <c r="A46" s="5">
        <v>44547</v>
      </c>
      <c r="B46">
        <v>0.42349999999999999</v>
      </c>
      <c r="C46">
        <v>0.81879999999999997</v>
      </c>
      <c r="D46">
        <v>0.42230000000000001</v>
      </c>
      <c r="E46">
        <v>0.56399999999999995</v>
      </c>
      <c r="F46">
        <v>712450326</v>
      </c>
      <c r="G46">
        <v>0.56399999999999995</v>
      </c>
      <c r="L46" t="s">
        <v>8</v>
      </c>
      <c r="M46" t="s">
        <v>8</v>
      </c>
      <c r="N46" t="s">
        <v>8</v>
      </c>
      <c r="P46">
        <f t="shared" ref="P46" si="205">IF(C46=D46,0,((E46-D46)-(C46-E46))/(C46-D46))</f>
        <v>-0.28524590163934449</v>
      </c>
      <c r="Q46">
        <f t="shared" ref="Q46" si="206">F46*P46</f>
        <v>-203223535.61311492</v>
      </c>
      <c r="R46">
        <f t="shared" ref="R46" si="207">R47+Q46</f>
        <v>-1627878016.6306069</v>
      </c>
      <c r="S46">
        <f t="shared" ref="S46" si="208">R46/100000</f>
        <v>-16278.780166306069</v>
      </c>
      <c r="T46">
        <f t="shared" ref="T46" si="209">S46/1000</f>
        <v>-16.27878016630607</v>
      </c>
    </row>
    <row r="47" spans="1:20" x14ac:dyDescent="0.25">
      <c r="A47" s="5">
        <v>44546</v>
      </c>
      <c r="B47">
        <v>0.29530000000000001</v>
      </c>
      <c r="C47">
        <v>0.48459999999999998</v>
      </c>
      <c r="D47">
        <v>0.28599999999999998</v>
      </c>
      <c r="E47">
        <v>0.42349999999999999</v>
      </c>
      <c r="F47">
        <v>242248658</v>
      </c>
      <c r="G47">
        <v>0.42349999999999999</v>
      </c>
      <c r="L47" t="s">
        <v>8</v>
      </c>
      <c r="M47" t="s">
        <v>8</v>
      </c>
      <c r="N47" t="s">
        <v>8</v>
      </c>
      <c r="P47">
        <f t="shared" ref="P47" si="210">IF(C47=D47,0,((E47-D47)-(C47-E47))/(C47-D47))</f>
        <v>0.38469284994964764</v>
      </c>
      <c r="Q47">
        <f t="shared" ref="Q47" si="211">F47*P47</f>
        <v>93191326.64249751</v>
      </c>
      <c r="R47">
        <f t="shared" ref="R47" si="212">R48+Q47</f>
        <v>-1424654481.0174921</v>
      </c>
      <c r="S47">
        <f t="shared" ref="S47" si="213">R47/100000</f>
        <v>-14246.544810174921</v>
      </c>
      <c r="T47">
        <f t="shared" ref="T47" si="214">S47/1000</f>
        <v>-14.246544810174921</v>
      </c>
    </row>
    <row r="48" spans="1:20" x14ac:dyDescent="0.25">
      <c r="A48" s="5">
        <v>44545</v>
      </c>
      <c r="B48">
        <v>0.30990000000000001</v>
      </c>
      <c r="C48">
        <v>0.31</v>
      </c>
      <c r="D48">
        <v>0.26860000000000001</v>
      </c>
      <c r="E48">
        <v>0.29570000000000002</v>
      </c>
      <c r="F48">
        <v>35764893</v>
      </c>
      <c r="G48">
        <v>0.29570000000000002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0.30917874396135353</v>
      </c>
      <c r="Q48">
        <f t="shared" ref="Q48" si="216">F48*P48</f>
        <v>11057744.695652205</v>
      </c>
      <c r="R48">
        <f t="shared" ref="R48" si="217">R49+Q48</f>
        <v>-1517845807.6599896</v>
      </c>
      <c r="S48">
        <f t="shared" ref="S48" si="218">R48/100000</f>
        <v>-15178.458076599896</v>
      </c>
      <c r="T48">
        <f t="shared" ref="T48" si="219">S48/1000</f>
        <v>-15.178458076599897</v>
      </c>
    </row>
    <row r="49" spans="1:20" x14ac:dyDescent="0.25">
      <c r="A49" s="5">
        <v>44544</v>
      </c>
      <c r="B49">
        <v>0.29870000000000002</v>
      </c>
      <c r="C49">
        <v>0.3745</v>
      </c>
      <c r="D49">
        <v>0.28989999999999999</v>
      </c>
      <c r="E49">
        <v>0.30990000000000001</v>
      </c>
      <c r="F49">
        <v>78609124</v>
      </c>
      <c r="G49">
        <v>0.30990000000000001</v>
      </c>
      <c r="L49" t="s">
        <v>8</v>
      </c>
      <c r="M49" t="s">
        <v>8</v>
      </c>
      <c r="N49" t="s">
        <v>7</v>
      </c>
      <c r="P49">
        <f t="shared" ref="P49" si="220">IF(C49=D49,0,((E49-D49)-(C49-E49))/(C49-D49))</f>
        <v>-0.52718676122931407</v>
      </c>
      <c r="Q49">
        <f t="shared" ref="Q49" si="221">F49*P49</f>
        <v>-41441689.484633543</v>
      </c>
      <c r="R49">
        <f t="shared" ref="R49" si="222">R50+Q49</f>
        <v>-1528903552.3556418</v>
      </c>
      <c r="S49">
        <f t="shared" ref="S49" si="223">R49/100000</f>
        <v>-15289.035523556418</v>
      </c>
      <c r="T49">
        <f t="shared" ref="T49" si="224">S49/1000</f>
        <v>-15.289035523556418</v>
      </c>
    </row>
    <row r="50" spans="1:20" x14ac:dyDescent="0.25">
      <c r="A50" s="5">
        <v>44543</v>
      </c>
      <c r="B50">
        <v>0.34949999999999998</v>
      </c>
      <c r="C50">
        <v>0.34949999999999998</v>
      </c>
      <c r="D50">
        <v>0.28539999999999999</v>
      </c>
      <c r="E50">
        <v>0.29870000000000002</v>
      </c>
      <c r="F50">
        <v>35764876</v>
      </c>
      <c r="G50">
        <v>0.29870000000000002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-0.58502340093603633</v>
      </c>
      <c r="Q50">
        <f t="shared" ref="Q50" si="226">F50*P50</f>
        <v>-20923289.391575623</v>
      </c>
      <c r="R50">
        <f t="shared" ref="R50" si="227">R51+Q50</f>
        <v>-1487461862.8710084</v>
      </c>
      <c r="S50">
        <f t="shared" ref="S50" si="228">R50/100000</f>
        <v>-14874.618628710085</v>
      </c>
      <c r="T50">
        <f t="shared" ref="T50" si="229">S50/1000</f>
        <v>-14.874618628710085</v>
      </c>
    </row>
    <row r="51" spans="1:20" x14ac:dyDescent="0.25">
      <c r="A51" s="5">
        <v>44542</v>
      </c>
      <c r="B51">
        <v>0.36499999999999999</v>
      </c>
      <c r="C51">
        <v>0.37</v>
      </c>
      <c r="D51">
        <v>0.3342</v>
      </c>
      <c r="E51">
        <v>0.34960000000000002</v>
      </c>
      <c r="F51">
        <v>32075112</v>
      </c>
      <c r="G51">
        <v>0.34960000000000002</v>
      </c>
      <c r="L51" t="s">
        <v>7</v>
      </c>
      <c r="M51" t="s">
        <v>7</v>
      </c>
      <c r="N51" t="s">
        <v>7</v>
      </c>
      <c r="P51">
        <f t="shared" ref="P51" si="230">IF(C51=D51,0,((E51-D51)-(C51-E51))/(C51-D51))</f>
        <v>-0.13966480446927232</v>
      </c>
      <c r="Q51">
        <f t="shared" ref="Q51" si="231">F51*P51</f>
        <v>-4479764.2458100105</v>
      </c>
      <c r="R51">
        <f t="shared" ref="R51" si="232">R52+Q51</f>
        <v>-1466538573.4794328</v>
      </c>
      <c r="S51">
        <f t="shared" ref="S51" si="233">R51/100000</f>
        <v>-14665.385734794329</v>
      </c>
      <c r="T51">
        <f t="shared" ref="T51" si="234">S51/1000</f>
        <v>-14.665385734794329</v>
      </c>
    </row>
    <row r="52" spans="1:20" x14ac:dyDescent="0.25">
      <c r="A52" s="5">
        <v>44541</v>
      </c>
      <c r="B52">
        <v>0.37130000000000002</v>
      </c>
      <c r="C52">
        <v>0.37669999999999998</v>
      </c>
      <c r="D52">
        <v>0.36199999999999999</v>
      </c>
      <c r="E52">
        <v>0.37469999999999998</v>
      </c>
      <c r="F52">
        <v>1416152</v>
      </c>
      <c r="G52">
        <v>0.37469999999999998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0.72789115646258462</v>
      </c>
      <c r="Q52">
        <f t="shared" ref="Q52" si="236">F52*P52</f>
        <v>1030804.5170068021</v>
      </c>
      <c r="R52">
        <f t="shared" ref="R52" si="237">R53+Q52</f>
        <v>-1462058809.2336228</v>
      </c>
      <c r="S52">
        <f t="shared" ref="S52" si="238">R52/100000</f>
        <v>-14620.588092336227</v>
      </c>
      <c r="T52">
        <f t="shared" ref="T52" si="239">S52/1000</f>
        <v>-14.620588092336227</v>
      </c>
    </row>
    <row r="53" spans="1:20" x14ac:dyDescent="0.25">
      <c r="A53" s="5">
        <v>44540</v>
      </c>
      <c r="B53">
        <v>0.36880000000000002</v>
      </c>
      <c r="C53">
        <v>0.45200000000000001</v>
      </c>
      <c r="D53">
        <v>0.3679</v>
      </c>
      <c r="E53">
        <v>0.37119999999999997</v>
      </c>
      <c r="F53">
        <v>109419596</v>
      </c>
      <c r="G53">
        <v>0.37119999999999997</v>
      </c>
      <c r="L53" t="s">
        <v>8</v>
      </c>
      <c r="M53" t="s">
        <v>8</v>
      </c>
      <c r="N53" t="s">
        <v>7</v>
      </c>
      <c r="P53">
        <f t="shared" ref="P53" si="240">IF(C53=D53,0,((E53-D53)-(C53-E53))/(C53-D53))</f>
        <v>-0.92152199762187947</v>
      </c>
      <c r="Q53">
        <f t="shared" ref="Q53" si="241">F53*P53</f>
        <v>-100832564.68489902</v>
      </c>
      <c r="R53">
        <f t="shared" ref="R53" si="242">R54+Q53</f>
        <v>-1463089613.7506297</v>
      </c>
      <c r="S53">
        <f t="shared" ref="S53" si="243">R53/100000</f>
        <v>-14630.896137506297</v>
      </c>
      <c r="T53">
        <f t="shared" ref="T53" si="244">S53/1000</f>
        <v>-14.630896137506298</v>
      </c>
    </row>
    <row r="54" spans="1:20" x14ac:dyDescent="0.25">
      <c r="A54" s="5">
        <v>44539</v>
      </c>
      <c r="B54">
        <v>0.41260000000000002</v>
      </c>
      <c r="C54">
        <v>0.4158</v>
      </c>
      <c r="D54">
        <v>0.35680000000000001</v>
      </c>
      <c r="E54">
        <v>0.36909999999999998</v>
      </c>
      <c r="F54">
        <v>37927058</v>
      </c>
      <c r="G54">
        <v>0.36909999999999998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-0.58305084745762781</v>
      </c>
      <c r="Q54">
        <f t="shared" ref="Q54" si="246">F54*P54</f>
        <v>-22113403.308474604</v>
      </c>
      <c r="R54">
        <f t="shared" ref="R54" si="247">R55+Q54</f>
        <v>-1362257049.0657306</v>
      </c>
      <c r="S54">
        <f t="shared" ref="S54" si="248">R54/100000</f>
        <v>-13622.570490657306</v>
      </c>
      <c r="T54">
        <f t="shared" ref="T54" si="249">S54/1000</f>
        <v>-13.622570490657306</v>
      </c>
    </row>
    <row r="55" spans="1:20" x14ac:dyDescent="0.25">
      <c r="A55" s="5">
        <v>44538</v>
      </c>
      <c r="B55">
        <v>0.41970000000000002</v>
      </c>
      <c r="C55">
        <v>0.49280000000000002</v>
      </c>
      <c r="D55">
        <v>0.38790000000000002</v>
      </c>
      <c r="E55">
        <v>0.4118</v>
      </c>
      <c r="F55">
        <v>61127652</v>
      </c>
      <c r="G55">
        <v>0.4118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-0.54432793136320345</v>
      </c>
      <c r="Q55">
        <f t="shared" ref="Q55" si="251">F55*P55</f>
        <v>-33273488.362249788</v>
      </c>
      <c r="R55">
        <f t="shared" ref="R55" si="252">R56+Q55</f>
        <v>-1340143645.757256</v>
      </c>
      <c r="S55">
        <f t="shared" ref="S55" si="253">R55/100000</f>
        <v>-13401.436457572559</v>
      </c>
      <c r="T55">
        <f t="shared" ref="T55" si="254">S55/1000</f>
        <v>-13.40143645757256</v>
      </c>
    </row>
    <row r="56" spans="1:20" x14ac:dyDescent="0.25">
      <c r="A56" s="5">
        <v>44537</v>
      </c>
      <c r="B56">
        <v>0.46679999999999999</v>
      </c>
      <c r="C56">
        <v>0.50749999999999995</v>
      </c>
      <c r="D56">
        <v>0.4123</v>
      </c>
      <c r="E56">
        <v>0.41970000000000002</v>
      </c>
      <c r="F56">
        <v>47595620</v>
      </c>
      <c r="G56">
        <v>0.41970000000000002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-0.84453781512604997</v>
      </c>
      <c r="Q56">
        <f t="shared" ref="Q56" si="256">F56*P56</f>
        <v>-40196300.92436973</v>
      </c>
      <c r="R56">
        <f t="shared" ref="R56" si="257">R57+Q56</f>
        <v>-1306870157.3950062</v>
      </c>
      <c r="S56">
        <f t="shared" ref="S56" si="258">R56/100000</f>
        <v>-13068.701573950062</v>
      </c>
      <c r="T56">
        <f t="shared" ref="T56" si="259">S56/1000</f>
        <v>-13.068701573950062</v>
      </c>
    </row>
    <row r="57" spans="1:20" x14ac:dyDescent="0.25">
      <c r="A57" s="5">
        <v>44536</v>
      </c>
      <c r="B57">
        <v>0.47220000000000001</v>
      </c>
      <c r="C57">
        <v>0.57589999999999997</v>
      </c>
      <c r="D57">
        <v>0.39989999999999998</v>
      </c>
      <c r="E57">
        <v>0.46710000000000002</v>
      </c>
      <c r="F57">
        <v>158727784</v>
      </c>
      <c r="G57">
        <v>0.46710000000000002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-0.23636363636363589</v>
      </c>
      <c r="Q57">
        <f t="shared" ref="Q57" si="261">F57*P57</f>
        <v>-37517476.218181744</v>
      </c>
      <c r="R57">
        <f t="shared" ref="R57" si="262">R58+Q57</f>
        <v>-1266673856.4706364</v>
      </c>
      <c r="S57">
        <f t="shared" ref="S57" si="263">R57/100000</f>
        <v>-12666.738564706364</v>
      </c>
      <c r="T57">
        <f t="shared" ref="T57" si="264">S57/1000</f>
        <v>-12.666738564706364</v>
      </c>
    </row>
    <row r="58" spans="1:20" x14ac:dyDescent="0.25">
      <c r="A58" s="5">
        <v>44535</v>
      </c>
      <c r="B58">
        <v>0.53420000000000001</v>
      </c>
      <c r="C58">
        <v>0.61880000000000002</v>
      </c>
      <c r="D58">
        <v>0.43259999999999998</v>
      </c>
      <c r="E58">
        <v>0.47120000000000001</v>
      </c>
      <c r="F58">
        <v>126910957</v>
      </c>
      <c r="G58">
        <v>0.47120000000000001</v>
      </c>
      <c r="L58" t="s">
        <v>7</v>
      </c>
      <c r="M58" t="s">
        <v>7</v>
      </c>
      <c r="N58" t="s">
        <v>7</v>
      </c>
      <c r="P58">
        <f t="shared" ref="P58" si="265">IF(C58=D58,0,((E58-D58)-(C58-E58))/(C58-D58))</f>
        <v>-0.58539205155746488</v>
      </c>
      <c r="Q58">
        <f t="shared" ref="Q58" si="266">F58*P58</f>
        <v>-74292665.483351201</v>
      </c>
      <c r="R58">
        <f t="shared" ref="R58" si="267">R59+Q58</f>
        <v>-1229156380.2524545</v>
      </c>
      <c r="S58">
        <f t="shared" ref="S58" si="268">R58/100000</f>
        <v>-12291.563802524544</v>
      </c>
      <c r="T58">
        <f t="shared" ref="T58" si="269">S58/1000</f>
        <v>-12.291563802524545</v>
      </c>
    </row>
    <row r="59" spans="1:20" x14ac:dyDescent="0.25">
      <c r="A59" s="5">
        <v>44534</v>
      </c>
      <c r="B59">
        <v>0.86739999999999995</v>
      </c>
      <c r="C59">
        <v>0.91479999999999995</v>
      </c>
      <c r="D59">
        <v>0.4919</v>
      </c>
      <c r="E59">
        <v>0.53359999999999996</v>
      </c>
      <c r="F59">
        <v>362262679</v>
      </c>
      <c r="G59">
        <v>0.53359999999999996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-0.8027902577441477</v>
      </c>
      <c r="Q59">
        <f t="shared" ref="Q59" si="271">F59*P59</f>
        <v>-290820949.44549543</v>
      </c>
      <c r="R59">
        <f t="shared" ref="R59" si="272">R60+Q59</f>
        <v>-1154863714.7691033</v>
      </c>
      <c r="S59">
        <f t="shared" ref="S59" si="273">R59/100000</f>
        <v>-11548.637147691034</v>
      </c>
      <c r="T59">
        <f t="shared" ref="T59" si="274">S59/1000</f>
        <v>-11.548637147691034</v>
      </c>
    </row>
    <row r="60" spans="1:20" x14ac:dyDescent="0.25">
      <c r="A60" s="5">
        <v>44533</v>
      </c>
      <c r="B60">
        <v>0.29820000000000002</v>
      </c>
      <c r="C60">
        <v>1.3801000000000001</v>
      </c>
      <c r="D60">
        <v>0.2717</v>
      </c>
      <c r="E60">
        <v>0.86739999999999995</v>
      </c>
      <c r="F60">
        <v>1452996475.3099999</v>
      </c>
      <c r="G60">
        <v>0.86739999999999995</v>
      </c>
      <c r="L60" t="s">
        <v>8</v>
      </c>
      <c r="M60" t="s">
        <v>8</v>
      </c>
      <c r="N60" t="s">
        <v>8</v>
      </c>
      <c r="P60">
        <f t="shared" ref="P60" si="275">IF(C60=D60,0,((E60-D60)-(C60-E60))/(C60-D60))</f>
        <v>7.4882713821724775E-2</v>
      </c>
      <c r="Q60">
        <f t="shared" ref="Q60" si="276">F60*P60</f>
        <v>108804319.24461351</v>
      </c>
      <c r="R60">
        <f t="shared" ref="R60" si="277">R61+Q60</f>
        <v>-864042765.32360792</v>
      </c>
      <c r="S60">
        <f t="shared" ref="S60" si="278">R60/100000</f>
        <v>-8640.42765323608</v>
      </c>
      <c r="T60">
        <f t="shared" ref="T60" si="279">S60/1000</f>
        <v>-8.6404276532360793</v>
      </c>
    </row>
    <row r="61" spans="1:20" x14ac:dyDescent="0.25">
      <c r="A61" s="5">
        <v>44532</v>
      </c>
      <c r="B61">
        <v>0.21</v>
      </c>
      <c r="C61">
        <v>0.37619999999999998</v>
      </c>
      <c r="D61">
        <v>0.2024</v>
      </c>
      <c r="E61">
        <v>0.29820000000000002</v>
      </c>
      <c r="F61">
        <v>310145338.80000001</v>
      </c>
      <c r="G61">
        <v>0.29820000000000002</v>
      </c>
      <c r="L61" t="s">
        <v>8</v>
      </c>
      <c r="M61" t="s">
        <v>8</v>
      </c>
      <c r="N61" t="s">
        <v>8</v>
      </c>
      <c r="P61">
        <f t="shared" ref="P61" si="280">IF(C61=D61,0,((E61-D61)-(C61-E61))/(C61-D61))</f>
        <v>0.10241657077100154</v>
      </c>
      <c r="Q61">
        <f t="shared" ref="Q61" si="281">F61*P61</f>
        <v>31764022.040506452</v>
      </c>
      <c r="R61">
        <f t="shared" ref="R61" si="282">R62+Q61</f>
        <v>-972847084.56822145</v>
      </c>
      <c r="S61">
        <f t="shared" ref="S61" si="283">R61/100000</f>
        <v>-9728.4708456822136</v>
      </c>
      <c r="T61">
        <f t="shared" ref="T61" si="284">S61/1000</f>
        <v>-9.7284708456822138</v>
      </c>
    </row>
    <row r="62" spans="1:20" x14ac:dyDescent="0.25">
      <c r="A62" s="5">
        <v>44531</v>
      </c>
      <c r="B62">
        <v>0.20669999999999999</v>
      </c>
      <c r="C62">
        <v>0.2157</v>
      </c>
      <c r="D62">
        <v>0.20499999999999999</v>
      </c>
      <c r="E62">
        <v>0.2104</v>
      </c>
      <c r="F62">
        <v>6616394</v>
      </c>
      <c r="G62">
        <v>0.2104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9.3457943925249164E-3</v>
      </c>
      <c r="Q62">
        <f t="shared" ref="Q62" si="286">F62*P62</f>
        <v>61835.4579439355</v>
      </c>
      <c r="R62">
        <f t="shared" ref="R62" si="287">R63+Q62</f>
        <v>-1004611106.6087279</v>
      </c>
      <c r="S62">
        <f t="shared" ref="S62" si="288">R62/100000</f>
        <v>-10046.11106608728</v>
      </c>
      <c r="T62">
        <f t="shared" ref="T62" si="289">S62/1000</f>
        <v>-10.046111066087279</v>
      </c>
    </row>
    <row r="63" spans="1:20" x14ac:dyDescent="0.25">
      <c r="A63" s="5">
        <v>44530</v>
      </c>
      <c r="B63">
        <v>0.2155</v>
      </c>
      <c r="C63">
        <v>0.2175</v>
      </c>
      <c r="D63">
        <v>0.2064</v>
      </c>
      <c r="E63">
        <v>0.20660000000000001</v>
      </c>
      <c r="F63">
        <v>4150940</v>
      </c>
      <c r="G63">
        <v>0.20660000000000001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-0.96396396396396289</v>
      </c>
      <c r="Q63">
        <f t="shared" ref="Q63" si="291">F63*P63</f>
        <v>-4001356.5765765719</v>
      </c>
      <c r="R63">
        <f t="shared" ref="R63" si="292">R64+Q63</f>
        <v>-1004672942.0666718</v>
      </c>
      <c r="S63">
        <f t="shared" ref="S63" si="293">R63/100000</f>
        <v>-10046.729420666719</v>
      </c>
      <c r="T63">
        <f t="shared" ref="T63" si="294">S63/1000</f>
        <v>-10.04672942066672</v>
      </c>
    </row>
    <row r="64" spans="1:20" x14ac:dyDescent="0.25">
      <c r="A64" s="5">
        <v>44529</v>
      </c>
      <c r="B64">
        <v>0.2185</v>
      </c>
      <c r="C64">
        <v>0.2208</v>
      </c>
      <c r="D64">
        <v>0.21149999999999999</v>
      </c>
      <c r="E64">
        <v>0.2157</v>
      </c>
      <c r="F64">
        <v>6153140</v>
      </c>
      <c r="G64">
        <v>0.2157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-9.6774193548385359E-2</v>
      </c>
      <c r="Q64">
        <f t="shared" ref="Q64" si="296">F64*P64</f>
        <v>-595465.16129031184</v>
      </c>
      <c r="R64">
        <f t="shared" ref="R64" si="297">R65+Q64</f>
        <v>-1000671585.4900953</v>
      </c>
      <c r="S64">
        <f t="shared" ref="S64" si="298">R64/100000</f>
        <v>-10006.715854900953</v>
      </c>
      <c r="T64">
        <f t="shared" ref="T64" si="299">S64/1000</f>
        <v>-10.006715854900953</v>
      </c>
    </row>
    <row r="65" spans="1:20" x14ac:dyDescent="0.25">
      <c r="A65" s="5">
        <v>44528</v>
      </c>
      <c r="B65">
        <v>0.22409999999999999</v>
      </c>
      <c r="C65">
        <v>0.23230000000000001</v>
      </c>
      <c r="D65">
        <v>0.2039</v>
      </c>
      <c r="E65">
        <v>0.21809999999999999</v>
      </c>
      <c r="F65">
        <v>9675569</v>
      </c>
      <c r="G65">
        <v>0.21809999999999999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-9.7730900055031359E-16</v>
      </c>
      <c r="Q65">
        <f t="shared" ref="Q65" si="301">F65*P65</f>
        <v>-9.4560206691455978E-9</v>
      </c>
      <c r="R65">
        <f t="shared" ref="R65" si="302">R66+Q65</f>
        <v>-1000076120.328805</v>
      </c>
      <c r="S65">
        <f t="shared" ref="S65" si="303">R65/100000</f>
        <v>-10000.76120328805</v>
      </c>
      <c r="T65">
        <f t="shared" ref="T65" si="304">S65/1000</f>
        <v>-10.00076120328805</v>
      </c>
    </row>
    <row r="66" spans="1:20" x14ac:dyDescent="0.25">
      <c r="A66" s="5">
        <v>44527</v>
      </c>
      <c r="B66">
        <v>0.20699999999999999</v>
      </c>
      <c r="C66">
        <v>0.24790000000000001</v>
      </c>
      <c r="D66">
        <v>0.20569999999999999</v>
      </c>
      <c r="E66">
        <v>0.2238</v>
      </c>
      <c r="F66">
        <v>26817307</v>
      </c>
      <c r="G66">
        <v>0.2238</v>
      </c>
      <c r="L66" t="s">
        <v>8</v>
      </c>
      <c r="M66" t="s">
        <v>8</v>
      </c>
      <c r="N66" t="s">
        <v>7</v>
      </c>
      <c r="P66">
        <f t="shared" ref="P66" si="305">IF(C66=D66,0,((E66-D66)-(C66-E66))/(C66-D66))</f>
        <v>-0.14218009478672994</v>
      </c>
      <c r="Q66">
        <f t="shared" ref="Q66" si="306">F66*P66</f>
        <v>-3812887.2511848365</v>
      </c>
      <c r="R66">
        <f t="shared" ref="R66" si="307">R67+Q66</f>
        <v>-1000076120.328805</v>
      </c>
      <c r="S66">
        <f t="shared" ref="S66" si="308">R66/100000</f>
        <v>-10000.76120328805</v>
      </c>
      <c r="T66">
        <f t="shared" ref="T66" si="309">S66/1000</f>
        <v>-10.00076120328805</v>
      </c>
    </row>
    <row r="67" spans="1:20" x14ac:dyDescent="0.25">
      <c r="A67" s="5">
        <v>44526</v>
      </c>
      <c r="B67">
        <v>0.22639999999999999</v>
      </c>
      <c r="C67">
        <v>0.23630000000000001</v>
      </c>
      <c r="D67">
        <v>0.2</v>
      </c>
      <c r="E67">
        <v>0.20699999999999999</v>
      </c>
      <c r="F67">
        <v>11138723</v>
      </c>
      <c r="G67">
        <v>0.20699999999999999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-0.61432506887052463</v>
      </c>
      <c r="Q67">
        <f t="shared" ref="Q67" si="311">F67*P67</f>
        <v>-6842796.7741046967</v>
      </c>
      <c r="R67">
        <f t="shared" ref="R67" si="312">R68+Q67</f>
        <v>-996263233.07762015</v>
      </c>
      <c r="S67">
        <f t="shared" ref="S67" si="313">R67/100000</f>
        <v>-9962.6323307762013</v>
      </c>
      <c r="T67">
        <f t="shared" ref="T67" si="314">S67/1000</f>
        <v>-9.9626323307762021</v>
      </c>
    </row>
    <row r="68" spans="1:20" x14ac:dyDescent="0.25">
      <c r="A68" s="5">
        <v>44525</v>
      </c>
      <c r="B68">
        <v>0.22489999999999999</v>
      </c>
      <c r="C68">
        <v>0.23799999999999999</v>
      </c>
      <c r="D68">
        <v>0.22</v>
      </c>
      <c r="E68">
        <v>0.22639999999999999</v>
      </c>
      <c r="F68">
        <v>15870990</v>
      </c>
      <c r="G68">
        <v>0.22639999999999999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-0.28888888888888964</v>
      </c>
      <c r="Q68">
        <f t="shared" ref="Q68" si="316">F68*P68</f>
        <v>-4584952.6666666782</v>
      </c>
      <c r="R68">
        <f t="shared" ref="R68" si="317">R69+Q68</f>
        <v>-989420436.30351543</v>
      </c>
      <c r="S68">
        <f t="shared" ref="S68" si="318">R68/100000</f>
        <v>-9894.2043630351545</v>
      </c>
      <c r="T68">
        <f t="shared" ref="T68" si="319">S68/1000</f>
        <v>-9.8942043630351542</v>
      </c>
    </row>
    <row r="69" spans="1:20" x14ac:dyDescent="0.25">
      <c r="A69" s="5">
        <v>44524</v>
      </c>
      <c r="B69">
        <v>0.21260000000000001</v>
      </c>
      <c r="C69">
        <v>0.23880000000000001</v>
      </c>
      <c r="D69">
        <v>0.20910000000000001</v>
      </c>
      <c r="E69">
        <v>0.23169999999999999</v>
      </c>
      <c r="F69">
        <v>9015213</v>
      </c>
      <c r="G69">
        <v>0.23169999999999999</v>
      </c>
      <c r="L69" t="s">
        <v>8</v>
      </c>
      <c r="M69" t="s">
        <v>7</v>
      </c>
      <c r="N69" t="s">
        <v>7</v>
      </c>
      <c r="P69">
        <f t="shared" ref="P69" si="320">IF(C69=D69,0,((E69-D69)-(C69-E69))/(C69-D69))</f>
        <v>0.5218855218855204</v>
      </c>
      <c r="Q69">
        <f t="shared" ref="Q69" si="321">F69*P69</f>
        <v>4704909.1414141282</v>
      </c>
      <c r="R69">
        <f t="shared" ref="R69" si="322">R70+Q69</f>
        <v>-984835483.63684881</v>
      </c>
      <c r="S69">
        <f t="shared" ref="S69" si="323">R69/100000</f>
        <v>-9848.3548363684877</v>
      </c>
      <c r="T69">
        <f t="shared" ref="T69" si="324">S69/1000</f>
        <v>-9.8483548363684879</v>
      </c>
    </row>
    <row r="70" spans="1:20" x14ac:dyDescent="0.25">
      <c r="A70" s="5">
        <v>44523</v>
      </c>
      <c r="B70">
        <v>0.21490000000000001</v>
      </c>
      <c r="C70">
        <v>0.22320000000000001</v>
      </c>
      <c r="D70">
        <v>0.2077</v>
      </c>
      <c r="E70">
        <v>0.21290000000000001</v>
      </c>
      <c r="F70">
        <v>17134111</v>
      </c>
      <c r="G70">
        <v>0.21290000000000001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-0.32903225806451541</v>
      </c>
      <c r="Q70">
        <f t="shared" ref="Q70" si="326">F70*P70</f>
        <v>-5637675.2322580526</v>
      </c>
      <c r="R70">
        <f t="shared" ref="R70" si="327">R71+Q70</f>
        <v>-989540392.77826297</v>
      </c>
      <c r="S70">
        <f t="shared" ref="S70" si="328">R70/100000</f>
        <v>-9895.4039277826305</v>
      </c>
      <c r="T70">
        <f t="shared" ref="T70" si="329">S70/1000</f>
        <v>-9.8954039277826311</v>
      </c>
    </row>
    <row r="71" spans="1:20" x14ac:dyDescent="0.25">
      <c r="A71" s="5">
        <v>44522</v>
      </c>
      <c r="B71">
        <v>0.20760000000000001</v>
      </c>
      <c r="C71">
        <v>0.29299999999999998</v>
      </c>
      <c r="D71">
        <v>0.20469999999999999</v>
      </c>
      <c r="E71">
        <v>0.2147</v>
      </c>
      <c r="F71">
        <v>86278006.920000002</v>
      </c>
      <c r="G71">
        <v>0.2147</v>
      </c>
      <c r="L71" t="s">
        <v>8</v>
      </c>
      <c r="M71" t="s">
        <v>8</v>
      </c>
      <c r="N71" t="s">
        <v>8</v>
      </c>
      <c r="P71">
        <f t="shared" ref="P71" si="330">IF(C71=D71,0,((E71-D71)-(C71-E71))/(C71-D71))</f>
        <v>-0.7734994337485841</v>
      </c>
      <c r="Q71">
        <f t="shared" ref="Q71" si="331">F71*P71</f>
        <v>-66735989.497576423</v>
      </c>
      <c r="R71">
        <f t="shared" ref="R71" si="332">R72+Q71</f>
        <v>-983902717.54600489</v>
      </c>
      <c r="S71">
        <f t="shared" ref="S71" si="333">R71/100000</f>
        <v>-9839.027175460049</v>
      </c>
      <c r="T71">
        <f t="shared" ref="T71" si="334">S71/1000</f>
        <v>-9.8390271754600498</v>
      </c>
    </row>
    <row r="72" spans="1:20" x14ac:dyDescent="0.25">
      <c r="A72" s="5">
        <v>44521</v>
      </c>
      <c r="B72">
        <v>0.2104</v>
      </c>
      <c r="C72">
        <v>0.2296</v>
      </c>
      <c r="D72">
        <v>0.1986</v>
      </c>
      <c r="E72">
        <v>0.2082</v>
      </c>
      <c r="F72">
        <v>18806890</v>
      </c>
      <c r="G72">
        <v>0.2082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-0.38064516129032272</v>
      </c>
      <c r="Q72">
        <f t="shared" ref="Q72" si="336">F72*P72</f>
        <v>-7158751.677419357</v>
      </c>
      <c r="R72">
        <f t="shared" ref="R72" si="337">R73+Q72</f>
        <v>-917166728.04842842</v>
      </c>
      <c r="S72">
        <f t="shared" ref="S72" si="338">R72/100000</f>
        <v>-9171.6672804842838</v>
      </c>
      <c r="T72">
        <f t="shared" ref="T72" si="339">S72/1000</f>
        <v>-9.171667280484284</v>
      </c>
    </row>
    <row r="73" spans="1:20" x14ac:dyDescent="0.25">
      <c r="A73" s="5">
        <v>44520</v>
      </c>
      <c r="B73">
        <v>0.1948</v>
      </c>
      <c r="C73">
        <v>0.2198</v>
      </c>
      <c r="D73">
        <v>0.191</v>
      </c>
      <c r="E73">
        <v>0.2102</v>
      </c>
      <c r="F73">
        <v>17139730</v>
      </c>
      <c r="G73">
        <v>0.2102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0.33333333333333331</v>
      </c>
      <c r="Q73">
        <f t="shared" ref="Q73" si="341">F73*P73</f>
        <v>5713243.333333333</v>
      </c>
      <c r="R73">
        <f t="shared" ref="R73" si="342">R74+Q73</f>
        <v>-910007976.37100911</v>
      </c>
      <c r="S73">
        <f t="shared" ref="S73" si="343">R73/100000</f>
        <v>-9100.0797637100914</v>
      </c>
      <c r="T73">
        <f t="shared" ref="T73" si="344">S73/1000</f>
        <v>-9.1000797637100916</v>
      </c>
    </row>
    <row r="74" spans="1:20" x14ac:dyDescent="0.25">
      <c r="A74" s="5">
        <v>44519</v>
      </c>
      <c r="B74">
        <v>0.17530000000000001</v>
      </c>
      <c r="C74">
        <v>0.19939999999999999</v>
      </c>
      <c r="D74">
        <v>0.1706</v>
      </c>
      <c r="E74">
        <v>0.1948</v>
      </c>
      <c r="F74">
        <v>16705844</v>
      </c>
      <c r="G74">
        <v>0.1948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0.68055555555555591</v>
      </c>
      <c r="Q74">
        <f t="shared" ref="Q74" si="346">F74*P74</f>
        <v>11369254.94444445</v>
      </c>
      <c r="R74">
        <f t="shared" ref="R74" si="347">R75+Q74</f>
        <v>-915721219.70434248</v>
      </c>
      <c r="S74">
        <f t="shared" ref="S74" si="348">R74/100000</f>
        <v>-9157.2121970434255</v>
      </c>
      <c r="T74">
        <f t="shared" ref="T74" si="349">S74/1000</f>
        <v>-9.1572121970434246</v>
      </c>
    </row>
    <row r="75" spans="1:20" x14ac:dyDescent="0.25">
      <c r="A75" s="5">
        <v>44518</v>
      </c>
      <c r="B75">
        <v>0.19159999999999999</v>
      </c>
      <c r="C75">
        <v>0.1971</v>
      </c>
      <c r="D75">
        <v>0.16980000000000001</v>
      </c>
      <c r="E75">
        <v>0.1757</v>
      </c>
      <c r="F75">
        <v>5983629.8799999999</v>
      </c>
      <c r="G75">
        <v>0.1757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-0.56776556776556841</v>
      </c>
      <c r="Q75">
        <f t="shared" ref="Q75" si="351">F75*P75</f>
        <v>-3397299.0161172198</v>
      </c>
      <c r="R75">
        <f t="shared" ref="R75" si="352">R76+Q75</f>
        <v>-927090474.6487869</v>
      </c>
      <c r="S75">
        <f t="shared" ref="S75" si="353">R75/100000</f>
        <v>-9270.9047464878695</v>
      </c>
      <c r="T75">
        <f t="shared" ref="T75" si="354">S75/1000</f>
        <v>-9.2709047464878687</v>
      </c>
    </row>
    <row r="76" spans="1:20" x14ac:dyDescent="0.25">
      <c r="A76" s="5">
        <v>44517</v>
      </c>
      <c r="B76">
        <v>0.18090000000000001</v>
      </c>
      <c r="C76">
        <v>0.1946</v>
      </c>
      <c r="D76">
        <v>0.17910000000000001</v>
      </c>
      <c r="E76">
        <v>0.19139999999999999</v>
      </c>
      <c r="F76">
        <v>4449638</v>
      </c>
      <c r="G76">
        <v>0.19139999999999999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0.58709677419354689</v>
      </c>
      <c r="Q76">
        <f t="shared" ref="Q76" si="356">F76*P76</f>
        <v>2612368.1161290258</v>
      </c>
      <c r="R76">
        <f t="shared" ref="R76" si="357">R77+Q76</f>
        <v>-923693175.63266969</v>
      </c>
      <c r="S76">
        <f t="shared" ref="S76" si="358">R76/100000</f>
        <v>-9236.9317563266977</v>
      </c>
      <c r="T76">
        <f t="shared" ref="T76" si="359">S76/1000</f>
        <v>-9.2369317563266975</v>
      </c>
    </row>
    <row r="77" spans="1:20" x14ac:dyDescent="0.25">
      <c r="A77" s="5">
        <v>44516</v>
      </c>
      <c r="B77">
        <v>0.19939999999999999</v>
      </c>
      <c r="C77">
        <v>0.19950000000000001</v>
      </c>
      <c r="D77">
        <v>0.17560000000000001</v>
      </c>
      <c r="E77">
        <v>0.18129999999999999</v>
      </c>
      <c r="F77">
        <v>7557773</v>
      </c>
      <c r="G77">
        <v>0.18129999999999999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-0.52301255230125676</v>
      </c>
      <c r="Q77">
        <f t="shared" ref="Q77" si="361">F77*P77</f>
        <v>-3952810.1464435263</v>
      </c>
      <c r="R77">
        <f t="shared" ref="R77" si="362">R78+Q77</f>
        <v>-926305543.74879873</v>
      </c>
      <c r="S77">
        <f t="shared" ref="S77" si="363">R77/100000</f>
        <v>-9263.0554374879866</v>
      </c>
      <c r="T77">
        <f t="shared" ref="T77" si="364">S77/1000</f>
        <v>-9.2630554374879868</v>
      </c>
    </row>
    <row r="78" spans="1:20" x14ac:dyDescent="0.25">
      <c r="A78" s="5">
        <v>44515</v>
      </c>
      <c r="B78">
        <v>0.2064</v>
      </c>
      <c r="C78">
        <v>0.2099</v>
      </c>
      <c r="D78">
        <v>0.1986</v>
      </c>
      <c r="E78">
        <v>0.1988</v>
      </c>
      <c r="F78">
        <v>6217825</v>
      </c>
      <c r="G78">
        <v>0.1988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-0.96460176991150337</v>
      </c>
      <c r="Q78">
        <f t="shared" ref="Q78" si="366">F78*P78</f>
        <v>-5997724.9999999935</v>
      </c>
      <c r="R78">
        <f t="shared" ref="R78" si="367">R79+Q78</f>
        <v>-922352733.60235524</v>
      </c>
      <c r="S78">
        <f t="shared" ref="S78" si="368">R78/100000</f>
        <v>-9223.5273360235533</v>
      </c>
      <c r="T78">
        <f t="shared" ref="T78" si="369">S78/1000</f>
        <v>-9.2235273360235528</v>
      </c>
    </row>
    <row r="79" spans="1:20" x14ac:dyDescent="0.25">
      <c r="A79" s="5">
        <v>44514</v>
      </c>
      <c r="B79">
        <v>0.20630000000000001</v>
      </c>
      <c r="C79">
        <v>0.2084</v>
      </c>
      <c r="D79">
        <v>0.20050000000000001</v>
      </c>
      <c r="E79">
        <v>0.2059</v>
      </c>
      <c r="F79">
        <v>3532436</v>
      </c>
      <c r="G79">
        <v>0.2059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0.36708860759493539</v>
      </c>
      <c r="Q79">
        <f t="shared" ref="Q79" si="371">F79*P79</f>
        <v>1296717.0126582233</v>
      </c>
      <c r="R79">
        <f t="shared" ref="R79" si="372">R80+Q79</f>
        <v>-916355008.60235524</v>
      </c>
      <c r="S79">
        <f t="shared" ref="S79" si="373">R79/100000</f>
        <v>-9163.5500860235516</v>
      </c>
      <c r="T79">
        <f t="shared" ref="T79" si="374">S79/1000</f>
        <v>-9.1635500860235517</v>
      </c>
    </row>
    <row r="80" spans="1:20" x14ac:dyDescent="0.25">
      <c r="A80" s="5">
        <v>44513</v>
      </c>
      <c r="B80">
        <v>0.2064</v>
      </c>
      <c r="C80">
        <v>0.21079999999999999</v>
      </c>
      <c r="D80">
        <v>0.2039</v>
      </c>
      <c r="E80">
        <v>0.2064</v>
      </c>
      <c r="F80">
        <v>3626241</v>
      </c>
      <c r="G80">
        <v>0.2064</v>
      </c>
      <c r="L80" t="s">
        <v>7</v>
      </c>
      <c r="M80" t="s">
        <v>7</v>
      </c>
      <c r="N80" t="s">
        <v>8</v>
      </c>
      <c r="P80">
        <f t="shared" ref="P80" si="375">IF(C80=D80,0,((E80-D80)-(C80-E80))/(C80-D80))</f>
        <v>-0.27536231884057794</v>
      </c>
      <c r="Q80">
        <f t="shared" ref="Q80" si="376">F80*P80</f>
        <v>-998530.13043477619</v>
      </c>
      <c r="R80">
        <f t="shared" ref="R80" si="377">R81+Q80</f>
        <v>-917651725.61501348</v>
      </c>
      <c r="S80">
        <f t="shared" ref="S80" si="378">R80/100000</f>
        <v>-9176.5172561501349</v>
      </c>
      <c r="T80">
        <f t="shared" ref="T80" si="379">S80/1000</f>
        <v>-9.1765172561501345</v>
      </c>
    </row>
    <row r="81" spans="1:20" x14ac:dyDescent="0.25">
      <c r="A81" s="5">
        <v>44512</v>
      </c>
      <c r="B81">
        <v>0.20949999999999999</v>
      </c>
      <c r="C81">
        <v>0.20960000000000001</v>
      </c>
      <c r="D81">
        <v>0.19850000000000001</v>
      </c>
      <c r="E81">
        <v>0.20610000000000001</v>
      </c>
      <c r="F81">
        <v>6134737</v>
      </c>
      <c r="G81">
        <v>0.20610000000000001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0.36936936936936876</v>
      </c>
      <c r="Q81">
        <f t="shared" ref="Q81" si="381">F81*P81</f>
        <v>2265983.9369369331</v>
      </c>
      <c r="R81">
        <f t="shared" ref="R81" si="382">R82+Q81</f>
        <v>-916653195.48457873</v>
      </c>
      <c r="S81">
        <f t="shared" ref="S81" si="383">R81/100000</f>
        <v>-9166.5319548457865</v>
      </c>
      <c r="T81">
        <f t="shared" ref="T81" si="384">S81/1000</f>
        <v>-9.1665319548457873</v>
      </c>
    </row>
    <row r="82" spans="1:20" x14ac:dyDescent="0.25">
      <c r="A82" s="5">
        <v>44511</v>
      </c>
      <c r="B82">
        <v>0.2059</v>
      </c>
      <c r="C82">
        <v>0.2127</v>
      </c>
      <c r="D82">
        <v>0.20300000000000001</v>
      </c>
      <c r="E82">
        <v>0.20910000000000001</v>
      </c>
      <c r="F82">
        <v>5780255</v>
      </c>
      <c r="G82">
        <v>0.20910000000000001</v>
      </c>
      <c r="L82" t="s">
        <v>7</v>
      </c>
      <c r="M82" t="s">
        <v>8</v>
      </c>
      <c r="N82" t="s">
        <v>8</v>
      </c>
      <c r="P82">
        <f t="shared" ref="P82" si="385">IF(C82=D82,0,((E82-D82)-(C82-E82))/(C82-D82))</f>
        <v>0.25773195876288718</v>
      </c>
      <c r="Q82">
        <f t="shared" ref="Q82" si="386">F82*P82</f>
        <v>1489756.4432989724</v>
      </c>
      <c r="R82">
        <f t="shared" ref="R82" si="387">R83+Q82</f>
        <v>-918919179.4215157</v>
      </c>
      <c r="S82">
        <f t="shared" ref="S82" si="388">R82/100000</f>
        <v>-9189.1917942151576</v>
      </c>
      <c r="T82">
        <f t="shared" ref="T82" si="389">S82/1000</f>
        <v>-9.1891917942151569</v>
      </c>
    </row>
    <row r="83" spans="1:20" x14ac:dyDescent="0.25">
      <c r="A83" s="5">
        <v>44510</v>
      </c>
      <c r="B83">
        <v>0.21870000000000001</v>
      </c>
      <c r="C83">
        <v>0.23</v>
      </c>
      <c r="D83">
        <v>0.2021</v>
      </c>
      <c r="E83">
        <v>0.2054</v>
      </c>
      <c r="F83">
        <v>11829783</v>
      </c>
      <c r="G83">
        <v>0.2054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-0.76344086021505397</v>
      </c>
      <c r="Q83">
        <f t="shared" ref="Q83" si="391">F83*P83</f>
        <v>-9031339.7096774224</v>
      </c>
      <c r="R83">
        <f t="shared" ref="R83" si="392">R84+Q83</f>
        <v>-920408935.86481464</v>
      </c>
      <c r="S83">
        <f t="shared" ref="S83" si="393">R83/100000</f>
        <v>-9204.089358648147</v>
      </c>
      <c r="T83">
        <f t="shared" ref="T83" si="394">S83/1000</f>
        <v>-9.2040893586481474</v>
      </c>
    </row>
    <row r="84" spans="1:20" x14ac:dyDescent="0.25">
      <c r="A84" s="5">
        <v>44509</v>
      </c>
      <c r="B84">
        <v>0.2175</v>
      </c>
      <c r="C84">
        <v>0.22600000000000001</v>
      </c>
      <c r="D84">
        <v>0.21560000000000001</v>
      </c>
      <c r="E84">
        <v>0.2185</v>
      </c>
      <c r="F84">
        <v>7116642</v>
      </c>
      <c r="G84">
        <v>0.2185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-0.44230769230769462</v>
      </c>
      <c r="Q84">
        <f t="shared" ref="Q84" si="396">F84*P84</f>
        <v>-3147745.5000000163</v>
      </c>
      <c r="R84">
        <f t="shared" ref="R84" si="397">R85+Q84</f>
        <v>-911377596.15513718</v>
      </c>
      <c r="S84">
        <f t="shared" ref="S84" si="398">R84/100000</f>
        <v>-9113.7759615513714</v>
      </c>
      <c r="T84">
        <f t="shared" ref="T84" si="399">S84/1000</f>
        <v>-9.1137759615513723</v>
      </c>
    </row>
    <row r="85" spans="1:20" x14ac:dyDescent="0.25">
      <c r="A85" s="5">
        <v>44508</v>
      </c>
      <c r="B85">
        <v>0.2175</v>
      </c>
      <c r="C85">
        <v>0.22459999999999999</v>
      </c>
      <c r="D85">
        <v>0.21390000000000001</v>
      </c>
      <c r="E85">
        <v>0.21729999999999999</v>
      </c>
      <c r="F85">
        <v>5924664</v>
      </c>
      <c r="G85">
        <v>0.21729999999999999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-0.36448598130841303</v>
      </c>
      <c r="Q85">
        <f t="shared" ref="Q85" si="401">F85*P85</f>
        <v>-2159456.9719626275</v>
      </c>
      <c r="R85">
        <f t="shared" ref="R85" si="402">R86+Q85</f>
        <v>-908229850.65513718</v>
      </c>
      <c r="S85">
        <f t="shared" ref="S85" si="403">R85/100000</f>
        <v>-9082.2985065513712</v>
      </c>
      <c r="T85">
        <f t="shared" ref="T85" si="404">S85/1000</f>
        <v>-9.0822985065513713</v>
      </c>
    </row>
    <row r="86" spans="1:20" x14ac:dyDescent="0.25">
      <c r="A86" s="5">
        <v>44507</v>
      </c>
      <c r="B86">
        <v>0.2127</v>
      </c>
      <c r="C86">
        <v>0.2228</v>
      </c>
      <c r="D86">
        <v>0.2114</v>
      </c>
      <c r="E86">
        <v>0.2175</v>
      </c>
      <c r="F86">
        <v>5057266</v>
      </c>
      <c r="G86">
        <v>0.2175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7.0175438596490849E-2</v>
      </c>
      <c r="Q86">
        <f t="shared" ref="Q86" si="406">F86*P86</f>
        <v>354895.85964912089</v>
      </c>
      <c r="R86">
        <f t="shared" ref="R86" si="407">R87+Q86</f>
        <v>-906070393.68317461</v>
      </c>
      <c r="S86">
        <f t="shared" ref="S86" si="408">R86/100000</f>
        <v>-9060.7039368317455</v>
      </c>
      <c r="T86">
        <f t="shared" ref="T86" si="409">S86/1000</f>
        <v>-9.0607039368317448</v>
      </c>
    </row>
    <row r="87" spans="1:20" x14ac:dyDescent="0.25">
      <c r="A87" s="5">
        <v>44506</v>
      </c>
      <c r="B87">
        <v>0.21310000000000001</v>
      </c>
      <c r="C87">
        <v>0.2198</v>
      </c>
      <c r="D87">
        <v>0.20849999999999999</v>
      </c>
      <c r="E87">
        <v>0.21249999999999999</v>
      </c>
      <c r="F87">
        <v>3953337</v>
      </c>
      <c r="G87">
        <v>0.21249999999999999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-0.29203539823008817</v>
      </c>
      <c r="Q87">
        <f t="shared" ref="Q87" si="411">F87*P87</f>
        <v>-1154514.3451327421</v>
      </c>
      <c r="R87">
        <f t="shared" ref="R87" si="412">R88+Q87</f>
        <v>-906425289.54282367</v>
      </c>
      <c r="S87">
        <f t="shared" ref="S87" si="413">R87/100000</f>
        <v>-9064.252895428237</v>
      </c>
      <c r="T87">
        <f t="shared" ref="T87" si="414">S87/1000</f>
        <v>-9.0642528954282362</v>
      </c>
    </row>
    <row r="88" spans="1:20" x14ac:dyDescent="0.25">
      <c r="A88" s="5">
        <v>44505</v>
      </c>
      <c r="B88">
        <v>0.21970000000000001</v>
      </c>
      <c r="C88">
        <v>0.223</v>
      </c>
      <c r="D88">
        <v>0.21199999999999999</v>
      </c>
      <c r="E88">
        <v>0.2132</v>
      </c>
      <c r="F88">
        <v>4563166</v>
      </c>
      <c r="G88">
        <v>0.2132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-0.78181818181818086</v>
      </c>
      <c r="Q88">
        <f t="shared" ref="Q88" si="416">F88*P88</f>
        <v>-3567566.1454545408</v>
      </c>
      <c r="R88">
        <f t="shared" ref="R88" si="417">R89+Q88</f>
        <v>-905270775.19769096</v>
      </c>
      <c r="S88">
        <f t="shared" ref="S88" si="418">R88/100000</f>
        <v>-9052.70775197691</v>
      </c>
      <c r="T88">
        <f t="shared" ref="T88" si="419">S88/1000</f>
        <v>-9.0527077519769108</v>
      </c>
    </row>
    <row r="89" spans="1:20" x14ac:dyDescent="0.25">
      <c r="A89" s="5">
        <v>44504</v>
      </c>
      <c r="B89">
        <v>0.2293</v>
      </c>
      <c r="C89">
        <v>0.23</v>
      </c>
      <c r="D89">
        <v>0.21199999999999999</v>
      </c>
      <c r="E89">
        <v>0.21959999999999999</v>
      </c>
      <c r="F89">
        <v>11428113</v>
      </c>
      <c r="G89">
        <v>0.21959999999999999</v>
      </c>
      <c r="L89" t="s">
        <v>7</v>
      </c>
      <c r="M89" t="s">
        <v>8</v>
      </c>
      <c r="N89" t="s">
        <v>8</v>
      </c>
      <c r="P89">
        <f t="shared" ref="P89" si="420">IF(C89=D89,0,((E89-D89)-(C89-E89))/(C89-D89))</f>
        <v>-0.15555555555555678</v>
      </c>
      <c r="Q89">
        <f t="shared" ref="Q89" si="421">F89*P89</f>
        <v>-1777706.4666666808</v>
      </c>
      <c r="R89">
        <f t="shared" ref="R89" si="422">R90+Q89</f>
        <v>-901703209.05223644</v>
      </c>
      <c r="S89">
        <f t="shared" ref="S89" si="423">R89/100000</f>
        <v>-9017.0320905223653</v>
      </c>
      <c r="T89">
        <f t="shared" ref="T89" si="424">S89/1000</f>
        <v>-9.0170320905223651</v>
      </c>
    </row>
    <row r="90" spans="1:20" x14ac:dyDescent="0.25">
      <c r="A90" s="5">
        <v>44503</v>
      </c>
      <c r="B90">
        <v>0.2235</v>
      </c>
      <c r="C90">
        <v>0.23</v>
      </c>
      <c r="D90">
        <v>0.21529999999999999</v>
      </c>
      <c r="E90">
        <v>0.22950000000000001</v>
      </c>
      <c r="F90">
        <v>7933039</v>
      </c>
      <c r="G90">
        <v>0.22950000000000001</v>
      </c>
      <c r="L90" t="s">
        <v>7</v>
      </c>
      <c r="M90" t="s">
        <v>8</v>
      </c>
      <c r="N90" t="s">
        <v>8</v>
      </c>
      <c r="P90">
        <f t="shared" ref="P90" si="425">IF(C90=D90,0,((E90-D90)-(C90-E90))/(C90-D90))</f>
        <v>0.93197278911564629</v>
      </c>
      <c r="Q90">
        <f t="shared" ref="Q90" si="426">F90*P90</f>
        <v>7393376.4829931976</v>
      </c>
      <c r="R90">
        <f t="shared" ref="R90" si="427">R91+Q90</f>
        <v>-899925502.58556974</v>
      </c>
      <c r="S90">
        <f t="shared" ref="S90" si="428">R90/100000</f>
        <v>-8999.2550258556967</v>
      </c>
      <c r="T90">
        <f t="shared" ref="T90" si="429">S90/1000</f>
        <v>-8.999255025855696</v>
      </c>
    </row>
    <row r="91" spans="1:20" x14ac:dyDescent="0.25">
      <c r="A91" s="5">
        <v>44502</v>
      </c>
      <c r="B91">
        <v>0.21379999999999999</v>
      </c>
      <c r="C91">
        <v>0.23130000000000001</v>
      </c>
      <c r="D91">
        <v>0.20780000000000001</v>
      </c>
      <c r="E91">
        <v>0.22320000000000001</v>
      </c>
      <c r="F91">
        <v>9331569</v>
      </c>
      <c r="G91">
        <v>0.22320000000000001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0.31063829787234054</v>
      </c>
      <c r="Q91">
        <f t="shared" ref="Q91" si="431">F91*P91</f>
        <v>2898742.7106382991</v>
      </c>
      <c r="R91">
        <f t="shared" ref="R91" si="432">R92+Q91</f>
        <v>-907318879.06856298</v>
      </c>
      <c r="S91">
        <f t="shared" ref="S91" si="433">R91/100000</f>
        <v>-9073.18879068563</v>
      </c>
      <c r="T91">
        <f t="shared" ref="T91" si="434">S91/1000</f>
        <v>-9.0731887906856308</v>
      </c>
    </row>
    <row r="92" spans="1:20" x14ac:dyDescent="0.25">
      <c r="A92" s="5">
        <v>44501</v>
      </c>
      <c r="B92">
        <v>0.21029999999999999</v>
      </c>
      <c r="C92">
        <v>0.216</v>
      </c>
      <c r="D92">
        <v>0.2031</v>
      </c>
      <c r="E92">
        <v>0.21390000000000001</v>
      </c>
      <c r="F92">
        <v>8532875</v>
      </c>
      <c r="G92">
        <v>0.21390000000000001</v>
      </c>
      <c r="L92" t="s">
        <v>7</v>
      </c>
      <c r="M92" t="s">
        <v>8</v>
      </c>
      <c r="N92" t="s">
        <v>8</v>
      </c>
      <c r="P92">
        <f t="shared" ref="P92" si="435">IF(C92=D92,0,((E92-D92)-(C92-E92))/(C92-D92))</f>
        <v>0.6744186046511641</v>
      </c>
      <c r="Q92">
        <f t="shared" ref="Q92" si="436">F92*P92</f>
        <v>5754729.6511628022</v>
      </c>
      <c r="R92">
        <f t="shared" ref="R92" si="437">R93+Q92</f>
        <v>-910217621.77920127</v>
      </c>
      <c r="S92">
        <f t="shared" ref="S92" si="438">R92/100000</f>
        <v>-9102.1762177920118</v>
      </c>
      <c r="T92">
        <f t="shared" ref="T92" si="439">S92/1000</f>
        <v>-9.102176217792012</v>
      </c>
    </row>
    <row r="93" spans="1:20" x14ac:dyDescent="0.25">
      <c r="A93" s="5">
        <v>44500</v>
      </c>
      <c r="B93">
        <v>0.20280000000000001</v>
      </c>
      <c r="C93">
        <v>0.23549999999999999</v>
      </c>
      <c r="D93">
        <v>0.2006</v>
      </c>
      <c r="E93">
        <v>0.21029999999999999</v>
      </c>
      <c r="F93">
        <v>27183701</v>
      </c>
      <c r="G93">
        <v>0.21029999999999999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-0.44412607449856789</v>
      </c>
      <c r="Q93">
        <f t="shared" ref="Q93" si="441">F93*P93</f>
        <v>-12072990.415472794</v>
      </c>
      <c r="R93">
        <f t="shared" ref="R93" si="442">R94+Q93</f>
        <v>-915972351.43036401</v>
      </c>
      <c r="S93">
        <f t="shared" ref="S93" si="443">R93/100000</f>
        <v>-9159.7235143036396</v>
      </c>
      <c r="T93">
        <f t="shared" ref="T93" si="444">S93/1000</f>
        <v>-9.1597235143036393</v>
      </c>
    </row>
    <row r="94" spans="1:20" x14ac:dyDescent="0.25">
      <c r="A94" s="5">
        <v>44499</v>
      </c>
      <c r="B94">
        <v>0.20349999999999999</v>
      </c>
      <c r="C94">
        <v>0.2079</v>
      </c>
      <c r="D94">
        <v>0.19800000000000001</v>
      </c>
      <c r="E94">
        <v>0.2029</v>
      </c>
      <c r="F94">
        <v>5462320</v>
      </c>
      <c r="G94">
        <v>0.2029</v>
      </c>
      <c r="L94" t="s">
        <v>8</v>
      </c>
      <c r="M94" t="s">
        <v>7</v>
      </c>
      <c r="N94" t="s">
        <v>8</v>
      </c>
      <c r="P94">
        <f t="shared" ref="P94" si="445">IF(C94=D94,0,((E94-D94)-(C94-E94))/(C94-D94))</f>
        <v>-1.01010101010118E-2</v>
      </c>
      <c r="Q94">
        <f t="shared" ref="Q94" si="446">F94*P94</f>
        <v>-55174.949494958775</v>
      </c>
      <c r="R94">
        <f t="shared" ref="R94" si="447">R95+Q94</f>
        <v>-903899361.01489127</v>
      </c>
      <c r="S94">
        <f t="shared" ref="S94" si="448">R94/100000</f>
        <v>-9038.9936101489129</v>
      </c>
      <c r="T94">
        <f t="shared" ref="T94" si="449">S94/1000</f>
        <v>-9.0389936101489123</v>
      </c>
    </row>
    <row r="95" spans="1:20" x14ac:dyDescent="0.25">
      <c r="A95" s="5">
        <v>44498</v>
      </c>
      <c r="B95">
        <v>0.1973</v>
      </c>
      <c r="C95">
        <v>0.20649999999999999</v>
      </c>
      <c r="D95">
        <v>0.19550000000000001</v>
      </c>
      <c r="E95">
        <v>0.20330000000000001</v>
      </c>
      <c r="F95">
        <v>5210950</v>
      </c>
      <c r="G95">
        <v>0.20330000000000001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0.41818181818182076</v>
      </c>
      <c r="Q95">
        <f t="shared" ref="Q95" si="451">F95*P95</f>
        <v>2179124.5454545589</v>
      </c>
      <c r="R95">
        <f t="shared" ref="R95" si="452">R96+Q95</f>
        <v>-903844186.06539631</v>
      </c>
      <c r="S95">
        <f t="shared" ref="S95" si="453">R95/100000</f>
        <v>-9038.4418606539639</v>
      </c>
      <c r="T95">
        <f t="shared" ref="T95" si="454">S95/1000</f>
        <v>-9.0384418606539647</v>
      </c>
    </row>
    <row r="96" spans="1:20" x14ac:dyDescent="0.25">
      <c r="A96" s="5">
        <v>44497</v>
      </c>
      <c r="B96">
        <v>0.1875</v>
      </c>
      <c r="C96">
        <v>0.20169999999999999</v>
      </c>
      <c r="D96">
        <v>0.18609999999999999</v>
      </c>
      <c r="E96">
        <v>0.1968</v>
      </c>
      <c r="F96">
        <v>6891408</v>
      </c>
      <c r="G96">
        <v>0.1968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0.37179487179487347</v>
      </c>
      <c r="Q96">
        <f t="shared" ref="Q96" si="456">F96*P96</f>
        <v>2562190.1538461656</v>
      </c>
      <c r="R96">
        <f t="shared" ref="R96" si="457">R97+Q96</f>
        <v>-906023310.61085081</v>
      </c>
      <c r="S96">
        <f t="shared" ref="S96" si="458">R96/100000</f>
        <v>-9060.2331061085079</v>
      </c>
      <c r="T96">
        <f t="shared" ref="T96" si="459">S96/1000</f>
        <v>-9.0602331061085071</v>
      </c>
    </row>
    <row r="97" spans="1:20" x14ac:dyDescent="0.25">
      <c r="A97" s="5">
        <v>44496</v>
      </c>
      <c r="B97">
        <v>0.2215</v>
      </c>
      <c r="C97">
        <v>0.22309999999999999</v>
      </c>
      <c r="D97">
        <v>0.1875</v>
      </c>
      <c r="E97">
        <v>0.1875</v>
      </c>
      <c r="F97">
        <v>12261361</v>
      </c>
      <c r="G97">
        <v>0.1875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-1</v>
      </c>
      <c r="Q97">
        <f t="shared" ref="Q97" si="461">F97*P97</f>
        <v>-12261361</v>
      </c>
      <c r="R97">
        <f t="shared" ref="R97" si="462">R98+Q97</f>
        <v>-908585500.76469696</v>
      </c>
      <c r="S97">
        <f t="shared" ref="S97" si="463">R97/100000</f>
        <v>-9085.8550076469692</v>
      </c>
      <c r="T97">
        <f t="shared" ref="T97" si="464">S97/1000</f>
        <v>-9.0858550076469697</v>
      </c>
    </row>
    <row r="98" spans="1:20" x14ac:dyDescent="0.25">
      <c r="A98" s="5">
        <v>44495</v>
      </c>
      <c r="B98">
        <v>0.2271</v>
      </c>
      <c r="C98">
        <v>0.22819999999999999</v>
      </c>
      <c r="D98">
        <v>0.21870000000000001</v>
      </c>
      <c r="E98">
        <v>0.22140000000000001</v>
      </c>
      <c r="F98">
        <v>4983825</v>
      </c>
      <c r="G98">
        <v>0.22140000000000001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-0.43157894736841823</v>
      </c>
      <c r="Q98">
        <f t="shared" ref="Q98" si="466">F98*P98</f>
        <v>-2150913.9473684072</v>
      </c>
      <c r="R98">
        <f t="shared" ref="R98" si="467">R99+Q98</f>
        <v>-896324139.76469696</v>
      </c>
      <c r="S98">
        <f t="shared" ref="S98" si="468">R98/100000</f>
        <v>-8963.2413976469688</v>
      </c>
      <c r="T98">
        <f t="shared" ref="T98" si="469">S98/1000</f>
        <v>-8.9632413976469696</v>
      </c>
    </row>
    <row r="99" spans="1:20" x14ac:dyDescent="0.25">
      <c r="A99" s="5">
        <v>44494</v>
      </c>
      <c r="B99">
        <v>0.22109999999999999</v>
      </c>
      <c r="C99">
        <v>0.22839999999999999</v>
      </c>
      <c r="D99">
        <v>0.21990000000000001</v>
      </c>
      <c r="E99">
        <v>0.22670000000000001</v>
      </c>
      <c r="F99">
        <v>3946703</v>
      </c>
      <c r="G99">
        <v>0.22670000000000001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0.60000000000000386</v>
      </c>
      <c r="Q99">
        <f t="shared" ref="Q99" si="471">F99*P99</f>
        <v>2368021.8000000152</v>
      </c>
      <c r="R99">
        <f t="shared" ref="R99" si="472">R100+Q99</f>
        <v>-894173225.81732857</v>
      </c>
      <c r="S99">
        <f t="shared" ref="S99" si="473">R99/100000</f>
        <v>-8941.732258173286</v>
      </c>
      <c r="T99">
        <f t="shared" ref="T99" si="474">S99/1000</f>
        <v>-8.9417322581732854</v>
      </c>
    </row>
    <row r="100" spans="1:20" x14ac:dyDescent="0.25">
      <c r="A100" s="5">
        <v>44493</v>
      </c>
      <c r="B100">
        <v>0.2283</v>
      </c>
      <c r="C100">
        <v>0.2291</v>
      </c>
      <c r="D100">
        <v>0.21629999999999999</v>
      </c>
      <c r="E100">
        <v>0.221</v>
      </c>
      <c r="F100">
        <v>4496302</v>
      </c>
      <c r="G100">
        <v>0.221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-0.26562499999999883</v>
      </c>
      <c r="Q100">
        <f t="shared" ref="Q100" si="476">F100*P100</f>
        <v>-1194330.2187499946</v>
      </c>
      <c r="R100">
        <f t="shared" ref="R100" si="477">R101+Q100</f>
        <v>-896541247.61732864</v>
      </c>
      <c r="S100">
        <f t="shared" ref="S100" si="478">R100/100000</f>
        <v>-8965.4124761732855</v>
      </c>
      <c r="T100">
        <f t="shared" ref="T100" si="479">S100/1000</f>
        <v>-8.9654124761732863</v>
      </c>
    </row>
    <row r="101" spans="1:20" x14ac:dyDescent="0.25">
      <c r="A101" s="5">
        <v>44492</v>
      </c>
      <c r="B101">
        <v>0.22919999999999999</v>
      </c>
      <c r="C101">
        <v>0.23499999999999999</v>
      </c>
      <c r="D101">
        <v>0.22600000000000001</v>
      </c>
      <c r="E101">
        <v>0.2288</v>
      </c>
      <c r="F101">
        <v>4269566</v>
      </c>
      <c r="G101">
        <v>0.2288</v>
      </c>
      <c r="L101" t="s">
        <v>8</v>
      </c>
      <c r="M101" t="s">
        <v>7</v>
      </c>
      <c r="N101" t="s">
        <v>8</v>
      </c>
      <c r="P101">
        <f t="shared" ref="P101" si="480">IF(C101=D101,0,((E101-D101)-(C101-E101))/(C101-D101))</f>
        <v>-0.3777777777777771</v>
      </c>
      <c r="Q101">
        <f t="shared" ref="Q101" si="481">F101*P101</f>
        <v>-1612947.1555555526</v>
      </c>
      <c r="R101">
        <f t="shared" ref="R101" si="482">R102+Q101</f>
        <v>-895346917.39857864</v>
      </c>
      <c r="S101">
        <f t="shared" ref="S101" si="483">R101/100000</f>
        <v>-8953.4691739857863</v>
      </c>
      <c r="T101">
        <f t="shared" ref="T101" si="484">S101/1000</f>
        <v>-8.9534691739857859</v>
      </c>
    </row>
    <row r="102" spans="1:20" x14ac:dyDescent="0.25">
      <c r="A102" s="5">
        <v>44491</v>
      </c>
      <c r="B102">
        <v>0.223</v>
      </c>
      <c r="C102">
        <v>0.2326</v>
      </c>
      <c r="D102">
        <v>0.22259999999999999</v>
      </c>
      <c r="E102">
        <v>0.22919999999999999</v>
      </c>
      <c r="F102">
        <v>5247440</v>
      </c>
      <c r="G102">
        <v>0.22919999999999999</v>
      </c>
      <c r="L102" t="s">
        <v>8</v>
      </c>
      <c r="M102" t="s">
        <v>7</v>
      </c>
      <c r="N102" t="s">
        <v>8</v>
      </c>
      <c r="P102">
        <f t="shared" ref="P102" si="485">IF(C102=D102,0,((E102-D102)-(C102-E102))/(C102-D102))</f>
        <v>0.31999999999999779</v>
      </c>
      <c r="Q102">
        <f t="shared" ref="Q102" si="486">F102*P102</f>
        <v>1679180.7999999884</v>
      </c>
      <c r="R102">
        <f t="shared" ref="R102" si="487">R103+Q102</f>
        <v>-893733970.24302304</v>
      </c>
      <c r="S102">
        <f t="shared" ref="S102" si="488">R102/100000</f>
        <v>-8937.3397024302303</v>
      </c>
      <c r="T102">
        <f t="shared" ref="T102" si="489">S102/1000</f>
        <v>-8.937339702430231</v>
      </c>
    </row>
    <row r="103" spans="1:20" x14ac:dyDescent="0.25">
      <c r="A103" s="5">
        <v>44490</v>
      </c>
      <c r="B103">
        <v>0.2263</v>
      </c>
      <c r="C103">
        <v>0.24</v>
      </c>
      <c r="D103">
        <v>0.219</v>
      </c>
      <c r="E103">
        <v>0.22289999999999999</v>
      </c>
      <c r="F103">
        <v>16807976</v>
      </c>
      <c r="G103">
        <v>0.22289999999999999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-0.62857142857142967</v>
      </c>
      <c r="Q103">
        <f t="shared" ref="Q103" si="491">F103*P103</f>
        <v>-10565013.485714303</v>
      </c>
      <c r="R103">
        <f t="shared" ref="R103" si="492">R104+Q103</f>
        <v>-895413151.04302299</v>
      </c>
      <c r="S103">
        <f t="shared" ref="S103" si="493">R103/100000</f>
        <v>-8954.1315104302303</v>
      </c>
      <c r="T103">
        <f t="shared" ref="T103" si="494">S103/1000</f>
        <v>-8.9541315104302299</v>
      </c>
    </row>
    <row r="104" spans="1:20" x14ac:dyDescent="0.25">
      <c r="A104" s="5">
        <v>44489</v>
      </c>
      <c r="B104">
        <v>0.21679999999999999</v>
      </c>
      <c r="C104">
        <v>0.2298</v>
      </c>
      <c r="D104">
        <v>0.216</v>
      </c>
      <c r="E104">
        <v>0.22620000000000001</v>
      </c>
      <c r="F104">
        <v>10743813</v>
      </c>
      <c r="G104">
        <v>0.22620000000000001</v>
      </c>
      <c r="L104" t="s">
        <v>7</v>
      </c>
      <c r="M104" t="s">
        <v>7</v>
      </c>
      <c r="N104" t="s">
        <v>8</v>
      </c>
      <c r="P104">
        <f t="shared" ref="P104" si="495">IF(C104=D104,0,((E104-D104)-(C104-E104))/(C104-D104))</f>
        <v>0.47826086956521879</v>
      </c>
      <c r="Q104">
        <f t="shared" ref="Q104" si="496">F104*P104</f>
        <v>5138345.3478261018</v>
      </c>
      <c r="R104">
        <f t="shared" ref="R104" si="497">R105+Q104</f>
        <v>-884848137.55730867</v>
      </c>
      <c r="S104">
        <f t="shared" ref="S104" si="498">R104/100000</f>
        <v>-8848.4813755730866</v>
      </c>
      <c r="T104">
        <f t="shared" ref="T104" si="499">S104/1000</f>
        <v>-8.8484813755730869</v>
      </c>
    </row>
    <row r="105" spans="1:20" x14ac:dyDescent="0.25">
      <c r="A105" s="5">
        <v>44488</v>
      </c>
      <c r="B105">
        <v>0.2273</v>
      </c>
      <c r="C105">
        <v>0.22789999999999999</v>
      </c>
      <c r="D105">
        <v>0.2155</v>
      </c>
      <c r="E105">
        <v>0.21679999999999999</v>
      </c>
      <c r="F105">
        <v>7041031</v>
      </c>
      <c r="G105">
        <v>0.21679999999999999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-0.79032258064516192</v>
      </c>
      <c r="Q105">
        <f t="shared" ref="Q105" si="501">F105*P105</f>
        <v>-5564685.790322585</v>
      </c>
      <c r="R105">
        <f t="shared" ref="R105" si="502">R106+Q105</f>
        <v>-889986482.9051348</v>
      </c>
      <c r="S105">
        <f t="shared" ref="S105" si="503">R105/100000</f>
        <v>-8899.8648290513484</v>
      </c>
      <c r="T105">
        <f t="shared" ref="T105" si="504">S105/1000</f>
        <v>-8.8998648290513476</v>
      </c>
    </row>
    <row r="106" spans="1:20" x14ac:dyDescent="0.25">
      <c r="A106" s="5">
        <v>44487</v>
      </c>
      <c r="B106">
        <v>0.23880000000000001</v>
      </c>
      <c r="C106">
        <v>0.23980000000000001</v>
      </c>
      <c r="D106">
        <v>0.2238</v>
      </c>
      <c r="E106">
        <v>0.2268</v>
      </c>
      <c r="F106">
        <v>10823383</v>
      </c>
      <c r="G106">
        <v>0.2268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-0.625</v>
      </c>
      <c r="Q106">
        <f t="shared" ref="Q106" si="506">F106*P106</f>
        <v>-6764614.375</v>
      </c>
      <c r="R106">
        <f t="shared" ref="R106" si="507">R107+Q106</f>
        <v>-884421797.11481225</v>
      </c>
      <c r="S106">
        <f t="shared" ref="S106" si="508">R106/100000</f>
        <v>-8844.2179711481222</v>
      </c>
      <c r="T106">
        <f t="shared" ref="T106" si="509">S106/1000</f>
        <v>-8.8442179711481224</v>
      </c>
    </row>
    <row r="107" spans="1:20" x14ac:dyDescent="0.25">
      <c r="A107" s="5">
        <v>44486</v>
      </c>
      <c r="B107">
        <v>0.23519999999999999</v>
      </c>
      <c r="C107">
        <v>0.25440000000000002</v>
      </c>
      <c r="D107">
        <v>0.2291</v>
      </c>
      <c r="E107">
        <v>0.23880000000000001</v>
      </c>
      <c r="F107">
        <v>14821082</v>
      </c>
      <c r="G107">
        <v>0.23880000000000001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-0.23320158102766739</v>
      </c>
      <c r="Q107">
        <f t="shared" ref="Q107" si="511">F107*P107</f>
        <v>-3456299.7549407026</v>
      </c>
      <c r="R107">
        <f t="shared" ref="R107" si="512">R108+Q107</f>
        <v>-877657182.73981225</v>
      </c>
      <c r="S107">
        <f t="shared" ref="S107" si="513">R107/100000</f>
        <v>-8776.571827398122</v>
      </c>
      <c r="T107">
        <f t="shared" ref="T107" si="514">S107/1000</f>
        <v>-8.7765718273981221</v>
      </c>
    </row>
    <row r="108" spans="1:20" x14ac:dyDescent="0.25">
      <c r="A108" s="5">
        <v>44485</v>
      </c>
      <c r="B108">
        <v>0.23269999999999999</v>
      </c>
      <c r="C108">
        <v>0.2505</v>
      </c>
      <c r="D108">
        <v>0.22989999999999999</v>
      </c>
      <c r="E108">
        <v>0.23519999999999999</v>
      </c>
      <c r="F108">
        <v>20414525</v>
      </c>
      <c r="G108">
        <v>0.23519999999999999</v>
      </c>
      <c r="L108" t="s">
        <v>8</v>
      </c>
      <c r="M108" t="s">
        <v>7</v>
      </c>
      <c r="N108" t="s">
        <v>8</v>
      </c>
      <c r="P108">
        <f t="shared" ref="P108" si="515">IF(C108=D108,0,((E108-D108)-(C108-E108))/(C108-D108))</f>
        <v>-0.48543689320388378</v>
      </c>
      <c r="Q108">
        <f t="shared" ref="Q108" si="516">F108*P108</f>
        <v>-9909963.5922330152</v>
      </c>
      <c r="R108">
        <f t="shared" ref="R108" si="517">R109+Q108</f>
        <v>-874200882.98487151</v>
      </c>
      <c r="S108">
        <f t="shared" ref="S108" si="518">R108/100000</f>
        <v>-8742.0088298487153</v>
      </c>
      <c r="T108">
        <f t="shared" ref="T108" si="519">S108/1000</f>
        <v>-8.7420088298487162</v>
      </c>
    </row>
    <row r="109" spans="1:20" x14ac:dyDescent="0.25">
      <c r="A109" s="5">
        <v>44484</v>
      </c>
      <c r="B109">
        <v>0.21659999999999999</v>
      </c>
      <c r="C109">
        <v>0.23980000000000001</v>
      </c>
      <c r="D109">
        <v>0.21299999999999999</v>
      </c>
      <c r="E109">
        <v>0.23350000000000001</v>
      </c>
      <c r="F109">
        <v>18751161</v>
      </c>
      <c r="G109">
        <v>0.23350000000000001</v>
      </c>
      <c r="L109" t="s">
        <v>8</v>
      </c>
      <c r="M109" t="s">
        <v>7</v>
      </c>
      <c r="N109" t="s">
        <v>8</v>
      </c>
      <c r="P109">
        <f t="shared" ref="P109" si="520">IF(C109=D109,0,((E109-D109)-(C109-E109))/(C109-D109))</f>
        <v>0.52985074626865702</v>
      </c>
      <c r="Q109">
        <f t="shared" ref="Q109" si="521">F109*P109</f>
        <v>9935316.6492537372</v>
      </c>
      <c r="R109">
        <f t="shared" ref="R109" si="522">R110+Q109</f>
        <v>-864290919.39263844</v>
      </c>
      <c r="S109">
        <f t="shared" ref="S109" si="523">R109/100000</f>
        <v>-8642.9091939263853</v>
      </c>
      <c r="T109">
        <f t="shared" ref="T109" si="524">S109/1000</f>
        <v>-8.6429091939263856</v>
      </c>
    </row>
    <row r="110" spans="1:20" x14ac:dyDescent="0.25">
      <c r="A110" s="5">
        <v>44483</v>
      </c>
      <c r="B110">
        <v>0.21279999999999999</v>
      </c>
      <c r="C110">
        <v>0.2276</v>
      </c>
      <c r="D110">
        <v>0.21129999999999999</v>
      </c>
      <c r="E110">
        <v>0.21659999999999999</v>
      </c>
      <c r="F110">
        <v>9874990</v>
      </c>
      <c r="G110">
        <v>0.21659999999999999</v>
      </c>
      <c r="L110" t="s">
        <v>7</v>
      </c>
      <c r="M110" t="s">
        <v>7</v>
      </c>
      <c r="N110" t="s">
        <v>8</v>
      </c>
      <c r="P110">
        <f t="shared" ref="P110" si="525">IF(C110=D110,0,((E110-D110)-(C110-E110))/(C110-D110))</f>
        <v>-0.34969325153374281</v>
      </c>
      <c r="Q110">
        <f t="shared" ref="Q110" si="526">F110*P110</f>
        <v>-3453217.3619631948</v>
      </c>
      <c r="R110">
        <f t="shared" ref="R110" si="527">R111+Q110</f>
        <v>-874226236.04189217</v>
      </c>
      <c r="S110">
        <f t="shared" ref="S110" si="528">R110/100000</f>
        <v>-8742.2623604189212</v>
      </c>
      <c r="T110">
        <f t="shared" ref="T110" si="529">S110/1000</f>
        <v>-8.7422623604189216</v>
      </c>
    </row>
    <row r="111" spans="1:20" x14ac:dyDescent="0.25">
      <c r="A111" s="5">
        <v>44482</v>
      </c>
      <c r="B111">
        <v>0.2064</v>
      </c>
      <c r="C111">
        <v>0.26140000000000002</v>
      </c>
      <c r="D111">
        <v>0.20150000000000001</v>
      </c>
      <c r="E111">
        <v>0.21229999999999999</v>
      </c>
      <c r="F111">
        <v>45135397</v>
      </c>
      <c r="G111">
        <v>0.21229999999999999</v>
      </c>
      <c r="L111" t="s">
        <v>8</v>
      </c>
      <c r="M111" t="s">
        <v>8</v>
      </c>
      <c r="N111" t="s">
        <v>8</v>
      </c>
      <c r="P111">
        <f t="shared" ref="P111" si="530">IF(C111=D111,0,((E111-D111)-(C111-E111))/(C111-D111))</f>
        <v>-0.6393989983305518</v>
      </c>
      <c r="Q111">
        <f t="shared" ref="Q111" si="531">F111*P111</f>
        <v>-28859527.631051794</v>
      </c>
      <c r="R111">
        <f t="shared" ref="R111" si="532">R112+Q111</f>
        <v>-870773018.67992902</v>
      </c>
      <c r="S111">
        <f t="shared" ref="S111" si="533">R111/100000</f>
        <v>-8707.7301867992901</v>
      </c>
      <c r="T111">
        <f t="shared" ref="T111" si="534">S111/1000</f>
        <v>-8.7077301867992905</v>
      </c>
    </row>
    <row r="112" spans="1:20" x14ac:dyDescent="0.25">
      <c r="A112" s="5">
        <v>44481</v>
      </c>
      <c r="B112">
        <v>0.21840000000000001</v>
      </c>
      <c r="C112">
        <v>0.21859999999999999</v>
      </c>
      <c r="D112">
        <v>0.20080000000000001</v>
      </c>
      <c r="E112">
        <v>0.2064</v>
      </c>
      <c r="F112">
        <v>6124579</v>
      </c>
      <c r="G112">
        <v>0.2064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-0.37078651685393266</v>
      </c>
      <c r="Q112">
        <f t="shared" ref="Q112" si="536">F112*P112</f>
        <v>-2270911.314606742</v>
      </c>
      <c r="R112">
        <f t="shared" ref="R112" si="537">R113+Q112</f>
        <v>-841913491.04887724</v>
      </c>
      <c r="S112">
        <f t="shared" ref="S112" si="538">R112/100000</f>
        <v>-8419.1349104887722</v>
      </c>
      <c r="T112">
        <f t="shared" ref="T112" si="539">S112/1000</f>
        <v>-8.4191349104887721</v>
      </c>
    </row>
    <row r="113" spans="1:20" x14ac:dyDescent="0.25">
      <c r="A113" s="5">
        <v>44480</v>
      </c>
      <c r="B113">
        <v>0.2142</v>
      </c>
      <c r="C113">
        <v>0.23</v>
      </c>
      <c r="D113">
        <v>0.21340000000000001</v>
      </c>
      <c r="E113">
        <v>0.218</v>
      </c>
      <c r="F113">
        <v>8593334</v>
      </c>
      <c r="G113">
        <v>0.218</v>
      </c>
      <c r="L113" t="s">
        <v>8</v>
      </c>
      <c r="M113" t="s">
        <v>7</v>
      </c>
      <c r="N113" t="s">
        <v>8</v>
      </c>
      <c r="P113">
        <f t="shared" ref="P113" si="540">IF(C113=D113,0,((E113-D113)-(C113-E113))/(C113-D113))</f>
        <v>-0.44578313253012147</v>
      </c>
      <c r="Q113">
        <f t="shared" ref="Q113" si="541">F113*P113</f>
        <v>-3830763.3493975988</v>
      </c>
      <c r="R113">
        <f t="shared" ref="R113" si="542">R114+Q113</f>
        <v>-839642579.73427045</v>
      </c>
      <c r="S113">
        <f t="shared" ref="S113" si="543">R113/100000</f>
        <v>-8396.4257973427048</v>
      </c>
      <c r="T113">
        <f t="shared" ref="T113" si="544">S113/1000</f>
        <v>-8.3964257973427046</v>
      </c>
    </row>
    <row r="114" spans="1:20" x14ac:dyDescent="0.25">
      <c r="A114" s="5">
        <v>44479</v>
      </c>
      <c r="B114">
        <v>0.2122</v>
      </c>
      <c r="C114">
        <v>0.22989999999999999</v>
      </c>
      <c r="D114">
        <v>0.2056</v>
      </c>
      <c r="E114">
        <v>0.21410000000000001</v>
      </c>
      <c r="F114">
        <v>14798542</v>
      </c>
      <c r="G114">
        <v>0.21410000000000001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-0.30041152263374388</v>
      </c>
      <c r="Q114">
        <f t="shared" ref="Q114" si="546">F114*P114</f>
        <v>-4445652.5349794095</v>
      </c>
      <c r="R114">
        <f t="shared" ref="R114" si="547">R115+Q114</f>
        <v>-835811816.38487291</v>
      </c>
      <c r="S114">
        <f t="shared" ref="S114" si="548">R114/100000</f>
        <v>-8358.1181638487287</v>
      </c>
      <c r="T114">
        <f t="shared" ref="T114" si="549">S114/1000</f>
        <v>-8.3581181638487294</v>
      </c>
    </row>
    <row r="115" spans="1:20" x14ac:dyDescent="0.25">
      <c r="A115" s="5">
        <v>44478</v>
      </c>
      <c r="B115">
        <v>0.2089</v>
      </c>
      <c r="C115">
        <v>0.2399</v>
      </c>
      <c r="D115">
        <v>0.2077</v>
      </c>
      <c r="E115">
        <v>0.21210000000000001</v>
      </c>
      <c r="F115">
        <v>16026826</v>
      </c>
      <c r="G115">
        <v>0.21210000000000001</v>
      </c>
      <c r="L115" t="s">
        <v>8</v>
      </c>
      <c r="M115" t="s">
        <v>7</v>
      </c>
      <c r="N115" t="s">
        <v>8</v>
      </c>
      <c r="P115">
        <f t="shared" ref="P115" si="550">IF(C115=D115,0,((E115-D115)-(C115-E115))/(C115-D115))</f>
        <v>-0.72670807453416064</v>
      </c>
      <c r="Q115">
        <f t="shared" ref="Q115" si="551">F115*P115</f>
        <v>-11646823.863354024</v>
      </c>
      <c r="R115">
        <f t="shared" ref="R115" si="552">R116+Q115</f>
        <v>-831366163.84989345</v>
      </c>
      <c r="S115">
        <f t="shared" ref="S115" si="553">R115/100000</f>
        <v>-8313.6616384989338</v>
      </c>
      <c r="T115">
        <f t="shared" ref="T115" si="554">S115/1000</f>
        <v>-8.3136616384989335</v>
      </c>
    </row>
    <row r="116" spans="1:20" x14ac:dyDescent="0.25">
      <c r="A116" s="5">
        <v>44477</v>
      </c>
      <c r="B116">
        <v>0.20910000000000001</v>
      </c>
      <c r="C116">
        <v>0.21329999999999999</v>
      </c>
      <c r="D116">
        <v>0.2029</v>
      </c>
      <c r="E116">
        <v>0.20860000000000001</v>
      </c>
      <c r="F116">
        <v>8505988</v>
      </c>
      <c r="G116">
        <v>0.20860000000000001</v>
      </c>
      <c r="L116" t="s">
        <v>8</v>
      </c>
      <c r="M116" t="s">
        <v>7</v>
      </c>
      <c r="N116" t="s">
        <v>8</v>
      </c>
      <c r="P116">
        <f t="shared" ref="P116" si="555">IF(C116=D116,0,((E116-D116)-(C116-E116))/(C116-D116))</f>
        <v>9.6153846153848976E-2</v>
      </c>
      <c r="Q116">
        <f t="shared" ref="Q116" si="556">F116*P116</f>
        <v>817883.4615384856</v>
      </c>
      <c r="R116">
        <f t="shared" ref="R116" si="557">R117+Q116</f>
        <v>-819719339.98653948</v>
      </c>
      <c r="S116">
        <f t="shared" ref="S116" si="558">R116/100000</f>
        <v>-8197.1933998653949</v>
      </c>
      <c r="T116">
        <f t="shared" ref="T116" si="559">S116/1000</f>
        <v>-8.1971933998653945</v>
      </c>
    </row>
    <row r="117" spans="1:20" x14ac:dyDescent="0.25">
      <c r="A117" s="5">
        <v>44476</v>
      </c>
      <c r="B117">
        <v>0.2094</v>
      </c>
      <c r="C117">
        <v>0.21659999999999999</v>
      </c>
      <c r="D117">
        <v>0.20150000000000001</v>
      </c>
      <c r="E117">
        <v>0.20910000000000001</v>
      </c>
      <c r="F117">
        <v>9279865</v>
      </c>
      <c r="G117">
        <v>0.20910000000000001</v>
      </c>
      <c r="L117" t="s">
        <v>8</v>
      </c>
      <c r="M117" t="s">
        <v>7</v>
      </c>
      <c r="N117" t="s">
        <v>8</v>
      </c>
      <c r="P117">
        <f t="shared" ref="P117" si="560">IF(C117=D117,0,((E117-D117)-(C117-E117))/(C117-D117))</f>
        <v>6.6225165562925105E-3</v>
      </c>
      <c r="Q117">
        <f t="shared" ref="Q117" si="561">F117*P117</f>
        <v>61456.059602659399</v>
      </c>
      <c r="R117">
        <f t="shared" ref="R117" si="562">R118+Q117</f>
        <v>-820537223.44807792</v>
      </c>
      <c r="S117">
        <f t="shared" ref="S117" si="563">R117/100000</f>
        <v>-8205.3722344807793</v>
      </c>
      <c r="T117">
        <f t="shared" ref="T117" si="564">S117/1000</f>
        <v>-8.2053722344807785</v>
      </c>
    </row>
    <row r="118" spans="1:20" x14ac:dyDescent="0.25">
      <c r="A118" s="5">
        <v>44475</v>
      </c>
      <c r="B118">
        <v>0.21740000000000001</v>
      </c>
      <c r="C118">
        <v>0.2203</v>
      </c>
      <c r="D118">
        <v>0.2</v>
      </c>
      <c r="E118">
        <v>0.20930000000000001</v>
      </c>
      <c r="F118">
        <v>10059934</v>
      </c>
      <c r="G118">
        <v>0.20930000000000001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-8.3743842364531057E-2</v>
      </c>
      <c r="Q118">
        <f t="shared" ref="Q118" si="566">F118*P118</f>
        <v>-842457.5270935864</v>
      </c>
      <c r="R118">
        <f t="shared" ref="R118" si="567">R119+Q118</f>
        <v>-820598679.50768054</v>
      </c>
      <c r="S118">
        <f t="shared" ref="S118" si="568">R118/100000</f>
        <v>-8205.9867950768057</v>
      </c>
      <c r="T118">
        <f t="shared" ref="T118" si="569">S118/1000</f>
        <v>-8.2059867950768055</v>
      </c>
    </row>
    <row r="119" spans="1:20" x14ac:dyDescent="0.25">
      <c r="A119" s="5">
        <v>44474</v>
      </c>
      <c r="B119">
        <v>0.2034</v>
      </c>
      <c r="C119">
        <v>0.21970000000000001</v>
      </c>
      <c r="D119">
        <v>0.20230000000000001</v>
      </c>
      <c r="E119">
        <v>0.21809999999999999</v>
      </c>
      <c r="F119">
        <v>9453255</v>
      </c>
      <c r="G119">
        <v>0.21809999999999999</v>
      </c>
      <c r="L119" t="s">
        <v>8</v>
      </c>
      <c r="M119" t="s">
        <v>7</v>
      </c>
      <c r="N119" t="s">
        <v>8</v>
      </c>
      <c r="P119">
        <f t="shared" ref="P119" si="570">IF(C119=D119,0,((E119-D119)-(C119-E119))/(C119-D119))</f>
        <v>0.8160919540229864</v>
      </c>
      <c r="Q119">
        <f t="shared" ref="Q119" si="571">F119*P119</f>
        <v>7714725.3448275663</v>
      </c>
      <c r="R119">
        <f t="shared" ref="R119" si="572">R120+Q119</f>
        <v>-819756221.98058701</v>
      </c>
      <c r="S119">
        <f t="shared" ref="S119" si="573">R119/100000</f>
        <v>-8197.56221980587</v>
      </c>
      <c r="T119">
        <f t="shared" ref="T119" si="574">S119/1000</f>
        <v>-8.1975622198058709</v>
      </c>
    </row>
    <row r="120" spans="1:20" x14ac:dyDescent="0.25">
      <c r="A120" s="5">
        <v>44473</v>
      </c>
      <c r="B120">
        <v>0.21340000000000001</v>
      </c>
      <c r="C120">
        <v>0.21410000000000001</v>
      </c>
      <c r="D120">
        <v>0.20100000000000001</v>
      </c>
      <c r="E120">
        <v>0.2039</v>
      </c>
      <c r="F120">
        <v>12420442</v>
      </c>
      <c r="G120">
        <v>0.2039</v>
      </c>
      <c r="L120" t="s">
        <v>7</v>
      </c>
      <c r="M120" t="s">
        <v>7</v>
      </c>
      <c r="N120" t="s">
        <v>8</v>
      </c>
      <c r="P120">
        <f t="shared" ref="P120" si="575">IF(C120=D120,0,((E120-D120)-(C120-E120))/(C120-D120))</f>
        <v>-0.55725190839694871</v>
      </c>
      <c r="Q120">
        <f t="shared" ref="Q120" si="576">F120*P120</f>
        <v>-6921315.0076336144</v>
      </c>
      <c r="R120">
        <f t="shared" ref="R120" si="577">R121+Q120</f>
        <v>-827470947.32541454</v>
      </c>
      <c r="S120">
        <f t="shared" ref="S120" si="578">R120/100000</f>
        <v>-8274.7094732541445</v>
      </c>
      <c r="T120">
        <f t="shared" ref="T120" si="579">S120/1000</f>
        <v>-8.2747094732541449</v>
      </c>
    </row>
    <row r="121" spans="1:20" x14ac:dyDescent="0.25">
      <c r="A121" s="5">
        <v>44472</v>
      </c>
      <c r="B121">
        <v>0.2225</v>
      </c>
      <c r="C121">
        <v>0.23</v>
      </c>
      <c r="D121">
        <v>0.21029999999999999</v>
      </c>
      <c r="E121">
        <v>0.21290000000000001</v>
      </c>
      <c r="F121">
        <v>15563808</v>
      </c>
      <c r="G121">
        <v>0.21290000000000001</v>
      </c>
      <c r="L121" t="s">
        <v>7</v>
      </c>
      <c r="M121" t="s">
        <v>8</v>
      </c>
      <c r="N121" t="s">
        <v>8</v>
      </c>
      <c r="P121">
        <f t="shared" ref="P121" si="580">IF(C121=D121,0,((E121-D121)-(C121-E121))/(C121-D121))</f>
        <v>-0.73604060913705427</v>
      </c>
      <c r="Q121">
        <f t="shared" ref="Q121" si="581">F121*P121</f>
        <v>-11455594.720812159</v>
      </c>
      <c r="R121">
        <f t="shared" ref="R121" si="582">R122+Q121</f>
        <v>-820549632.31778097</v>
      </c>
      <c r="S121">
        <f t="shared" ref="S121" si="583">R121/100000</f>
        <v>-8205.4963231778092</v>
      </c>
      <c r="T121">
        <f t="shared" ref="T121" si="584">S121/1000</f>
        <v>-8.20549632317781</v>
      </c>
    </row>
    <row r="122" spans="1:20" x14ac:dyDescent="0.25">
      <c r="A122" s="5">
        <v>44471</v>
      </c>
      <c r="B122">
        <v>0.2019</v>
      </c>
      <c r="C122">
        <v>0.2472</v>
      </c>
      <c r="D122">
        <v>0.1966</v>
      </c>
      <c r="E122">
        <v>0.2225</v>
      </c>
      <c r="F122">
        <v>37924059</v>
      </c>
      <c r="G122">
        <v>0.2225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2.3715415019762973E-2</v>
      </c>
      <c r="Q122">
        <f t="shared" ref="Q122" si="586">F122*P122</f>
        <v>899384.79841897718</v>
      </c>
      <c r="R122">
        <f t="shared" ref="R122" si="587">R123+Q122</f>
        <v>-809094037.59696877</v>
      </c>
      <c r="S122">
        <f t="shared" ref="S122" si="588">R122/100000</f>
        <v>-8090.9403759696879</v>
      </c>
      <c r="T122">
        <f t="shared" ref="T122" si="589">S122/1000</f>
        <v>-8.0909403759696872</v>
      </c>
    </row>
    <row r="123" spans="1:20" x14ac:dyDescent="0.25">
      <c r="A123" s="5">
        <v>44470</v>
      </c>
      <c r="B123">
        <v>0.19</v>
      </c>
      <c r="C123">
        <v>0.20699999999999999</v>
      </c>
      <c r="D123">
        <v>0.1875</v>
      </c>
      <c r="E123">
        <v>0.2019</v>
      </c>
      <c r="F123">
        <v>27910893</v>
      </c>
      <c r="G123">
        <v>0.2019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0.47692307692307734</v>
      </c>
      <c r="Q123">
        <f t="shared" ref="Q123" si="591">F123*P123</f>
        <v>13311348.96923078</v>
      </c>
      <c r="R123">
        <f t="shared" ref="R123" si="592">R124+Q123</f>
        <v>-809993422.39538777</v>
      </c>
      <c r="S123">
        <f t="shared" ref="S123" si="593">R123/100000</f>
        <v>-8099.9342239538773</v>
      </c>
      <c r="T123">
        <f t="shared" ref="T123" si="594">S123/1000</f>
        <v>-8.099934223953877</v>
      </c>
    </row>
    <row r="124" spans="1:20" x14ac:dyDescent="0.25">
      <c r="A124" s="5">
        <v>44469</v>
      </c>
      <c r="B124">
        <v>0.18540000000000001</v>
      </c>
      <c r="C124">
        <v>0.19470000000000001</v>
      </c>
      <c r="D124">
        <v>0.18279999999999999</v>
      </c>
      <c r="E124">
        <v>0.19</v>
      </c>
      <c r="F124">
        <v>8491193</v>
      </c>
      <c r="G124">
        <v>0.19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0.21008403361344519</v>
      </c>
      <c r="Q124">
        <f t="shared" ref="Q124" si="596">F124*P124</f>
        <v>1783864.0756302504</v>
      </c>
      <c r="R124">
        <f t="shared" ref="R124" si="597">R125+Q124</f>
        <v>-823304771.36461854</v>
      </c>
      <c r="S124">
        <f t="shared" ref="S124" si="598">R124/100000</f>
        <v>-8233.047713646185</v>
      </c>
      <c r="T124">
        <f t="shared" ref="T124" si="599">S124/1000</f>
        <v>-8.2330477136461848</v>
      </c>
    </row>
    <row r="125" spans="1:20" x14ac:dyDescent="0.25">
      <c r="A125" s="5">
        <v>44468</v>
      </c>
      <c r="B125">
        <v>0.17780000000000001</v>
      </c>
      <c r="C125">
        <v>0.20369999999999999</v>
      </c>
      <c r="D125">
        <v>0.1759</v>
      </c>
      <c r="E125">
        <v>0.18529999999999999</v>
      </c>
      <c r="F125">
        <v>12800459.1</v>
      </c>
      <c r="G125">
        <v>0.18529999999999999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-0.32374100719424498</v>
      </c>
      <c r="Q125">
        <f t="shared" ref="Q125" si="601">F125*P125</f>
        <v>-4144033.5215827385</v>
      </c>
      <c r="R125">
        <f t="shared" ref="R125" si="602">R126+Q125</f>
        <v>-825088635.44024885</v>
      </c>
      <c r="S125">
        <f t="shared" ref="S125" si="603">R125/100000</f>
        <v>-8250.886354402488</v>
      </c>
      <c r="T125">
        <f t="shared" ref="T125" si="604">S125/1000</f>
        <v>-8.2508863544024873</v>
      </c>
    </row>
    <row r="126" spans="1:20" x14ac:dyDescent="0.25">
      <c r="A126" s="5">
        <v>44467</v>
      </c>
      <c r="B126">
        <v>0.18529999999999999</v>
      </c>
      <c r="C126">
        <v>0.19450000000000001</v>
      </c>
      <c r="D126">
        <v>0.1769</v>
      </c>
      <c r="E126">
        <v>0.17780000000000001</v>
      </c>
      <c r="F126">
        <v>6495233.1100000003</v>
      </c>
      <c r="G126">
        <v>0.17780000000000001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-0.89772727272727137</v>
      </c>
      <c r="Q126">
        <f t="shared" ref="Q126" si="606">F126*P126</f>
        <v>-5830947.9055681732</v>
      </c>
      <c r="R126">
        <f t="shared" ref="R126" si="607">R127+Q126</f>
        <v>-820944601.91866612</v>
      </c>
      <c r="S126">
        <f t="shared" ref="S126" si="608">R126/100000</f>
        <v>-8209.4460191866619</v>
      </c>
      <c r="T126">
        <f t="shared" ref="T126" si="609">S126/1000</f>
        <v>-8.2094460191866627</v>
      </c>
    </row>
    <row r="127" spans="1:20" x14ac:dyDescent="0.25">
      <c r="A127" s="5">
        <v>44466</v>
      </c>
      <c r="B127">
        <v>0.19869999999999999</v>
      </c>
      <c r="C127">
        <v>0.21279999999999999</v>
      </c>
      <c r="D127">
        <v>0.1852</v>
      </c>
      <c r="E127">
        <v>0.18529999999999999</v>
      </c>
      <c r="F127">
        <v>19705832</v>
      </c>
      <c r="G127">
        <v>0.18529999999999999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-0.99275362318840654</v>
      </c>
      <c r="Q127">
        <f t="shared" ref="Q127" si="611">F127*P127</f>
        <v>-19563036.115942042</v>
      </c>
      <c r="R127">
        <f t="shared" ref="R127" si="612">R128+Q127</f>
        <v>-815113654.013098</v>
      </c>
      <c r="S127">
        <f t="shared" ref="S127" si="613">R127/100000</f>
        <v>-8151.1365401309804</v>
      </c>
      <c r="T127">
        <f t="shared" ref="T127" si="614">S127/1000</f>
        <v>-8.151136540130981</v>
      </c>
    </row>
    <row r="128" spans="1:20" x14ac:dyDescent="0.25">
      <c r="A128" s="5">
        <v>44465</v>
      </c>
      <c r="B128">
        <v>0.21560000000000001</v>
      </c>
      <c r="C128">
        <v>0.21579999999999999</v>
      </c>
      <c r="D128">
        <v>0.1827</v>
      </c>
      <c r="E128">
        <v>0.19839999999999999</v>
      </c>
      <c r="F128">
        <v>21090043</v>
      </c>
      <c r="G128">
        <v>0.19839999999999999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-5.1359516616314424E-2</v>
      </c>
      <c r="Q128">
        <f t="shared" ref="Q128" si="616">F128*P128</f>
        <v>-1083174.4138972857</v>
      </c>
      <c r="R128">
        <f t="shared" ref="R128" si="617">R129+Q128</f>
        <v>-795550617.897156</v>
      </c>
      <c r="S128">
        <f t="shared" ref="S128" si="618">R128/100000</f>
        <v>-7955.5061789715601</v>
      </c>
      <c r="T128">
        <f t="shared" ref="T128" si="619">S128/1000</f>
        <v>-7.95550617897156</v>
      </c>
    </row>
    <row r="129" spans="1:20" x14ac:dyDescent="0.25">
      <c r="A129" s="5">
        <v>44464</v>
      </c>
      <c r="B129">
        <v>0.2248</v>
      </c>
      <c r="C129">
        <v>0.22900000000000001</v>
      </c>
      <c r="D129">
        <v>0.21099999999999999</v>
      </c>
      <c r="E129">
        <v>0.21590000000000001</v>
      </c>
      <c r="F129">
        <v>10830606</v>
      </c>
      <c r="G129">
        <v>0.21590000000000001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-0.45555555555555433</v>
      </c>
      <c r="Q129">
        <f t="shared" ref="Q129" si="621">F129*P129</f>
        <v>-4933942.7333333204</v>
      </c>
      <c r="R129">
        <f t="shared" ref="R129" si="622">R130+Q129</f>
        <v>-794467443.48325872</v>
      </c>
      <c r="S129">
        <f t="shared" ref="S129" si="623">R129/100000</f>
        <v>-7944.6744348325874</v>
      </c>
      <c r="T129">
        <f t="shared" ref="T129" si="624">S129/1000</f>
        <v>-7.9446744348325877</v>
      </c>
    </row>
    <row r="130" spans="1:20" x14ac:dyDescent="0.25">
      <c r="A130" s="5">
        <v>44463</v>
      </c>
      <c r="B130">
        <v>0.24809999999999999</v>
      </c>
      <c r="C130">
        <v>0.24890000000000001</v>
      </c>
      <c r="D130">
        <v>0.20280000000000001</v>
      </c>
      <c r="E130">
        <v>0.22489999999999999</v>
      </c>
      <c r="F130">
        <v>19754475</v>
      </c>
      <c r="G130">
        <v>0.22489999999999999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-4.1214750542300227E-2</v>
      </c>
      <c r="Q130">
        <f t="shared" ref="Q130" si="626">F130*P130</f>
        <v>-814175.75921910629</v>
      </c>
      <c r="R130">
        <f t="shared" ref="R130" si="627">R131+Q130</f>
        <v>-789533500.74992537</v>
      </c>
      <c r="S130">
        <f t="shared" ref="S130" si="628">R130/100000</f>
        <v>-7895.3350074992541</v>
      </c>
      <c r="T130">
        <f t="shared" ref="T130" si="629">S130/1000</f>
        <v>-7.8953350074992539</v>
      </c>
    </row>
    <row r="131" spans="1:20" x14ac:dyDescent="0.25">
      <c r="A131" s="5">
        <v>44462</v>
      </c>
      <c r="B131">
        <v>0.2535</v>
      </c>
      <c r="C131">
        <v>0.25530000000000003</v>
      </c>
      <c r="D131">
        <v>0.2392</v>
      </c>
      <c r="E131">
        <v>0.24790000000000001</v>
      </c>
      <c r="F131">
        <v>21338212</v>
      </c>
      <c r="G131">
        <v>0.24790000000000001</v>
      </c>
      <c r="L131" t="s">
        <v>7</v>
      </c>
      <c r="M131" t="s">
        <v>8</v>
      </c>
      <c r="N131" t="s">
        <v>7</v>
      </c>
      <c r="P131">
        <f t="shared" ref="P131" si="630">IF(C131=D131,0,((E131-D131)-(C131-E131))/(C131-D131))</f>
        <v>8.0745341614906402E-2</v>
      </c>
      <c r="Q131">
        <f t="shared" ref="Q131" si="631">F131*P131</f>
        <v>1722961.2173912951</v>
      </c>
      <c r="R131">
        <f t="shared" ref="R131" si="632">R132+Q131</f>
        <v>-788719324.99070632</v>
      </c>
      <c r="S131">
        <f t="shared" ref="S131" si="633">R131/100000</f>
        <v>-7887.1932499070635</v>
      </c>
      <c r="T131">
        <f t="shared" ref="T131" si="634">S131/1000</f>
        <v>-7.8871932499070638</v>
      </c>
    </row>
    <row r="132" spans="1:20" x14ac:dyDescent="0.25">
      <c r="A132" s="5">
        <v>44461</v>
      </c>
      <c r="B132">
        <v>0.2452</v>
      </c>
      <c r="C132">
        <v>0.26229999999999998</v>
      </c>
      <c r="D132">
        <v>0.23680000000000001</v>
      </c>
      <c r="E132">
        <v>0.25340000000000001</v>
      </c>
      <c r="F132">
        <v>33647184</v>
      </c>
      <c r="G132">
        <v>0.25340000000000001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0.30196078431372747</v>
      </c>
      <c r="Q132">
        <f t="shared" ref="Q132" si="636">F132*P132</f>
        <v>10160130.070588302</v>
      </c>
      <c r="R132">
        <f t="shared" ref="R132" si="637">R133+Q132</f>
        <v>-790442286.20809758</v>
      </c>
      <c r="S132">
        <f t="shared" ref="S132" si="638">R132/100000</f>
        <v>-7904.4228620809754</v>
      </c>
      <c r="T132">
        <f t="shared" ref="T132" si="639">S132/1000</f>
        <v>-7.9044228620809758</v>
      </c>
    </row>
    <row r="133" spans="1:20" x14ac:dyDescent="0.25">
      <c r="A133" s="5">
        <v>44460</v>
      </c>
      <c r="B133">
        <v>0.22370000000000001</v>
      </c>
      <c r="C133">
        <v>0.32</v>
      </c>
      <c r="D133">
        <v>0.20749999999999999</v>
      </c>
      <c r="E133">
        <v>0.24529999999999999</v>
      </c>
      <c r="F133">
        <v>152982377</v>
      </c>
      <c r="G133">
        <v>0.24529999999999999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-0.32800000000000007</v>
      </c>
      <c r="Q133">
        <f t="shared" ref="Q133" si="641">F133*P133</f>
        <v>-50178219.656000011</v>
      </c>
      <c r="R133">
        <f t="shared" ref="R133" si="642">R134+Q133</f>
        <v>-800602416.27868593</v>
      </c>
      <c r="S133">
        <f t="shared" ref="S133" si="643">R133/100000</f>
        <v>-8006.0241627868591</v>
      </c>
      <c r="T133">
        <f t="shared" ref="T133" si="644">S133/1000</f>
        <v>-8.0060241627868596</v>
      </c>
    </row>
    <row r="134" spans="1:20" x14ac:dyDescent="0.25">
      <c r="A134" s="5">
        <v>44459</v>
      </c>
      <c r="B134">
        <v>0.24759999999999999</v>
      </c>
      <c r="C134">
        <v>0.24809999999999999</v>
      </c>
      <c r="D134">
        <v>0.22009999999999999</v>
      </c>
      <c r="E134">
        <v>0.22359999999999999</v>
      </c>
      <c r="F134">
        <v>9776579</v>
      </c>
      <c r="G134">
        <v>0.22359999999999999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-0.74999999999999978</v>
      </c>
      <c r="Q134">
        <f t="shared" ref="Q134" si="646">F134*P134</f>
        <v>-7332434.2499999981</v>
      </c>
      <c r="R134">
        <f t="shared" ref="R134" si="647">R135+Q134</f>
        <v>-750424196.62268591</v>
      </c>
      <c r="S134">
        <f t="shared" ref="S134" si="648">R134/100000</f>
        <v>-7504.2419662268594</v>
      </c>
      <c r="T134">
        <f t="shared" ref="T134" si="649">S134/1000</f>
        <v>-7.5042419662268598</v>
      </c>
    </row>
    <row r="135" spans="1:20" x14ac:dyDescent="0.25">
      <c r="A135" s="5">
        <v>44458</v>
      </c>
      <c r="B135">
        <v>0.28570000000000001</v>
      </c>
      <c r="C135">
        <v>0.29289999999999999</v>
      </c>
      <c r="D135">
        <v>0.24110000000000001</v>
      </c>
      <c r="E135">
        <v>0.24759999999999999</v>
      </c>
      <c r="F135">
        <v>27634836</v>
      </c>
      <c r="G135">
        <v>0.24759999999999999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-0.74903474903474976</v>
      </c>
      <c r="Q135">
        <f t="shared" ref="Q135" si="651">F135*P135</f>
        <v>-20699452.447876468</v>
      </c>
      <c r="R135">
        <f t="shared" ref="R135" si="652">R136+Q135</f>
        <v>-743091762.37268591</v>
      </c>
      <c r="S135">
        <f t="shared" ref="S135" si="653">R135/100000</f>
        <v>-7430.9176237268593</v>
      </c>
      <c r="T135">
        <f t="shared" ref="T135" si="654">S135/1000</f>
        <v>-7.4309176237268595</v>
      </c>
    </row>
    <row r="136" spans="1:20" x14ac:dyDescent="0.25">
      <c r="A136" s="5">
        <v>44457</v>
      </c>
      <c r="B136">
        <v>0.22239999999999999</v>
      </c>
      <c r="C136">
        <v>0.33789999999999998</v>
      </c>
      <c r="D136">
        <v>0.22</v>
      </c>
      <c r="E136">
        <v>0.28570000000000001</v>
      </c>
      <c r="F136">
        <v>128055863</v>
      </c>
      <c r="G136">
        <v>0.28570000000000001</v>
      </c>
      <c r="L136" t="s">
        <v>8</v>
      </c>
      <c r="M136" t="s">
        <v>8</v>
      </c>
      <c r="N136" t="s">
        <v>8</v>
      </c>
      <c r="P136">
        <f t="shared" ref="P136" si="655">IF(C136=D136,0,((E136-D136)-(C136-E136))/(C136-D136))</f>
        <v>0.11450381679389349</v>
      </c>
      <c r="Q136">
        <f t="shared" ref="Q136" si="656">F136*P136</f>
        <v>14662885.076335924</v>
      </c>
      <c r="R136">
        <f t="shared" ref="R136" si="657">R137+Q136</f>
        <v>-722392309.92480946</v>
      </c>
      <c r="S136">
        <f t="shared" ref="S136" si="658">R136/100000</f>
        <v>-7223.9230992480943</v>
      </c>
      <c r="T136">
        <f t="shared" ref="T136" si="659">S136/1000</f>
        <v>-7.2239230992480943</v>
      </c>
    </row>
    <row r="137" spans="1:20" x14ac:dyDescent="0.25">
      <c r="A137" s="5">
        <v>44456</v>
      </c>
      <c r="B137">
        <v>0.22739999999999999</v>
      </c>
      <c r="C137">
        <v>0.2666</v>
      </c>
      <c r="D137">
        <v>0.22</v>
      </c>
      <c r="E137">
        <v>0.22289999999999999</v>
      </c>
      <c r="F137">
        <v>24438463</v>
      </c>
      <c r="G137">
        <v>0.22289999999999999</v>
      </c>
      <c r="L137" t="s">
        <v>8</v>
      </c>
      <c r="M137" t="s">
        <v>8</v>
      </c>
      <c r="N137" t="s">
        <v>8</v>
      </c>
      <c r="P137">
        <f t="shared" ref="P137" si="660">IF(C137=D137,0,((E137-D137)-(C137-E137))/(C137-D137))</f>
        <v>-0.87553648068669587</v>
      </c>
      <c r="Q137">
        <f t="shared" ref="Q137" si="661">F137*P137</f>
        <v>-21396765.888412032</v>
      </c>
      <c r="R137">
        <f t="shared" ref="R137" si="662">R138+Q137</f>
        <v>-737055195.00114536</v>
      </c>
      <c r="S137">
        <f t="shared" ref="S137" si="663">R137/100000</f>
        <v>-7370.5519500114533</v>
      </c>
      <c r="T137">
        <f t="shared" ref="T137" si="664">S137/1000</f>
        <v>-7.3705519500114534</v>
      </c>
    </row>
    <row r="138" spans="1:20" x14ac:dyDescent="0.25">
      <c r="A138" s="5">
        <v>44455</v>
      </c>
      <c r="B138">
        <v>0.2278</v>
      </c>
      <c r="C138">
        <v>0.23319999999999999</v>
      </c>
      <c r="D138">
        <v>0.21920000000000001</v>
      </c>
      <c r="E138">
        <v>0.22720000000000001</v>
      </c>
      <c r="F138">
        <v>9282133</v>
      </c>
      <c r="G138">
        <v>0.22720000000000001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0.14285714285714513</v>
      </c>
      <c r="Q138">
        <f t="shared" ref="Q138" si="666">F138*P138</f>
        <v>1326019.000000021</v>
      </c>
      <c r="R138">
        <f t="shared" ref="R138" si="667">R139+Q138</f>
        <v>-715658429.11273336</v>
      </c>
      <c r="S138">
        <f t="shared" ref="S138" si="668">R138/100000</f>
        <v>-7156.5842911273339</v>
      </c>
      <c r="T138">
        <f t="shared" ref="T138" si="669">S138/1000</f>
        <v>-7.1565842911273343</v>
      </c>
    </row>
    <row r="139" spans="1:20" x14ac:dyDescent="0.25">
      <c r="A139" s="5">
        <v>44454</v>
      </c>
      <c r="B139">
        <v>0.21299999999999999</v>
      </c>
      <c r="C139">
        <v>0.25900000000000001</v>
      </c>
      <c r="D139">
        <v>0.2089</v>
      </c>
      <c r="E139">
        <v>0.2278</v>
      </c>
      <c r="F139">
        <v>27418140</v>
      </c>
      <c r="G139">
        <v>0.2278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-0.24550898203592822</v>
      </c>
      <c r="Q139">
        <f t="shared" ref="Q139" si="671">F139*P139</f>
        <v>-6731399.6407185653</v>
      </c>
      <c r="R139">
        <f t="shared" ref="R139" si="672">R140+Q139</f>
        <v>-716984448.11273336</v>
      </c>
      <c r="S139">
        <f t="shared" ref="S139" si="673">R139/100000</f>
        <v>-7169.8444811273339</v>
      </c>
      <c r="T139">
        <f t="shared" ref="T139" si="674">S139/1000</f>
        <v>-7.1698444811273339</v>
      </c>
    </row>
    <row r="140" spans="1:20" x14ac:dyDescent="0.25">
      <c r="A140" s="5">
        <v>44453</v>
      </c>
      <c r="B140">
        <v>0.2029</v>
      </c>
      <c r="C140">
        <v>0.224</v>
      </c>
      <c r="D140">
        <v>0.19939999999999999</v>
      </c>
      <c r="E140">
        <v>0.21279999999999999</v>
      </c>
      <c r="F140">
        <v>8037025</v>
      </c>
      <c r="G140">
        <v>0.21279999999999999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8.943089430894223E-2</v>
      </c>
      <c r="Q140">
        <f t="shared" ref="Q140" si="676">F140*P140</f>
        <v>718758.33333332639</v>
      </c>
      <c r="R140">
        <f t="shared" ref="R140" si="677">R141+Q140</f>
        <v>-710253048.47201478</v>
      </c>
      <c r="S140">
        <f t="shared" ref="S140" si="678">R140/100000</f>
        <v>-7102.5304847201478</v>
      </c>
      <c r="T140">
        <f t="shared" ref="T140" si="679">S140/1000</f>
        <v>-7.1025304847201474</v>
      </c>
    </row>
    <row r="141" spans="1:20" x14ac:dyDescent="0.25">
      <c r="A141" s="5">
        <v>44452</v>
      </c>
      <c r="B141">
        <v>0.2165</v>
      </c>
      <c r="C141">
        <v>0.219</v>
      </c>
      <c r="D141">
        <v>0.19370000000000001</v>
      </c>
      <c r="E141">
        <v>0.2024</v>
      </c>
      <c r="F141">
        <v>8410347</v>
      </c>
      <c r="G141">
        <v>0.2024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-0.31225296442687833</v>
      </c>
      <c r="Q141">
        <f t="shared" ref="Q141" si="681">F141*P141</f>
        <v>-2626155.7826087028</v>
      </c>
      <c r="R141">
        <f t="shared" ref="R141" si="682">R142+Q141</f>
        <v>-710971806.80534816</v>
      </c>
      <c r="S141">
        <f t="shared" ref="S141" si="683">R141/100000</f>
        <v>-7109.7180680534811</v>
      </c>
      <c r="T141">
        <f t="shared" ref="T141" si="684">S141/1000</f>
        <v>-7.1097180680534811</v>
      </c>
    </row>
    <row r="142" spans="1:20" x14ac:dyDescent="0.25">
      <c r="A142" s="5">
        <v>44451</v>
      </c>
      <c r="B142">
        <v>0.20499999999999999</v>
      </c>
      <c r="C142">
        <v>0.2422</v>
      </c>
      <c r="D142">
        <v>0.2009</v>
      </c>
      <c r="E142">
        <v>0.217</v>
      </c>
      <c r="F142">
        <v>9977442</v>
      </c>
      <c r="G142">
        <v>0.217</v>
      </c>
      <c r="L142" t="s">
        <v>7</v>
      </c>
      <c r="M142" t="s">
        <v>8</v>
      </c>
      <c r="N142" t="s">
        <v>7</v>
      </c>
      <c r="P142">
        <f t="shared" ref="P142" si="685">IF(C142=D142,0,((E142-D142)-(C142-E142))/(C142-D142))</f>
        <v>-0.22033898305084737</v>
      </c>
      <c r="Q142">
        <f t="shared" ref="Q142" si="686">F142*P142</f>
        <v>-2198419.4237288125</v>
      </c>
      <c r="R142">
        <f t="shared" ref="R142" si="687">R143+Q142</f>
        <v>-708345651.02273941</v>
      </c>
      <c r="S142">
        <f t="shared" ref="S142" si="688">R142/100000</f>
        <v>-7083.4565102273937</v>
      </c>
      <c r="T142">
        <f t="shared" ref="T142" si="689">S142/1000</f>
        <v>-7.0834565102273936</v>
      </c>
    </row>
    <row r="143" spans="1:20" x14ac:dyDescent="0.25">
      <c r="A143" s="5">
        <v>44450</v>
      </c>
      <c r="B143">
        <v>0.20599999999999999</v>
      </c>
      <c r="C143">
        <v>0.21690000000000001</v>
      </c>
      <c r="D143">
        <v>0.2029</v>
      </c>
      <c r="E143">
        <v>0.2049</v>
      </c>
      <c r="F143">
        <v>4492991</v>
      </c>
      <c r="G143">
        <v>0.2049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-0.7142857142857143</v>
      </c>
      <c r="Q143">
        <f t="shared" ref="Q143" si="691">F143*P143</f>
        <v>-3209279.2857142859</v>
      </c>
      <c r="R143">
        <f t="shared" ref="R143" si="692">R144+Q143</f>
        <v>-706147231.59901059</v>
      </c>
      <c r="S143">
        <f t="shared" ref="S143" si="693">R143/100000</f>
        <v>-7061.4723159901059</v>
      </c>
      <c r="T143">
        <f t="shared" ref="T143" si="694">S143/1000</f>
        <v>-7.0614723159901063</v>
      </c>
    </row>
    <row r="144" spans="1:20" x14ac:dyDescent="0.25">
      <c r="A144" s="5">
        <v>44449</v>
      </c>
      <c r="B144">
        <v>0.20100000000000001</v>
      </c>
      <c r="C144">
        <v>0.23</v>
      </c>
      <c r="D144">
        <v>0.19719999999999999</v>
      </c>
      <c r="E144">
        <v>0.20619999999999999</v>
      </c>
      <c r="F144">
        <v>12912777</v>
      </c>
      <c r="G144">
        <v>0.20619999999999999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-0.45121951219512185</v>
      </c>
      <c r="Q144">
        <f t="shared" ref="Q144" si="696">F144*P144</f>
        <v>-5826496.9390243888</v>
      </c>
      <c r="R144">
        <f t="shared" ref="R144" si="697">R145+Q144</f>
        <v>-702937952.31329632</v>
      </c>
      <c r="S144">
        <f t="shared" ref="S144" si="698">R144/100000</f>
        <v>-7029.3795231329632</v>
      </c>
      <c r="T144">
        <f t="shared" ref="T144" si="699">S144/1000</f>
        <v>-7.0293795231329632</v>
      </c>
    </row>
    <row r="145" spans="1:20" x14ac:dyDescent="0.25">
      <c r="A145" s="5">
        <v>44448</v>
      </c>
      <c r="B145">
        <v>0.19800000000000001</v>
      </c>
      <c r="C145">
        <v>0.2147</v>
      </c>
      <c r="D145">
        <v>0.19439999999999999</v>
      </c>
      <c r="E145">
        <v>0.20050000000000001</v>
      </c>
      <c r="F145">
        <v>8312070</v>
      </c>
      <c r="G145">
        <v>0.20050000000000001</v>
      </c>
      <c r="L145" t="s">
        <v>8</v>
      </c>
      <c r="M145" t="s">
        <v>7</v>
      </c>
      <c r="N145" t="s">
        <v>7</v>
      </c>
      <c r="P145">
        <f t="shared" ref="P145" si="700">IF(C145=D145,0,((E145-D145)-(C145-E145))/(C145-D145))</f>
        <v>-0.39901477832512133</v>
      </c>
      <c r="Q145">
        <f t="shared" ref="Q145" si="701">F145*P145</f>
        <v>-3316638.7684728913</v>
      </c>
      <c r="R145">
        <f t="shared" ref="R145" si="702">R146+Q145</f>
        <v>-697111455.37427187</v>
      </c>
      <c r="S145">
        <f t="shared" ref="S145" si="703">R145/100000</f>
        <v>-6971.1145537427183</v>
      </c>
      <c r="T145">
        <f t="shared" ref="T145" si="704">S145/1000</f>
        <v>-6.9711145537427184</v>
      </c>
    </row>
    <row r="146" spans="1:20" x14ac:dyDescent="0.25">
      <c r="A146" s="5">
        <v>44447</v>
      </c>
      <c r="B146">
        <v>0.20230000000000001</v>
      </c>
      <c r="C146">
        <v>0.2064</v>
      </c>
      <c r="D146">
        <v>0.1827</v>
      </c>
      <c r="E146">
        <v>0.19850000000000001</v>
      </c>
      <c r="F146">
        <v>7809234.4299999997</v>
      </c>
      <c r="G146">
        <v>0.19850000000000001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0.33333333333333409</v>
      </c>
      <c r="Q146">
        <f t="shared" ref="Q146" si="706">F146*P146</f>
        <v>2603078.1433333391</v>
      </c>
      <c r="R146">
        <f t="shared" ref="R146" si="707">R147+Q146</f>
        <v>-693794816.60579896</v>
      </c>
      <c r="S146">
        <f t="shared" ref="S146" si="708">R146/100000</f>
        <v>-6937.9481660579895</v>
      </c>
      <c r="T146">
        <f t="shared" ref="T146" si="709">S146/1000</f>
        <v>-6.9379481660579891</v>
      </c>
    </row>
    <row r="147" spans="1:20" x14ac:dyDescent="0.25">
      <c r="A147" s="5">
        <v>44446</v>
      </c>
      <c r="B147">
        <v>0.25700000000000001</v>
      </c>
      <c r="C147">
        <v>0.26390000000000002</v>
      </c>
      <c r="D147">
        <v>0.18959999999999999</v>
      </c>
      <c r="E147">
        <v>0.20130000000000001</v>
      </c>
      <c r="F147">
        <v>20524117</v>
      </c>
      <c r="G147">
        <v>0.20130000000000001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-0.6850605652759082</v>
      </c>
      <c r="Q147">
        <f t="shared" ref="Q147" si="711">F147*P147</f>
        <v>-14060263.193808878</v>
      </c>
      <c r="R147">
        <f t="shared" ref="R147" si="712">R148+Q147</f>
        <v>-696397894.74913228</v>
      </c>
      <c r="S147">
        <f t="shared" ref="S147" si="713">R147/100000</f>
        <v>-6963.9789474913232</v>
      </c>
      <c r="T147">
        <f t="shared" ref="T147" si="714">S147/1000</f>
        <v>-6.9639789474913236</v>
      </c>
    </row>
    <row r="148" spans="1:20" x14ac:dyDescent="0.25">
      <c r="A148" s="5">
        <v>44445</v>
      </c>
      <c r="B148">
        <v>0.23569999999999999</v>
      </c>
      <c r="C148">
        <v>0.28860000000000002</v>
      </c>
      <c r="D148">
        <v>0.23200000000000001</v>
      </c>
      <c r="E148">
        <v>0.2576</v>
      </c>
      <c r="F148">
        <v>35815989</v>
      </c>
      <c r="G148">
        <v>0.2576</v>
      </c>
      <c r="L148" t="s">
        <v>7</v>
      </c>
      <c r="M148" t="s">
        <v>7</v>
      </c>
      <c r="N148" t="s">
        <v>7</v>
      </c>
      <c r="P148">
        <f t="shared" ref="P148" si="715">IF(C148=D148,0,((E148-D148)-(C148-E148))/(C148-D148))</f>
        <v>-9.5406360424029016E-2</v>
      </c>
      <c r="Q148">
        <f t="shared" ref="Q148" si="716">F148*P148</f>
        <v>-3417073.1554770586</v>
      </c>
      <c r="R148">
        <f t="shared" ref="R148" si="717">R149+Q148</f>
        <v>-682337631.55532336</v>
      </c>
      <c r="S148">
        <f t="shared" ref="S148" si="718">R148/100000</f>
        <v>-6823.3763155532333</v>
      </c>
      <c r="T148">
        <f t="shared" ref="T148" si="719">S148/1000</f>
        <v>-6.823376315553233</v>
      </c>
    </row>
    <row r="149" spans="1:20" x14ac:dyDescent="0.25">
      <c r="A149" s="5">
        <v>44444</v>
      </c>
      <c r="B149">
        <v>0.24590000000000001</v>
      </c>
      <c r="C149">
        <v>0.36320000000000002</v>
      </c>
      <c r="D149">
        <v>0.23230000000000001</v>
      </c>
      <c r="E149">
        <v>0.23599999999999999</v>
      </c>
      <c r="F149">
        <v>138741357.33000001</v>
      </c>
      <c r="G149">
        <v>0.23599999999999999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-0.94346829640947316</v>
      </c>
      <c r="Q149">
        <f t="shared" ref="Q149" si="721">F149*P149</f>
        <v>-130898072.04167308</v>
      </c>
      <c r="R149">
        <f t="shared" ref="R149" si="722">R150+Q149</f>
        <v>-678920558.39984632</v>
      </c>
      <c r="S149">
        <f t="shared" ref="S149" si="723">R149/100000</f>
        <v>-6789.2055839984632</v>
      </c>
      <c r="T149">
        <f t="shared" ref="T149" si="724">S149/1000</f>
        <v>-6.7892055839984629</v>
      </c>
    </row>
    <row r="150" spans="1:20" x14ac:dyDescent="0.25">
      <c r="A150" s="5">
        <v>44443</v>
      </c>
      <c r="B150">
        <v>0.20880000000000001</v>
      </c>
      <c r="C150">
        <v>0.25669999999999998</v>
      </c>
      <c r="D150">
        <v>0.20730000000000001</v>
      </c>
      <c r="E150">
        <v>0.24579999999999999</v>
      </c>
      <c r="F150">
        <v>21963000.239999998</v>
      </c>
      <c r="G150">
        <v>0.24579999999999999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0.5587044534412956</v>
      </c>
      <c r="Q150">
        <f t="shared" ref="Q150" si="726">F150*P150</f>
        <v>12270826.045020243</v>
      </c>
      <c r="R150">
        <f t="shared" ref="R150" si="727">R151+Q150</f>
        <v>-548022486.35817325</v>
      </c>
      <c r="S150">
        <f t="shared" ref="S150" si="728">R150/100000</f>
        <v>-5480.2248635817323</v>
      </c>
      <c r="T150">
        <f t="shared" ref="T150" si="729">S150/1000</f>
        <v>-5.4802248635817321</v>
      </c>
    </row>
    <row r="151" spans="1:20" x14ac:dyDescent="0.25">
      <c r="A151" s="5">
        <v>44442</v>
      </c>
      <c r="B151">
        <v>0.20499999999999999</v>
      </c>
      <c r="C151">
        <v>0.2213</v>
      </c>
      <c r="D151">
        <v>0.2001</v>
      </c>
      <c r="E151">
        <v>0.2089</v>
      </c>
      <c r="F151">
        <v>8014668</v>
      </c>
      <c r="G151">
        <v>0.2089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-0.16981132075471664</v>
      </c>
      <c r="Q151">
        <f t="shared" ref="Q151" si="731">F151*P151</f>
        <v>-1360981.3584905632</v>
      </c>
      <c r="R151">
        <f t="shared" ref="R151" si="732">R152+Q151</f>
        <v>-560293312.40319347</v>
      </c>
      <c r="S151">
        <f t="shared" ref="S151" si="733">R151/100000</f>
        <v>-5602.9331240319343</v>
      </c>
      <c r="T151">
        <f t="shared" ref="T151" si="734">S151/1000</f>
        <v>-5.6029331240319342</v>
      </c>
    </row>
    <row r="152" spans="1:20" x14ac:dyDescent="0.25">
      <c r="A152" s="5">
        <v>44441</v>
      </c>
      <c r="B152">
        <v>0.20669999999999999</v>
      </c>
      <c r="C152">
        <v>0.2109</v>
      </c>
      <c r="D152">
        <v>0.2036</v>
      </c>
      <c r="E152">
        <v>0.20499999999999999</v>
      </c>
      <c r="F152">
        <v>4939685</v>
      </c>
      <c r="G152">
        <v>0.20499999999999999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-0.6164383561643878</v>
      </c>
      <c r="Q152">
        <f t="shared" ref="Q152" si="736">F152*P152</f>
        <v>-3045011.3013698841</v>
      </c>
      <c r="R152">
        <f t="shared" ref="R152" si="737">R153+Q152</f>
        <v>-558932331.04470289</v>
      </c>
      <c r="S152">
        <f t="shared" ref="S152" si="738">R152/100000</f>
        <v>-5589.3233104470291</v>
      </c>
      <c r="T152">
        <f t="shared" ref="T152" si="739">S152/1000</f>
        <v>-5.5893233104470292</v>
      </c>
    </row>
    <row r="153" spans="1:20" x14ac:dyDescent="0.25">
      <c r="A153" s="5">
        <v>44440</v>
      </c>
      <c r="B153">
        <v>0.20080000000000001</v>
      </c>
      <c r="C153">
        <v>0.20730000000000001</v>
      </c>
      <c r="D153">
        <v>0.1961</v>
      </c>
      <c r="E153">
        <v>0.20699999999999999</v>
      </c>
      <c r="F153">
        <v>5095114</v>
      </c>
      <c r="G153">
        <v>0.20699999999999999</v>
      </c>
      <c r="L153" t="s">
        <v>7</v>
      </c>
      <c r="M153" t="s">
        <v>8</v>
      </c>
      <c r="N153" t="s">
        <v>8</v>
      </c>
      <c r="P153">
        <f t="shared" ref="P153" si="740">IF(C153=D153,0,((E153-D153)-(C153-E153))/(C153-D153))</f>
        <v>0.94642857142856751</v>
      </c>
      <c r="Q153">
        <f t="shared" ref="Q153" si="741">F153*P153</f>
        <v>4822161.4642856941</v>
      </c>
      <c r="R153">
        <f t="shared" ref="R153" si="742">R154+Q153</f>
        <v>-555887319.74333298</v>
      </c>
      <c r="S153">
        <f t="shared" ref="S153" si="743">R153/100000</f>
        <v>-5558.8731974333296</v>
      </c>
      <c r="T153">
        <f t="shared" ref="T153" si="744">S153/1000</f>
        <v>-5.5588731974333294</v>
      </c>
    </row>
    <row r="154" spans="1:20" x14ac:dyDescent="0.25">
      <c r="A154" s="5">
        <v>44439</v>
      </c>
      <c r="B154">
        <v>0.2049</v>
      </c>
      <c r="C154">
        <v>0.2127</v>
      </c>
      <c r="D154">
        <v>0.1981</v>
      </c>
      <c r="E154">
        <v>0.20200000000000001</v>
      </c>
      <c r="F154">
        <v>5603813</v>
      </c>
      <c r="G154">
        <v>0.20200000000000001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-0.46575342465753233</v>
      </c>
      <c r="Q154">
        <f t="shared" ref="Q154" si="746">F154*P154</f>
        <v>-2609995.0958904005</v>
      </c>
      <c r="R154">
        <f t="shared" ref="R154" si="747">R155+Q154</f>
        <v>-560709481.20761871</v>
      </c>
      <c r="S154">
        <f t="shared" ref="S154" si="748">R154/100000</f>
        <v>-5607.0948120761868</v>
      </c>
      <c r="T154">
        <f t="shared" ref="T154" si="749">S154/1000</f>
        <v>-5.6070948120761868</v>
      </c>
    </row>
    <row r="155" spans="1:20" x14ac:dyDescent="0.25">
      <c r="A155" s="5">
        <v>44438</v>
      </c>
      <c r="B155">
        <v>0.22140000000000001</v>
      </c>
      <c r="C155">
        <v>0.22869999999999999</v>
      </c>
      <c r="D155">
        <v>0.20419999999999999</v>
      </c>
      <c r="E155">
        <v>0.2049</v>
      </c>
      <c r="F155">
        <v>13515977</v>
      </c>
      <c r="G155">
        <v>0.2049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-0.94285714285714239</v>
      </c>
      <c r="Q155">
        <f t="shared" ref="Q155" si="751">F155*P155</f>
        <v>-12743635.45714285</v>
      </c>
      <c r="R155">
        <f t="shared" ref="R155" si="752">R156+Q155</f>
        <v>-558099486.11172831</v>
      </c>
      <c r="S155">
        <f t="shared" ref="S155" si="753">R155/100000</f>
        <v>-5580.9948611172831</v>
      </c>
      <c r="T155">
        <f t="shared" ref="T155" si="754">S155/1000</f>
        <v>-5.5809948611172828</v>
      </c>
    </row>
    <row r="156" spans="1:20" x14ac:dyDescent="0.25">
      <c r="A156" s="5">
        <v>44437</v>
      </c>
      <c r="B156">
        <v>0.2011</v>
      </c>
      <c r="C156">
        <v>0.23</v>
      </c>
      <c r="D156">
        <v>0.1988</v>
      </c>
      <c r="E156">
        <v>0.22140000000000001</v>
      </c>
      <c r="F156">
        <v>19968522.649999999</v>
      </c>
      <c r="G156">
        <v>0.22140000000000001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0.44871794871794901</v>
      </c>
      <c r="Q156">
        <f t="shared" ref="Q156" si="756">F156*P156</f>
        <v>8960234.5224359035</v>
      </c>
      <c r="R156">
        <f t="shared" ref="R156" si="757">R157+Q156</f>
        <v>-545355850.65458548</v>
      </c>
      <c r="S156">
        <f t="shared" ref="S156" si="758">R156/100000</f>
        <v>-5453.5585065458545</v>
      </c>
      <c r="T156">
        <f t="shared" ref="T156" si="759">S156/1000</f>
        <v>-5.4535585065458543</v>
      </c>
    </row>
    <row r="157" spans="1:20" x14ac:dyDescent="0.25">
      <c r="A157" s="5">
        <v>44436</v>
      </c>
      <c r="B157">
        <v>0.20219999999999999</v>
      </c>
      <c r="C157">
        <v>0.20499999999999999</v>
      </c>
      <c r="D157">
        <v>0.19570000000000001</v>
      </c>
      <c r="E157">
        <v>0.20069999999999999</v>
      </c>
      <c r="F157">
        <v>6360216</v>
      </c>
      <c r="G157">
        <v>0.20069999999999999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7.5268817204298955E-2</v>
      </c>
      <c r="Q157">
        <f t="shared" ref="Q157" si="761">F157*P157</f>
        <v>478725.93548385747</v>
      </c>
      <c r="R157">
        <f t="shared" ref="R157" si="762">R158+Q157</f>
        <v>-554316085.17702138</v>
      </c>
      <c r="S157">
        <f t="shared" ref="S157" si="763">R157/100000</f>
        <v>-5543.1608517702134</v>
      </c>
      <c r="T157">
        <f t="shared" ref="T157" si="764">S157/1000</f>
        <v>-5.5431608517702138</v>
      </c>
    </row>
    <row r="158" spans="1:20" x14ac:dyDescent="0.25">
      <c r="A158" s="5">
        <v>44435</v>
      </c>
      <c r="B158">
        <v>0.19339999999999999</v>
      </c>
      <c r="C158">
        <v>0.2046</v>
      </c>
      <c r="D158">
        <v>0.187</v>
      </c>
      <c r="E158">
        <v>0.20219999999999999</v>
      </c>
      <c r="F158">
        <v>5103685.66</v>
      </c>
      <c r="G158">
        <v>0.20219999999999999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0.72727272727272585</v>
      </c>
      <c r="Q158">
        <f t="shared" ref="Q158" si="766">F158*P158</f>
        <v>3711771.3890909017</v>
      </c>
      <c r="R158">
        <f t="shared" ref="R158" si="767">R159+Q158</f>
        <v>-554794811.1125052</v>
      </c>
      <c r="S158">
        <f t="shared" ref="S158" si="768">R158/100000</f>
        <v>-5547.9481111250516</v>
      </c>
      <c r="T158">
        <f t="shared" ref="T158" si="769">S158/1000</f>
        <v>-5.5479481111250513</v>
      </c>
    </row>
    <row r="159" spans="1:20" x14ac:dyDescent="0.25">
      <c r="A159" s="5">
        <v>44434</v>
      </c>
      <c r="B159">
        <v>0.2082</v>
      </c>
      <c r="C159">
        <v>0.2122</v>
      </c>
      <c r="D159">
        <v>0.1885</v>
      </c>
      <c r="E159">
        <v>0.1933</v>
      </c>
      <c r="F159">
        <v>10316597.439999999</v>
      </c>
      <c r="G159">
        <v>0.1933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-0.59493670886075956</v>
      </c>
      <c r="Q159">
        <f t="shared" ref="Q159" si="771">F159*P159</f>
        <v>-6137722.527594937</v>
      </c>
      <c r="R159">
        <f t="shared" ref="R159" si="772">R160+Q159</f>
        <v>-558506582.50159609</v>
      </c>
      <c r="S159">
        <f t="shared" ref="S159" si="773">R159/100000</f>
        <v>-5585.0658250159613</v>
      </c>
      <c r="T159">
        <f t="shared" ref="T159" si="774">S159/1000</f>
        <v>-5.5850658250159615</v>
      </c>
    </row>
    <row r="160" spans="1:20" x14ac:dyDescent="0.25">
      <c r="A160" s="5">
        <v>44433</v>
      </c>
      <c r="B160">
        <v>0.19900000000000001</v>
      </c>
      <c r="C160">
        <v>0.23039999999999999</v>
      </c>
      <c r="D160">
        <v>0.19109999999999999</v>
      </c>
      <c r="E160">
        <v>0.20780000000000001</v>
      </c>
      <c r="F160">
        <v>28329443.760000002</v>
      </c>
      <c r="G160">
        <v>0.20780000000000001</v>
      </c>
      <c r="L160" t="s">
        <v>8</v>
      </c>
      <c r="M160" t="s">
        <v>7</v>
      </c>
      <c r="N160" t="s">
        <v>8</v>
      </c>
      <c r="P160">
        <f t="shared" ref="P160" si="775">IF(C160=D160,0,((E160-D160)-(C160-E160))/(C160-D160))</f>
        <v>-0.15012722646310334</v>
      </c>
      <c r="Q160">
        <f t="shared" ref="Q160" si="776">F160*P160</f>
        <v>-4253020.8189312695</v>
      </c>
      <c r="R160">
        <f t="shared" ref="R160" si="777">R161+Q160</f>
        <v>-552368859.97400117</v>
      </c>
      <c r="S160">
        <f t="shared" ref="S160" si="778">R160/100000</f>
        <v>-5523.6885997400113</v>
      </c>
      <c r="T160">
        <f t="shared" ref="T160" si="779">S160/1000</f>
        <v>-5.5236885997400114</v>
      </c>
    </row>
    <row r="161" spans="1:20" x14ac:dyDescent="0.25">
      <c r="A161" s="5">
        <v>44432</v>
      </c>
      <c r="B161">
        <v>0.21629999999999999</v>
      </c>
      <c r="C161">
        <v>0.2177</v>
      </c>
      <c r="D161">
        <v>0.1913</v>
      </c>
      <c r="E161">
        <v>0.19900000000000001</v>
      </c>
      <c r="F161">
        <v>7068284.4000000004</v>
      </c>
      <c r="G161">
        <v>0.19900000000000001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-0.41666666666666585</v>
      </c>
      <c r="Q161">
        <f t="shared" ref="Q161" si="781">F161*P161</f>
        <v>-2945118.4999999944</v>
      </c>
      <c r="R161">
        <f t="shared" ref="R161" si="782">R162+Q161</f>
        <v>-548115839.15506995</v>
      </c>
      <c r="S161">
        <f t="shared" ref="S161" si="783">R161/100000</f>
        <v>-5481.1583915506999</v>
      </c>
      <c r="T161">
        <f t="shared" ref="T161" si="784">S161/1000</f>
        <v>-5.4811583915507001</v>
      </c>
    </row>
    <row r="162" spans="1:20" x14ac:dyDescent="0.25">
      <c r="A162" s="5">
        <v>44431</v>
      </c>
      <c r="B162">
        <v>0.21859999999999999</v>
      </c>
      <c r="C162">
        <v>0.23300000000000001</v>
      </c>
      <c r="D162">
        <v>0.21149999999999999</v>
      </c>
      <c r="E162">
        <v>0.21629999999999999</v>
      </c>
      <c r="F162">
        <v>14077517.800000001</v>
      </c>
      <c r="G162">
        <v>0.21629999999999999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-0.55348837209302382</v>
      </c>
      <c r="Q162">
        <f t="shared" ref="Q162" si="786">F162*P162</f>
        <v>-7791742.4102325663</v>
      </c>
      <c r="R162">
        <f t="shared" ref="R162" si="787">R163+Q162</f>
        <v>-545170720.65506995</v>
      </c>
      <c r="S162">
        <f t="shared" ref="S162" si="788">R162/100000</f>
        <v>-5451.7072065506991</v>
      </c>
      <c r="T162">
        <f t="shared" ref="T162" si="789">S162/1000</f>
        <v>-5.4517072065506991</v>
      </c>
    </row>
    <row r="163" spans="1:20" x14ac:dyDescent="0.25">
      <c r="A163" s="5">
        <v>44430</v>
      </c>
      <c r="B163">
        <v>0.21079999999999999</v>
      </c>
      <c r="C163">
        <v>0.21690000000000001</v>
      </c>
      <c r="D163">
        <v>0.2094</v>
      </c>
      <c r="E163">
        <v>0.2142</v>
      </c>
      <c r="F163">
        <v>1483968.47</v>
      </c>
      <c r="G163">
        <v>0.2142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0.27999999999999853</v>
      </c>
      <c r="Q163">
        <f t="shared" ref="Q163" si="791">F163*P163</f>
        <v>415511.17159999779</v>
      </c>
      <c r="R163">
        <f t="shared" ref="R163" si="792">R164+Q163</f>
        <v>-537378978.2448374</v>
      </c>
      <c r="S163">
        <f t="shared" ref="S163" si="793">R163/100000</f>
        <v>-5373.7897824483744</v>
      </c>
      <c r="T163">
        <f t="shared" ref="T163" si="794">S163/1000</f>
        <v>-5.373789782448374</v>
      </c>
    </row>
    <row r="164" spans="1:20" x14ac:dyDescent="0.25">
      <c r="A164" s="5">
        <v>44429</v>
      </c>
      <c r="B164">
        <v>0.20519999999999999</v>
      </c>
      <c r="C164">
        <v>0.22</v>
      </c>
      <c r="D164">
        <v>0.1981</v>
      </c>
      <c r="E164">
        <v>0.21079999999999999</v>
      </c>
      <c r="F164">
        <v>18529778.600000001</v>
      </c>
      <c r="G164">
        <v>0.21079999999999999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0.15981735159817237</v>
      </c>
      <c r="Q164">
        <f t="shared" ref="Q164" si="796">F164*P164</f>
        <v>2961380.1415524902</v>
      </c>
      <c r="R164">
        <f t="shared" ref="R164" si="797">R165+Q164</f>
        <v>-537794489.41643739</v>
      </c>
      <c r="S164">
        <f t="shared" ref="S164" si="798">R164/100000</f>
        <v>-5377.9448941643741</v>
      </c>
      <c r="T164">
        <f t="shared" ref="T164" si="799">S164/1000</f>
        <v>-5.3779448941643739</v>
      </c>
    </row>
    <row r="165" spans="1:20" x14ac:dyDescent="0.25">
      <c r="A165" s="5">
        <v>44428</v>
      </c>
      <c r="B165">
        <v>0.19989999999999999</v>
      </c>
      <c r="C165">
        <v>0.20780000000000001</v>
      </c>
      <c r="D165">
        <v>0.19800000000000001</v>
      </c>
      <c r="E165">
        <v>0.20519999999999999</v>
      </c>
      <c r="F165">
        <v>6543620.7999999998</v>
      </c>
      <c r="G165">
        <v>0.20519999999999999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0.46938775510203712</v>
      </c>
      <c r="Q165">
        <f t="shared" ref="Q165" si="801">F165*P165</f>
        <v>3071495.477550996</v>
      </c>
      <c r="R165">
        <f t="shared" ref="R165" si="802">R166+Q165</f>
        <v>-540755869.55798984</v>
      </c>
      <c r="S165">
        <f t="shared" ref="S165" si="803">R165/100000</f>
        <v>-5407.5586955798981</v>
      </c>
      <c r="T165">
        <f t="shared" ref="T165" si="804">S165/1000</f>
        <v>-5.4075586955798984</v>
      </c>
    </row>
    <row r="166" spans="1:20" x14ac:dyDescent="0.25">
      <c r="A166" s="5">
        <v>44427</v>
      </c>
      <c r="B166">
        <v>0.1865</v>
      </c>
      <c r="C166">
        <v>0.20419999999999999</v>
      </c>
      <c r="D166">
        <v>0.17829999999999999</v>
      </c>
      <c r="E166">
        <v>0.19980000000000001</v>
      </c>
      <c r="F166">
        <v>18049485.370000001</v>
      </c>
      <c r="G166">
        <v>0.19980000000000001</v>
      </c>
      <c r="L166" t="s">
        <v>7</v>
      </c>
      <c r="M166" t="s">
        <v>7</v>
      </c>
      <c r="N166" t="s">
        <v>8</v>
      </c>
      <c r="P166">
        <f t="shared" ref="P166" si="805">IF(C166=D166,0,((E166-D166)-(C166-E166))/(C166-D166))</f>
        <v>0.66023166023166124</v>
      </c>
      <c r="Q166">
        <f t="shared" ref="Q166" si="806">F166*P166</f>
        <v>11916841.69216218</v>
      </c>
      <c r="R166">
        <f t="shared" ref="R166" si="807">R167+Q166</f>
        <v>-543827365.03554082</v>
      </c>
      <c r="S166">
        <f t="shared" ref="S166" si="808">R166/100000</f>
        <v>-5438.2736503554079</v>
      </c>
      <c r="T166">
        <f t="shared" ref="T166" si="809">S166/1000</f>
        <v>-5.4382736503554074</v>
      </c>
    </row>
    <row r="167" spans="1:20" x14ac:dyDescent="0.25">
      <c r="A167" s="5">
        <v>44426</v>
      </c>
      <c r="B167">
        <v>0.18509999999999999</v>
      </c>
      <c r="C167">
        <v>0.19309999999999999</v>
      </c>
      <c r="D167">
        <v>0.17860000000000001</v>
      </c>
      <c r="E167">
        <v>0.18640000000000001</v>
      </c>
      <c r="F167">
        <v>11563322.77</v>
      </c>
      <c r="G167">
        <v>0.18640000000000001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7.5862068965518531E-2</v>
      </c>
      <c r="Q167">
        <f t="shared" ref="Q167" si="811">F167*P167</f>
        <v>877217.58944829076</v>
      </c>
      <c r="R167">
        <f t="shared" ref="R167" si="812">R168+Q167</f>
        <v>-555744206.72770298</v>
      </c>
      <c r="S167">
        <f t="shared" ref="S167" si="813">R167/100000</f>
        <v>-5557.4420672770293</v>
      </c>
      <c r="T167">
        <f t="shared" ref="T167" si="814">S167/1000</f>
        <v>-5.5574420672770293</v>
      </c>
    </row>
    <row r="168" spans="1:20" x14ac:dyDescent="0.25">
      <c r="A168" s="5">
        <v>44425</v>
      </c>
      <c r="B168">
        <v>0.1981</v>
      </c>
      <c r="C168">
        <v>0.20549999999999999</v>
      </c>
      <c r="D168">
        <v>0.18360000000000001</v>
      </c>
      <c r="E168">
        <v>0.1852</v>
      </c>
      <c r="F168">
        <v>7126820.0999999996</v>
      </c>
      <c r="G168">
        <v>0.1852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-0.85388127853881346</v>
      </c>
      <c r="Q168">
        <f t="shared" ref="Q168" si="816">F168*P168</f>
        <v>-6085458.2589041144</v>
      </c>
      <c r="R168">
        <f t="shared" ref="R168" si="817">R169+Q168</f>
        <v>-556621424.31715131</v>
      </c>
      <c r="S168">
        <f t="shared" ref="S168" si="818">R168/100000</f>
        <v>-5566.2142431715129</v>
      </c>
      <c r="T168">
        <f t="shared" ref="T168" si="819">S168/1000</f>
        <v>-5.5662142431715127</v>
      </c>
    </row>
    <row r="169" spans="1:20" x14ac:dyDescent="0.25">
      <c r="A169" s="5">
        <v>44424</v>
      </c>
      <c r="B169">
        <v>0.2059</v>
      </c>
      <c r="C169">
        <v>0.21279999999999999</v>
      </c>
      <c r="D169">
        <v>0.19500000000000001</v>
      </c>
      <c r="E169">
        <v>0.19819999999999999</v>
      </c>
      <c r="F169">
        <v>10338814.67</v>
      </c>
      <c r="G169">
        <v>0.19819999999999999</v>
      </c>
      <c r="L169" t="s">
        <v>8</v>
      </c>
      <c r="M169" t="s">
        <v>7</v>
      </c>
      <c r="N169" t="s">
        <v>8</v>
      </c>
      <c r="P169">
        <f t="shared" ref="P169" si="820">IF(C169=D169,0,((E169-D169)-(C169-E169))/(C169-D169))</f>
        <v>-0.64044943820224898</v>
      </c>
      <c r="Q169">
        <f t="shared" ref="Q169" si="821">F169*P169</f>
        <v>-6621488.04707867</v>
      </c>
      <c r="R169">
        <f t="shared" ref="R169" si="822">R170+Q169</f>
        <v>-550535966.05824721</v>
      </c>
      <c r="S169">
        <f t="shared" ref="S169" si="823">R169/100000</f>
        <v>-5505.3596605824723</v>
      </c>
      <c r="T169">
        <f t="shared" ref="T169" si="824">S169/1000</f>
        <v>-5.5053596605824726</v>
      </c>
    </row>
    <row r="170" spans="1:20" x14ac:dyDescent="0.25">
      <c r="A170" s="5">
        <v>44423</v>
      </c>
      <c r="B170">
        <v>0.20449999999999999</v>
      </c>
      <c r="C170">
        <v>0.2074</v>
      </c>
      <c r="D170">
        <v>0.19389999999999999</v>
      </c>
      <c r="E170">
        <v>0.2059</v>
      </c>
      <c r="F170">
        <v>7257532.5899999999</v>
      </c>
      <c r="G170">
        <v>0.2059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0.77777777777777779</v>
      </c>
      <c r="Q170">
        <f t="shared" ref="Q170" si="826">F170*P170</f>
        <v>5644747.5700000003</v>
      </c>
      <c r="R170">
        <f t="shared" ref="R170" si="827">R171+Q170</f>
        <v>-543914478.01116848</v>
      </c>
      <c r="S170">
        <f t="shared" ref="S170" si="828">R170/100000</f>
        <v>-5439.1447801116847</v>
      </c>
      <c r="T170">
        <f t="shared" ref="T170" si="829">S170/1000</f>
        <v>-5.4391447801116843</v>
      </c>
    </row>
    <row r="171" spans="1:20" x14ac:dyDescent="0.25">
      <c r="A171" s="5">
        <v>44422</v>
      </c>
      <c r="B171">
        <v>0.21609999999999999</v>
      </c>
      <c r="C171">
        <v>0.2185</v>
      </c>
      <c r="D171">
        <v>0.19700000000000001</v>
      </c>
      <c r="E171">
        <v>0.20419999999999999</v>
      </c>
      <c r="F171">
        <v>12653391.77</v>
      </c>
      <c r="G171">
        <v>0.20419999999999999</v>
      </c>
      <c r="L171" t="s">
        <v>7</v>
      </c>
      <c r="M171" t="s">
        <v>7</v>
      </c>
      <c r="N171" t="s">
        <v>8</v>
      </c>
      <c r="P171">
        <f t="shared" ref="P171" si="830">IF(C171=D171,0,((E171-D171)-(C171-E171))/(C171-D171))</f>
        <v>-0.33023255813953606</v>
      </c>
      <c r="Q171">
        <f t="shared" ref="Q171" si="831">F171*P171</f>
        <v>-4178561.9333488517</v>
      </c>
      <c r="R171">
        <f t="shared" ref="R171" si="832">R172+Q171</f>
        <v>-549559225.58116853</v>
      </c>
      <c r="S171">
        <f t="shared" ref="S171" si="833">R171/100000</f>
        <v>-5495.5922558116854</v>
      </c>
      <c r="T171">
        <f t="shared" ref="T171" si="834">S171/1000</f>
        <v>-5.495592255811685</v>
      </c>
    </row>
    <row r="172" spans="1:20" x14ac:dyDescent="0.25">
      <c r="A172" s="5">
        <v>44421</v>
      </c>
      <c r="B172">
        <v>0.18129999999999999</v>
      </c>
      <c r="C172">
        <v>0.2344</v>
      </c>
      <c r="D172">
        <v>0.1787</v>
      </c>
      <c r="E172">
        <v>0.21640000000000001</v>
      </c>
      <c r="F172">
        <v>41121779.289999999</v>
      </c>
      <c r="G172">
        <v>0.21640000000000001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0.35368043087971318</v>
      </c>
      <c r="Q172">
        <f t="shared" ref="Q172" si="836">F172*P172</f>
        <v>14543968.617827665</v>
      </c>
      <c r="R172">
        <f t="shared" ref="R172" si="837">R173+Q172</f>
        <v>-545380663.64781964</v>
      </c>
      <c r="S172">
        <f t="shared" ref="S172" si="838">R172/100000</f>
        <v>-5453.8066364781962</v>
      </c>
      <c r="T172">
        <f t="shared" ref="T172" si="839">S172/1000</f>
        <v>-5.4538066364781965</v>
      </c>
    </row>
    <row r="173" spans="1:20" x14ac:dyDescent="0.25">
      <c r="A173" s="5">
        <v>44420</v>
      </c>
      <c r="B173">
        <v>0.1908</v>
      </c>
      <c r="C173">
        <v>0.20230000000000001</v>
      </c>
      <c r="D173">
        <v>0.17399999999999999</v>
      </c>
      <c r="E173">
        <v>0.18140000000000001</v>
      </c>
      <c r="F173">
        <v>39744326.43</v>
      </c>
      <c r="G173">
        <v>0.18140000000000001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-0.47703180212014046</v>
      </c>
      <c r="Q173">
        <f t="shared" ref="Q173" si="841">F173*P173</f>
        <v>-18959307.660954028</v>
      </c>
      <c r="R173">
        <f t="shared" ref="R173" si="842">R174+Q173</f>
        <v>-559924632.26564729</v>
      </c>
      <c r="S173">
        <f t="shared" ref="S173" si="843">R173/100000</f>
        <v>-5599.2463226564732</v>
      </c>
      <c r="T173">
        <f t="shared" ref="T173" si="844">S173/1000</f>
        <v>-5.599246322656473</v>
      </c>
    </row>
    <row r="174" spans="1:20" x14ac:dyDescent="0.25">
      <c r="A174" s="5">
        <v>44419</v>
      </c>
      <c r="B174">
        <v>0.1885</v>
      </c>
      <c r="C174">
        <v>0.215</v>
      </c>
      <c r="D174">
        <v>0.18509999999999999</v>
      </c>
      <c r="E174">
        <v>0.1908</v>
      </c>
      <c r="F174">
        <v>28127490.210000001</v>
      </c>
      <c r="G174">
        <v>0.1908</v>
      </c>
      <c r="L174" t="s">
        <v>7</v>
      </c>
      <c r="M174" t="s">
        <v>7</v>
      </c>
      <c r="N174" t="s">
        <v>8</v>
      </c>
      <c r="P174">
        <f t="shared" ref="P174" si="845">IF(C174=D174,0,((E174-D174)-(C174-E174))/(C174-D174))</f>
        <v>-0.61872909698996592</v>
      </c>
      <c r="Q174">
        <f t="shared" ref="Q174" si="846">F174*P174</f>
        <v>-17403296.618227407</v>
      </c>
      <c r="R174">
        <f t="shared" ref="R174" si="847">R175+Q174</f>
        <v>-540965324.60469329</v>
      </c>
      <c r="S174">
        <f t="shared" ref="S174" si="848">R174/100000</f>
        <v>-5409.6532460469325</v>
      </c>
      <c r="T174">
        <f t="shared" ref="T174" si="849">S174/1000</f>
        <v>-5.4096532460469327</v>
      </c>
    </row>
    <row r="175" spans="1:20" x14ac:dyDescent="0.25">
      <c r="A175" s="5">
        <v>44418</v>
      </c>
      <c r="B175">
        <v>0.1769</v>
      </c>
      <c r="C175">
        <v>0.2266</v>
      </c>
      <c r="D175">
        <v>0.17380000000000001</v>
      </c>
      <c r="E175">
        <v>0.188</v>
      </c>
      <c r="F175">
        <v>42851552.829999998</v>
      </c>
      <c r="G175">
        <v>0.188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-0.46212121212121232</v>
      </c>
      <c r="Q175">
        <f t="shared" ref="Q175" si="851">F175*P175</f>
        <v>-19802611.535075765</v>
      </c>
      <c r="R175">
        <f t="shared" ref="R175" si="852">R176+Q175</f>
        <v>-523562027.98646593</v>
      </c>
      <c r="S175">
        <f t="shared" ref="S175" si="853">R175/100000</f>
        <v>-5235.6202798646591</v>
      </c>
      <c r="T175">
        <f t="shared" ref="T175" si="854">S175/1000</f>
        <v>-5.2356202798646594</v>
      </c>
    </row>
    <row r="176" spans="1:20" x14ac:dyDescent="0.25">
      <c r="A176" s="5">
        <v>44417</v>
      </c>
      <c r="B176">
        <v>0.1676</v>
      </c>
      <c r="C176">
        <v>0.1799</v>
      </c>
      <c r="D176">
        <v>0.16220000000000001</v>
      </c>
      <c r="E176">
        <v>0.1774</v>
      </c>
      <c r="F176">
        <v>9613619.0999999996</v>
      </c>
      <c r="G176">
        <v>0.1774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0.71751412429378492</v>
      </c>
      <c r="Q176">
        <f t="shared" ref="Q176" si="856">F176*P176</f>
        <v>6897907.4898305042</v>
      </c>
      <c r="R176">
        <f t="shared" ref="R176" si="857">R177+Q176</f>
        <v>-503759416.45139015</v>
      </c>
      <c r="S176">
        <f t="shared" ref="S176" si="858">R176/100000</f>
        <v>-5037.5941645139019</v>
      </c>
      <c r="T176">
        <f t="shared" ref="T176" si="859">S176/1000</f>
        <v>-5.0375941645139015</v>
      </c>
    </row>
    <row r="177" spans="1:20" x14ac:dyDescent="0.25">
      <c r="A177" s="5">
        <v>44416</v>
      </c>
      <c r="B177">
        <v>0.18920000000000001</v>
      </c>
      <c r="C177">
        <v>0.19120000000000001</v>
      </c>
      <c r="D177">
        <v>0.1656</v>
      </c>
      <c r="E177">
        <v>0.1673</v>
      </c>
      <c r="F177">
        <v>16375081.960000001</v>
      </c>
      <c r="G177">
        <v>0.1673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-0.86718749999999956</v>
      </c>
      <c r="Q177">
        <f t="shared" ref="Q177" si="861">F177*P177</f>
        <v>-14200266.387187494</v>
      </c>
      <c r="R177">
        <f t="shared" ref="R177" si="862">R178+Q177</f>
        <v>-510657323.94122064</v>
      </c>
      <c r="S177">
        <f t="shared" ref="S177" si="863">R177/100000</f>
        <v>-5106.573239412206</v>
      </c>
      <c r="T177">
        <f t="shared" ref="T177" si="864">S177/1000</f>
        <v>-5.1065732394122056</v>
      </c>
    </row>
    <row r="178" spans="1:20" x14ac:dyDescent="0.25">
      <c r="A178" s="5">
        <v>44415</v>
      </c>
      <c r="B178">
        <v>0.16220000000000001</v>
      </c>
      <c r="C178">
        <v>0.193</v>
      </c>
      <c r="D178">
        <v>0.16109999999999999</v>
      </c>
      <c r="E178">
        <v>0.18920000000000001</v>
      </c>
      <c r="F178">
        <v>34595212.899999999</v>
      </c>
      <c r="G178">
        <v>0.18920000000000001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0.76175548589341713</v>
      </c>
      <c r="Q178">
        <f t="shared" ref="Q178" si="866">F178*P178</f>
        <v>26353093.212225713</v>
      </c>
      <c r="R178">
        <f t="shared" ref="R178" si="867">R179+Q178</f>
        <v>-496457057.55403316</v>
      </c>
      <c r="S178">
        <f t="shared" ref="S178" si="868">R178/100000</f>
        <v>-4964.5705755403314</v>
      </c>
      <c r="T178">
        <f t="shared" ref="T178" si="869">S178/1000</f>
        <v>-4.9645705755403311</v>
      </c>
    </row>
    <row r="179" spans="1:20" x14ac:dyDescent="0.25">
      <c r="A179" s="5">
        <v>44414</v>
      </c>
      <c r="B179">
        <v>0.1605</v>
      </c>
      <c r="C179">
        <v>0.16950000000000001</v>
      </c>
      <c r="D179">
        <v>0.15329999999999999</v>
      </c>
      <c r="E179">
        <v>0.16239999999999999</v>
      </c>
      <c r="F179">
        <v>13353383.24</v>
      </c>
      <c r="G179">
        <v>0.16239999999999999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0.12345679012345503</v>
      </c>
      <c r="Q179">
        <f t="shared" ref="Q179" si="871">F179*P179</f>
        <v>1648565.832098742</v>
      </c>
      <c r="R179">
        <f t="shared" ref="R179" si="872">R180+Q179</f>
        <v>-522810150.7662589</v>
      </c>
      <c r="S179">
        <f t="shared" ref="S179" si="873">R179/100000</f>
        <v>-5228.101507662589</v>
      </c>
      <c r="T179">
        <f t="shared" ref="T179" si="874">S179/1000</f>
        <v>-5.228101507662589</v>
      </c>
    </row>
    <row r="180" spans="1:20" x14ac:dyDescent="0.25">
      <c r="A180" s="5">
        <v>44413</v>
      </c>
      <c r="B180">
        <v>0.14779999999999999</v>
      </c>
      <c r="C180">
        <v>0.16500000000000001</v>
      </c>
      <c r="D180">
        <v>0.14699999999999999</v>
      </c>
      <c r="E180">
        <v>0.1605</v>
      </c>
      <c r="F180">
        <v>21073289.010000002</v>
      </c>
      <c r="G180">
        <v>0.1605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0.5</v>
      </c>
      <c r="Q180">
        <f t="shared" ref="Q180" si="876">F180*P180</f>
        <v>10536644.505000001</v>
      </c>
      <c r="R180">
        <f t="shared" ref="R180" si="877">R181+Q180</f>
        <v>-524458716.59835762</v>
      </c>
      <c r="S180">
        <f t="shared" ref="S180" si="878">R180/100000</f>
        <v>-5244.5871659835766</v>
      </c>
      <c r="T180">
        <f t="shared" ref="T180" si="879">S180/1000</f>
        <v>-5.2445871659835763</v>
      </c>
    </row>
    <row r="181" spans="1:20" x14ac:dyDescent="0.25">
      <c r="A181" s="5">
        <v>44412</v>
      </c>
      <c r="B181">
        <v>0.14560000000000001</v>
      </c>
      <c r="C181">
        <v>0.15129999999999999</v>
      </c>
      <c r="D181">
        <v>0.1439</v>
      </c>
      <c r="E181">
        <v>0.14749999999999999</v>
      </c>
      <c r="F181">
        <v>10373217.16</v>
      </c>
      <c r="G181">
        <v>0.14749999999999999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-2.7027027027027837E-2</v>
      </c>
      <c r="Q181">
        <f t="shared" ref="Q181" si="881">F181*P181</f>
        <v>-280357.22054054897</v>
      </c>
      <c r="R181">
        <f t="shared" ref="R181" si="882">R182+Q181</f>
        <v>-534995361.10335761</v>
      </c>
      <c r="S181">
        <f t="shared" ref="S181" si="883">R181/100000</f>
        <v>-5349.9536110335757</v>
      </c>
      <c r="T181">
        <f t="shared" ref="T181" si="884">S181/1000</f>
        <v>-5.3499536110335759</v>
      </c>
    </row>
    <row r="182" spans="1:20" x14ac:dyDescent="0.25">
      <c r="A182" s="5">
        <v>44411</v>
      </c>
      <c r="B182">
        <v>0.14219999999999999</v>
      </c>
      <c r="C182">
        <v>0.1477</v>
      </c>
      <c r="D182">
        <v>0.13569999999999999</v>
      </c>
      <c r="E182">
        <v>0.14530000000000001</v>
      </c>
      <c r="F182">
        <v>13408043.710000001</v>
      </c>
      <c r="G182">
        <v>0.14530000000000001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0.60000000000000275</v>
      </c>
      <c r="Q182">
        <f t="shared" ref="Q182" si="886">F182*P182</f>
        <v>8044826.226000037</v>
      </c>
      <c r="R182">
        <f t="shared" ref="R182" si="887">R183+Q182</f>
        <v>-534715003.88281709</v>
      </c>
      <c r="S182">
        <f t="shared" ref="S182" si="888">R182/100000</f>
        <v>-5347.1500388281711</v>
      </c>
      <c r="T182">
        <f t="shared" ref="T182" si="889">S182/1000</f>
        <v>-5.347150038828171</v>
      </c>
    </row>
    <row r="183" spans="1:20" x14ac:dyDescent="0.25">
      <c r="A183" s="5">
        <v>44410</v>
      </c>
      <c r="B183">
        <v>0.13900000000000001</v>
      </c>
      <c r="C183">
        <v>0.1457</v>
      </c>
      <c r="D183">
        <v>0.1371</v>
      </c>
      <c r="E183">
        <v>0.1429</v>
      </c>
      <c r="F183">
        <v>4149388.49</v>
      </c>
      <c r="G183">
        <v>0.1429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0.34883720930232603</v>
      </c>
      <c r="Q183">
        <f t="shared" ref="Q183" si="891">F183*P183</f>
        <v>1447461.1011627926</v>
      </c>
      <c r="R183">
        <f t="shared" ref="R183" si="892">R184+Q183</f>
        <v>-542759830.1088171</v>
      </c>
      <c r="S183">
        <f t="shared" ref="S183" si="893">R183/100000</f>
        <v>-5427.598301088171</v>
      </c>
      <c r="T183">
        <f t="shared" ref="T183" si="894">S183/1000</f>
        <v>-5.427598301088171</v>
      </c>
    </row>
    <row r="184" spans="1:20" x14ac:dyDescent="0.25">
      <c r="A184" s="5">
        <v>44409</v>
      </c>
      <c r="B184">
        <v>0.14349999999999999</v>
      </c>
      <c r="C184">
        <v>0.15</v>
      </c>
      <c r="D184">
        <v>0.1381</v>
      </c>
      <c r="E184">
        <v>0.13900000000000001</v>
      </c>
      <c r="F184">
        <v>8346267.75</v>
      </c>
      <c r="G184">
        <v>0.13900000000000001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-0.8487394957983172</v>
      </c>
      <c r="Q184">
        <f t="shared" ref="Q184" si="896">F184*P184</f>
        <v>-7083807.0819327552</v>
      </c>
      <c r="R184">
        <f t="shared" ref="R184" si="897">R185+Q184</f>
        <v>-544207291.20997989</v>
      </c>
      <c r="S184">
        <f t="shared" ref="S184" si="898">R184/100000</f>
        <v>-5442.0729120997985</v>
      </c>
      <c r="T184">
        <f t="shared" ref="T184" si="899">S184/1000</f>
        <v>-5.4420729120997988</v>
      </c>
    </row>
    <row r="185" spans="1:20" x14ac:dyDescent="0.25">
      <c r="A185" s="5">
        <v>44408</v>
      </c>
      <c r="B185">
        <v>0.14249999999999999</v>
      </c>
      <c r="C185">
        <v>0.1477</v>
      </c>
      <c r="D185">
        <v>0.13919999999999999</v>
      </c>
      <c r="E185">
        <v>0.14349999999999999</v>
      </c>
      <c r="F185">
        <v>6853935.3399999999</v>
      </c>
      <c r="G185">
        <v>0.14349999999999999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1.1764705882351635E-2</v>
      </c>
      <c r="Q185">
        <f t="shared" ref="Q185" si="901">F185*P185</f>
        <v>80634.53341175575</v>
      </c>
      <c r="R185">
        <f t="shared" ref="R185" si="902">R186+Q185</f>
        <v>-537123484.12804711</v>
      </c>
      <c r="S185">
        <f t="shared" ref="S185" si="903">R185/100000</f>
        <v>-5371.2348412804713</v>
      </c>
      <c r="T185">
        <f t="shared" ref="T185" si="904">S185/1000</f>
        <v>-5.3712348412804714</v>
      </c>
    </row>
    <row r="186" spans="1:20" x14ac:dyDescent="0.25">
      <c r="A186" s="5">
        <v>44407</v>
      </c>
      <c r="B186">
        <v>0.14180000000000001</v>
      </c>
      <c r="C186">
        <v>0.1462</v>
      </c>
      <c r="D186">
        <v>0.1346</v>
      </c>
      <c r="E186">
        <v>0.14230000000000001</v>
      </c>
      <c r="F186">
        <v>9277886.0800000001</v>
      </c>
      <c r="G186">
        <v>0.14230000000000001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0.32758620689655393</v>
      </c>
      <c r="Q186">
        <f t="shared" ref="Q186" si="906">F186*P186</f>
        <v>3039307.5089655379</v>
      </c>
      <c r="R186">
        <f t="shared" ref="R186" si="907">R187+Q186</f>
        <v>-537204118.66145885</v>
      </c>
      <c r="S186">
        <f t="shared" ref="S186" si="908">R186/100000</f>
        <v>-5372.0411866145887</v>
      </c>
      <c r="T186">
        <f t="shared" ref="T186" si="909">S186/1000</f>
        <v>-5.372041186614589</v>
      </c>
    </row>
    <row r="187" spans="1:20" x14ac:dyDescent="0.25">
      <c r="A187" s="5">
        <v>44406</v>
      </c>
      <c r="B187">
        <v>0.1414</v>
      </c>
      <c r="C187">
        <v>0.14499999999999999</v>
      </c>
      <c r="D187">
        <v>0.13689999999999999</v>
      </c>
      <c r="E187">
        <v>0.1416</v>
      </c>
      <c r="F187">
        <v>12295427.91</v>
      </c>
      <c r="G187">
        <v>0.1416</v>
      </c>
      <c r="L187" t="s">
        <v>7</v>
      </c>
      <c r="M187" t="s">
        <v>8</v>
      </c>
      <c r="N187" t="s">
        <v>8</v>
      </c>
      <c r="P187">
        <f t="shared" ref="P187" si="910">IF(C187=D187,0,((E187-D187)-(C187-E187))/(C187-D187))</f>
        <v>0.16049382716049679</v>
      </c>
      <c r="Q187">
        <f t="shared" ref="Q187" si="911">F187*P187</f>
        <v>1973340.2818518882</v>
      </c>
      <c r="R187">
        <f t="shared" ref="R187" si="912">R188+Q187</f>
        <v>-540243426.17042434</v>
      </c>
      <c r="S187">
        <f t="shared" ref="S187" si="913">R187/100000</f>
        <v>-5402.434261704243</v>
      </c>
      <c r="T187">
        <f t="shared" ref="T187" si="914">S187/1000</f>
        <v>-5.4024342617042427</v>
      </c>
    </row>
    <row r="188" spans="1:20" x14ac:dyDescent="0.25">
      <c r="A188" s="5">
        <v>44405</v>
      </c>
      <c r="B188">
        <v>0.13250000000000001</v>
      </c>
      <c r="C188">
        <v>0.15329999999999999</v>
      </c>
      <c r="D188">
        <v>0.1295</v>
      </c>
      <c r="E188">
        <v>0.1414</v>
      </c>
      <c r="F188">
        <v>26571635.539999999</v>
      </c>
      <c r="G188">
        <v>0.1414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</v>
      </c>
      <c r="Q188">
        <f t="shared" ref="Q188" si="916">F188*P188</f>
        <v>0</v>
      </c>
      <c r="R188">
        <f t="shared" ref="R188" si="917">R189+Q188</f>
        <v>-542216766.45227623</v>
      </c>
      <c r="S188">
        <f t="shared" ref="S188" si="918">R188/100000</f>
        <v>-5422.1676645227626</v>
      </c>
      <c r="T188">
        <f t="shared" ref="T188" si="919">S188/1000</f>
        <v>-5.422167664522763</v>
      </c>
    </row>
    <row r="189" spans="1:20" x14ac:dyDescent="0.25">
      <c r="A189" s="5">
        <v>44404</v>
      </c>
      <c r="B189">
        <v>0.13200000000000001</v>
      </c>
      <c r="C189">
        <v>0.13600000000000001</v>
      </c>
      <c r="D189">
        <v>0.12770000000000001</v>
      </c>
      <c r="E189">
        <v>0.13250000000000001</v>
      </c>
      <c r="F189">
        <v>6385452.4100000001</v>
      </c>
      <c r="G189">
        <v>0.13250000000000001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0.15662650602409584</v>
      </c>
      <c r="Q189">
        <f t="shared" ref="Q189" si="921">F189*P189</f>
        <v>1000131.1003614423</v>
      </c>
      <c r="R189">
        <f t="shared" ref="R189" si="922">R190+Q189</f>
        <v>-542216766.45227623</v>
      </c>
      <c r="S189">
        <f t="shared" ref="S189" si="923">R189/100000</f>
        <v>-5422.1676645227626</v>
      </c>
      <c r="T189">
        <f t="shared" ref="T189" si="924">S189/1000</f>
        <v>-5.422167664522763</v>
      </c>
    </row>
    <row r="190" spans="1:20" x14ac:dyDescent="0.25">
      <c r="A190" s="5">
        <v>44403</v>
      </c>
      <c r="B190">
        <v>0.13239999999999999</v>
      </c>
      <c r="C190">
        <v>0.14460000000000001</v>
      </c>
      <c r="D190">
        <v>0.13070000000000001</v>
      </c>
      <c r="E190">
        <v>0.13220000000000001</v>
      </c>
      <c r="F190">
        <v>13075520.16</v>
      </c>
      <c r="G190">
        <v>0.13220000000000001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-0.78417266187050338</v>
      </c>
      <c r="Q190">
        <f t="shared" ref="Q190" si="926">F190*P190</f>
        <v>-10253465.44920863</v>
      </c>
      <c r="R190">
        <f t="shared" ref="R190" si="927">R191+Q190</f>
        <v>-543216897.5526377</v>
      </c>
      <c r="S190">
        <f t="shared" ref="S190" si="928">R190/100000</f>
        <v>-5432.1689755263769</v>
      </c>
      <c r="T190">
        <f t="shared" ref="T190" si="929">S190/1000</f>
        <v>-5.4321689755263769</v>
      </c>
    </row>
    <row r="191" spans="1:20" x14ac:dyDescent="0.25">
      <c r="A191" s="5">
        <v>44402</v>
      </c>
      <c r="B191">
        <v>0.1338</v>
      </c>
      <c r="C191">
        <v>0.13519999999999999</v>
      </c>
      <c r="D191">
        <v>0.1265</v>
      </c>
      <c r="E191">
        <v>0.1326</v>
      </c>
      <c r="F191">
        <v>6047143.4400000004</v>
      </c>
      <c r="G191">
        <v>0.1326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0.40229885057471365</v>
      </c>
      <c r="Q191">
        <f t="shared" ref="Q191" si="931">F191*P191</f>
        <v>2432758.8551724199</v>
      </c>
      <c r="R191">
        <f t="shared" ref="R191" si="932">R192+Q191</f>
        <v>-532963432.10342902</v>
      </c>
      <c r="S191">
        <f t="shared" ref="S191" si="933">R191/100000</f>
        <v>-5329.6343210342902</v>
      </c>
      <c r="T191">
        <f t="shared" ref="T191:T197" si="934">S191/1000</f>
        <v>-5.3296343210342902</v>
      </c>
    </row>
    <row r="192" spans="1:20" x14ac:dyDescent="0.25">
      <c r="A192" s="5">
        <v>44401</v>
      </c>
      <c r="B192">
        <v>0.1288</v>
      </c>
      <c r="C192">
        <v>0.13739999999999999</v>
      </c>
      <c r="D192">
        <v>0.12740000000000001</v>
      </c>
      <c r="E192">
        <v>0.13389999999999999</v>
      </c>
      <c r="F192">
        <v>12666615.189999999</v>
      </c>
      <c r="G192">
        <v>0.13389999999999999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0.29999999999999805</v>
      </c>
      <c r="Q192">
        <f t="shared" ref="Q192" si="936">F192*P192</f>
        <v>3799984.5569999749</v>
      </c>
      <c r="R192">
        <f t="shared" ref="R192" si="937">R193+Q192</f>
        <v>-535396190.95860142</v>
      </c>
      <c r="S192">
        <f t="shared" ref="S192" si="938">R192/100000</f>
        <v>-5353.9619095860144</v>
      </c>
      <c r="T192">
        <f t="shared" si="934"/>
        <v>-5.3539619095860145</v>
      </c>
    </row>
    <row r="193" spans="1:20" x14ac:dyDescent="0.25">
      <c r="A193" s="5">
        <v>44400</v>
      </c>
      <c r="B193">
        <v>0.1278</v>
      </c>
      <c r="C193">
        <v>0.13109999999999999</v>
      </c>
      <c r="D193">
        <v>0.1229</v>
      </c>
      <c r="E193">
        <v>0.12909999999999999</v>
      </c>
      <c r="F193">
        <v>4791676.6399999997</v>
      </c>
      <c r="G193">
        <v>0.12909999999999999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0.51219512195121897</v>
      </c>
      <c r="Q193">
        <f t="shared" ref="Q193" si="940">F193*P193</f>
        <v>2454273.4009756069</v>
      </c>
      <c r="R193">
        <f t="shared" ref="R193" si="941">R194+Q193</f>
        <v>-539196175.5156014</v>
      </c>
      <c r="S193">
        <f t="shared" ref="S193" si="942">R193/100000</f>
        <v>-5391.9617551560141</v>
      </c>
      <c r="T193">
        <f t="shared" si="934"/>
        <v>-5.3919617551560144</v>
      </c>
    </row>
    <row r="194" spans="1:20" x14ac:dyDescent="0.25">
      <c r="A194" s="5">
        <v>44399</v>
      </c>
      <c r="B194">
        <v>0.1231</v>
      </c>
      <c r="C194">
        <v>0.13370000000000001</v>
      </c>
      <c r="D194">
        <v>0.1203</v>
      </c>
      <c r="E194">
        <v>0.12790000000000001</v>
      </c>
      <c r="F194">
        <v>12816823.18</v>
      </c>
      <c r="G194">
        <v>0.12790000000000001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0.13432835820895586</v>
      </c>
      <c r="Q194">
        <f t="shared" ref="Q194" si="944">F194*P194</f>
        <v>1721662.8152238887</v>
      </c>
      <c r="R194">
        <f t="shared" ref="R194" si="945">R195+Q194</f>
        <v>-541650448.91657698</v>
      </c>
      <c r="S194">
        <f t="shared" ref="S194" si="946">R194/100000</f>
        <v>-5416.5044891657699</v>
      </c>
      <c r="T194">
        <f t="shared" si="934"/>
        <v>-5.4165044891657699</v>
      </c>
    </row>
    <row r="195" spans="1:20" x14ac:dyDescent="0.25">
      <c r="A195" s="5">
        <v>44398</v>
      </c>
      <c r="B195">
        <v>0.11360000000000001</v>
      </c>
      <c r="C195">
        <v>0.13139999999999999</v>
      </c>
      <c r="D195">
        <v>0.1106</v>
      </c>
      <c r="E195">
        <v>0.1236</v>
      </c>
      <c r="F195">
        <v>20841086.699999999</v>
      </c>
      <c r="G195">
        <v>0.1236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0.25000000000000067</v>
      </c>
      <c r="Q195">
        <f t="shared" ref="Q195" si="948">F195*P195</f>
        <v>5210271.6750000138</v>
      </c>
      <c r="R195">
        <f t="shared" ref="R195" si="949">R196+Q195</f>
        <v>-543372111.73180091</v>
      </c>
      <c r="S195">
        <f t="shared" ref="S195" si="950">R195/100000</f>
        <v>-5433.7211173180094</v>
      </c>
      <c r="T195">
        <f t="shared" si="934"/>
        <v>-5.4337211173180098</v>
      </c>
    </row>
    <row r="196" spans="1:20" x14ac:dyDescent="0.25">
      <c r="A196" s="5">
        <v>44397</v>
      </c>
      <c r="B196">
        <v>0.1241</v>
      </c>
      <c r="C196">
        <v>0.12529999999999999</v>
      </c>
      <c r="D196">
        <v>0.1104</v>
      </c>
      <c r="E196">
        <v>0.1138</v>
      </c>
      <c r="F196">
        <v>6875992.1699999999</v>
      </c>
      <c r="G196">
        <v>0.1138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-0.54362416107382538</v>
      </c>
      <c r="Q196">
        <f t="shared" ref="Q196" si="952">F196*P196</f>
        <v>-3737955.4749664422</v>
      </c>
      <c r="R196">
        <f t="shared" ref="R196" si="953">R197+Q196</f>
        <v>-548582383.40680099</v>
      </c>
      <c r="S196">
        <f t="shared" ref="S196" si="954">R196/100000</f>
        <v>-5485.82383406801</v>
      </c>
      <c r="T196">
        <f t="shared" si="934"/>
        <v>-5.4858238340680101</v>
      </c>
    </row>
    <row r="197" spans="1:20" x14ac:dyDescent="0.25">
      <c r="A197" s="5">
        <v>44396</v>
      </c>
      <c r="B197">
        <v>0.1401</v>
      </c>
      <c r="C197">
        <v>0.1454</v>
      </c>
      <c r="D197">
        <v>0.1236</v>
      </c>
      <c r="E197">
        <v>0.1242</v>
      </c>
      <c r="F197">
        <v>11740844.199999999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-0.94495412844036664</v>
      </c>
      <c r="Q197">
        <f t="shared" ref="Q197" si="956">F197*P197</f>
        <v>-11094559.198165134</v>
      </c>
      <c r="R197">
        <f t="shared" ref="R197" si="957">R198+Q197</f>
        <v>-544844427.93183458</v>
      </c>
      <c r="S197">
        <f t="shared" ref="S197" si="958">R197/100000</f>
        <v>-5448.4442793183462</v>
      </c>
      <c r="T197">
        <f t="shared" si="934"/>
        <v>-5.4484442793183465</v>
      </c>
    </row>
    <row r="198" spans="1:20" x14ac:dyDescent="0.25">
      <c r="A198" s="5">
        <v>44395</v>
      </c>
      <c r="B198">
        <v>0.13789999999999999</v>
      </c>
      <c r="C198">
        <v>0.153</v>
      </c>
      <c r="D198">
        <v>0.13469999999999999</v>
      </c>
      <c r="E198">
        <v>0.14119999999999999</v>
      </c>
      <c r="F198">
        <v>41196392.780000001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-0.28961748633879758</v>
      </c>
      <c r="Q198">
        <f t="shared" ref="Q198:Q261" si="960">F198*P198</f>
        <v>-11931195.72316939</v>
      </c>
      <c r="R198">
        <f t="shared" ref="R198:R261" si="961">R199+Q198</f>
        <v>-533749868.73366946</v>
      </c>
      <c r="S198">
        <f t="shared" ref="S198:S261" si="962">R198/100000</f>
        <v>-5337.4986873366943</v>
      </c>
      <c r="T198">
        <f t="shared" ref="T198:T261" si="963">S198/1000</f>
        <v>-5.3374986873366943</v>
      </c>
    </row>
    <row r="199" spans="1:20" x14ac:dyDescent="0.25">
      <c r="A199" s="5">
        <v>44394</v>
      </c>
      <c r="B199">
        <v>0.13900000000000001</v>
      </c>
      <c r="C199">
        <v>0.1459</v>
      </c>
      <c r="D199">
        <v>0.13719999999999999</v>
      </c>
      <c r="E199">
        <v>0.13789999999999999</v>
      </c>
      <c r="F199">
        <v>8304332.9500000002</v>
      </c>
      <c r="G199">
        <v>0</v>
      </c>
      <c r="L199" t="s">
        <v>8</v>
      </c>
      <c r="M199" t="s">
        <v>7</v>
      </c>
      <c r="N199" t="s">
        <v>7</v>
      </c>
      <c r="P199">
        <f t="shared" si="959"/>
        <v>-0.83908045977011381</v>
      </c>
      <c r="Q199">
        <f t="shared" si="960"/>
        <v>-6968003.5097701056</v>
      </c>
      <c r="R199">
        <f t="shared" si="961"/>
        <v>-521818673.01050007</v>
      </c>
      <c r="S199">
        <f t="shared" si="962"/>
        <v>-5218.1867301050006</v>
      </c>
      <c r="T199">
        <f t="shared" si="963"/>
        <v>-5.2181867301050007</v>
      </c>
    </row>
    <row r="200" spans="1:20" x14ac:dyDescent="0.25">
      <c r="A200" s="5">
        <v>44393</v>
      </c>
      <c r="B200">
        <v>0.14219999999999999</v>
      </c>
      <c r="C200">
        <v>0.14779999999999999</v>
      </c>
      <c r="D200">
        <v>0.1348</v>
      </c>
      <c r="E200">
        <v>0.13900000000000001</v>
      </c>
      <c r="F200">
        <v>13448535.1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-0.35384615384615159</v>
      </c>
      <c r="Q200">
        <f t="shared" si="960"/>
        <v>-4758712.4199999692</v>
      </c>
      <c r="R200">
        <f t="shared" si="961"/>
        <v>-514850669.50072998</v>
      </c>
      <c r="S200">
        <f t="shared" si="962"/>
        <v>-5148.5066950072996</v>
      </c>
      <c r="T200">
        <f t="shared" si="963"/>
        <v>-5.1485066950073</v>
      </c>
    </row>
    <row r="201" spans="1:20" x14ac:dyDescent="0.25">
      <c r="A201" s="5">
        <v>44392</v>
      </c>
      <c r="B201">
        <v>0.1535</v>
      </c>
      <c r="C201">
        <v>0.1552</v>
      </c>
      <c r="D201">
        <v>0.1389</v>
      </c>
      <c r="E201">
        <v>0.1424</v>
      </c>
      <c r="F201">
        <v>9668450.5099999998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-0.57055214723926362</v>
      </c>
      <c r="Q201">
        <f t="shared" si="960"/>
        <v>-5516355.198957053</v>
      </c>
      <c r="R201">
        <f t="shared" si="961"/>
        <v>-510091957.08073002</v>
      </c>
      <c r="S201">
        <f t="shared" si="962"/>
        <v>-5100.9195708073003</v>
      </c>
      <c r="T201">
        <f t="shared" si="963"/>
        <v>-5.1009195708073003</v>
      </c>
    </row>
    <row r="202" spans="1:20" x14ac:dyDescent="0.25">
      <c r="A202" s="5">
        <v>44391</v>
      </c>
      <c r="B202">
        <v>0.15820000000000001</v>
      </c>
      <c r="C202">
        <v>0.1585</v>
      </c>
      <c r="D202">
        <v>0.1421</v>
      </c>
      <c r="E202">
        <v>0.15359999999999999</v>
      </c>
      <c r="F202">
        <v>9593150.6699999999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0.40243902439024193</v>
      </c>
      <c r="Q202">
        <f t="shared" si="960"/>
        <v>3860658.1964633958</v>
      </c>
      <c r="R202">
        <f t="shared" si="961"/>
        <v>-504575601.88177299</v>
      </c>
      <c r="S202">
        <f t="shared" si="962"/>
        <v>-5045.7560188177304</v>
      </c>
      <c r="T202">
        <f t="shared" si="963"/>
        <v>-5.0457560188177304</v>
      </c>
    </row>
    <row r="203" spans="1:20" x14ac:dyDescent="0.25">
      <c r="A203" s="5">
        <v>44390</v>
      </c>
      <c r="B203">
        <v>0.1484</v>
      </c>
      <c r="C203">
        <v>0.16439999999999999</v>
      </c>
      <c r="D203">
        <v>0.14499999999999999</v>
      </c>
      <c r="E203">
        <v>0.15809999999999999</v>
      </c>
      <c r="F203">
        <v>18807029.329999998</v>
      </c>
      <c r="G203">
        <v>0</v>
      </c>
      <c r="L203" t="s">
        <v>8</v>
      </c>
      <c r="M203" t="s">
        <v>7</v>
      </c>
      <c r="N203" t="s">
        <v>7</v>
      </c>
      <c r="P203">
        <f t="shared" si="959"/>
        <v>0.3505154639175258</v>
      </c>
      <c r="Q203">
        <f t="shared" si="960"/>
        <v>6592154.6105154641</v>
      </c>
      <c r="R203">
        <f t="shared" si="961"/>
        <v>-508436260.0782364</v>
      </c>
      <c r="S203">
        <f t="shared" si="962"/>
        <v>-5084.3626007823641</v>
      </c>
      <c r="T203">
        <f t="shared" si="963"/>
        <v>-5.0843626007823639</v>
      </c>
    </row>
    <row r="204" spans="1:20" x14ac:dyDescent="0.25">
      <c r="A204" s="5">
        <v>44389</v>
      </c>
      <c r="B204">
        <v>0.1484</v>
      </c>
      <c r="C204">
        <v>0.152</v>
      </c>
      <c r="D204">
        <v>0.14369999999999999</v>
      </c>
      <c r="E204">
        <v>0.14799999999999999</v>
      </c>
      <c r="F204">
        <v>4462228.87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3.6144578313252365E-2</v>
      </c>
      <c r="Q204">
        <f t="shared" si="960"/>
        <v>161285.3808433706</v>
      </c>
      <c r="R204">
        <f t="shared" si="961"/>
        <v>-515028414.68875188</v>
      </c>
      <c r="S204">
        <f t="shared" si="962"/>
        <v>-5150.2841468875185</v>
      </c>
      <c r="T204">
        <f t="shared" si="963"/>
        <v>-5.1502841468875182</v>
      </c>
    </row>
    <row r="205" spans="1:20" x14ac:dyDescent="0.25">
      <c r="A205" s="5">
        <v>44388</v>
      </c>
      <c r="B205">
        <v>0.14449999999999999</v>
      </c>
      <c r="C205">
        <v>0.15670000000000001</v>
      </c>
      <c r="D205">
        <v>0.14369999999999999</v>
      </c>
      <c r="E205">
        <v>0.1484</v>
      </c>
      <c r="F205">
        <v>14911616.689999999</v>
      </c>
      <c r="G205">
        <v>0</v>
      </c>
      <c r="L205" t="s">
        <v>8</v>
      </c>
      <c r="M205" t="s">
        <v>7</v>
      </c>
      <c r="N205" t="s">
        <v>7</v>
      </c>
      <c r="P205">
        <f t="shared" si="959"/>
        <v>-0.27692307692307605</v>
      </c>
      <c r="Q205">
        <f t="shared" si="960"/>
        <v>-4129370.7756922944</v>
      </c>
      <c r="R205">
        <f t="shared" si="961"/>
        <v>-515189700.06959522</v>
      </c>
      <c r="S205">
        <f t="shared" si="962"/>
        <v>-5151.8970006959526</v>
      </c>
      <c r="T205">
        <f t="shared" si="963"/>
        <v>-5.1518970006959526</v>
      </c>
    </row>
    <row r="206" spans="1:20" x14ac:dyDescent="0.25">
      <c r="A206" s="5">
        <v>44387</v>
      </c>
      <c r="B206">
        <v>0.14530000000000001</v>
      </c>
      <c r="C206">
        <v>0.14910000000000001</v>
      </c>
      <c r="D206">
        <v>0.13950000000000001</v>
      </c>
      <c r="E206">
        <v>0.14480000000000001</v>
      </c>
      <c r="F206">
        <v>4182421.92</v>
      </c>
      <c r="G206">
        <v>0</v>
      </c>
      <c r="L206" t="s">
        <v>7</v>
      </c>
      <c r="M206" t="s">
        <v>7</v>
      </c>
      <c r="N206" t="s">
        <v>7</v>
      </c>
      <c r="P206">
        <f t="shared" si="959"/>
        <v>0.10416666666666678</v>
      </c>
      <c r="Q206">
        <f t="shared" si="960"/>
        <v>435668.95000000048</v>
      </c>
      <c r="R206">
        <f t="shared" si="961"/>
        <v>-511060329.29390293</v>
      </c>
      <c r="S206">
        <f t="shared" si="962"/>
        <v>-5110.6032929390294</v>
      </c>
      <c r="T206">
        <f t="shared" si="963"/>
        <v>-5.1106032929390297</v>
      </c>
    </row>
    <row r="207" spans="1:20" x14ac:dyDescent="0.25">
      <c r="A207" s="5">
        <v>44386</v>
      </c>
      <c r="B207">
        <v>0.1421</v>
      </c>
      <c r="C207">
        <v>0.151</v>
      </c>
      <c r="D207">
        <v>0.14000000000000001</v>
      </c>
      <c r="E207">
        <v>0.14560000000000001</v>
      </c>
      <c r="F207">
        <v>11672221.220000001</v>
      </c>
      <c r="G207">
        <v>0</v>
      </c>
      <c r="L207" t="s">
        <v>8</v>
      </c>
      <c r="M207" t="s">
        <v>7</v>
      </c>
      <c r="N207" t="s">
        <v>7</v>
      </c>
      <c r="P207">
        <f t="shared" si="959"/>
        <v>1.8181818181818733E-2</v>
      </c>
      <c r="Q207">
        <f t="shared" si="960"/>
        <v>212222.20400000643</v>
      </c>
      <c r="R207">
        <f t="shared" si="961"/>
        <v>-511495998.24390292</v>
      </c>
      <c r="S207">
        <f t="shared" si="962"/>
        <v>-5114.9599824390289</v>
      </c>
      <c r="T207">
        <f t="shared" si="963"/>
        <v>-5.1149599824390286</v>
      </c>
    </row>
    <row r="208" spans="1:20" x14ac:dyDescent="0.25">
      <c r="A208" s="5">
        <v>44385</v>
      </c>
      <c r="B208">
        <v>0.15160000000000001</v>
      </c>
      <c r="C208">
        <v>0.15190000000000001</v>
      </c>
      <c r="D208">
        <v>0.1386</v>
      </c>
      <c r="E208">
        <v>0.14219999999999999</v>
      </c>
      <c r="F208">
        <v>15809782.189999999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-0.4586466165413548</v>
      </c>
      <c r="Q208">
        <f t="shared" si="960"/>
        <v>-7251103.1096992707</v>
      </c>
      <c r="R208">
        <f t="shared" si="961"/>
        <v>-511708220.44790292</v>
      </c>
      <c r="S208">
        <f t="shared" si="962"/>
        <v>-5117.0822044790293</v>
      </c>
      <c r="T208">
        <f t="shared" si="963"/>
        <v>-5.1170822044790292</v>
      </c>
    </row>
    <row r="209" spans="1:20" x14ac:dyDescent="0.25">
      <c r="A209" s="5">
        <v>44384</v>
      </c>
      <c r="B209">
        <v>0.15620000000000001</v>
      </c>
      <c r="C209">
        <v>0.16339999999999999</v>
      </c>
      <c r="D209">
        <v>0.15090000000000001</v>
      </c>
      <c r="E209">
        <v>0.1512</v>
      </c>
      <c r="F209">
        <v>9202998.0800000001</v>
      </c>
      <c r="G209">
        <v>0</v>
      </c>
      <c r="L209" t="s">
        <v>8</v>
      </c>
      <c r="M209" t="s">
        <v>7</v>
      </c>
      <c r="N209" t="s">
        <v>7</v>
      </c>
      <c r="P209">
        <f t="shared" si="959"/>
        <v>-0.95200000000000073</v>
      </c>
      <c r="Q209">
        <f t="shared" si="960"/>
        <v>-8761254.1721600071</v>
      </c>
      <c r="R209">
        <f t="shared" si="961"/>
        <v>-504457117.33820367</v>
      </c>
      <c r="S209">
        <f t="shared" si="962"/>
        <v>-5044.5711733820362</v>
      </c>
      <c r="T209">
        <f t="shared" si="963"/>
        <v>-5.0445711733820362</v>
      </c>
    </row>
    <row r="210" spans="1:20" x14ac:dyDescent="0.25">
      <c r="A210" s="5">
        <v>44383</v>
      </c>
      <c r="B210">
        <v>0.1479</v>
      </c>
      <c r="C210">
        <v>0.16089999999999999</v>
      </c>
      <c r="D210">
        <v>0.1472</v>
      </c>
      <c r="E210">
        <v>0.15640000000000001</v>
      </c>
      <c r="F210">
        <v>9785111.6899999995</v>
      </c>
      <c r="G210">
        <v>0</v>
      </c>
      <c r="L210" t="s">
        <v>8</v>
      </c>
      <c r="M210" t="s">
        <v>7</v>
      </c>
      <c r="N210" t="s">
        <v>7</v>
      </c>
      <c r="P210">
        <f t="shared" si="959"/>
        <v>0.3430656934306599</v>
      </c>
      <c r="Q210">
        <f t="shared" si="960"/>
        <v>3356936.1272263061</v>
      </c>
      <c r="R210">
        <f t="shared" si="961"/>
        <v>-495695863.16604364</v>
      </c>
      <c r="S210">
        <f t="shared" si="962"/>
        <v>-4956.9586316604364</v>
      </c>
      <c r="T210">
        <f t="shared" si="963"/>
        <v>-4.9569586316604362</v>
      </c>
    </row>
    <row r="211" spans="1:20" x14ac:dyDescent="0.25">
      <c r="A211" s="5">
        <v>44382</v>
      </c>
      <c r="B211">
        <v>0.153</v>
      </c>
      <c r="C211">
        <v>0.1537</v>
      </c>
      <c r="D211">
        <v>0.1406</v>
      </c>
      <c r="E211">
        <v>0.14749999999999999</v>
      </c>
      <c r="F211">
        <v>9932599.8399999999</v>
      </c>
      <c r="G211">
        <v>0</v>
      </c>
      <c r="L211" t="s">
        <v>7</v>
      </c>
      <c r="M211" t="s">
        <v>7</v>
      </c>
      <c r="N211" t="s">
        <v>7</v>
      </c>
      <c r="P211">
        <f t="shared" si="959"/>
        <v>5.3435114503815141E-2</v>
      </c>
      <c r="Q211">
        <f t="shared" si="960"/>
        <v>530749.60977097589</v>
      </c>
      <c r="R211">
        <f t="shared" si="961"/>
        <v>-499052799.29326993</v>
      </c>
      <c r="S211">
        <f t="shared" si="962"/>
        <v>-4990.5279929326989</v>
      </c>
      <c r="T211">
        <f t="shared" si="963"/>
        <v>-4.9905279929326989</v>
      </c>
    </row>
    <row r="212" spans="1:20" x14ac:dyDescent="0.25">
      <c r="A212" s="5">
        <v>44381</v>
      </c>
      <c r="B212">
        <v>0.15310000000000001</v>
      </c>
      <c r="C212">
        <v>0.15820000000000001</v>
      </c>
      <c r="D212">
        <v>0.1479</v>
      </c>
      <c r="E212">
        <v>0.1527</v>
      </c>
      <c r="F212">
        <v>5625024.8700000001</v>
      </c>
      <c r="G212">
        <v>0</v>
      </c>
      <c r="L212" t="s">
        <v>7</v>
      </c>
      <c r="M212" t="s">
        <v>7</v>
      </c>
      <c r="N212" t="s">
        <v>7</v>
      </c>
      <c r="P212">
        <f t="shared" si="959"/>
        <v>-6.796116504854427E-2</v>
      </c>
      <c r="Q212">
        <f t="shared" si="960"/>
        <v>-382283.24359223631</v>
      </c>
      <c r="R212">
        <f t="shared" si="961"/>
        <v>-499583548.90304089</v>
      </c>
      <c r="S212">
        <f t="shared" si="962"/>
        <v>-4995.835489030409</v>
      </c>
      <c r="T212">
        <f t="shared" si="963"/>
        <v>-4.9958354890304086</v>
      </c>
    </row>
    <row r="213" spans="1:20" x14ac:dyDescent="0.25">
      <c r="A213" s="5">
        <v>44380</v>
      </c>
      <c r="B213">
        <v>0.15409999999999999</v>
      </c>
      <c r="C213">
        <v>0.16300000000000001</v>
      </c>
      <c r="D213">
        <v>0.14949999999999999</v>
      </c>
      <c r="E213">
        <v>0.15329999999999999</v>
      </c>
      <c r="F213">
        <v>11727664.57</v>
      </c>
      <c r="G213">
        <v>0</v>
      </c>
      <c r="L213" t="s">
        <v>8</v>
      </c>
      <c r="M213" t="s">
        <v>7</v>
      </c>
      <c r="N213" t="s">
        <v>7</v>
      </c>
      <c r="P213">
        <f t="shared" si="959"/>
        <v>-0.43703703703703783</v>
      </c>
      <c r="Q213">
        <f t="shared" si="960"/>
        <v>-5125423.7750370465</v>
      </c>
      <c r="R213">
        <f t="shared" si="961"/>
        <v>-499201265.65944862</v>
      </c>
      <c r="S213">
        <f t="shared" si="962"/>
        <v>-4992.0126565944865</v>
      </c>
      <c r="T213">
        <f t="shared" si="963"/>
        <v>-4.9920126565944862</v>
      </c>
    </row>
    <row r="214" spans="1:20" x14ac:dyDescent="0.25">
      <c r="A214" s="5">
        <v>44379</v>
      </c>
      <c r="B214">
        <v>0.15190000000000001</v>
      </c>
      <c r="C214">
        <v>0.1595</v>
      </c>
      <c r="D214">
        <v>0.14219999999999999</v>
      </c>
      <c r="E214">
        <v>0.154</v>
      </c>
      <c r="F214">
        <v>29457325.460000001</v>
      </c>
      <c r="G214">
        <v>0</v>
      </c>
      <c r="L214" t="s">
        <v>7</v>
      </c>
      <c r="M214" t="s">
        <v>7</v>
      </c>
      <c r="N214" t="s">
        <v>7</v>
      </c>
      <c r="P214">
        <f t="shared" si="959"/>
        <v>0.36416184971098248</v>
      </c>
      <c r="Q214">
        <f t="shared" si="960"/>
        <v>10727234.127052018</v>
      </c>
      <c r="R214">
        <f t="shared" si="961"/>
        <v>-494075841.88441157</v>
      </c>
      <c r="S214">
        <f t="shared" si="962"/>
        <v>-4940.758418844116</v>
      </c>
      <c r="T214">
        <f t="shared" si="963"/>
        <v>-4.9407584188441156</v>
      </c>
    </row>
    <row r="215" spans="1:20" x14ac:dyDescent="0.25">
      <c r="A215" s="5">
        <v>44378</v>
      </c>
      <c r="B215">
        <v>0.15579999999999999</v>
      </c>
      <c r="C215">
        <v>0.16270000000000001</v>
      </c>
      <c r="D215">
        <v>0.14899999999999999</v>
      </c>
      <c r="E215">
        <v>0.1522</v>
      </c>
      <c r="F215">
        <v>12674805.25</v>
      </c>
      <c r="G215">
        <v>0</v>
      </c>
      <c r="L215" t="s">
        <v>7</v>
      </c>
      <c r="M215" t="s">
        <v>7</v>
      </c>
      <c r="N215" t="s">
        <v>7</v>
      </c>
      <c r="P215">
        <f t="shared" si="959"/>
        <v>-0.5328467153284665</v>
      </c>
      <c r="Q215">
        <f t="shared" si="960"/>
        <v>-6753728.3448905023</v>
      </c>
      <c r="R215">
        <f t="shared" si="961"/>
        <v>-504803076.01146358</v>
      </c>
      <c r="S215">
        <f t="shared" si="962"/>
        <v>-5048.030760114636</v>
      </c>
      <c r="T215">
        <f t="shared" si="963"/>
        <v>-5.0480307601146359</v>
      </c>
    </row>
    <row r="216" spans="1:20" x14ac:dyDescent="0.25">
      <c r="A216" s="5">
        <v>44377</v>
      </c>
      <c r="B216">
        <v>0.14849999999999999</v>
      </c>
      <c r="C216">
        <v>0.17749999999999999</v>
      </c>
      <c r="D216">
        <v>0.14080000000000001</v>
      </c>
      <c r="E216">
        <v>0.15529999999999999</v>
      </c>
      <c r="F216">
        <v>89885247.890000001</v>
      </c>
      <c r="G216">
        <v>0</v>
      </c>
      <c r="L216" t="s">
        <v>8</v>
      </c>
      <c r="M216" t="s">
        <v>8</v>
      </c>
      <c r="N216" t="s">
        <v>7</v>
      </c>
      <c r="P216">
        <f t="shared" si="959"/>
        <v>-0.20980926430517755</v>
      </c>
      <c r="Q216">
        <f t="shared" si="960"/>
        <v>-18858757.731689412</v>
      </c>
      <c r="R216">
        <f t="shared" si="961"/>
        <v>-498049347.66657311</v>
      </c>
      <c r="S216">
        <f t="shared" si="962"/>
        <v>-4980.4934766657307</v>
      </c>
      <c r="T216">
        <f t="shared" si="963"/>
        <v>-4.9804934766657309</v>
      </c>
    </row>
    <row r="217" spans="1:20" x14ac:dyDescent="0.25">
      <c r="A217" s="5">
        <v>44376</v>
      </c>
      <c r="B217">
        <v>0.14729999999999999</v>
      </c>
      <c r="C217">
        <v>0.1633</v>
      </c>
      <c r="D217">
        <v>0.14699999999999999</v>
      </c>
      <c r="E217">
        <v>0.14849999999999999</v>
      </c>
      <c r="F217">
        <v>19874790.879999999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-0.81595092024539873</v>
      </c>
      <c r="Q217">
        <f t="shared" si="960"/>
        <v>-16216853.908220857</v>
      </c>
      <c r="R217">
        <f t="shared" si="961"/>
        <v>-479190589.93488371</v>
      </c>
      <c r="S217">
        <f t="shared" si="962"/>
        <v>-4791.905899348837</v>
      </c>
      <c r="T217">
        <f t="shared" si="963"/>
        <v>-4.791905899348837</v>
      </c>
    </row>
    <row r="218" spans="1:20" x14ac:dyDescent="0.25">
      <c r="A218" s="5">
        <v>44375</v>
      </c>
      <c r="B218">
        <v>0.14269999999999999</v>
      </c>
      <c r="C218">
        <v>0.14960000000000001</v>
      </c>
      <c r="D218">
        <v>0.1366</v>
      </c>
      <c r="E218">
        <v>0.14680000000000001</v>
      </c>
      <c r="F218">
        <v>7158486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0.5692307692307701</v>
      </c>
      <c r="Q218">
        <f t="shared" si="960"/>
        <v>4074830.4923076984</v>
      </c>
      <c r="R218">
        <f t="shared" si="961"/>
        <v>-462973736.02666283</v>
      </c>
      <c r="S218">
        <f t="shared" si="962"/>
        <v>-4629.7373602666285</v>
      </c>
      <c r="T218">
        <f t="shared" si="963"/>
        <v>-4.6297373602666285</v>
      </c>
    </row>
    <row r="219" spans="1:20" x14ac:dyDescent="0.25">
      <c r="A219" s="5">
        <v>44374</v>
      </c>
      <c r="B219">
        <v>0.1406</v>
      </c>
      <c r="C219">
        <v>0.1482</v>
      </c>
      <c r="D219">
        <v>0.13289999999999999</v>
      </c>
      <c r="E219">
        <v>0.14230000000000001</v>
      </c>
      <c r="F219">
        <v>10026210.710000001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0.22875816993464243</v>
      </c>
      <c r="Q219">
        <f t="shared" si="960"/>
        <v>2293577.6133987121</v>
      </c>
      <c r="R219">
        <f t="shared" si="961"/>
        <v>-467048566.51897055</v>
      </c>
      <c r="S219">
        <f t="shared" si="962"/>
        <v>-4670.4856651897053</v>
      </c>
      <c r="T219">
        <f t="shared" si="963"/>
        <v>-4.6704856651897053</v>
      </c>
    </row>
    <row r="220" spans="1:20" x14ac:dyDescent="0.25">
      <c r="A220" s="5">
        <v>44373</v>
      </c>
      <c r="B220">
        <v>0.13669999999999999</v>
      </c>
      <c r="C220">
        <v>0.1464</v>
      </c>
      <c r="D220">
        <v>0.1283</v>
      </c>
      <c r="E220">
        <v>0.1404</v>
      </c>
      <c r="F220">
        <v>10984123.619999999</v>
      </c>
      <c r="G220">
        <v>0</v>
      </c>
      <c r="L220" t="s">
        <v>8</v>
      </c>
      <c r="M220" t="s">
        <v>7</v>
      </c>
      <c r="N220" t="s">
        <v>7</v>
      </c>
      <c r="P220">
        <f t="shared" si="959"/>
        <v>0.33701657458563494</v>
      </c>
      <c r="Q220">
        <f t="shared" si="960"/>
        <v>3701831.7172375643</v>
      </c>
      <c r="R220">
        <f t="shared" si="961"/>
        <v>-469342144.13236928</v>
      </c>
      <c r="S220">
        <f t="shared" si="962"/>
        <v>-4693.4214413236932</v>
      </c>
      <c r="T220">
        <f t="shared" si="963"/>
        <v>-4.693421441323693</v>
      </c>
    </row>
    <row r="221" spans="1:20" x14ac:dyDescent="0.25">
      <c r="A221" s="5">
        <v>44372</v>
      </c>
      <c r="B221">
        <v>0.1474</v>
      </c>
      <c r="C221">
        <v>0.1512</v>
      </c>
      <c r="D221">
        <v>0.13</v>
      </c>
      <c r="E221">
        <v>0.13739999999999999</v>
      </c>
      <c r="F221">
        <v>5448778.8200000003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-0.30188679245283101</v>
      </c>
      <c r="Q221">
        <f t="shared" si="960"/>
        <v>-1644914.3607547216</v>
      </c>
      <c r="R221">
        <f t="shared" si="961"/>
        <v>-473043975.84960687</v>
      </c>
      <c r="S221">
        <f t="shared" si="962"/>
        <v>-4730.4397584960689</v>
      </c>
      <c r="T221">
        <f t="shared" si="963"/>
        <v>-4.7304397584960691</v>
      </c>
    </row>
    <row r="222" spans="1:20" x14ac:dyDescent="0.25">
      <c r="A222" s="5">
        <v>44371</v>
      </c>
      <c r="B222">
        <v>0.1454</v>
      </c>
      <c r="C222">
        <v>0.14910000000000001</v>
      </c>
      <c r="D222">
        <v>0.13600000000000001</v>
      </c>
      <c r="E222">
        <v>0.1474</v>
      </c>
      <c r="F222">
        <v>7520347.7400000002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0.74045801526717447</v>
      </c>
      <c r="Q222">
        <f t="shared" si="960"/>
        <v>5568501.7616793811</v>
      </c>
      <c r="R222">
        <f t="shared" si="961"/>
        <v>-471399061.48885214</v>
      </c>
      <c r="S222">
        <f t="shared" si="962"/>
        <v>-4713.9906148885211</v>
      </c>
      <c r="T222">
        <f t="shared" si="963"/>
        <v>-4.7139906148885213</v>
      </c>
    </row>
    <row r="223" spans="1:20" x14ac:dyDescent="0.25">
      <c r="A223" s="5">
        <v>44370</v>
      </c>
      <c r="B223">
        <v>0.13869999999999999</v>
      </c>
      <c r="C223">
        <v>0.15629999999999999</v>
      </c>
      <c r="D223">
        <v>0.13300000000000001</v>
      </c>
      <c r="E223">
        <v>0.1454</v>
      </c>
      <c r="F223">
        <v>9768467.1099999994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6.437768240343357E-2</v>
      </c>
      <c r="Q223">
        <f t="shared" si="960"/>
        <v>628871.27317596658</v>
      </c>
      <c r="R223">
        <f t="shared" si="961"/>
        <v>-476967563.25053149</v>
      </c>
      <c r="S223">
        <f t="shared" si="962"/>
        <v>-4769.6756325053148</v>
      </c>
      <c r="T223">
        <f t="shared" si="963"/>
        <v>-4.7696756325053151</v>
      </c>
    </row>
    <row r="224" spans="1:20" x14ac:dyDescent="0.25">
      <c r="A224" s="5">
        <v>44369</v>
      </c>
      <c r="B224">
        <v>0.154</v>
      </c>
      <c r="C224">
        <v>0.16830000000000001</v>
      </c>
      <c r="D224">
        <v>0.1275</v>
      </c>
      <c r="E224">
        <v>0.13880000000000001</v>
      </c>
      <c r="F224">
        <v>13596183.08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-0.44607843137254882</v>
      </c>
      <c r="Q224">
        <f t="shared" si="960"/>
        <v>-6064964.0209803898</v>
      </c>
      <c r="R224">
        <f t="shared" si="961"/>
        <v>-477596434.52370745</v>
      </c>
      <c r="S224">
        <f t="shared" si="962"/>
        <v>-4775.9643452370747</v>
      </c>
      <c r="T224">
        <f t="shared" si="963"/>
        <v>-4.7759643452370746</v>
      </c>
    </row>
    <row r="225" spans="1:20" x14ac:dyDescent="0.25">
      <c r="A225" s="5">
        <v>44368</v>
      </c>
      <c r="B225">
        <v>0.19650000000000001</v>
      </c>
      <c r="C225">
        <v>0.1983</v>
      </c>
      <c r="D225">
        <v>0.15290000000000001</v>
      </c>
      <c r="E225">
        <v>0.15409999999999999</v>
      </c>
      <c r="F225">
        <v>10538678.130000001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-0.9471365638766529</v>
      </c>
      <c r="Q225">
        <f t="shared" si="960"/>
        <v>-9981567.3918502312</v>
      </c>
      <c r="R225">
        <f t="shared" si="961"/>
        <v>-471531470.50272703</v>
      </c>
      <c r="S225">
        <f t="shared" si="962"/>
        <v>-4715.3147050272701</v>
      </c>
      <c r="T225">
        <f t="shared" si="963"/>
        <v>-4.7153147050272697</v>
      </c>
    </row>
    <row r="226" spans="1:20" x14ac:dyDescent="0.25">
      <c r="A226" s="5">
        <v>44367</v>
      </c>
      <c r="B226">
        <v>0.187</v>
      </c>
      <c r="C226">
        <v>0.21229999999999999</v>
      </c>
      <c r="D226">
        <v>0.18</v>
      </c>
      <c r="E226">
        <v>0.19689999999999999</v>
      </c>
      <c r="F226">
        <v>55492961.399999999</v>
      </c>
      <c r="G226">
        <v>0</v>
      </c>
      <c r="L226" t="s">
        <v>8</v>
      </c>
      <c r="M226" t="s">
        <v>8</v>
      </c>
      <c r="N226" t="s">
        <v>7</v>
      </c>
      <c r="P226">
        <f t="shared" si="959"/>
        <v>4.6439628482972187E-2</v>
      </c>
      <c r="Q226">
        <f t="shared" si="960"/>
        <v>2577072.5108359163</v>
      </c>
      <c r="R226">
        <f t="shared" si="961"/>
        <v>-461549903.1108768</v>
      </c>
      <c r="S226">
        <f t="shared" si="962"/>
        <v>-4615.4990311087677</v>
      </c>
      <c r="T226">
        <f t="shared" si="963"/>
        <v>-4.6154990311087678</v>
      </c>
    </row>
    <row r="227" spans="1:20" x14ac:dyDescent="0.25">
      <c r="A227" s="5">
        <v>44366</v>
      </c>
      <c r="B227">
        <v>0.18990000000000001</v>
      </c>
      <c r="C227">
        <v>0.1971</v>
      </c>
      <c r="D227">
        <v>0.18360000000000001</v>
      </c>
      <c r="E227">
        <v>0.18720000000000001</v>
      </c>
      <c r="F227">
        <v>10327006.76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-0.46666666666666723</v>
      </c>
      <c r="Q227">
        <f t="shared" si="960"/>
        <v>-4819269.8213333394</v>
      </c>
      <c r="R227">
        <f t="shared" si="961"/>
        <v>-464126975.62171274</v>
      </c>
      <c r="S227">
        <f t="shared" si="962"/>
        <v>-4641.269756217127</v>
      </c>
      <c r="T227">
        <f t="shared" si="963"/>
        <v>-4.6412697562171266</v>
      </c>
    </row>
    <row r="228" spans="1:20" x14ac:dyDescent="0.25">
      <c r="A228" s="5">
        <v>44365</v>
      </c>
      <c r="B228">
        <v>0.19800000000000001</v>
      </c>
      <c r="C228">
        <v>0.19980000000000001</v>
      </c>
      <c r="D228">
        <v>0.17699999999999999</v>
      </c>
      <c r="E228">
        <v>0.18959999999999999</v>
      </c>
      <c r="F228">
        <v>25965502.280000001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0.10526315789473614</v>
      </c>
      <c r="Q228">
        <f t="shared" si="960"/>
        <v>2733210.7663157713</v>
      </c>
      <c r="R228">
        <f t="shared" si="961"/>
        <v>-459307705.8003794</v>
      </c>
      <c r="S228">
        <f t="shared" si="962"/>
        <v>-4593.0770580037943</v>
      </c>
      <c r="T228">
        <f t="shared" si="963"/>
        <v>-4.5930770580037938</v>
      </c>
    </row>
    <row r="229" spans="1:20" x14ac:dyDescent="0.25">
      <c r="A229" s="5">
        <v>44364</v>
      </c>
      <c r="B229">
        <v>0.2059</v>
      </c>
      <c r="C229">
        <v>0.21759999999999999</v>
      </c>
      <c r="D229">
        <v>0.19420000000000001</v>
      </c>
      <c r="E229">
        <v>0.1981</v>
      </c>
      <c r="F229">
        <v>9595531.1300000008</v>
      </c>
      <c r="G229">
        <v>0</v>
      </c>
      <c r="L229" t="s">
        <v>8</v>
      </c>
      <c r="M229" t="s">
        <v>7</v>
      </c>
      <c r="N229" t="s">
        <v>7</v>
      </c>
      <c r="P229">
        <f t="shared" si="959"/>
        <v>-0.66666666666666741</v>
      </c>
      <c r="Q229">
        <f t="shared" si="960"/>
        <v>-6397020.7533333413</v>
      </c>
      <c r="R229">
        <f t="shared" si="961"/>
        <v>-462040916.56669515</v>
      </c>
      <c r="S229">
        <f t="shared" si="962"/>
        <v>-4620.4091656669516</v>
      </c>
      <c r="T229">
        <f t="shared" si="963"/>
        <v>-4.6204091656669517</v>
      </c>
    </row>
    <row r="230" spans="1:20" x14ac:dyDescent="0.25">
      <c r="A230" s="5">
        <v>44363</v>
      </c>
      <c r="B230">
        <v>0.21540000000000001</v>
      </c>
      <c r="C230">
        <v>0.22</v>
      </c>
      <c r="D230">
        <v>0.19670000000000001</v>
      </c>
      <c r="E230">
        <v>0.20610000000000001</v>
      </c>
      <c r="F230">
        <v>15668621.689999999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-0.1931330472103007</v>
      </c>
      <c r="Q230">
        <f t="shared" si="960"/>
        <v>-3026128.6525751115</v>
      </c>
      <c r="R230">
        <f t="shared" si="961"/>
        <v>-455643895.81336182</v>
      </c>
      <c r="S230">
        <f t="shared" si="962"/>
        <v>-4556.4389581336181</v>
      </c>
      <c r="T230">
        <f t="shared" si="963"/>
        <v>-4.5564389581336178</v>
      </c>
    </row>
    <row r="231" spans="1:20" x14ac:dyDescent="0.25">
      <c r="A231" s="5">
        <v>44362</v>
      </c>
      <c r="B231">
        <v>0.2026</v>
      </c>
      <c r="C231">
        <v>0.22950000000000001</v>
      </c>
      <c r="D231">
        <v>0.1983</v>
      </c>
      <c r="E231">
        <v>0.215</v>
      </c>
      <c r="F231">
        <v>18873596.109999999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7.0512820512819846E-2</v>
      </c>
      <c r="Q231">
        <f t="shared" si="960"/>
        <v>1330830.4949358848</v>
      </c>
      <c r="R231">
        <f t="shared" si="961"/>
        <v>-452617767.16078669</v>
      </c>
      <c r="S231">
        <f t="shared" si="962"/>
        <v>-4526.1776716078666</v>
      </c>
      <c r="T231">
        <f t="shared" si="963"/>
        <v>-4.5261776716078668</v>
      </c>
    </row>
    <row r="232" spans="1:20" x14ac:dyDescent="0.25">
      <c r="A232" s="5">
        <v>44361</v>
      </c>
      <c r="B232">
        <v>0.2092</v>
      </c>
      <c r="C232">
        <v>0.21959999999999999</v>
      </c>
      <c r="D232">
        <v>0.2006</v>
      </c>
      <c r="E232">
        <v>0.2026</v>
      </c>
      <c r="F232">
        <v>15236154.060000001</v>
      </c>
      <c r="G232">
        <v>0</v>
      </c>
      <c r="L232" t="s">
        <v>7</v>
      </c>
      <c r="M232" t="s">
        <v>7</v>
      </c>
      <c r="N232" t="s">
        <v>7</v>
      </c>
      <c r="P232">
        <f t="shared" si="959"/>
        <v>-0.78947368421052599</v>
      </c>
      <c r="Q232">
        <f t="shared" si="960"/>
        <v>-12028542.678947363</v>
      </c>
      <c r="R232">
        <f t="shared" si="961"/>
        <v>-453948597.65572256</v>
      </c>
      <c r="S232">
        <f t="shared" si="962"/>
        <v>-4539.4859765572255</v>
      </c>
      <c r="T232">
        <f t="shared" si="963"/>
        <v>-4.5394859765572253</v>
      </c>
    </row>
    <row r="233" spans="1:20" x14ac:dyDescent="0.25">
      <c r="A233" s="5">
        <v>44360</v>
      </c>
      <c r="B233">
        <v>0.23019999999999999</v>
      </c>
      <c r="C233">
        <v>0.255</v>
      </c>
      <c r="D233">
        <v>0.1933</v>
      </c>
      <c r="E233">
        <v>0.20949999999999999</v>
      </c>
      <c r="F233">
        <v>58132791.200000003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-0.47487844408427904</v>
      </c>
      <c r="Q233">
        <f t="shared" si="960"/>
        <v>-27606009.435332268</v>
      </c>
      <c r="R233">
        <f t="shared" si="961"/>
        <v>-441920054.97677517</v>
      </c>
      <c r="S233">
        <f t="shared" si="962"/>
        <v>-4419.2005497677519</v>
      </c>
      <c r="T233">
        <f t="shared" si="963"/>
        <v>-4.4192005497677522</v>
      </c>
    </row>
    <row r="234" spans="1:20" x14ac:dyDescent="0.25">
      <c r="A234" s="5">
        <v>44359</v>
      </c>
      <c r="B234">
        <v>0.17780000000000001</v>
      </c>
      <c r="C234">
        <v>0.26429999999999998</v>
      </c>
      <c r="D234">
        <v>0.17100000000000001</v>
      </c>
      <c r="E234">
        <v>0.2301</v>
      </c>
      <c r="F234">
        <v>148317698.41999999</v>
      </c>
      <c r="G234">
        <v>0</v>
      </c>
      <c r="L234" t="s">
        <v>7</v>
      </c>
      <c r="M234" t="s">
        <v>7</v>
      </c>
      <c r="N234" t="s">
        <v>8</v>
      </c>
      <c r="P234">
        <f t="shared" si="959"/>
        <v>0.26688102893890692</v>
      </c>
      <c r="Q234">
        <f t="shared" si="960"/>
        <v>39583179.964180082</v>
      </c>
      <c r="R234">
        <f t="shared" si="961"/>
        <v>-414314045.54144287</v>
      </c>
      <c r="S234">
        <f t="shared" si="962"/>
        <v>-4143.1404554144283</v>
      </c>
      <c r="T234">
        <f t="shared" si="963"/>
        <v>-4.1431404554144287</v>
      </c>
    </row>
    <row r="235" spans="1:20" x14ac:dyDescent="0.25">
      <c r="A235" s="5">
        <v>44358</v>
      </c>
      <c r="B235">
        <v>0.2041</v>
      </c>
      <c r="C235">
        <v>0.2064</v>
      </c>
      <c r="D235">
        <v>0.17560000000000001</v>
      </c>
      <c r="E235">
        <v>0.17829999999999999</v>
      </c>
      <c r="F235">
        <v>7416318.2599999998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-0.82467532467532589</v>
      </c>
      <c r="Q235">
        <f t="shared" si="960"/>
        <v>-6116054.6689610481</v>
      </c>
      <c r="R235">
        <f t="shared" si="961"/>
        <v>-453897225.50562292</v>
      </c>
      <c r="S235">
        <f t="shared" si="962"/>
        <v>-4538.9722550562292</v>
      </c>
      <c r="T235">
        <f t="shared" si="963"/>
        <v>-4.5389722550562288</v>
      </c>
    </row>
    <row r="236" spans="1:20" x14ac:dyDescent="0.25">
      <c r="A236" s="5">
        <v>44357</v>
      </c>
      <c r="B236">
        <v>0.19400000000000001</v>
      </c>
      <c r="C236">
        <v>0.2283</v>
      </c>
      <c r="D236">
        <v>0.18870000000000001</v>
      </c>
      <c r="E236">
        <v>0.2039</v>
      </c>
      <c r="F236">
        <v>28108601.43</v>
      </c>
      <c r="G236">
        <v>0</v>
      </c>
      <c r="L236" t="s">
        <v>8</v>
      </c>
      <c r="M236" t="s">
        <v>8</v>
      </c>
      <c r="N236" t="s">
        <v>7</v>
      </c>
      <c r="P236">
        <f t="shared" si="959"/>
        <v>-0.23232323232323268</v>
      </c>
      <c r="Q236">
        <f t="shared" si="960"/>
        <v>-6530281.1403030399</v>
      </c>
      <c r="R236">
        <f t="shared" si="961"/>
        <v>-447781170.83666188</v>
      </c>
      <c r="S236">
        <f t="shared" si="962"/>
        <v>-4477.8117083666184</v>
      </c>
      <c r="T236">
        <f t="shared" si="963"/>
        <v>-4.4778117083666187</v>
      </c>
    </row>
    <row r="237" spans="1:20" x14ac:dyDescent="0.25">
      <c r="A237" s="5">
        <v>44356</v>
      </c>
      <c r="B237">
        <v>0.18410000000000001</v>
      </c>
      <c r="C237">
        <v>0.19639999999999999</v>
      </c>
      <c r="D237">
        <v>0.1739</v>
      </c>
      <c r="E237">
        <v>0.19359999999999999</v>
      </c>
      <c r="F237">
        <v>10493868.16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0.75111111111111128</v>
      </c>
      <c r="Q237">
        <f t="shared" si="960"/>
        <v>7882060.9735111129</v>
      </c>
      <c r="R237">
        <f t="shared" si="961"/>
        <v>-441250889.69635886</v>
      </c>
      <c r="S237">
        <f t="shared" si="962"/>
        <v>-4412.508896963589</v>
      </c>
      <c r="T237">
        <f t="shared" si="963"/>
        <v>-4.4125088969635886</v>
      </c>
    </row>
    <row r="238" spans="1:20" x14ac:dyDescent="0.25">
      <c r="A238" s="5">
        <v>44355</v>
      </c>
      <c r="B238">
        <v>0.1792</v>
      </c>
      <c r="C238">
        <v>0.1933</v>
      </c>
      <c r="D238">
        <v>0.16500000000000001</v>
      </c>
      <c r="E238">
        <v>0.18410000000000001</v>
      </c>
      <c r="F238">
        <v>9936140.5600000005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0.34982332155477114</v>
      </c>
      <c r="Q238">
        <f t="shared" si="960"/>
        <v>3475893.6941342838</v>
      </c>
      <c r="R238">
        <f t="shared" si="961"/>
        <v>-449132950.66986996</v>
      </c>
      <c r="S238">
        <f t="shared" si="962"/>
        <v>-4491.3295066986993</v>
      </c>
      <c r="T238">
        <f t="shared" si="963"/>
        <v>-4.4913295066986993</v>
      </c>
    </row>
    <row r="239" spans="1:20" x14ac:dyDescent="0.25">
      <c r="A239" s="5">
        <v>44354</v>
      </c>
      <c r="B239">
        <v>0.20180000000000001</v>
      </c>
      <c r="C239">
        <v>0.2077</v>
      </c>
      <c r="D239">
        <v>0.17780000000000001</v>
      </c>
      <c r="E239">
        <v>0.17960000000000001</v>
      </c>
      <c r="F239">
        <v>10114185.26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-0.87959866220735805</v>
      </c>
      <c r="Q239">
        <f t="shared" si="960"/>
        <v>-8896423.8240133803</v>
      </c>
      <c r="R239">
        <f t="shared" si="961"/>
        <v>-452608844.36400425</v>
      </c>
      <c r="S239">
        <f t="shared" si="962"/>
        <v>-4526.0884436400429</v>
      </c>
      <c r="T239">
        <f t="shared" si="963"/>
        <v>-4.5260884436400426</v>
      </c>
    </row>
    <row r="240" spans="1:20" x14ac:dyDescent="0.25">
      <c r="A240" s="5">
        <v>44353</v>
      </c>
      <c r="B240">
        <v>0.20499999999999999</v>
      </c>
      <c r="C240">
        <v>0.21229999999999999</v>
      </c>
      <c r="D240">
        <v>0.19850000000000001</v>
      </c>
      <c r="E240">
        <v>0.20180000000000001</v>
      </c>
      <c r="F240">
        <v>11243383.1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-0.52173913043478226</v>
      </c>
      <c r="Q240">
        <f t="shared" si="960"/>
        <v>-5866112.9217391266</v>
      </c>
      <c r="R240">
        <f t="shared" si="961"/>
        <v>-443712420.5399909</v>
      </c>
      <c r="S240">
        <f t="shared" si="962"/>
        <v>-4437.1242053999094</v>
      </c>
      <c r="T240">
        <f t="shared" si="963"/>
        <v>-4.4371242053999094</v>
      </c>
    </row>
    <row r="241" spans="1:20" x14ac:dyDescent="0.25">
      <c r="A241" s="5">
        <v>44352</v>
      </c>
      <c r="B241">
        <v>0.23430000000000001</v>
      </c>
      <c r="C241">
        <v>0.2586</v>
      </c>
      <c r="D241">
        <v>0.19939999999999999</v>
      </c>
      <c r="E241">
        <v>0.20499999999999999</v>
      </c>
      <c r="F241">
        <v>40609923.799999997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-0.81081081081081108</v>
      </c>
      <c r="Q241">
        <f t="shared" si="960"/>
        <v>-32926965.243243251</v>
      </c>
      <c r="R241">
        <f t="shared" si="961"/>
        <v>-437846307.6182518</v>
      </c>
      <c r="S241">
        <f t="shared" si="962"/>
        <v>-4378.4630761825183</v>
      </c>
      <c r="T241">
        <f t="shared" si="963"/>
        <v>-4.3784630761825181</v>
      </c>
    </row>
    <row r="242" spans="1:20" x14ac:dyDescent="0.25">
      <c r="A242" s="5">
        <v>44351</v>
      </c>
      <c r="B242">
        <v>0.20269999999999999</v>
      </c>
      <c r="C242">
        <v>0.27</v>
      </c>
      <c r="D242">
        <v>0.17960000000000001</v>
      </c>
      <c r="E242">
        <v>0.2341</v>
      </c>
      <c r="F242">
        <v>132414541.63</v>
      </c>
      <c r="G242">
        <v>0</v>
      </c>
      <c r="L242" t="s">
        <v>8</v>
      </c>
      <c r="M242" t="s">
        <v>8</v>
      </c>
      <c r="N242" t="s">
        <v>8</v>
      </c>
      <c r="P242">
        <f t="shared" si="959"/>
        <v>0.20575221238938027</v>
      </c>
      <c r="Q242">
        <f t="shared" si="960"/>
        <v>27244584.892898194</v>
      </c>
      <c r="R242">
        <f t="shared" si="961"/>
        <v>-404919342.37500852</v>
      </c>
      <c r="S242">
        <f t="shared" si="962"/>
        <v>-4049.1934237500855</v>
      </c>
      <c r="T242">
        <f t="shared" si="963"/>
        <v>-4.0491934237500855</v>
      </c>
    </row>
    <row r="243" spans="1:20" x14ac:dyDescent="0.25">
      <c r="A243" s="5">
        <v>44350</v>
      </c>
      <c r="B243">
        <v>0.19350000000000001</v>
      </c>
      <c r="C243">
        <v>0.2074</v>
      </c>
      <c r="D243">
        <v>0.18509999999999999</v>
      </c>
      <c r="E243">
        <v>0.2024</v>
      </c>
      <c r="F243">
        <v>12276609.49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0.55156950672645733</v>
      </c>
      <c r="Q243">
        <f t="shared" si="960"/>
        <v>6771403.4406726453</v>
      </c>
      <c r="R243">
        <f t="shared" si="961"/>
        <v>-432163927.26790673</v>
      </c>
      <c r="S243">
        <f t="shared" si="962"/>
        <v>-4321.6392726790673</v>
      </c>
      <c r="T243">
        <f t="shared" si="963"/>
        <v>-4.3216392726790671</v>
      </c>
    </row>
    <row r="244" spans="1:20" x14ac:dyDescent="0.25">
      <c r="A244" s="5">
        <v>44349</v>
      </c>
      <c r="B244">
        <v>0.17660000000000001</v>
      </c>
      <c r="C244">
        <v>0.19719999999999999</v>
      </c>
      <c r="D244">
        <v>0.17080000000000001</v>
      </c>
      <c r="E244">
        <v>0.19350000000000001</v>
      </c>
      <c r="F244">
        <v>8258033.1399999997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0.71969696969697095</v>
      </c>
      <c r="Q244">
        <f t="shared" si="960"/>
        <v>5943281.426515162</v>
      </c>
      <c r="R244">
        <f t="shared" si="961"/>
        <v>-438935330.70857936</v>
      </c>
      <c r="S244">
        <f t="shared" si="962"/>
        <v>-4389.3533070857939</v>
      </c>
      <c r="T244">
        <f t="shared" si="963"/>
        <v>-4.389353307085794</v>
      </c>
    </row>
    <row r="245" spans="1:20" x14ac:dyDescent="0.25">
      <c r="A245" s="5">
        <v>44348</v>
      </c>
      <c r="B245">
        <v>0.1862</v>
      </c>
      <c r="C245">
        <v>0.19020000000000001</v>
      </c>
      <c r="D245">
        <v>0.17130000000000001</v>
      </c>
      <c r="E245">
        <v>0.1762</v>
      </c>
      <c r="F245">
        <v>5610968.2000000002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-0.48148148148148279</v>
      </c>
      <c r="Q245">
        <f t="shared" si="960"/>
        <v>-2701577.2814814891</v>
      </c>
      <c r="R245">
        <f t="shared" si="961"/>
        <v>-444878612.13509452</v>
      </c>
      <c r="S245">
        <f t="shared" si="962"/>
        <v>-4448.786121350945</v>
      </c>
      <c r="T245">
        <f t="shared" si="963"/>
        <v>-4.4487861213509454</v>
      </c>
    </row>
    <row r="246" spans="1:20" x14ac:dyDescent="0.25">
      <c r="A246" s="5">
        <v>44347</v>
      </c>
      <c r="B246">
        <v>0.18140000000000001</v>
      </c>
      <c r="C246">
        <v>0.1888</v>
      </c>
      <c r="D246">
        <v>0.16869999999999999</v>
      </c>
      <c r="E246">
        <v>0.18709999999999999</v>
      </c>
      <c r="F246">
        <v>7864705.1799999997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0.83084577114427793</v>
      </c>
      <c r="Q246">
        <f t="shared" si="960"/>
        <v>6534357.040099497</v>
      </c>
      <c r="R246">
        <f t="shared" si="961"/>
        <v>-442177034.85361302</v>
      </c>
      <c r="S246">
        <f t="shared" si="962"/>
        <v>-4421.7703485361299</v>
      </c>
      <c r="T246">
        <f t="shared" si="963"/>
        <v>-4.4217703485361302</v>
      </c>
    </row>
    <row r="247" spans="1:20" x14ac:dyDescent="0.25">
      <c r="A247" s="5">
        <v>44346</v>
      </c>
      <c r="B247">
        <v>0.16289999999999999</v>
      </c>
      <c r="C247">
        <v>0.1968</v>
      </c>
      <c r="D247">
        <v>0.152</v>
      </c>
      <c r="E247">
        <v>0.18140000000000001</v>
      </c>
      <c r="F247">
        <v>53105232.219999999</v>
      </c>
      <c r="G247">
        <v>0</v>
      </c>
      <c r="L247" t="s">
        <v>7</v>
      </c>
      <c r="M247" t="s">
        <v>8</v>
      </c>
      <c r="N247" t="s">
        <v>7</v>
      </c>
      <c r="P247">
        <f t="shared" si="959"/>
        <v>0.31250000000000022</v>
      </c>
      <c r="Q247">
        <f t="shared" si="960"/>
        <v>16595385.068750011</v>
      </c>
      <c r="R247">
        <f t="shared" si="961"/>
        <v>-448711391.89371252</v>
      </c>
      <c r="S247">
        <f t="shared" si="962"/>
        <v>-4487.1139189371252</v>
      </c>
      <c r="T247">
        <f t="shared" si="963"/>
        <v>-4.4871139189371254</v>
      </c>
    </row>
    <row r="248" spans="1:20" x14ac:dyDescent="0.25">
      <c r="A248" s="5">
        <v>44345</v>
      </c>
      <c r="B248">
        <v>0.17180000000000001</v>
      </c>
      <c r="C248">
        <v>0.1789</v>
      </c>
      <c r="D248">
        <v>0.15290000000000001</v>
      </c>
      <c r="E248">
        <v>0.16300000000000001</v>
      </c>
      <c r="F248">
        <v>15881981.57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-0.22307692307692309</v>
      </c>
      <c r="Q248">
        <f t="shared" si="960"/>
        <v>-3542903.5810000002</v>
      </c>
      <c r="R248">
        <f t="shared" si="961"/>
        <v>-465306776.96246254</v>
      </c>
      <c r="S248">
        <f t="shared" si="962"/>
        <v>-4653.0677696246257</v>
      </c>
      <c r="T248">
        <f t="shared" si="963"/>
        <v>-4.6530677696246254</v>
      </c>
    </row>
    <row r="249" spans="1:20" x14ac:dyDescent="0.25">
      <c r="A249" s="5">
        <v>44344</v>
      </c>
      <c r="B249">
        <v>0.19769999999999999</v>
      </c>
      <c r="C249">
        <v>0.20119999999999999</v>
      </c>
      <c r="D249">
        <v>0.1661</v>
      </c>
      <c r="E249">
        <v>0.17199999999999999</v>
      </c>
      <c r="F249">
        <v>17635429.420000002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-0.66381766381766438</v>
      </c>
      <c r="Q249">
        <f t="shared" si="960"/>
        <v>-11706709.558005709</v>
      </c>
      <c r="R249">
        <f t="shared" si="961"/>
        <v>-461763873.38146257</v>
      </c>
      <c r="S249">
        <f t="shared" si="962"/>
        <v>-4617.638733814626</v>
      </c>
      <c r="T249">
        <f t="shared" si="963"/>
        <v>-4.6176387338146263</v>
      </c>
    </row>
    <row r="250" spans="1:20" x14ac:dyDescent="0.25">
      <c r="A250" s="5">
        <v>44343</v>
      </c>
      <c r="B250">
        <v>0.1948</v>
      </c>
      <c r="C250">
        <v>0.24</v>
      </c>
      <c r="D250">
        <v>0.1825</v>
      </c>
      <c r="E250">
        <v>0.19739999999999999</v>
      </c>
      <c r="F250">
        <v>33599643.07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-0.48173913043478267</v>
      </c>
      <c r="Q250">
        <f t="shared" si="960"/>
        <v>-16186262.835460871</v>
      </c>
      <c r="R250">
        <f t="shared" si="961"/>
        <v>-450057163.82345688</v>
      </c>
      <c r="S250">
        <f t="shared" si="962"/>
        <v>-4500.571638234569</v>
      </c>
      <c r="T250">
        <f t="shared" si="963"/>
        <v>-4.5005716382345691</v>
      </c>
    </row>
    <row r="251" spans="1:20" x14ac:dyDescent="0.25">
      <c r="A251" s="5">
        <v>44342</v>
      </c>
      <c r="B251">
        <v>0.1741</v>
      </c>
      <c r="C251">
        <v>0.2</v>
      </c>
      <c r="D251">
        <v>0.17150000000000001</v>
      </c>
      <c r="E251">
        <v>0.1948</v>
      </c>
      <c r="F251">
        <v>15725131.779999999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0.63508771929824492</v>
      </c>
      <c r="Q251">
        <f t="shared" si="960"/>
        <v>9986838.0778245497</v>
      </c>
      <c r="R251">
        <f t="shared" si="961"/>
        <v>-433870900.98799604</v>
      </c>
      <c r="S251">
        <f t="shared" si="962"/>
        <v>-4338.7090098799608</v>
      </c>
      <c r="T251">
        <f t="shared" si="963"/>
        <v>-4.3387090098799606</v>
      </c>
    </row>
    <row r="252" spans="1:20" x14ac:dyDescent="0.25">
      <c r="A252" s="5">
        <v>44341</v>
      </c>
      <c r="B252">
        <v>0.1714</v>
      </c>
      <c r="C252">
        <v>0.17910000000000001</v>
      </c>
      <c r="D252">
        <v>0.14990000000000001</v>
      </c>
      <c r="E252">
        <v>0.17349999999999999</v>
      </c>
      <c r="F252">
        <v>9323665.8100000005</v>
      </c>
      <c r="G252">
        <v>0</v>
      </c>
      <c r="L252" t="s">
        <v>8</v>
      </c>
      <c r="M252" t="s">
        <v>8</v>
      </c>
      <c r="N252" t="s">
        <v>7</v>
      </c>
      <c r="P252">
        <f t="shared" si="959"/>
        <v>0.61643835616438214</v>
      </c>
      <c r="Q252">
        <f t="shared" si="960"/>
        <v>5747465.2253424525</v>
      </c>
      <c r="R252">
        <f t="shared" si="961"/>
        <v>-443857739.06582057</v>
      </c>
      <c r="S252">
        <f t="shared" si="962"/>
        <v>-4438.5773906582053</v>
      </c>
      <c r="T252">
        <f t="shared" si="963"/>
        <v>-4.4385773906582049</v>
      </c>
    </row>
    <row r="253" spans="1:20" x14ac:dyDescent="0.25">
      <c r="A253" s="5">
        <v>44340</v>
      </c>
      <c r="B253">
        <v>0.1469</v>
      </c>
      <c r="C253">
        <v>0.17499999999999999</v>
      </c>
      <c r="D253">
        <v>0.14119999999999999</v>
      </c>
      <c r="E253">
        <v>0.1714</v>
      </c>
      <c r="F253">
        <v>6859210.3799999999</v>
      </c>
      <c r="G253">
        <v>0</v>
      </c>
      <c r="L253" t="s">
        <v>8</v>
      </c>
      <c r="M253" t="s">
        <v>8</v>
      </c>
      <c r="N253" t="s">
        <v>7</v>
      </c>
      <c r="P253">
        <f t="shared" si="959"/>
        <v>0.78698224852071053</v>
      </c>
      <c r="Q253">
        <f t="shared" si="960"/>
        <v>5398076.8079289971</v>
      </c>
      <c r="R253">
        <f t="shared" si="961"/>
        <v>-449605204.29116303</v>
      </c>
      <c r="S253">
        <f t="shared" si="962"/>
        <v>-4496.0520429116305</v>
      </c>
      <c r="T253">
        <f t="shared" si="963"/>
        <v>-4.4960520429116304</v>
      </c>
    </row>
    <row r="254" spans="1:20" x14ac:dyDescent="0.25">
      <c r="A254" s="5">
        <v>44339</v>
      </c>
      <c r="B254">
        <v>0.1855</v>
      </c>
      <c r="C254">
        <v>0.19120000000000001</v>
      </c>
      <c r="D254">
        <v>0.1231</v>
      </c>
      <c r="E254">
        <v>0.14649999999999999</v>
      </c>
      <c r="F254">
        <v>9679843.6099999994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-0.31277533039647615</v>
      </c>
      <c r="Q254">
        <f t="shared" si="960"/>
        <v>-3027616.2833039681</v>
      </c>
      <c r="R254">
        <f t="shared" si="961"/>
        <v>-455003281.09909201</v>
      </c>
      <c r="S254">
        <f t="shared" si="962"/>
        <v>-4550.0328109909196</v>
      </c>
      <c r="T254">
        <f t="shared" si="963"/>
        <v>-4.5500328109909196</v>
      </c>
    </row>
    <row r="255" spans="1:20" x14ac:dyDescent="0.25">
      <c r="A255" s="5">
        <v>44338</v>
      </c>
      <c r="B255">
        <v>0.18079999999999999</v>
      </c>
      <c r="C255">
        <v>0.20250000000000001</v>
      </c>
      <c r="D255">
        <v>0.15840000000000001</v>
      </c>
      <c r="E255">
        <v>0.18579999999999999</v>
      </c>
      <c r="F255">
        <v>6196971.8300000001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0.24263038548752744</v>
      </c>
      <c r="Q255">
        <f t="shared" si="960"/>
        <v>1503573.6639682483</v>
      </c>
      <c r="R255">
        <f t="shared" si="961"/>
        <v>-451975664.81578803</v>
      </c>
      <c r="S255">
        <f t="shared" si="962"/>
        <v>-4519.7566481578806</v>
      </c>
      <c r="T255">
        <f t="shared" si="963"/>
        <v>-4.5197566481578804</v>
      </c>
    </row>
    <row r="256" spans="1:20" x14ac:dyDescent="0.25">
      <c r="A256" s="5">
        <v>44337</v>
      </c>
      <c r="B256">
        <v>0.221</v>
      </c>
      <c r="C256">
        <v>0.2369</v>
      </c>
      <c r="D256">
        <v>0.15240000000000001</v>
      </c>
      <c r="E256">
        <v>0.18099999999999999</v>
      </c>
      <c r="F256">
        <v>16433933.390000001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-0.32307692307692332</v>
      </c>
      <c r="Q256">
        <f t="shared" si="960"/>
        <v>-5309424.6336923121</v>
      </c>
      <c r="R256">
        <f t="shared" si="961"/>
        <v>-453479238.4797563</v>
      </c>
      <c r="S256">
        <f t="shared" si="962"/>
        <v>-4534.7923847975626</v>
      </c>
      <c r="T256">
        <f t="shared" si="963"/>
        <v>-4.5347923847975622</v>
      </c>
    </row>
    <row r="257" spans="1:20" x14ac:dyDescent="0.25">
      <c r="A257" s="5">
        <v>44336</v>
      </c>
      <c r="B257">
        <v>0.1968</v>
      </c>
      <c r="C257">
        <v>0.2414</v>
      </c>
      <c r="D257">
        <v>0.17499999999999999</v>
      </c>
      <c r="E257">
        <v>0.2208</v>
      </c>
      <c r="F257">
        <v>6629656.21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0.37951807228915657</v>
      </c>
      <c r="Q257">
        <f t="shared" si="960"/>
        <v>2516074.3447590359</v>
      </c>
      <c r="R257">
        <f t="shared" si="961"/>
        <v>-448169813.84606397</v>
      </c>
      <c r="S257">
        <f t="shared" si="962"/>
        <v>-4481.6981384606397</v>
      </c>
      <c r="T257">
        <f t="shared" si="963"/>
        <v>-4.48169813846064</v>
      </c>
    </row>
    <row r="258" spans="1:20" x14ac:dyDescent="0.25">
      <c r="A258" s="5">
        <v>44335</v>
      </c>
      <c r="B258">
        <v>0.3024</v>
      </c>
      <c r="C258">
        <v>0.308</v>
      </c>
      <c r="D258">
        <v>0.14899999999999999</v>
      </c>
      <c r="E258">
        <v>0.1966</v>
      </c>
      <c r="F258">
        <v>15962696.74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-0.40125786163522009</v>
      </c>
      <c r="Q258">
        <f t="shared" si="960"/>
        <v>-6405157.5598238986</v>
      </c>
      <c r="R258">
        <f t="shared" si="961"/>
        <v>-450685888.19082302</v>
      </c>
      <c r="S258">
        <f t="shared" si="962"/>
        <v>-4506.8588819082306</v>
      </c>
      <c r="T258">
        <f t="shared" si="963"/>
        <v>-4.5068588819082303</v>
      </c>
    </row>
    <row r="259" spans="1:20" x14ac:dyDescent="0.25">
      <c r="A259" s="5">
        <v>44334</v>
      </c>
      <c r="B259">
        <v>0.28420000000000001</v>
      </c>
      <c r="C259">
        <v>0.315</v>
      </c>
      <c r="D259">
        <v>0.27960000000000002</v>
      </c>
      <c r="E259">
        <v>0.30230000000000001</v>
      </c>
      <c r="F259">
        <v>5832525.71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0.28248587570621503</v>
      </c>
      <c r="Q259">
        <f t="shared" si="960"/>
        <v>1647606.1327683635</v>
      </c>
      <c r="R259">
        <f t="shared" si="961"/>
        <v>-444280730.63099915</v>
      </c>
      <c r="S259">
        <f t="shared" si="962"/>
        <v>-4442.8073063099919</v>
      </c>
      <c r="T259">
        <f t="shared" si="963"/>
        <v>-4.4428073063099918</v>
      </c>
    </row>
    <row r="260" spans="1:20" x14ac:dyDescent="0.25">
      <c r="A260" s="5">
        <v>44333</v>
      </c>
      <c r="B260">
        <v>0.3135</v>
      </c>
      <c r="C260">
        <v>0.314</v>
      </c>
      <c r="D260">
        <v>0.26879999999999998</v>
      </c>
      <c r="E260">
        <v>0.28449999999999998</v>
      </c>
      <c r="F260">
        <v>8835833.6199999992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-0.30530973451327498</v>
      </c>
      <c r="Q260">
        <f t="shared" si="960"/>
        <v>-2697666.0167256691</v>
      </c>
      <c r="R260">
        <f t="shared" si="961"/>
        <v>-445928336.76376754</v>
      </c>
      <c r="S260">
        <f t="shared" si="962"/>
        <v>-4459.2833676376758</v>
      </c>
      <c r="T260">
        <f t="shared" si="963"/>
        <v>-4.459283367637676</v>
      </c>
    </row>
    <row r="261" spans="1:20" x14ac:dyDescent="0.25">
      <c r="A261" s="5">
        <v>44332</v>
      </c>
      <c r="B261">
        <v>0.31530000000000002</v>
      </c>
      <c r="C261">
        <v>0.3579</v>
      </c>
      <c r="D261">
        <v>0.2903</v>
      </c>
      <c r="E261">
        <v>0.31269999999999998</v>
      </c>
      <c r="F261">
        <v>8023351.7000000002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-0.33727810650887641</v>
      </c>
      <c r="Q261">
        <f t="shared" si="960"/>
        <v>-2706100.8692307747</v>
      </c>
      <c r="R261">
        <f t="shared" si="961"/>
        <v>-443230670.74704188</v>
      </c>
      <c r="S261">
        <f t="shared" si="962"/>
        <v>-4432.3067074704186</v>
      </c>
      <c r="T261">
        <f t="shared" si="963"/>
        <v>-4.4323067074704188</v>
      </c>
    </row>
    <row r="262" spans="1:20" x14ac:dyDescent="0.25">
      <c r="A262" s="5">
        <v>44331</v>
      </c>
      <c r="B262">
        <v>0.3427</v>
      </c>
      <c r="C262">
        <v>0.34789999999999999</v>
      </c>
      <c r="D262">
        <v>0.30759999999999998</v>
      </c>
      <c r="E262">
        <v>0.31690000000000002</v>
      </c>
      <c r="F262">
        <v>6350481.3799999999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-0.53846153846153699</v>
      </c>
      <c r="Q262">
        <f t="shared" ref="Q262:Q325" si="965">F262*P262</f>
        <v>-3419489.9738461445</v>
      </c>
      <c r="R262">
        <f t="shared" ref="R262:R325" si="966">R263+Q262</f>
        <v>-440524569.87781113</v>
      </c>
      <c r="S262">
        <f t="shared" ref="S262:S325" si="967">R262/100000</f>
        <v>-4405.2456987781115</v>
      </c>
      <c r="T262">
        <f t="shared" ref="T262:T325" si="968">S262/1000</f>
        <v>-4.4052456987781117</v>
      </c>
    </row>
    <row r="263" spans="1:20" x14ac:dyDescent="0.25">
      <c r="A263" s="5">
        <v>44330</v>
      </c>
      <c r="B263">
        <v>0.33</v>
      </c>
      <c r="C263">
        <v>0.36249999999999999</v>
      </c>
      <c r="D263">
        <v>0.32300000000000001</v>
      </c>
      <c r="E263">
        <v>0.3427</v>
      </c>
      <c r="F263">
        <v>6854492.5999999996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-2.5316455696199757E-3</v>
      </c>
      <c r="Q263">
        <f t="shared" si="965"/>
        <v>-17353.145822782906</v>
      </c>
      <c r="R263">
        <f t="shared" si="966"/>
        <v>-437105079.903965</v>
      </c>
      <c r="S263">
        <f t="shared" si="967"/>
        <v>-4371.05079903965</v>
      </c>
      <c r="T263">
        <f t="shared" si="968"/>
        <v>-4.3710507990396499</v>
      </c>
    </row>
    <row r="264" spans="1:20" x14ac:dyDescent="0.25">
      <c r="A264" s="5">
        <v>44329</v>
      </c>
      <c r="B264">
        <v>0.34449999999999997</v>
      </c>
      <c r="C264">
        <v>0.36330000000000001</v>
      </c>
      <c r="D264">
        <v>0.30599999999999999</v>
      </c>
      <c r="E264">
        <v>0.32990000000000003</v>
      </c>
      <c r="F264">
        <v>7789135.6200000001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-0.16579406631762567</v>
      </c>
      <c r="Q264">
        <f t="shared" si="965"/>
        <v>-1291392.4675392604</v>
      </c>
      <c r="R264">
        <f t="shared" si="966"/>
        <v>-437087726.75814223</v>
      </c>
      <c r="S264">
        <f t="shared" si="967"/>
        <v>-4370.8772675814225</v>
      </c>
      <c r="T264">
        <f t="shared" si="968"/>
        <v>-4.3708772675814229</v>
      </c>
    </row>
    <row r="265" spans="1:20" x14ac:dyDescent="0.25">
      <c r="A265" s="5">
        <v>44328</v>
      </c>
      <c r="B265">
        <v>0.3952</v>
      </c>
      <c r="C265">
        <v>0.40639999999999998</v>
      </c>
      <c r="D265">
        <v>0.34029999999999999</v>
      </c>
      <c r="E265">
        <v>0.34470000000000001</v>
      </c>
      <c r="F265">
        <v>11386149.17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-0.86686838124054411</v>
      </c>
      <c r="Q265">
        <f t="shared" si="965"/>
        <v>-9870292.6995612644</v>
      </c>
      <c r="R265">
        <f t="shared" si="966"/>
        <v>-435796334.29060298</v>
      </c>
      <c r="S265">
        <f t="shared" si="967"/>
        <v>-4357.9633429060295</v>
      </c>
      <c r="T265">
        <f t="shared" si="968"/>
        <v>-4.3579633429060296</v>
      </c>
    </row>
    <row r="266" spans="1:20" x14ac:dyDescent="0.25">
      <c r="A266" s="5">
        <v>44327</v>
      </c>
      <c r="B266">
        <v>0.40100000000000002</v>
      </c>
      <c r="C266">
        <v>0.41489999999999999</v>
      </c>
      <c r="D266">
        <v>0.38250000000000001</v>
      </c>
      <c r="E266">
        <v>0.39510000000000001</v>
      </c>
      <c r="F266">
        <v>13848131.32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-0.22222222222222185</v>
      </c>
      <c r="Q266">
        <f t="shared" si="965"/>
        <v>-3077362.5155555503</v>
      </c>
      <c r="R266">
        <f t="shared" si="966"/>
        <v>-425926041.59104174</v>
      </c>
      <c r="S266">
        <f t="shared" si="967"/>
        <v>-4259.2604159104176</v>
      </c>
      <c r="T266">
        <f t="shared" si="968"/>
        <v>-4.2592604159104175</v>
      </c>
    </row>
    <row r="267" spans="1:20" x14ac:dyDescent="0.25">
      <c r="A267" s="5">
        <v>44326</v>
      </c>
      <c r="B267">
        <v>0.54220000000000002</v>
      </c>
      <c r="C267">
        <v>0.54339999999999999</v>
      </c>
      <c r="D267">
        <v>0.38</v>
      </c>
      <c r="E267">
        <v>0.40089999999999998</v>
      </c>
      <c r="F267">
        <v>55841550.789999999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-0.74418604651162823</v>
      </c>
      <c r="Q267">
        <f t="shared" si="965"/>
        <v>-41556502.913488388</v>
      </c>
      <c r="R267">
        <f t="shared" si="966"/>
        <v>-422848679.07548618</v>
      </c>
      <c r="S267">
        <f t="shared" si="967"/>
        <v>-4228.4867907548614</v>
      </c>
      <c r="T267">
        <f t="shared" si="968"/>
        <v>-4.2284867907548618</v>
      </c>
    </row>
    <row r="268" spans="1:20" x14ac:dyDescent="0.25">
      <c r="A268" s="5">
        <v>44325</v>
      </c>
      <c r="B268">
        <v>0.41420000000000001</v>
      </c>
      <c r="C268">
        <v>0.59350000000000003</v>
      </c>
      <c r="D268">
        <v>0.4037</v>
      </c>
      <c r="E268">
        <v>0.5423</v>
      </c>
      <c r="F268">
        <v>143488759.09</v>
      </c>
      <c r="G268">
        <v>0</v>
      </c>
      <c r="L268" t="s">
        <v>8</v>
      </c>
      <c r="M268" t="s">
        <v>8</v>
      </c>
      <c r="N268" t="s">
        <v>8</v>
      </c>
      <c r="P268">
        <f t="shared" si="964"/>
        <v>0.46048472075869318</v>
      </c>
      <c r="Q268">
        <f t="shared" si="965"/>
        <v>66074381.16157005</v>
      </c>
      <c r="R268">
        <f t="shared" si="966"/>
        <v>-381292176.1619978</v>
      </c>
      <c r="S268">
        <f t="shared" si="967"/>
        <v>-3812.921761619978</v>
      </c>
      <c r="T268">
        <f t="shared" si="968"/>
        <v>-3.812921761619978</v>
      </c>
    </row>
    <row r="269" spans="1:20" x14ac:dyDescent="0.25">
      <c r="A269" s="5">
        <v>44324</v>
      </c>
      <c r="B269">
        <v>0.38950000000000001</v>
      </c>
      <c r="C269">
        <v>0.44</v>
      </c>
      <c r="D269">
        <v>0.38669999999999999</v>
      </c>
      <c r="E269">
        <v>0.41299999999999998</v>
      </c>
      <c r="F269">
        <v>12924588.68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-1.3133208255160107E-2</v>
      </c>
      <c r="Q269">
        <f t="shared" si="965"/>
        <v>-169741.31474672488</v>
      </c>
      <c r="R269">
        <f t="shared" si="966"/>
        <v>-447366557.32356787</v>
      </c>
      <c r="S269">
        <f t="shared" si="967"/>
        <v>-4473.6655732356785</v>
      </c>
      <c r="T269">
        <f t="shared" si="968"/>
        <v>-4.4736655732356789</v>
      </c>
    </row>
    <row r="270" spans="1:20" x14ac:dyDescent="0.25">
      <c r="A270" s="5">
        <v>44323</v>
      </c>
      <c r="B270">
        <v>0.38109999999999999</v>
      </c>
      <c r="C270">
        <v>0.41</v>
      </c>
      <c r="D270">
        <v>0.36059999999999998</v>
      </c>
      <c r="E270">
        <v>0.38950000000000001</v>
      </c>
      <c r="F270">
        <v>8091731.29</v>
      </c>
      <c r="G270">
        <v>0</v>
      </c>
      <c r="L270" t="s">
        <v>7</v>
      </c>
      <c r="M270" t="s">
        <v>8</v>
      </c>
      <c r="N270" t="s">
        <v>8</v>
      </c>
      <c r="P270">
        <f t="shared" si="964"/>
        <v>0.17004048582996101</v>
      </c>
      <c r="Q270">
        <f t="shared" si="965"/>
        <v>1375921.919757097</v>
      </c>
      <c r="R270">
        <f t="shared" si="966"/>
        <v>-447196816.00882113</v>
      </c>
      <c r="S270">
        <f t="shared" si="967"/>
        <v>-4471.9681600882113</v>
      </c>
      <c r="T270">
        <f t="shared" si="968"/>
        <v>-4.4719681600882115</v>
      </c>
    </row>
    <row r="271" spans="1:20" x14ac:dyDescent="0.25">
      <c r="A271" s="5">
        <v>44322</v>
      </c>
      <c r="B271">
        <v>0.39200000000000002</v>
      </c>
      <c r="C271">
        <v>0.4</v>
      </c>
      <c r="D271">
        <v>0.36499999999999999</v>
      </c>
      <c r="E271">
        <v>0.38030000000000003</v>
      </c>
      <c r="F271">
        <v>9027405.3000000007</v>
      </c>
      <c r="G271">
        <v>0</v>
      </c>
      <c r="L271" t="s">
        <v>7</v>
      </c>
      <c r="M271" t="s">
        <v>8</v>
      </c>
      <c r="N271" t="s">
        <v>8</v>
      </c>
      <c r="P271">
        <f t="shared" si="964"/>
        <v>-0.12571428571428445</v>
      </c>
      <c r="Q271">
        <f t="shared" si="965"/>
        <v>-1134873.8091428457</v>
      </c>
      <c r="R271">
        <f t="shared" si="966"/>
        <v>-448572737.9285782</v>
      </c>
      <c r="S271">
        <f t="shared" si="967"/>
        <v>-4485.7273792857823</v>
      </c>
      <c r="T271">
        <f t="shared" si="968"/>
        <v>-4.4857273792857821</v>
      </c>
    </row>
    <row r="272" spans="1:20" x14ac:dyDescent="0.25">
      <c r="A272" s="5">
        <v>44321</v>
      </c>
      <c r="B272">
        <v>0.35049999999999998</v>
      </c>
      <c r="C272">
        <v>0.42509999999999998</v>
      </c>
      <c r="D272">
        <v>0.3473</v>
      </c>
      <c r="E272">
        <v>0.39200000000000002</v>
      </c>
      <c r="F272">
        <v>13938363.67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0.14910025706940949</v>
      </c>
      <c r="Q272">
        <f t="shared" si="965"/>
        <v>2078213.6063239179</v>
      </c>
      <c r="R272">
        <f t="shared" si="966"/>
        <v>-447437864.11943537</v>
      </c>
      <c r="S272">
        <f t="shared" si="967"/>
        <v>-4474.3786411943538</v>
      </c>
      <c r="T272">
        <f t="shared" si="968"/>
        <v>-4.4743786411943542</v>
      </c>
    </row>
    <row r="273" spans="1:20" x14ac:dyDescent="0.25">
      <c r="A273" s="5">
        <v>44320</v>
      </c>
      <c r="B273">
        <v>0.39889999999999998</v>
      </c>
      <c r="C273">
        <v>0.4032</v>
      </c>
      <c r="D273">
        <v>0.34949999999999998</v>
      </c>
      <c r="E273">
        <v>0.35060000000000002</v>
      </c>
      <c r="F273">
        <v>8584007.8900000006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-0.95903165735567808</v>
      </c>
      <c r="Q273">
        <f t="shared" si="965"/>
        <v>-8232335.3135009175</v>
      </c>
      <c r="R273">
        <f t="shared" si="966"/>
        <v>-449516077.72575927</v>
      </c>
      <c r="S273">
        <f t="shared" si="967"/>
        <v>-4495.1607772575926</v>
      </c>
      <c r="T273">
        <f t="shared" si="968"/>
        <v>-4.4951607772575928</v>
      </c>
    </row>
    <row r="274" spans="1:20" x14ac:dyDescent="0.25">
      <c r="A274" s="5">
        <v>44319</v>
      </c>
      <c r="B274">
        <v>0.3609</v>
      </c>
      <c r="C274">
        <v>0.438</v>
      </c>
      <c r="D274">
        <v>0.35730000000000001</v>
      </c>
      <c r="E274">
        <v>0.39779999999999999</v>
      </c>
      <c r="F274">
        <v>16192688.77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3.7174721189586987E-3</v>
      </c>
      <c r="Q274">
        <f t="shared" si="965"/>
        <v>60195.869033450625</v>
      </c>
      <c r="R274">
        <f t="shared" si="966"/>
        <v>-441283742.41225833</v>
      </c>
      <c r="S274">
        <f t="shared" si="967"/>
        <v>-4412.8374241225829</v>
      </c>
      <c r="T274">
        <f t="shared" si="968"/>
        <v>-4.412837424122583</v>
      </c>
    </row>
    <row r="275" spans="1:20" x14ac:dyDescent="0.25">
      <c r="A275" s="5">
        <v>44318</v>
      </c>
      <c r="B275">
        <v>0.37519999999999998</v>
      </c>
      <c r="C275">
        <v>0.37640000000000001</v>
      </c>
      <c r="D275">
        <v>0.34710000000000002</v>
      </c>
      <c r="E275">
        <v>0.36009999999999998</v>
      </c>
      <c r="F275">
        <v>5997135.7000000002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-0.11262798634812565</v>
      </c>
      <c r="Q275">
        <f t="shared" si="965"/>
        <v>-675445.31774745695</v>
      </c>
      <c r="R275">
        <f t="shared" si="966"/>
        <v>-441343938.28129178</v>
      </c>
      <c r="S275">
        <f t="shared" si="967"/>
        <v>-4413.4393828129178</v>
      </c>
      <c r="T275">
        <f t="shared" si="968"/>
        <v>-4.4134393828129177</v>
      </c>
    </row>
    <row r="276" spans="1:20" x14ac:dyDescent="0.25">
      <c r="A276" s="5">
        <v>44317</v>
      </c>
      <c r="B276">
        <v>0.36990000000000001</v>
      </c>
      <c r="C276">
        <v>0.3977</v>
      </c>
      <c r="D276">
        <v>0.36</v>
      </c>
      <c r="E276">
        <v>0.37480000000000002</v>
      </c>
      <c r="F276">
        <v>8292285.4699999997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-0.21485411140583391</v>
      </c>
      <c r="Q276">
        <f t="shared" si="965"/>
        <v>-1781631.6261803578</v>
      </c>
      <c r="R276">
        <f t="shared" si="966"/>
        <v>-440668492.96354431</v>
      </c>
      <c r="S276">
        <f t="shared" si="967"/>
        <v>-4406.684929635443</v>
      </c>
      <c r="T276">
        <f t="shared" si="968"/>
        <v>-4.4066849296354427</v>
      </c>
    </row>
    <row r="277" spans="1:20" x14ac:dyDescent="0.25">
      <c r="A277" s="5">
        <v>44316</v>
      </c>
      <c r="B277">
        <v>0.36170000000000002</v>
      </c>
      <c r="C277">
        <v>0.41</v>
      </c>
      <c r="D277">
        <v>0.34860000000000002</v>
      </c>
      <c r="E277">
        <v>0.36980000000000002</v>
      </c>
      <c r="F277">
        <v>16474412.359999999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-0.30944625407166082</v>
      </c>
      <c r="Q277">
        <f t="shared" si="965"/>
        <v>-5097945.1928338688</v>
      </c>
      <c r="R277">
        <f t="shared" si="966"/>
        <v>-438886861.33736396</v>
      </c>
      <c r="S277">
        <f t="shared" si="967"/>
        <v>-4388.8686133736392</v>
      </c>
      <c r="T277">
        <f t="shared" si="968"/>
        <v>-4.3888686133736394</v>
      </c>
    </row>
    <row r="278" spans="1:20" x14ac:dyDescent="0.25">
      <c r="A278" s="5">
        <v>44315</v>
      </c>
      <c r="B278">
        <v>0.34560000000000002</v>
      </c>
      <c r="C278">
        <v>0.3659</v>
      </c>
      <c r="D278">
        <v>0.32929999999999998</v>
      </c>
      <c r="E278">
        <v>0.36170000000000002</v>
      </c>
      <c r="F278">
        <v>5286786.66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0.77049180327868971</v>
      </c>
      <c r="Q278">
        <f t="shared" si="965"/>
        <v>4073425.7872131211</v>
      </c>
      <c r="R278">
        <f t="shared" si="966"/>
        <v>-433788916.14453012</v>
      </c>
      <c r="S278">
        <f t="shared" si="967"/>
        <v>-4337.8891614453014</v>
      </c>
      <c r="T278">
        <f t="shared" si="968"/>
        <v>-4.3378891614453012</v>
      </c>
    </row>
    <row r="279" spans="1:20" x14ac:dyDescent="0.25">
      <c r="A279" s="5">
        <v>44314</v>
      </c>
      <c r="B279">
        <v>0.36680000000000001</v>
      </c>
      <c r="C279">
        <v>0.37269999999999998</v>
      </c>
      <c r="D279">
        <v>0.32340000000000002</v>
      </c>
      <c r="E279">
        <v>0.34449999999999997</v>
      </c>
      <c r="F279">
        <v>22613291.41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-0.14401622718052853</v>
      </c>
      <c r="Q279">
        <f t="shared" si="965"/>
        <v>-3256680.9130020542</v>
      </c>
      <c r="R279">
        <f t="shared" si="966"/>
        <v>-437862341.93174326</v>
      </c>
      <c r="S279">
        <f t="shared" si="967"/>
        <v>-4378.6234193174323</v>
      </c>
      <c r="T279">
        <f t="shared" si="968"/>
        <v>-4.3786234193174325</v>
      </c>
    </row>
    <row r="280" spans="1:20" x14ac:dyDescent="0.25">
      <c r="A280" s="5">
        <v>44313</v>
      </c>
      <c r="B280">
        <v>0.34250000000000003</v>
      </c>
      <c r="C280">
        <v>0.37180000000000002</v>
      </c>
      <c r="D280">
        <v>0.32919999999999999</v>
      </c>
      <c r="E280">
        <v>0.3669</v>
      </c>
      <c r="F280">
        <v>9257961.1699999999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0.76995305164319194</v>
      </c>
      <c r="Q280">
        <f t="shared" si="965"/>
        <v>7128195.4548356757</v>
      </c>
      <c r="R280">
        <f t="shared" si="966"/>
        <v>-434605661.01874119</v>
      </c>
      <c r="S280">
        <f t="shared" si="967"/>
        <v>-4346.0566101874119</v>
      </c>
      <c r="T280">
        <f t="shared" si="968"/>
        <v>-4.3460566101874116</v>
      </c>
    </row>
    <row r="281" spans="1:20" x14ac:dyDescent="0.25">
      <c r="A281" s="5">
        <v>44312</v>
      </c>
      <c r="B281">
        <v>0.27650000000000002</v>
      </c>
      <c r="C281">
        <v>0.35</v>
      </c>
      <c r="D281">
        <v>0.27410000000000001</v>
      </c>
      <c r="E281">
        <v>0.34250000000000003</v>
      </c>
      <c r="F281">
        <v>10061199.529999999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0.80237154150197754</v>
      </c>
      <c r="Q281">
        <f t="shared" si="965"/>
        <v>8072820.176245071</v>
      </c>
      <c r="R281">
        <f t="shared" si="966"/>
        <v>-441733856.47357684</v>
      </c>
      <c r="S281">
        <f t="shared" si="967"/>
        <v>-4417.3385647357682</v>
      </c>
      <c r="T281">
        <f t="shared" si="968"/>
        <v>-4.4173385647357684</v>
      </c>
    </row>
    <row r="282" spans="1:20" x14ac:dyDescent="0.25">
      <c r="A282" s="5">
        <v>44311</v>
      </c>
      <c r="B282">
        <v>0.28289999999999998</v>
      </c>
      <c r="C282">
        <v>0.32379999999999998</v>
      </c>
      <c r="D282">
        <v>0.25609999999999999</v>
      </c>
      <c r="E282">
        <v>0.27639999999999998</v>
      </c>
      <c r="F282">
        <v>6740528.1399999997</v>
      </c>
      <c r="G282">
        <v>0</v>
      </c>
      <c r="L282" t="s">
        <v>8</v>
      </c>
      <c r="M282" t="s">
        <v>7</v>
      </c>
      <c r="N282" t="s">
        <v>7</v>
      </c>
      <c r="P282">
        <f t="shared" si="964"/>
        <v>-0.40029542097488952</v>
      </c>
      <c r="Q282">
        <f t="shared" si="965"/>
        <v>-2698202.5493943887</v>
      </c>
      <c r="R282">
        <f t="shared" si="966"/>
        <v>-449806676.64982194</v>
      </c>
      <c r="S282">
        <f t="shared" si="967"/>
        <v>-4498.0667664982193</v>
      </c>
      <c r="T282">
        <f t="shared" si="968"/>
        <v>-4.4980667664982192</v>
      </c>
    </row>
    <row r="283" spans="1:20" x14ac:dyDescent="0.25">
      <c r="A283" s="5">
        <v>44310</v>
      </c>
      <c r="B283">
        <v>0.29580000000000001</v>
      </c>
      <c r="C283">
        <v>0.31119999999999998</v>
      </c>
      <c r="D283">
        <v>0.26919999999999999</v>
      </c>
      <c r="E283">
        <v>0.28299999999999997</v>
      </c>
      <c r="F283">
        <v>6322205.8899999997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-0.34285714285714358</v>
      </c>
      <c r="Q283">
        <f t="shared" si="965"/>
        <v>-2167613.4480000045</v>
      </c>
      <c r="R283">
        <f t="shared" si="966"/>
        <v>-447108474.10042757</v>
      </c>
      <c r="S283">
        <f t="shared" si="967"/>
        <v>-4471.0847410042761</v>
      </c>
      <c r="T283">
        <f t="shared" si="968"/>
        <v>-4.471084741004276</v>
      </c>
    </row>
    <row r="284" spans="1:20" x14ac:dyDescent="0.25">
      <c r="A284" s="5">
        <v>44309</v>
      </c>
      <c r="B284">
        <v>0.31459999999999999</v>
      </c>
      <c r="C284">
        <v>0.32250000000000001</v>
      </c>
      <c r="D284">
        <v>0.24990000000000001</v>
      </c>
      <c r="E284">
        <v>0.29580000000000001</v>
      </c>
      <c r="F284">
        <v>10612499.9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0.26446280991735532</v>
      </c>
      <c r="Q284">
        <f t="shared" si="965"/>
        <v>2806611.5438016523</v>
      </c>
      <c r="R284">
        <f t="shared" si="966"/>
        <v>-444940860.65242755</v>
      </c>
      <c r="S284">
        <f t="shared" si="967"/>
        <v>-4449.4086065242755</v>
      </c>
      <c r="T284">
        <f t="shared" si="968"/>
        <v>-4.4494086065242753</v>
      </c>
    </row>
    <row r="285" spans="1:20" x14ac:dyDescent="0.25">
      <c r="A285" s="5">
        <v>44308</v>
      </c>
      <c r="B285">
        <v>0.3629</v>
      </c>
      <c r="C285">
        <v>0.38240000000000002</v>
      </c>
      <c r="D285">
        <v>0.31459999999999999</v>
      </c>
      <c r="E285">
        <v>0.31459999999999999</v>
      </c>
      <c r="F285">
        <v>6350582.1500000004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-1</v>
      </c>
      <c r="Q285">
        <f t="shared" si="965"/>
        <v>-6350582.1500000004</v>
      </c>
      <c r="R285">
        <f t="shared" si="966"/>
        <v>-447747472.19622922</v>
      </c>
      <c r="S285">
        <f t="shared" si="967"/>
        <v>-4477.4747219622923</v>
      </c>
      <c r="T285">
        <f t="shared" si="968"/>
        <v>-4.4774747219622926</v>
      </c>
    </row>
    <row r="286" spans="1:20" x14ac:dyDescent="0.25">
      <c r="A286" s="5">
        <v>44307</v>
      </c>
      <c r="B286">
        <v>0.3866</v>
      </c>
      <c r="C286">
        <v>0.45150000000000001</v>
      </c>
      <c r="D286">
        <v>0.36009999999999998</v>
      </c>
      <c r="E286">
        <v>0.36349999999999999</v>
      </c>
      <c r="F286">
        <v>19493562.710000001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-0.92560175054704563</v>
      </c>
      <c r="Q286">
        <f t="shared" si="965"/>
        <v>-18043275.76877461</v>
      </c>
      <c r="R286">
        <f t="shared" si="966"/>
        <v>-441396890.04622924</v>
      </c>
      <c r="S286">
        <f t="shared" si="967"/>
        <v>-4413.9689004622924</v>
      </c>
      <c r="T286">
        <f t="shared" si="968"/>
        <v>-4.413968900462292</v>
      </c>
    </row>
    <row r="287" spans="1:20" x14ac:dyDescent="0.25">
      <c r="A287" s="5">
        <v>44306</v>
      </c>
      <c r="B287">
        <v>0.39119999999999999</v>
      </c>
      <c r="C287">
        <v>0.39379999999999998</v>
      </c>
      <c r="D287">
        <v>0.3473</v>
      </c>
      <c r="E287">
        <v>0.38629999999999998</v>
      </c>
      <c r="F287">
        <v>6792742.29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0.6774193548387093</v>
      </c>
      <c r="Q287">
        <f t="shared" si="965"/>
        <v>4601535.0996774165</v>
      </c>
      <c r="R287">
        <f t="shared" si="966"/>
        <v>-423353614.27745461</v>
      </c>
      <c r="S287">
        <f t="shared" si="967"/>
        <v>-4233.5361427745465</v>
      </c>
      <c r="T287">
        <f t="shared" si="968"/>
        <v>-4.2335361427745468</v>
      </c>
    </row>
    <row r="288" spans="1:20" x14ac:dyDescent="0.25">
      <c r="A288" s="5">
        <v>44305</v>
      </c>
      <c r="B288">
        <v>0.39100000000000001</v>
      </c>
      <c r="C288">
        <v>0.45800000000000002</v>
      </c>
      <c r="D288">
        <v>0.36130000000000001</v>
      </c>
      <c r="E288">
        <v>0.39179999999999998</v>
      </c>
      <c r="F288">
        <v>11935841.25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-0.36918304033092103</v>
      </c>
      <c r="Q288">
        <f t="shared" si="965"/>
        <v>-4406510.1615822213</v>
      </c>
      <c r="R288">
        <f t="shared" si="966"/>
        <v>-427955149.37713206</v>
      </c>
      <c r="S288">
        <f t="shared" si="967"/>
        <v>-4279.5514937713206</v>
      </c>
      <c r="T288">
        <f t="shared" si="968"/>
        <v>-4.2795514937713204</v>
      </c>
    </row>
    <row r="289" spans="1:20" x14ac:dyDescent="0.25">
      <c r="A289" s="5">
        <v>44304</v>
      </c>
      <c r="B289">
        <v>0.45390000000000003</v>
      </c>
      <c r="C289">
        <v>0.4551</v>
      </c>
      <c r="D289">
        <v>0.35780000000000001</v>
      </c>
      <c r="E289">
        <v>0.38990000000000002</v>
      </c>
      <c r="F289">
        <v>7090389.4100000001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-0.34018499486125348</v>
      </c>
      <c r="Q289">
        <f t="shared" si="965"/>
        <v>-2412044.0850051362</v>
      </c>
      <c r="R289">
        <f t="shared" si="966"/>
        <v>-423548639.21554983</v>
      </c>
      <c r="S289">
        <f t="shared" si="967"/>
        <v>-4235.4863921554979</v>
      </c>
      <c r="T289">
        <f t="shared" si="968"/>
        <v>-4.2354863921554982</v>
      </c>
    </row>
    <row r="290" spans="1:20" x14ac:dyDescent="0.25">
      <c r="A290" s="5">
        <v>44303</v>
      </c>
      <c r="B290">
        <v>0.437</v>
      </c>
      <c r="C290">
        <v>0.5151</v>
      </c>
      <c r="D290">
        <v>0.43120000000000003</v>
      </c>
      <c r="E290">
        <v>0.45400000000000001</v>
      </c>
      <c r="F290">
        <v>20235968.199999999</v>
      </c>
      <c r="G290">
        <v>0</v>
      </c>
      <c r="L290" t="s">
        <v>8</v>
      </c>
      <c r="M290" t="s">
        <v>8</v>
      </c>
      <c r="N290" t="s">
        <v>7</v>
      </c>
      <c r="P290">
        <f t="shared" si="964"/>
        <v>-0.45649582836710384</v>
      </c>
      <c r="Q290">
        <f t="shared" si="965"/>
        <v>-9237635.0662693717</v>
      </c>
      <c r="R290">
        <f t="shared" si="966"/>
        <v>-421136595.13054466</v>
      </c>
      <c r="S290">
        <f t="shared" si="967"/>
        <v>-4211.3659513054463</v>
      </c>
      <c r="T290">
        <f t="shared" si="968"/>
        <v>-4.2113659513054467</v>
      </c>
    </row>
    <row r="291" spans="1:20" x14ac:dyDescent="0.25">
      <c r="A291" s="5">
        <v>44302</v>
      </c>
      <c r="B291">
        <v>0.46789999999999998</v>
      </c>
      <c r="C291">
        <v>0.48</v>
      </c>
      <c r="D291">
        <v>0.4153</v>
      </c>
      <c r="E291">
        <v>0.43719999999999998</v>
      </c>
      <c r="F291">
        <v>18294335.100000001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-0.32302936630602835</v>
      </c>
      <c r="Q291">
        <f t="shared" si="965"/>
        <v>-5909607.4743431322</v>
      </c>
      <c r="R291">
        <f t="shared" si="966"/>
        <v>-411898960.06427526</v>
      </c>
      <c r="S291">
        <f t="shared" si="967"/>
        <v>-4118.9896006427525</v>
      </c>
      <c r="T291">
        <f t="shared" si="968"/>
        <v>-4.1189896006427524</v>
      </c>
    </row>
    <row r="292" spans="1:20" x14ac:dyDescent="0.25">
      <c r="A292" s="5">
        <v>44301</v>
      </c>
      <c r="B292">
        <v>0.4582</v>
      </c>
      <c r="C292">
        <v>0.48680000000000001</v>
      </c>
      <c r="D292">
        <v>0.45</v>
      </c>
      <c r="E292">
        <v>0.46789999999999998</v>
      </c>
      <c r="F292">
        <v>15299643.42</v>
      </c>
      <c r="G292">
        <v>0</v>
      </c>
      <c r="L292" t="s">
        <v>8</v>
      </c>
      <c r="M292" t="s">
        <v>7</v>
      </c>
      <c r="N292" t="s">
        <v>7</v>
      </c>
      <c r="P292">
        <f t="shared" si="964"/>
        <v>-2.7173913043479794E-2</v>
      </c>
      <c r="Q292">
        <f t="shared" si="965"/>
        <v>-415751.1798913278</v>
      </c>
      <c r="R292">
        <f t="shared" si="966"/>
        <v>-405989352.58993214</v>
      </c>
      <c r="S292">
        <f t="shared" si="967"/>
        <v>-4059.8935258993215</v>
      </c>
      <c r="T292">
        <f t="shared" si="968"/>
        <v>-4.0598935258993212</v>
      </c>
    </row>
    <row r="293" spans="1:20" x14ac:dyDescent="0.25">
      <c r="A293" s="5">
        <v>44300</v>
      </c>
      <c r="B293">
        <v>0.47439999999999999</v>
      </c>
      <c r="C293">
        <v>0.47970000000000002</v>
      </c>
      <c r="D293">
        <v>0.43659999999999999</v>
      </c>
      <c r="E293">
        <v>0.4582</v>
      </c>
      <c r="F293">
        <v>13811611.66</v>
      </c>
      <c r="G293">
        <v>0</v>
      </c>
      <c r="L293" t="s">
        <v>8</v>
      </c>
      <c r="M293" t="s">
        <v>7</v>
      </c>
      <c r="N293" t="s">
        <v>7</v>
      </c>
      <c r="P293">
        <f t="shared" si="964"/>
        <v>2.3201856148489311E-3</v>
      </c>
      <c r="Q293">
        <f t="shared" si="965"/>
        <v>32045.502691411766</v>
      </c>
      <c r="R293">
        <f t="shared" si="966"/>
        <v>-405573601.4100408</v>
      </c>
      <c r="S293">
        <f t="shared" si="967"/>
        <v>-4055.7360141004078</v>
      </c>
      <c r="T293">
        <f t="shared" si="968"/>
        <v>-4.0557360141004075</v>
      </c>
    </row>
    <row r="294" spans="1:20" x14ac:dyDescent="0.25">
      <c r="A294" s="5">
        <v>44299</v>
      </c>
      <c r="B294">
        <v>0.46129999999999999</v>
      </c>
      <c r="C294">
        <v>0.48060000000000003</v>
      </c>
      <c r="D294">
        <v>0.43440000000000001</v>
      </c>
      <c r="E294">
        <v>0.47470000000000001</v>
      </c>
      <c r="F294">
        <v>18179080.260000002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0.74458874458874402</v>
      </c>
      <c r="Q294">
        <f t="shared" si="965"/>
        <v>13535938.548571419</v>
      </c>
      <c r="R294">
        <f t="shared" si="966"/>
        <v>-405605646.91273218</v>
      </c>
      <c r="S294">
        <f t="shared" si="967"/>
        <v>-4056.0564691273216</v>
      </c>
      <c r="T294">
        <f t="shared" si="968"/>
        <v>-4.0560564691273218</v>
      </c>
    </row>
    <row r="295" spans="1:20" x14ac:dyDescent="0.25">
      <c r="A295" s="5">
        <v>44298</v>
      </c>
      <c r="B295">
        <v>0.53700000000000003</v>
      </c>
      <c r="C295">
        <v>0.5474</v>
      </c>
      <c r="D295">
        <v>0.46100000000000002</v>
      </c>
      <c r="E295">
        <v>0.46279999999999999</v>
      </c>
      <c r="F295">
        <v>27505724.140000001</v>
      </c>
      <c r="G295">
        <v>0</v>
      </c>
      <c r="L295" t="s">
        <v>7</v>
      </c>
      <c r="M295" t="s">
        <v>7</v>
      </c>
      <c r="N295" t="s">
        <v>7</v>
      </c>
      <c r="P295">
        <f t="shared" si="964"/>
        <v>-0.95833333333333404</v>
      </c>
      <c r="Q295">
        <f t="shared" si="965"/>
        <v>-26359652.300833352</v>
      </c>
      <c r="R295">
        <f t="shared" si="966"/>
        <v>-419141585.46130359</v>
      </c>
      <c r="S295">
        <f t="shared" si="967"/>
        <v>-4191.4158546130357</v>
      </c>
      <c r="T295">
        <f t="shared" si="968"/>
        <v>-4.1914158546130356</v>
      </c>
    </row>
    <row r="296" spans="1:20" x14ac:dyDescent="0.25">
      <c r="A296" s="5">
        <v>44297</v>
      </c>
      <c r="B296">
        <v>0.69289999999999996</v>
      </c>
      <c r="C296">
        <v>0.69389999999999996</v>
      </c>
      <c r="D296">
        <v>0.49830000000000002</v>
      </c>
      <c r="E296">
        <v>0.53620000000000001</v>
      </c>
      <c r="F296">
        <v>75689054.680000007</v>
      </c>
      <c r="G296">
        <v>0</v>
      </c>
      <c r="L296" t="s">
        <v>7</v>
      </c>
      <c r="M296" t="s">
        <v>7</v>
      </c>
      <c r="N296" t="s">
        <v>7</v>
      </c>
      <c r="P296">
        <f t="shared" si="964"/>
        <v>-0.61247443762781184</v>
      </c>
      <c r="Q296">
        <f t="shared" si="965"/>
        <v>-46357611.199713707</v>
      </c>
      <c r="R296">
        <f t="shared" si="966"/>
        <v>-392781933.16047025</v>
      </c>
      <c r="S296">
        <f t="shared" si="967"/>
        <v>-3927.8193316047023</v>
      </c>
      <c r="T296">
        <f t="shared" si="968"/>
        <v>-3.9278193316047023</v>
      </c>
    </row>
    <row r="297" spans="1:20" x14ac:dyDescent="0.25">
      <c r="A297" s="5">
        <v>44296</v>
      </c>
      <c r="B297">
        <v>0.42749999999999999</v>
      </c>
      <c r="C297">
        <v>0.74039999999999995</v>
      </c>
      <c r="D297">
        <v>0.40629999999999999</v>
      </c>
      <c r="E297">
        <v>0.69289999999999996</v>
      </c>
      <c r="F297">
        <v>257016702.53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0.71565399580963784</v>
      </c>
      <c r="Q297">
        <f t="shared" si="965"/>
        <v>183935030.15541157</v>
      </c>
      <c r="R297">
        <f t="shared" si="966"/>
        <v>-346424321.96075654</v>
      </c>
      <c r="S297">
        <f t="shared" si="967"/>
        <v>-3464.2432196075656</v>
      </c>
      <c r="T297">
        <f t="shared" si="968"/>
        <v>-3.4642432196075656</v>
      </c>
    </row>
    <row r="298" spans="1:20" x14ac:dyDescent="0.25">
      <c r="A298" s="5">
        <v>44295</v>
      </c>
      <c r="B298">
        <v>0.35399999999999998</v>
      </c>
      <c r="C298">
        <v>0.44</v>
      </c>
      <c r="D298">
        <v>0.3458</v>
      </c>
      <c r="E298">
        <v>0.42770000000000002</v>
      </c>
      <c r="F298">
        <v>18071111.300000001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0.73885350318471388</v>
      </c>
      <c r="Q298">
        <f t="shared" si="965"/>
        <v>13351903.890445869</v>
      </c>
      <c r="R298">
        <f t="shared" si="966"/>
        <v>-530359352.11616808</v>
      </c>
      <c r="S298">
        <f t="shared" si="967"/>
        <v>-5303.5935211616807</v>
      </c>
      <c r="T298">
        <f t="shared" si="968"/>
        <v>-5.3035935211616803</v>
      </c>
    </row>
    <row r="299" spans="1:20" x14ac:dyDescent="0.25">
      <c r="A299" s="5">
        <v>44294</v>
      </c>
      <c r="B299">
        <v>0.31369999999999998</v>
      </c>
      <c r="C299">
        <v>0.35639999999999999</v>
      </c>
      <c r="D299">
        <v>0.31159999999999999</v>
      </c>
      <c r="E299">
        <v>0.35360000000000003</v>
      </c>
      <c r="F299">
        <v>4254702.5199999996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0.87500000000000144</v>
      </c>
      <c r="Q299">
        <f t="shared" si="965"/>
        <v>3722864.7050000057</v>
      </c>
      <c r="R299">
        <f t="shared" si="966"/>
        <v>-543711256.00661397</v>
      </c>
      <c r="S299">
        <f t="shared" si="967"/>
        <v>-5437.1125600661398</v>
      </c>
      <c r="T299">
        <f t="shared" si="968"/>
        <v>-5.4371125600661401</v>
      </c>
    </row>
    <row r="300" spans="1:20" x14ac:dyDescent="0.25">
      <c r="A300" s="5">
        <v>44293</v>
      </c>
      <c r="B300">
        <v>0.36120000000000002</v>
      </c>
      <c r="C300">
        <v>0.37159999999999999</v>
      </c>
      <c r="D300">
        <v>0.30380000000000001</v>
      </c>
      <c r="E300">
        <v>0.31340000000000001</v>
      </c>
      <c r="F300">
        <v>8662940.5500000007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-0.7168141592920354</v>
      </c>
      <c r="Q300">
        <f t="shared" si="965"/>
        <v>-6209718.4473451329</v>
      </c>
      <c r="R300">
        <f t="shared" si="966"/>
        <v>-547434120.71161401</v>
      </c>
      <c r="S300">
        <f t="shared" si="967"/>
        <v>-5474.3412071161401</v>
      </c>
      <c r="T300">
        <f t="shared" si="968"/>
        <v>-5.4743412071161401</v>
      </c>
    </row>
    <row r="301" spans="1:20" x14ac:dyDescent="0.25">
      <c r="A301" s="5">
        <v>44292</v>
      </c>
      <c r="B301">
        <v>0.3629</v>
      </c>
      <c r="C301">
        <v>0.38900000000000001</v>
      </c>
      <c r="D301">
        <v>0.33610000000000001</v>
      </c>
      <c r="E301">
        <v>0.36120000000000002</v>
      </c>
      <c r="F301">
        <v>11678789.880000001</v>
      </c>
      <c r="G301">
        <v>0</v>
      </c>
      <c r="L301" t="s">
        <v>7</v>
      </c>
      <c r="M301" t="s">
        <v>7</v>
      </c>
      <c r="N301" t="s">
        <v>8</v>
      </c>
      <c r="P301">
        <f t="shared" si="964"/>
        <v>-5.1039697542532701E-2</v>
      </c>
      <c r="Q301">
        <f t="shared" si="965"/>
        <v>-596081.90313799179</v>
      </c>
      <c r="R301">
        <f t="shared" si="966"/>
        <v>-541224402.26426888</v>
      </c>
      <c r="S301">
        <f t="shared" si="967"/>
        <v>-5412.2440226426888</v>
      </c>
      <c r="T301">
        <f t="shared" si="968"/>
        <v>-5.4122440226426889</v>
      </c>
    </row>
    <row r="302" spans="1:20" x14ac:dyDescent="0.25">
      <c r="A302" s="5">
        <v>44291</v>
      </c>
      <c r="B302">
        <v>0.3649</v>
      </c>
      <c r="C302">
        <v>0.39579999999999999</v>
      </c>
      <c r="D302">
        <v>0.3362</v>
      </c>
      <c r="E302">
        <v>0.36299999999999999</v>
      </c>
      <c r="F302">
        <v>12533056.76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-0.10067114093959743</v>
      </c>
      <c r="Q302">
        <f t="shared" si="965"/>
        <v>-1261717.1234899343</v>
      </c>
      <c r="R302">
        <f t="shared" si="966"/>
        <v>-540628320.36113083</v>
      </c>
      <c r="S302">
        <f t="shared" si="967"/>
        <v>-5406.2832036113086</v>
      </c>
      <c r="T302">
        <f t="shared" si="968"/>
        <v>-5.4062832036113084</v>
      </c>
    </row>
    <row r="303" spans="1:20" x14ac:dyDescent="0.25">
      <c r="A303" s="5">
        <v>44290</v>
      </c>
      <c r="B303">
        <v>0.30819999999999997</v>
      </c>
      <c r="C303">
        <v>0.38</v>
      </c>
      <c r="D303">
        <v>0.30480000000000002</v>
      </c>
      <c r="E303">
        <v>0.3649</v>
      </c>
      <c r="F303">
        <v>13038899.789999999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0.59840425531914887</v>
      </c>
      <c r="Q303">
        <f t="shared" si="965"/>
        <v>7802533.1190159563</v>
      </c>
      <c r="R303">
        <f t="shared" si="966"/>
        <v>-539366603.23764086</v>
      </c>
      <c r="S303">
        <f t="shared" si="967"/>
        <v>-5393.666032376409</v>
      </c>
      <c r="T303">
        <f t="shared" si="968"/>
        <v>-5.3936660323764087</v>
      </c>
    </row>
    <row r="304" spans="1:20" x14ac:dyDescent="0.25">
      <c r="A304" s="5">
        <v>44289</v>
      </c>
      <c r="B304">
        <v>0.34329999999999999</v>
      </c>
      <c r="C304">
        <v>0.34589999999999999</v>
      </c>
      <c r="D304">
        <v>0.3054</v>
      </c>
      <c r="E304">
        <v>0.30780000000000002</v>
      </c>
      <c r="F304">
        <v>6443846.75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-0.88148148148148076</v>
      </c>
      <c r="Q304">
        <f t="shared" si="965"/>
        <v>-5680131.5796296252</v>
      </c>
      <c r="R304">
        <f t="shared" si="966"/>
        <v>-547169136.35665679</v>
      </c>
      <c r="S304">
        <f t="shared" si="967"/>
        <v>-5471.6913635665678</v>
      </c>
      <c r="T304">
        <f t="shared" si="968"/>
        <v>-5.4716913635665678</v>
      </c>
    </row>
    <row r="305" spans="1:20" x14ac:dyDescent="0.25">
      <c r="A305" s="5">
        <v>44288</v>
      </c>
      <c r="B305">
        <v>0.36599999999999999</v>
      </c>
      <c r="C305">
        <v>0.37859999999999999</v>
      </c>
      <c r="D305">
        <v>0.33360000000000001</v>
      </c>
      <c r="E305">
        <v>0.34339999999999998</v>
      </c>
      <c r="F305">
        <v>8085622.2599999998</v>
      </c>
      <c r="G305">
        <v>0</v>
      </c>
      <c r="L305" t="s">
        <v>7</v>
      </c>
      <c r="M305" t="s">
        <v>8</v>
      </c>
      <c r="N305" t="s">
        <v>8</v>
      </c>
      <c r="P305">
        <f t="shared" si="964"/>
        <v>-0.56444444444444541</v>
      </c>
      <c r="Q305">
        <f t="shared" si="965"/>
        <v>-4563884.5645333407</v>
      </c>
      <c r="R305">
        <f t="shared" si="966"/>
        <v>-541489004.77702713</v>
      </c>
      <c r="S305">
        <f t="shared" si="967"/>
        <v>-5414.8900477702709</v>
      </c>
      <c r="T305">
        <f t="shared" si="968"/>
        <v>-5.4148900477702711</v>
      </c>
    </row>
    <row r="306" spans="1:20" x14ac:dyDescent="0.25">
      <c r="A306" s="5">
        <v>44287</v>
      </c>
      <c r="B306">
        <v>0.33629999999999999</v>
      </c>
      <c r="C306">
        <v>0.37230000000000002</v>
      </c>
      <c r="D306">
        <v>0.32729999999999998</v>
      </c>
      <c r="E306">
        <v>0.3659</v>
      </c>
      <c r="F306">
        <v>10221964.6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0.71555555555555506</v>
      </c>
      <c r="Q306">
        <f t="shared" si="965"/>
        <v>7314383.5582222166</v>
      </c>
      <c r="R306">
        <f t="shared" si="966"/>
        <v>-536925120.21249378</v>
      </c>
      <c r="S306">
        <f t="shared" si="967"/>
        <v>-5369.2512021249377</v>
      </c>
      <c r="T306">
        <f t="shared" si="968"/>
        <v>-5.3692512021249374</v>
      </c>
    </row>
    <row r="307" spans="1:20" x14ac:dyDescent="0.25">
      <c r="A307" s="5">
        <v>44286</v>
      </c>
      <c r="B307">
        <v>0.33160000000000001</v>
      </c>
      <c r="C307">
        <v>0.35759999999999997</v>
      </c>
      <c r="D307">
        <v>0.3019</v>
      </c>
      <c r="E307">
        <v>0.33629999999999999</v>
      </c>
      <c r="F307">
        <v>11489284.880000001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0.23518850987432688</v>
      </c>
      <c r="Q307">
        <f t="shared" si="965"/>
        <v>2702147.7904488347</v>
      </c>
      <c r="R307">
        <f t="shared" si="966"/>
        <v>-544239503.77071595</v>
      </c>
      <c r="S307">
        <f t="shared" si="967"/>
        <v>-5442.3950377071596</v>
      </c>
      <c r="T307">
        <f t="shared" si="968"/>
        <v>-5.4423950377071595</v>
      </c>
    </row>
    <row r="308" spans="1:20" x14ac:dyDescent="0.25">
      <c r="A308" s="5">
        <v>44285</v>
      </c>
      <c r="B308">
        <v>0.32400000000000001</v>
      </c>
      <c r="C308">
        <v>0.34560000000000002</v>
      </c>
      <c r="D308">
        <v>0.31790000000000002</v>
      </c>
      <c r="E308">
        <v>0.33119999999999999</v>
      </c>
      <c r="F308">
        <v>8667377.8499999996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-3.9711191335741705E-2</v>
      </c>
      <c r="Q308">
        <f t="shared" si="965"/>
        <v>-344191.90018051956</v>
      </c>
      <c r="R308">
        <f t="shared" si="966"/>
        <v>-546941651.56116474</v>
      </c>
      <c r="S308">
        <f t="shared" si="967"/>
        <v>-5469.4165156116478</v>
      </c>
      <c r="T308">
        <f t="shared" si="968"/>
        <v>-5.4694165156116474</v>
      </c>
    </row>
    <row r="309" spans="1:20" x14ac:dyDescent="0.25">
      <c r="A309" s="5">
        <v>44284</v>
      </c>
      <c r="B309">
        <v>0.3034</v>
      </c>
      <c r="C309">
        <v>0.32740000000000002</v>
      </c>
      <c r="D309">
        <v>0.29170000000000001</v>
      </c>
      <c r="E309">
        <v>0.32400000000000001</v>
      </c>
      <c r="F309">
        <v>9155286.6500000004</v>
      </c>
      <c r="G309">
        <v>0</v>
      </c>
      <c r="L309" t="s">
        <v>7</v>
      </c>
      <c r="M309" t="s">
        <v>8</v>
      </c>
      <c r="N309" t="s">
        <v>8</v>
      </c>
      <c r="P309">
        <f t="shared" si="964"/>
        <v>0.80952380952380876</v>
      </c>
      <c r="Q309">
        <f t="shared" si="965"/>
        <v>7411422.526190469</v>
      </c>
      <c r="R309">
        <f t="shared" si="966"/>
        <v>-546597459.66098416</v>
      </c>
      <c r="S309">
        <f t="shared" si="967"/>
        <v>-5465.9745966098417</v>
      </c>
      <c r="T309">
        <f t="shared" si="968"/>
        <v>-5.4659745966098416</v>
      </c>
    </row>
    <row r="310" spans="1:20" x14ac:dyDescent="0.25">
      <c r="A310" s="5">
        <v>44283</v>
      </c>
      <c r="B310">
        <v>0.2964</v>
      </c>
      <c r="C310">
        <v>0.33</v>
      </c>
      <c r="D310">
        <v>0.2868</v>
      </c>
      <c r="E310">
        <v>0.30309999999999998</v>
      </c>
      <c r="F310">
        <v>10185335.539999999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-0.24537037037037152</v>
      </c>
      <c r="Q310">
        <f t="shared" si="965"/>
        <v>-2499179.5537963076</v>
      </c>
      <c r="R310">
        <f t="shared" si="966"/>
        <v>-554008882.18717468</v>
      </c>
      <c r="S310">
        <f t="shared" si="967"/>
        <v>-5540.0888218717464</v>
      </c>
      <c r="T310">
        <f t="shared" si="968"/>
        <v>-5.5400888218717466</v>
      </c>
    </row>
    <row r="311" spans="1:20" x14ac:dyDescent="0.25">
      <c r="A311" s="5">
        <v>44282</v>
      </c>
      <c r="B311">
        <v>0.28339999999999999</v>
      </c>
      <c r="C311">
        <v>0.31</v>
      </c>
      <c r="D311">
        <v>0.27989999999999998</v>
      </c>
      <c r="E311">
        <v>0.29659999999999997</v>
      </c>
      <c r="F311">
        <v>9000227.4600000009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0.10963455149501554</v>
      </c>
      <c r="Q311">
        <f t="shared" si="965"/>
        <v>986735.90093022306</v>
      </c>
      <c r="R311">
        <f t="shared" si="966"/>
        <v>-551509702.63337839</v>
      </c>
      <c r="S311">
        <f t="shared" si="967"/>
        <v>-5515.097026333784</v>
      </c>
      <c r="T311">
        <f t="shared" si="968"/>
        <v>-5.515097026333784</v>
      </c>
    </row>
    <row r="312" spans="1:20" x14ac:dyDescent="0.25">
      <c r="A312" s="5">
        <v>44281</v>
      </c>
      <c r="B312">
        <v>0.26629999999999998</v>
      </c>
      <c r="C312">
        <v>0.29089999999999999</v>
      </c>
      <c r="D312">
        <v>0.2661</v>
      </c>
      <c r="E312">
        <v>0.28289999999999998</v>
      </c>
      <c r="F312">
        <v>5735158.5800000001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0.35483870967741848</v>
      </c>
      <c r="Q312">
        <f t="shared" si="965"/>
        <v>2035056.2703225757</v>
      </c>
      <c r="R312">
        <f t="shared" si="966"/>
        <v>-552496438.53430855</v>
      </c>
      <c r="S312">
        <f t="shared" si="967"/>
        <v>-5524.9643853430853</v>
      </c>
      <c r="T312">
        <f t="shared" si="968"/>
        <v>-5.5249643853430852</v>
      </c>
    </row>
    <row r="313" spans="1:20" x14ac:dyDescent="0.25">
      <c r="A313" s="5">
        <v>44280</v>
      </c>
      <c r="B313">
        <v>0.27029999999999998</v>
      </c>
      <c r="C313">
        <v>0.27950000000000003</v>
      </c>
      <c r="D313">
        <v>0.23930000000000001</v>
      </c>
      <c r="E313">
        <v>0.26640000000000003</v>
      </c>
      <c r="F313">
        <v>9768676.0199999996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0.34825870646766188</v>
      </c>
      <c r="Q313">
        <f t="shared" si="965"/>
        <v>3402026.4746268676</v>
      </c>
      <c r="R313">
        <f t="shared" si="966"/>
        <v>-554531494.80463111</v>
      </c>
      <c r="S313">
        <f t="shared" si="967"/>
        <v>-5545.3149480463107</v>
      </c>
      <c r="T313">
        <f t="shared" si="968"/>
        <v>-5.5453149480463111</v>
      </c>
    </row>
    <row r="314" spans="1:20" x14ac:dyDescent="0.25">
      <c r="A314" s="5">
        <v>44279</v>
      </c>
      <c r="B314">
        <v>0.29920000000000002</v>
      </c>
      <c r="C314">
        <v>0.3377</v>
      </c>
      <c r="D314">
        <v>0.26100000000000001</v>
      </c>
      <c r="E314">
        <v>0.27</v>
      </c>
      <c r="F314">
        <v>15695976.220000001</v>
      </c>
      <c r="G314">
        <v>0</v>
      </c>
      <c r="L314" t="s">
        <v>8</v>
      </c>
      <c r="M314" t="s">
        <v>7</v>
      </c>
      <c r="N314" t="s">
        <v>7</v>
      </c>
      <c r="P314">
        <f t="shared" si="964"/>
        <v>-0.76531942633637529</v>
      </c>
      <c r="Q314">
        <f t="shared" si="965"/>
        <v>-12012435.516479788</v>
      </c>
      <c r="R314">
        <f t="shared" si="966"/>
        <v>-557933521.27925801</v>
      </c>
      <c r="S314">
        <f t="shared" si="967"/>
        <v>-5579.33521279258</v>
      </c>
      <c r="T314">
        <f t="shared" si="968"/>
        <v>-5.5793352127925804</v>
      </c>
    </row>
    <row r="315" spans="1:20" x14ac:dyDescent="0.25">
      <c r="A315" s="5">
        <v>44278</v>
      </c>
      <c r="B315">
        <v>0.26740000000000003</v>
      </c>
      <c r="C315">
        <v>0.33</v>
      </c>
      <c r="D315">
        <v>0.25130000000000002</v>
      </c>
      <c r="E315">
        <v>0.29870000000000002</v>
      </c>
      <c r="F315">
        <v>21625158.870000001</v>
      </c>
      <c r="G315">
        <v>0</v>
      </c>
      <c r="L315" t="s">
        <v>8</v>
      </c>
      <c r="M315" t="s">
        <v>8</v>
      </c>
      <c r="N315" t="s">
        <v>7</v>
      </c>
      <c r="P315">
        <f t="shared" si="964"/>
        <v>0.20457433290978405</v>
      </c>
      <c r="Q315">
        <f t="shared" si="965"/>
        <v>4423952.4498983501</v>
      </c>
      <c r="R315">
        <f t="shared" si="966"/>
        <v>-545921085.76277828</v>
      </c>
      <c r="S315">
        <f t="shared" si="967"/>
        <v>-5459.2108576277824</v>
      </c>
      <c r="T315">
        <f t="shared" si="968"/>
        <v>-5.4592108576277827</v>
      </c>
    </row>
    <row r="316" spans="1:20" x14ac:dyDescent="0.25">
      <c r="A316" s="5">
        <v>44277</v>
      </c>
      <c r="B316">
        <v>0.27689999999999998</v>
      </c>
      <c r="C316">
        <v>0.31480000000000002</v>
      </c>
      <c r="D316">
        <v>0.26229999999999998</v>
      </c>
      <c r="E316">
        <v>0.26860000000000001</v>
      </c>
      <c r="F316">
        <v>14413343.73</v>
      </c>
      <c r="G316">
        <v>0</v>
      </c>
      <c r="L316" t="s">
        <v>8</v>
      </c>
      <c r="M316" t="s">
        <v>8</v>
      </c>
      <c r="N316" t="s">
        <v>7</v>
      </c>
      <c r="P316">
        <f t="shared" si="964"/>
        <v>-0.75999999999999912</v>
      </c>
      <c r="Q316">
        <f t="shared" si="965"/>
        <v>-10954141.234799989</v>
      </c>
      <c r="R316">
        <f t="shared" si="966"/>
        <v>-550345038.21267664</v>
      </c>
      <c r="S316">
        <f t="shared" si="967"/>
        <v>-5503.4503821267663</v>
      </c>
      <c r="T316">
        <f t="shared" si="968"/>
        <v>-5.5034503821267666</v>
      </c>
    </row>
    <row r="317" spans="1:20" x14ac:dyDescent="0.25">
      <c r="A317" s="5">
        <v>44276</v>
      </c>
      <c r="B317">
        <v>0.2858</v>
      </c>
      <c r="C317">
        <v>0.29260000000000003</v>
      </c>
      <c r="D317">
        <v>0.26429999999999998</v>
      </c>
      <c r="E317">
        <v>0.27689999999999998</v>
      </c>
      <c r="F317">
        <v>10852194.57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-0.10954063604240431</v>
      </c>
      <c r="Q317">
        <f t="shared" si="965"/>
        <v>-1188756.2956537264</v>
      </c>
      <c r="R317">
        <f t="shared" si="966"/>
        <v>-539390896.97787666</v>
      </c>
      <c r="S317">
        <f t="shared" si="967"/>
        <v>-5393.9089697787667</v>
      </c>
      <c r="T317">
        <f t="shared" si="968"/>
        <v>-5.3939089697787663</v>
      </c>
    </row>
    <row r="318" spans="1:20" x14ac:dyDescent="0.25">
      <c r="A318" s="5">
        <v>44275</v>
      </c>
      <c r="B318">
        <v>0.31259999999999999</v>
      </c>
      <c r="C318">
        <v>0.317</v>
      </c>
      <c r="D318">
        <v>0.28520000000000001</v>
      </c>
      <c r="E318">
        <v>0.28560000000000002</v>
      </c>
      <c r="F318">
        <v>13944439.01</v>
      </c>
      <c r="G318">
        <v>0</v>
      </c>
      <c r="L318" t="s">
        <v>7</v>
      </c>
      <c r="M318" t="s">
        <v>7</v>
      </c>
      <c r="N318" t="s">
        <v>7</v>
      </c>
      <c r="P318">
        <f t="shared" si="964"/>
        <v>-0.97484276729559671</v>
      </c>
      <c r="Q318">
        <f t="shared" si="965"/>
        <v>-13593635.512893071</v>
      </c>
      <c r="R318">
        <f t="shared" si="966"/>
        <v>-538202140.68222296</v>
      </c>
      <c r="S318">
        <f t="shared" si="967"/>
        <v>-5382.0214068222294</v>
      </c>
      <c r="T318">
        <f t="shared" si="968"/>
        <v>-5.3820214068222292</v>
      </c>
    </row>
    <row r="319" spans="1:20" x14ac:dyDescent="0.25">
      <c r="A319" s="5">
        <v>44274</v>
      </c>
      <c r="B319">
        <v>0.34460000000000002</v>
      </c>
      <c r="C319">
        <v>0.3453</v>
      </c>
      <c r="D319">
        <v>0.3014</v>
      </c>
      <c r="E319">
        <v>0.31340000000000001</v>
      </c>
      <c r="F319">
        <v>32427723.199999999</v>
      </c>
      <c r="G319">
        <v>0</v>
      </c>
      <c r="L319" t="s">
        <v>7</v>
      </c>
      <c r="M319" t="s">
        <v>7</v>
      </c>
      <c r="N319" t="s">
        <v>7</v>
      </c>
      <c r="P319">
        <f t="shared" si="964"/>
        <v>-0.45330296127562586</v>
      </c>
      <c r="Q319">
        <f t="shared" si="965"/>
        <v>-14699582.953986313</v>
      </c>
      <c r="R319">
        <f t="shared" si="966"/>
        <v>-524608505.16932994</v>
      </c>
      <c r="S319">
        <f t="shared" si="967"/>
        <v>-5246.0850516932996</v>
      </c>
      <c r="T319">
        <f t="shared" si="968"/>
        <v>-5.2460850516932993</v>
      </c>
    </row>
    <row r="320" spans="1:20" x14ac:dyDescent="0.25">
      <c r="A320" s="5">
        <v>44273</v>
      </c>
      <c r="B320">
        <v>0.29260000000000003</v>
      </c>
      <c r="C320">
        <v>0.44440000000000002</v>
      </c>
      <c r="D320">
        <v>0.28499999999999998</v>
      </c>
      <c r="E320">
        <v>0.34460000000000002</v>
      </c>
      <c r="F320">
        <v>74534029.319999993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-0.25219573400250905</v>
      </c>
      <c r="Q320">
        <f t="shared" si="965"/>
        <v>-18797164.232521929</v>
      </c>
      <c r="R320">
        <f t="shared" si="966"/>
        <v>-509908922.21534365</v>
      </c>
      <c r="S320">
        <f t="shared" si="967"/>
        <v>-5099.0892221534368</v>
      </c>
      <c r="T320">
        <f t="shared" si="968"/>
        <v>-5.0990892221534372</v>
      </c>
    </row>
    <row r="321" spans="1:20" x14ac:dyDescent="0.25">
      <c r="A321" s="5">
        <v>44272</v>
      </c>
      <c r="B321">
        <v>0.27860000000000001</v>
      </c>
      <c r="C321">
        <v>0.29659999999999997</v>
      </c>
      <c r="D321">
        <v>0.27060000000000001</v>
      </c>
      <c r="E321">
        <v>0.29289999999999999</v>
      </c>
      <c r="F321">
        <v>8328694.96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0.71538461538461651</v>
      </c>
      <c r="Q321">
        <f t="shared" si="965"/>
        <v>5958220.240615394</v>
      </c>
      <c r="R321">
        <f t="shared" si="966"/>
        <v>-491111757.9828217</v>
      </c>
      <c r="S321">
        <f t="shared" si="967"/>
        <v>-4911.1175798282175</v>
      </c>
      <c r="T321">
        <f t="shared" si="968"/>
        <v>-4.9111175798282174</v>
      </c>
    </row>
    <row r="322" spans="1:20" x14ac:dyDescent="0.25">
      <c r="A322" s="5">
        <v>44271</v>
      </c>
      <c r="B322">
        <v>0.26169999999999999</v>
      </c>
      <c r="C322">
        <v>0.29049999999999998</v>
      </c>
      <c r="D322">
        <v>0.24110000000000001</v>
      </c>
      <c r="E322">
        <v>0.27800000000000002</v>
      </c>
      <c r="F322">
        <v>7811571.1600000001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0.49392712550607437</v>
      </c>
      <c r="Q322">
        <f t="shared" si="965"/>
        <v>3858346.8887449512</v>
      </c>
      <c r="R322">
        <f t="shared" si="966"/>
        <v>-497069978.22343707</v>
      </c>
      <c r="S322">
        <f t="shared" si="967"/>
        <v>-4970.699782234371</v>
      </c>
      <c r="T322">
        <f t="shared" si="968"/>
        <v>-4.9706997822343713</v>
      </c>
    </row>
    <row r="323" spans="1:20" x14ac:dyDescent="0.25">
      <c r="A323" s="5">
        <v>44270</v>
      </c>
      <c r="B323">
        <v>0.28000000000000003</v>
      </c>
      <c r="C323">
        <v>0.29499999999999998</v>
      </c>
      <c r="D323">
        <v>0.25280000000000002</v>
      </c>
      <c r="E323">
        <v>0.26079999999999998</v>
      </c>
      <c r="F323">
        <v>9406893.6400000006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-0.62085308056872235</v>
      </c>
      <c r="Q323">
        <f t="shared" si="965"/>
        <v>-5840298.8949763225</v>
      </c>
      <c r="R323">
        <f t="shared" si="966"/>
        <v>-500928325.11218202</v>
      </c>
      <c r="S323">
        <f t="shared" si="967"/>
        <v>-5009.2832511218203</v>
      </c>
      <c r="T323">
        <f t="shared" si="968"/>
        <v>-5.0092832511218202</v>
      </c>
    </row>
    <row r="324" spans="1:20" x14ac:dyDescent="0.25">
      <c r="A324" s="5">
        <v>44269</v>
      </c>
      <c r="B324">
        <v>0.26889999999999997</v>
      </c>
      <c r="C324">
        <v>0.30549999999999999</v>
      </c>
      <c r="D324">
        <v>0.26329999999999998</v>
      </c>
      <c r="E324">
        <v>0.28079999999999999</v>
      </c>
      <c r="F324">
        <v>12280372.380000001</v>
      </c>
      <c r="G324">
        <v>0</v>
      </c>
      <c r="L324" t="s">
        <v>7</v>
      </c>
      <c r="M324" t="s">
        <v>8</v>
      </c>
      <c r="N324" t="s">
        <v>8</v>
      </c>
      <c r="P324">
        <f t="shared" si="964"/>
        <v>-0.1706161137440754</v>
      </c>
      <c r="Q324">
        <f t="shared" si="965"/>
        <v>-2095229.410805682</v>
      </c>
      <c r="R324">
        <f t="shared" si="966"/>
        <v>-495088026.2172057</v>
      </c>
      <c r="S324">
        <f t="shared" si="967"/>
        <v>-4950.880262172057</v>
      </c>
      <c r="T324">
        <f t="shared" si="968"/>
        <v>-4.9508802621720571</v>
      </c>
    </row>
    <row r="325" spans="1:20" x14ac:dyDescent="0.25">
      <c r="A325" s="5">
        <v>44268</v>
      </c>
      <c r="B325">
        <v>0.26290000000000002</v>
      </c>
      <c r="C325">
        <v>0.30659999999999998</v>
      </c>
      <c r="D325">
        <v>0.24809999999999999</v>
      </c>
      <c r="E325">
        <v>0.26800000000000002</v>
      </c>
      <c r="F325">
        <v>18227055.390000001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-0.31965811965811863</v>
      </c>
      <c r="Q325">
        <f t="shared" si="965"/>
        <v>-5826426.252871776</v>
      </c>
      <c r="R325">
        <f t="shared" si="966"/>
        <v>-492992796.8064</v>
      </c>
      <c r="S325">
        <f t="shared" si="967"/>
        <v>-4929.9279680640002</v>
      </c>
      <c r="T325">
        <f t="shared" si="968"/>
        <v>-4.9299279680639998</v>
      </c>
    </row>
    <row r="326" spans="1:20" x14ac:dyDescent="0.25">
      <c r="A326" s="5">
        <v>44267</v>
      </c>
      <c r="B326">
        <v>0.24629999999999999</v>
      </c>
      <c r="C326">
        <v>0.27710000000000001</v>
      </c>
      <c r="D326">
        <v>0.2316</v>
      </c>
      <c r="E326">
        <v>0.26300000000000001</v>
      </c>
      <c r="F326">
        <v>16210744.17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0.38021978021978031</v>
      </c>
      <c r="Q326">
        <f t="shared" ref="Q326:Q389" si="970">F326*P326</f>
        <v>6163645.5855164854</v>
      </c>
      <c r="R326">
        <f t="shared" ref="R326:R389" si="971">R327+Q326</f>
        <v>-487166370.55352825</v>
      </c>
      <c r="S326">
        <f t="shared" ref="S326:S389" si="972">R326/100000</f>
        <v>-4871.6637055352821</v>
      </c>
      <c r="T326">
        <f t="shared" ref="T326:T389" si="973">S326/1000</f>
        <v>-4.8716637055352825</v>
      </c>
    </row>
    <row r="327" spans="1:20" x14ac:dyDescent="0.25">
      <c r="A327" s="5">
        <v>44266</v>
      </c>
      <c r="B327">
        <v>0.2112</v>
      </c>
      <c r="C327">
        <v>0.25940000000000002</v>
      </c>
      <c r="D327">
        <v>0.20549999999999999</v>
      </c>
      <c r="E327">
        <v>0.24529999999999999</v>
      </c>
      <c r="F327">
        <v>24156838.739999998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0.47680890538033316</v>
      </c>
      <c r="Q327">
        <f t="shared" si="970"/>
        <v>11518195.837068625</v>
      </c>
      <c r="R327">
        <f t="shared" si="971"/>
        <v>-493330016.13904476</v>
      </c>
      <c r="S327">
        <f t="shared" si="972"/>
        <v>-4933.300161390448</v>
      </c>
      <c r="T327">
        <f t="shared" si="973"/>
        <v>-4.9333001613904477</v>
      </c>
    </row>
    <row r="328" spans="1:20" x14ac:dyDescent="0.25">
      <c r="A328" s="5">
        <v>44265</v>
      </c>
      <c r="B328">
        <v>0.22409999999999999</v>
      </c>
      <c r="C328">
        <v>0.25</v>
      </c>
      <c r="D328">
        <v>0.20860000000000001</v>
      </c>
      <c r="E328">
        <v>0.21179999999999999</v>
      </c>
      <c r="F328">
        <v>19955208.309999999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-0.84541062801932454</v>
      </c>
      <c r="Q328">
        <f t="shared" si="970"/>
        <v>-16870345.189613543</v>
      </c>
      <c r="R328">
        <f t="shared" si="971"/>
        <v>-504848211.97611338</v>
      </c>
      <c r="S328">
        <f t="shared" si="972"/>
        <v>-5048.4821197611336</v>
      </c>
      <c r="T328">
        <f t="shared" si="973"/>
        <v>-5.0484821197611334</v>
      </c>
    </row>
    <row r="329" spans="1:20" x14ac:dyDescent="0.25">
      <c r="A329" s="5">
        <v>44264</v>
      </c>
      <c r="B329">
        <v>0.2021</v>
      </c>
      <c r="C329">
        <v>0.22939999999999999</v>
      </c>
      <c r="D329">
        <v>0.19900000000000001</v>
      </c>
      <c r="E329">
        <v>0.224</v>
      </c>
      <c r="F329">
        <v>12384801.960000001</v>
      </c>
      <c r="G329">
        <v>0</v>
      </c>
      <c r="L329" t="s">
        <v>8</v>
      </c>
      <c r="M329" t="s">
        <v>7</v>
      </c>
      <c r="N329" t="s">
        <v>8</v>
      </c>
      <c r="P329">
        <f t="shared" si="969"/>
        <v>0.64473684210526372</v>
      </c>
      <c r="Q329">
        <f t="shared" si="970"/>
        <v>7984938.1057894817</v>
      </c>
      <c r="R329">
        <f t="shared" si="971"/>
        <v>-487977866.78649986</v>
      </c>
      <c r="S329">
        <f t="shared" si="972"/>
        <v>-4879.7786678649982</v>
      </c>
      <c r="T329">
        <f t="shared" si="973"/>
        <v>-4.8797786678649979</v>
      </c>
    </row>
    <row r="330" spans="1:20" x14ac:dyDescent="0.25">
      <c r="A330" s="5">
        <v>44263</v>
      </c>
      <c r="B330">
        <v>0.20030000000000001</v>
      </c>
      <c r="C330">
        <v>0.21029999999999999</v>
      </c>
      <c r="D330">
        <v>0.19639999999999999</v>
      </c>
      <c r="E330">
        <v>0.2021</v>
      </c>
      <c r="F330">
        <v>8899648.8300000001</v>
      </c>
      <c r="G330">
        <v>0</v>
      </c>
      <c r="L330" t="s">
        <v>8</v>
      </c>
      <c r="M330" t="s">
        <v>7</v>
      </c>
      <c r="N330" t="s">
        <v>8</v>
      </c>
      <c r="P330">
        <f t="shared" si="969"/>
        <v>-0.17985611510791188</v>
      </c>
      <c r="Q330">
        <f t="shared" si="970"/>
        <v>-1600656.2643884732</v>
      </c>
      <c r="R330">
        <f t="shared" si="971"/>
        <v>-495962804.89228934</v>
      </c>
      <c r="S330">
        <f t="shared" si="972"/>
        <v>-4959.628048922893</v>
      </c>
      <c r="T330">
        <f t="shared" si="973"/>
        <v>-4.9596280489228928</v>
      </c>
    </row>
    <row r="331" spans="1:20" x14ac:dyDescent="0.25">
      <c r="A331" s="5">
        <v>44262</v>
      </c>
      <c r="B331">
        <v>0.21</v>
      </c>
      <c r="C331">
        <v>0.2374</v>
      </c>
      <c r="D331">
        <v>0.19359999999999999</v>
      </c>
      <c r="E331">
        <v>0.20030000000000001</v>
      </c>
      <c r="F331">
        <v>23270269.920000002</v>
      </c>
      <c r="G331">
        <v>0</v>
      </c>
      <c r="L331" t="s">
        <v>7</v>
      </c>
      <c r="M331" t="s">
        <v>7</v>
      </c>
      <c r="N331" t="s">
        <v>8</v>
      </c>
      <c r="P331">
        <f t="shared" si="969"/>
        <v>-0.69406392694063879</v>
      </c>
      <c r="Q331">
        <f t="shared" si="970"/>
        <v>-16151054.921643825</v>
      </c>
      <c r="R331">
        <f t="shared" si="971"/>
        <v>-494362148.62790084</v>
      </c>
      <c r="S331">
        <f t="shared" si="972"/>
        <v>-4943.6214862790084</v>
      </c>
      <c r="T331">
        <f t="shared" si="973"/>
        <v>-4.9436214862790084</v>
      </c>
    </row>
    <row r="332" spans="1:20" x14ac:dyDescent="0.25">
      <c r="A332" s="5">
        <v>44261</v>
      </c>
      <c r="B332">
        <v>0.1741</v>
      </c>
      <c r="C332">
        <v>0.2397</v>
      </c>
      <c r="D332">
        <v>0.1719</v>
      </c>
      <c r="E332">
        <v>0.2099</v>
      </c>
      <c r="F332">
        <v>48567981.659999996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0.12094395280236007</v>
      </c>
      <c r="Q332">
        <f t="shared" si="970"/>
        <v>5874003.6815929292</v>
      </c>
      <c r="R332">
        <f t="shared" si="971"/>
        <v>-478211093.70625699</v>
      </c>
      <c r="S332">
        <f t="shared" si="972"/>
        <v>-4782.11093706257</v>
      </c>
      <c r="T332">
        <f t="shared" si="973"/>
        <v>-4.7821109370625701</v>
      </c>
    </row>
    <row r="333" spans="1:20" x14ac:dyDescent="0.25">
      <c r="A333" s="5">
        <v>44260</v>
      </c>
      <c r="B333">
        <v>0.16980000000000001</v>
      </c>
      <c r="C333">
        <v>0.17849999999999999</v>
      </c>
      <c r="D333">
        <v>0.15939999999999999</v>
      </c>
      <c r="E333">
        <v>0.1744</v>
      </c>
      <c r="F333">
        <v>7881327.2199999997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0.57068062827225219</v>
      </c>
      <c r="Q333">
        <f t="shared" si="970"/>
        <v>4497720.7695288025</v>
      </c>
      <c r="R333">
        <f t="shared" si="971"/>
        <v>-484085097.38784993</v>
      </c>
      <c r="S333">
        <f t="shared" si="972"/>
        <v>-4840.8509738784996</v>
      </c>
      <c r="T333">
        <f t="shared" si="973"/>
        <v>-4.8408509738784993</v>
      </c>
    </row>
    <row r="334" spans="1:20" x14ac:dyDescent="0.25">
      <c r="A334" s="5">
        <v>44259</v>
      </c>
      <c r="B334">
        <v>0.1857</v>
      </c>
      <c r="C334">
        <v>0.1888</v>
      </c>
      <c r="D334">
        <v>0.16739999999999999</v>
      </c>
      <c r="E334">
        <v>0.16919999999999999</v>
      </c>
      <c r="F334">
        <v>9459864.3000000007</v>
      </c>
      <c r="G334">
        <v>0</v>
      </c>
      <c r="L334" t="s">
        <v>7</v>
      </c>
      <c r="M334" t="s">
        <v>7</v>
      </c>
      <c r="N334" t="s">
        <v>7</v>
      </c>
      <c r="P334">
        <f t="shared" si="969"/>
        <v>-0.83177570093457986</v>
      </c>
      <c r="Q334">
        <f t="shared" si="970"/>
        <v>-7868485.2588785095</v>
      </c>
      <c r="R334">
        <f t="shared" si="971"/>
        <v>-488582818.15737873</v>
      </c>
      <c r="S334">
        <f t="shared" si="972"/>
        <v>-4885.8281815737873</v>
      </c>
      <c r="T334">
        <f t="shared" si="973"/>
        <v>-4.8858281815737872</v>
      </c>
    </row>
    <row r="335" spans="1:20" x14ac:dyDescent="0.25">
      <c r="A335" s="5">
        <v>44258</v>
      </c>
      <c r="B335">
        <v>0.1855</v>
      </c>
      <c r="C335">
        <v>0.19980000000000001</v>
      </c>
      <c r="D335">
        <v>0.1825</v>
      </c>
      <c r="E335">
        <v>0.18579999999999999</v>
      </c>
      <c r="F335">
        <v>9945308.9700000007</v>
      </c>
      <c r="G335">
        <v>0</v>
      </c>
      <c r="L335" t="s">
        <v>8</v>
      </c>
      <c r="M335" t="s">
        <v>7</v>
      </c>
      <c r="N335" t="s">
        <v>7</v>
      </c>
      <c r="P335">
        <f t="shared" si="969"/>
        <v>-0.61849710982659012</v>
      </c>
      <c r="Q335">
        <f t="shared" si="970"/>
        <v>-6151144.8542774627</v>
      </c>
      <c r="R335">
        <f t="shared" si="971"/>
        <v>-480714332.8985002</v>
      </c>
      <c r="S335">
        <f t="shared" si="972"/>
        <v>-4807.143328985002</v>
      </c>
      <c r="T335">
        <f t="shared" si="973"/>
        <v>-4.8071433289850019</v>
      </c>
    </row>
    <row r="336" spans="1:20" x14ac:dyDescent="0.25">
      <c r="A336" s="5">
        <v>44257</v>
      </c>
      <c r="B336">
        <v>0.1996</v>
      </c>
      <c r="C336">
        <v>0.2031</v>
      </c>
      <c r="D336">
        <v>0.1777</v>
      </c>
      <c r="E336">
        <v>0.18540000000000001</v>
      </c>
      <c r="F336">
        <v>14260822.890000001</v>
      </c>
      <c r="G336">
        <v>0</v>
      </c>
      <c r="L336" t="s">
        <v>7</v>
      </c>
      <c r="M336" t="s">
        <v>7</v>
      </c>
      <c r="N336" t="s">
        <v>7</v>
      </c>
      <c r="P336">
        <f t="shared" si="969"/>
        <v>-0.39370078740157399</v>
      </c>
      <c r="Q336">
        <f t="shared" si="970"/>
        <v>-5614497.2007873906</v>
      </c>
      <c r="R336">
        <f t="shared" si="971"/>
        <v>-474563188.04422271</v>
      </c>
      <c r="S336">
        <f t="shared" si="972"/>
        <v>-4745.6318804422272</v>
      </c>
      <c r="T336">
        <f t="shared" si="973"/>
        <v>-4.7456318804422271</v>
      </c>
    </row>
    <row r="337" spans="1:20" x14ac:dyDescent="0.25">
      <c r="A337" s="5">
        <v>44256</v>
      </c>
      <c r="B337">
        <v>0.18870000000000001</v>
      </c>
      <c r="C337">
        <v>0.215</v>
      </c>
      <c r="D337">
        <v>0.18260000000000001</v>
      </c>
      <c r="E337">
        <v>0.1993</v>
      </c>
      <c r="F337">
        <v>34323835.659999996</v>
      </c>
      <c r="G337">
        <v>0</v>
      </c>
      <c r="L337" t="s">
        <v>7</v>
      </c>
      <c r="M337" t="s">
        <v>7</v>
      </c>
      <c r="N337" t="s">
        <v>7</v>
      </c>
      <c r="P337">
        <f t="shared" si="969"/>
        <v>3.0864197530864241E-2</v>
      </c>
      <c r="Q337">
        <f t="shared" si="970"/>
        <v>1059377.643827162</v>
      </c>
      <c r="R337">
        <f t="shared" si="971"/>
        <v>-468948690.84343535</v>
      </c>
      <c r="S337">
        <f t="shared" si="972"/>
        <v>-4689.4869084343536</v>
      </c>
      <c r="T337">
        <f t="shared" si="973"/>
        <v>-4.689486908434354</v>
      </c>
    </row>
    <row r="338" spans="1:20" x14ac:dyDescent="0.25">
      <c r="A338" s="5">
        <v>44255</v>
      </c>
      <c r="B338">
        <v>0.18090000000000001</v>
      </c>
      <c r="C338">
        <v>0.27500000000000002</v>
      </c>
      <c r="D338">
        <v>0.17280000000000001</v>
      </c>
      <c r="E338">
        <v>0.1885</v>
      </c>
      <c r="F338">
        <v>154521292.86000001</v>
      </c>
      <c r="G338">
        <v>0</v>
      </c>
      <c r="L338" t="s">
        <v>8</v>
      </c>
      <c r="M338" t="s">
        <v>8</v>
      </c>
      <c r="N338" t="s">
        <v>8</v>
      </c>
      <c r="P338">
        <f t="shared" si="969"/>
        <v>-0.69275929549902171</v>
      </c>
      <c r="Q338">
        <f t="shared" si="970"/>
        <v>-107046061.98129162</v>
      </c>
      <c r="R338">
        <f t="shared" si="971"/>
        <v>-470008068.48726249</v>
      </c>
      <c r="S338">
        <f t="shared" si="972"/>
        <v>-4700.0806848726252</v>
      </c>
      <c r="T338">
        <f t="shared" si="973"/>
        <v>-4.7000806848726251</v>
      </c>
    </row>
    <row r="339" spans="1:20" x14ac:dyDescent="0.25">
      <c r="A339" s="5">
        <v>44254</v>
      </c>
      <c r="B339">
        <v>0.13800000000000001</v>
      </c>
      <c r="C339">
        <v>0.23699999999999999</v>
      </c>
      <c r="D339">
        <v>0.13800000000000001</v>
      </c>
      <c r="E339">
        <v>0.18060000000000001</v>
      </c>
      <c r="F339">
        <v>55442411.390000001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-0.13939393939393921</v>
      </c>
      <c r="Q339">
        <f t="shared" si="970"/>
        <v>-7728336.1331515051</v>
      </c>
      <c r="R339">
        <f t="shared" si="971"/>
        <v>-362962006.50597084</v>
      </c>
      <c r="S339">
        <f t="shared" si="972"/>
        <v>-3629.6200650597084</v>
      </c>
      <c r="T339">
        <f t="shared" si="973"/>
        <v>-3.6296200650597084</v>
      </c>
    </row>
    <row r="340" spans="1:20" x14ac:dyDescent="0.25">
      <c r="A340" s="5">
        <v>44253</v>
      </c>
      <c r="B340">
        <v>0.1444</v>
      </c>
      <c r="C340">
        <v>0.14779999999999999</v>
      </c>
      <c r="D340">
        <v>0.1258</v>
      </c>
      <c r="E340">
        <v>0.13789999999999999</v>
      </c>
      <c r="F340">
        <v>6376263.3600000003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0.10000000000000038</v>
      </c>
      <c r="Q340">
        <f t="shared" si="970"/>
        <v>637626.33600000245</v>
      </c>
      <c r="R340">
        <f t="shared" si="971"/>
        <v>-355233670.3728193</v>
      </c>
      <c r="S340">
        <f t="shared" si="972"/>
        <v>-3552.3367037281932</v>
      </c>
      <c r="T340">
        <f t="shared" si="973"/>
        <v>-3.5523367037281934</v>
      </c>
    </row>
    <row r="341" spans="1:20" x14ac:dyDescent="0.25">
      <c r="A341" s="5">
        <v>44252</v>
      </c>
      <c r="B341">
        <v>0.15359999999999999</v>
      </c>
      <c r="C341">
        <v>0.16600000000000001</v>
      </c>
      <c r="D341">
        <v>0.1424</v>
      </c>
      <c r="E341">
        <v>0.1444</v>
      </c>
      <c r="F341">
        <v>5006469.78</v>
      </c>
      <c r="G341">
        <v>0</v>
      </c>
      <c r="L341" t="s">
        <v>7</v>
      </c>
      <c r="M341" t="s">
        <v>8</v>
      </c>
      <c r="N341" t="s">
        <v>7</v>
      </c>
      <c r="P341">
        <f t="shared" si="969"/>
        <v>-0.83050847457627108</v>
      </c>
      <c r="Q341">
        <f t="shared" si="970"/>
        <v>-4157915.5799999996</v>
      </c>
      <c r="R341">
        <f t="shared" si="971"/>
        <v>-355871296.70881933</v>
      </c>
      <c r="S341">
        <f t="shared" si="972"/>
        <v>-3558.7129670881932</v>
      </c>
      <c r="T341">
        <f t="shared" si="973"/>
        <v>-3.5587129670881934</v>
      </c>
    </row>
    <row r="342" spans="1:20" x14ac:dyDescent="0.25">
      <c r="A342" s="5">
        <v>44251</v>
      </c>
      <c r="B342">
        <v>0.14829999999999999</v>
      </c>
      <c r="C342">
        <v>0.16739999999999999</v>
      </c>
      <c r="D342">
        <v>0.14000000000000001</v>
      </c>
      <c r="E342">
        <v>0.15359999999999999</v>
      </c>
      <c r="F342">
        <v>7481338.2199999997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-7.2992700729939278E-3</v>
      </c>
      <c r="Q342">
        <f t="shared" si="970"/>
        <v>-54608.308175191662</v>
      </c>
      <c r="R342">
        <f t="shared" si="971"/>
        <v>-351713381.12881935</v>
      </c>
      <c r="S342">
        <f t="shared" si="972"/>
        <v>-3517.1338112881936</v>
      </c>
      <c r="T342">
        <f t="shared" si="973"/>
        <v>-3.5171338112881934</v>
      </c>
    </row>
    <row r="343" spans="1:20" x14ac:dyDescent="0.25">
      <c r="A343" s="5">
        <v>44250</v>
      </c>
      <c r="B343">
        <v>0.19120000000000001</v>
      </c>
      <c r="C343">
        <v>0.19239999999999999</v>
      </c>
      <c r="D343">
        <v>0.12609999999999999</v>
      </c>
      <c r="E343">
        <v>0.14829999999999999</v>
      </c>
      <c r="F343">
        <v>12662379.51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-0.33031674208144801</v>
      </c>
      <c r="Q343">
        <f t="shared" si="970"/>
        <v>-4182595.946742082</v>
      </c>
      <c r="R343">
        <f t="shared" si="971"/>
        <v>-351658772.82064414</v>
      </c>
      <c r="S343">
        <f t="shared" si="972"/>
        <v>-3516.5877282064416</v>
      </c>
      <c r="T343">
        <f t="shared" si="973"/>
        <v>-3.5165877282064417</v>
      </c>
    </row>
    <row r="344" spans="1:20" x14ac:dyDescent="0.25">
      <c r="A344" s="5">
        <v>44249</v>
      </c>
      <c r="B344">
        <v>0.21870000000000001</v>
      </c>
      <c r="C344">
        <v>0.21990000000000001</v>
      </c>
      <c r="D344">
        <v>0.16189999999999999</v>
      </c>
      <c r="E344">
        <v>0.1913</v>
      </c>
      <c r="F344">
        <v>7318888.5599999996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1.3793103448275773E-2</v>
      </c>
      <c r="Q344">
        <f t="shared" si="970"/>
        <v>100950.18703448211</v>
      </c>
      <c r="R344">
        <f t="shared" si="971"/>
        <v>-347476176.87390208</v>
      </c>
      <c r="S344">
        <f t="shared" si="972"/>
        <v>-3474.7617687390207</v>
      </c>
      <c r="T344">
        <f t="shared" si="973"/>
        <v>-3.4747617687390209</v>
      </c>
    </row>
    <row r="345" spans="1:20" x14ac:dyDescent="0.25">
      <c r="A345" s="5">
        <v>44248</v>
      </c>
      <c r="B345">
        <v>0.2082</v>
      </c>
      <c r="C345">
        <v>0.22919999999999999</v>
      </c>
      <c r="D345">
        <v>0.20300000000000001</v>
      </c>
      <c r="E345">
        <v>0.21820000000000001</v>
      </c>
      <c r="F345">
        <v>4925886.5199999996</v>
      </c>
      <c r="G345">
        <v>0</v>
      </c>
      <c r="L345" t="s">
        <v>8</v>
      </c>
      <c r="M345" t="s">
        <v>7</v>
      </c>
      <c r="N345" t="s">
        <v>7</v>
      </c>
      <c r="P345">
        <f t="shared" si="969"/>
        <v>0.1603053435114509</v>
      </c>
      <c r="Q345">
        <f t="shared" si="970"/>
        <v>789645.93068702542</v>
      </c>
      <c r="R345">
        <f t="shared" si="971"/>
        <v>-347577127.06093657</v>
      </c>
      <c r="S345">
        <f t="shared" si="972"/>
        <v>-3475.7712706093657</v>
      </c>
      <c r="T345">
        <f t="shared" si="973"/>
        <v>-3.4757712706093655</v>
      </c>
    </row>
    <row r="346" spans="1:20" x14ac:dyDescent="0.25">
      <c r="A346" s="5">
        <v>44247</v>
      </c>
      <c r="B346">
        <v>0.2203</v>
      </c>
      <c r="C346">
        <v>0.22989999999999999</v>
      </c>
      <c r="D346">
        <v>0.2024</v>
      </c>
      <c r="E346">
        <v>0.20699999999999999</v>
      </c>
      <c r="F346">
        <v>7743821.0800000001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-0.66545454545454596</v>
      </c>
      <c r="Q346">
        <f t="shared" si="970"/>
        <v>-5153160.936872731</v>
      </c>
      <c r="R346">
        <f t="shared" si="971"/>
        <v>-348366772.99162358</v>
      </c>
      <c r="S346">
        <f t="shared" si="972"/>
        <v>-3483.6677299162357</v>
      </c>
      <c r="T346">
        <f t="shared" si="973"/>
        <v>-3.4836677299162355</v>
      </c>
    </row>
    <row r="347" spans="1:20" x14ac:dyDescent="0.25">
      <c r="A347" s="5">
        <v>44246</v>
      </c>
      <c r="B347">
        <v>0.2351</v>
      </c>
      <c r="C347">
        <v>0.24099999999999999</v>
      </c>
      <c r="D347">
        <v>0.217</v>
      </c>
      <c r="E347">
        <v>0.2205</v>
      </c>
      <c r="F347">
        <v>7345331.96</v>
      </c>
      <c r="G347">
        <v>0</v>
      </c>
      <c r="L347" t="s">
        <v>7</v>
      </c>
      <c r="M347" t="s">
        <v>8</v>
      </c>
      <c r="N347" t="s">
        <v>7</v>
      </c>
      <c r="P347">
        <f t="shared" si="969"/>
        <v>-0.70833333333333304</v>
      </c>
      <c r="Q347">
        <f t="shared" si="970"/>
        <v>-5202943.4716666648</v>
      </c>
      <c r="R347">
        <f t="shared" si="971"/>
        <v>-343213612.05475086</v>
      </c>
      <c r="S347">
        <f t="shared" si="972"/>
        <v>-3432.1361205475087</v>
      </c>
      <c r="T347">
        <f t="shared" si="973"/>
        <v>-3.4321361205475087</v>
      </c>
    </row>
    <row r="348" spans="1:20" x14ac:dyDescent="0.25">
      <c r="A348" s="5">
        <v>44245</v>
      </c>
      <c r="B348">
        <v>0.22720000000000001</v>
      </c>
      <c r="C348">
        <v>0.24440000000000001</v>
      </c>
      <c r="D348">
        <v>0.22339999999999999</v>
      </c>
      <c r="E348">
        <v>0.2351</v>
      </c>
      <c r="F348">
        <v>6830554.25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0.11428571428571481</v>
      </c>
      <c r="Q348">
        <f t="shared" si="970"/>
        <v>780634.77142857504</v>
      </c>
      <c r="R348">
        <f t="shared" si="971"/>
        <v>-338010668.58308417</v>
      </c>
      <c r="S348">
        <f t="shared" si="972"/>
        <v>-3380.1066858308418</v>
      </c>
      <c r="T348">
        <f t="shared" si="973"/>
        <v>-3.380106685830842</v>
      </c>
    </row>
    <row r="349" spans="1:20" x14ac:dyDescent="0.25">
      <c r="A349" s="5">
        <v>44244</v>
      </c>
      <c r="B349">
        <v>0.22220000000000001</v>
      </c>
      <c r="C349">
        <v>0.2487</v>
      </c>
      <c r="D349">
        <v>0.21199999999999999</v>
      </c>
      <c r="E349">
        <v>0.22720000000000001</v>
      </c>
      <c r="F349">
        <v>9627020.1400000006</v>
      </c>
      <c r="G349">
        <v>0</v>
      </c>
      <c r="L349" t="s">
        <v>7</v>
      </c>
      <c r="M349" t="s">
        <v>8</v>
      </c>
      <c r="N349" t="s">
        <v>7</v>
      </c>
      <c r="P349">
        <f t="shared" si="969"/>
        <v>-0.17166212534059866</v>
      </c>
      <c r="Q349">
        <f t="shared" si="970"/>
        <v>-1652594.7379291477</v>
      </c>
      <c r="R349">
        <f t="shared" si="971"/>
        <v>-338791303.35451275</v>
      </c>
      <c r="S349">
        <f t="shared" si="972"/>
        <v>-3387.9130335451273</v>
      </c>
      <c r="T349">
        <f t="shared" si="973"/>
        <v>-3.3879130335451273</v>
      </c>
    </row>
    <row r="350" spans="1:20" x14ac:dyDescent="0.25">
      <c r="A350" s="5">
        <v>44243</v>
      </c>
      <c r="B350">
        <v>0.2288</v>
      </c>
      <c r="C350">
        <v>0.24990000000000001</v>
      </c>
      <c r="D350">
        <v>0.21640000000000001</v>
      </c>
      <c r="E350">
        <v>0.22220000000000001</v>
      </c>
      <c r="F350">
        <v>10308383.33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-0.65373134328358218</v>
      </c>
      <c r="Q350">
        <f t="shared" si="970"/>
        <v>-6738913.2814029865</v>
      </c>
      <c r="R350">
        <f t="shared" si="971"/>
        <v>-337138708.61658359</v>
      </c>
      <c r="S350">
        <f t="shared" si="972"/>
        <v>-3371.3870861658361</v>
      </c>
      <c r="T350">
        <f t="shared" si="973"/>
        <v>-3.3713870861658362</v>
      </c>
    </row>
    <row r="351" spans="1:20" x14ac:dyDescent="0.25">
      <c r="A351" s="5">
        <v>44242</v>
      </c>
      <c r="B351">
        <v>0.25090000000000001</v>
      </c>
      <c r="C351">
        <v>0.2767</v>
      </c>
      <c r="D351">
        <v>0.2009</v>
      </c>
      <c r="E351">
        <v>0.22839999999999999</v>
      </c>
      <c r="F351">
        <v>22572358.239999998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-0.27440633245382601</v>
      </c>
      <c r="Q351">
        <f t="shared" si="970"/>
        <v>-6193998.0394722987</v>
      </c>
      <c r="R351">
        <f t="shared" si="971"/>
        <v>-330399795.33518058</v>
      </c>
      <c r="S351">
        <f t="shared" si="972"/>
        <v>-3303.9979533518058</v>
      </c>
      <c r="T351">
        <f t="shared" si="973"/>
        <v>-3.3039979533518058</v>
      </c>
    </row>
    <row r="352" spans="1:20" x14ac:dyDescent="0.25">
      <c r="A352" s="5">
        <v>44241</v>
      </c>
      <c r="B352">
        <v>0.28649999999999998</v>
      </c>
      <c r="C352">
        <v>0.37959999999999999</v>
      </c>
      <c r="D352">
        <v>0.24610000000000001</v>
      </c>
      <c r="E352">
        <v>0.25090000000000001</v>
      </c>
      <c r="F352">
        <v>107837792.95999999</v>
      </c>
      <c r="G352">
        <v>0</v>
      </c>
      <c r="L352" t="s">
        <v>7</v>
      </c>
      <c r="M352" t="s">
        <v>7</v>
      </c>
      <c r="N352" t="s">
        <v>7</v>
      </c>
      <c r="P352">
        <f t="shared" si="969"/>
        <v>-0.92808988764044942</v>
      </c>
      <c r="Q352">
        <f t="shared" si="970"/>
        <v>-100083165.15164044</v>
      </c>
      <c r="R352">
        <f t="shared" si="971"/>
        <v>-324205797.2957083</v>
      </c>
      <c r="S352">
        <f t="shared" si="972"/>
        <v>-3242.0579729570832</v>
      </c>
      <c r="T352">
        <f t="shared" si="973"/>
        <v>-3.2420579729570833</v>
      </c>
    </row>
    <row r="353" spans="1:20" x14ac:dyDescent="0.25">
      <c r="A353" s="5">
        <v>44240</v>
      </c>
      <c r="B353">
        <v>0.20150000000000001</v>
      </c>
      <c r="C353">
        <v>0.38329999999999997</v>
      </c>
      <c r="D353">
        <v>0.18640000000000001</v>
      </c>
      <c r="E353">
        <v>0.28670000000000001</v>
      </c>
      <c r="F353">
        <v>66137344.359999999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1.8791264601320655E-2</v>
      </c>
      <c r="Q353">
        <f t="shared" si="970"/>
        <v>1242804.3378974223</v>
      </c>
      <c r="R353">
        <f t="shared" si="971"/>
        <v>-224122632.14406782</v>
      </c>
      <c r="S353">
        <f t="shared" si="972"/>
        <v>-2241.226321440678</v>
      </c>
      <c r="T353">
        <f t="shared" si="973"/>
        <v>-2.2412263214406782</v>
      </c>
    </row>
    <row r="354" spans="1:20" x14ac:dyDescent="0.25">
      <c r="A354" s="5">
        <v>44239</v>
      </c>
      <c r="B354">
        <v>0.18360000000000001</v>
      </c>
      <c r="C354">
        <v>0.20880000000000001</v>
      </c>
      <c r="D354">
        <v>0.17</v>
      </c>
      <c r="E354">
        <v>0.20150000000000001</v>
      </c>
      <c r="F354">
        <v>11172406.609999999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0.62371134020618557</v>
      </c>
      <c r="Q354">
        <f t="shared" si="970"/>
        <v>6968356.7000515461</v>
      </c>
      <c r="R354">
        <f t="shared" si="971"/>
        <v>-225365436.48196524</v>
      </c>
      <c r="S354">
        <f t="shared" si="972"/>
        <v>-2253.6543648196525</v>
      </c>
      <c r="T354">
        <f t="shared" si="973"/>
        <v>-2.2536543648196523</v>
      </c>
    </row>
    <row r="355" spans="1:20" x14ac:dyDescent="0.25">
      <c r="A355" s="5">
        <v>44238</v>
      </c>
      <c r="B355">
        <v>0.1585</v>
      </c>
      <c r="C355">
        <v>0.19040000000000001</v>
      </c>
      <c r="D355">
        <v>0.15490000000000001</v>
      </c>
      <c r="E355">
        <v>0.1845</v>
      </c>
      <c r="F355">
        <v>15238380.57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0.66760563380281601</v>
      </c>
      <c r="Q355">
        <f t="shared" si="970"/>
        <v>10173228.718563367</v>
      </c>
      <c r="R355">
        <f t="shared" si="971"/>
        <v>-232333793.18201679</v>
      </c>
      <c r="S355">
        <f t="shared" si="972"/>
        <v>-2323.3379318201678</v>
      </c>
      <c r="T355">
        <f t="shared" si="973"/>
        <v>-2.3233379318201677</v>
      </c>
    </row>
    <row r="356" spans="1:20" x14ac:dyDescent="0.25">
      <c r="A356" s="5">
        <v>44237</v>
      </c>
      <c r="B356">
        <v>0.15679999999999999</v>
      </c>
      <c r="C356">
        <v>0.16619999999999999</v>
      </c>
      <c r="D356">
        <v>0.14199999999999999</v>
      </c>
      <c r="E356">
        <v>0.1585</v>
      </c>
      <c r="F356">
        <v>11011959.15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0.36363636363636487</v>
      </c>
      <c r="Q356">
        <f t="shared" si="970"/>
        <v>4004348.7818181957</v>
      </c>
      <c r="R356">
        <f t="shared" si="971"/>
        <v>-242507021.90058017</v>
      </c>
      <c r="S356">
        <f t="shared" si="972"/>
        <v>-2425.0702190058018</v>
      </c>
      <c r="T356">
        <f t="shared" si="973"/>
        <v>-2.4250702190058018</v>
      </c>
    </row>
    <row r="357" spans="1:20" x14ac:dyDescent="0.25">
      <c r="A357" s="5">
        <v>44236</v>
      </c>
      <c r="B357">
        <v>0.14099999999999999</v>
      </c>
      <c r="C357">
        <v>0.16209999999999999</v>
      </c>
      <c r="D357">
        <v>0.14000000000000001</v>
      </c>
      <c r="E357">
        <v>0.1565</v>
      </c>
      <c r="F357">
        <v>14142710.529999999</v>
      </c>
      <c r="G357">
        <v>0</v>
      </c>
      <c r="L357" t="s">
        <v>8</v>
      </c>
      <c r="M357" t="s">
        <v>8</v>
      </c>
      <c r="N357" t="s">
        <v>7</v>
      </c>
      <c r="P357">
        <f t="shared" si="969"/>
        <v>0.49321266968325805</v>
      </c>
      <c r="Q357">
        <f t="shared" si="970"/>
        <v>6975364.0170588251</v>
      </c>
      <c r="R357">
        <f t="shared" si="971"/>
        <v>-246511370.68239835</v>
      </c>
      <c r="S357">
        <f t="shared" si="972"/>
        <v>-2465.1137068239836</v>
      </c>
      <c r="T357">
        <f t="shared" si="973"/>
        <v>-2.4651137068239835</v>
      </c>
    </row>
    <row r="358" spans="1:20" x14ac:dyDescent="0.25">
      <c r="A358" s="5">
        <v>44235</v>
      </c>
      <c r="B358">
        <v>0.1346</v>
      </c>
      <c r="C358">
        <v>0.1444</v>
      </c>
      <c r="D358">
        <v>0.13200000000000001</v>
      </c>
      <c r="E358">
        <v>0.14119999999999999</v>
      </c>
      <c r="F358">
        <v>8198402.04</v>
      </c>
      <c r="G358">
        <v>0</v>
      </c>
      <c r="L358" t="s">
        <v>8</v>
      </c>
      <c r="M358" t="s">
        <v>8</v>
      </c>
      <c r="N358" t="s">
        <v>7</v>
      </c>
      <c r="P358">
        <f t="shared" si="969"/>
        <v>0.48387096774193389</v>
      </c>
      <c r="Q358">
        <f t="shared" si="970"/>
        <v>3966968.729032245</v>
      </c>
      <c r="R358">
        <f t="shared" si="971"/>
        <v>-253486734.69945717</v>
      </c>
      <c r="S358">
        <f t="shared" si="972"/>
        <v>-2534.8673469945716</v>
      </c>
      <c r="T358">
        <f t="shared" si="973"/>
        <v>-2.5348673469945715</v>
      </c>
    </row>
    <row r="359" spans="1:20" x14ac:dyDescent="0.25">
      <c r="A359" s="5">
        <v>44234</v>
      </c>
      <c r="B359">
        <v>0.14130000000000001</v>
      </c>
      <c r="C359">
        <v>0.14319999999999999</v>
      </c>
      <c r="D359">
        <v>0.13150000000000001</v>
      </c>
      <c r="E359">
        <v>0.1346</v>
      </c>
      <c r="F359">
        <v>7606406.75</v>
      </c>
      <c r="G359">
        <v>0</v>
      </c>
      <c r="L359" t="s">
        <v>7</v>
      </c>
      <c r="M359" t="s">
        <v>8</v>
      </c>
      <c r="N359" t="s">
        <v>7</v>
      </c>
      <c r="P359">
        <f t="shared" si="969"/>
        <v>-0.47008547008547097</v>
      </c>
      <c r="Q359">
        <f t="shared" si="970"/>
        <v>-3575661.2927350495</v>
      </c>
      <c r="R359">
        <f t="shared" si="971"/>
        <v>-257453703.42848942</v>
      </c>
      <c r="S359">
        <f t="shared" si="972"/>
        <v>-2574.5370342848942</v>
      </c>
      <c r="T359">
        <f t="shared" si="973"/>
        <v>-2.5745370342848943</v>
      </c>
    </row>
    <row r="360" spans="1:20" x14ac:dyDescent="0.25">
      <c r="A360" s="5">
        <v>44233</v>
      </c>
      <c r="B360">
        <v>0.1416</v>
      </c>
      <c r="C360">
        <v>0.15140000000000001</v>
      </c>
      <c r="D360">
        <v>0.13800000000000001</v>
      </c>
      <c r="E360">
        <v>0.1419</v>
      </c>
      <c r="F360">
        <v>10306826.560000001</v>
      </c>
      <c r="G360">
        <v>0</v>
      </c>
      <c r="L360" t="s">
        <v>8</v>
      </c>
      <c r="M360" t="s">
        <v>8</v>
      </c>
      <c r="N360" t="s">
        <v>7</v>
      </c>
      <c r="P360">
        <f t="shared" si="969"/>
        <v>-0.41791044776119579</v>
      </c>
      <c r="Q360">
        <f t="shared" si="970"/>
        <v>-4307330.5026865853</v>
      </c>
      <c r="R360">
        <f t="shared" si="971"/>
        <v>-253878042.13575438</v>
      </c>
      <c r="S360">
        <f t="shared" si="972"/>
        <v>-2538.7804213575437</v>
      </c>
      <c r="T360">
        <f t="shared" si="973"/>
        <v>-2.5387804213575436</v>
      </c>
    </row>
    <row r="361" spans="1:20" x14ac:dyDescent="0.25">
      <c r="A361" s="5">
        <v>44232</v>
      </c>
      <c r="B361">
        <v>0.13350000000000001</v>
      </c>
      <c r="C361">
        <v>0.14249999999999999</v>
      </c>
      <c r="D361">
        <v>0.13170000000000001</v>
      </c>
      <c r="E361">
        <v>0.14099999999999999</v>
      </c>
      <c r="F361">
        <v>9687922.2799999993</v>
      </c>
      <c r="G361">
        <v>0</v>
      </c>
      <c r="L361" t="s">
        <v>8</v>
      </c>
      <c r="M361" t="s">
        <v>7</v>
      </c>
      <c r="N361" t="s">
        <v>7</v>
      </c>
      <c r="P361">
        <f t="shared" si="969"/>
        <v>0.72222222222222132</v>
      </c>
      <c r="Q361">
        <f t="shared" si="970"/>
        <v>6996832.7577777682</v>
      </c>
      <c r="R361">
        <f t="shared" si="971"/>
        <v>-249570711.63306779</v>
      </c>
      <c r="S361">
        <f t="shared" si="972"/>
        <v>-2495.7071163306778</v>
      </c>
      <c r="T361">
        <f t="shared" si="973"/>
        <v>-2.4957071163306779</v>
      </c>
    </row>
    <row r="362" spans="1:20" x14ac:dyDescent="0.25">
      <c r="A362" s="5">
        <v>44231</v>
      </c>
      <c r="B362">
        <v>0.13120000000000001</v>
      </c>
      <c r="C362">
        <v>0.1426</v>
      </c>
      <c r="D362">
        <v>0.125</v>
      </c>
      <c r="E362">
        <v>0.1336</v>
      </c>
      <c r="F362">
        <v>11538283.050000001</v>
      </c>
      <c r="G362">
        <v>0</v>
      </c>
      <c r="L362" t="s">
        <v>7</v>
      </c>
      <c r="M362" t="s">
        <v>7</v>
      </c>
      <c r="N362" t="s">
        <v>7</v>
      </c>
      <c r="P362">
        <f t="shared" si="969"/>
        <v>-2.2727272727273373E-2</v>
      </c>
      <c r="Q362">
        <f t="shared" si="970"/>
        <v>-262233.70568182564</v>
      </c>
      <c r="R362">
        <f t="shared" si="971"/>
        <v>-256567544.39084557</v>
      </c>
      <c r="S362">
        <f t="shared" si="972"/>
        <v>-2565.6754439084557</v>
      </c>
      <c r="T362">
        <f t="shared" si="973"/>
        <v>-2.5656754439084555</v>
      </c>
    </row>
    <row r="363" spans="1:20" x14ac:dyDescent="0.25">
      <c r="A363" s="5">
        <v>44230</v>
      </c>
      <c r="B363">
        <v>0.1239</v>
      </c>
      <c r="C363">
        <v>0.152</v>
      </c>
      <c r="D363">
        <v>0.1229</v>
      </c>
      <c r="E363">
        <v>0.13059999999999999</v>
      </c>
      <c r="F363">
        <v>15252052.9</v>
      </c>
      <c r="G363">
        <v>0</v>
      </c>
      <c r="L363" t="s">
        <v>8</v>
      </c>
      <c r="M363" t="s">
        <v>8</v>
      </c>
      <c r="N363" t="s">
        <v>7</v>
      </c>
      <c r="P363">
        <f t="shared" si="969"/>
        <v>-0.47079037800687296</v>
      </c>
      <c r="Q363">
        <f t="shared" si="970"/>
        <v>-7180519.7501718234</v>
      </c>
      <c r="R363">
        <f t="shared" si="971"/>
        <v>-256305310.68516374</v>
      </c>
      <c r="S363">
        <f t="shared" si="972"/>
        <v>-2563.0531068516375</v>
      </c>
      <c r="T363">
        <f t="shared" si="973"/>
        <v>-2.5630531068516373</v>
      </c>
    </row>
    <row r="364" spans="1:20" x14ac:dyDescent="0.25">
      <c r="A364" s="5">
        <v>44229</v>
      </c>
      <c r="B364">
        <v>0.12620000000000001</v>
      </c>
      <c r="C364">
        <v>0.1303</v>
      </c>
      <c r="D364">
        <v>0.11700000000000001</v>
      </c>
      <c r="E364">
        <v>0.1236</v>
      </c>
      <c r="F364">
        <v>7709703.2999999998</v>
      </c>
      <c r="G364">
        <v>0</v>
      </c>
      <c r="L364" t="s">
        <v>7</v>
      </c>
      <c r="M364" t="s">
        <v>7</v>
      </c>
      <c r="N364" t="s">
        <v>7</v>
      </c>
      <c r="P364">
        <f t="shared" si="969"/>
        <v>-7.5187969924814229E-3</v>
      </c>
      <c r="Q364">
        <f t="shared" si="970"/>
        <v>-57967.693984964098</v>
      </c>
      <c r="R364">
        <f t="shared" si="971"/>
        <v>-249124790.93499193</v>
      </c>
      <c r="S364">
        <f t="shared" si="972"/>
        <v>-2491.2479093499192</v>
      </c>
      <c r="T364">
        <f t="shared" si="973"/>
        <v>-2.4912479093499194</v>
      </c>
    </row>
    <row r="365" spans="1:20" x14ac:dyDescent="0.25">
      <c r="A365" s="5">
        <v>44228</v>
      </c>
      <c r="B365">
        <v>0.129</v>
      </c>
      <c r="C365">
        <v>0.13750000000000001</v>
      </c>
      <c r="D365">
        <v>0.11840000000000001</v>
      </c>
      <c r="E365">
        <v>0.12670000000000001</v>
      </c>
      <c r="F365">
        <v>11462671.529999999</v>
      </c>
      <c r="G365">
        <v>0</v>
      </c>
      <c r="L365" t="s">
        <v>7</v>
      </c>
      <c r="M365" t="s">
        <v>7</v>
      </c>
      <c r="N365" t="s">
        <v>7</v>
      </c>
      <c r="P365">
        <f t="shared" si="969"/>
        <v>-0.13089005235602102</v>
      </c>
      <c r="Q365">
        <f t="shared" si="970"/>
        <v>-1500349.6767015716</v>
      </c>
      <c r="R365">
        <f t="shared" si="971"/>
        <v>-249066823.24100697</v>
      </c>
      <c r="S365">
        <f t="shared" si="972"/>
        <v>-2490.6682324100698</v>
      </c>
      <c r="T365">
        <f t="shared" si="973"/>
        <v>-2.4906682324100697</v>
      </c>
    </row>
    <row r="366" spans="1:20" x14ac:dyDescent="0.25">
      <c r="A366" s="5">
        <v>44227</v>
      </c>
      <c r="B366">
        <v>0.1232</v>
      </c>
      <c r="C366">
        <v>0.1643</v>
      </c>
      <c r="D366">
        <v>0.11940000000000001</v>
      </c>
      <c r="E366">
        <v>0.12839999999999999</v>
      </c>
      <c r="F366">
        <v>42841889.329999998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-0.59910913140311883</v>
      </c>
      <c r="Q366">
        <f t="shared" si="970"/>
        <v>-25666967.104164843</v>
      </c>
      <c r="R366">
        <f t="shared" si="971"/>
        <v>-247566473.56430539</v>
      </c>
      <c r="S366">
        <f t="shared" si="972"/>
        <v>-2475.664735643054</v>
      </c>
      <c r="T366">
        <f t="shared" si="973"/>
        <v>-2.4756647356430541</v>
      </c>
    </row>
    <row r="367" spans="1:20" x14ac:dyDescent="0.25">
      <c r="A367" s="5">
        <v>44226</v>
      </c>
      <c r="B367">
        <v>0.113</v>
      </c>
      <c r="C367">
        <v>0.1472</v>
      </c>
      <c r="D367">
        <v>0.108</v>
      </c>
      <c r="E367">
        <v>0.12330000000000001</v>
      </c>
      <c r="F367">
        <v>16806761.039999999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-0.21938775510204039</v>
      </c>
      <c r="Q367">
        <f t="shared" si="970"/>
        <v>-3687197.5751020336</v>
      </c>
      <c r="R367">
        <f t="shared" si="971"/>
        <v>-221899506.46014056</v>
      </c>
      <c r="S367">
        <f t="shared" si="972"/>
        <v>-2218.9950646014054</v>
      </c>
      <c r="T367">
        <f t="shared" si="973"/>
        <v>-2.2189950646014052</v>
      </c>
    </row>
    <row r="368" spans="1:20" x14ac:dyDescent="0.25">
      <c r="A368" s="5">
        <v>44225</v>
      </c>
      <c r="B368">
        <v>0.107</v>
      </c>
      <c r="C368">
        <v>0.11550000000000001</v>
      </c>
      <c r="D368">
        <v>0.1048</v>
      </c>
      <c r="E368">
        <v>0.113</v>
      </c>
      <c r="F368">
        <v>9756157</v>
      </c>
      <c r="G368">
        <v>0</v>
      </c>
      <c r="L368" t="s">
        <v>8</v>
      </c>
      <c r="M368" t="s">
        <v>8</v>
      </c>
      <c r="N368" t="s">
        <v>7</v>
      </c>
      <c r="P368">
        <f t="shared" si="969"/>
        <v>0.53271028037383139</v>
      </c>
      <c r="Q368">
        <f t="shared" si="970"/>
        <v>5197205.1308411174</v>
      </c>
      <c r="R368">
        <f t="shared" si="971"/>
        <v>-218212308.88503852</v>
      </c>
      <c r="S368">
        <f t="shared" si="972"/>
        <v>-2182.1230888503851</v>
      </c>
      <c r="T368">
        <f t="shared" si="973"/>
        <v>-2.1821230888503851</v>
      </c>
    </row>
    <row r="369" spans="1:20" x14ac:dyDescent="0.25">
      <c r="A369" s="5">
        <v>44224</v>
      </c>
      <c r="B369">
        <v>0.1014</v>
      </c>
      <c r="C369">
        <v>0.1153</v>
      </c>
      <c r="D369">
        <v>0.1014</v>
      </c>
      <c r="E369">
        <v>0.107</v>
      </c>
      <c r="F369">
        <v>7457357.9000000004</v>
      </c>
      <c r="G369">
        <v>0</v>
      </c>
      <c r="L369" t="s">
        <v>8</v>
      </c>
      <c r="M369" t="s">
        <v>8</v>
      </c>
      <c r="N369" t="s">
        <v>7</v>
      </c>
      <c r="P369">
        <f t="shared" si="969"/>
        <v>-0.19424460431654739</v>
      </c>
      <c r="Q369">
        <f t="shared" si="970"/>
        <v>-1448551.5345323789</v>
      </c>
      <c r="R369">
        <f t="shared" si="971"/>
        <v>-223409514.01587963</v>
      </c>
      <c r="S369">
        <f t="shared" si="972"/>
        <v>-2234.0951401587963</v>
      </c>
      <c r="T369">
        <f t="shared" si="973"/>
        <v>-2.2340951401587965</v>
      </c>
    </row>
    <row r="370" spans="1:20" x14ac:dyDescent="0.25">
      <c r="A370" s="5">
        <v>44223</v>
      </c>
      <c r="B370">
        <v>0.10150000000000001</v>
      </c>
      <c r="C370">
        <v>0.1042</v>
      </c>
      <c r="D370">
        <v>9.4700000000000006E-2</v>
      </c>
      <c r="E370">
        <v>0.1014</v>
      </c>
      <c r="F370">
        <v>2712363.46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0.41052631578947402</v>
      </c>
      <c r="Q370">
        <f t="shared" si="970"/>
        <v>1113496.5783157903</v>
      </c>
      <c r="R370">
        <f t="shared" si="971"/>
        <v>-221960962.48134726</v>
      </c>
      <c r="S370">
        <f t="shared" si="972"/>
        <v>-2219.6096248134727</v>
      </c>
      <c r="T370">
        <f t="shared" si="973"/>
        <v>-2.2196096248134727</v>
      </c>
    </row>
    <row r="371" spans="1:20" x14ac:dyDescent="0.25">
      <c r="A371" s="5">
        <v>44222</v>
      </c>
      <c r="B371">
        <v>0.10100000000000001</v>
      </c>
      <c r="C371">
        <v>0.1036</v>
      </c>
      <c r="D371">
        <v>9.7299999999999998E-2</v>
      </c>
      <c r="E371">
        <v>0.1017</v>
      </c>
      <c r="F371">
        <v>1991074.95</v>
      </c>
      <c r="G371">
        <v>0</v>
      </c>
      <c r="L371" t="s">
        <v>7</v>
      </c>
      <c r="M371" t="s">
        <v>8</v>
      </c>
      <c r="N371" t="s">
        <v>7</v>
      </c>
      <c r="P371">
        <f t="shared" si="969"/>
        <v>0.39682539682539719</v>
      </c>
      <c r="Q371">
        <f t="shared" si="970"/>
        <v>790109.10714285786</v>
      </c>
      <c r="R371">
        <f t="shared" si="971"/>
        <v>-223074459.05966306</v>
      </c>
      <c r="S371">
        <f t="shared" si="972"/>
        <v>-2230.7445905966306</v>
      </c>
      <c r="T371">
        <f t="shared" si="973"/>
        <v>-2.2307445905966308</v>
      </c>
    </row>
    <row r="372" spans="1:20" x14ac:dyDescent="0.25">
      <c r="A372" s="5">
        <v>44221</v>
      </c>
      <c r="B372">
        <v>0.10639999999999999</v>
      </c>
      <c r="C372">
        <v>0.1079</v>
      </c>
      <c r="D372">
        <v>0.10100000000000001</v>
      </c>
      <c r="E372">
        <v>0.10100000000000001</v>
      </c>
      <c r="F372">
        <v>5859163.6100000003</v>
      </c>
      <c r="G372">
        <v>0</v>
      </c>
      <c r="L372" t="s">
        <v>7</v>
      </c>
      <c r="M372" t="s">
        <v>8</v>
      </c>
      <c r="N372" t="s">
        <v>7</v>
      </c>
      <c r="P372">
        <f t="shared" si="969"/>
        <v>-1</v>
      </c>
      <c r="Q372">
        <f t="shared" si="970"/>
        <v>-5859163.6100000003</v>
      </c>
      <c r="R372">
        <f t="shared" si="971"/>
        <v>-223864568.16680592</v>
      </c>
      <c r="S372">
        <f t="shared" si="972"/>
        <v>-2238.6456816680593</v>
      </c>
      <c r="T372">
        <f t="shared" si="973"/>
        <v>-2.2386456816680593</v>
      </c>
    </row>
    <row r="373" spans="1:20" x14ac:dyDescent="0.25">
      <c r="A373" s="5">
        <v>44220</v>
      </c>
      <c r="B373">
        <v>0.1037</v>
      </c>
      <c r="C373">
        <v>0.1119</v>
      </c>
      <c r="D373">
        <v>0.1031</v>
      </c>
      <c r="E373">
        <v>0.106</v>
      </c>
      <c r="F373">
        <v>3121404.35</v>
      </c>
      <c r="G373">
        <v>0</v>
      </c>
      <c r="L373" t="s">
        <v>7</v>
      </c>
      <c r="M373" t="s">
        <v>8</v>
      </c>
      <c r="N373" t="s">
        <v>7</v>
      </c>
      <c r="P373">
        <f t="shared" si="969"/>
        <v>-0.34090909090909111</v>
      </c>
      <c r="Q373">
        <f t="shared" si="970"/>
        <v>-1064115.1193181826</v>
      </c>
      <c r="R373">
        <f t="shared" si="971"/>
        <v>-218005404.55680591</v>
      </c>
      <c r="S373">
        <f t="shared" si="972"/>
        <v>-2180.0540455680589</v>
      </c>
      <c r="T373">
        <f t="shared" si="973"/>
        <v>-2.1800540455680588</v>
      </c>
    </row>
    <row r="374" spans="1:20" x14ac:dyDescent="0.25">
      <c r="A374" s="5">
        <v>44219</v>
      </c>
      <c r="B374">
        <v>0.10639999999999999</v>
      </c>
      <c r="C374">
        <v>0.1128</v>
      </c>
      <c r="D374">
        <v>0.1028</v>
      </c>
      <c r="E374">
        <v>0.104</v>
      </c>
      <c r="F374">
        <v>4614813.87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-0.76000000000000134</v>
      </c>
      <c r="Q374">
        <f t="shared" si="970"/>
        <v>-3507258.5412000064</v>
      </c>
      <c r="R374">
        <f t="shared" si="971"/>
        <v>-216941289.43748772</v>
      </c>
      <c r="S374">
        <f t="shared" si="972"/>
        <v>-2169.4128943748774</v>
      </c>
      <c r="T374">
        <f t="shared" si="973"/>
        <v>-2.1694128943748776</v>
      </c>
    </row>
    <row r="375" spans="1:20" x14ac:dyDescent="0.25">
      <c r="A375" s="5">
        <v>44218</v>
      </c>
      <c r="B375">
        <v>9.8100000000000007E-2</v>
      </c>
      <c r="C375">
        <v>0.1111</v>
      </c>
      <c r="D375">
        <v>8.8999999999999996E-2</v>
      </c>
      <c r="E375">
        <v>0.10639999999999999</v>
      </c>
      <c r="F375">
        <v>5508188.4699999997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0.57466063348416219</v>
      </c>
      <c r="Q375">
        <f t="shared" si="970"/>
        <v>3165339.075520358</v>
      </c>
      <c r="R375">
        <f t="shared" si="971"/>
        <v>-213434030.89628771</v>
      </c>
      <c r="S375">
        <f t="shared" si="972"/>
        <v>-2134.3403089628773</v>
      </c>
      <c r="T375">
        <f t="shared" si="973"/>
        <v>-2.1343403089628774</v>
      </c>
    </row>
    <row r="376" spans="1:20" x14ac:dyDescent="0.25">
      <c r="A376" s="5">
        <v>44217</v>
      </c>
      <c r="B376">
        <v>0.1119</v>
      </c>
      <c r="C376">
        <v>0.1125</v>
      </c>
      <c r="D376">
        <v>9.5100000000000004E-2</v>
      </c>
      <c r="E376">
        <v>9.8100000000000007E-2</v>
      </c>
      <c r="F376">
        <v>2580734.7799999998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-0.65517241379310309</v>
      </c>
      <c r="Q376">
        <f t="shared" si="970"/>
        <v>-1690826.2351724128</v>
      </c>
      <c r="R376">
        <f t="shared" si="971"/>
        <v>-216599369.97180808</v>
      </c>
      <c r="S376">
        <f t="shared" si="972"/>
        <v>-2165.9936997180807</v>
      </c>
      <c r="T376">
        <f t="shared" si="973"/>
        <v>-2.1659936997180806</v>
      </c>
    </row>
    <row r="377" spans="1:20" x14ac:dyDescent="0.25">
      <c r="A377" s="5">
        <v>44216</v>
      </c>
      <c r="B377">
        <v>0.114</v>
      </c>
      <c r="C377">
        <v>0.11550000000000001</v>
      </c>
      <c r="D377">
        <v>0.1056</v>
      </c>
      <c r="E377">
        <v>0.1118</v>
      </c>
      <c r="F377">
        <v>3210033.08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0.25252525252525121</v>
      </c>
      <c r="Q377">
        <f t="shared" si="970"/>
        <v>810614.41414140991</v>
      </c>
      <c r="R377">
        <f t="shared" si="971"/>
        <v>-214908543.73663566</v>
      </c>
      <c r="S377">
        <f t="shared" si="972"/>
        <v>-2149.0854373663565</v>
      </c>
      <c r="T377">
        <f t="shared" si="973"/>
        <v>-2.1490854373663564</v>
      </c>
    </row>
    <row r="378" spans="1:20" x14ac:dyDescent="0.25">
      <c r="A378" s="5">
        <v>44215</v>
      </c>
      <c r="B378">
        <v>0.1166</v>
      </c>
      <c r="C378">
        <v>0.11799999999999999</v>
      </c>
      <c r="D378">
        <v>0.1129</v>
      </c>
      <c r="E378">
        <v>0.114</v>
      </c>
      <c r="F378">
        <v>4359925.4400000004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-0.56862745098039014</v>
      </c>
      <c r="Q378">
        <f t="shared" si="970"/>
        <v>-2479173.2894117562</v>
      </c>
      <c r="R378">
        <f t="shared" si="971"/>
        <v>-215719158.15077707</v>
      </c>
      <c r="S378">
        <f t="shared" si="972"/>
        <v>-2157.1915815077709</v>
      </c>
      <c r="T378">
        <f t="shared" si="973"/>
        <v>-2.1571915815077709</v>
      </c>
    </row>
    <row r="379" spans="1:20" x14ac:dyDescent="0.25">
      <c r="A379" s="5">
        <v>44214</v>
      </c>
      <c r="B379">
        <v>0.1164</v>
      </c>
      <c r="C379">
        <v>0.12</v>
      </c>
      <c r="D379">
        <v>0.1125</v>
      </c>
      <c r="E379">
        <v>0.1162</v>
      </c>
      <c r="F379">
        <v>4103039.57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-1.3333333333333728E-2</v>
      </c>
      <c r="Q379">
        <f t="shared" si="970"/>
        <v>-54707.194266668281</v>
      </c>
      <c r="R379">
        <f t="shared" si="971"/>
        <v>-213239984.86136532</v>
      </c>
      <c r="S379">
        <f t="shared" si="972"/>
        <v>-2132.3998486136534</v>
      </c>
      <c r="T379">
        <f t="shared" si="973"/>
        <v>-2.1323998486136535</v>
      </c>
    </row>
    <row r="380" spans="1:20" x14ac:dyDescent="0.25">
      <c r="A380" s="5">
        <v>44213</v>
      </c>
      <c r="B380">
        <v>0.1145</v>
      </c>
      <c r="C380">
        <v>0.1221</v>
      </c>
      <c r="D380">
        <v>0.1077</v>
      </c>
      <c r="E380">
        <v>0.1163</v>
      </c>
      <c r="F380">
        <v>6805089.4400000004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0.19444444444444428</v>
      </c>
      <c r="Q380">
        <f t="shared" si="970"/>
        <v>1323211.8355555546</v>
      </c>
      <c r="R380">
        <f t="shared" si="971"/>
        <v>-213185277.66709864</v>
      </c>
      <c r="S380">
        <f t="shared" si="972"/>
        <v>-2131.8527766709863</v>
      </c>
      <c r="T380">
        <f t="shared" si="973"/>
        <v>-2.131852776670986</v>
      </c>
    </row>
    <row r="381" spans="1:20" x14ac:dyDescent="0.25">
      <c r="A381" s="5">
        <v>44212</v>
      </c>
      <c r="B381">
        <v>0.1137</v>
      </c>
      <c r="C381">
        <v>0.1231</v>
      </c>
      <c r="D381">
        <v>0.1115</v>
      </c>
      <c r="E381">
        <v>0.11459999999999999</v>
      </c>
      <c r="F381">
        <v>11144165.68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-0.46551724137931177</v>
      </c>
      <c r="Q381">
        <f t="shared" si="970"/>
        <v>-5187801.2648276016</v>
      </c>
      <c r="R381">
        <f t="shared" si="971"/>
        <v>-214508489.50265419</v>
      </c>
      <c r="S381">
        <f t="shared" si="972"/>
        <v>-2145.0848950265417</v>
      </c>
      <c r="T381">
        <f t="shared" si="973"/>
        <v>-2.1450848950265415</v>
      </c>
    </row>
    <row r="382" spans="1:20" x14ac:dyDescent="0.25">
      <c r="A382" s="5">
        <v>44211</v>
      </c>
      <c r="B382">
        <v>0.13039999999999999</v>
      </c>
      <c r="C382">
        <v>0.13300000000000001</v>
      </c>
      <c r="D382">
        <v>0.1055</v>
      </c>
      <c r="E382">
        <v>0.1137</v>
      </c>
      <c r="F382">
        <v>14067450.109999999</v>
      </c>
      <c r="G382">
        <v>0</v>
      </c>
      <c r="L382" t="s">
        <v>7</v>
      </c>
      <c r="M382" t="s">
        <v>7</v>
      </c>
      <c r="N382" t="s">
        <v>8</v>
      </c>
      <c r="P382">
        <f t="shared" si="969"/>
        <v>-0.40363636363636396</v>
      </c>
      <c r="Q382">
        <f t="shared" si="970"/>
        <v>-5678134.408036368</v>
      </c>
      <c r="R382">
        <f t="shared" si="971"/>
        <v>-209320688.23782659</v>
      </c>
      <c r="S382">
        <f t="shared" si="972"/>
        <v>-2093.2068823782661</v>
      </c>
      <c r="T382">
        <f t="shared" si="973"/>
        <v>-2.0932068823782659</v>
      </c>
    </row>
    <row r="383" spans="1:20" x14ac:dyDescent="0.25">
      <c r="A383" s="5">
        <v>44210</v>
      </c>
      <c r="B383">
        <v>0.1202</v>
      </c>
      <c r="C383">
        <v>0.13869999999999999</v>
      </c>
      <c r="D383">
        <v>0.1115</v>
      </c>
      <c r="E383">
        <v>0.13</v>
      </c>
      <c r="F383">
        <v>19749352.260000002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0.3602941176470596</v>
      </c>
      <c r="Q383">
        <f t="shared" si="970"/>
        <v>7115575.4466176629</v>
      </c>
      <c r="R383">
        <f t="shared" si="971"/>
        <v>-203642553.8297902</v>
      </c>
      <c r="S383">
        <f t="shared" si="972"/>
        <v>-2036.425538297902</v>
      </c>
      <c r="T383">
        <f t="shared" si="973"/>
        <v>-2.0364255382979022</v>
      </c>
    </row>
    <row r="384" spans="1:20" x14ac:dyDescent="0.25">
      <c r="A384" s="5">
        <v>44209</v>
      </c>
      <c r="B384">
        <v>0.1135</v>
      </c>
      <c r="C384">
        <v>0.1229</v>
      </c>
      <c r="D384">
        <v>0.10390000000000001</v>
      </c>
      <c r="E384">
        <v>0.1201</v>
      </c>
      <c r="F384">
        <v>14994186.710000001</v>
      </c>
      <c r="G384">
        <v>0</v>
      </c>
      <c r="L384" t="s">
        <v>7</v>
      </c>
      <c r="M384" t="s">
        <v>7</v>
      </c>
      <c r="N384" t="s">
        <v>7</v>
      </c>
      <c r="P384">
        <f t="shared" si="969"/>
        <v>0.70526315789473704</v>
      </c>
      <c r="Q384">
        <f t="shared" si="970"/>
        <v>10574847.469157899</v>
      </c>
      <c r="R384">
        <f t="shared" si="971"/>
        <v>-210758129.27640787</v>
      </c>
      <c r="S384">
        <f t="shared" si="972"/>
        <v>-2107.5812927640786</v>
      </c>
      <c r="T384">
        <f t="shared" si="973"/>
        <v>-2.1075812927640785</v>
      </c>
    </row>
    <row r="385" spans="1:20" x14ac:dyDescent="0.25">
      <c r="A385" s="5">
        <v>44208</v>
      </c>
      <c r="B385">
        <v>0.11550000000000001</v>
      </c>
      <c r="C385">
        <v>0.13200000000000001</v>
      </c>
      <c r="D385">
        <v>0.108</v>
      </c>
      <c r="E385">
        <v>0.1135</v>
      </c>
      <c r="F385">
        <v>34548629.759999998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-0.54166666666666641</v>
      </c>
      <c r="Q385">
        <f t="shared" si="970"/>
        <v>-18713841.11999999</v>
      </c>
      <c r="R385">
        <f t="shared" si="971"/>
        <v>-221332976.74556577</v>
      </c>
      <c r="S385">
        <f t="shared" si="972"/>
        <v>-2213.3297674556579</v>
      </c>
      <c r="T385">
        <f t="shared" si="973"/>
        <v>-2.213329767455658</v>
      </c>
    </row>
    <row r="386" spans="1:20" x14ac:dyDescent="0.25">
      <c r="A386" s="5">
        <v>44207</v>
      </c>
      <c r="B386">
        <v>0.16650000000000001</v>
      </c>
      <c r="C386">
        <v>0.1673</v>
      </c>
      <c r="D386">
        <v>9.7500000000000003E-2</v>
      </c>
      <c r="E386">
        <v>0.1154</v>
      </c>
      <c r="F386">
        <v>58630115.649999999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-0.4871060171919771</v>
      </c>
      <c r="Q386">
        <f t="shared" si="970"/>
        <v>-28559082.121776506</v>
      </c>
      <c r="R386">
        <f t="shared" si="971"/>
        <v>-202619135.62556577</v>
      </c>
      <c r="S386">
        <f t="shared" si="972"/>
        <v>-2026.1913562556576</v>
      </c>
      <c r="T386">
        <f t="shared" si="973"/>
        <v>-2.0261913562556577</v>
      </c>
    </row>
    <row r="387" spans="1:20" x14ac:dyDescent="0.25">
      <c r="A387" s="5">
        <v>44206</v>
      </c>
      <c r="B387">
        <v>0.1837</v>
      </c>
      <c r="C387">
        <v>0.3</v>
      </c>
      <c r="D387">
        <v>0.15590000000000001</v>
      </c>
      <c r="E387">
        <v>0.16650000000000001</v>
      </c>
      <c r="F387">
        <v>84793850.900000006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-0.85287994448299786</v>
      </c>
      <c r="Q387">
        <f t="shared" si="970"/>
        <v>-72318974.848091602</v>
      </c>
      <c r="R387">
        <f t="shared" si="971"/>
        <v>-174060053.50378925</v>
      </c>
      <c r="S387">
        <f t="shared" si="972"/>
        <v>-1740.6005350378925</v>
      </c>
      <c r="T387">
        <f t="shared" si="973"/>
        <v>-1.7406005350378926</v>
      </c>
    </row>
    <row r="388" spans="1:20" x14ac:dyDescent="0.25">
      <c r="A388" s="5">
        <v>44205</v>
      </c>
      <c r="B388">
        <v>0.16889999999999999</v>
      </c>
      <c r="C388">
        <v>0.23860000000000001</v>
      </c>
      <c r="D388">
        <v>0.14000000000000001</v>
      </c>
      <c r="E388">
        <v>0.18260000000000001</v>
      </c>
      <c r="F388">
        <v>100880363.86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-0.13590263691683566</v>
      </c>
      <c r="Q388">
        <f t="shared" si="970"/>
        <v>-13709907.46170385</v>
      </c>
      <c r="R388">
        <f t="shared" si="971"/>
        <v>-101741078.65569763</v>
      </c>
      <c r="S388">
        <f t="shared" si="972"/>
        <v>-1017.4107865569763</v>
      </c>
      <c r="T388">
        <f t="shared" si="973"/>
        <v>-1.0174107865569764</v>
      </c>
    </row>
    <row r="389" spans="1:20" x14ac:dyDescent="0.25">
      <c r="A389" s="5">
        <v>44204</v>
      </c>
      <c r="B389">
        <v>9.3600000000000003E-2</v>
      </c>
      <c r="C389">
        <v>0.188</v>
      </c>
      <c r="D389">
        <v>9.2600000000000002E-2</v>
      </c>
      <c r="E389">
        <v>0.16889999999999999</v>
      </c>
      <c r="F389">
        <v>112647127.73999999</v>
      </c>
      <c r="G389">
        <v>0</v>
      </c>
      <c r="L389" t="s">
        <v>8</v>
      </c>
      <c r="M389" t="s">
        <v>8</v>
      </c>
      <c r="N389" t="s">
        <v>8</v>
      </c>
      <c r="P389">
        <f t="shared" si="969"/>
        <v>0.59958071278825986</v>
      </c>
      <c r="Q389">
        <f t="shared" si="970"/>
        <v>67541045.143899351</v>
      </c>
      <c r="R389">
        <f t="shared" si="971"/>
        <v>-88031171.193993777</v>
      </c>
      <c r="S389">
        <f t="shared" si="972"/>
        <v>-880.31171193993782</v>
      </c>
      <c r="T389">
        <f t="shared" si="973"/>
        <v>-0.88031171193993785</v>
      </c>
    </row>
    <row r="390" spans="1:20" x14ac:dyDescent="0.25">
      <c r="A390" s="5">
        <v>44203</v>
      </c>
      <c r="B390">
        <v>8.2600000000000007E-2</v>
      </c>
      <c r="C390">
        <v>0.17</v>
      </c>
      <c r="D390">
        <v>8.0799999999999997E-2</v>
      </c>
      <c r="E390">
        <v>9.4E-2</v>
      </c>
      <c r="F390">
        <v>30767714.609999999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-0.70403587443946181</v>
      </c>
      <c r="Q390">
        <f t="shared" ref="Q390:Q453" si="975">F390*P390</f>
        <v>-21661574.859955154</v>
      </c>
      <c r="R390">
        <f t="shared" ref="R390:R453" si="976">R391+Q390</f>
        <v>-155572216.33789313</v>
      </c>
      <c r="S390">
        <f t="shared" ref="S390:S453" si="977">R390/100000</f>
        <v>-1555.7221633789313</v>
      </c>
      <c r="T390">
        <f t="shared" ref="T390:T453" si="978">S390/1000</f>
        <v>-1.5557221633789313</v>
      </c>
    </row>
    <row r="391" spans="1:20" x14ac:dyDescent="0.25">
      <c r="A391" s="5">
        <v>44202</v>
      </c>
      <c r="B391">
        <v>7.6700000000000004E-2</v>
      </c>
      <c r="C391">
        <v>8.7400000000000005E-2</v>
      </c>
      <c r="D391">
        <v>7.5300000000000006E-2</v>
      </c>
      <c r="E391">
        <v>8.2400000000000001E-2</v>
      </c>
      <c r="F391">
        <v>4232387.04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0.17355371900826372</v>
      </c>
      <c r="Q391">
        <f t="shared" si="975"/>
        <v>734546.51107437699</v>
      </c>
      <c r="R391">
        <f t="shared" si="976"/>
        <v>-133910641.47793798</v>
      </c>
      <c r="S391">
        <f t="shared" si="977"/>
        <v>-1339.1064147793797</v>
      </c>
      <c r="T391">
        <f t="shared" si="978"/>
        <v>-1.3391064147793796</v>
      </c>
    </row>
    <row r="392" spans="1:20" x14ac:dyDescent="0.25">
      <c r="A392" s="5">
        <v>44201</v>
      </c>
      <c r="B392">
        <v>7.5600000000000001E-2</v>
      </c>
      <c r="C392">
        <v>7.85E-2</v>
      </c>
      <c r="D392">
        <v>7.2300000000000003E-2</v>
      </c>
      <c r="E392">
        <v>7.6999999999999999E-2</v>
      </c>
      <c r="F392">
        <v>2313346.58</v>
      </c>
      <c r="G392">
        <v>0</v>
      </c>
      <c r="L392" t="s">
        <v>8</v>
      </c>
      <c r="M392" t="s">
        <v>7</v>
      </c>
      <c r="N392" t="s">
        <v>8</v>
      </c>
      <c r="P392">
        <f t="shared" si="974"/>
        <v>0.51612903225806384</v>
      </c>
      <c r="Q392">
        <f t="shared" si="975"/>
        <v>1193985.3316129018</v>
      </c>
      <c r="R392">
        <f t="shared" si="976"/>
        <v>-134645187.98901236</v>
      </c>
      <c r="S392">
        <f t="shared" si="977"/>
        <v>-1346.4518798901236</v>
      </c>
      <c r="T392">
        <f t="shared" si="978"/>
        <v>-1.3464518798901235</v>
      </c>
    </row>
    <row r="393" spans="1:20" x14ac:dyDescent="0.25">
      <c r="A393" s="5">
        <v>44200</v>
      </c>
      <c r="B393">
        <v>7.8399999999999997E-2</v>
      </c>
      <c r="C393">
        <v>8.5000000000000006E-2</v>
      </c>
      <c r="D393">
        <v>7.1199999999999999E-2</v>
      </c>
      <c r="E393">
        <v>7.5700000000000003E-2</v>
      </c>
      <c r="F393">
        <v>3693747.2</v>
      </c>
      <c r="G393">
        <v>0</v>
      </c>
      <c r="L393" t="s">
        <v>7</v>
      </c>
      <c r="M393" t="s">
        <v>7</v>
      </c>
      <c r="N393" t="s">
        <v>8</v>
      </c>
      <c r="P393">
        <f t="shared" si="974"/>
        <v>-0.34782608695652145</v>
      </c>
      <c r="Q393">
        <f t="shared" si="975"/>
        <v>-1284781.6347826077</v>
      </c>
      <c r="R393">
        <f t="shared" si="976"/>
        <v>-135839173.32062528</v>
      </c>
      <c r="S393">
        <f t="shared" si="977"/>
        <v>-1358.3917332062529</v>
      </c>
      <c r="T393">
        <f t="shared" si="978"/>
        <v>-1.3583917332062529</v>
      </c>
    </row>
    <row r="394" spans="1:20" x14ac:dyDescent="0.25">
      <c r="A394" s="5">
        <v>44199</v>
      </c>
      <c r="B394">
        <v>8.6300000000000002E-2</v>
      </c>
      <c r="C394">
        <v>9.2200000000000004E-2</v>
      </c>
      <c r="D394">
        <v>7.8399999999999997E-2</v>
      </c>
      <c r="E394">
        <v>7.8600000000000003E-2</v>
      </c>
      <c r="F394">
        <v>6351932.1100000003</v>
      </c>
      <c r="G394">
        <v>0</v>
      </c>
      <c r="L394" t="s">
        <v>7</v>
      </c>
      <c r="M394" t="s">
        <v>7</v>
      </c>
      <c r="N394" t="s">
        <v>8</v>
      </c>
      <c r="P394">
        <f t="shared" si="974"/>
        <v>-0.97101449275362239</v>
      </c>
      <c r="Q394">
        <f t="shared" si="975"/>
        <v>-6167818.1357970964</v>
      </c>
      <c r="R394">
        <f t="shared" si="976"/>
        <v>-134554391.68584266</v>
      </c>
      <c r="S394">
        <f t="shared" si="977"/>
        <v>-1345.5439168584267</v>
      </c>
      <c r="T394">
        <f t="shared" si="978"/>
        <v>-1.3455439168584267</v>
      </c>
    </row>
    <row r="395" spans="1:20" x14ac:dyDescent="0.25">
      <c r="A395" s="5">
        <v>44198</v>
      </c>
      <c r="B395">
        <v>8.2900000000000001E-2</v>
      </c>
      <c r="C395">
        <v>9.2200000000000004E-2</v>
      </c>
      <c r="D395">
        <v>7.9600000000000004E-2</v>
      </c>
      <c r="E395">
        <v>8.6099999999999996E-2</v>
      </c>
      <c r="F395">
        <v>5234908.8499999996</v>
      </c>
      <c r="G395">
        <v>0</v>
      </c>
      <c r="L395" t="s">
        <v>8</v>
      </c>
      <c r="M395" t="s">
        <v>8</v>
      </c>
      <c r="N395" t="s">
        <v>8</v>
      </c>
      <c r="P395">
        <f t="shared" si="974"/>
        <v>3.1746031746030454E-2</v>
      </c>
      <c r="Q395">
        <f t="shared" si="975"/>
        <v>166187.58253967576</v>
      </c>
      <c r="R395">
        <f t="shared" si="976"/>
        <v>-128386573.55004556</v>
      </c>
      <c r="S395">
        <f t="shared" si="977"/>
        <v>-1283.8657355004557</v>
      </c>
      <c r="T395">
        <f t="shared" si="978"/>
        <v>-1.2838657355004557</v>
      </c>
    </row>
    <row r="396" spans="1:20" x14ac:dyDescent="0.25">
      <c r="A396" s="5">
        <v>44197</v>
      </c>
      <c r="B396">
        <v>7.8700000000000006E-2</v>
      </c>
      <c r="C396">
        <v>8.5000000000000006E-2</v>
      </c>
      <c r="D396">
        <v>7.7899999999999997E-2</v>
      </c>
      <c r="E396">
        <v>8.2299999999999998E-2</v>
      </c>
      <c r="F396">
        <v>2214068.37</v>
      </c>
      <c r="G396">
        <v>0</v>
      </c>
      <c r="L396" t="s">
        <v>8</v>
      </c>
      <c r="M396" t="s">
        <v>7</v>
      </c>
      <c r="N396" t="s">
        <v>8</v>
      </c>
      <c r="P396">
        <f t="shared" si="974"/>
        <v>0.2394366197183086</v>
      </c>
      <c r="Q396">
        <f t="shared" si="975"/>
        <v>530129.04633802536</v>
      </c>
      <c r="R396">
        <f t="shared" si="976"/>
        <v>-128552761.13258524</v>
      </c>
      <c r="S396">
        <f t="shared" si="977"/>
        <v>-1285.5276113258524</v>
      </c>
      <c r="T396">
        <f t="shared" si="978"/>
        <v>-1.2855276113258525</v>
      </c>
    </row>
    <row r="397" spans="1:20" x14ac:dyDescent="0.25">
      <c r="A397" s="5">
        <v>44196</v>
      </c>
      <c r="B397">
        <v>7.8E-2</v>
      </c>
      <c r="C397">
        <v>7.9399999999999998E-2</v>
      </c>
      <c r="D397">
        <v>7.3800000000000004E-2</v>
      </c>
      <c r="E397">
        <v>7.8899999999999998E-2</v>
      </c>
      <c r="F397">
        <v>1638145.62</v>
      </c>
      <c r="G397">
        <v>0</v>
      </c>
      <c r="L397" t="s">
        <v>7</v>
      </c>
      <c r="M397" t="s">
        <v>7</v>
      </c>
      <c r="N397" t="s">
        <v>8</v>
      </c>
      <c r="P397">
        <f t="shared" si="974"/>
        <v>0.82142857142857106</v>
      </c>
      <c r="Q397">
        <f t="shared" si="975"/>
        <v>1345619.6164285708</v>
      </c>
      <c r="R397">
        <f t="shared" si="976"/>
        <v>-129082890.17892326</v>
      </c>
      <c r="S397">
        <f t="shared" si="977"/>
        <v>-1290.8289017892325</v>
      </c>
      <c r="T397">
        <f t="shared" si="978"/>
        <v>-1.2908289017892325</v>
      </c>
    </row>
    <row r="398" spans="1:20" x14ac:dyDescent="0.25">
      <c r="A398" s="5">
        <v>44195</v>
      </c>
      <c r="B398">
        <v>8.0299999999999996E-2</v>
      </c>
      <c r="C398">
        <v>8.0799999999999997E-2</v>
      </c>
      <c r="D398">
        <v>7.6200000000000004E-2</v>
      </c>
      <c r="E398">
        <v>7.7799999999999994E-2</v>
      </c>
      <c r="F398">
        <v>2179957.9900000002</v>
      </c>
      <c r="G398">
        <v>0</v>
      </c>
      <c r="L398" t="s">
        <v>7</v>
      </c>
      <c r="M398" t="s">
        <v>8</v>
      </c>
      <c r="N398" t="s">
        <v>8</v>
      </c>
      <c r="P398">
        <f t="shared" si="974"/>
        <v>-0.30434782608695965</v>
      </c>
      <c r="Q398">
        <f t="shared" si="975"/>
        <v>-663465.47521739814</v>
      </c>
      <c r="R398">
        <f t="shared" si="976"/>
        <v>-130428509.79535183</v>
      </c>
      <c r="S398">
        <f t="shared" si="977"/>
        <v>-1304.2850979535183</v>
      </c>
      <c r="T398">
        <f t="shared" si="978"/>
        <v>-1.3042850979535183</v>
      </c>
    </row>
    <row r="399" spans="1:20" x14ac:dyDescent="0.25">
      <c r="A399" s="5">
        <v>44194</v>
      </c>
      <c r="B399">
        <v>7.1400000000000005E-2</v>
      </c>
      <c r="C399">
        <v>8.8200000000000001E-2</v>
      </c>
      <c r="D399">
        <v>6.9500000000000006E-2</v>
      </c>
      <c r="E399">
        <v>0.08</v>
      </c>
      <c r="F399">
        <v>6379144.5999999996</v>
      </c>
      <c r="G399">
        <v>0</v>
      </c>
      <c r="L399" t="s">
        <v>8</v>
      </c>
      <c r="M399" t="s">
        <v>8</v>
      </c>
      <c r="N399" t="s">
        <v>8</v>
      </c>
      <c r="P399">
        <f t="shared" si="974"/>
        <v>0.12299465240641697</v>
      </c>
      <c r="Q399">
        <f t="shared" si="975"/>
        <v>784600.6727272718</v>
      </c>
      <c r="R399">
        <f t="shared" si="976"/>
        <v>-129765044.32013443</v>
      </c>
      <c r="S399">
        <f t="shared" si="977"/>
        <v>-1297.6504432013444</v>
      </c>
      <c r="T399">
        <f t="shared" si="978"/>
        <v>-1.2976504432013445</v>
      </c>
    </row>
    <row r="400" spans="1:20" x14ac:dyDescent="0.25">
      <c r="A400" s="5">
        <v>44193</v>
      </c>
      <c r="B400">
        <v>7.1300000000000002E-2</v>
      </c>
      <c r="C400">
        <v>7.85E-2</v>
      </c>
      <c r="D400">
        <v>7.0999999999999994E-2</v>
      </c>
      <c r="E400">
        <v>7.1499999999999994E-2</v>
      </c>
      <c r="F400">
        <v>1527261.24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-0.8666666666666667</v>
      </c>
      <c r="Q400">
        <f t="shared" si="975"/>
        <v>-1323626.4080000001</v>
      </c>
      <c r="R400">
        <f t="shared" si="976"/>
        <v>-130549644.9928617</v>
      </c>
      <c r="S400">
        <f t="shared" si="977"/>
        <v>-1305.496449928617</v>
      </c>
      <c r="T400">
        <f t="shared" si="978"/>
        <v>-1.305496449928617</v>
      </c>
    </row>
    <row r="401" spans="1:20" x14ac:dyDescent="0.25">
      <c r="A401" s="5">
        <v>44192</v>
      </c>
      <c r="B401">
        <v>7.2599999999999998E-2</v>
      </c>
      <c r="C401">
        <v>7.4499999999999997E-2</v>
      </c>
      <c r="D401">
        <v>7.0000000000000007E-2</v>
      </c>
      <c r="E401">
        <v>7.1300000000000002E-2</v>
      </c>
      <c r="F401">
        <v>827465.58</v>
      </c>
      <c r="G401">
        <v>0</v>
      </c>
      <c r="L401" t="s">
        <v>7</v>
      </c>
      <c r="M401" t="s">
        <v>8</v>
      </c>
      <c r="N401" t="s">
        <v>7</v>
      </c>
      <c r="P401">
        <f t="shared" si="974"/>
        <v>-0.42222222222222289</v>
      </c>
      <c r="Q401">
        <f t="shared" si="975"/>
        <v>-349374.35600000055</v>
      </c>
      <c r="R401">
        <f t="shared" si="976"/>
        <v>-129226018.5848617</v>
      </c>
      <c r="S401">
        <f t="shared" si="977"/>
        <v>-1292.2601858486169</v>
      </c>
      <c r="T401">
        <f t="shared" si="978"/>
        <v>-1.2922601858486169</v>
      </c>
    </row>
    <row r="402" spans="1:20" x14ac:dyDescent="0.25">
      <c r="A402" s="5">
        <v>44191</v>
      </c>
      <c r="B402">
        <v>7.3700000000000002E-2</v>
      </c>
      <c r="C402">
        <v>7.3700000000000002E-2</v>
      </c>
      <c r="D402">
        <v>7.1199999999999999E-2</v>
      </c>
      <c r="E402">
        <v>7.2400000000000006E-2</v>
      </c>
      <c r="F402">
        <v>920854.59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-3.999999999999556E-2</v>
      </c>
      <c r="Q402">
        <f t="shared" si="975"/>
        <v>-36834.183599995908</v>
      </c>
      <c r="R402">
        <f t="shared" si="976"/>
        <v>-128876644.22886169</v>
      </c>
      <c r="S402">
        <f t="shared" si="977"/>
        <v>-1288.7664422886169</v>
      </c>
      <c r="T402">
        <f t="shared" si="978"/>
        <v>-1.2887664422886169</v>
      </c>
    </row>
    <row r="403" spans="1:20" x14ac:dyDescent="0.25">
      <c r="A403" s="5">
        <v>44190</v>
      </c>
      <c r="B403">
        <v>7.4899999999999994E-2</v>
      </c>
      <c r="C403">
        <v>7.7299999999999994E-2</v>
      </c>
      <c r="D403">
        <v>7.2499999999999995E-2</v>
      </c>
      <c r="E403">
        <v>7.3499999999999996E-2</v>
      </c>
      <c r="F403">
        <v>576513.94999999995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-0.58333333333333282</v>
      </c>
      <c r="Q403">
        <f t="shared" si="975"/>
        <v>-336299.80416666635</v>
      </c>
      <c r="R403">
        <f t="shared" si="976"/>
        <v>-128839810.0452617</v>
      </c>
      <c r="S403">
        <f t="shared" si="977"/>
        <v>-1288.398100452617</v>
      </c>
      <c r="T403">
        <f t="shared" si="978"/>
        <v>-1.288398100452617</v>
      </c>
    </row>
    <row r="404" spans="1:20" x14ac:dyDescent="0.25">
      <c r="A404" s="5">
        <v>44189</v>
      </c>
      <c r="B404">
        <v>6.8699999999999997E-2</v>
      </c>
      <c r="C404">
        <v>7.5200000000000003E-2</v>
      </c>
      <c r="D404">
        <v>6.1199999999999997E-2</v>
      </c>
      <c r="E404">
        <v>7.4800000000000005E-2</v>
      </c>
      <c r="F404">
        <v>1229094.43</v>
      </c>
      <c r="G404">
        <v>0</v>
      </c>
      <c r="L404" t="s">
        <v>7</v>
      </c>
      <c r="M404" t="s">
        <v>7</v>
      </c>
      <c r="N404" t="s">
        <v>7</v>
      </c>
      <c r="P404">
        <f t="shared" si="974"/>
        <v>0.94285714285714317</v>
      </c>
      <c r="Q404">
        <f t="shared" si="975"/>
        <v>1158860.4625714289</v>
      </c>
      <c r="R404">
        <f t="shared" si="976"/>
        <v>-128503510.24109504</v>
      </c>
      <c r="S404">
        <f t="shared" si="977"/>
        <v>-1285.0351024109505</v>
      </c>
      <c r="T404">
        <f t="shared" si="978"/>
        <v>-1.2850351024109505</v>
      </c>
    </row>
    <row r="405" spans="1:20" x14ac:dyDescent="0.25">
      <c r="A405" s="5">
        <v>44188</v>
      </c>
      <c r="B405">
        <v>8.0299999999999996E-2</v>
      </c>
      <c r="C405">
        <v>8.0600000000000005E-2</v>
      </c>
      <c r="D405">
        <v>6.6900000000000001E-2</v>
      </c>
      <c r="E405">
        <v>6.9099999999999995E-2</v>
      </c>
      <c r="F405">
        <v>2390678.54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-0.67883211678832223</v>
      </c>
      <c r="Q405">
        <f t="shared" si="975"/>
        <v>-1622869.3738686156</v>
      </c>
      <c r="R405">
        <f t="shared" si="976"/>
        <v>-129662370.70366646</v>
      </c>
      <c r="S405">
        <f t="shared" si="977"/>
        <v>-1296.6237070366647</v>
      </c>
      <c r="T405">
        <f t="shared" si="978"/>
        <v>-1.2966237070366646</v>
      </c>
    </row>
    <row r="406" spans="1:20" x14ac:dyDescent="0.25">
      <c r="A406" s="5">
        <v>44187</v>
      </c>
      <c r="B406">
        <v>8.2900000000000001E-2</v>
      </c>
      <c r="C406">
        <v>8.3299999999999999E-2</v>
      </c>
      <c r="D406">
        <v>7.8600000000000003E-2</v>
      </c>
      <c r="E406">
        <v>8.0199999999999994E-2</v>
      </c>
      <c r="F406">
        <v>1385968.85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-0.31914893617021628</v>
      </c>
      <c r="Q406">
        <f t="shared" si="975"/>
        <v>-442330.48404255806</v>
      </c>
      <c r="R406">
        <f t="shared" si="976"/>
        <v>-128039501.32979785</v>
      </c>
      <c r="S406">
        <f t="shared" si="977"/>
        <v>-1280.3950132979785</v>
      </c>
      <c r="T406">
        <f t="shared" si="978"/>
        <v>-1.2803950132979784</v>
      </c>
    </row>
    <row r="407" spans="1:20" x14ac:dyDescent="0.25">
      <c r="A407" s="5">
        <v>44186</v>
      </c>
      <c r="B407">
        <v>8.9099999999999999E-2</v>
      </c>
      <c r="C407">
        <v>8.9899999999999994E-2</v>
      </c>
      <c r="D407">
        <v>8.1000000000000003E-2</v>
      </c>
      <c r="E407">
        <v>8.2900000000000001E-2</v>
      </c>
      <c r="F407">
        <v>1954991.07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-0.57303370786516838</v>
      </c>
      <c r="Q407">
        <f t="shared" si="975"/>
        <v>-1120275.7816853931</v>
      </c>
      <c r="R407">
        <f t="shared" si="976"/>
        <v>-127597170.84575529</v>
      </c>
      <c r="S407">
        <f t="shared" si="977"/>
        <v>-1275.9717084575529</v>
      </c>
      <c r="T407">
        <f t="shared" si="978"/>
        <v>-1.275971708457553</v>
      </c>
    </row>
    <row r="408" spans="1:20" x14ac:dyDescent="0.25">
      <c r="A408" s="5">
        <v>44185</v>
      </c>
      <c r="B408">
        <v>8.9300000000000004E-2</v>
      </c>
      <c r="C408">
        <v>9.5200000000000007E-2</v>
      </c>
      <c r="D408">
        <v>8.6499999999999994E-2</v>
      </c>
      <c r="E408">
        <v>8.8999999999999996E-2</v>
      </c>
      <c r="F408">
        <v>5193387.41</v>
      </c>
      <c r="G408">
        <v>0</v>
      </c>
      <c r="L408" t="s">
        <v>7</v>
      </c>
      <c r="M408" t="s">
        <v>8</v>
      </c>
      <c r="N408" t="s">
        <v>8</v>
      </c>
      <c r="P408">
        <f t="shared" si="974"/>
        <v>-0.42528735632183945</v>
      </c>
      <c r="Q408">
        <f t="shared" si="975"/>
        <v>-2208682.0019540251</v>
      </c>
      <c r="R408">
        <f t="shared" si="976"/>
        <v>-126476895.0640699</v>
      </c>
      <c r="S408">
        <f t="shared" si="977"/>
        <v>-1264.7689506406989</v>
      </c>
      <c r="T408">
        <f t="shared" si="978"/>
        <v>-1.2647689506406989</v>
      </c>
    </row>
    <row r="409" spans="1:20" x14ac:dyDescent="0.25">
      <c r="A409" s="5">
        <v>44184</v>
      </c>
      <c r="B409">
        <v>8.5900000000000004E-2</v>
      </c>
      <c r="C409">
        <v>9.7000000000000003E-2</v>
      </c>
      <c r="D409">
        <v>8.5300000000000001E-2</v>
      </c>
      <c r="E409">
        <v>8.8999999999999996E-2</v>
      </c>
      <c r="F409">
        <v>5092807.47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-0.36752136752136849</v>
      </c>
      <c r="Q409">
        <f t="shared" si="975"/>
        <v>-1871715.5658974408</v>
      </c>
      <c r="R409">
        <f t="shared" si="976"/>
        <v>-124268213.06211588</v>
      </c>
      <c r="S409">
        <f t="shared" si="977"/>
        <v>-1242.6821306211589</v>
      </c>
      <c r="T409">
        <f t="shared" si="978"/>
        <v>-1.2426821306211588</v>
      </c>
    </row>
    <row r="410" spans="1:20" x14ac:dyDescent="0.25">
      <c r="A410" s="5">
        <v>44183</v>
      </c>
      <c r="B410">
        <v>8.3799999999999999E-2</v>
      </c>
      <c r="C410">
        <v>8.7400000000000005E-2</v>
      </c>
      <c r="D410">
        <v>8.2699999999999996E-2</v>
      </c>
      <c r="E410">
        <v>8.5999999999999993E-2</v>
      </c>
      <c r="F410">
        <v>1684218.68</v>
      </c>
      <c r="G410">
        <v>0</v>
      </c>
      <c r="L410" t="s">
        <v>7</v>
      </c>
      <c r="M410" t="s">
        <v>7</v>
      </c>
      <c r="N410" t="s">
        <v>8</v>
      </c>
      <c r="P410">
        <f t="shared" si="974"/>
        <v>0.40425531914893215</v>
      </c>
      <c r="Q410">
        <f t="shared" si="975"/>
        <v>680854.35999999323</v>
      </c>
      <c r="R410">
        <f t="shared" si="976"/>
        <v>-122396497.49621844</v>
      </c>
      <c r="S410">
        <f t="shared" si="977"/>
        <v>-1223.9649749621844</v>
      </c>
      <c r="T410">
        <f t="shared" si="978"/>
        <v>-1.2239649749621844</v>
      </c>
    </row>
    <row r="411" spans="1:20" x14ac:dyDescent="0.25">
      <c r="A411" s="5">
        <v>44182</v>
      </c>
      <c r="B411">
        <v>8.5699999999999998E-2</v>
      </c>
      <c r="C411">
        <v>8.6199999999999999E-2</v>
      </c>
      <c r="D411">
        <v>8.1699999999999995E-2</v>
      </c>
      <c r="E411">
        <v>8.3799999999999999E-2</v>
      </c>
      <c r="F411">
        <v>1898861.48</v>
      </c>
      <c r="G411">
        <v>0</v>
      </c>
      <c r="L411" t="s">
        <v>7</v>
      </c>
      <c r="M411" t="s">
        <v>7</v>
      </c>
      <c r="N411" t="s">
        <v>8</v>
      </c>
      <c r="P411">
        <f t="shared" si="974"/>
        <v>-6.6666666666665431E-2</v>
      </c>
      <c r="Q411">
        <f t="shared" si="975"/>
        <v>-126590.76533333099</v>
      </c>
      <c r="R411">
        <f t="shared" si="976"/>
        <v>-123077351.85621844</v>
      </c>
      <c r="S411">
        <f t="shared" si="977"/>
        <v>-1230.7735185621843</v>
      </c>
      <c r="T411">
        <f t="shared" si="978"/>
        <v>-1.2307735185621844</v>
      </c>
    </row>
    <row r="412" spans="1:20" x14ac:dyDescent="0.25">
      <c r="A412" s="5">
        <v>44181</v>
      </c>
      <c r="B412">
        <v>8.2400000000000001E-2</v>
      </c>
      <c r="C412">
        <v>8.6699999999999999E-2</v>
      </c>
      <c r="D412">
        <v>8.1000000000000003E-2</v>
      </c>
      <c r="E412">
        <v>8.5500000000000007E-2</v>
      </c>
      <c r="F412">
        <v>1182396.43</v>
      </c>
      <c r="G412">
        <v>0</v>
      </c>
      <c r="L412" t="s">
        <v>7</v>
      </c>
      <c r="M412" t="s">
        <v>7</v>
      </c>
      <c r="N412" t="s">
        <v>8</v>
      </c>
      <c r="P412">
        <f t="shared" si="974"/>
        <v>0.57894736842105499</v>
      </c>
      <c r="Q412">
        <f t="shared" si="975"/>
        <v>684545.30157895014</v>
      </c>
      <c r="R412">
        <f t="shared" si="976"/>
        <v>-122950761.09088512</v>
      </c>
      <c r="S412">
        <f t="shared" si="977"/>
        <v>-1229.5076109088511</v>
      </c>
      <c r="T412">
        <f t="shared" si="978"/>
        <v>-1.2295076109088512</v>
      </c>
    </row>
    <row r="413" spans="1:20" x14ac:dyDescent="0.25">
      <c r="A413" s="5">
        <v>44180</v>
      </c>
      <c r="B413">
        <v>8.2500000000000004E-2</v>
      </c>
      <c r="C413">
        <v>8.4500000000000006E-2</v>
      </c>
      <c r="D413">
        <v>8.1500000000000003E-2</v>
      </c>
      <c r="E413">
        <v>8.2400000000000001E-2</v>
      </c>
      <c r="F413">
        <v>997262.64</v>
      </c>
      <c r="G413">
        <v>0</v>
      </c>
      <c r="L413" t="s">
        <v>7</v>
      </c>
      <c r="M413" t="s">
        <v>7</v>
      </c>
      <c r="N413" t="s">
        <v>8</v>
      </c>
      <c r="P413">
        <f t="shared" si="974"/>
        <v>-0.40000000000000185</v>
      </c>
      <c r="Q413">
        <f t="shared" si="975"/>
        <v>-398905.05600000184</v>
      </c>
      <c r="R413">
        <f t="shared" si="976"/>
        <v>-123635306.39246407</v>
      </c>
      <c r="S413">
        <f t="shared" si="977"/>
        <v>-1236.3530639246408</v>
      </c>
      <c r="T413">
        <f t="shared" si="978"/>
        <v>-1.2363530639246407</v>
      </c>
    </row>
    <row r="414" spans="1:20" x14ac:dyDescent="0.25">
      <c r="A414" s="5">
        <v>44179</v>
      </c>
      <c r="B414">
        <v>8.4400000000000003E-2</v>
      </c>
      <c r="C414">
        <v>8.4500000000000006E-2</v>
      </c>
      <c r="D414">
        <v>8.09E-2</v>
      </c>
      <c r="E414">
        <v>8.2500000000000004E-2</v>
      </c>
      <c r="F414">
        <v>1467509.24</v>
      </c>
      <c r="G414">
        <v>0</v>
      </c>
      <c r="L414" t="s">
        <v>7</v>
      </c>
      <c r="M414" t="s">
        <v>7</v>
      </c>
      <c r="N414" t="s">
        <v>8</v>
      </c>
      <c r="P414">
        <f t="shared" si="974"/>
        <v>-0.11111111111111026</v>
      </c>
      <c r="Q414">
        <f t="shared" si="975"/>
        <v>-163056.58222222098</v>
      </c>
      <c r="R414">
        <f t="shared" si="976"/>
        <v>-123236401.33646406</v>
      </c>
      <c r="S414">
        <f t="shared" si="977"/>
        <v>-1232.3640133646406</v>
      </c>
      <c r="T414">
        <f t="shared" si="978"/>
        <v>-1.2323640133646407</v>
      </c>
    </row>
    <row r="415" spans="1:20" x14ac:dyDescent="0.25">
      <c r="A415" s="5">
        <v>44178</v>
      </c>
      <c r="B415">
        <v>8.5300000000000001E-2</v>
      </c>
      <c r="C415">
        <v>9.3200000000000005E-2</v>
      </c>
      <c r="D415">
        <v>8.3799999999999999E-2</v>
      </c>
      <c r="E415">
        <v>8.4400000000000003E-2</v>
      </c>
      <c r="F415">
        <v>5535396.7699999996</v>
      </c>
      <c r="G415">
        <v>0</v>
      </c>
      <c r="L415" t="s">
        <v>7</v>
      </c>
      <c r="M415" t="s">
        <v>7</v>
      </c>
      <c r="N415" t="s">
        <v>8</v>
      </c>
      <c r="P415">
        <f t="shared" si="974"/>
        <v>-0.87234042553191427</v>
      </c>
      <c r="Q415">
        <f t="shared" si="975"/>
        <v>-4828750.3738297829</v>
      </c>
      <c r="R415">
        <f t="shared" si="976"/>
        <v>-123073344.75424184</v>
      </c>
      <c r="S415">
        <f t="shared" si="977"/>
        <v>-1230.7334475424184</v>
      </c>
      <c r="T415">
        <f t="shared" si="978"/>
        <v>-1.2307334475424183</v>
      </c>
    </row>
    <row r="416" spans="1:20" x14ac:dyDescent="0.25">
      <c r="A416" s="5">
        <v>44177</v>
      </c>
      <c r="B416">
        <v>8.0100000000000005E-2</v>
      </c>
      <c r="C416">
        <v>0.11</v>
      </c>
      <c r="D416">
        <v>0.08</v>
      </c>
      <c r="E416">
        <v>8.5199999999999998E-2</v>
      </c>
      <c r="F416">
        <v>14289147.960000001</v>
      </c>
      <c r="G416">
        <v>0</v>
      </c>
      <c r="L416" t="s">
        <v>8</v>
      </c>
      <c r="M416" t="s">
        <v>8</v>
      </c>
      <c r="N416" t="s">
        <v>8</v>
      </c>
      <c r="P416">
        <f t="shared" si="974"/>
        <v>-0.65333333333333354</v>
      </c>
      <c r="Q416">
        <f t="shared" si="975"/>
        <v>-9335576.6672000028</v>
      </c>
      <c r="R416">
        <f t="shared" si="976"/>
        <v>-118244594.38041206</v>
      </c>
      <c r="S416">
        <f t="shared" si="977"/>
        <v>-1182.4459438041206</v>
      </c>
      <c r="T416">
        <f t="shared" si="978"/>
        <v>-1.1824459438041206</v>
      </c>
    </row>
    <row r="417" spans="1:20" x14ac:dyDescent="0.25">
      <c r="A417" s="5">
        <v>44176</v>
      </c>
      <c r="B417">
        <v>8.0199999999999994E-2</v>
      </c>
      <c r="C417">
        <v>8.1199999999999994E-2</v>
      </c>
      <c r="D417">
        <v>7.7600000000000002E-2</v>
      </c>
      <c r="E417">
        <v>7.9699999999999993E-2</v>
      </c>
      <c r="F417">
        <v>1118251.04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0.1666666666666641</v>
      </c>
      <c r="Q417">
        <f t="shared" si="975"/>
        <v>186375.17333333049</v>
      </c>
      <c r="R417">
        <f t="shared" si="976"/>
        <v>-108909017.71321206</v>
      </c>
      <c r="S417">
        <f t="shared" si="977"/>
        <v>-1089.0901771321205</v>
      </c>
      <c r="T417">
        <f t="shared" si="978"/>
        <v>-1.0890901771321204</v>
      </c>
    </row>
    <row r="418" spans="1:20" x14ac:dyDescent="0.25">
      <c r="A418" s="5">
        <v>44175</v>
      </c>
      <c r="B418">
        <v>8.2000000000000003E-2</v>
      </c>
      <c r="C418">
        <v>8.2199999999999995E-2</v>
      </c>
      <c r="D418">
        <v>7.9100000000000004E-2</v>
      </c>
      <c r="E418">
        <v>8.0699999999999994E-2</v>
      </c>
      <c r="F418">
        <v>580984.05000000005</v>
      </c>
      <c r="G418">
        <v>0</v>
      </c>
      <c r="L418" t="s">
        <v>7</v>
      </c>
      <c r="M418" t="s">
        <v>7</v>
      </c>
      <c r="N418" t="s">
        <v>7</v>
      </c>
      <c r="P418">
        <f t="shared" si="974"/>
        <v>3.2258064516125569E-2</v>
      </c>
      <c r="Q418">
        <f t="shared" si="975"/>
        <v>18741.420967739923</v>
      </c>
      <c r="R418">
        <f t="shared" si="976"/>
        <v>-109095392.88654539</v>
      </c>
      <c r="S418">
        <f t="shared" si="977"/>
        <v>-1090.9539288654539</v>
      </c>
      <c r="T418">
        <f t="shared" si="978"/>
        <v>-1.0909539288654539</v>
      </c>
    </row>
    <row r="419" spans="1:20" x14ac:dyDescent="0.25">
      <c r="A419" s="5">
        <v>44174</v>
      </c>
      <c r="B419">
        <v>8.3199999999999996E-2</v>
      </c>
      <c r="C419">
        <v>8.3400000000000002E-2</v>
      </c>
      <c r="D419">
        <v>7.9699999999999993E-2</v>
      </c>
      <c r="E419">
        <v>8.2199999999999995E-2</v>
      </c>
      <c r="F419">
        <v>1232198.52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0.35135135135134932</v>
      </c>
      <c r="Q419">
        <f t="shared" si="975"/>
        <v>432934.61513513263</v>
      </c>
      <c r="R419">
        <f t="shared" si="976"/>
        <v>-109114134.30751313</v>
      </c>
      <c r="S419">
        <f t="shared" si="977"/>
        <v>-1091.1413430751313</v>
      </c>
      <c r="T419">
        <f t="shared" si="978"/>
        <v>-1.0911413430751313</v>
      </c>
    </row>
    <row r="420" spans="1:20" x14ac:dyDescent="0.25">
      <c r="A420" s="5">
        <v>44173</v>
      </c>
      <c r="B420">
        <v>8.3400000000000002E-2</v>
      </c>
      <c r="C420">
        <v>8.7999999999999995E-2</v>
      </c>
      <c r="D420">
        <v>8.2699999999999996E-2</v>
      </c>
      <c r="E420">
        <v>8.3199999999999996E-2</v>
      </c>
      <c r="F420">
        <v>1785844.7</v>
      </c>
      <c r="G420">
        <v>0</v>
      </c>
      <c r="L420" t="s">
        <v>8</v>
      </c>
      <c r="M420" t="s">
        <v>7</v>
      </c>
      <c r="N420" t="s">
        <v>7</v>
      </c>
      <c r="P420">
        <f t="shared" si="974"/>
        <v>-0.81132075471698095</v>
      </c>
      <c r="Q420">
        <f t="shared" si="975"/>
        <v>-1448892.8698113204</v>
      </c>
      <c r="R420">
        <f t="shared" si="976"/>
        <v>-109547068.92264827</v>
      </c>
      <c r="S420">
        <f t="shared" si="977"/>
        <v>-1095.4706892264826</v>
      </c>
      <c r="T420">
        <f t="shared" si="978"/>
        <v>-1.0954706892264825</v>
      </c>
    </row>
    <row r="421" spans="1:20" x14ac:dyDescent="0.25">
      <c r="A421" s="5">
        <v>44172</v>
      </c>
      <c r="B421">
        <v>8.4099999999999994E-2</v>
      </c>
      <c r="C421">
        <v>8.5300000000000001E-2</v>
      </c>
      <c r="D421">
        <v>8.2299999999999998E-2</v>
      </c>
      <c r="E421">
        <v>8.3299999999999999E-2</v>
      </c>
      <c r="F421">
        <v>917515.71</v>
      </c>
      <c r="G421">
        <v>0</v>
      </c>
      <c r="L421" t="s">
        <v>7</v>
      </c>
      <c r="M421" t="s">
        <v>7</v>
      </c>
      <c r="N421" t="s">
        <v>7</v>
      </c>
      <c r="P421">
        <f t="shared" si="974"/>
        <v>-0.33333333333333331</v>
      </c>
      <c r="Q421">
        <f t="shared" si="975"/>
        <v>-305838.56999999995</v>
      </c>
      <c r="R421">
        <f t="shared" si="976"/>
        <v>-108098176.05283694</v>
      </c>
      <c r="S421">
        <f t="shared" si="977"/>
        <v>-1080.9817605283695</v>
      </c>
      <c r="T421">
        <f t="shared" si="978"/>
        <v>-1.0809817605283696</v>
      </c>
    </row>
    <row r="422" spans="1:20" x14ac:dyDescent="0.25">
      <c r="A422" s="5">
        <v>44171</v>
      </c>
      <c r="B422">
        <v>8.3799999999999999E-2</v>
      </c>
      <c r="C422">
        <v>8.5400000000000004E-2</v>
      </c>
      <c r="D422">
        <v>8.2600000000000007E-2</v>
      </c>
      <c r="E422">
        <v>8.4099999999999994E-2</v>
      </c>
      <c r="F422">
        <v>1102269.79</v>
      </c>
      <c r="G422">
        <v>0</v>
      </c>
      <c r="L422" t="s">
        <v>7</v>
      </c>
      <c r="M422" t="s">
        <v>7</v>
      </c>
      <c r="N422" t="s">
        <v>7</v>
      </c>
      <c r="P422">
        <f t="shared" si="974"/>
        <v>7.1428571428563639E-2</v>
      </c>
      <c r="Q422">
        <f t="shared" si="975"/>
        <v>78733.55642856285</v>
      </c>
      <c r="R422">
        <f t="shared" si="976"/>
        <v>-107792337.48283695</v>
      </c>
      <c r="S422">
        <f t="shared" si="977"/>
        <v>-1077.9233748283696</v>
      </c>
      <c r="T422">
        <f t="shared" si="978"/>
        <v>-1.0779233748283696</v>
      </c>
    </row>
    <row r="423" spans="1:20" x14ac:dyDescent="0.25">
      <c r="A423" s="5">
        <v>44170</v>
      </c>
      <c r="B423">
        <v>7.9899999999999999E-2</v>
      </c>
      <c r="C423">
        <v>8.3799999999999999E-2</v>
      </c>
      <c r="D423">
        <v>7.9699999999999993E-2</v>
      </c>
      <c r="E423">
        <v>8.3599999999999994E-2</v>
      </c>
      <c r="F423">
        <v>613565.82999999996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0.90243902439024126</v>
      </c>
      <c r="Q423">
        <f t="shared" si="975"/>
        <v>553705.74902438861</v>
      </c>
      <c r="R423">
        <f t="shared" si="976"/>
        <v>-107871071.03926551</v>
      </c>
      <c r="S423">
        <f t="shared" si="977"/>
        <v>-1078.7107103926551</v>
      </c>
      <c r="T423">
        <f t="shared" si="978"/>
        <v>-1.078710710392655</v>
      </c>
    </row>
    <row r="424" spans="1:20" x14ac:dyDescent="0.25">
      <c r="A424" s="5">
        <v>44169</v>
      </c>
      <c r="B424">
        <v>8.5599999999999996E-2</v>
      </c>
      <c r="C424">
        <v>8.6300000000000002E-2</v>
      </c>
      <c r="D424">
        <v>0.08</v>
      </c>
      <c r="E424">
        <v>8.0199999999999994E-2</v>
      </c>
      <c r="F424">
        <v>1072426.6100000001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-0.93650793650793906</v>
      </c>
      <c r="Q424">
        <f t="shared" si="975"/>
        <v>-1004336.0315873044</v>
      </c>
      <c r="R424">
        <f t="shared" si="976"/>
        <v>-108424776.7882899</v>
      </c>
      <c r="S424">
        <f t="shared" si="977"/>
        <v>-1084.2477678828991</v>
      </c>
      <c r="T424">
        <f t="shared" si="978"/>
        <v>-1.084247767882899</v>
      </c>
    </row>
    <row r="425" spans="1:20" x14ac:dyDescent="0.25">
      <c r="A425" s="5">
        <v>44168</v>
      </c>
      <c r="B425">
        <v>8.3599999999999994E-2</v>
      </c>
      <c r="C425">
        <v>8.5999999999999993E-2</v>
      </c>
      <c r="D425">
        <v>8.2100000000000006E-2</v>
      </c>
      <c r="E425">
        <v>8.5500000000000007E-2</v>
      </c>
      <c r="F425">
        <v>1167963.82</v>
      </c>
      <c r="G425">
        <v>0</v>
      </c>
      <c r="L425" t="s">
        <v>8</v>
      </c>
      <c r="M425" t="s">
        <v>7</v>
      </c>
      <c r="N425" t="s">
        <v>7</v>
      </c>
      <c r="P425">
        <f t="shared" si="974"/>
        <v>0.74358974358974961</v>
      </c>
      <c r="Q425">
        <f t="shared" si="975"/>
        <v>868485.9174359045</v>
      </c>
      <c r="R425">
        <f t="shared" si="976"/>
        <v>-107420440.7567026</v>
      </c>
      <c r="S425">
        <f t="shared" si="977"/>
        <v>-1074.204407567026</v>
      </c>
      <c r="T425">
        <f t="shared" si="978"/>
        <v>-1.0742044075670261</v>
      </c>
    </row>
    <row r="426" spans="1:20" x14ac:dyDescent="0.25">
      <c r="A426" s="5">
        <v>44167</v>
      </c>
      <c r="B426">
        <v>8.0600000000000005E-2</v>
      </c>
      <c r="C426">
        <v>8.4199999999999997E-2</v>
      </c>
      <c r="D426">
        <v>7.9500000000000001E-2</v>
      </c>
      <c r="E426">
        <v>8.3699999999999997E-2</v>
      </c>
      <c r="F426">
        <v>1068742.3700000001</v>
      </c>
      <c r="G426">
        <v>0</v>
      </c>
      <c r="L426" t="s">
        <v>8</v>
      </c>
      <c r="M426" t="s">
        <v>7</v>
      </c>
      <c r="N426" t="s">
        <v>7</v>
      </c>
      <c r="P426">
        <f t="shared" si="974"/>
        <v>0.78723404255319107</v>
      </c>
      <c r="Q426">
        <f t="shared" si="975"/>
        <v>841350.3763829784</v>
      </c>
      <c r="R426">
        <f t="shared" si="976"/>
        <v>-108288926.6741385</v>
      </c>
      <c r="S426">
        <f t="shared" si="977"/>
        <v>-1082.889266741385</v>
      </c>
      <c r="T426">
        <f t="shared" si="978"/>
        <v>-1.082889266741385</v>
      </c>
    </row>
    <row r="427" spans="1:20" x14ac:dyDescent="0.25">
      <c r="A427" s="5">
        <v>44166</v>
      </c>
      <c r="B427">
        <v>8.5699999999999998E-2</v>
      </c>
      <c r="C427">
        <v>8.5999999999999993E-2</v>
      </c>
      <c r="D427">
        <v>7.7100000000000002E-2</v>
      </c>
      <c r="E427">
        <v>8.1199999999999994E-2</v>
      </c>
      <c r="F427">
        <v>2029454.74</v>
      </c>
      <c r="G427">
        <v>0</v>
      </c>
      <c r="L427" t="s">
        <v>7</v>
      </c>
      <c r="M427" t="s">
        <v>7</v>
      </c>
      <c r="N427" t="s">
        <v>7</v>
      </c>
      <c r="P427">
        <f t="shared" si="974"/>
        <v>-7.8651685393259202E-2</v>
      </c>
      <c r="Q427">
        <f t="shared" si="975"/>
        <v>-159620.03573033866</v>
      </c>
      <c r="R427">
        <f t="shared" si="976"/>
        <v>-109130277.05052148</v>
      </c>
      <c r="S427">
        <f t="shared" si="977"/>
        <v>-1091.3027705052148</v>
      </c>
      <c r="T427">
        <f t="shared" si="978"/>
        <v>-1.0913027705052147</v>
      </c>
    </row>
    <row r="428" spans="1:20" x14ac:dyDescent="0.25">
      <c r="A428" s="5">
        <v>44165</v>
      </c>
      <c r="B428">
        <v>8.5199999999999998E-2</v>
      </c>
      <c r="C428">
        <v>8.7999999999999995E-2</v>
      </c>
      <c r="D428">
        <v>8.2699999999999996E-2</v>
      </c>
      <c r="E428">
        <v>8.5900000000000004E-2</v>
      </c>
      <c r="F428">
        <v>1146344.3400000001</v>
      </c>
      <c r="G428">
        <v>0</v>
      </c>
      <c r="L428" t="s">
        <v>8</v>
      </c>
      <c r="M428" t="s">
        <v>7</v>
      </c>
      <c r="N428" t="s">
        <v>7</v>
      </c>
      <c r="P428">
        <f t="shared" si="974"/>
        <v>0.20754716981132412</v>
      </c>
      <c r="Q428">
        <f t="shared" si="975"/>
        <v>237920.5233962303</v>
      </c>
      <c r="R428">
        <f t="shared" si="976"/>
        <v>-108970657.01479115</v>
      </c>
      <c r="S428">
        <f t="shared" si="977"/>
        <v>-1089.7065701479114</v>
      </c>
      <c r="T428">
        <f t="shared" si="978"/>
        <v>-1.0897065701479114</v>
      </c>
    </row>
    <row r="429" spans="1:20" x14ac:dyDescent="0.25">
      <c r="A429" s="5">
        <v>44164</v>
      </c>
      <c r="B429">
        <v>8.4400000000000003E-2</v>
      </c>
      <c r="C429">
        <v>8.6699999999999999E-2</v>
      </c>
      <c r="D429">
        <v>8.2500000000000004E-2</v>
      </c>
      <c r="E429">
        <v>8.5000000000000006E-2</v>
      </c>
      <c r="F429">
        <v>754989.61</v>
      </c>
      <c r="G429">
        <v>0</v>
      </c>
      <c r="L429" t="s">
        <v>8</v>
      </c>
      <c r="M429" t="s">
        <v>7</v>
      </c>
      <c r="N429" t="s">
        <v>7</v>
      </c>
      <c r="P429">
        <f t="shared" si="974"/>
        <v>0.19047619047619282</v>
      </c>
      <c r="Q429">
        <f t="shared" si="975"/>
        <v>143807.54476190652</v>
      </c>
      <c r="R429">
        <f t="shared" si="976"/>
        <v>-109208577.53818737</v>
      </c>
      <c r="S429">
        <f t="shared" si="977"/>
        <v>-1092.0857753818736</v>
      </c>
      <c r="T429">
        <f t="shared" si="978"/>
        <v>-1.0920857753818736</v>
      </c>
    </row>
    <row r="430" spans="1:20" x14ac:dyDescent="0.25">
      <c r="A430" s="5">
        <v>44163</v>
      </c>
      <c r="B430">
        <v>8.1900000000000001E-2</v>
      </c>
      <c r="C430">
        <v>8.5999999999999993E-2</v>
      </c>
      <c r="D430">
        <v>8.0799999999999997E-2</v>
      </c>
      <c r="E430">
        <v>8.4400000000000003E-2</v>
      </c>
      <c r="F430">
        <v>647818.56000000006</v>
      </c>
      <c r="G430">
        <v>0</v>
      </c>
      <c r="L430" t="s">
        <v>7</v>
      </c>
      <c r="M430" t="s">
        <v>7</v>
      </c>
      <c r="N430" t="s">
        <v>7</v>
      </c>
      <c r="P430">
        <f t="shared" si="974"/>
        <v>0.38461538461538791</v>
      </c>
      <c r="Q430">
        <f t="shared" si="975"/>
        <v>249160.98461538678</v>
      </c>
      <c r="R430">
        <f t="shared" si="976"/>
        <v>-109352385.08294928</v>
      </c>
      <c r="S430">
        <f t="shared" si="977"/>
        <v>-1093.5238508294929</v>
      </c>
      <c r="T430">
        <f t="shared" si="978"/>
        <v>-1.0935238508294929</v>
      </c>
    </row>
    <row r="431" spans="1:20" x14ac:dyDescent="0.25">
      <c r="A431" s="5">
        <v>44162</v>
      </c>
      <c r="B431">
        <v>8.2900000000000001E-2</v>
      </c>
      <c r="C431">
        <v>8.8800000000000004E-2</v>
      </c>
      <c r="D431">
        <v>7.8E-2</v>
      </c>
      <c r="E431">
        <v>8.1699999999999995E-2</v>
      </c>
      <c r="F431">
        <v>2195943.4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-0.31481481481481599</v>
      </c>
      <c r="Q431">
        <f t="shared" si="975"/>
        <v>-691315.51481481735</v>
      </c>
      <c r="R431">
        <f t="shared" si="976"/>
        <v>-109601546.06756467</v>
      </c>
      <c r="S431">
        <f t="shared" si="977"/>
        <v>-1096.0154606756466</v>
      </c>
      <c r="T431">
        <f t="shared" si="978"/>
        <v>-1.0960154606756467</v>
      </c>
    </row>
    <row r="432" spans="1:20" x14ac:dyDescent="0.25">
      <c r="A432" s="5">
        <v>44161</v>
      </c>
      <c r="B432">
        <v>9.3399999999999997E-2</v>
      </c>
      <c r="C432">
        <v>9.5200000000000007E-2</v>
      </c>
      <c r="D432">
        <v>7.7100000000000002E-2</v>
      </c>
      <c r="E432">
        <v>8.2600000000000007E-2</v>
      </c>
      <c r="F432">
        <v>3319195.65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-0.39226519337016535</v>
      </c>
      <c r="Q432">
        <f t="shared" si="975"/>
        <v>-1302004.9234806616</v>
      </c>
      <c r="R432">
        <f t="shared" si="976"/>
        <v>-108910230.55274984</v>
      </c>
      <c r="S432">
        <f t="shared" si="977"/>
        <v>-1089.1023055274984</v>
      </c>
      <c r="T432">
        <f t="shared" si="978"/>
        <v>-1.0891023055274984</v>
      </c>
    </row>
    <row r="433" spans="1:20" x14ac:dyDescent="0.25">
      <c r="A433" s="5">
        <v>44160</v>
      </c>
      <c r="B433">
        <v>9.3299999999999994E-2</v>
      </c>
      <c r="C433">
        <v>0.1</v>
      </c>
      <c r="D433">
        <v>8.9300000000000004E-2</v>
      </c>
      <c r="E433">
        <v>9.3399999999999997E-2</v>
      </c>
      <c r="F433">
        <v>3749186.14</v>
      </c>
      <c r="G433">
        <v>0</v>
      </c>
      <c r="L433" t="s">
        <v>8</v>
      </c>
      <c r="M433" t="s">
        <v>8</v>
      </c>
      <c r="N433" t="s">
        <v>7</v>
      </c>
      <c r="P433">
        <f t="shared" si="974"/>
        <v>-0.23364485981308558</v>
      </c>
      <c r="Q433">
        <f t="shared" si="975"/>
        <v>-875978.07009346352</v>
      </c>
      <c r="R433">
        <f t="shared" si="976"/>
        <v>-107608225.62926918</v>
      </c>
      <c r="S433">
        <f t="shared" si="977"/>
        <v>-1076.0822562926919</v>
      </c>
      <c r="T433">
        <f t="shared" si="978"/>
        <v>-1.0760822562926919</v>
      </c>
    </row>
    <row r="434" spans="1:20" x14ac:dyDescent="0.25">
      <c r="A434" s="5">
        <v>44159</v>
      </c>
      <c r="B434">
        <v>8.5199999999999998E-2</v>
      </c>
      <c r="C434">
        <v>9.4E-2</v>
      </c>
      <c r="D434">
        <v>8.4099999999999994E-2</v>
      </c>
      <c r="E434">
        <v>9.3299999999999994E-2</v>
      </c>
      <c r="F434">
        <v>7876937.9699999997</v>
      </c>
      <c r="G434">
        <v>0</v>
      </c>
      <c r="L434" t="s">
        <v>8</v>
      </c>
      <c r="M434" t="s">
        <v>8</v>
      </c>
      <c r="N434" t="s">
        <v>7</v>
      </c>
      <c r="P434">
        <f t="shared" si="974"/>
        <v>0.85858585858585745</v>
      </c>
      <c r="Q434">
        <f t="shared" si="975"/>
        <v>6763027.5499999905</v>
      </c>
      <c r="R434">
        <f t="shared" si="976"/>
        <v>-106732247.55917571</v>
      </c>
      <c r="S434">
        <f t="shared" si="977"/>
        <v>-1067.3224755917572</v>
      </c>
      <c r="T434">
        <f t="shared" si="978"/>
        <v>-1.0673224755917572</v>
      </c>
    </row>
    <row r="435" spans="1:20" x14ac:dyDescent="0.25">
      <c r="A435" s="5">
        <v>44158</v>
      </c>
      <c r="B435">
        <v>8.3299999999999999E-2</v>
      </c>
      <c r="C435">
        <v>8.8200000000000001E-2</v>
      </c>
      <c r="D435">
        <v>8.1000000000000003E-2</v>
      </c>
      <c r="E435">
        <v>8.5300000000000001E-2</v>
      </c>
      <c r="F435">
        <v>4714913.8099999996</v>
      </c>
      <c r="G435">
        <v>0</v>
      </c>
      <c r="L435" t="s">
        <v>7</v>
      </c>
      <c r="M435" t="s">
        <v>8</v>
      </c>
      <c r="N435" t="s">
        <v>7</v>
      </c>
      <c r="P435">
        <f t="shared" si="974"/>
        <v>0.19444444444444428</v>
      </c>
      <c r="Q435">
        <f t="shared" si="975"/>
        <v>916788.79638888803</v>
      </c>
      <c r="R435">
        <f t="shared" si="976"/>
        <v>-113495275.10917571</v>
      </c>
      <c r="S435">
        <f t="shared" si="977"/>
        <v>-1134.9527510917571</v>
      </c>
      <c r="T435">
        <f t="shared" si="978"/>
        <v>-1.1349527510917572</v>
      </c>
    </row>
    <row r="436" spans="1:20" x14ac:dyDescent="0.25">
      <c r="A436" s="5">
        <v>44157</v>
      </c>
      <c r="B436">
        <v>8.5000000000000006E-2</v>
      </c>
      <c r="C436">
        <v>9.1600000000000001E-2</v>
      </c>
      <c r="D436">
        <v>7.6999999999999999E-2</v>
      </c>
      <c r="E436">
        <v>8.2900000000000001E-2</v>
      </c>
      <c r="F436">
        <v>6822568.1100000003</v>
      </c>
      <c r="G436">
        <v>0</v>
      </c>
      <c r="L436" t="s">
        <v>8</v>
      </c>
      <c r="M436" t="s">
        <v>8</v>
      </c>
      <c r="N436" t="s">
        <v>7</v>
      </c>
      <c r="P436">
        <f t="shared" si="974"/>
        <v>-0.19178082191780799</v>
      </c>
      <c r="Q436">
        <f t="shared" si="975"/>
        <v>-1308437.7197260258</v>
      </c>
      <c r="R436">
        <f t="shared" si="976"/>
        <v>-114412063.90556461</v>
      </c>
      <c r="S436">
        <f t="shared" si="977"/>
        <v>-1144.1206390556461</v>
      </c>
      <c r="T436">
        <f t="shared" si="978"/>
        <v>-1.144120639055646</v>
      </c>
    </row>
    <row r="437" spans="1:20" x14ac:dyDescent="0.25">
      <c r="A437" s="5">
        <v>44156</v>
      </c>
      <c r="B437">
        <v>7.9000000000000001E-2</v>
      </c>
      <c r="C437">
        <v>8.5999999999999993E-2</v>
      </c>
      <c r="D437">
        <v>7.7600000000000002E-2</v>
      </c>
      <c r="E437">
        <v>8.4400000000000003E-2</v>
      </c>
      <c r="F437">
        <v>1369053.59</v>
      </c>
      <c r="G437">
        <v>0</v>
      </c>
      <c r="L437" t="s">
        <v>8</v>
      </c>
      <c r="M437" t="s">
        <v>7</v>
      </c>
      <c r="N437" t="s">
        <v>7</v>
      </c>
      <c r="P437">
        <f t="shared" si="974"/>
        <v>0.61904761904762096</v>
      </c>
      <c r="Q437">
        <f t="shared" si="975"/>
        <v>847509.36523809785</v>
      </c>
      <c r="R437">
        <f t="shared" si="976"/>
        <v>-113103626.18583858</v>
      </c>
      <c r="S437">
        <f t="shared" si="977"/>
        <v>-1131.0362618583858</v>
      </c>
      <c r="T437">
        <f t="shared" si="978"/>
        <v>-1.1310362618583858</v>
      </c>
    </row>
    <row r="438" spans="1:20" x14ac:dyDescent="0.25">
      <c r="A438" s="5">
        <v>44155</v>
      </c>
      <c r="B438">
        <v>7.7200000000000005E-2</v>
      </c>
      <c r="C438">
        <v>8.0100000000000005E-2</v>
      </c>
      <c r="D438">
        <v>7.7100000000000002E-2</v>
      </c>
      <c r="E438">
        <v>7.8899999999999998E-2</v>
      </c>
      <c r="F438">
        <v>720298.53</v>
      </c>
      <c r="G438">
        <v>0</v>
      </c>
      <c r="L438" t="s">
        <v>7</v>
      </c>
      <c r="M438" t="s">
        <v>7</v>
      </c>
      <c r="N438" t="s">
        <v>7</v>
      </c>
      <c r="P438">
        <f t="shared" si="974"/>
        <v>0.19999999999999629</v>
      </c>
      <c r="Q438">
        <f t="shared" si="975"/>
        <v>144059.70599999733</v>
      </c>
      <c r="R438">
        <f t="shared" si="976"/>
        <v>-113951135.55107668</v>
      </c>
      <c r="S438">
        <f t="shared" si="977"/>
        <v>-1139.5113555107669</v>
      </c>
      <c r="T438">
        <f t="shared" si="978"/>
        <v>-1.1395113555107668</v>
      </c>
    </row>
    <row r="439" spans="1:20" x14ac:dyDescent="0.25">
      <c r="A439" s="5">
        <v>44154</v>
      </c>
      <c r="B439">
        <v>7.9100000000000004E-2</v>
      </c>
      <c r="C439">
        <v>7.9299999999999995E-2</v>
      </c>
      <c r="D439">
        <v>7.6100000000000001E-2</v>
      </c>
      <c r="E439">
        <v>7.7200000000000005E-2</v>
      </c>
      <c r="F439">
        <v>833184.66</v>
      </c>
      <c r="G439">
        <v>0</v>
      </c>
      <c r="L439" t="s">
        <v>7</v>
      </c>
      <c r="M439" t="s">
        <v>7</v>
      </c>
      <c r="N439" t="s">
        <v>7</v>
      </c>
      <c r="P439">
        <f t="shared" si="974"/>
        <v>-0.3124999999999965</v>
      </c>
      <c r="Q439">
        <f t="shared" si="975"/>
        <v>-260370.20624999711</v>
      </c>
      <c r="R439">
        <f t="shared" si="976"/>
        <v>-114095195.25707668</v>
      </c>
      <c r="S439">
        <f t="shared" si="977"/>
        <v>-1140.9519525707667</v>
      </c>
      <c r="T439">
        <f t="shared" si="978"/>
        <v>-1.1409519525707668</v>
      </c>
    </row>
    <row r="440" spans="1:20" x14ac:dyDescent="0.25">
      <c r="A440" s="5">
        <v>44153</v>
      </c>
      <c r="B440">
        <v>8.0399999999999999E-2</v>
      </c>
      <c r="C440">
        <v>8.1199999999999994E-2</v>
      </c>
      <c r="D440">
        <v>7.4999999999999997E-2</v>
      </c>
      <c r="E440">
        <v>7.9299999999999995E-2</v>
      </c>
      <c r="F440">
        <v>948167.74</v>
      </c>
      <c r="G440">
        <v>0</v>
      </c>
      <c r="L440" t="s">
        <v>7</v>
      </c>
      <c r="M440" t="s">
        <v>7</v>
      </c>
      <c r="N440" t="s">
        <v>7</v>
      </c>
      <c r="P440">
        <f t="shared" si="974"/>
        <v>0.38709677419354843</v>
      </c>
      <c r="Q440">
        <f t="shared" si="975"/>
        <v>367032.67354838713</v>
      </c>
      <c r="R440">
        <f t="shared" si="976"/>
        <v>-113834825.05082668</v>
      </c>
      <c r="S440">
        <f t="shared" si="977"/>
        <v>-1138.3482505082668</v>
      </c>
      <c r="T440">
        <f t="shared" si="978"/>
        <v>-1.1383482505082667</v>
      </c>
    </row>
    <row r="441" spans="1:20" x14ac:dyDescent="0.25">
      <c r="A441" s="5">
        <v>44152</v>
      </c>
      <c r="B441">
        <v>7.8899999999999998E-2</v>
      </c>
      <c r="C441">
        <v>8.2600000000000007E-2</v>
      </c>
      <c r="D441">
        <v>7.8899999999999998E-2</v>
      </c>
      <c r="E441">
        <v>8.0399999999999999E-2</v>
      </c>
      <c r="F441">
        <v>2102621.4500000002</v>
      </c>
      <c r="G441">
        <v>0</v>
      </c>
      <c r="L441" t="s">
        <v>8</v>
      </c>
      <c r="M441" t="s">
        <v>7</v>
      </c>
      <c r="N441" t="s">
        <v>7</v>
      </c>
      <c r="P441">
        <f t="shared" si="974"/>
        <v>-0.18918918918919039</v>
      </c>
      <c r="Q441">
        <f t="shared" si="975"/>
        <v>-397793.24729729985</v>
      </c>
      <c r="R441">
        <f t="shared" si="976"/>
        <v>-114201857.72437507</v>
      </c>
      <c r="S441">
        <f t="shared" si="977"/>
        <v>-1142.0185772437508</v>
      </c>
      <c r="T441">
        <f t="shared" si="978"/>
        <v>-1.1420185772437508</v>
      </c>
    </row>
    <row r="442" spans="1:20" x14ac:dyDescent="0.25">
      <c r="A442" s="5">
        <v>44151</v>
      </c>
      <c r="B442">
        <v>7.6600000000000001E-2</v>
      </c>
      <c r="C442">
        <v>8.0299999999999996E-2</v>
      </c>
      <c r="D442">
        <v>7.6100000000000001E-2</v>
      </c>
      <c r="E442">
        <v>7.8799999999999995E-2</v>
      </c>
      <c r="F442">
        <v>504982.38</v>
      </c>
      <c r="G442">
        <v>0</v>
      </c>
      <c r="L442" t="s">
        <v>7</v>
      </c>
      <c r="M442" t="s">
        <v>7</v>
      </c>
      <c r="N442" t="s">
        <v>7</v>
      </c>
      <c r="P442">
        <f t="shared" si="974"/>
        <v>0.28571428571428431</v>
      </c>
      <c r="Q442">
        <f t="shared" si="975"/>
        <v>144280.67999999929</v>
      </c>
      <c r="R442">
        <f t="shared" si="976"/>
        <v>-113804064.47707777</v>
      </c>
      <c r="S442">
        <f t="shared" si="977"/>
        <v>-1138.0406447707776</v>
      </c>
      <c r="T442">
        <f t="shared" si="978"/>
        <v>-1.1380406447707776</v>
      </c>
    </row>
    <row r="443" spans="1:20" x14ac:dyDescent="0.25">
      <c r="A443" s="5">
        <v>44150</v>
      </c>
      <c r="B443">
        <v>7.9699999999999993E-2</v>
      </c>
      <c r="C443">
        <v>8.0500000000000002E-2</v>
      </c>
      <c r="D443">
        <v>7.5600000000000001E-2</v>
      </c>
      <c r="E443">
        <v>7.6700000000000004E-2</v>
      </c>
      <c r="F443">
        <v>539106.9</v>
      </c>
      <c r="G443">
        <v>0</v>
      </c>
      <c r="L443" t="s">
        <v>7</v>
      </c>
      <c r="M443" t="s">
        <v>7</v>
      </c>
      <c r="N443" t="s">
        <v>7</v>
      </c>
      <c r="P443">
        <f t="shared" si="974"/>
        <v>-0.55102040816326392</v>
      </c>
      <c r="Q443">
        <f t="shared" si="975"/>
        <v>-297058.90408163192</v>
      </c>
      <c r="R443">
        <f t="shared" si="976"/>
        <v>-113948345.15707776</v>
      </c>
      <c r="S443">
        <f t="shared" si="977"/>
        <v>-1139.4834515707776</v>
      </c>
      <c r="T443">
        <f t="shared" si="978"/>
        <v>-1.1394834515707775</v>
      </c>
    </row>
    <row r="444" spans="1:20" x14ac:dyDescent="0.25">
      <c r="A444" s="5">
        <v>44149</v>
      </c>
      <c r="B444">
        <v>8.3500000000000005E-2</v>
      </c>
      <c r="C444">
        <v>8.3500000000000005E-2</v>
      </c>
      <c r="D444">
        <v>7.7499999999999999E-2</v>
      </c>
      <c r="E444">
        <v>7.9399999999999998E-2</v>
      </c>
      <c r="F444">
        <v>547615.88</v>
      </c>
      <c r="G444">
        <v>0</v>
      </c>
      <c r="L444" t="s">
        <v>7</v>
      </c>
      <c r="M444" t="s">
        <v>7</v>
      </c>
      <c r="N444" t="s">
        <v>7</v>
      </c>
      <c r="P444">
        <f t="shared" si="974"/>
        <v>-0.36666666666666758</v>
      </c>
      <c r="Q444">
        <f t="shared" si="975"/>
        <v>-200792.48933333383</v>
      </c>
      <c r="R444">
        <f t="shared" si="976"/>
        <v>-113651286.25299613</v>
      </c>
      <c r="S444">
        <f t="shared" si="977"/>
        <v>-1136.5128625299612</v>
      </c>
      <c r="T444">
        <f t="shared" si="978"/>
        <v>-1.1365128625299612</v>
      </c>
    </row>
    <row r="445" spans="1:20" x14ac:dyDescent="0.25">
      <c r="A445" s="5">
        <v>44148</v>
      </c>
      <c r="B445">
        <v>7.9500000000000001E-2</v>
      </c>
      <c r="C445">
        <v>8.4500000000000006E-2</v>
      </c>
      <c r="D445">
        <v>7.9299999999999995E-2</v>
      </c>
      <c r="E445">
        <v>8.3099999999999993E-2</v>
      </c>
      <c r="F445">
        <v>1615278.8</v>
      </c>
      <c r="G445">
        <v>0</v>
      </c>
      <c r="L445" t="s">
        <v>8</v>
      </c>
      <c r="M445" t="s">
        <v>7</v>
      </c>
      <c r="N445" t="s">
        <v>7</v>
      </c>
      <c r="P445">
        <f t="shared" si="974"/>
        <v>0.46153846153845784</v>
      </c>
      <c r="Q445">
        <f t="shared" si="975"/>
        <v>745513.29230768641</v>
      </c>
      <c r="R445">
        <f t="shared" si="976"/>
        <v>-113450493.7636628</v>
      </c>
      <c r="S445">
        <f t="shared" si="977"/>
        <v>-1134.504937636628</v>
      </c>
      <c r="T445">
        <f t="shared" si="978"/>
        <v>-1.1345049376366281</v>
      </c>
    </row>
    <row r="446" spans="1:20" x14ac:dyDescent="0.25">
      <c r="A446" s="5">
        <v>44147</v>
      </c>
      <c r="B446">
        <v>8.2400000000000001E-2</v>
      </c>
      <c r="C446">
        <v>8.2400000000000001E-2</v>
      </c>
      <c r="D446">
        <v>7.7799999999999994E-2</v>
      </c>
      <c r="E446">
        <v>7.9399999999999998E-2</v>
      </c>
      <c r="F446">
        <v>778202.88</v>
      </c>
      <c r="G446">
        <v>0</v>
      </c>
      <c r="L446" t="s">
        <v>7</v>
      </c>
      <c r="M446" t="s">
        <v>7</v>
      </c>
      <c r="N446" t="s">
        <v>7</v>
      </c>
      <c r="P446">
        <f t="shared" si="974"/>
        <v>-0.30434782608695571</v>
      </c>
      <c r="Q446">
        <f t="shared" si="975"/>
        <v>-236844.35478260808</v>
      </c>
      <c r="R446">
        <f t="shared" si="976"/>
        <v>-114196007.05597049</v>
      </c>
      <c r="S446">
        <f t="shared" si="977"/>
        <v>-1141.9600705597049</v>
      </c>
      <c r="T446">
        <f t="shared" si="978"/>
        <v>-1.1419600705597051</v>
      </c>
    </row>
    <row r="447" spans="1:20" x14ac:dyDescent="0.25">
      <c r="A447" s="5">
        <v>44146</v>
      </c>
      <c r="B447">
        <v>8.8400000000000006E-2</v>
      </c>
      <c r="C447">
        <v>9.4399999999999998E-2</v>
      </c>
      <c r="D447">
        <v>8.1900000000000001E-2</v>
      </c>
      <c r="E447">
        <v>8.2100000000000006E-2</v>
      </c>
      <c r="F447">
        <v>1495973.4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-0.96799999999999908</v>
      </c>
      <c r="Q447">
        <f t="shared" si="975"/>
        <v>-1448102.2511999984</v>
      </c>
      <c r="R447">
        <f t="shared" si="976"/>
        <v>-113959162.70118788</v>
      </c>
      <c r="S447">
        <f t="shared" si="977"/>
        <v>-1139.5916270118787</v>
      </c>
      <c r="T447">
        <f t="shared" si="978"/>
        <v>-1.1395916270118787</v>
      </c>
    </row>
    <row r="448" spans="1:20" x14ac:dyDescent="0.25">
      <c r="A448" s="5">
        <v>44145</v>
      </c>
      <c r="B448">
        <v>7.9299999999999995E-2</v>
      </c>
      <c r="C448">
        <v>9.1999999999999998E-2</v>
      </c>
      <c r="D448">
        <v>7.9200000000000007E-2</v>
      </c>
      <c r="E448">
        <v>8.8300000000000003E-2</v>
      </c>
      <c r="F448">
        <v>2930609.35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0.42187500000000044</v>
      </c>
      <c r="Q448">
        <f t="shared" si="975"/>
        <v>1236350.8195312514</v>
      </c>
      <c r="R448">
        <f t="shared" si="976"/>
        <v>-112511060.44998787</v>
      </c>
      <c r="S448">
        <f t="shared" si="977"/>
        <v>-1125.1106044998787</v>
      </c>
      <c r="T448">
        <f t="shared" si="978"/>
        <v>-1.1251106044998787</v>
      </c>
    </row>
    <row r="449" spans="1:20" x14ac:dyDescent="0.25">
      <c r="A449" s="5">
        <v>44144</v>
      </c>
      <c r="B449">
        <v>7.9799999999999996E-2</v>
      </c>
      <c r="C449">
        <v>8.6099999999999996E-2</v>
      </c>
      <c r="D449">
        <v>7.6899999999999996E-2</v>
      </c>
      <c r="E449">
        <v>7.9299999999999995E-2</v>
      </c>
      <c r="F449">
        <v>1819823.07</v>
      </c>
      <c r="G449">
        <v>0</v>
      </c>
      <c r="L449" t="s">
        <v>8</v>
      </c>
      <c r="M449" t="s">
        <v>7</v>
      </c>
      <c r="N449" t="s">
        <v>7</v>
      </c>
      <c r="P449">
        <f t="shared" si="974"/>
        <v>-0.47826086956521752</v>
      </c>
      <c r="Q449">
        <f t="shared" si="975"/>
        <v>-870350.16391304368</v>
      </c>
      <c r="R449">
        <f t="shared" si="976"/>
        <v>-113747411.26951912</v>
      </c>
      <c r="S449">
        <f t="shared" si="977"/>
        <v>-1137.4741126951913</v>
      </c>
      <c r="T449">
        <f t="shared" si="978"/>
        <v>-1.1374741126951913</v>
      </c>
    </row>
    <row r="450" spans="1:20" x14ac:dyDescent="0.25">
      <c r="A450" s="5">
        <v>44143</v>
      </c>
      <c r="B450">
        <v>7.6700000000000004E-2</v>
      </c>
      <c r="C450">
        <v>8.14E-2</v>
      </c>
      <c r="D450">
        <v>7.6399999999999996E-2</v>
      </c>
      <c r="E450">
        <v>7.9799999999999996E-2</v>
      </c>
      <c r="F450">
        <v>707644.13</v>
      </c>
      <c r="G450">
        <v>0</v>
      </c>
      <c r="L450" t="s">
        <v>7</v>
      </c>
      <c r="M450" t="s">
        <v>7</v>
      </c>
      <c r="N450" t="s">
        <v>7</v>
      </c>
      <c r="P450">
        <f t="shared" si="974"/>
        <v>0.35999999999999888</v>
      </c>
      <c r="Q450">
        <f t="shared" si="975"/>
        <v>254751.88679999919</v>
      </c>
      <c r="R450">
        <f t="shared" si="976"/>
        <v>-112877061.10560608</v>
      </c>
      <c r="S450">
        <f t="shared" si="977"/>
        <v>-1128.7706110560607</v>
      </c>
      <c r="T450">
        <f t="shared" si="978"/>
        <v>-1.1287706110560607</v>
      </c>
    </row>
    <row r="451" spans="1:20" x14ac:dyDescent="0.25">
      <c r="A451" s="5">
        <v>44142</v>
      </c>
      <c r="B451">
        <v>8.0399999999999999E-2</v>
      </c>
      <c r="C451">
        <v>8.4000000000000005E-2</v>
      </c>
      <c r="D451">
        <v>7.5600000000000001E-2</v>
      </c>
      <c r="E451">
        <v>7.6200000000000004E-2</v>
      </c>
      <c r="F451">
        <v>2569107</v>
      </c>
      <c r="G451">
        <v>0</v>
      </c>
      <c r="L451" t="s">
        <v>8</v>
      </c>
      <c r="M451" t="s">
        <v>7</v>
      </c>
      <c r="N451" t="s">
        <v>7</v>
      </c>
      <c r="P451">
        <f t="shared" si="974"/>
        <v>-0.85714285714285643</v>
      </c>
      <c r="Q451">
        <f t="shared" si="975"/>
        <v>-2202091.7142857122</v>
      </c>
      <c r="R451">
        <f t="shared" si="976"/>
        <v>-113131812.99240609</v>
      </c>
      <c r="S451">
        <f t="shared" si="977"/>
        <v>-1131.3181299240609</v>
      </c>
      <c r="T451">
        <f t="shared" si="978"/>
        <v>-1.1313181299240609</v>
      </c>
    </row>
    <row r="452" spans="1:20" x14ac:dyDescent="0.25">
      <c r="A452" s="5">
        <v>44141</v>
      </c>
      <c r="B452">
        <v>7.5600000000000001E-2</v>
      </c>
      <c r="C452">
        <v>8.1000000000000003E-2</v>
      </c>
      <c r="D452">
        <v>7.4200000000000002E-2</v>
      </c>
      <c r="E452">
        <v>8.0299999999999996E-2</v>
      </c>
      <c r="F452">
        <v>1737501.42</v>
      </c>
      <c r="G452">
        <v>0</v>
      </c>
      <c r="L452" t="s">
        <v>8</v>
      </c>
      <c r="M452" t="s">
        <v>7</v>
      </c>
      <c r="N452" t="s">
        <v>7</v>
      </c>
      <c r="P452">
        <f t="shared" si="974"/>
        <v>0.79411764705882171</v>
      </c>
      <c r="Q452">
        <f t="shared" si="975"/>
        <v>1379780.5394117616</v>
      </c>
      <c r="R452">
        <f t="shared" si="976"/>
        <v>-110929721.27812037</v>
      </c>
      <c r="S452">
        <f t="shared" si="977"/>
        <v>-1109.2972127812036</v>
      </c>
      <c r="T452">
        <f t="shared" si="978"/>
        <v>-1.1092972127812035</v>
      </c>
    </row>
    <row r="453" spans="1:20" x14ac:dyDescent="0.25">
      <c r="A453" s="5">
        <v>44140</v>
      </c>
      <c r="B453">
        <v>7.4300000000000005E-2</v>
      </c>
      <c r="C453">
        <v>7.6200000000000004E-2</v>
      </c>
      <c r="D453">
        <v>7.2800000000000004E-2</v>
      </c>
      <c r="E453">
        <v>7.5899999999999995E-2</v>
      </c>
      <c r="F453">
        <v>713322.45</v>
      </c>
      <c r="G453">
        <v>0</v>
      </c>
      <c r="L453" t="s">
        <v>7</v>
      </c>
      <c r="M453" t="s">
        <v>7</v>
      </c>
      <c r="N453" t="s">
        <v>7</v>
      </c>
      <c r="P453">
        <f t="shared" si="974"/>
        <v>0.82352941176470085</v>
      </c>
      <c r="Q453">
        <f t="shared" si="975"/>
        <v>587442.01764705521</v>
      </c>
      <c r="R453">
        <f t="shared" si="976"/>
        <v>-112309501.81753214</v>
      </c>
      <c r="S453">
        <f t="shared" si="977"/>
        <v>-1123.0950181753215</v>
      </c>
      <c r="T453">
        <f t="shared" si="978"/>
        <v>-1.1230950181753214</v>
      </c>
    </row>
    <row r="454" spans="1:20" x14ac:dyDescent="0.25">
      <c r="A454" s="5">
        <v>44139</v>
      </c>
      <c r="B454">
        <v>7.5600000000000001E-2</v>
      </c>
      <c r="C454">
        <v>7.6399999999999996E-2</v>
      </c>
      <c r="D454">
        <v>7.2800000000000004E-2</v>
      </c>
      <c r="E454">
        <v>7.4099999999999999E-2</v>
      </c>
      <c r="F454">
        <v>1177959.5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-0.27777777777777862</v>
      </c>
      <c r="Q454">
        <f t="shared" ref="Q454:Q517" si="980">F454*P454</f>
        <v>-327210.97222222324</v>
      </c>
      <c r="R454">
        <f t="shared" ref="R454:R517" si="981">R455+Q454</f>
        <v>-112896943.83517919</v>
      </c>
      <c r="S454">
        <f t="shared" ref="S454:S517" si="982">R454/100000</f>
        <v>-1128.969438351792</v>
      </c>
      <c r="T454">
        <f t="shared" ref="T454:T517" si="983">S454/1000</f>
        <v>-1.1289694383517919</v>
      </c>
    </row>
    <row r="455" spans="1:20" x14ac:dyDescent="0.25">
      <c r="A455" s="5">
        <v>44138</v>
      </c>
      <c r="B455">
        <v>7.6600000000000001E-2</v>
      </c>
      <c r="C455">
        <v>7.6700000000000004E-2</v>
      </c>
      <c r="D455">
        <v>7.1999999999999995E-2</v>
      </c>
      <c r="E455">
        <v>7.5700000000000003E-2</v>
      </c>
      <c r="F455">
        <v>1337178.73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0.57446808510638347</v>
      </c>
      <c r="Q455">
        <f t="shared" si="980"/>
        <v>768166.50446808571</v>
      </c>
      <c r="R455">
        <f t="shared" si="981"/>
        <v>-112569732.86295697</v>
      </c>
      <c r="S455">
        <f t="shared" si="982"/>
        <v>-1125.6973286295697</v>
      </c>
      <c r="T455">
        <f t="shared" si="983"/>
        <v>-1.1256973286295697</v>
      </c>
    </row>
    <row r="456" spans="1:20" x14ac:dyDescent="0.25">
      <c r="A456" s="5">
        <v>44137</v>
      </c>
      <c r="B456">
        <v>7.9299999999999995E-2</v>
      </c>
      <c r="C456">
        <v>8.5000000000000006E-2</v>
      </c>
      <c r="D456">
        <v>7.5700000000000003E-2</v>
      </c>
      <c r="E456">
        <v>7.6600000000000001E-2</v>
      </c>
      <c r="F456">
        <v>1601050.57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-0.80645161290322631</v>
      </c>
      <c r="Q456">
        <f t="shared" si="980"/>
        <v>-1291169.8145161299</v>
      </c>
      <c r="R456">
        <f t="shared" si="981"/>
        <v>-113337899.36742505</v>
      </c>
      <c r="S456">
        <f t="shared" si="982"/>
        <v>-1133.3789936742505</v>
      </c>
      <c r="T456">
        <f t="shared" si="983"/>
        <v>-1.1333789936742504</v>
      </c>
    </row>
    <row r="457" spans="1:20" x14ac:dyDescent="0.25">
      <c r="A457" s="5">
        <v>44136</v>
      </c>
      <c r="B457">
        <v>7.6499999999999999E-2</v>
      </c>
      <c r="C457">
        <v>7.9200000000000007E-2</v>
      </c>
      <c r="D457">
        <v>7.5899999999999995E-2</v>
      </c>
      <c r="E457">
        <v>7.9200000000000007E-2</v>
      </c>
      <c r="F457">
        <v>225017.21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1</v>
      </c>
      <c r="Q457">
        <f t="shared" si="980"/>
        <v>225017.21</v>
      </c>
      <c r="R457">
        <f t="shared" si="981"/>
        <v>-112046729.55290893</v>
      </c>
      <c r="S457">
        <f t="shared" si="982"/>
        <v>-1120.4672955290894</v>
      </c>
      <c r="T457">
        <f t="shared" si="983"/>
        <v>-1.1204672955290893</v>
      </c>
    </row>
    <row r="458" spans="1:20" x14ac:dyDescent="0.25">
      <c r="A458" s="5">
        <v>44135</v>
      </c>
      <c r="B458">
        <v>7.6100000000000001E-2</v>
      </c>
      <c r="C458">
        <v>7.8200000000000006E-2</v>
      </c>
      <c r="D458">
        <v>7.5999999999999998E-2</v>
      </c>
      <c r="E458">
        <v>7.6899999999999996E-2</v>
      </c>
      <c r="F458">
        <v>495354.89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-0.1818181818181864</v>
      </c>
      <c r="Q458">
        <f t="shared" si="980"/>
        <v>-90064.525454547722</v>
      </c>
      <c r="R458">
        <f t="shared" si="981"/>
        <v>-112271746.76290892</v>
      </c>
      <c r="S458">
        <f t="shared" si="982"/>
        <v>-1122.7174676290892</v>
      </c>
      <c r="T458">
        <f t="shared" si="983"/>
        <v>-1.1227174676290892</v>
      </c>
    </row>
    <row r="459" spans="1:20" x14ac:dyDescent="0.25">
      <c r="A459" s="5">
        <v>44134</v>
      </c>
      <c r="B459">
        <v>7.5200000000000003E-2</v>
      </c>
      <c r="C459">
        <v>0.1</v>
      </c>
      <c r="D459">
        <v>7.4399999999999994E-2</v>
      </c>
      <c r="E459">
        <v>7.6100000000000001E-2</v>
      </c>
      <c r="F459">
        <v>7827318.9299999997</v>
      </c>
      <c r="G459">
        <v>0</v>
      </c>
      <c r="L459" t="s">
        <v>8</v>
      </c>
      <c r="M459" t="s">
        <v>8</v>
      </c>
      <c r="N459" t="s">
        <v>7</v>
      </c>
      <c r="P459">
        <f t="shared" si="979"/>
        <v>-0.86718749999999956</v>
      </c>
      <c r="Q459">
        <f t="shared" si="980"/>
        <v>-6787753.1346093714</v>
      </c>
      <c r="R459">
        <f t="shared" si="981"/>
        <v>-112181682.23745437</v>
      </c>
      <c r="S459">
        <f t="shared" si="982"/>
        <v>-1121.8168223745438</v>
      </c>
      <c r="T459">
        <f t="shared" si="983"/>
        <v>-1.1218168223745437</v>
      </c>
    </row>
    <row r="460" spans="1:20" x14ac:dyDescent="0.25">
      <c r="A460" s="5">
        <v>44133</v>
      </c>
      <c r="B460">
        <v>7.4099999999999999E-2</v>
      </c>
      <c r="C460">
        <v>9.2999999999999999E-2</v>
      </c>
      <c r="D460">
        <v>7.2700000000000001E-2</v>
      </c>
      <c r="E460">
        <v>7.4899999999999994E-2</v>
      </c>
      <c r="F460">
        <v>4114153.53</v>
      </c>
      <c r="G460">
        <v>0</v>
      </c>
      <c r="L460" t="s">
        <v>7</v>
      </c>
      <c r="M460" t="s">
        <v>8</v>
      </c>
      <c r="N460" t="s">
        <v>7</v>
      </c>
      <c r="P460">
        <f t="shared" si="979"/>
        <v>-0.78325123152709419</v>
      </c>
      <c r="Q460">
        <f t="shared" si="980"/>
        <v>-3222415.8190640416</v>
      </c>
      <c r="R460">
        <f t="shared" si="981"/>
        <v>-105393929.102845</v>
      </c>
      <c r="S460">
        <f t="shared" si="982"/>
        <v>-1053.93929102845</v>
      </c>
      <c r="T460">
        <f t="shared" si="983"/>
        <v>-1.05393929102845</v>
      </c>
    </row>
    <row r="461" spans="1:20" x14ac:dyDescent="0.25">
      <c r="A461" s="5">
        <v>44132</v>
      </c>
      <c r="B461">
        <v>8.2299999999999998E-2</v>
      </c>
      <c r="C461">
        <v>8.2600000000000007E-2</v>
      </c>
      <c r="D461">
        <v>7.3400000000000007E-2</v>
      </c>
      <c r="E461">
        <v>7.4099999999999999E-2</v>
      </c>
      <c r="F461">
        <v>707876.27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-0.84782608695652339</v>
      </c>
      <c r="Q461">
        <f t="shared" si="980"/>
        <v>-600155.96804347949</v>
      </c>
      <c r="R461">
        <f t="shared" si="981"/>
        <v>-102171513.28378096</v>
      </c>
      <c r="S461">
        <f t="shared" si="982"/>
        <v>-1021.7151328378096</v>
      </c>
      <c r="T461">
        <f t="shared" si="983"/>
        <v>-1.0217151328378096</v>
      </c>
    </row>
    <row r="462" spans="1:20" x14ac:dyDescent="0.25">
      <c r="A462" s="5">
        <v>44131</v>
      </c>
      <c r="B462">
        <v>8.2699999999999996E-2</v>
      </c>
      <c r="C462">
        <v>8.4599999999999995E-2</v>
      </c>
      <c r="D462">
        <v>8.0799999999999997E-2</v>
      </c>
      <c r="E462">
        <v>8.2199999999999995E-2</v>
      </c>
      <c r="F462">
        <v>328143.23</v>
      </c>
      <c r="G462">
        <v>0</v>
      </c>
      <c r="L462" t="s">
        <v>7</v>
      </c>
      <c r="M462" t="s">
        <v>7</v>
      </c>
      <c r="N462" t="s">
        <v>8</v>
      </c>
      <c r="P462">
        <f t="shared" si="979"/>
        <v>-0.26315789473684248</v>
      </c>
      <c r="Q462">
        <f t="shared" si="980"/>
        <v>-86353.481578947481</v>
      </c>
      <c r="R462">
        <f t="shared" si="981"/>
        <v>-101571357.31573749</v>
      </c>
      <c r="S462">
        <f t="shared" si="982"/>
        <v>-1015.7135731573749</v>
      </c>
      <c r="T462">
        <f t="shared" si="983"/>
        <v>-1.0157135731573748</v>
      </c>
    </row>
    <row r="463" spans="1:20" x14ac:dyDescent="0.25">
      <c r="A463" s="5">
        <v>44130</v>
      </c>
      <c r="B463">
        <v>8.5199999999999998E-2</v>
      </c>
      <c r="C463">
        <v>8.5800000000000001E-2</v>
      </c>
      <c r="D463">
        <v>8.1100000000000005E-2</v>
      </c>
      <c r="E463">
        <v>8.2500000000000004E-2</v>
      </c>
      <c r="F463">
        <v>603956.81000000006</v>
      </c>
      <c r="G463">
        <v>0</v>
      </c>
      <c r="L463" t="s">
        <v>7</v>
      </c>
      <c r="M463" t="s">
        <v>7</v>
      </c>
      <c r="N463" t="s">
        <v>8</v>
      </c>
      <c r="P463">
        <f t="shared" si="979"/>
        <v>-0.40425531914893631</v>
      </c>
      <c r="Q463">
        <f t="shared" si="980"/>
        <v>-244152.75297872353</v>
      </c>
      <c r="R463">
        <f t="shared" si="981"/>
        <v>-101485003.83415854</v>
      </c>
      <c r="S463">
        <f t="shared" si="982"/>
        <v>-1014.8500383415854</v>
      </c>
      <c r="T463">
        <f t="shared" si="983"/>
        <v>-1.0148500383415855</v>
      </c>
    </row>
    <row r="464" spans="1:20" x14ac:dyDescent="0.25">
      <c r="A464" s="5">
        <v>44129</v>
      </c>
      <c r="B464">
        <v>8.7599999999999997E-2</v>
      </c>
      <c r="C464">
        <v>8.77E-2</v>
      </c>
      <c r="D464">
        <v>8.5099999999999995E-2</v>
      </c>
      <c r="E464">
        <v>8.5300000000000001E-2</v>
      </c>
      <c r="F464">
        <v>306015.24</v>
      </c>
      <c r="G464">
        <v>0</v>
      </c>
      <c r="L464" t="s">
        <v>7</v>
      </c>
      <c r="M464" t="s">
        <v>7</v>
      </c>
      <c r="N464" t="s">
        <v>8</v>
      </c>
      <c r="P464">
        <f t="shared" si="979"/>
        <v>-0.84615384615384204</v>
      </c>
      <c r="Q464">
        <f t="shared" si="980"/>
        <v>-258935.97230769103</v>
      </c>
      <c r="R464">
        <f t="shared" si="981"/>
        <v>-101240851.08117981</v>
      </c>
      <c r="S464">
        <f t="shared" si="982"/>
        <v>-1012.4085108117981</v>
      </c>
      <c r="T464">
        <f t="shared" si="983"/>
        <v>-1.0124085108117982</v>
      </c>
    </row>
    <row r="465" spans="1:20" x14ac:dyDescent="0.25">
      <c r="A465" s="5">
        <v>44128</v>
      </c>
      <c r="B465">
        <v>8.8300000000000003E-2</v>
      </c>
      <c r="C465">
        <v>8.8999999999999996E-2</v>
      </c>
      <c r="D465">
        <v>8.7099999999999997E-2</v>
      </c>
      <c r="E465">
        <v>8.7499999999999994E-2</v>
      </c>
      <c r="F465">
        <v>166690.46</v>
      </c>
      <c r="G465">
        <v>0</v>
      </c>
      <c r="L465" t="s">
        <v>8</v>
      </c>
      <c r="M465" t="s">
        <v>7</v>
      </c>
      <c r="N465" t="s">
        <v>8</v>
      </c>
      <c r="P465">
        <f t="shared" si="979"/>
        <v>-0.57894736842105499</v>
      </c>
      <c r="Q465">
        <f t="shared" si="980"/>
        <v>-96505.003157895131</v>
      </c>
      <c r="R465">
        <f t="shared" si="981"/>
        <v>-100981915.10887212</v>
      </c>
      <c r="S465">
        <f t="shared" si="982"/>
        <v>-1009.8191510887211</v>
      </c>
      <c r="T465">
        <f t="shared" si="983"/>
        <v>-1.0098191510887211</v>
      </c>
    </row>
    <row r="466" spans="1:20" x14ac:dyDescent="0.25">
      <c r="A466" s="5">
        <v>44127</v>
      </c>
      <c r="B466">
        <v>8.8099999999999998E-2</v>
      </c>
      <c r="C466">
        <v>8.9200000000000002E-2</v>
      </c>
      <c r="D466">
        <v>8.7099999999999997E-2</v>
      </c>
      <c r="E466">
        <v>8.8400000000000006E-2</v>
      </c>
      <c r="F466">
        <v>424267.77</v>
      </c>
      <c r="G466">
        <v>0</v>
      </c>
      <c r="L466" t="s">
        <v>8</v>
      </c>
      <c r="M466" t="s">
        <v>7</v>
      </c>
      <c r="N466" t="s">
        <v>8</v>
      </c>
      <c r="P466">
        <f t="shared" si="979"/>
        <v>0.23809523809524438</v>
      </c>
      <c r="Q466">
        <f t="shared" si="980"/>
        <v>101016.13571428838</v>
      </c>
      <c r="R466">
        <f t="shared" si="981"/>
        <v>-100885410.10571422</v>
      </c>
      <c r="S466">
        <f t="shared" si="982"/>
        <v>-1008.8541010571422</v>
      </c>
      <c r="T466">
        <f t="shared" si="983"/>
        <v>-1.0088541010571421</v>
      </c>
    </row>
    <row r="467" spans="1:20" x14ac:dyDescent="0.25">
      <c r="A467" s="5">
        <v>44126</v>
      </c>
      <c r="B467">
        <v>8.9200000000000002E-2</v>
      </c>
      <c r="C467">
        <v>9.0200000000000002E-2</v>
      </c>
      <c r="D467">
        <v>8.7400000000000005E-2</v>
      </c>
      <c r="E467">
        <v>8.8099999999999998E-2</v>
      </c>
      <c r="F467">
        <v>543905.49</v>
      </c>
      <c r="G467">
        <v>0</v>
      </c>
      <c r="L467" t="s">
        <v>8</v>
      </c>
      <c r="M467" t="s">
        <v>7</v>
      </c>
      <c r="N467" t="s">
        <v>8</v>
      </c>
      <c r="P467">
        <f t="shared" si="979"/>
        <v>-0.500000000000005</v>
      </c>
      <c r="Q467">
        <f t="shared" si="980"/>
        <v>-271952.74500000273</v>
      </c>
      <c r="R467">
        <f t="shared" si="981"/>
        <v>-100986426.24142851</v>
      </c>
      <c r="S467">
        <f t="shared" si="982"/>
        <v>-1009.8642624142851</v>
      </c>
      <c r="T467">
        <f t="shared" si="983"/>
        <v>-1.0098642624142851</v>
      </c>
    </row>
    <row r="468" spans="1:20" x14ac:dyDescent="0.25">
      <c r="A468" s="5">
        <v>44125</v>
      </c>
      <c r="B468">
        <v>8.6699999999999999E-2</v>
      </c>
      <c r="C468">
        <v>9.1600000000000001E-2</v>
      </c>
      <c r="D468">
        <v>8.6499999999999994E-2</v>
      </c>
      <c r="E468">
        <v>8.9200000000000002E-2</v>
      </c>
      <c r="F468">
        <v>499060.97</v>
      </c>
      <c r="G468">
        <v>0</v>
      </c>
      <c r="L468" t="s">
        <v>8</v>
      </c>
      <c r="M468" t="s">
        <v>7</v>
      </c>
      <c r="N468" t="s">
        <v>8</v>
      </c>
      <c r="P468">
        <f t="shared" si="979"/>
        <v>5.8823529411766308E-2</v>
      </c>
      <c r="Q468">
        <f t="shared" si="980"/>
        <v>29356.527647059622</v>
      </c>
      <c r="R468">
        <f t="shared" si="981"/>
        <v>-100714473.4964285</v>
      </c>
      <c r="S468">
        <f t="shared" si="982"/>
        <v>-1007.144734964285</v>
      </c>
      <c r="T468">
        <f t="shared" si="983"/>
        <v>-1.007144734964285</v>
      </c>
    </row>
    <row r="469" spans="1:20" x14ac:dyDescent="0.25">
      <c r="A469" s="5">
        <v>44124</v>
      </c>
      <c r="B469">
        <v>8.7800000000000003E-2</v>
      </c>
      <c r="C469">
        <v>8.8499999999999995E-2</v>
      </c>
      <c r="D469">
        <v>8.5500000000000007E-2</v>
      </c>
      <c r="E469">
        <v>8.6699999999999999E-2</v>
      </c>
      <c r="F469">
        <v>517065.29</v>
      </c>
      <c r="G469">
        <v>0</v>
      </c>
      <c r="L469" t="s">
        <v>7</v>
      </c>
      <c r="M469" t="s">
        <v>7</v>
      </c>
      <c r="N469" t="s">
        <v>8</v>
      </c>
      <c r="P469">
        <f t="shared" si="979"/>
        <v>-0.20000000000000184</v>
      </c>
      <c r="Q469">
        <f t="shared" si="980"/>
        <v>-103413.05800000095</v>
      </c>
      <c r="R469">
        <f t="shared" si="981"/>
        <v>-100743830.02407557</v>
      </c>
      <c r="S469">
        <f t="shared" si="982"/>
        <v>-1007.4383002407557</v>
      </c>
      <c r="T469">
        <f t="shared" si="983"/>
        <v>-1.0074383002407556</v>
      </c>
    </row>
    <row r="470" spans="1:20" x14ac:dyDescent="0.25">
      <c r="A470" s="5">
        <v>44123</v>
      </c>
      <c r="B470">
        <v>8.8999999999999996E-2</v>
      </c>
      <c r="C470">
        <v>9.0300000000000005E-2</v>
      </c>
      <c r="D470">
        <v>8.6300000000000002E-2</v>
      </c>
      <c r="E470">
        <v>8.7800000000000003E-2</v>
      </c>
      <c r="F470">
        <v>456598.77</v>
      </c>
      <c r="G470">
        <v>0</v>
      </c>
      <c r="L470" t="s">
        <v>7</v>
      </c>
      <c r="M470" t="s">
        <v>7</v>
      </c>
      <c r="N470" t="s">
        <v>8</v>
      </c>
      <c r="P470">
        <f t="shared" si="979"/>
        <v>-0.25</v>
      </c>
      <c r="Q470">
        <f t="shared" si="980"/>
        <v>-114149.6925</v>
      </c>
      <c r="R470">
        <f t="shared" si="981"/>
        <v>-100640416.96607557</v>
      </c>
      <c r="S470">
        <f t="shared" si="982"/>
        <v>-1006.4041696607557</v>
      </c>
      <c r="T470">
        <f t="shared" si="983"/>
        <v>-1.0064041696607557</v>
      </c>
    </row>
    <row r="471" spans="1:20" x14ac:dyDescent="0.25">
      <c r="A471" s="5">
        <v>44122</v>
      </c>
      <c r="B471">
        <v>8.7999999999999995E-2</v>
      </c>
      <c r="C471">
        <v>0.1031</v>
      </c>
      <c r="D471">
        <v>8.7900000000000006E-2</v>
      </c>
      <c r="E471">
        <v>8.8900000000000007E-2</v>
      </c>
      <c r="F471">
        <v>1079904.52</v>
      </c>
      <c r="G471">
        <v>0</v>
      </c>
      <c r="L471" t="s">
        <v>8</v>
      </c>
      <c r="M471" t="s">
        <v>8</v>
      </c>
      <c r="N471" t="s">
        <v>8</v>
      </c>
      <c r="P471">
        <f t="shared" si="979"/>
        <v>-0.86842105263157876</v>
      </c>
      <c r="Q471">
        <f t="shared" si="980"/>
        <v>-937811.81999999983</v>
      </c>
      <c r="R471">
        <f t="shared" si="981"/>
        <v>-100526267.27357557</v>
      </c>
      <c r="S471">
        <f t="shared" si="982"/>
        <v>-1005.2626727357557</v>
      </c>
      <c r="T471">
        <f t="shared" si="983"/>
        <v>-1.0052626727357556</v>
      </c>
    </row>
    <row r="472" spans="1:20" x14ac:dyDescent="0.25">
      <c r="A472" s="5">
        <v>44121</v>
      </c>
      <c r="B472">
        <v>8.6599999999999996E-2</v>
      </c>
      <c r="C472">
        <v>8.8200000000000001E-2</v>
      </c>
      <c r="D472">
        <v>8.6400000000000005E-2</v>
      </c>
      <c r="E472">
        <v>8.7900000000000006E-2</v>
      </c>
      <c r="F472">
        <v>151483.91</v>
      </c>
      <c r="G472">
        <v>0</v>
      </c>
      <c r="L472" t="s">
        <v>7</v>
      </c>
      <c r="M472" t="s">
        <v>8</v>
      </c>
      <c r="N472" t="s">
        <v>7</v>
      </c>
      <c r="P472">
        <f t="shared" si="979"/>
        <v>0.66666666666667185</v>
      </c>
      <c r="Q472">
        <f t="shared" si="980"/>
        <v>100989.27333333412</v>
      </c>
      <c r="R472">
        <f t="shared" si="981"/>
        <v>-99588455.453575581</v>
      </c>
      <c r="S472">
        <f t="shared" si="982"/>
        <v>-995.8845545357558</v>
      </c>
      <c r="T472">
        <f t="shared" si="983"/>
        <v>-0.99588455453575575</v>
      </c>
    </row>
    <row r="473" spans="1:20" x14ac:dyDescent="0.25">
      <c r="A473" s="5">
        <v>44120</v>
      </c>
      <c r="B473">
        <v>8.9599999999999999E-2</v>
      </c>
      <c r="C473">
        <v>9.0700000000000003E-2</v>
      </c>
      <c r="D473">
        <v>8.5500000000000007E-2</v>
      </c>
      <c r="E473">
        <v>8.6900000000000005E-2</v>
      </c>
      <c r="F473">
        <v>465521.67</v>
      </c>
      <c r="G473">
        <v>0</v>
      </c>
      <c r="L473" t="s">
        <v>7</v>
      </c>
      <c r="M473" t="s">
        <v>8</v>
      </c>
      <c r="N473" t="s">
        <v>7</v>
      </c>
      <c r="P473">
        <f t="shared" si="979"/>
        <v>-0.46153846153846173</v>
      </c>
      <c r="Q473">
        <f t="shared" si="980"/>
        <v>-214856.15538461547</v>
      </c>
      <c r="R473">
        <f t="shared" si="981"/>
        <v>-99689444.726908922</v>
      </c>
      <c r="S473">
        <f t="shared" si="982"/>
        <v>-996.89444726908926</v>
      </c>
      <c r="T473">
        <f t="shared" si="983"/>
        <v>-0.99689444726908927</v>
      </c>
    </row>
    <row r="474" spans="1:20" x14ac:dyDescent="0.25">
      <c r="A474" s="5">
        <v>44119</v>
      </c>
      <c r="B474">
        <v>0.09</v>
      </c>
      <c r="C474">
        <v>9.0200000000000002E-2</v>
      </c>
      <c r="D474">
        <v>8.8200000000000001E-2</v>
      </c>
      <c r="E474">
        <v>8.9599999999999999E-2</v>
      </c>
      <c r="F474">
        <v>401742.59</v>
      </c>
      <c r="G474">
        <v>0</v>
      </c>
      <c r="L474" t="s">
        <v>8</v>
      </c>
      <c r="M474" t="s">
        <v>8</v>
      </c>
      <c r="N474" t="s">
        <v>7</v>
      </c>
      <c r="P474">
        <f t="shared" si="979"/>
        <v>0.39999999999999725</v>
      </c>
      <c r="Q474">
        <f t="shared" si="980"/>
        <v>160697.03599999892</v>
      </c>
      <c r="R474">
        <f t="shared" si="981"/>
        <v>-99474588.571524307</v>
      </c>
      <c r="S474">
        <f t="shared" si="982"/>
        <v>-994.74588571524305</v>
      </c>
      <c r="T474">
        <f t="shared" si="983"/>
        <v>-0.99474588571524303</v>
      </c>
    </row>
    <row r="475" spans="1:20" x14ac:dyDescent="0.25">
      <c r="A475" s="5">
        <v>44118</v>
      </c>
      <c r="B475">
        <v>9.0999999999999998E-2</v>
      </c>
      <c r="C475">
        <v>9.1499999999999998E-2</v>
      </c>
      <c r="D475">
        <v>8.8300000000000003E-2</v>
      </c>
      <c r="E475">
        <v>0.09</v>
      </c>
      <c r="F475">
        <v>352779.1</v>
      </c>
      <c r="G475">
        <v>0</v>
      </c>
      <c r="L475" t="s">
        <v>8</v>
      </c>
      <c r="M475" t="s">
        <v>8</v>
      </c>
      <c r="N475" t="s">
        <v>7</v>
      </c>
      <c r="P475">
        <f t="shared" si="979"/>
        <v>6.2499999999997558E-2</v>
      </c>
      <c r="Q475">
        <f t="shared" si="980"/>
        <v>22048.693749999136</v>
      </c>
      <c r="R475">
        <f t="shared" si="981"/>
        <v>-99635285.607524306</v>
      </c>
      <c r="S475">
        <f t="shared" si="982"/>
        <v>-996.35285607524304</v>
      </c>
      <c r="T475">
        <f t="shared" si="983"/>
        <v>-0.99635285607524304</v>
      </c>
    </row>
    <row r="476" spans="1:20" x14ac:dyDescent="0.25">
      <c r="A476" s="5">
        <v>44117</v>
      </c>
      <c r="B476">
        <v>9.01E-2</v>
      </c>
      <c r="C476">
        <v>9.1999999999999998E-2</v>
      </c>
      <c r="D476">
        <v>8.9300000000000004E-2</v>
      </c>
      <c r="E476">
        <v>9.0499999999999997E-2</v>
      </c>
      <c r="F476">
        <v>476550.79</v>
      </c>
      <c r="G476">
        <v>0</v>
      </c>
      <c r="L476" t="s">
        <v>8</v>
      </c>
      <c r="M476" t="s">
        <v>8</v>
      </c>
      <c r="N476" t="s">
        <v>7</v>
      </c>
      <c r="P476">
        <f t="shared" si="979"/>
        <v>-0.11111111111111453</v>
      </c>
      <c r="Q476">
        <f t="shared" si="980"/>
        <v>-52950.087777779408</v>
      </c>
      <c r="R476">
        <f t="shared" si="981"/>
        <v>-99657334.3012743</v>
      </c>
      <c r="S476">
        <f t="shared" si="982"/>
        <v>-996.57334301274295</v>
      </c>
      <c r="T476">
        <f t="shared" si="983"/>
        <v>-0.99657334301274292</v>
      </c>
    </row>
    <row r="477" spans="1:20" x14ac:dyDescent="0.25">
      <c r="A477" s="5">
        <v>44116</v>
      </c>
      <c r="B477">
        <v>9.2100000000000001E-2</v>
      </c>
      <c r="C477">
        <v>9.2499999999999999E-2</v>
      </c>
      <c r="D477">
        <v>8.7999999999999995E-2</v>
      </c>
      <c r="E477">
        <v>9.0499999999999997E-2</v>
      </c>
      <c r="F477">
        <v>969578.12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0.1111111111111111</v>
      </c>
      <c r="Q477">
        <f t="shared" si="980"/>
        <v>107730.90222222221</v>
      </c>
      <c r="R477">
        <f t="shared" si="981"/>
        <v>-99604384.213496521</v>
      </c>
      <c r="S477">
        <f t="shared" si="982"/>
        <v>-996.04384213496519</v>
      </c>
      <c r="T477">
        <f t="shared" si="983"/>
        <v>-0.99604384213496522</v>
      </c>
    </row>
    <row r="478" spans="1:20" x14ac:dyDescent="0.25">
      <c r="A478" s="5">
        <v>44115</v>
      </c>
      <c r="B478">
        <v>9.3899999999999997E-2</v>
      </c>
      <c r="C478">
        <v>9.4500000000000001E-2</v>
      </c>
      <c r="D478">
        <v>9.2100000000000001E-2</v>
      </c>
      <c r="E478">
        <v>9.2700000000000005E-2</v>
      </c>
      <c r="F478">
        <v>257326.36</v>
      </c>
      <c r="G478">
        <v>0</v>
      </c>
      <c r="L478" t="s">
        <v>8</v>
      </c>
      <c r="M478" t="s">
        <v>8</v>
      </c>
      <c r="N478" t="s">
        <v>7</v>
      </c>
      <c r="P478">
        <f t="shared" si="979"/>
        <v>-0.49999999999999711</v>
      </c>
      <c r="Q478">
        <f t="shared" si="980"/>
        <v>-128663.17999999925</v>
      </c>
      <c r="R478">
        <f t="shared" si="981"/>
        <v>-99712115.115718737</v>
      </c>
      <c r="S478">
        <f t="shared" si="982"/>
        <v>-997.12115115718734</v>
      </c>
      <c r="T478">
        <f t="shared" si="983"/>
        <v>-0.99712115115718736</v>
      </c>
    </row>
    <row r="479" spans="1:20" x14ac:dyDescent="0.25">
      <c r="A479" s="5">
        <v>44114</v>
      </c>
      <c r="B479">
        <v>9.2600000000000002E-2</v>
      </c>
      <c r="C479">
        <v>9.4600000000000004E-2</v>
      </c>
      <c r="D479">
        <v>9.1200000000000003E-2</v>
      </c>
      <c r="E479">
        <v>9.3700000000000006E-2</v>
      </c>
      <c r="F479">
        <v>583225.34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0.47058823529411886</v>
      </c>
      <c r="Q479">
        <f t="shared" si="980"/>
        <v>274458.98352941248</v>
      </c>
      <c r="R479">
        <f t="shared" si="981"/>
        <v>-99583451.935718745</v>
      </c>
      <c r="S479">
        <f t="shared" si="982"/>
        <v>-995.83451935718745</v>
      </c>
      <c r="T479">
        <f t="shared" si="983"/>
        <v>-0.99583451935718748</v>
      </c>
    </row>
    <row r="480" spans="1:20" x14ac:dyDescent="0.25">
      <c r="A480" s="5">
        <v>44113</v>
      </c>
      <c r="B480">
        <v>8.8999999999999996E-2</v>
      </c>
      <c r="C480">
        <v>9.3799999999999994E-2</v>
      </c>
      <c r="D480">
        <v>8.77E-2</v>
      </c>
      <c r="E480">
        <v>9.2499999999999999E-2</v>
      </c>
      <c r="F480">
        <v>842359.4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0.57377049180327977</v>
      </c>
      <c r="Q480">
        <f t="shared" si="980"/>
        <v>483320.96721311565</v>
      </c>
      <c r="R480">
        <f t="shared" si="981"/>
        <v>-99857910.919248164</v>
      </c>
      <c r="S480">
        <f t="shared" si="982"/>
        <v>-998.57910919248161</v>
      </c>
      <c r="T480">
        <f t="shared" si="983"/>
        <v>-0.99857910919248161</v>
      </c>
    </row>
    <row r="481" spans="1:20" x14ac:dyDescent="0.25">
      <c r="A481" s="5">
        <v>44112</v>
      </c>
      <c r="B481">
        <v>8.5599999999999996E-2</v>
      </c>
      <c r="C481">
        <v>8.9099999999999999E-2</v>
      </c>
      <c r="D481">
        <v>8.43E-2</v>
      </c>
      <c r="E481">
        <v>8.8999999999999996E-2</v>
      </c>
      <c r="F481">
        <v>421689.63</v>
      </c>
      <c r="G481">
        <v>0</v>
      </c>
      <c r="L481" t="s">
        <v>8</v>
      </c>
      <c r="M481" t="s">
        <v>8</v>
      </c>
      <c r="N481" t="s">
        <v>7</v>
      </c>
      <c r="P481">
        <f t="shared" si="979"/>
        <v>0.95833333333333215</v>
      </c>
      <c r="Q481">
        <f t="shared" si="980"/>
        <v>404119.22874999949</v>
      </c>
      <c r="R481">
        <f t="shared" si="981"/>
        <v>-100341231.88646127</v>
      </c>
      <c r="S481">
        <f t="shared" si="982"/>
        <v>-1003.4123188646128</v>
      </c>
      <c r="T481">
        <f t="shared" si="983"/>
        <v>-1.0034123188646127</v>
      </c>
    </row>
    <row r="482" spans="1:20" x14ac:dyDescent="0.25">
      <c r="A482" s="5">
        <v>44111</v>
      </c>
      <c r="B482">
        <v>8.4599999999999995E-2</v>
      </c>
      <c r="C482">
        <v>8.6499999999999994E-2</v>
      </c>
      <c r="D482">
        <v>7.0300000000000001E-2</v>
      </c>
      <c r="E482">
        <v>8.5500000000000007E-2</v>
      </c>
      <c r="F482">
        <v>616082.49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0.87654320987654477</v>
      </c>
      <c r="Q482">
        <f t="shared" si="980"/>
        <v>540022.92333333427</v>
      </c>
      <c r="R482">
        <f t="shared" si="981"/>
        <v>-100745351.11521128</v>
      </c>
      <c r="S482">
        <f t="shared" si="982"/>
        <v>-1007.4535111521128</v>
      </c>
      <c r="T482">
        <f t="shared" si="983"/>
        <v>-1.0074535111521128</v>
      </c>
    </row>
    <row r="483" spans="1:20" x14ac:dyDescent="0.25">
      <c r="A483" s="5">
        <v>44110</v>
      </c>
      <c r="B483">
        <v>8.9899999999999994E-2</v>
      </c>
      <c r="C483">
        <v>9.0999999999999998E-2</v>
      </c>
      <c r="D483">
        <v>8.3900000000000002E-2</v>
      </c>
      <c r="E483">
        <v>8.4599999999999995E-2</v>
      </c>
      <c r="F483">
        <v>362700.93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-0.80281690140845274</v>
      </c>
      <c r="Q483">
        <f t="shared" si="980"/>
        <v>-291182.4367605641</v>
      </c>
      <c r="R483">
        <f t="shared" si="981"/>
        <v>-101285374.03854461</v>
      </c>
      <c r="S483">
        <f t="shared" si="982"/>
        <v>-1012.8537403854461</v>
      </c>
      <c r="T483">
        <f t="shared" si="983"/>
        <v>-1.0128537403854461</v>
      </c>
    </row>
    <row r="484" spans="1:20" x14ac:dyDescent="0.25">
      <c r="A484" s="5">
        <v>44109</v>
      </c>
      <c r="B484">
        <v>8.9899999999999994E-2</v>
      </c>
      <c r="C484">
        <v>9.06E-2</v>
      </c>
      <c r="D484">
        <v>8.8200000000000001E-2</v>
      </c>
      <c r="E484">
        <v>8.9700000000000002E-2</v>
      </c>
      <c r="F484">
        <v>179702.43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0.25000000000000144</v>
      </c>
      <c r="Q484">
        <f t="shared" si="980"/>
        <v>44925.60750000026</v>
      </c>
      <c r="R484">
        <f t="shared" si="981"/>
        <v>-100994191.60178405</v>
      </c>
      <c r="S484">
        <f t="shared" si="982"/>
        <v>-1009.9419160178405</v>
      </c>
      <c r="T484">
        <f t="shared" si="983"/>
        <v>-1.0099419160178404</v>
      </c>
    </row>
    <row r="485" spans="1:20" x14ac:dyDescent="0.25">
      <c r="A485" s="5">
        <v>44108</v>
      </c>
      <c r="B485">
        <v>8.9200000000000002E-2</v>
      </c>
      <c r="C485">
        <v>9.0300000000000005E-2</v>
      </c>
      <c r="D485">
        <v>8.7999999999999995E-2</v>
      </c>
      <c r="E485">
        <v>8.9800000000000005E-2</v>
      </c>
      <c r="F485">
        <v>100780.46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0.56521739130434945</v>
      </c>
      <c r="Q485">
        <f t="shared" si="980"/>
        <v>56962.868695652338</v>
      </c>
      <c r="R485">
        <f t="shared" si="981"/>
        <v>-101039117.20928405</v>
      </c>
      <c r="S485">
        <f t="shared" si="982"/>
        <v>-1010.3911720928405</v>
      </c>
      <c r="T485">
        <f t="shared" si="983"/>
        <v>-1.0103911720928405</v>
      </c>
    </row>
    <row r="486" spans="1:20" x14ac:dyDescent="0.25">
      <c r="A486" s="5">
        <v>44107</v>
      </c>
      <c r="B486">
        <v>8.9099999999999999E-2</v>
      </c>
      <c r="C486">
        <v>9.0700000000000003E-2</v>
      </c>
      <c r="D486">
        <v>8.7900000000000006E-2</v>
      </c>
      <c r="E486">
        <v>8.9599999999999999E-2</v>
      </c>
      <c r="F486">
        <v>129087.85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0.21428571428571075</v>
      </c>
      <c r="Q486">
        <f t="shared" si="980"/>
        <v>27661.682142856687</v>
      </c>
      <c r="R486">
        <f t="shared" si="981"/>
        <v>-101096080.0779797</v>
      </c>
      <c r="S486">
        <f t="shared" si="982"/>
        <v>-1010.960800779797</v>
      </c>
      <c r="T486">
        <f t="shared" si="983"/>
        <v>-1.010960800779797</v>
      </c>
    </row>
    <row r="487" spans="1:20" x14ac:dyDescent="0.25">
      <c r="A487" s="5">
        <v>44106</v>
      </c>
      <c r="B487">
        <v>9.2700000000000005E-2</v>
      </c>
      <c r="C487">
        <v>9.3600000000000003E-2</v>
      </c>
      <c r="D487">
        <v>8.6400000000000005E-2</v>
      </c>
      <c r="E487">
        <v>8.9099999999999999E-2</v>
      </c>
      <c r="F487">
        <v>784469.46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-0.25000000000000144</v>
      </c>
      <c r="Q487">
        <f t="shared" si="980"/>
        <v>-196117.36500000113</v>
      </c>
      <c r="R487">
        <f t="shared" si="981"/>
        <v>-101123741.76012255</v>
      </c>
      <c r="S487">
        <f t="shared" si="982"/>
        <v>-1011.2374176012255</v>
      </c>
      <c r="T487">
        <f t="shared" si="983"/>
        <v>-1.0112374176012255</v>
      </c>
    </row>
    <row r="488" spans="1:20" x14ac:dyDescent="0.25">
      <c r="A488" s="5">
        <v>44105</v>
      </c>
      <c r="B488">
        <v>9.5000000000000001E-2</v>
      </c>
      <c r="C488">
        <v>9.6799999999999997E-2</v>
      </c>
      <c r="D488">
        <v>9.01E-2</v>
      </c>
      <c r="E488">
        <v>9.2600000000000002E-2</v>
      </c>
      <c r="F488">
        <v>597304.05000000005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-0.25373134328358116</v>
      </c>
      <c r="Q488">
        <f t="shared" si="980"/>
        <v>-151554.75895522334</v>
      </c>
      <c r="R488">
        <f t="shared" si="981"/>
        <v>-100927624.39512256</v>
      </c>
      <c r="S488">
        <f t="shared" si="982"/>
        <v>-1009.2762439512255</v>
      </c>
      <c r="T488">
        <f t="shared" si="983"/>
        <v>-1.0092762439512255</v>
      </c>
    </row>
    <row r="489" spans="1:20" x14ac:dyDescent="0.25">
      <c r="A489" s="5">
        <v>44104</v>
      </c>
      <c r="B489">
        <v>9.4700000000000006E-2</v>
      </c>
      <c r="C489">
        <v>9.5200000000000007E-2</v>
      </c>
      <c r="D489">
        <v>9.1999999999999998E-2</v>
      </c>
      <c r="E489">
        <v>9.4700000000000006E-2</v>
      </c>
      <c r="F489">
        <v>410397.31</v>
      </c>
      <c r="G489">
        <v>0</v>
      </c>
      <c r="L489" t="s">
        <v>7</v>
      </c>
      <c r="M489" t="s">
        <v>7</v>
      </c>
      <c r="N489" t="s">
        <v>7</v>
      </c>
      <c r="P489">
        <f t="shared" si="979"/>
        <v>0.68750000000000056</v>
      </c>
      <c r="Q489">
        <f t="shared" si="980"/>
        <v>282148.15062500024</v>
      </c>
      <c r="R489">
        <f t="shared" si="981"/>
        <v>-100776069.63616733</v>
      </c>
      <c r="S489">
        <f t="shared" si="982"/>
        <v>-1007.7606963616734</v>
      </c>
      <c r="T489">
        <f t="shared" si="983"/>
        <v>-1.0077606963616734</v>
      </c>
    </row>
    <row r="490" spans="1:20" x14ac:dyDescent="0.25">
      <c r="A490" s="5">
        <v>44103</v>
      </c>
      <c r="B490">
        <v>9.3700000000000006E-2</v>
      </c>
      <c r="C490">
        <v>9.5600000000000004E-2</v>
      </c>
      <c r="D490">
        <v>9.2799999999999994E-2</v>
      </c>
      <c r="E490">
        <v>9.4899999999999998E-2</v>
      </c>
      <c r="F490">
        <v>449835.53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0.4999999999999975</v>
      </c>
      <c r="Q490">
        <f t="shared" si="980"/>
        <v>224917.76499999888</v>
      </c>
      <c r="R490">
        <f t="shared" si="981"/>
        <v>-101058217.78679234</v>
      </c>
      <c r="S490">
        <f t="shared" si="982"/>
        <v>-1010.5821778679234</v>
      </c>
      <c r="T490">
        <f t="shared" si="983"/>
        <v>-1.0105821778679234</v>
      </c>
    </row>
    <row r="491" spans="1:20" x14ac:dyDescent="0.25">
      <c r="A491" s="5">
        <v>44102</v>
      </c>
      <c r="B491">
        <v>9.7500000000000003E-2</v>
      </c>
      <c r="C491">
        <v>9.9299999999999999E-2</v>
      </c>
      <c r="D491">
        <v>9.3399999999999997E-2</v>
      </c>
      <c r="E491">
        <v>9.3600000000000003E-2</v>
      </c>
      <c r="F491">
        <v>985315.47</v>
      </c>
      <c r="G491">
        <v>0</v>
      </c>
      <c r="L491" t="s">
        <v>8</v>
      </c>
      <c r="M491" t="s">
        <v>7</v>
      </c>
      <c r="N491" t="s">
        <v>7</v>
      </c>
      <c r="P491">
        <f t="shared" si="979"/>
        <v>-0.93220338983050655</v>
      </c>
      <c r="Q491">
        <f t="shared" si="980"/>
        <v>-918514.42118643876</v>
      </c>
      <c r="R491">
        <f t="shared" si="981"/>
        <v>-101283135.55179234</v>
      </c>
      <c r="S491">
        <f t="shared" si="982"/>
        <v>-1012.8313555179234</v>
      </c>
      <c r="T491">
        <f t="shared" si="983"/>
        <v>-1.0128313555179234</v>
      </c>
    </row>
    <row r="492" spans="1:20" x14ac:dyDescent="0.25">
      <c r="A492" s="5">
        <v>44101</v>
      </c>
      <c r="B492">
        <v>9.6000000000000002E-2</v>
      </c>
      <c r="C492">
        <v>9.8000000000000004E-2</v>
      </c>
      <c r="D492">
        <v>9.1600000000000001E-2</v>
      </c>
      <c r="E492">
        <v>9.69E-2</v>
      </c>
      <c r="F492">
        <v>643530.93999999994</v>
      </c>
      <c r="G492">
        <v>0</v>
      </c>
      <c r="L492" t="s">
        <v>8</v>
      </c>
      <c r="M492" t="s">
        <v>7</v>
      </c>
      <c r="N492" t="s">
        <v>7</v>
      </c>
      <c r="P492">
        <f t="shared" si="979"/>
        <v>0.656249999999999</v>
      </c>
      <c r="Q492">
        <f t="shared" si="980"/>
        <v>422317.17937499931</v>
      </c>
      <c r="R492">
        <f t="shared" si="981"/>
        <v>-100364621.13060591</v>
      </c>
      <c r="S492">
        <f t="shared" si="982"/>
        <v>-1003.6462113060591</v>
      </c>
      <c r="T492">
        <f t="shared" si="983"/>
        <v>-1.0036462113060591</v>
      </c>
    </row>
    <row r="493" spans="1:20" x14ac:dyDescent="0.25">
      <c r="A493" s="5">
        <v>44100</v>
      </c>
      <c r="B493">
        <v>9.3399999999999997E-2</v>
      </c>
      <c r="C493">
        <v>9.64E-2</v>
      </c>
      <c r="D493">
        <v>9.2600000000000002E-2</v>
      </c>
      <c r="E493">
        <v>9.6000000000000002E-2</v>
      </c>
      <c r="F493">
        <v>674328.46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0.78947368421052744</v>
      </c>
      <c r="Q493">
        <f t="shared" si="980"/>
        <v>532364.57368421124</v>
      </c>
      <c r="R493">
        <f t="shared" si="981"/>
        <v>-100786938.3099809</v>
      </c>
      <c r="S493">
        <f t="shared" si="982"/>
        <v>-1007.8693830998089</v>
      </c>
      <c r="T493">
        <f t="shared" si="983"/>
        <v>-1.0078693830998089</v>
      </c>
    </row>
    <row r="494" spans="1:20" x14ac:dyDescent="0.25">
      <c r="A494" s="5">
        <v>44099</v>
      </c>
      <c r="B494">
        <v>9.2999999999999999E-2</v>
      </c>
      <c r="C494">
        <v>9.5699999999999993E-2</v>
      </c>
      <c r="D494">
        <v>8.9300000000000004E-2</v>
      </c>
      <c r="E494">
        <v>9.2999999999999999E-2</v>
      </c>
      <c r="F494">
        <v>1059931.18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0.15625000000000042</v>
      </c>
      <c r="Q494">
        <f t="shared" si="980"/>
        <v>165614.24687500042</v>
      </c>
      <c r="R494">
        <f t="shared" si="981"/>
        <v>-101319302.88366511</v>
      </c>
      <c r="S494">
        <f t="shared" si="982"/>
        <v>-1013.1930288366511</v>
      </c>
      <c r="T494">
        <f t="shared" si="983"/>
        <v>-1.0131930288366511</v>
      </c>
    </row>
    <row r="495" spans="1:20" x14ac:dyDescent="0.25">
      <c r="A495" s="5">
        <v>44098</v>
      </c>
      <c r="B495">
        <v>8.6800000000000002E-2</v>
      </c>
      <c r="C495">
        <v>9.3600000000000003E-2</v>
      </c>
      <c r="D495">
        <v>8.6400000000000005E-2</v>
      </c>
      <c r="E495">
        <v>9.2899999999999996E-2</v>
      </c>
      <c r="F495">
        <v>700778.95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0.8055555555555538</v>
      </c>
      <c r="Q495">
        <f t="shared" si="980"/>
        <v>564516.37638888764</v>
      </c>
      <c r="R495">
        <f t="shared" si="981"/>
        <v>-101484917.13054012</v>
      </c>
      <c r="S495">
        <f t="shared" si="982"/>
        <v>-1014.8491713054012</v>
      </c>
      <c r="T495">
        <f t="shared" si="983"/>
        <v>-1.0148491713054013</v>
      </c>
    </row>
    <row r="496" spans="1:20" x14ac:dyDescent="0.25">
      <c r="A496" s="5">
        <v>44097</v>
      </c>
      <c r="B496">
        <v>9.2999999999999999E-2</v>
      </c>
      <c r="C496">
        <v>9.35E-2</v>
      </c>
      <c r="D496">
        <v>8.5999999999999993E-2</v>
      </c>
      <c r="E496">
        <v>8.6699999999999999E-2</v>
      </c>
      <c r="F496">
        <v>709146.6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-0.8133333333333318</v>
      </c>
      <c r="Q496">
        <f t="shared" si="980"/>
        <v>-576772.56799999892</v>
      </c>
      <c r="R496">
        <f t="shared" si="981"/>
        <v>-102049433.50692901</v>
      </c>
      <c r="S496">
        <f t="shared" si="982"/>
        <v>-1020.4943350692901</v>
      </c>
      <c r="T496">
        <f t="shared" si="983"/>
        <v>-1.0204943350692901</v>
      </c>
    </row>
    <row r="497" spans="1:20" x14ac:dyDescent="0.25">
      <c r="A497" s="5">
        <v>44096</v>
      </c>
      <c r="B497">
        <v>9.0300000000000005E-2</v>
      </c>
      <c r="C497">
        <v>9.4200000000000006E-2</v>
      </c>
      <c r="D497">
        <v>8.9099999999999999E-2</v>
      </c>
      <c r="E497">
        <v>9.2700000000000005E-2</v>
      </c>
      <c r="F497">
        <v>1114913.4099999999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0.41176470588235325</v>
      </c>
      <c r="Q497">
        <f t="shared" si="980"/>
        <v>459081.99235294148</v>
      </c>
      <c r="R497">
        <f t="shared" si="981"/>
        <v>-101472660.93892901</v>
      </c>
      <c r="S497">
        <f t="shared" si="982"/>
        <v>-1014.72660938929</v>
      </c>
      <c r="T497">
        <f t="shared" si="983"/>
        <v>-1.0147266093892902</v>
      </c>
    </row>
    <row r="498" spans="1:20" x14ac:dyDescent="0.25">
      <c r="A498" s="5">
        <v>44095</v>
      </c>
      <c r="B498">
        <v>0.1024</v>
      </c>
      <c r="C498">
        <v>0.106</v>
      </c>
      <c r="D498">
        <v>8.8300000000000003E-2</v>
      </c>
      <c r="E498">
        <v>9.0800000000000006E-2</v>
      </c>
      <c r="F498">
        <v>3428854.86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-0.71751412429378492</v>
      </c>
      <c r="Q498">
        <f t="shared" si="980"/>
        <v>-2460251.7922033882</v>
      </c>
      <c r="R498">
        <f t="shared" si="981"/>
        <v>-101931742.93128195</v>
      </c>
      <c r="S498">
        <f t="shared" si="982"/>
        <v>-1019.3174293128195</v>
      </c>
      <c r="T498">
        <f t="shared" si="983"/>
        <v>-1.0193174293128195</v>
      </c>
    </row>
    <row r="499" spans="1:20" x14ac:dyDescent="0.25">
      <c r="A499" s="5">
        <v>44094</v>
      </c>
      <c r="B499">
        <v>9.9099999999999994E-2</v>
      </c>
      <c r="C499">
        <v>0.1113</v>
      </c>
      <c r="D499">
        <v>9.7799999999999998E-2</v>
      </c>
      <c r="E499">
        <v>0.1023</v>
      </c>
      <c r="F499">
        <v>13774783.65</v>
      </c>
      <c r="G499">
        <v>0</v>
      </c>
      <c r="L499" t="s">
        <v>8</v>
      </c>
      <c r="M499" t="s">
        <v>8</v>
      </c>
      <c r="N499" t="s">
        <v>7</v>
      </c>
      <c r="P499">
        <f t="shared" si="979"/>
        <v>-0.33333333333333265</v>
      </c>
      <c r="Q499">
        <f t="shared" si="980"/>
        <v>-4591594.5499999905</v>
      </c>
      <c r="R499">
        <f t="shared" si="981"/>
        <v>-99471491.139078572</v>
      </c>
      <c r="S499">
        <f t="shared" si="982"/>
        <v>-994.71491139078569</v>
      </c>
      <c r="T499">
        <f t="shared" si="983"/>
        <v>-0.99471491139078572</v>
      </c>
    </row>
    <row r="500" spans="1:20" x14ac:dyDescent="0.25">
      <c r="A500" s="5">
        <v>44093</v>
      </c>
      <c r="B500">
        <v>9.9099999999999994E-2</v>
      </c>
      <c r="C500">
        <v>0.1002</v>
      </c>
      <c r="D500">
        <v>9.7600000000000006E-2</v>
      </c>
      <c r="E500">
        <v>9.8699999999999996E-2</v>
      </c>
      <c r="F500">
        <v>717812</v>
      </c>
      <c r="G500">
        <v>0</v>
      </c>
      <c r="L500" t="s">
        <v>8</v>
      </c>
      <c r="M500" t="s">
        <v>7</v>
      </c>
      <c r="N500" t="s">
        <v>7</v>
      </c>
      <c r="P500">
        <f t="shared" si="979"/>
        <v>-0.15384615384615877</v>
      </c>
      <c r="Q500">
        <f t="shared" si="980"/>
        <v>-110432.61538461891</v>
      </c>
      <c r="R500">
        <f t="shared" si="981"/>
        <v>-94879896.589078575</v>
      </c>
      <c r="S500">
        <f t="shared" si="982"/>
        <v>-948.79896589078578</v>
      </c>
      <c r="T500">
        <f t="shared" si="983"/>
        <v>-0.94879896589078583</v>
      </c>
    </row>
    <row r="501" spans="1:20" x14ac:dyDescent="0.25">
      <c r="A501" s="5">
        <v>44092</v>
      </c>
      <c r="B501">
        <v>9.9000000000000005E-2</v>
      </c>
      <c r="C501">
        <v>0.1024</v>
      </c>
      <c r="D501">
        <v>9.8299999999999998E-2</v>
      </c>
      <c r="E501">
        <v>9.8400000000000001E-2</v>
      </c>
      <c r="F501">
        <v>1241126.78</v>
      </c>
      <c r="G501">
        <v>0</v>
      </c>
      <c r="L501" t="s">
        <v>8</v>
      </c>
      <c r="M501" t="s">
        <v>7</v>
      </c>
      <c r="N501" t="s">
        <v>7</v>
      </c>
      <c r="P501">
        <f t="shared" si="979"/>
        <v>-0.95121951219512058</v>
      </c>
      <c r="Q501">
        <f t="shared" si="980"/>
        <v>-1180584.0102439008</v>
      </c>
      <c r="R501">
        <f t="shared" si="981"/>
        <v>-94769463.973693952</v>
      </c>
      <c r="S501">
        <f t="shared" si="982"/>
        <v>-947.69463973693951</v>
      </c>
      <c r="T501">
        <f t="shared" si="983"/>
        <v>-0.94769463973693946</v>
      </c>
    </row>
    <row r="502" spans="1:20" x14ac:dyDescent="0.25">
      <c r="A502" s="5">
        <v>44091</v>
      </c>
      <c r="B502">
        <v>0.1019</v>
      </c>
      <c r="C502">
        <v>0.1046</v>
      </c>
      <c r="D502">
        <v>9.6299999999999997E-2</v>
      </c>
      <c r="E502">
        <v>9.9000000000000005E-2</v>
      </c>
      <c r="F502">
        <v>2132912.37</v>
      </c>
      <c r="G502">
        <v>0</v>
      </c>
      <c r="L502" t="s">
        <v>8</v>
      </c>
      <c r="M502" t="s">
        <v>7</v>
      </c>
      <c r="N502" t="s">
        <v>7</v>
      </c>
      <c r="P502">
        <f t="shared" si="979"/>
        <v>-0.34939759036144402</v>
      </c>
      <c r="Q502">
        <f t="shared" si="980"/>
        <v>-745234.44253011676</v>
      </c>
      <c r="R502">
        <f t="shared" si="981"/>
        <v>-93588879.963450044</v>
      </c>
      <c r="S502">
        <f t="shared" si="982"/>
        <v>-935.8887996345004</v>
      </c>
      <c r="T502">
        <f t="shared" si="983"/>
        <v>-0.93588879963450045</v>
      </c>
    </row>
    <row r="503" spans="1:20" x14ac:dyDescent="0.25">
      <c r="A503" s="5">
        <v>44090</v>
      </c>
      <c r="B503">
        <v>9.9000000000000005E-2</v>
      </c>
      <c r="C503">
        <v>0.1056</v>
      </c>
      <c r="D503">
        <v>9.4700000000000006E-2</v>
      </c>
      <c r="E503">
        <v>0.1018</v>
      </c>
      <c r="F503">
        <v>2148394.71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0.30275229357798161</v>
      </c>
      <c r="Q503">
        <f t="shared" si="980"/>
        <v>650431.42596330261</v>
      </c>
      <c r="R503">
        <f t="shared" si="981"/>
        <v>-92843645.520919934</v>
      </c>
      <c r="S503">
        <f t="shared" si="982"/>
        <v>-928.43645520919938</v>
      </c>
      <c r="T503">
        <f t="shared" si="983"/>
        <v>-0.92843645520919937</v>
      </c>
    </row>
    <row r="504" spans="1:20" x14ac:dyDescent="0.25">
      <c r="A504" s="5">
        <v>44089</v>
      </c>
      <c r="B504">
        <v>0.1071</v>
      </c>
      <c r="C504">
        <v>0.1079</v>
      </c>
      <c r="D504">
        <v>9.9099999999999994E-2</v>
      </c>
      <c r="E504">
        <v>9.9900000000000003E-2</v>
      </c>
      <c r="F504">
        <v>852413.39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-0.81818181818181612</v>
      </c>
      <c r="Q504">
        <f t="shared" si="980"/>
        <v>-697429.13727272558</v>
      </c>
      <c r="R504">
        <f t="shared" si="981"/>
        <v>-93494076.946883231</v>
      </c>
      <c r="S504">
        <f t="shared" si="982"/>
        <v>-934.94076946883229</v>
      </c>
      <c r="T504">
        <f t="shared" si="983"/>
        <v>-0.93494076946883231</v>
      </c>
    </row>
    <row r="505" spans="1:20" x14ac:dyDescent="0.25">
      <c r="A505" s="5">
        <v>44088</v>
      </c>
      <c r="B505">
        <v>0.10630000000000001</v>
      </c>
      <c r="C505">
        <v>0.10979999999999999</v>
      </c>
      <c r="D505">
        <v>0.1028</v>
      </c>
      <c r="E505">
        <v>0.107</v>
      </c>
      <c r="F505">
        <v>1045217.34</v>
      </c>
      <c r="G505">
        <v>0</v>
      </c>
      <c r="L505" t="s">
        <v>7</v>
      </c>
      <c r="M505" t="s">
        <v>8</v>
      </c>
      <c r="N505" t="s">
        <v>7</v>
      </c>
      <c r="P505">
        <f t="shared" si="979"/>
        <v>0.2</v>
      </c>
      <c r="Q505">
        <f t="shared" si="980"/>
        <v>209043.46799999999</v>
      </c>
      <c r="R505">
        <f t="shared" si="981"/>
        <v>-92796647.809610501</v>
      </c>
      <c r="S505">
        <f t="shared" si="982"/>
        <v>-927.96647809610499</v>
      </c>
      <c r="T505">
        <f t="shared" si="983"/>
        <v>-0.927966478096105</v>
      </c>
    </row>
    <row r="506" spans="1:20" x14ac:dyDescent="0.25">
      <c r="A506" s="5">
        <v>44087</v>
      </c>
      <c r="B506">
        <v>0.1138</v>
      </c>
      <c r="C506">
        <v>0.1152</v>
      </c>
      <c r="D506">
        <v>0.10349999999999999</v>
      </c>
      <c r="E506">
        <v>0.10630000000000001</v>
      </c>
      <c r="F506">
        <v>1149471.54</v>
      </c>
      <c r="G506">
        <v>0</v>
      </c>
      <c r="L506" t="s">
        <v>7</v>
      </c>
      <c r="M506" t="s">
        <v>8</v>
      </c>
      <c r="N506" t="s">
        <v>7</v>
      </c>
      <c r="P506">
        <f t="shared" si="979"/>
        <v>-0.52136752136751963</v>
      </c>
      <c r="Q506">
        <f t="shared" si="980"/>
        <v>-599297.12769230572</v>
      </c>
      <c r="R506">
        <f t="shared" si="981"/>
        <v>-93005691.277610496</v>
      </c>
      <c r="S506">
        <f t="shared" si="982"/>
        <v>-930.05691277610492</v>
      </c>
      <c r="T506">
        <f t="shared" si="983"/>
        <v>-0.93005691277610492</v>
      </c>
    </row>
    <row r="507" spans="1:20" x14ac:dyDescent="0.25">
      <c r="A507" s="5">
        <v>44086</v>
      </c>
      <c r="B507">
        <v>0.11550000000000001</v>
      </c>
      <c r="C507">
        <v>0.1159</v>
      </c>
      <c r="D507">
        <v>0.11020000000000001</v>
      </c>
      <c r="E507">
        <v>0.114</v>
      </c>
      <c r="F507">
        <v>1098801.45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0.33333333333333331</v>
      </c>
      <c r="Q507">
        <f t="shared" si="980"/>
        <v>366267.14999999997</v>
      </c>
      <c r="R507">
        <f t="shared" si="981"/>
        <v>-92406394.149918184</v>
      </c>
      <c r="S507">
        <f t="shared" si="982"/>
        <v>-924.06394149918185</v>
      </c>
      <c r="T507">
        <f t="shared" si="983"/>
        <v>-0.92406394149918181</v>
      </c>
    </row>
    <row r="508" spans="1:20" x14ac:dyDescent="0.25">
      <c r="A508" s="5">
        <v>44085</v>
      </c>
      <c r="B508">
        <v>0.1133</v>
      </c>
      <c r="C508">
        <v>0.1168</v>
      </c>
      <c r="D508">
        <v>0.1069</v>
      </c>
      <c r="E508">
        <v>0.11550000000000001</v>
      </c>
      <c r="F508">
        <v>1811164.68</v>
      </c>
      <c r="G508">
        <v>0</v>
      </c>
      <c r="L508" t="s">
        <v>7</v>
      </c>
      <c r="M508" t="s">
        <v>8</v>
      </c>
      <c r="N508" t="s">
        <v>7</v>
      </c>
      <c r="P508">
        <f t="shared" si="979"/>
        <v>0.73737373737373846</v>
      </c>
      <c r="Q508">
        <f t="shared" si="980"/>
        <v>1335505.2690909109</v>
      </c>
      <c r="R508">
        <f t="shared" si="981"/>
        <v>-92772661.29991819</v>
      </c>
      <c r="S508">
        <f t="shared" si="982"/>
        <v>-927.72661299918195</v>
      </c>
      <c r="T508">
        <f t="shared" si="983"/>
        <v>-0.92772661299918191</v>
      </c>
    </row>
    <row r="509" spans="1:20" x14ac:dyDescent="0.25">
      <c r="A509" s="5">
        <v>44084</v>
      </c>
      <c r="B509">
        <v>0.1002</v>
      </c>
      <c r="C509">
        <v>0.1195</v>
      </c>
      <c r="D509">
        <v>9.9900000000000003E-2</v>
      </c>
      <c r="E509">
        <v>0.1133</v>
      </c>
      <c r="F509">
        <v>4696766.6100000003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0.36734693877551022</v>
      </c>
      <c r="Q509">
        <f t="shared" si="980"/>
        <v>1725342.8363265309</v>
      </c>
      <c r="R509">
        <f t="shared" si="981"/>
        <v>-94108166.569009095</v>
      </c>
      <c r="S509">
        <f t="shared" si="982"/>
        <v>-941.08166569009097</v>
      </c>
      <c r="T509">
        <f t="shared" si="983"/>
        <v>-0.941081665690091</v>
      </c>
    </row>
    <row r="510" spans="1:20" x14ac:dyDescent="0.25">
      <c r="A510" s="5">
        <v>44083</v>
      </c>
      <c r="B510">
        <v>9.74E-2</v>
      </c>
      <c r="C510">
        <v>0.10249999999999999</v>
      </c>
      <c r="D510">
        <v>9.5100000000000004E-2</v>
      </c>
      <c r="E510">
        <v>0.1002</v>
      </c>
      <c r="F510">
        <v>1298832.4099999999</v>
      </c>
      <c r="G510">
        <v>0</v>
      </c>
      <c r="L510" t="s">
        <v>8</v>
      </c>
      <c r="M510" t="s">
        <v>7</v>
      </c>
      <c r="N510" t="s">
        <v>7</v>
      </c>
      <c r="P510">
        <f t="shared" si="979"/>
        <v>0.37837837837837845</v>
      </c>
      <c r="Q510">
        <f t="shared" si="980"/>
        <v>491450.10108108114</v>
      </c>
      <c r="R510">
        <f t="shared" si="981"/>
        <v>-95833509.40533562</v>
      </c>
      <c r="S510">
        <f t="shared" si="982"/>
        <v>-958.33509405335622</v>
      </c>
      <c r="T510">
        <f t="shared" si="983"/>
        <v>-0.95833509405335626</v>
      </c>
    </row>
    <row r="511" spans="1:20" x14ac:dyDescent="0.25">
      <c r="A511" s="5">
        <v>44082</v>
      </c>
      <c r="B511">
        <v>0.1</v>
      </c>
      <c r="C511">
        <v>0.1018</v>
      </c>
      <c r="D511">
        <v>9.3399999999999997E-2</v>
      </c>
      <c r="E511">
        <v>9.7500000000000003E-2</v>
      </c>
      <c r="F511">
        <v>2227750.86</v>
      </c>
      <c r="G511">
        <v>0</v>
      </c>
      <c r="L511" t="s">
        <v>8</v>
      </c>
      <c r="M511" t="s">
        <v>7</v>
      </c>
      <c r="N511" t="s">
        <v>7</v>
      </c>
      <c r="P511">
        <f t="shared" si="979"/>
        <v>-2.3809523809522826E-2</v>
      </c>
      <c r="Q511">
        <f t="shared" si="980"/>
        <v>-53041.687142854949</v>
      </c>
      <c r="R511">
        <f t="shared" si="981"/>
        <v>-96324959.506416708</v>
      </c>
      <c r="S511">
        <f t="shared" si="982"/>
        <v>-963.24959506416712</v>
      </c>
      <c r="T511">
        <f t="shared" si="983"/>
        <v>-0.96324959506416707</v>
      </c>
    </row>
    <row r="512" spans="1:20" x14ac:dyDescent="0.25">
      <c r="A512" s="5">
        <v>44081</v>
      </c>
      <c r="B512">
        <v>0.1014</v>
      </c>
      <c r="C512">
        <v>0.1032</v>
      </c>
      <c r="D512">
        <v>9.1899999999999996E-2</v>
      </c>
      <c r="E512">
        <v>0.1</v>
      </c>
      <c r="F512">
        <v>2689971.34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0.43362831858407197</v>
      </c>
      <c r="Q512">
        <f t="shared" si="980"/>
        <v>1166447.7492035429</v>
      </c>
      <c r="R512">
        <f t="shared" si="981"/>
        <v>-96271917.819273859</v>
      </c>
      <c r="S512">
        <f t="shared" si="982"/>
        <v>-962.71917819273858</v>
      </c>
      <c r="T512">
        <f t="shared" si="983"/>
        <v>-0.96271917819273856</v>
      </c>
    </row>
    <row r="513" spans="1:20" x14ac:dyDescent="0.25">
      <c r="A513" s="5">
        <v>44080</v>
      </c>
      <c r="B513">
        <v>9.8400000000000001E-2</v>
      </c>
      <c r="C513">
        <v>0.1052</v>
      </c>
      <c r="D513">
        <v>9.4600000000000004E-2</v>
      </c>
      <c r="E513">
        <v>0.1014</v>
      </c>
      <c r="F513">
        <v>2624295.3199999998</v>
      </c>
      <c r="G513">
        <v>0</v>
      </c>
      <c r="L513" t="s">
        <v>8</v>
      </c>
      <c r="M513" t="s">
        <v>7</v>
      </c>
      <c r="N513" t="s">
        <v>7</v>
      </c>
      <c r="P513">
        <f t="shared" si="979"/>
        <v>0.28301886792452857</v>
      </c>
      <c r="Q513">
        <f t="shared" si="980"/>
        <v>742725.09056603839</v>
      </c>
      <c r="R513">
        <f t="shared" si="981"/>
        <v>-97438365.568477407</v>
      </c>
      <c r="S513">
        <f t="shared" si="982"/>
        <v>-974.38365568477411</v>
      </c>
      <c r="T513">
        <f t="shared" si="983"/>
        <v>-0.97438365568477414</v>
      </c>
    </row>
    <row r="514" spans="1:20" x14ac:dyDescent="0.25">
      <c r="A514" s="5">
        <v>44079</v>
      </c>
      <c r="B514">
        <v>0.1193</v>
      </c>
      <c r="C514">
        <v>0.1211</v>
      </c>
      <c r="D514">
        <v>9.2399999999999996E-2</v>
      </c>
      <c r="E514">
        <v>9.8400000000000001E-2</v>
      </c>
      <c r="F514">
        <v>3982509.72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-0.58188153310104496</v>
      </c>
      <c r="Q514">
        <f t="shared" si="980"/>
        <v>-2317348.8614634136</v>
      </c>
      <c r="R514">
        <f t="shared" si="981"/>
        <v>-98181090.659043446</v>
      </c>
      <c r="S514">
        <f t="shared" si="982"/>
        <v>-981.81090659043446</v>
      </c>
      <c r="T514">
        <f t="shared" si="983"/>
        <v>-0.98181090659043446</v>
      </c>
    </row>
    <row r="515" spans="1:20" x14ac:dyDescent="0.25">
      <c r="A515" s="5">
        <v>44078</v>
      </c>
      <c r="B515">
        <v>0.1109</v>
      </c>
      <c r="C515">
        <v>0.12520000000000001</v>
      </c>
      <c r="D515">
        <v>0.105</v>
      </c>
      <c r="E515">
        <v>0.11940000000000001</v>
      </c>
      <c r="F515">
        <v>4583162.2699999996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0.42574257425742607</v>
      </c>
      <c r="Q515">
        <f t="shared" si="980"/>
        <v>1951247.3030693082</v>
      </c>
      <c r="R515">
        <f t="shared" si="981"/>
        <v>-95863741.797580034</v>
      </c>
      <c r="S515">
        <f t="shared" si="982"/>
        <v>-958.6374179758003</v>
      </c>
      <c r="T515">
        <f t="shared" si="983"/>
        <v>-0.95863741797580027</v>
      </c>
    </row>
    <row r="516" spans="1:20" x14ac:dyDescent="0.25">
      <c r="A516" s="5">
        <v>44077</v>
      </c>
      <c r="B516">
        <v>0.1517</v>
      </c>
      <c r="C516">
        <v>0.15229999999999999</v>
      </c>
      <c r="D516">
        <v>0.1095</v>
      </c>
      <c r="E516">
        <v>0.1111</v>
      </c>
      <c r="F516">
        <v>4105772.28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-0.92523364485981285</v>
      </c>
      <c r="Q516">
        <f t="shared" si="980"/>
        <v>-3798798.6515887841</v>
      </c>
      <c r="R516">
        <f t="shared" si="981"/>
        <v>-97814989.100649342</v>
      </c>
      <c r="S516">
        <f t="shared" si="982"/>
        <v>-978.14989100649348</v>
      </c>
      <c r="T516">
        <f t="shared" si="983"/>
        <v>-0.97814989100649352</v>
      </c>
    </row>
    <row r="517" spans="1:20" x14ac:dyDescent="0.25">
      <c r="A517" s="5">
        <v>44076</v>
      </c>
      <c r="B517">
        <v>0.157</v>
      </c>
      <c r="C517">
        <v>0.16200000000000001</v>
      </c>
      <c r="D517">
        <v>0.1416</v>
      </c>
      <c r="E517">
        <v>0.15179999999999999</v>
      </c>
      <c r="F517">
        <v>3560935.24</v>
      </c>
      <c r="G517">
        <v>0</v>
      </c>
      <c r="L517" t="s">
        <v>7</v>
      </c>
      <c r="M517" t="s">
        <v>7</v>
      </c>
      <c r="N517" t="s">
        <v>8</v>
      </c>
      <c r="P517">
        <f t="shared" si="979"/>
        <v>-1.3605674321386721E-15</v>
      </c>
      <c r="Q517">
        <f t="shared" si="980"/>
        <v>-4.8448925154989065E-9</v>
      </c>
      <c r="R517">
        <f t="shared" si="981"/>
        <v>-94016190.449060559</v>
      </c>
      <c r="S517">
        <f t="shared" si="982"/>
        <v>-940.16190449060559</v>
      </c>
      <c r="T517">
        <f t="shared" si="983"/>
        <v>-0.94016190449060555</v>
      </c>
    </row>
    <row r="518" spans="1:20" x14ac:dyDescent="0.25">
      <c r="A518" s="5">
        <v>44075</v>
      </c>
      <c r="B518">
        <v>0.1489</v>
      </c>
      <c r="C518">
        <v>0.16980000000000001</v>
      </c>
      <c r="D518">
        <v>0.1467</v>
      </c>
      <c r="E518">
        <v>0.1573</v>
      </c>
      <c r="F518">
        <v>6512087.9400000004</v>
      </c>
      <c r="G518">
        <v>0</v>
      </c>
      <c r="L518" t="s">
        <v>8</v>
      </c>
      <c r="M518" t="s">
        <v>7</v>
      </c>
      <c r="N518" t="s">
        <v>8</v>
      </c>
      <c r="P518">
        <f t="shared" ref="P518:P581" si="984">IF(C518=D518,0,((E518-D518)-(C518-E518))/(C518-D518))</f>
        <v>-8.2251082251082769E-2</v>
      </c>
      <c r="Q518">
        <f t="shared" ref="Q518:Q581" si="985">F518*P518</f>
        <v>-535626.28077922424</v>
      </c>
      <c r="R518">
        <f t="shared" ref="R518:R581" si="986">R519+Q518</f>
        <v>-94016190.449060559</v>
      </c>
      <c r="S518">
        <f t="shared" ref="S518:S581" si="987">R518/100000</f>
        <v>-940.16190449060559</v>
      </c>
      <c r="T518">
        <f t="shared" ref="T518:T581" si="988">S518/1000</f>
        <v>-0.94016190449060555</v>
      </c>
    </row>
    <row r="519" spans="1:20" x14ac:dyDescent="0.25">
      <c r="A519" s="5">
        <v>44074</v>
      </c>
      <c r="B519">
        <v>0.15590000000000001</v>
      </c>
      <c r="C519">
        <v>0.1593</v>
      </c>
      <c r="D519">
        <v>0.1487</v>
      </c>
      <c r="E519">
        <v>0.14940000000000001</v>
      </c>
      <c r="F519">
        <v>3313194.64</v>
      </c>
      <c r="G519">
        <v>0</v>
      </c>
      <c r="L519" t="s">
        <v>7</v>
      </c>
      <c r="M519" t="s">
        <v>7</v>
      </c>
      <c r="N519" t="s">
        <v>8</v>
      </c>
      <c r="P519">
        <f t="shared" si="984"/>
        <v>-0.8679245283018856</v>
      </c>
      <c r="Q519">
        <f t="shared" si="985"/>
        <v>-2875602.895094336</v>
      </c>
      <c r="R519">
        <f t="shared" si="986"/>
        <v>-93480564.168281332</v>
      </c>
      <c r="S519">
        <f t="shared" si="987"/>
        <v>-934.8056416828133</v>
      </c>
      <c r="T519">
        <f t="shared" si="988"/>
        <v>-0.93480564168281333</v>
      </c>
    </row>
    <row r="520" spans="1:20" x14ac:dyDescent="0.25">
      <c r="A520" s="5">
        <v>44073</v>
      </c>
      <c r="B520">
        <v>0.16639999999999999</v>
      </c>
      <c r="C520">
        <v>0.1666</v>
      </c>
      <c r="D520">
        <v>0.153</v>
      </c>
      <c r="E520">
        <v>0.15540000000000001</v>
      </c>
      <c r="F520">
        <v>3721900.91</v>
      </c>
      <c r="G520">
        <v>0</v>
      </c>
      <c r="L520" t="s">
        <v>7</v>
      </c>
      <c r="M520" t="s">
        <v>7</v>
      </c>
      <c r="N520" t="s">
        <v>8</v>
      </c>
      <c r="P520">
        <f t="shared" si="984"/>
        <v>-0.6470588235294098</v>
      </c>
      <c r="Q520">
        <f t="shared" si="985"/>
        <v>-2408288.82411764</v>
      </c>
      <c r="R520">
        <f t="shared" si="986"/>
        <v>-90604961.273186997</v>
      </c>
      <c r="S520">
        <f t="shared" si="987"/>
        <v>-906.04961273186996</v>
      </c>
      <c r="T520">
        <f t="shared" si="988"/>
        <v>-0.9060496127318699</v>
      </c>
    </row>
    <row r="521" spans="1:20" x14ac:dyDescent="0.25">
      <c r="A521" s="5">
        <v>44072</v>
      </c>
      <c r="B521">
        <v>0.15140000000000001</v>
      </c>
      <c r="C521">
        <v>0.18310000000000001</v>
      </c>
      <c r="D521">
        <v>0.14799999999999999</v>
      </c>
      <c r="E521">
        <v>0.16669999999999999</v>
      </c>
      <c r="F521">
        <v>12423599.189999999</v>
      </c>
      <c r="G521">
        <v>0</v>
      </c>
      <c r="L521" t="s">
        <v>8</v>
      </c>
      <c r="M521" t="s">
        <v>8</v>
      </c>
      <c r="N521" t="s">
        <v>8</v>
      </c>
      <c r="P521">
        <f t="shared" si="984"/>
        <v>6.5527065527064596E-2</v>
      </c>
      <c r="Q521">
        <f t="shared" si="985"/>
        <v>814081.9982051166</v>
      </c>
      <c r="R521">
        <f t="shared" si="986"/>
        <v>-88196672.449069351</v>
      </c>
      <c r="S521">
        <f t="shared" si="987"/>
        <v>-881.96672449069354</v>
      </c>
      <c r="T521">
        <f t="shared" si="988"/>
        <v>-0.88196672449069358</v>
      </c>
    </row>
    <row r="522" spans="1:20" x14ac:dyDescent="0.25">
      <c r="A522" s="5">
        <v>44071</v>
      </c>
      <c r="B522">
        <v>0.13930000000000001</v>
      </c>
      <c r="C522">
        <v>0.15720000000000001</v>
      </c>
      <c r="D522">
        <v>0.1384</v>
      </c>
      <c r="E522">
        <v>0.15129999999999999</v>
      </c>
      <c r="F522">
        <v>4278293.3</v>
      </c>
      <c r="G522">
        <v>0</v>
      </c>
      <c r="L522" t="s">
        <v>8</v>
      </c>
      <c r="M522" t="s">
        <v>8</v>
      </c>
      <c r="N522" t="s">
        <v>8</v>
      </c>
      <c r="P522">
        <f t="shared" si="984"/>
        <v>0.37234042553191354</v>
      </c>
      <c r="Q522">
        <f t="shared" si="985"/>
        <v>1592981.5478723345</v>
      </c>
      <c r="R522">
        <f t="shared" si="986"/>
        <v>-89010754.447274461</v>
      </c>
      <c r="S522">
        <f t="shared" si="987"/>
        <v>-890.10754447274462</v>
      </c>
      <c r="T522">
        <f t="shared" si="988"/>
        <v>-0.89010754447274465</v>
      </c>
    </row>
    <row r="523" spans="1:20" x14ac:dyDescent="0.25">
      <c r="A523" s="5">
        <v>44070</v>
      </c>
      <c r="B523">
        <v>0.1474</v>
      </c>
      <c r="C523">
        <v>0.14829999999999999</v>
      </c>
      <c r="D523">
        <v>0.1343</v>
      </c>
      <c r="E523">
        <v>0.13930000000000001</v>
      </c>
      <c r="F523">
        <v>4382202.29</v>
      </c>
      <c r="G523">
        <v>0</v>
      </c>
      <c r="L523" t="s">
        <v>7</v>
      </c>
      <c r="M523" t="s">
        <v>7</v>
      </c>
      <c r="N523" t="s">
        <v>8</v>
      </c>
      <c r="P523">
        <f t="shared" si="984"/>
        <v>-0.28571428571428431</v>
      </c>
      <c r="Q523">
        <f t="shared" si="985"/>
        <v>-1252057.7971428509</v>
      </c>
      <c r="R523">
        <f t="shared" si="986"/>
        <v>-90603735.995146796</v>
      </c>
      <c r="S523">
        <f t="shared" si="987"/>
        <v>-906.03735995146792</v>
      </c>
      <c r="T523">
        <f t="shared" si="988"/>
        <v>-0.90603735995146795</v>
      </c>
    </row>
    <row r="524" spans="1:20" x14ac:dyDescent="0.25">
      <c r="A524" s="5">
        <v>44069</v>
      </c>
      <c r="B524">
        <v>0.15859999999999999</v>
      </c>
      <c r="C524">
        <v>0.1598</v>
      </c>
      <c r="D524">
        <v>0.1467</v>
      </c>
      <c r="E524">
        <v>0.1474</v>
      </c>
      <c r="F524">
        <v>9847710.75</v>
      </c>
      <c r="G524">
        <v>0</v>
      </c>
      <c r="L524" t="s">
        <v>7</v>
      </c>
      <c r="M524" t="s">
        <v>8</v>
      </c>
      <c r="N524" t="s">
        <v>8</v>
      </c>
      <c r="P524">
        <f t="shared" si="984"/>
        <v>-0.89312977099236546</v>
      </c>
      <c r="Q524">
        <f t="shared" si="985"/>
        <v>-8795283.646946555</v>
      </c>
      <c r="R524">
        <f t="shared" si="986"/>
        <v>-89351678.198003948</v>
      </c>
      <c r="S524">
        <f t="shared" si="987"/>
        <v>-893.51678198003947</v>
      </c>
      <c r="T524">
        <f t="shared" si="988"/>
        <v>-0.89351678198003948</v>
      </c>
    </row>
    <row r="525" spans="1:20" x14ac:dyDescent="0.25">
      <c r="A525" s="5">
        <v>44068</v>
      </c>
      <c r="B525">
        <v>0.14799999999999999</v>
      </c>
      <c r="C525">
        <v>0.1588</v>
      </c>
      <c r="D525">
        <v>0.1414</v>
      </c>
      <c r="E525">
        <v>0.15859999999999999</v>
      </c>
      <c r="F525">
        <v>5438318.8399999999</v>
      </c>
      <c r="G525">
        <v>0</v>
      </c>
      <c r="L525" t="s">
        <v>8</v>
      </c>
      <c r="M525" t="s">
        <v>8</v>
      </c>
      <c r="N525" t="s">
        <v>8</v>
      </c>
      <c r="P525">
        <f t="shared" si="984"/>
        <v>0.97701149425287293</v>
      </c>
      <c r="Q525">
        <f t="shared" si="985"/>
        <v>5313300.0160919502</v>
      </c>
      <c r="R525">
        <f t="shared" si="986"/>
        <v>-80556394.551057398</v>
      </c>
      <c r="S525">
        <f t="shared" si="987"/>
        <v>-805.56394551057394</v>
      </c>
      <c r="T525">
        <f t="shared" si="988"/>
        <v>-0.80556394551057398</v>
      </c>
    </row>
    <row r="526" spans="1:20" x14ac:dyDescent="0.25">
      <c r="A526" s="5">
        <v>44067</v>
      </c>
      <c r="B526">
        <v>0.14419999999999999</v>
      </c>
      <c r="C526">
        <v>0.1525</v>
      </c>
      <c r="D526">
        <v>0.14099999999999999</v>
      </c>
      <c r="E526">
        <v>0.1479</v>
      </c>
      <c r="F526">
        <v>4136487.65</v>
      </c>
      <c r="G526">
        <v>0</v>
      </c>
      <c r="L526" t="s">
        <v>8</v>
      </c>
      <c r="M526" t="s">
        <v>8</v>
      </c>
      <c r="N526" t="s">
        <v>8</v>
      </c>
      <c r="P526">
        <f t="shared" si="984"/>
        <v>0.20000000000000193</v>
      </c>
      <c r="Q526">
        <f t="shared" si="985"/>
        <v>827297.53000000794</v>
      </c>
      <c r="R526">
        <f t="shared" si="986"/>
        <v>-85869694.567149356</v>
      </c>
      <c r="S526">
        <f t="shared" si="987"/>
        <v>-858.69694567149361</v>
      </c>
      <c r="T526">
        <f t="shared" si="988"/>
        <v>-0.85869694567149357</v>
      </c>
    </row>
    <row r="527" spans="1:20" x14ac:dyDescent="0.25">
      <c r="A527" s="5">
        <v>44066</v>
      </c>
      <c r="B527">
        <v>0.13930000000000001</v>
      </c>
      <c r="C527">
        <v>0.14879999999999999</v>
      </c>
      <c r="D527">
        <v>0.1308</v>
      </c>
      <c r="E527">
        <v>0.14430000000000001</v>
      </c>
      <c r="F527">
        <v>7417238.3700000001</v>
      </c>
      <c r="G527">
        <v>0</v>
      </c>
      <c r="L527" t="s">
        <v>8</v>
      </c>
      <c r="M527" t="s">
        <v>7</v>
      </c>
      <c r="N527" t="s">
        <v>8</v>
      </c>
      <c r="P527">
        <f t="shared" si="984"/>
        <v>0.50000000000000233</v>
      </c>
      <c r="Q527">
        <f t="shared" si="985"/>
        <v>3708619.1850000173</v>
      </c>
      <c r="R527">
        <f t="shared" si="986"/>
        <v>-86696992.097149357</v>
      </c>
      <c r="S527">
        <f t="shared" si="987"/>
        <v>-866.96992097149359</v>
      </c>
      <c r="T527">
        <f t="shared" si="988"/>
        <v>-0.86696992097149361</v>
      </c>
    </row>
    <row r="528" spans="1:20" x14ac:dyDescent="0.25">
      <c r="A528" s="5">
        <v>44065</v>
      </c>
      <c r="B528">
        <v>0.13550000000000001</v>
      </c>
      <c r="C528">
        <v>0.14000000000000001</v>
      </c>
      <c r="D528">
        <v>0.12690000000000001</v>
      </c>
      <c r="E528">
        <v>0.13969999999999999</v>
      </c>
      <c r="F528">
        <v>2397882.2400000002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0.95419847328243934</v>
      </c>
      <c r="Q528">
        <f t="shared" si="985"/>
        <v>2288055.5725190761</v>
      </c>
      <c r="R528">
        <f t="shared" si="986"/>
        <v>-90405611.282149374</v>
      </c>
      <c r="S528">
        <f t="shared" si="987"/>
        <v>-904.0561128214938</v>
      </c>
      <c r="T528">
        <f t="shared" si="988"/>
        <v>-0.90405611282149378</v>
      </c>
    </row>
    <row r="529" spans="1:20" x14ac:dyDescent="0.25">
      <c r="A529" s="5">
        <v>44064</v>
      </c>
      <c r="B529">
        <v>0.1394</v>
      </c>
      <c r="C529">
        <v>0.15</v>
      </c>
      <c r="D529">
        <v>0.13539999999999999</v>
      </c>
      <c r="E529">
        <v>0.13539999999999999</v>
      </c>
      <c r="F529">
        <v>4839846.3099999996</v>
      </c>
      <c r="G529">
        <v>0</v>
      </c>
      <c r="L529" t="s">
        <v>8</v>
      </c>
      <c r="M529" t="s">
        <v>8</v>
      </c>
      <c r="N529" t="s">
        <v>8</v>
      </c>
      <c r="P529">
        <f t="shared" si="984"/>
        <v>-1</v>
      </c>
      <c r="Q529">
        <f t="shared" si="985"/>
        <v>-4839846.3099999996</v>
      </c>
      <c r="R529">
        <f t="shared" si="986"/>
        <v>-92693666.854668453</v>
      </c>
      <c r="S529">
        <f t="shared" si="987"/>
        <v>-926.93666854668459</v>
      </c>
      <c r="T529">
        <f t="shared" si="988"/>
        <v>-0.92693666854668455</v>
      </c>
    </row>
    <row r="530" spans="1:20" x14ac:dyDescent="0.25">
      <c r="A530" s="5">
        <v>44063</v>
      </c>
      <c r="B530">
        <v>0.1336</v>
      </c>
      <c r="C530">
        <v>0.14000000000000001</v>
      </c>
      <c r="D530">
        <v>0.12939999999999999</v>
      </c>
      <c r="E530">
        <v>0.1396</v>
      </c>
      <c r="F530">
        <v>2045151.72</v>
      </c>
      <c r="G530">
        <v>0</v>
      </c>
      <c r="L530" t="s">
        <v>8</v>
      </c>
      <c r="M530" t="s">
        <v>7</v>
      </c>
      <c r="N530" t="s">
        <v>8</v>
      </c>
      <c r="P530">
        <f t="shared" si="984"/>
        <v>0.92452830188679047</v>
      </c>
      <c r="Q530">
        <f t="shared" si="985"/>
        <v>1890800.6467924488</v>
      </c>
      <c r="R530">
        <f t="shared" si="986"/>
        <v>-87853820.544668451</v>
      </c>
      <c r="S530">
        <f t="shared" si="987"/>
        <v>-878.53820544668451</v>
      </c>
      <c r="T530">
        <f t="shared" si="988"/>
        <v>-0.87853820544668448</v>
      </c>
    </row>
    <row r="531" spans="1:20" x14ac:dyDescent="0.25">
      <c r="A531" s="5">
        <v>44062</v>
      </c>
      <c r="B531">
        <v>0.15110000000000001</v>
      </c>
      <c r="C531">
        <v>0.1515</v>
      </c>
      <c r="D531">
        <v>0.1283</v>
      </c>
      <c r="E531">
        <v>0.13339999999999999</v>
      </c>
      <c r="F531">
        <v>5413209.3300000001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-0.56034482758620741</v>
      </c>
      <c r="Q531">
        <f t="shared" si="985"/>
        <v>-3033263.8487068992</v>
      </c>
      <c r="R531">
        <f t="shared" si="986"/>
        <v>-89744621.191460893</v>
      </c>
      <c r="S531">
        <f t="shared" si="987"/>
        <v>-897.44621191460897</v>
      </c>
      <c r="T531">
        <f t="shared" si="988"/>
        <v>-0.89744621191460894</v>
      </c>
    </row>
    <row r="532" spans="1:20" x14ac:dyDescent="0.25">
      <c r="A532" s="5">
        <v>44061</v>
      </c>
      <c r="B532">
        <v>0.1444</v>
      </c>
      <c r="C532">
        <v>0.15629999999999999</v>
      </c>
      <c r="D532">
        <v>0.13950000000000001</v>
      </c>
      <c r="E532">
        <v>0.15040000000000001</v>
      </c>
      <c r="F532">
        <v>6384118.0599999996</v>
      </c>
      <c r="G532">
        <v>0</v>
      </c>
      <c r="L532" t="s">
        <v>8</v>
      </c>
      <c r="M532" t="s">
        <v>8</v>
      </c>
      <c r="N532" t="s">
        <v>8</v>
      </c>
      <c r="P532">
        <f t="shared" si="984"/>
        <v>0.29761904761904823</v>
      </c>
      <c r="Q532">
        <f t="shared" si="985"/>
        <v>1900035.1369047656</v>
      </c>
      <c r="R532">
        <f t="shared" si="986"/>
        <v>-86711357.342753991</v>
      </c>
      <c r="S532">
        <f t="shared" si="987"/>
        <v>-867.1135734275399</v>
      </c>
      <c r="T532">
        <f t="shared" si="988"/>
        <v>-0.86711357342753992</v>
      </c>
    </row>
    <row r="533" spans="1:20" x14ac:dyDescent="0.25">
      <c r="A533" s="5">
        <v>44060</v>
      </c>
      <c r="B533">
        <v>0.13769999999999999</v>
      </c>
      <c r="C533">
        <v>0.15</v>
      </c>
      <c r="D533">
        <v>0.1323</v>
      </c>
      <c r="E533">
        <v>0.14460000000000001</v>
      </c>
      <c r="F533">
        <v>4350548.4400000004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0.3898305084745774</v>
      </c>
      <c r="Q533">
        <f t="shared" si="985"/>
        <v>1695976.5105084796</v>
      </c>
      <c r="R533">
        <f t="shared" si="986"/>
        <v>-88611392.479658753</v>
      </c>
      <c r="S533">
        <f t="shared" si="987"/>
        <v>-886.11392479658753</v>
      </c>
      <c r="T533">
        <f t="shared" si="988"/>
        <v>-0.88611392479658757</v>
      </c>
    </row>
    <row r="534" spans="1:20" x14ac:dyDescent="0.25">
      <c r="A534" s="5">
        <v>44059</v>
      </c>
      <c r="B534">
        <v>0.13789999999999999</v>
      </c>
      <c r="C534">
        <v>0.1386</v>
      </c>
      <c r="D534">
        <v>0.1318</v>
      </c>
      <c r="E534">
        <v>0.13730000000000001</v>
      </c>
      <c r="F534">
        <v>1737923.72</v>
      </c>
      <c r="G534">
        <v>0</v>
      </c>
      <c r="L534" t="s">
        <v>7</v>
      </c>
      <c r="M534" t="s">
        <v>8</v>
      </c>
      <c r="N534" t="s">
        <v>8</v>
      </c>
      <c r="P534">
        <f t="shared" si="984"/>
        <v>0.61764705882353077</v>
      </c>
      <c r="Q534">
        <f t="shared" si="985"/>
        <v>1073423.4741176495</v>
      </c>
      <c r="R534">
        <f t="shared" si="986"/>
        <v>-90307368.99016723</v>
      </c>
      <c r="S534">
        <f t="shared" si="987"/>
        <v>-903.07368990167231</v>
      </c>
      <c r="T534">
        <f t="shared" si="988"/>
        <v>-0.90307368990167236</v>
      </c>
    </row>
    <row r="535" spans="1:20" x14ac:dyDescent="0.25">
      <c r="A535" s="5">
        <v>44058</v>
      </c>
      <c r="B535">
        <v>0.13619999999999999</v>
      </c>
      <c r="C535">
        <v>0.14180000000000001</v>
      </c>
      <c r="D535">
        <v>0.13550000000000001</v>
      </c>
      <c r="E535">
        <v>0.13789999999999999</v>
      </c>
      <c r="F535">
        <v>2614223.1</v>
      </c>
      <c r="G535">
        <v>0</v>
      </c>
      <c r="L535" t="s">
        <v>7</v>
      </c>
      <c r="M535" t="s">
        <v>8</v>
      </c>
      <c r="N535" t="s">
        <v>8</v>
      </c>
      <c r="P535">
        <f t="shared" si="984"/>
        <v>-0.23809523809524272</v>
      </c>
      <c r="Q535">
        <f t="shared" si="985"/>
        <v>-622434.07142858359</v>
      </c>
      <c r="R535">
        <f t="shared" si="986"/>
        <v>-91380792.464284882</v>
      </c>
      <c r="S535">
        <f t="shared" si="987"/>
        <v>-913.80792464284877</v>
      </c>
      <c r="T535">
        <f t="shared" si="988"/>
        <v>-0.91380792464284877</v>
      </c>
    </row>
    <row r="536" spans="1:20" x14ac:dyDescent="0.25">
      <c r="A536" s="5">
        <v>44057</v>
      </c>
      <c r="B536">
        <v>0.14080000000000001</v>
      </c>
      <c r="C536">
        <v>0.14380000000000001</v>
      </c>
      <c r="D536">
        <v>0.13550000000000001</v>
      </c>
      <c r="E536">
        <v>0.13639999999999999</v>
      </c>
      <c r="F536">
        <v>4321801.45</v>
      </c>
      <c r="G536">
        <v>0</v>
      </c>
      <c r="L536" t="s">
        <v>7</v>
      </c>
      <c r="M536" t="s">
        <v>8</v>
      </c>
      <c r="N536" t="s">
        <v>8</v>
      </c>
      <c r="P536">
        <f t="shared" si="984"/>
        <v>-0.78313253012048578</v>
      </c>
      <c r="Q536">
        <f t="shared" si="985"/>
        <v>-3384543.3042168841</v>
      </c>
      <c r="R536">
        <f t="shared" si="986"/>
        <v>-90758358.3928563</v>
      </c>
      <c r="S536">
        <f t="shared" si="987"/>
        <v>-907.58358392856303</v>
      </c>
      <c r="T536">
        <f t="shared" si="988"/>
        <v>-0.90758358392856298</v>
      </c>
    </row>
    <row r="537" spans="1:20" x14ac:dyDescent="0.25">
      <c r="A537" s="5">
        <v>44056</v>
      </c>
      <c r="B537">
        <v>0.14499999999999999</v>
      </c>
      <c r="C537">
        <v>0.15090000000000001</v>
      </c>
      <c r="D537">
        <v>0.13500000000000001</v>
      </c>
      <c r="E537">
        <v>0.14019999999999999</v>
      </c>
      <c r="F537">
        <v>6107937.9199999999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-0.34591194968553668</v>
      </c>
      <c r="Q537">
        <f t="shared" si="985"/>
        <v>-2112808.7144654216</v>
      </c>
      <c r="R537">
        <f t="shared" si="986"/>
        <v>-87373815.088639423</v>
      </c>
      <c r="S537">
        <f t="shared" si="987"/>
        <v>-873.73815088639424</v>
      </c>
      <c r="T537">
        <f t="shared" si="988"/>
        <v>-0.87373815088639428</v>
      </c>
    </row>
    <row r="538" spans="1:20" x14ac:dyDescent="0.25">
      <c r="A538" s="5">
        <v>44055</v>
      </c>
      <c r="B538">
        <v>0.1358</v>
      </c>
      <c r="C538">
        <v>0.1484</v>
      </c>
      <c r="D538">
        <v>0.13469999999999999</v>
      </c>
      <c r="E538">
        <v>0.1447</v>
      </c>
      <c r="F538">
        <v>5270480.8</v>
      </c>
      <c r="G538">
        <v>0</v>
      </c>
      <c r="L538" t="s">
        <v>7</v>
      </c>
      <c r="M538" t="s">
        <v>8</v>
      </c>
      <c r="N538" t="s">
        <v>8</v>
      </c>
      <c r="P538">
        <f t="shared" si="984"/>
        <v>0.45985401459853953</v>
      </c>
      <c r="Q538">
        <f t="shared" si="985"/>
        <v>2423651.7547445223</v>
      </c>
      <c r="R538">
        <f t="shared" si="986"/>
        <v>-85261006.374173999</v>
      </c>
      <c r="S538">
        <f t="shared" si="987"/>
        <v>-852.61006374173996</v>
      </c>
      <c r="T538">
        <f t="shared" si="988"/>
        <v>-0.85261006374173998</v>
      </c>
    </row>
    <row r="539" spans="1:20" x14ac:dyDescent="0.25">
      <c r="A539" s="5">
        <v>44054</v>
      </c>
      <c r="B539">
        <v>0.1323</v>
      </c>
      <c r="C539">
        <v>0.15240000000000001</v>
      </c>
      <c r="D539">
        <v>0.13100000000000001</v>
      </c>
      <c r="E539">
        <v>0.1358</v>
      </c>
      <c r="F539">
        <v>9584387.3900000006</v>
      </c>
      <c r="G539">
        <v>0</v>
      </c>
      <c r="L539" t="s">
        <v>8</v>
      </c>
      <c r="M539" t="s">
        <v>8</v>
      </c>
      <c r="N539" t="s">
        <v>8</v>
      </c>
      <c r="P539">
        <f t="shared" si="984"/>
        <v>-0.55140186915887868</v>
      </c>
      <c r="Q539">
        <f t="shared" si="985"/>
        <v>-5284849.1215887871</v>
      </c>
      <c r="R539">
        <f t="shared" si="986"/>
        <v>-87684658.128918514</v>
      </c>
      <c r="S539">
        <f t="shared" si="987"/>
        <v>-876.84658128918511</v>
      </c>
      <c r="T539">
        <f t="shared" si="988"/>
        <v>-0.87684658128918513</v>
      </c>
    </row>
    <row r="540" spans="1:20" x14ac:dyDescent="0.25">
      <c r="A540" s="5">
        <v>44053</v>
      </c>
      <c r="B540">
        <v>0.1363</v>
      </c>
      <c r="C540">
        <v>0.1381</v>
      </c>
      <c r="D540">
        <v>0.1293</v>
      </c>
      <c r="E540">
        <v>0.13220000000000001</v>
      </c>
      <c r="F540">
        <v>5637456.5199999996</v>
      </c>
      <c r="G540">
        <v>0</v>
      </c>
      <c r="L540" t="s">
        <v>7</v>
      </c>
      <c r="M540" t="s">
        <v>8</v>
      </c>
      <c r="N540" t="s">
        <v>8</v>
      </c>
      <c r="P540">
        <f t="shared" si="984"/>
        <v>-0.340909090909088</v>
      </c>
      <c r="Q540">
        <f t="shared" si="985"/>
        <v>-1921860.1772727107</v>
      </c>
      <c r="R540">
        <f t="shared" si="986"/>
        <v>-82399809.007329732</v>
      </c>
      <c r="S540">
        <f t="shared" si="987"/>
        <v>-823.99809007329736</v>
      </c>
      <c r="T540">
        <f t="shared" si="988"/>
        <v>-0.82399809007329738</v>
      </c>
    </row>
    <row r="541" spans="1:20" x14ac:dyDescent="0.25">
      <c r="A541" s="5">
        <v>44052</v>
      </c>
      <c r="B541">
        <v>0.1236</v>
      </c>
      <c r="C541">
        <v>0.14099999999999999</v>
      </c>
      <c r="D541">
        <v>0.1221</v>
      </c>
      <c r="E541">
        <v>0.13619999999999999</v>
      </c>
      <c r="F541">
        <v>10597150.689999999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0.49206349206349181</v>
      </c>
      <c r="Q541">
        <f t="shared" si="985"/>
        <v>5214470.9744444415</v>
      </c>
      <c r="R541">
        <f t="shared" si="986"/>
        <v>-80477948.830057025</v>
      </c>
      <c r="S541">
        <f t="shared" si="987"/>
        <v>-804.77948830057028</v>
      </c>
      <c r="T541">
        <f t="shared" si="988"/>
        <v>-0.80477948830057033</v>
      </c>
    </row>
    <row r="542" spans="1:20" x14ac:dyDescent="0.25">
      <c r="A542" s="5">
        <v>44051</v>
      </c>
      <c r="B542">
        <v>0.1205</v>
      </c>
      <c r="C542">
        <v>0.12920000000000001</v>
      </c>
      <c r="D542">
        <v>0.12</v>
      </c>
      <c r="E542">
        <v>0.1231</v>
      </c>
      <c r="F542">
        <v>10138315.859999999</v>
      </c>
      <c r="G542">
        <v>0</v>
      </c>
      <c r="L542" t="s">
        <v>8</v>
      </c>
      <c r="M542" t="s">
        <v>8</v>
      </c>
      <c r="N542" t="s">
        <v>7</v>
      </c>
      <c r="P542">
        <f t="shared" si="984"/>
        <v>-0.32608695652173891</v>
      </c>
      <c r="Q542">
        <f t="shared" si="985"/>
        <v>-3305972.5630434761</v>
      </c>
      <c r="R542">
        <f t="shared" si="986"/>
        <v>-85692419.804501474</v>
      </c>
      <c r="S542">
        <f t="shared" si="987"/>
        <v>-856.92419804501469</v>
      </c>
      <c r="T542">
        <f t="shared" si="988"/>
        <v>-0.85692419804501474</v>
      </c>
    </row>
    <row r="543" spans="1:20" x14ac:dyDescent="0.25">
      <c r="A543" s="5">
        <v>44050</v>
      </c>
      <c r="B543">
        <v>0.1147</v>
      </c>
      <c r="C543">
        <v>0.125</v>
      </c>
      <c r="D543">
        <v>0.1132</v>
      </c>
      <c r="E543">
        <v>0.1205</v>
      </c>
      <c r="F543">
        <v>5243712.5599999996</v>
      </c>
      <c r="G543">
        <v>0</v>
      </c>
      <c r="L543" t="s">
        <v>8</v>
      </c>
      <c r="M543" t="s">
        <v>8</v>
      </c>
      <c r="N543" t="s">
        <v>7</v>
      </c>
      <c r="P543">
        <f t="shared" si="984"/>
        <v>0.23728813559321998</v>
      </c>
      <c r="Q543">
        <f t="shared" si="985"/>
        <v>1244270.7769491505</v>
      </c>
      <c r="R543">
        <f t="shared" si="986"/>
        <v>-82386447.241457999</v>
      </c>
      <c r="S543">
        <f t="shared" si="987"/>
        <v>-823.86447241457995</v>
      </c>
      <c r="T543">
        <f t="shared" si="988"/>
        <v>-0.82386447241457994</v>
      </c>
    </row>
    <row r="544" spans="1:20" x14ac:dyDescent="0.25">
      <c r="A544" s="5">
        <v>44049</v>
      </c>
      <c r="B544">
        <v>0.1148</v>
      </c>
      <c r="C544">
        <v>0.1177</v>
      </c>
      <c r="D544">
        <v>0.11269999999999999</v>
      </c>
      <c r="E544">
        <v>0.1153</v>
      </c>
      <c r="F544">
        <v>1328677.28</v>
      </c>
      <c r="G544">
        <v>0</v>
      </c>
      <c r="L544" t="s">
        <v>8</v>
      </c>
      <c r="M544" t="s">
        <v>8</v>
      </c>
      <c r="N544" t="s">
        <v>7</v>
      </c>
      <c r="P544">
        <f t="shared" si="984"/>
        <v>4.0000000000001111E-2</v>
      </c>
      <c r="Q544">
        <f t="shared" si="985"/>
        <v>53147.09120000148</v>
      </c>
      <c r="R544">
        <f t="shared" si="986"/>
        <v>-83630718.018407151</v>
      </c>
      <c r="S544">
        <f t="shared" si="987"/>
        <v>-836.30718018407151</v>
      </c>
      <c r="T544">
        <f t="shared" si="988"/>
        <v>-0.83630718018407146</v>
      </c>
    </row>
    <row r="545" spans="1:20" x14ac:dyDescent="0.25">
      <c r="A545" s="5">
        <v>44048</v>
      </c>
      <c r="B545">
        <v>0.11269999999999999</v>
      </c>
      <c r="C545">
        <v>0.1163</v>
      </c>
      <c r="D545">
        <v>0.10970000000000001</v>
      </c>
      <c r="E545">
        <v>0.1147</v>
      </c>
      <c r="F545">
        <v>2619259.4700000002</v>
      </c>
      <c r="G545">
        <v>0</v>
      </c>
      <c r="L545" t="s">
        <v>8</v>
      </c>
      <c r="M545" t="s">
        <v>7</v>
      </c>
      <c r="N545" t="s">
        <v>7</v>
      </c>
      <c r="P545">
        <f t="shared" si="984"/>
        <v>0.51515151515151347</v>
      </c>
      <c r="Q545">
        <f t="shared" si="985"/>
        <v>1349315.4845454502</v>
      </c>
      <c r="R545">
        <f t="shared" si="986"/>
        <v>-83683865.109607145</v>
      </c>
      <c r="S545">
        <f t="shared" si="987"/>
        <v>-836.83865109607143</v>
      </c>
      <c r="T545">
        <f t="shared" si="988"/>
        <v>-0.83683865109607147</v>
      </c>
    </row>
    <row r="546" spans="1:20" x14ac:dyDescent="0.25">
      <c r="A546" s="5">
        <v>44047</v>
      </c>
      <c r="B546">
        <v>0.1081</v>
      </c>
      <c r="C546">
        <v>0.1137</v>
      </c>
      <c r="D546">
        <v>0.1077</v>
      </c>
      <c r="E546">
        <v>0.1119</v>
      </c>
      <c r="F546">
        <v>1624459.98</v>
      </c>
      <c r="G546">
        <v>0</v>
      </c>
      <c r="L546" t="s">
        <v>8</v>
      </c>
      <c r="M546" t="s">
        <v>7</v>
      </c>
      <c r="N546" t="s">
        <v>7</v>
      </c>
      <c r="P546">
        <f t="shared" si="984"/>
        <v>0.40000000000000047</v>
      </c>
      <c r="Q546">
        <f t="shared" si="985"/>
        <v>649783.99200000078</v>
      </c>
      <c r="R546">
        <f t="shared" si="986"/>
        <v>-85033180.5941526</v>
      </c>
      <c r="S546">
        <f t="shared" si="987"/>
        <v>-850.331805941526</v>
      </c>
      <c r="T546">
        <f t="shared" si="988"/>
        <v>-0.85033180594152602</v>
      </c>
    </row>
    <row r="547" spans="1:20" x14ac:dyDescent="0.25">
      <c r="A547" s="5">
        <v>44046</v>
      </c>
      <c r="B547">
        <v>0.1065</v>
      </c>
      <c r="C547">
        <v>0.11</v>
      </c>
      <c r="D547">
        <v>0.1052</v>
      </c>
      <c r="E547">
        <v>0.1075</v>
      </c>
      <c r="F547">
        <v>836035.97</v>
      </c>
      <c r="G547">
        <v>0</v>
      </c>
      <c r="L547" t="s">
        <v>8</v>
      </c>
      <c r="M547" t="s">
        <v>7</v>
      </c>
      <c r="N547" t="s">
        <v>7</v>
      </c>
      <c r="P547">
        <f t="shared" si="984"/>
        <v>-4.1666666666667872E-2</v>
      </c>
      <c r="Q547">
        <f t="shared" si="985"/>
        <v>-34834.832083334339</v>
      </c>
      <c r="R547">
        <f t="shared" si="986"/>
        <v>-85682964.586152598</v>
      </c>
      <c r="S547">
        <f t="shared" si="987"/>
        <v>-856.82964586152593</v>
      </c>
      <c r="T547">
        <f t="shared" si="988"/>
        <v>-0.85682964586152588</v>
      </c>
    </row>
    <row r="548" spans="1:20" x14ac:dyDescent="0.25">
      <c r="A548" s="5">
        <v>44045</v>
      </c>
      <c r="B548">
        <v>0.1142</v>
      </c>
      <c r="C548">
        <v>0.1148</v>
      </c>
      <c r="D548">
        <v>0.1002</v>
      </c>
      <c r="E548">
        <v>0.1066</v>
      </c>
      <c r="F548">
        <v>2508206.73</v>
      </c>
      <c r="G548">
        <v>0</v>
      </c>
      <c r="L548" t="s">
        <v>7</v>
      </c>
      <c r="M548" t="s">
        <v>7</v>
      </c>
      <c r="N548" t="s">
        <v>7</v>
      </c>
      <c r="P548">
        <f t="shared" si="984"/>
        <v>-0.12328767123287643</v>
      </c>
      <c r="Q548">
        <f t="shared" si="985"/>
        <v>-309230.96671232802</v>
      </c>
      <c r="R548">
        <f t="shared" si="986"/>
        <v>-85648129.754069269</v>
      </c>
      <c r="S548">
        <f t="shared" si="987"/>
        <v>-856.48129754069271</v>
      </c>
      <c r="T548">
        <f t="shared" si="988"/>
        <v>-0.85648129754069269</v>
      </c>
    </row>
    <row r="549" spans="1:20" x14ac:dyDescent="0.25">
      <c r="A549" s="5">
        <v>44044</v>
      </c>
      <c r="B549">
        <v>0.1142</v>
      </c>
      <c r="C549">
        <v>0.1173</v>
      </c>
      <c r="D549">
        <v>0.113</v>
      </c>
      <c r="E549">
        <v>0.11409999999999999</v>
      </c>
      <c r="F549">
        <v>967631.72</v>
      </c>
      <c r="G549">
        <v>0</v>
      </c>
      <c r="L549" t="s">
        <v>7</v>
      </c>
      <c r="M549" t="s">
        <v>8</v>
      </c>
      <c r="N549" t="s">
        <v>8</v>
      </c>
      <c r="P549">
        <f t="shared" si="984"/>
        <v>-0.48837209302326029</v>
      </c>
      <c r="Q549">
        <f t="shared" si="985"/>
        <v>-472564.32837209734</v>
      </c>
      <c r="R549">
        <f t="shared" si="986"/>
        <v>-85338898.787356943</v>
      </c>
      <c r="S549">
        <f t="shared" si="987"/>
        <v>-853.38898787356948</v>
      </c>
      <c r="T549">
        <f t="shared" si="988"/>
        <v>-0.85338898787356943</v>
      </c>
    </row>
    <row r="550" spans="1:20" x14ac:dyDescent="0.25">
      <c r="A550" s="5">
        <v>44043</v>
      </c>
      <c r="B550">
        <v>0.1196</v>
      </c>
      <c r="C550">
        <v>0.11990000000000001</v>
      </c>
      <c r="D550">
        <v>0.1119</v>
      </c>
      <c r="E550">
        <v>0.1142</v>
      </c>
      <c r="F550">
        <v>1987589.48</v>
      </c>
      <c r="G550">
        <v>0</v>
      </c>
      <c r="L550" t="s">
        <v>7</v>
      </c>
      <c r="M550" t="s">
        <v>8</v>
      </c>
      <c r="N550" t="s">
        <v>8</v>
      </c>
      <c r="P550">
        <f t="shared" si="984"/>
        <v>-0.42500000000000138</v>
      </c>
      <c r="Q550">
        <f t="shared" si="985"/>
        <v>-844725.52900000277</v>
      </c>
      <c r="R550">
        <f t="shared" si="986"/>
        <v>-84866334.458984852</v>
      </c>
      <c r="S550">
        <f t="shared" si="987"/>
        <v>-848.66334458984852</v>
      </c>
      <c r="T550">
        <f t="shared" si="988"/>
        <v>-0.84866334458984849</v>
      </c>
    </row>
    <row r="551" spans="1:20" x14ac:dyDescent="0.25">
      <c r="A551" s="5">
        <v>44042</v>
      </c>
      <c r="B551">
        <v>0.1188</v>
      </c>
      <c r="C551">
        <v>0.125</v>
      </c>
      <c r="D551">
        <v>0.1171</v>
      </c>
      <c r="E551">
        <v>0.1196</v>
      </c>
      <c r="F551">
        <v>3485418.81</v>
      </c>
      <c r="G551">
        <v>0</v>
      </c>
      <c r="L551" t="s">
        <v>7</v>
      </c>
      <c r="M551" t="s">
        <v>8</v>
      </c>
      <c r="N551" t="s">
        <v>8</v>
      </c>
      <c r="P551">
        <f t="shared" si="984"/>
        <v>-0.3670886075949365</v>
      </c>
      <c r="Q551">
        <f t="shared" si="985"/>
        <v>-1279457.5378481005</v>
      </c>
      <c r="R551">
        <f t="shared" si="986"/>
        <v>-84021608.929984853</v>
      </c>
      <c r="S551">
        <f t="shared" si="987"/>
        <v>-840.21608929984848</v>
      </c>
      <c r="T551">
        <f t="shared" si="988"/>
        <v>-0.84021608929984848</v>
      </c>
    </row>
    <row r="552" spans="1:20" x14ac:dyDescent="0.25">
      <c r="A552" s="5">
        <v>44041</v>
      </c>
      <c r="B552">
        <v>0.1119</v>
      </c>
      <c r="C552">
        <v>0.12970000000000001</v>
      </c>
      <c r="D552">
        <v>0.1118</v>
      </c>
      <c r="E552">
        <v>0.1188</v>
      </c>
      <c r="F552">
        <v>5875144.9000000004</v>
      </c>
      <c r="G552">
        <v>0</v>
      </c>
      <c r="L552" t="s">
        <v>8</v>
      </c>
      <c r="M552" t="s">
        <v>8</v>
      </c>
      <c r="N552" t="s">
        <v>8</v>
      </c>
      <c r="P552">
        <f t="shared" si="984"/>
        <v>-0.21787709497206692</v>
      </c>
      <c r="Q552">
        <f t="shared" si="985"/>
        <v>-1280059.5033519547</v>
      </c>
      <c r="R552">
        <f t="shared" si="986"/>
        <v>-82742151.392136753</v>
      </c>
      <c r="S552">
        <f t="shared" si="987"/>
        <v>-827.42151392136748</v>
      </c>
      <c r="T552">
        <f t="shared" si="988"/>
        <v>-0.82742151392136742</v>
      </c>
    </row>
    <row r="553" spans="1:20" x14ac:dyDescent="0.25">
      <c r="A553" s="5">
        <v>44040</v>
      </c>
      <c r="B553">
        <v>0.1076</v>
      </c>
      <c r="C553">
        <v>0.1142</v>
      </c>
      <c r="D553">
        <v>0.1053</v>
      </c>
      <c r="E553">
        <v>0.1118</v>
      </c>
      <c r="F553">
        <v>1395758.49</v>
      </c>
      <c r="G553">
        <v>0</v>
      </c>
      <c r="L553" t="s">
        <v>8</v>
      </c>
      <c r="M553" t="s">
        <v>7</v>
      </c>
      <c r="N553" t="s">
        <v>8</v>
      </c>
      <c r="P553">
        <f t="shared" si="984"/>
        <v>0.46067415730337041</v>
      </c>
      <c r="Q553">
        <f t="shared" si="985"/>
        <v>642989.86617977475</v>
      </c>
      <c r="R553">
        <f t="shared" si="986"/>
        <v>-81462091.888784796</v>
      </c>
      <c r="S553">
        <f t="shared" si="987"/>
        <v>-814.62091888784801</v>
      </c>
      <c r="T553">
        <f t="shared" si="988"/>
        <v>-0.81462091888784804</v>
      </c>
    </row>
    <row r="554" spans="1:20" x14ac:dyDescent="0.25">
      <c r="A554" s="5">
        <v>44039</v>
      </c>
      <c r="B554">
        <v>0.1169</v>
      </c>
      <c r="C554">
        <v>0.1176</v>
      </c>
      <c r="D554">
        <v>0.1043</v>
      </c>
      <c r="E554">
        <v>0.10680000000000001</v>
      </c>
      <c r="F554">
        <v>3224290.57</v>
      </c>
      <c r="G554">
        <v>0</v>
      </c>
      <c r="L554" t="s">
        <v>7</v>
      </c>
      <c r="M554" t="s">
        <v>7</v>
      </c>
      <c r="N554" t="s">
        <v>8</v>
      </c>
      <c r="P554">
        <f t="shared" si="984"/>
        <v>-0.62406015037593932</v>
      </c>
      <c r="Q554">
        <f t="shared" si="985"/>
        <v>-2012151.2579699231</v>
      </c>
      <c r="R554">
        <f t="shared" si="986"/>
        <v>-82105081.754964575</v>
      </c>
      <c r="S554">
        <f t="shared" si="987"/>
        <v>-821.05081754964579</v>
      </c>
      <c r="T554">
        <f t="shared" si="988"/>
        <v>-0.82105081754964582</v>
      </c>
    </row>
    <row r="555" spans="1:20" x14ac:dyDescent="0.25">
      <c r="A555" s="5">
        <v>44038</v>
      </c>
      <c r="B555">
        <v>0.1215</v>
      </c>
      <c r="C555">
        <v>0.1236</v>
      </c>
      <c r="D555">
        <v>0.1158</v>
      </c>
      <c r="E555">
        <v>0.1168</v>
      </c>
      <c r="F555">
        <v>2006244.78</v>
      </c>
      <c r="G555">
        <v>0</v>
      </c>
      <c r="L555" t="s">
        <v>7</v>
      </c>
      <c r="M555" t="s">
        <v>7</v>
      </c>
      <c r="N555" t="s">
        <v>8</v>
      </c>
      <c r="P555">
        <f t="shared" si="984"/>
        <v>-0.74358974358974339</v>
      </c>
      <c r="Q555">
        <f t="shared" si="985"/>
        <v>-1491823.0415384611</v>
      </c>
      <c r="R555">
        <f t="shared" si="986"/>
        <v>-80092930.496994659</v>
      </c>
      <c r="S555">
        <f t="shared" si="987"/>
        <v>-800.92930496994654</v>
      </c>
      <c r="T555">
        <f t="shared" si="988"/>
        <v>-0.80092930496994652</v>
      </c>
    </row>
    <row r="556" spans="1:20" x14ac:dyDescent="0.25">
      <c r="A556" s="5">
        <v>44037</v>
      </c>
      <c r="B556">
        <v>0.128</v>
      </c>
      <c r="C556">
        <v>0.13039999999999999</v>
      </c>
      <c r="D556">
        <v>0.12139999999999999</v>
      </c>
      <c r="E556">
        <v>0.12189999999999999</v>
      </c>
      <c r="F556">
        <v>2272012.12</v>
      </c>
      <c r="G556">
        <v>0</v>
      </c>
      <c r="L556" t="s">
        <v>8</v>
      </c>
      <c r="M556" t="s">
        <v>8</v>
      </c>
      <c r="N556" t="s">
        <v>8</v>
      </c>
      <c r="P556">
        <f t="shared" si="984"/>
        <v>-0.88888888888888873</v>
      </c>
      <c r="Q556">
        <f t="shared" si="985"/>
        <v>-2019566.3288888887</v>
      </c>
      <c r="R556">
        <f t="shared" si="986"/>
        <v>-78601107.455456197</v>
      </c>
      <c r="S556">
        <f t="shared" si="987"/>
        <v>-786.01107455456201</v>
      </c>
      <c r="T556">
        <f t="shared" si="988"/>
        <v>-0.78601107455456198</v>
      </c>
    </row>
    <row r="557" spans="1:20" x14ac:dyDescent="0.25">
      <c r="A557" s="5">
        <v>44036</v>
      </c>
      <c r="B557">
        <v>0.12479999999999999</v>
      </c>
      <c r="C557">
        <v>0.1313</v>
      </c>
      <c r="D557">
        <v>0.1225</v>
      </c>
      <c r="E557">
        <v>0.12790000000000001</v>
      </c>
      <c r="F557">
        <v>2682128.38</v>
      </c>
      <c r="G557">
        <v>0</v>
      </c>
      <c r="L557" t="s">
        <v>7</v>
      </c>
      <c r="M557" t="s">
        <v>8</v>
      </c>
      <c r="N557" t="s">
        <v>8</v>
      </c>
      <c r="P557">
        <f t="shared" si="984"/>
        <v>0.22727272727273057</v>
      </c>
      <c r="Q557">
        <f t="shared" si="985"/>
        <v>609574.63181819068</v>
      </c>
      <c r="R557">
        <f t="shared" si="986"/>
        <v>-76581541.126567304</v>
      </c>
      <c r="S557">
        <f t="shared" si="987"/>
        <v>-765.81541126567299</v>
      </c>
      <c r="T557">
        <f t="shared" si="988"/>
        <v>-0.76581541126567299</v>
      </c>
    </row>
    <row r="558" spans="1:20" x14ac:dyDescent="0.25">
      <c r="A558" s="5">
        <v>44035</v>
      </c>
      <c r="B558">
        <v>0.1303</v>
      </c>
      <c r="C558">
        <v>0.13220000000000001</v>
      </c>
      <c r="D558">
        <v>0.1235</v>
      </c>
      <c r="E558">
        <v>0.1249</v>
      </c>
      <c r="F558">
        <v>1900593.98</v>
      </c>
      <c r="G558">
        <v>0</v>
      </c>
      <c r="L558" t="s">
        <v>7</v>
      </c>
      <c r="M558" t="s">
        <v>8</v>
      </c>
      <c r="N558" t="s">
        <v>8</v>
      </c>
      <c r="P558">
        <f t="shared" si="984"/>
        <v>-0.67816091954023072</v>
      </c>
      <c r="Q558">
        <f t="shared" si="985"/>
        <v>-1288908.561149427</v>
      </c>
      <c r="R558">
        <f t="shared" si="986"/>
        <v>-77191115.758385494</v>
      </c>
      <c r="S558">
        <f t="shared" si="987"/>
        <v>-771.9111575838549</v>
      </c>
      <c r="T558">
        <f t="shared" si="988"/>
        <v>-0.77191115758385487</v>
      </c>
    </row>
    <row r="559" spans="1:20" x14ac:dyDescent="0.25">
      <c r="A559" s="5">
        <v>44034</v>
      </c>
      <c r="B559">
        <v>0.13450000000000001</v>
      </c>
      <c r="C559">
        <v>0.13519999999999999</v>
      </c>
      <c r="D559">
        <v>0.12659999999999999</v>
      </c>
      <c r="E559">
        <v>0.1303</v>
      </c>
      <c r="F559">
        <v>3681084.66</v>
      </c>
      <c r="G559">
        <v>0</v>
      </c>
      <c r="L559" t="s">
        <v>7</v>
      </c>
      <c r="M559" t="s">
        <v>8</v>
      </c>
      <c r="N559" t="s">
        <v>8</v>
      </c>
      <c r="P559">
        <f t="shared" si="984"/>
        <v>-0.13953488372092784</v>
      </c>
      <c r="Q559">
        <f t="shared" si="985"/>
        <v>-513639.71999999124</v>
      </c>
      <c r="R559">
        <f t="shared" si="986"/>
        <v>-75902207.197236061</v>
      </c>
      <c r="S559">
        <f t="shared" si="987"/>
        <v>-759.02207197236066</v>
      </c>
      <c r="T559">
        <f t="shared" si="988"/>
        <v>-0.75902207197236071</v>
      </c>
    </row>
    <row r="560" spans="1:20" x14ac:dyDescent="0.25">
      <c r="A560" s="5">
        <v>44033</v>
      </c>
      <c r="B560">
        <v>0.1235</v>
      </c>
      <c r="C560">
        <v>0.14050000000000001</v>
      </c>
      <c r="D560">
        <v>0.1222</v>
      </c>
      <c r="E560">
        <v>0.13450000000000001</v>
      </c>
      <c r="F560">
        <v>5600439.2800000003</v>
      </c>
      <c r="G560">
        <v>0</v>
      </c>
      <c r="L560" t="s">
        <v>8</v>
      </c>
      <c r="M560" t="s">
        <v>8</v>
      </c>
      <c r="N560" t="s">
        <v>8</v>
      </c>
      <c r="P560">
        <f t="shared" si="984"/>
        <v>0.34426229508196704</v>
      </c>
      <c r="Q560">
        <f t="shared" si="985"/>
        <v>1928020.0799999991</v>
      </c>
      <c r="R560">
        <f t="shared" si="986"/>
        <v>-75388567.477236077</v>
      </c>
      <c r="S560">
        <f t="shared" si="987"/>
        <v>-753.88567477236074</v>
      </c>
      <c r="T560">
        <f t="shared" si="988"/>
        <v>-0.75388567477236079</v>
      </c>
    </row>
    <row r="561" spans="1:104" x14ac:dyDescent="0.25">
      <c r="A561" s="5">
        <v>44032</v>
      </c>
      <c r="B561">
        <v>0.1198</v>
      </c>
      <c r="C561">
        <v>0.13789999999999999</v>
      </c>
      <c r="D561">
        <v>0.1145</v>
      </c>
      <c r="E561">
        <v>0.12429999999999999</v>
      </c>
      <c r="F561">
        <v>6157755.0499999998</v>
      </c>
      <c r="G561">
        <v>0</v>
      </c>
      <c r="L561" t="s">
        <v>8</v>
      </c>
      <c r="M561" t="s">
        <v>8</v>
      </c>
      <c r="N561" t="s">
        <v>8</v>
      </c>
      <c r="P561">
        <f t="shared" si="984"/>
        <v>-0.16239316239316295</v>
      </c>
      <c r="Q561">
        <f t="shared" si="985"/>
        <v>-999977.31581196922</v>
      </c>
      <c r="R561">
        <f t="shared" si="986"/>
        <v>-77316587.557236075</v>
      </c>
      <c r="S561">
        <f t="shared" si="987"/>
        <v>-773.16587557236073</v>
      </c>
      <c r="T561">
        <f t="shared" si="988"/>
        <v>-0.77316587557236072</v>
      </c>
      <c r="CZ561" t="s">
        <v>7</v>
      </c>
    </row>
    <row r="562" spans="1:104" x14ac:dyDescent="0.25">
      <c r="A562" s="5">
        <v>44031</v>
      </c>
      <c r="B562">
        <v>0.1145</v>
      </c>
      <c r="C562">
        <v>0.122</v>
      </c>
      <c r="D562">
        <v>0.1138</v>
      </c>
      <c r="E562">
        <v>0.1195</v>
      </c>
      <c r="F562">
        <v>2046237.32</v>
      </c>
      <c r="G562">
        <v>0</v>
      </c>
      <c r="L562" t="s">
        <v>8</v>
      </c>
      <c r="M562" t="s">
        <v>7</v>
      </c>
      <c r="N562" t="s">
        <v>8</v>
      </c>
      <c r="P562">
        <f t="shared" si="984"/>
        <v>0.39024390243902379</v>
      </c>
      <c r="Q562">
        <f t="shared" si="985"/>
        <v>798531.63707316958</v>
      </c>
      <c r="R562">
        <f t="shared" si="986"/>
        <v>-76316610.241424114</v>
      </c>
      <c r="S562">
        <f t="shared" si="987"/>
        <v>-763.1661024142411</v>
      </c>
      <c r="T562">
        <f t="shared" si="988"/>
        <v>-0.7631661024142411</v>
      </c>
      <c r="CZ562" t="s">
        <v>7</v>
      </c>
    </row>
    <row r="563" spans="1:104" x14ac:dyDescent="0.25">
      <c r="A563" s="5">
        <v>44030</v>
      </c>
      <c r="B563">
        <v>0.1135</v>
      </c>
      <c r="C563">
        <v>0.1162</v>
      </c>
      <c r="D563">
        <v>0.1125</v>
      </c>
      <c r="E563">
        <v>0.1145</v>
      </c>
      <c r="F563">
        <v>626355.11</v>
      </c>
      <c r="G563">
        <v>0</v>
      </c>
      <c r="L563" t="s">
        <v>8</v>
      </c>
      <c r="M563" t="s">
        <v>7</v>
      </c>
      <c r="N563" t="s">
        <v>8</v>
      </c>
      <c r="P563">
        <f t="shared" si="984"/>
        <v>8.1081081081083514E-2</v>
      </c>
      <c r="Q563">
        <f t="shared" si="985"/>
        <v>50785.549459460985</v>
      </c>
      <c r="R563">
        <f t="shared" si="986"/>
        <v>-77115141.878497288</v>
      </c>
      <c r="S563">
        <f t="shared" si="987"/>
        <v>-771.15141878497286</v>
      </c>
      <c r="T563">
        <f t="shared" si="988"/>
        <v>-0.77115141878497284</v>
      </c>
      <c r="CZ563" t="s">
        <v>7</v>
      </c>
    </row>
    <row r="564" spans="1:104" x14ac:dyDescent="0.25">
      <c r="A564" s="5">
        <v>44029</v>
      </c>
      <c r="B564">
        <v>0.1115</v>
      </c>
      <c r="C564">
        <v>0.115</v>
      </c>
      <c r="D564">
        <v>0.11070000000000001</v>
      </c>
      <c r="E564">
        <v>0.1134</v>
      </c>
      <c r="F564">
        <v>1198541.08</v>
      </c>
      <c r="G564">
        <v>0</v>
      </c>
      <c r="L564" t="s">
        <v>7</v>
      </c>
      <c r="M564" t="s">
        <v>7</v>
      </c>
      <c r="N564" t="s">
        <v>8</v>
      </c>
      <c r="P564">
        <f t="shared" si="984"/>
        <v>0.25581395348836983</v>
      </c>
      <c r="Q564">
        <f t="shared" si="985"/>
        <v>306603.53209302056</v>
      </c>
      <c r="R564">
        <f t="shared" si="986"/>
        <v>-77165927.427956745</v>
      </c>
      <c r="S564">
        <f t="shared" si="987"/>
        <v>-771.6592742795674</v>
      </c>
      <c r="T564">
        <f t="shared" si="988"/>
        <v>-0.77165927427956738</v>
      </c>
    </row>
    <row r="565" spans="1:104" x14ac:dyDescent="0.25">
      <c r="A565" s="5">
        <v>44028</v>
      </c>
      <c r="B565">
        <v>0.11409999999999999</v>
      </c>
      <c r="C565">
        <v>0.11459999999999999</v>
      </c>
      <c r="D565">
        <v>0.10730000000000001</v>
      </c>
      <c r="E565">
        <v>0.11169999999999999</v>
      </c>
      <c r="F565">
        <v>1546634.66</v>
      </c>
      <c r="G565">
        <v>0</v>
      </c>
      <c r="L565" t="s">
        <v>7</v>
      </c>
      <c r="M565" t="s">
        <v>7</v>
      </c>
      <c r="N565" t="s">
        <v>8</v>
      </c>
      <c r="P565">
        <f t="shared" si="984"/>
        <v>0.20547945205479318</v>
      </c>
      <c r="Q565">
        <f t="shared" si="985"/>
        <v>317801.64246575133</v>
      </c>
      <c r="R565">
        <f t="shared" si="986"/>
        <v>-77472530.960049763</v>
      </c>
      <c r="S565">
        <f t="shared" si="987"/>
        <v>-774.72530960049767</v>
      </c>
      <c r="T565">
        <f t="shared" si="988"/>
        <v>-0.77472530960049768</v>
      </c>
    </row>
    <row r="566" spans="1:104" x14ac:dyDescent="0.25">
      <c r="A566" s="5">
        <v>44027</v>
      </c>
      <c r="B566">
        <v>0.1178</v>
      </c>
      <c r="C566">
        <v>0.1183</v>
      </c>
      <c r="D566">
        <v>0.1135</v>
      </c>
      <c r="E566">
        <v>0.114</v>
      </c>
      <c r="F566">
        <v>841171.97</v>
      </c>
      <c r="G566">
        <v>0</v>
      </c>
      <c r="L566" t="s">
        <v>7</v>
      </c>
      <c r="M566" t="s">
        <v>7</v>
      </c>
      <c r="N566" t="s">
        <v>8</v>
      </c>
      <c r="P566">
        <f t="shared" si="984"/>
        <v>-0.79166666666666641</v>
      </c>
      <c r="Q566">
        <f t="shared" si="985"/>
        <v>-665927.80958333309</v>
      </c>
      <c r="R566">
        <f t="shared" si="986"/>
        <v>-77790332.602515519</v>
      </c>
      <c r="S566">
        <f t="shared" si="987"/>
        <v>-777.90332602515514</v>
      </c>
      <c r="T566">
        <f t="shared" si="988"/>
        <v>-0.77790332602515511</v>
      </c>
    </row>
    <row r="567" spans="1:104" x14ac:dyDescent="0.25">
      <c r="A567" s="5">
        <v>44026</v>
      </c>
      <c r="B567">
        <v>0.1147</v>
      </c>
      <c r="C567">
        <v>0.12</v>
      </c>
      <c r="D567">
        <v>0.1114</v>
      </c>
      <c r="E567">
        <v>0.1173</v>
      </c>
      <c r="F567">
        <v>1405662.1</v>
      </c>
      <c r="G567">
        <v>0</v>
      </c>
      <c r="L567" t="s">
        <v>7</v>
      </c>
      <c r="M567" t="s">
        <v>7</v>
      </c>
      <c r="N567" t="s">
        <v>8</v>
      </c>
      <c r="P567">
        <f t="shared" si="984"/>
        <v>0.37209302325581506</v>
      </c>
      <c r="Q567">
        <f t="shared" si="985"/>
        <v>523037.06046511786</v>
      </c>
      <c r="R567">
        <f t="shared" si="986"/>
        <v>-77124404.792932183</v>
      </c>
      <c r="S567">
        <f t="shared" si="987"/>
        <v>-771.24404792932182</v>
      </c>
      <c r="T567">
        <f t="shared" si="988"/>
        <v>-0.77124404792932177</v>
      </c>
    </row>
    <row r="568" spans="1:104" x14ac:dyDescent="0.25">
      <c r="A568" s="5">
        <v>44025</v>
      </c>
      <c r="B568">
        <v>0.11749999999999999</v>
      </c>
      <c r="C568">
        <v>0.1196</v>
      </c>
      <c r="D568">
        <v>0.11260000000000001</v>
      </c>
      <c r="E568">
        <v>0.1145</v>
      </c>
      <c r="F568">
        <v>1609796.92</v>
      </c>
      <c r="G568">
        <v>0</v>
      </c>
      <c r="L568" t="s">
        <v>7</v>
      </c>
      <c r="M568" t="s">
        <v>7</v>
      </c>
      <c r="N568" t="s">
        <v>8</v>
      </c>
      <c r="P568">
        <f t="shared" si="984"/>
        <v>-0.45714285714285685</v>
      </c>
      <c r="Q568">
        <f t="shared" si="985"/>
        <v>-735907.16342857096</v>
      </c>
      <c r="R568">
        <f t="shared" si="986"/>
        <v>-77647441.853397295</v>
      </c>
      <c r="S568">
        <f t="shared" si="987"/>
        <v>-776.47441853397299</v>
      </c>
      <c r="T568">
        <f t="shared" si="988"/>
        <v>-0.77647441853397303</v>
      </c>
    </row>
    <row r="569" spans="1:104" x14ac:dyDescent="0.25">
      <c r="A569" s="5">
        <v>44024</v>
      </c>
      <c r="B569">
        <v>0.1181</v>
      </c>
      <c r="C569">
        <v>0.123</v>
      </c>
      <c r="D569">
        <v>0.115</v>
      </c>
      <c r="E569">
        <v>0.1174</v>
      </c>
      <c r="F569">
        <v>1703419.54</v>
      </c>
      <c r="G569">
        <v>0</v>
      </c>
      <c r="L569" t="s">
        <v>8</v>
      </c>
      <c r="M569" t="s">
        <v>7</v>
      </c>
      <c r="N569" t="s">
        <v>8</v>
      </c>
      <c r="P569">
        <f t="shared" si="984"/>
        <v>-0.39999999999999963</v>
      </c>
      <c r="Q569">
        <f t="shared" si="985"/>
        <v>-681367.81599999941</v>
      </c>
      <c r="R569">
        <f t="shared" si="986"/>
        <v>-76911534.68996872</v>
      </c>
      <c r="S569">
        <f t="shared" si="987"/>
        <v>-769.11534689968721</v>
      </c>
      <c r="T569">
        <f t="shared" si="988"/>
        <v>-0.76911534689968719</v>
      </c>
    </row>
    <row r="570" spans="1:104" x14ac:dyDescent="0.25">
      <c r="A570" s="5">
        <v>44023</v>
      </c>
      <c r="B570">
        <v>0.1215</v>
      </c>
      <c r="C570">
        <v>0.12640000000000001</v>
      </c>
      <c r="D570">
        <v>0.11020000000000001</v>
      </c>
      <c r="E570">
        <v>0.1178</v>
      </c>
      <c r="F570">
        <v>4258620.71</v>
      </c>
      <c r="G570">
        <v>0</v>
      </c>
      <c r="L570" t="s">
        <v>7</v>
      </c>
      <c r="M570" t="s">
        <v>7</v>
      </c>
      <c r="N570" t="s">
        <v>8</v>
      </c>
      <c r="P570">
        <f t="shared" si="984"/>
        <v>-6.1728395061729287E-2</v>
      </c>
      <c r="Q570">
        <f t="shared" si="985"/>
        <v>-262877.82160494209</v>
      </c>
      <c r="R570">
        <f t="shared" si="986"/>
        <v>-76230166.87396872</v>
      </c>
      <c r="S570">
        <f t="shared" si="987"/>
        <v>-762.30166873968722</v>
      </c>
      <c r="T570">
        <f t="shared" si="988"/>
        <v>-0.76230166873968719</v>
      </c>
    </row>
    <row r="571" spans="1:104" x14ac:dyDescent="0.25">
      <c r="A571" s="5">
        <v>44022</v>
      </c>
      <c r="B571">
        <v>0.11070000000000001</v>
      </c>
      <c r="C571">
        <v>0.13800000000000001</v>
      </c>
      <c r="D571">
        <v>0.1095</v>
      </c>
      <c r="E571">
        <v>0.1216</v>
      </c>
      <c r="F571">
        <v>9020354.9299999997</v>
      </c>
      <c r="G571">
        <v>0</v>
      </c>
      <c r="L571" t="s">
        <v>8</v>
      </c>
      <c r="M571" t="s">
        <v>8</v>
      </c>
      <c r="N571" t="s">
        <v>8</v>
      </c>
      <c r="P571">
        <f t="shared" si="984"/>
        <v>-0.1508771929824565</v>
      </c>
      <c r="Q571">
        <f t="shared" si="985"/>
        <v>-1360965.8315438628</v>
      </c>
      <c r="R571">
        <f t="shared" si="986"/>
        <v>-75967289.052363783</v>
      </c>
      <c r="S571">
        <f t="shared" si="987"/>
        <v>-759.67289052363788</v>
      </c>
      <c r="T571">
        <f t="shared" si="988"/>
        <v>-0.75967289052363784</v>
      </c>
    </row>
    <row r="572" spans="1:104" x14ac:dyDescent="0.25">
      <c r="A572" s="5">
        <v>44021</v>
      </c>
      <c r="B572">
        <v>0.1137</v>
      </c>
      <c r="C572">
        <v>0.114</v>
      </c>
      <c r="D572">
        <v>0.1095</v>
      </c>
      <c r="E572">
        <v>0.1105</v>
      </c>
      <c r="F572">
        <v>1218247.1000000001</v>
      </c>
      <c r="G572">
        <v>0</v>
      </c>
      <c r="L572" t="s">
        <v>7</v>
      </c>
      <c r="M572" t="s">
        <v>8</v>
      </c>
      <c r="N572" t="s">
        <v>7</v>
      </c>
      <c r="P572">
        <f t="shared" si="984"/>
        <v>-0.55555555555555558</v>
      </c>
      <c r="Q572">
        <f t="shared" si="985"/>
        <v>-676803.9444444445</v>
      </c>
      <c r="R572">
        <f t="shared" si="986"/>
        <v>-74606323.22081992</v>
      </c>
      <c r="S572">
        <f t="shared" si="987"/>
        <v>-746.06323220819922</v>
      </c>
      <c r="T572">
        <f t="shared" si="988"/>
        <v>-0.74606323220819926</v>
      </c>
    </row>
    <row r="573" spans="1:104" x14ac:dyDescent="0.25">
      <c r="A573" s="5">
        <v>44020</v>
      </c>
      <c r="B573">
        <v>0.1138</v>
      </c>
      <c r="C573">
        <v>0.1157</v>
      </c>
      <c r="D573">
        <v>0.1108</v>
      </c>
      <c r="E573">
        <v>0.11360000000000001</v>
      </c>
      <c r="F573">
        <v>1673509.48</v>
      </c>
      <c r="G573">
        <v>0</v>
      </c>
      <c r="L573" t="s">
        <v>7</v>
      </c>
      <c r="M573" t="s">
        <v>8</v>
      </c>
      <c r="N573" t="s">
        <v>7</v>
      </c>
      <c r="P573">
        <f t="shared" si="984"/>
        <v>0.1428571428571469</v>
      </c>
      <c r="Q573">
        <f t="shared" si="985"/>
        <v>239072.78285714964</v>
      </c>
      <c r="R573">
        <f t="shared" si="986"/>
        <v>-73929519.276375473</v>
      </c>
      <c r="S573">
        <f t="shared" si="987"/>
        <v>-739.2951927637547</v>
      </c>
      <c r="T573">
        <f t="shared" si="988"/>
        <v>-0.73929519276375466</v>
      </c>
    </row>
    <row r="574" spans="1:104" x14ac:dyDescent="0.25">
      <c r="A574" s="5">
        <v>44019</v>
      </c>
      <c r="B574">
        <v>0.11269999999999999</v>
      </c>
      <c r="C574">
        <v>0.1249</v>
      </c>
      <c r="D574">
        <v>0.11070000000000001</v>
      </c>
      <c r="E574">
        <v>0.1138</v>
      </c>
      <c r="F574">
        <v>2663703.9</v>
      </c>
      <c r="G574">
        <v>0</v>
      </c>
      <c r="L574" t="s">
        <v>8</v>
      </c>
      <c r="M574" t="s">
        <v>8</v>
      </c>
      <c r="N574" t="s">
        <v>7</v>
      </c>
      <c r="P574">
        <f t="shared" si="984"/>
        <v>-0.56338028169014176</v>
      </c>
      <c r="Q574">
        <f t="shared" si="985"/>
        <v>-1500678.2535211293</v>
      </c>
      <c r="R574">
        <f t="shared" si="986"/>
        <v>-74168592.059232622</v>
      </c>
      <c r="S574">
        <f t="shared" si="987"/>
        <v>-741.68592059232617</v>
      </c>
      <c r="T574">
        <f t="shared" si="988"/>
        <v>-0.74168592059232619</v>
      </c>
    </row>
    <row r="575" spans="1:104" x14ac:dyDescent="0.25">
      <c r="A575" s="5">
        <v>44018</v>
      </c>
      <c r="B575">
        <v>0.1053</v>
      </c>
      <c r="C575">
        <v>0.1154</v>
      </c>
      <c r="D575">
        <v>0.1048</v>
      </c>
      <c r="E575">
        <v>0.1129</v>
      </c>
      <c r="F575">
        <v>1924532.73</v>
      </c>
      <c r="G575">
        <v>0</v>
      </c>
      <c r="L575" t="s">
        <v>8</v>
      </c>
      <c r="M575" t="s">
        <v>7</v>
      </c>
      <c r="N575" t="s">
        <v>7</v>
      </c>
      <c r="P575">
        <f t="shared" si="984"/>
        <v>0.52830188679245238</v>
      </c>
      <c r="Q575">
        <f t="shared" si="985"/>
        <v>1016734.2724528293</v>
      </c>
      <c r="R575">
        <f t="shared" si="986"/>
        <v>-72667913.805711493</v>
      </c>
      <c r="S575">
        <f t="shared" si="987"/>
        <v>-726.67913805711498</v>
      </c>
      <c r="T575">
        <f t="shared" si="988"/>
        <v>-0.72667913805711504</v>
      </c>
    </row>
    <row r="576" spans="1:104" x14ac:dyDescent="0.25">
      <c r="A576" s="5">
        <v>44017</v>
      </c>
      <c r="B576">
        <v>0.1082</v>
      </c>
      <c r="C576">
        <v>0.1082</v>
      </c>
      <c r="D576">
        <v>0.1037</v>
      </c>
      <c r="E576">
        <v>0.1055</v>
      </c>
      <c r="F576">
        <v>1040886.11</v>
      </c>
      <c r="G576">
        <v>0</v>
      </c>
      <c r="L576" t="s">
        <v>7</v>
      </c>
      <c r="M576" t="s">
        <v>7</v>
      </c>
      <c r="N576" t="s">
        <v>7</v>
      </c>
      <c r="P576">
        <f t="shared" si="984"/>
        <v>-0.20000000000000245</v>
      </c>
      <c r="Q576">
        <f t="shared" si="985"/>
        <v>-208177.22200000254</v>
      </c>
      <c r="R576">
        <f t="shared" si="986"/>
        <v>-73684648.078164324</v>
      </c>
      <c r="S576">
        <f t="shared" si="987"/>
        <v>-736.84648078164321</v>
      </c>
      <c r="T576">
        <f t="shared" si="988"/>
        <v>-0.73684648078164316</v>
      </c>
    </row>
    <row r="577" spans="1:20" x14ac:dyDescent="0.25">
      <c r="A577" s="5">
        <v>44016</v>
      </c>
      <c r="B577">
        <v>0.1042</v>
      </c>
      <c r="C577">
        <v>0.1129</v>
      </c>
      <c r="D577">
        <v>0.10390000000000001</v>
      </c>
      <c r="E577">
        <v>0.10829999999999999</v>
      </c>
      <c r="F577">
        <v>1257679.56</v>
      </c>
      <c r="G577">
        <v>0</v>
      </c>
      <c r="L577" t="s">
        <v>8</v>
      </c>
      <c r="M577" t="s">
        <v>7</v>
      </c>
      <c r="N577" t="s">
        <v>7</v>
      </c>
      <c r="P577">
        <f t="shared" si="984"/>
        <v>-2.2222222222224416E-2</v>
      </c>
      <c r="Q577">
        <f t="shared" si="985"/>
        <v>-27948.434666669425</v>
      </c>
      <c r="R577">
        <f t="shared" si="986"/>
        <v>-73476470.856164321</v>
      </c>
      <c r="S577">
        <f t="shared" si="987"/>
        <v>-734.76470856164326</v>
      </c>
      <c r="T577">
        <f t="shared" si="988"/>
        <v>-0.73476470856164322</v>
      </c>
    </row>
    <row r="578" spans="1:20" x14ac:dyDescent="0.25">
      <c r="A578" s="5">
        <v>44015</v>
      </c>
      <c r="B578">
        <v>0.10249999999999999</v>
      </c>
      <c r="C578">
        <v>0.1069</v>
      </c>
      <c r="D578">
        <v>0.1019</v>
      </c>
      <c r="E578">
        <v>0.1043</v>
      </c>
      <c r="F578">
        <v>1199862.94</v>
      </c>
      <c r="G578">
        <v>0</v>
      </c>
      <c r="L578" t="s">
        <v>8</v>
      </c>
      <c r="M578" t="s">
        <v>7</v>
      </c>
      <c r="N578" t="s">
        <v>7</v>
      </c>
      <c r="P578">
        <f t="shared" si="984"/>
        <v>-3.9999999999998447E-2</v>
      </c>
      <c r="Q578">
        <f t="shared" si="985"/>
        <v>-47994.517599998137</v>
      </c>
      <c r="R578">
        <f t="shared" si="986"/>
        <v>-73448522.421497658</v>
      </c>
      <c r="S578">
        <f t="shared" si="987"/>
        <v>-734.4852242149766</v>
      </c>
      <c r="T578">
        <f t="shared" si="988"/>
        <v>-0.73448522421497664</v>
      </c>
    </row>
    <row r="579" spans="1:20" x14ac:dyDescent="0.25">
      <c r="A579" s="5">
        <v>44014</v>
      </c>
      <c r="B579">
        <v>0.1053</v>
      </c>
      <c r="C579">
        <v>0.10630000000000001</v>
      </c>
      <c r="D579">
        <v>9.9400000000000002E-2</v>
      </c>
      <c r="E579">
        <v>0.1022</v>
      </c>
      <c r="F579">
        <v>2259680.79</v>
      </c>
      <c r="G579">
        <v>0</v>
      </c>
      <c r="L579" t="s">
        <v>7</v>
      </c>
      <c r="M579" t="s">
        <v>7</v>
      </c>
      <c r="N579" t="s">
        <v>7</v>
      </c>
      <c r="P579">
        <f t="shared" si="984"/>
        <v>-0.18840579710145056</v>
      </c>
      <c r="Q579">
        <f t="shared" si="985"/>
        <v>-425736.96043478552</v>
      </c>
      <c r="R579">
        <f t="shared" si="986"/>
        <v>-73400527.903897658</v>
      </c>
      <c r="S579">
        <f t="shared" si="987"/>
        <v>-734.0052790389766</v>
      </c>
      <c r="T579">
        <f t="shared" si="988"/>
        <v>-0.73400527903897661</v>
      </c>
    </row>
    <row r="580" spans="1:20" x14ac:dyDescent="0.25">
      <c r="A580" s="5">
        <v>44013</v>
      </c>
      <c r="B580">
        <v>0.1069</v>
      </c>
      <c r="C580">
        <v>0.1087</v>
      </c>
      <c r="D580">
        <v>0.1045</v>
      </c>
      <c r="E580">
        <v>0.1055</v>
      </c>
      <c r="F580">
        <v>1665626.77</v>
      </c>
      <c r="G580">
        <v>0</v>
      </c>
      <c r="L580" t="s">
        <v>7</v>
      </c>
      <c r="M580" t="s">
        <v>7</v>
      </c>
      <c r="N580" t="s">
        <v>8</v>
      </c>
      <c r="P580">
        <f t="shared" si="984"/>
        <v>-0.52380952380952439</v>
      </c>
      <c r="Q580">
        <f t="shared" si="985"/>
        <v>-872471.16523809626</v>
      </c>
      <c r="R580">
        <f t="shared" si="986"/>
        <v>-72974790.943462878</v>
      </c>
      <c r="S580">
        <f t="shared" si="987"/>
        <v>-729.74790943462881</v>
      </c>
      <c r="T580">
        <f t="shared" si="988"/>
        <v>-0.72974790943462886</v>
      </c>
    </row>
    <row r="581" spans="1:20" x14ac:dyDescent="0.25">
      <c r="A581" s="5">
        <v>44012</v>
      </c>
      <c r="B581">
        <v>0.10680000000000001</v>
      </c>
      <c r="C581">
        <v>0.11</v>
      </c>
      <c r="D581">
        <v>0.10589999999999999</v>
      </c>
      <c r="E581">
        <v>0.1071</v>
      </c>
      <c r="F581">
        <v>3032256.25</v>
      </c>
      <c r="G581">
        <v>0</v>
      </c>
      <c r="L581" t="s">
        <v>7</v>
      </c>
      <c r="M581" t="s">
        <v>7</v>
      </c>
      <c r="N581" t="s">
        <v>8</v>
      </c>
      <c r="P581">
        <f t="shared" si="984"/>
        <v>-0.41463414634146112</v>
      </c>
      <c r="Q581">
        <f t="shared" si="985"/>
        <v>-1257276.9817073101</v>
      </c>
      <c r="R581">
        <f t="shared" si="986"/>
        <v>-72102319.778224781</v>
      </c>
      <c r="S581">
        <f t="shared" si="987"/>
        <v>-721.02319778224785</v>
      </c>
      <c r="T581">
        <f t="shared" si="988"/>
        <v>-0.72102319778224788</v>
      </c>
    </row>
    <row r="582" spans="1:20" x14ac:dyDescent="0.25">
      <c r="A582" s="5">
        <v>44011</v>
      </c>
      <c r="B582">
        <v>0.1109</v>
      </c>
      <c r="C582">
        <v>0.11260000000000001</v>
      </c>
      <c r="D582">
        <v>0.1051</v>
      </c>
      <c r="E582">
        <v>0.1069</v>
      </c>
      <c r="F582">
        <v>3553982.42</v>
      </c>
      <c r="G582">
        <v>0</v>
      </c>
      <c r="L582" t="s">
        <v>7</v>
      </c>
      <c r="M582" t="s">
        <v>7</v>
      </c>
      <c r="N582" t="s">
        <v>8</v>
      </c>
      <c r="P582">
        <f t="shared" ref="P582:P645" si="989">IF(C582=D582,0,((E582-D582)-(C582-E582))/(C582-D582))</f>
        <v>-0.52000000000000146</v>
      </c>
      <c r="Q582">
        <f t="shared" ref="Q582:Q645" si="990">F582*P582</f>
        <v>-1848070.8584000051</v>
      </c>
      <c r="R582">
        <f t="shared" ref="R582:R645" si="991">R583+Q582</f>
        <v>-70845042.796517476</v>
      </c>
      <c r="S582">
        <f t="shared" ref="S582:S645" si="992">R582/100000</f>
        <v>-708.45042796517475</v>
      </c>
      <c r="T582">
        <f t="shared" ref="T582:T645" si="993">S582/1000</f>
        <v>-0.70845042796517477</v>
      </c>
    </row>
    <row r="583" spans="1:20" x14ac:dyDescent="0.25">
      <c r="A583" s="5">
        <v>44010</v>
      </c>
      <c r="B583">
        <v>0.1094</v>
      </c>
      <c r="C583">
        <v>0.115</v>
      </c>
      <c r="D583">
        <v>0.10730000000000001</v>
      </c>
      <c r="E583">
        <v>0.1111</v>
      </c>
      <c r="F583">
        <v>5831102.6100000003</v>
      </c>
      <c r="G583">
        <v>0</v>
      </c>
      <c r="L583" t="s">
        <v>7</v>
      </c>
      <c r="M583" t="s">
        <v>7</v>
      </c>
      <c r="N583" t="s">
        <v>8</v>
      </c>
      <c r="P583">
        <f t="shared" si="989"/>
        <v>-1.2987012987013361E-2</v>
      </c>
      <c r="Q583">
        <f t="shared" si="990"/>
        <v>-75728.605324677512</v>
      </c>
      <c r="R583">
        <f t="shared" si="991"/>
        <v>-68996971.938117474</v>
      </c>
      <c r="S583">
        <f t="shared" si="992"/>
        <v>-689.96971938117474</v>
      </c>
      <c r="T583">
        <f t="shared" si="993"/>
        <v>-0.6899697193811748</v>
      </c>
    </row>
    <row r="584" spans="1:20" x14ac:dyDescent="0.25">
      <c r="A584" s="5">
        <v>44009</v>
      </c>
      <c r="B584">
        <v>0.12470000000000001</v>
      </c>
      <c r="C584">
        <v>0.14369999999999999</v>
      </c>
      <c r="D584">
        <v>0.1081</v>
      </c>
      <c r="E584">
        <v>0.1089</v>
      </c>
      <c r="F584">
        <v>30400008.390000001</v>
      </c>
      <c r="G584">
        <v>0</v>
      </c>
      <c r="L584" t="s">
        <v>8</v>
      </c>
      <c r="M584" t="s">
        <v>8</v>
      </c>
      <c r="N584" t="s">
        <v>8</v>
      </c>
      <c r="P584">
        <f t="shared" si="989"/>
        <v>-0.95505617977528112</v>
      </c>
      <c r="Q584">
        <f t="shared" si="990"/>
        <v>-29033715.878089894</v>
      </c>
      <c r="R584">
        <f t="shared" si="991"/>
        <v>-68921243.332792804</v>
      </c>
      <c r="S584">
        <f t="shared" si="992"/>
        <v>-689.21243332792801</v>
      </c>
      <c r="T584">
        <f t="shared" si="993"/>
        <v>-0.68921243332792803</v>
      </c>
    </row>
    <row r="585" spans="1:20" x14ac:dyDescent="0.25">
      <c r="A585" s="5">
        <v>44008</v>
      </c>
      <c r="B585">
        <v>0.1042</v>
      </c>
      <c r="C585">
        <v>0.129</v>
      </c>
      <c r="D585">
        <v>0.10340000000000001</v>
      </c>
      <c r="E585">
        <v>0.12470000000000001</v>
      </c>
      <c r="F585">
        <v>10043335.560000001</v>
      </c>
      <c r="G585">
        <v>0</v>
      </c>
      <c r="L585" t="s">
        <v>8</v>
      </c>
      <c r="M585" t="s">
        <v>8</v>
      </c>
      <c r="N585" t="s">
        <v>7</v>
      </c>
      <c r="P585">
        <f t="shared" si="989"/>
        <v>0.66406250000000011</v>
      </c>
      <c r="Q585">
        <f t="shared" si="990"/>
        <v>6669402.5203125011</v>
      </c>
      <c r="R585">
        <f t="shared" si="991"/>
        <v>-39887527.454702914</v>
      </c>
      <c r="S585">
        <f t="shared" si="992"/>
        <v>-398.87527454702916</v>
      </c>
      <c r="T585">
        <f t="shared" si="993"/>
        <v>-0.39887527454702915</v>
      </c>
    </row>
    <row r="586" spans="1:20" x14ac:dyDescent="0.25">
      <c r="A586" s="5">
        <v>44007</v>
      </c>
      <c r="B586">
        <v>0.1033</v>
      </c>
      <c r="C586">
        <v>0.1052</v>
      </c>
      <c r="D586">
        <v>9.8400000000000001E-2</v>
      </c>
      <c r="E586">
        <v>0.10440000000000001</v>
      </c>
      <c r="F586">
        <v>1232366.81</v>
      </c>
      <c r="G586">
        <v>0</v>
      </c>
      <c r="L586" t="s">
        <v>7</v>
      </c>
      <c r="M586" t="s">
        <v>8</v>
      </c>
      <c r="N586" t="s">
        <v>7</v>
      </c>
      <c r="P586">
        <f t="shared" si="989"/>
        <v>0.76470588235294257</v>
      </c>
      <c r="Q586">
        <f t="shared" si="990"/>
        <v>942398.14882353111</v>
      </c>
      <c r="R586">
        <f t="shared" si="991"/>
        <v>-46556929.975015417</v>
      </c>
      <c r="S586">
        <f t="shared" si="992"/>
        <v>-465.56929975015419</v>
      </c>
      <c r="T586">
        <f t="shared" si="993"/>
        <v>-0.46556929975015421</v>
      </c>
    </row>
    <row r="587" spans="1:20" x14ac:dyDescent="0.25">
      <c r="A587" s="5">
        <v>44006</v>
      </c>
      <c r="B587">
        <v>0.1084</v>
      </c>
      <c r="C587">
        <v>0.1101</v>
      </c>
      <c r="D587">
        <v>0.1003</v>
      </c>
      <c r="E587">
        <v>0.10340000000000001</v>
      </c>
      <c r="F587">
        <v>1769502.19</v>
      </c>
      <c r="G587">
        <v>0</v>
      </c>
      <c r="L587" t="s">
        <v>7</v>
      </c>
      <c r="M587" t="s">
        <v>8</v>
      </c>
      <c r="N587" t="s">
        <v>7</v>
      </c>
      <c r="P587">
        <f t="shared" si="989"/>
        <v>-0.36734693877550928</v>
      </c>
      <c r="Q587">
        <f t="shared" si="990"/>
        <v>-650021.21265305951</v>
      </c>
      <c r="R587">
        <f t="shared" si="991"/>
        <v>-47499328.123838946</v>
      </c>
      <c r="S587">
        <f t="shared" si="992"/>
        <v>-474.99328123838944</v>
      </c>
      <c r="T587">
        <f t="shared" si="993"/>
        <v>-0.47499328123838946</v>
      </c>
    </row>
    <row r="588" spans="1:20" x14ac:dyDescent="0.25">
      <c r="A588" s="5">
        <v>44005</v>
      </c>
      <c r="B588">
        <v>0.1043</v>
      </c>
      <c r="C588">
        <v>0.114</v>
      </c>
      <c r="D588">
        <v>0.1028</v>
      </c>
      <c r="E588">
        <v>0.1085</v>
      </c>
      <c r="F588">
        <v>3508716.72</v>
      </c>
      <c r="G588">
        <v>0</v>
      </c>
      <c r="L588" t="s">
        <v>8</v>
      </c>
      <c r="M588" t="s">
        <v>8</v>
      </c>
      <c r="N588" t="s">
        <v>7</v>
      </c>
      <c r="P588">
        <f t="shared" si="989"/>
        <v>1.7857142857142128E-2</v>
      </c>
      <c r="Q588">
        <f t="shared" si="990"/>
        <v>62655.655714283159</v>
      </c>
      <c r="R588">
        <f t="shared" si="991"/>
        <v>-46849306.91118589</v>
      </c>
      <c r="S588">
        <f t="shared" si="992"/>
        <v>-468.49306911185892</v>
      </c>
      <c r="T588">
        <f t="shared" si="993"/>
        <v>-0.4684930691118589</v>
      </c>
    </row>
    <row r="589" spans="1:20" x14ac:dyDescent="0.25">
      <c r="A589" s="5">
        <v>44004</v>
      </c>
      <c r="B589">
        <v>0.10100000000000001</v>
      </c>
      <c r="C589">
        <v>0.1055</v>
      </c>
      <c r="D589">
        <v>0.10100000000000001</v>
      </c>
      <c r="E589">
        <v>0.1042</v>
      </c>
      <c r="F589">
        <v>945122.37</v>
      </c>
      <c r="G589">
        <v>0</v>
      </c>
      <c r="L589" t="s">
        <v>7</v>
      </c>
      <c r="M589" t="s">
        <v>7</v>
      </c>
      <c r="N589" t="s">
        <v>7</v>
      </c>
      <c r="P589">
        <f t="shared" si="989"/>
        <v>0.42222222222222289</v>
      </c>
      <c r="Q589">
        <f t="shared" si="990"/>
        <v>399051.66733333399</v>
      </c>
      <c r="R589">
        <f t="shared" si="991"/>
        <v>-46911962.566900171</v>
      </c>
      <c r="S589">
        <f t="shared" si="992"/>
        <v>-469.11962566900172</v>
      </c>
      <c r="T589">
        <f t="shared" si="993"/>
        <v>-0.46911962566900173</v>
      </c>
    </row>
    <row r="590" spans="1:20" x14ac:dyDescent="0.25">
      <c r="A590" s="5">
        <v>44003</v>
      </c>
      <c r="B590">
        <v>0.10390000000000001</v>
      </c>
      <c r="C590">
        <v>0.1042</v>
      </c>
      <c r="D590">
        <v>0.10100000000000001</v>
      </c>
      <c r="E590">
        <v>0.10150000000000001</v>
      </c>
      <c r="F590">
        <v>917216.12</v>
      </c>
      <c r="G590">
        <v>0</v>
      </c>
      <c r="L590" t="s">
        <v>7</v>
      </c>
      <c r="M590" t="s">
        <v>7</v>
      </c>
      <c r="N590" t="s">
        <v>7</v>
      </c>
      <c r="P590">
        <f t="shared" si="989"/>
        <v>-0.68749999999999922</v>
      </c>
      <c r="Q590">
        <f t="shared" si="990"/>
        <v>-630586.08249999932</v>
      </c>
      <c r="R590">
        <f t="shared" si="991"/>
        <v>-47311014.234233506</v>
      </c>
      <c r="S590">
        <f t="shared" si="992"/>
        <v>-473.11014234233505</v>
      </c>
      <c r="T590">
        <f t="shared" si="993"/>
        <v>-0.47311014234233506</v>
      </c>
    </row>
    <row r="591" spans="1:20" x14ac:dyDescent="0.25">
      <c r="A591" s="5">
        <v>44002</v>
      </c>
      <c r="B591">
        <v>0.1004</v>
      </c>
      <c r="C591">
        <v>0.106</v>
      </c>
      <c r="D591">
        <v>9.98E-2</v>
      </c>
      <c r="E591">
        <v>0.10390000000000001</v>
      </c>
      <c r="F591">
        <v>1314954.19</v>
      </c>
      <c r="G591">
        <v>0</v>
      </c>
      <c r="L591" t="s">
        <v>7</v>
      </c>
      <c r="M591" t="s">
        <v>7</v>
      </c>
      <c r="N591" t="s">
        <v>7</v>
      </c>
      <c r="P591">
        <f t="shared" si="989"/>
        <v>0.32258064516129298</v>
      </c>
      <c r="Q591">
        <f t="shared" si="990"/>
        <v>424178.7709677454</v>
      </c>
      <c r="R591">
        <f t="shared" si="991"/>
        <v>-46680428.15173351</v>
      </c>
      <c r="S591">
        <f t="shared" si="992"/>
        <v>-466.80428151733508</v>
      </c>
      <c r="T591">
        <f t="shared" si="993"/>
        <v>-0.46680428151733511</v>
      </c>
    </row>
    <row r="592" spans="1:20" x14ac:dyDescent="0.25">
      <c r="A592" s="5">
        <v>44001</v>
      </c>
      <c r="B592">
        <v>0.10539999999999999</v>
      </c>
      <c r="C592">
        <v>0.10539999999999999</v>
      </c>
      <c r="D592">
        <v>9.98E-2</v>
      </c>
      <c r="E592">
        <v>0.1004</v>
      </c>
      <c r="F592">
        <v>806631.78</v>
      </c>
      <c r="G592">
        <v>0</v>
      </c>
      <c r="L592" t="s">
        <v>7</v>
      </c>
      <c r="M592" t="s">
        <v>7</v>
      </c>
      <c r="N592" t="s">
        <v>7</v>
      </c>
      <c r="P592">
        <f t="shared" si="989"/>
        <v>-0.78571428571428426</v>
      </c>
      <c r="Q592">
        <f t="shared" si="990"/>
        <v>-633782.11285714165</v>
      </c>
      <c r="R592">
        <f t="shared" si="991"/>
        <v>-47104606.922701254</v>
      </c>
      <c r="S592">
        <f t="shared" si="992"/>
        <v>-471.04606922701254</v>
      </c>
      <c r="T592">
        <f t="shared" si="993"/>
        <v>-0.47104606922701253</v>
      </c>
    </row>
    <row r="593" spans="1:20" x14ac:dyDescent="0.25">
      <c r="A593" s="5">
        <v>44000</v>
      </c>
      <c r="B593">
        <v>0.1067</v>
      </c>
      <c r="C593">
        <v>0.1076</v>
      </c>
      <c r="D593">
        <v>0.10390000000000001</v>
      </c>
      <c r="E593">
        <v>0.10539999999999999</v>
      </c>
      <c r="F593">
        <v>679155.43</v>
      </c>
      <c r="G593">
        <v>0</v>
      </c>
      <c r="L593" t="s">
        <v>8</v>
      </c>
      <c r="M593" t="s">
        <v>7</v>
      </c>
      <c r="N593" t="s">
        <v>7</v>
      </c>
      <c r="P593">
        <f t="shared" si="989"/>
        <v>-0.18918918918919486</v>
      </c>
      <c r="Q593">
        <f t="shared" si="990"/>
        <v>-128488.865135139</v>
      </c>
      <c r="R593">
        <f t="shared" si="991"/>
        <v>-46470824.809844114</v>
      </c>
      <c r="S593">
        <f t="shared" si="992"/>
        <v>-464.70824809844112</v>
      </c>
      <c r="T593">
        <f t="shared" si="993"/>
        <v>-0.46470824809844113</v>
      </c>
    </row>
    <row r="594" spans="1:20" x14ac:dyDescent="0.25">
      <c r="A594" s="5">
        <v>43999</v>
      </c>
      <c r="B594">
        <v>0.1042</v>
      </c>
      <c r="C594">
        <v>0.1072</v>
      </c>
      <c r="D594">
        <v>0.1023</v>
      </c>
      <c r="E594">
        <v>0.10680000000000001</v>
      </c>
      <c r="F594">
        <v>1211196.83</v>
      </c>
      <c r="G594">
        <v>0</v>
      </c>
      <c r="L594" t="s">
        <v>8</v>
      </c>
      <c r="M594" t="s">
        <v>7</v>
      </c>
      <c r="N594" t="s">
        <v>7</v>
      </c>
      <c r="P594">
        <f t="shared" si="989"/>
        <v>0.83673469387755206</v>
      </c>
      <c r="Q594">
        <f t="shared" si="990"/>
        <v>1013450.4087755115</v>
      </c>
      <c r="R594">
        <f t="shared" si="991"/>
        <v>-46342335.944708973</v>
      </c>
      <c r="S594">
        <f t="shared" si="992"/>
        <v>-463.42335944708975</v>
      </c>
      <c r="T594">
        <f t="shared" si="993"/>
        <v>-0.46342335944708973</v>
      </c>
    </row>
    <row r="595" spans="1:20" x14ac:dyDescent="0.25">
      <c r="A595" s="5">
        <v>43998</v>
      </c>
      <c r="B595">
        <v>0.1021</v>
      </c>
      <c r="C595">
        <v>0.10489999999999999</v>
      </c>
      <c r="D595">
        <v>0.1011</v>
      </c>
      <c r="E595">
        <v>0.1042</v>
      </c>
      <c r="F595">
        <v>1008547.44</v>
      </c>
      <c r="G595">
        <v>0</v>
      </c>
      <c r="L595" t="s">
        <v>8</v>
      </c>
      <c r="M595" t="s">
        <v>7</v>
      </c>
      <c r="N595" t="s">
        <v>7</v>
      </c>
      <c r="P595">
        <f t="shared" si="989"/>
        <v>0.6315789473684249</v>
      </c>
      <c r="Q595">
        <f t="shared" si="990"/>
        <v>636977.33052631968</v>
      </c>
      <c r="R595">
        <f t="shared" si="991"/>
        <v>-47355786.353484482</v>
      </c>
      <c r="S595">
        <f t="shared" si="992"/>
        <v>-473.55786353484484</v>
      </c>
      <c r="T595">
        <f t="shared" si="993"/>
        <v>-0.47355786353484486</v>
      </c>
    </row>
    <row r="596" spans="1:20" x14ac:dyDescent="0.25">
      <c r="A596" s="5">
        <v>43997</v>
      </c>
      <c r="B596">
        <v>0.1037</v>
      </c>
      <c r="C596">
        <v>0.1041</v>
      </c>
      <c r="D596">
        <v>9.2299999999999993E-2</v>
      </c>
      <c r="E596">
        <v>0.1021</v>
      </c>
      <c r="F596">
        <v>1879471.2</v>
      </c>
      <c r="G596">
        <v>0</v>
      </c>
      <c r="L596" t="s">
        <v>7</v>
      </c>
      <c r="M596" t="s">
        <v>7</v>
      </c>
      <c r="N596" t="s">
        <v>7</v>
      </c>
      <c r="P596">
        <f t="shared" si="989"/>
        <v>0.66101694915254217</v>
      </c>
      <c r="Q596">
        <f t="shared" si="990"/>
        <v>1242362.3186440673</v>
      </c>
      <c r="R596">
        <f t="shared" si="991"/>
        <v>-47992763.684010804</v>
      </c>
      <c r="S596">
        <f t="shared" si="992"/>
        <v>-479.92763684010805</v>
      </c>
      <c r="T596">
        <f t="shared" si="993"/>
        <v>-0.47992763684010803</v>
      </c>
    </row>
    <row r="597" spans="1:20" x14ac:dyDescent="0.25">
      <c r="A597" s="5">
        <v>43996</v>
      </c>
      <c r="B597">
        <v>0.10440000000000001</v>
      </c>
      <c r="C597">
        <v>0.1079</v>
      </c>
      <c r="D597">
        <v>0.1027</v>
      </c>
      <c r="E597">
        <v>0.1037</v>
      </c>
      <c r="F597">
        <v>3020691.69</v>
      </c>
      <c r="G597">
        <v>0</v>
      </c>
      <c r="L597" t="s">
        <v>8</v>
      </c>
      <c r="M597" t="s">
        <v>7</v>
      </c>
      <c r="N597" t="s">
        <v>7</v>
      </c>
      <c r="P597">
        <f t="shared" si="989"/>
        <v>-0.61538461538461475</v>
      </c>
      <c r="Q597">
        <f t="shared" si="990"/>
        <v>-1858887.1938461519</v>
      </c>
      <c r="R597">
        <f t="shared" si="991"/>
        <v>-49235126.002654873</v>
      </c>
      <c r="S597">
        <f t="shared" si="992"/>
        <v>-492.35126002654874</v>
      </c>
      <c r="T597">
        <f t="shared" si="993"/>
        <v>-0.49235126002654872</v>
      </c>
    </row>
    <row r="598" spans="1:20" x14ac:dyDescent="0.25">
      <c r="A598" s="5">
        <v>43995</v>
      </c>
      <c r="B598">
        <v>0.10580000000000001</v>
      </c>
      <c r="C598">
        <v>0.107</v>
      </c>
      <c r="D598">
        <v>0.104</v>
      </c>
      <c r="E598">
        <v>0.1043</v>
      </c>
      <c r="F598">
        <v>1293257.56</v>
      </c>
      <c r="G598">
        <v>0</v>
      </c>
      <c r="L598" t="s">
        <v>8</v>
      </c>
      <c r="M598" t="s">
        <v>7</v>
      </c>
      <c r="N598" t="s">
        <v>7</v>
      </c>
      <c r="P598">
        <f t="shared" si="989"/>
        <v>-0.79999999999999449</v>
      </c>
      <c r="Q598">
        <f t="shared" si="990"/>
        <v>-1034606.047999993</v>
      </c>
      <c r="R598">
        <f t="shared" si="991"/>
        <v>-47376238.808808722</v>
      </c>
      <c r="S598">
        <f t="shared" si="992"/>
        <v>-473.76238808808722</v>
      </c>
      <c r="T598">
        <f t="shared" si="993"/>
        <v>-0.47376238808808724</v>
      </c>
    </row>
    <row r="599" spans="1:20" x14ac:dyDescent="0.25">
      <c r="A599" s="5">
        <v>43994</v>
      </c>
      <c r="B599">
        <v>9.7900000000000001E-2</v>
      </c>
      <c r="C599">
        <v>0.1069</v>
      </c>
      <c r="D599">
        <v>9.7500000000000003E-2</v>
      </c>
      <c r="E599">
        <v>0.1062</v>
      </c>
      <c r="F599">
        <v>2256516.4500000002</v>
      </c>
      <c r="G599">
        <v>0</v>
      </c>
      <c r="L599" t="s">
        <v>8</v>
      </c>
      <c r="M599" t="s">
        <v>7</v>
      </c>
      <c r="N599" t="s">
        <v>7</v>
      </c>
      <c r="P599">
        <f t="shared" si="989"/>
        <v>0.8510638297872356</v>
      </c>
      <c r="Q599">
        <f t="shared" si="990"/>
        <v>1920439.5319148973</v>
      </c>
      <c r="R599">
        <f t="shared" si="991"/>
        <v>-46341632.760808729</v>
      </c>
      <c r="S599">
        <f t="shared" si="992"/>
        <v>-463.41632760808727</v>
      </c>
      <c r="T599">
        <f t="shared" si="993"/>
        <v>-0.46341632760808726</v>
      </c>
    </row>
    <row r="600" spans="1:20" x14ac:dyDescent="0.25">
      <c r="A600" s="5">
        <v>43993</v>
      </c>
      <c r="B600">
        <v>0.11600000000000001</v>
      </c>
      <c r="C600">
        <v>0.11890000000000001</v>
      </c>
      <c r="D600">
        <v>9.7299999999999998E-2</v>
      </c>
      <c r="E600">
        <v>9.8400000000000001E-2</v>
      </c>
      <c r="F600">
        <v>2675180.14</v>
      </c>
      <c r="G600">
        <v>0</v>
      </c>
      <c r="L600" t="s">
        <v>7</v>
      </c>
      <c r="M600" t="s">
        <v>7</v>
      </c>
      <c r="N600" t="s">
        <v>7</v>
      </c>
      <c r="P600">
        <f t="shared" si="989"/>
        <v>-0.89814814814814781</v>
      </c>
      <c r="Q600">
        <f t="shared" si="990"/>
        <v>-2402708.0887037031</v>
      </c>
      <c r="R600">
        <f t="shared" si="991"/>
        <v>-48262072.292723626</v>
      </c>
      <c r="S600">
        <f t="shared" si="992"/>
        <v>-482.62072292723627</v>
      </c>
      <c r="T600">
        <f t="shared" si="993"/>
        <v>-0.48262072292723629</v>
      </c>
    </row>
    <row r="601" spans="1:20" x14ac:dyDescent="0.25">
      <c r="A601" s="5">
        <v>43992</v>
      </c>
      <c r="B601">
        <v>0.1195</v>
      </c>
      <c r="C601">
        <v>0.1229</v>
      </c>
      <c r="D601">
        <v>0.113</v>
      </c>
      <c r="E601">
        <v>0.1159</v>
      </c>
      <c r="F601">
        <v>1978644.59</v>
      </c>
      <c r="G601">
        <v>0</v>
      </c>
      <c r="L601" t="s">
        <v>8</v>
      </c>
      <c r="M601" t="s">
        <v>7</v>
      </c>
      <c r="N601" t="s">
        <v>7</v>
      </c>
      <c r="P601">
        <f t="shared" si="989"/>
        <v>-0.4141414141414137</v>
      </c>
      <c r="Q601">
        <f t="shared" si="990"/>
        <v>-819438.66858585773</v>
      </c>
      <c r="R601">
        <f t="shared" si="991"/>
        <v>-45859364.204019926</v>
      </c>
      <c r="S601">
        <f t="shared" si="992"/>
        <v>-458.59364204019926</v>
      </c>
      <c r="T601">
        <f t="shared" si="993"/>
        <v>-0.45859364204019926</v>
      </c>
    </row>
    <row r="602" spans="1:20" x14ac:dyDescent="0.25">
      <c r="A602" s="5">
        <v>43991</v>
      </c>
      <c r="B602">
        <v>0.11509999999999999</v>
      </c>
      <c r="C602">
        <v>0.1211</v>
      </c>
      <c r="D602">
        <v>0.11360000000000001</v>
      </c>
      <c r="E602">
        <v>0.1203</v>
      </c>
      <c r="F602">
        <v>1493459.32</v>
      </c>
      <c r="G602">
        <v>0</v>
      </c>
      <c r="L602" t="s">
        <v>8</v>
      </c>
      <c r="M602" t="s">
        <v>7</v>
      </c>
      <c r="N602" t="s">
        <v>7</v>
      </c>
      <c r="P602">
        <f t="shared" si="989"/>
        <v>0.78666666666666774</v>
      </c>
      <c r="Q602">
        <f t="shared" si="990"/>
        <v>1174854.6650666683</v>
      </c>
      <c r="R602">
        <f t="shared" si="991"/>
        <v>-45039925.535434067</v>
      </c>
      <c r="S602">
        <f t="shared" si="992"/>
        <v>-450.39925535434065</v>
      </c>
      <c r="T602">
        <f t="shared" si="993"/>
        <v>-0.45039925535434067</v>
      </c>
    </row>
    <row r="603" spans="1:20" x14ac:dyDescent="0.25">
      <c r="A603" s="5">
        <v>43990</v>
      </c>
      <c r="B603">
        <v>0.1168</v>
      </c>
      <c r="C603">
        <v>0.1193</v>
      </c>
      <c r="D603">
        <v>0.11459999999999999</v>
      </c>
      <c r="E603">
        <v>0.1152</v>
      </c>
      <c r="F603">
        <v>1921271.42</v>
      </c>
      <c r="G603">
        <v>0</v>
      </c>
      <c r="L603" t="s">
        <v>8</v>
      </c>
      <c r="M603" t="s">
        <v>7</v>
      </c>
      <c r="N603" t="s">
        <v>7</v>
      </c>
      <c r="P603">
        <f t="shared" si="989"/>
        <v>-0.74468085106382886</v>
      </c>
      <c r="Q603">
        <f t="shared" si="990"/>
        <v>-1430734.0361702109</v>
      </c>
      <c r="R603">
        <f t="shared" si="991"/>
        <v>-46214780.200500734</v>
      </c>
      <c r="S603">
        <f t="shared" si="992"/>
        <v>-462.14780200500735</v>
      </c>
      <c r="T603">
        <f t="shared" si="993"/>
        <v>-0.46214780200500732</v>
      </c>
    </row>
    <row r="604" spans="1:20" x14ac:dyDescent="0.25">
      <c r="A604" s="5">
        <v>43989</v>
      </c>
      <c r="B604">
        <v>0.1114</v>
      </c>
      <c r="C604">
        <v>0.11840000000000001</v>
      </c>
      <c r="D604">
        <v>0.1105</v>
      </c>
      <c r="E604">
        <v>0.1168</v>
      </c>
      <c r="F604">
        <v>3570593.83</v>
      </c>
      <c r="G604">
        <v>0</v>
      </c>
      <c r="L604" t="s">
        <v>7</v>
      </c>
      <c r="M604" t="s">
        <v>7</v>
      </c>
      <c r="N604" t="s">
        <v>7</v>
      </c>
      <c r="P604">
        <f t="shared" si="989"/>
        <v>0.59493670886075867</v>
      </c>
      <c r="Q604">
        <f t="shared" si="990"/>
        <v>2124277.3418987314</v>
      </c>
      <c r="R604">
        <f t="shared" si="991"/>
        <v>-44784046.16433052</v>
      </c>
      <c r="S604">
        <f t="shared" si="992"/>
        <v>-447.84046164330522</v>
      </c>
      <c r="T604">
        <f t="shared" si="993"/>
        <v>-0.44784046164330521</v>
      </c>
    </row>
    <row r="605" spans="1:20" x14ac:dyDescent="0.25">
      <c r="A605" s="5">
        <v>43988</v>
      </c>
      <c r="B605">
        <v>0.1075</v>
      </c>
      <c r="C605">
        <v>0.12039999999999999</v>
      </c>
      <c r="D605">
        <v>0.1071</v>
      </c>
      <c r="E605">
        <v>0.1114</v>
      </c>
      <c r="F605">
        <v>3796580.78</v>
      </c>
      <c r="G605">
        <v>0</v>
      </c>
      <c r="L605" t="s">
        <v>8</v>
      </c>
      <c r="M605" t="s">
        <v>7</v>
      </c>
      <c r="N605" t="s">
        <v>7</v>
      </c>
      <c r="P605">
        <f t="shared" si="989"/>
        <v>-0.35338345864661641</v>
      </c>
      <c r="Q605">
        <f t="shared" si="990"/>
        <v>-1341648.8470676686</v>
      </c>
      <c r="R605">
        <f t="shared" si="991"/>
        <v>-46908323.506229252</v>
      </c>
      <c r="S605">
        <f t="shared" si="992"/>
        <v>-469.08323506229254</v>
      </c>
      <c r="T605">
        <f t="shared" si="993"/>
        <v>-0.46908323506229255</v>
      </c>
    </row>
    <row r="606" spans="1:20" x14ac:dyDescent="0.25">
      <c r="A606" s="5">
        <v>43987</v>
      </c>
      <c r="B606">
        <v>0.1105</v>
      </c>
      <c r="C606">
        <v>0.1124</v>
      </c>
      <c r="D606">
        <v>0.1076</v>
      </c>
      <c r="E606">
        <v>0.1079</v>
      </c>
      <c r="F606">
        <v>1860591.47</v>
      </c>
      <c r="G606">
        <v>0</v>
      </c>
      <c r="L606" t="s">
        <v>7</v>
      </c>
      <c r="M606" t="s">
        <v>7</v>
      </c>
      <c r="N606" t="s">
        <v>7</v>
      </c>
      <c r="P606">
        <f t="shared" si="989"/>
        <v>-0.87500000000000222</v>
      </c>
      <c r="Q606">
        <f t="shared" si="990"/>
        <v>-1628017.5362500041</v>
      </c>
      <c r="R606">
        <f t="shared" si="991"/>
        <v>-45566674.659161583</v>
      </c>
      <c r="S606">
        <f t="shared" si="992"/>
        <v>-455.66674659161583</v>
      </c>
      <c r="T606">
        <f t="shared" si="993"/>
        <v>-0.45566674659161582</v>
      </c>
    </row>
    <row r="607" spans="1:20" x14ac:dyDescent="0.25">
      <c r="A607" s="5">
        <v>43986</v>
      </c>
      <c r="B607">
        <v>0.1198</v>
      </c>
      <c r="C607">
        <v>0.1206</v>
      </c>
      <c r="D607">
        <v>0.1096</v>
      </c>
      <c r="E607">
        <v>0.1105</v>
      </c>
      <c r="F607">
        <v>8113242.9800000004</v>
      </c>
      <c r="G607">
        <v>0</v>
      </c>
      <c r="L607" t="s">
        <v>7</v>
      </c>
      <c r="M607" t="s">
        <v>7</v>
      </c>
      <c r="N607" t="s">
        <v>7</v>
      </c>
      <c r="P607">
        <f t="shared" si="989"/>
        <v>-0.83636363636363664</v>
      </c>
      <c r="Q607">
        <f t="shared" si="990"/>
        <v>-6785621.4014545484</v>
      </c>
      <c r="R607">
        <f t="shared" si="991"/>
        <v>-43938657.12291158</v>
      </c>
      <c r="S607">
        <f t="shared" si="992"/>
        <v>-439.38657122911582</v>
      </c>
      <c r="T607">
        <f t="shared" si="993"/>
        <v>-0.43938657122911584</v>
      </c>
    </row>
    <row r="608" spans="1:20" x14ac:dyDescent="0.25">
      <c r="A608" s="5">
        <v>43985</v>
      </c>
      <c r="B608">
        <v>0.10489999999999999</v>
      </c>
      <c r="C608">
        <v>0.33</v>
      </c>
      <c r="D608">
        <v>0.1028</v>
      </c>
      <c r="E608">
        <v>0.1196</v>
      </c>
      <c r="F608">
        <v>16542669.789999999</v>
      </c>
      <c r="G608">
        <v>0</v>
      </c>
      <c r="L608" t="s">
        <v>8</v>
      </c>
      <c r="M608" t="s">
        <v>8</v>
      </c>
      <c r="N608" t="s">
        <v>8</v>
      </c>
      <c r="P608">
        <f t="shared" si="989"/>
        <v>-0.85211267605633823</v>
      </c>
      <c r="Q608">
        <f t="shared" si="990"/>
        <v>-14096218.623873241</v>
      </c>
      <c r="R608">
        <f t="shared" si="991"/>
        <v>-37153035.721457034</v>
      </c>
      <c r="S608">
        <f t="shared" si="992"/>
        <v>-371.53035721457036</v>
      </c>
      <c r="T608">
        <f t="shared" si="993"/>
        <v>-0.37153035721457034</v>
      </c>
    </row>
    <row r="609" spans="1:20" x14ac:dyDescent="0.25">
      <c r="A609" s="5">
        <v>43984</v>
      </c>
      <c r="B609">
        <v>0.1051</v>
      </c>
      <c r="C609">
        <v>0.1123</v>
      </c>
      <c r="D609">
        <v>9.8599999999999993E-2</v>
      </c>
      <c r="E609">
        <v>0.1052</v>
      </c>
      <c r="F609">
        <v>3104177.24</v>
      </c>
      <c r="G609">
        <v>0</v>
      </c>
      <c r="L609" t="s">
        <v>8</v>
      </c>
      <c r="M609" t="s">
        <v>7</v>
      </c>
      <c r="N609" t="s">
        <v>7</v>
      </c>
      <c r="P609">
        <f t="shared" si="989"/>
        <v>-3.6496350364962515E-2</v>
      </c>
      <c r="Q609">
        <f t="shared" si="990"/>
        <v>-113291.14014598234</v>
      </c>
      <c r="R609">
        <f t="shared" si="991"/>
        <v>-23056817.097583797</v>
      </c>
      <c r="S609">
        <f t="shared" si="992"/>
        <v>-230.56817097583797</v>
      </c>
      <c r="T609">
        <f t="shared" si="993"/>
        <v>-0.23056817097583798</v>
      </c>
    </row>
    <row r="610" spans="1:20" x14ac:dyDescent="0.25">
      <c r="A610" s="5">
        <v>43983</v>
      </c>
      <c r="B610">
        <v>0.10050000000000001</v>
      </c>
      <c r="C610">
        <v>0.108</v>
      </c>
      <c r="D610">
        <v>0.10009999999999999</v>
      </c>
      <c r="E610">
        <v>0.1047</v>
      </c>
      <c r="F610">
        <v>2232759.9500000002</v>
      </c>
      <c r="G610">
        <v>0</v>
      </c>
      <c r="L610" t="s">
        <v>8</v>
      </c>
      <c r="M610" t="s">
        <v>7</v>
      </c>
      <c r="N610" t="s">
        <v>7</v>
      </c>
      <c r="P610">
        <f t="shared" si="989"/>
        <v>0.16455696202531755</v>
      </c>
      <c r="Q610">
        <f t="shared" si="990"/>
        <v>367416.19430379994</v>
      </c>
      <c r="R610">
        <f t="shared" si="991"/>
        <v>-22943525.957437813</v>
      </c>
      <c r="S610">
        <f t="shared" si="992"/>
        <v>-229.43525957437814</v>
      </c>
      <c r="T610">
        <f t="shared" si="993"/>
        <v>-0.22943525957437813</v>
      </c>
    </row>
    <row r="611" spans="1:20" x14ac:dyDescent="0.25">
      <c r="A611" s="5">
        <v>43982</v>
      </c>
      <c r="B611">
        <v>0.1056</v>
      </c>
      <c r="C611">
        <v>0.1086</v>
      </c>
      <c r="D611">
        <v>0.1002</v>
      </c>
      <c r="E611">
        <v>0.1011</v>
      </c>
      <c r="F611">
        <v>2217363.2799999998</v>
      </c>
      <c r="G611">
        <v>0</v>
      </c>
      <c r="L611" t="s">
        <v>7</v>
      </c>
      <c r="M611" t="s">
        <v>7</v>
      </c>
      <c r="N611" t="s">
        <v>7</v>
      </c>
      <c r="P611">
        <f t="shared" si="989"/>
        <v>-0.78571428571428625</v>
      </c>
      <c r="Q611">
        <f t="shared" si="990"/>
        <v>-1742214.0057142868</v>
      </c>
      <c r="R611">
        <f t="shared" si="991"/>
        <v>-23310942.151741613</v>
      </c>
      <c r="S611">
        <f t="shared" si="992"/>
        <v>-233.10942151741614</v>
      </c>
      <c r="T611">
        <f t="shared" si="993"/>
        <v>-0.23310942151741615</v>
      </c>
    </row>
    <row r="612" spans="1:20" x14ac:dyDescent="0.25">
      <c r="A612" s="5">
        <v>43981</v>
      </c>
      <c r="B612">
        <v>0.1047</v>
      </c>
      <c r="C612">
        <v>0.11</v>
      </c>
      <c r="D612">
        <v>0.1022</v>
      </c>
      <c r="E612">
        <v>0.1061</v>
      </c>
      <c r="F612">
        <v>3774719.7</v>
      </c>
      <c r="G612">
        <v>0</v>
      </c>
      <c r="L612" t="s">
        <v>7</v>
      </c>
      <c r="M612" t="s">
        <v>7</v>
      </c>
      <c r="N612" t="s">
        <v>8</v>
      </c>
      <c r="P612">
        <f t="shared" si="989"/>
        <v>0</v>
      </c>
      <c r="Q612">
        <f t="shared" si="990"/>
        <v>0</v>
      </c>
      <c r="R612">
        <f t="shared" si="991"/>
        <v>-21568728.146027327</v>
      </c>
      <c r="S612">
        <f t="shared" si="992"/>
        <v>-215.68728146027325</v>
      </c>
      <c r="T612">
        <f t="shared" si="993"/>
        <v>-0.21568728146027324</v>
      </c>
    </row>
    <row r="613" spans="1:20" x14ac:dyDescent="0.25">
      <c r="A613" s="5">
        <v>43980</v>
      </c>
      <c r="B613">
        <v>0.1258</v>
      </c>
      <c r="C613">
        <v>0.1346</v>
      </c>
      <c r="D613">
        <v>0.1026</v>
      </c>
      <c r="E613">
        <v>0.1047</v>
      </c>
      <c r="F613">
        <v>8883319.4800000004</v>
      </c>
      <c r="G613">
        <v>0</v>
      </c>
      <c r="L613" t="s">
        <v>7</v>
      </c>
      <c r="M613" t="s">
        <v>7</v>
      </c>
      <c r="N613" t="s">
        <v>8</v>
      </c>
      <c r="P613">
        <f t="shared" si="989"/>
        <v>-0.86874999999999969</v>
      </c>
      <c r="Q613">
        <f t="shared" si="990"/>
        <v>-7717383.7982499972</v>
      </c>
      <c r="R613">
        <f t="shared" si="991"/>
        <v>-21568728.146027327</v>
      </c>
      <c r="S613">
        <f t="shared" si="992"/>
        <v>-215.68728146027325</v>
      </c>
      <c r="T613">
        <f t="shared" si="993"/>
        <v>-0.21568728146027324</v>
      </c>
    </row>
    <row r="614" spans="1:20" x14ac:dyDescent="0.25">
      <c r="A614" s="5">
        <v>43979</v>
      </c>
      <c r="B614">
        <v>9.4399999999999998E-2</v>
      </c>
      <c r="C614">
        <v>0.14499999999999999</v>
      </c>
      <c r="D614">
        <v>9.4100000000000003E-2</v>
      </c>
      <c r="E614">
        <v>0.1258</v>
      </c>
      <c r="F614">
        <v>16777201.140000001</v>
      </c>
      <c r="G614">
        <v>0</v>
      </c>
      <c r="L614" t="s">
        <v>8</v>
      </c>
      <c r="M614" t="s">
        <v>8</v>
      </c>
      <c r="N614" t="s">
        <v>8</v>
      </c>
      <c r="P614">
        <f t="shared" si="989"/>
        <v>0.24557956777996071</v>
      </c>
      <c r="Q614">
        <f t="shared" si="990"/>
        <v>4120137.8045186643</v>
      </c>
      <c r="R614">
        <f t="shared" si="991"/>
        <v>-13851344.347777331</v>
      </c>
      <c r="S614">
        <f t="shared" si="992"/>
        <v>-138.51344347777331</v>
      </c>
      <c r="T614">
        <f t="shared" si="993"/>
        <v>-0.13851344347777331</v>
      </c>
    </row>
    <row r="615" spans="1:20" x14ac:dyDescent="0.25">
      <c r="A615" s="5">
        <v>43978</v>
      </c>
      <c r="B615">
        <v>9.4E-2</v>
      </c>
      <c r="C615">
        <v>9.5200000000000007E-2</v>
      </c>
      <c r="D615">
        <v>9.2100000000000001E-2</v>
      </c>
      <c r="E615">
        <v>9.3899999999999997E-2</v>
      </c>
      <c r="F615">
        <v>859562.11</v>
      </c>
      <c r="G615">
        <v>0</v>
      </c>
      <c r="L615" t="s">
        <v>8</v>
      </c>
      <c r="M615" t="s">
        <v>8</v>
      </c>
      <c r="N615" t="s">
        <v>8</v>
      </c>
      <c r="P615">
        <f t="shared" si="989"/>
        <v>0.16129032258064055</v>
      </c>
      <c r="Q615">
        <f t="shared" si="990"/>
        <v>138639.04999999603</v>
      </c>
      <c r="R615">
        <f t="shared" si="991"/>
        <v>-17971482.152295996</v>
      </c>
      <c r="S615">
        <f t="shared" si="992"/>
        <v>-179.71482152295997</v>
      </c>
      <c r="T615">
        <f t="shared" si="993"/>
        <v>-0.17971482152295998</v>
      </c>
    </row>
    <row r="616" spans="1:20" x14ac:dyDescent="0.25">
      <c r="A616" s="5">
        <v>43977</v>
      </c>
      <c r="B616">
        <v>9.35E-2</v>
      </c>
      <c r="C616">
        <v>9.5600000000000004E-2</v>
      </c>
      <c r="D616">
        <v>9.2299999999999993E-2</v>
      </c>
      <c r="E616">
        <v>9.3799999999999994E-2</v>
      </c>
      <c r="F616">
        <v>952896.4</v>
      </c>
      <c r="G616">
        <v>0</v>
      </c>
      <c r="L616" t="s">
        <v>8</v>
      </c>
      <c r="M616" t="s">
        <v>8</v>
      </c>
      <c r="N616" t="s">
        <v>8</v>
      </c>
      <c r="P616">
        <f t="shared" si="989"/>
        <v>-9.0909090909093201E-2</v>
      </c>
      <c r="Q616">
        <f t="shared" si="990"/>
        <v>-86626.945454547647</v>
      </c>
      <c r="R616">
        <f t="shared" si="991"/>
        <v>-18110121.202295993</v>
      </c>
      <c r="S616">
        <f t="shared" si="992"/>
        <v>-181.10121202295991</v>
      </c>
      <c r="T616">
        <f t="shared" si="993"/>
        <v>-0.18110121202295992</v>
      </c>
    </row>
    <row r="617" spans="1:20" x14ac:dyDescent="0.25">
      <c r="A617" s="5">
        <v>43976</v>
      </c>
      <c r="B617">
        <v>8.7999999999999995E-2</v>
      </c>
      <c r="C617">
        <v>9.5000000000000001E-2</v>
      </c>
      <c r="D617">
        <v>8.7499999999999994E-2</v>
      </c>
      <c r="E617">
        <v>9.3600000000000003E-2</v>
      </c>
      <c r="F617">
        <v>1565101.69</v>
      </c>
      <c r="G617">
        <v>0</v>
      </c>
      <c r="L617" t="s">
        <v>7</v>
      </c>
      <c r="M617" t="s">
        <v>8</v>
      </c>
      <c r="N617" t="s">
        <v>8</v>
      </c>
      <c r="P617">
        <f t="shared" si="989"/>
        <v>0.62666666666666737</v>
      </c>
      <c r="Q617">
        <f t="shared" si="990"/>
        <v>980797.05906666769</v>
      </c>
      <c r="R617">
        <f t="shared" si="991"/>
        <v>-18023494.256841443</v>
      </c>
      <c r="S617">
        <f t="shared" si="992"/>
        <v>-180.23494256841443</v>
      </c>
      <c r="T617">
        <f t="shared" si="993"/>
        <v>-0.18023494256841444</v>
      </c>
    </row>
    <row r="618" spans="1:20" x14ac:dyDescent="0.25">
      <c r="A618" s="5">
        <v>43975</v>
      </c>
      <c r="B618">
        <v>9.5399999999999999E-2</v>
      </c>
      <c r="C618">
        <v>9.8000000000000004E-2</v>
      </c>
      <c r="D618">
        <v>8.8499999999999995E-2</v>
      </c>
      <c r="E618">
        <v>8.8499999999999995E-2</v>
      </c>
      <c r="F618">
        <v>1188605.3400000001</v>
      </c>
      <c r="G618">
        <v>0</v>
      </c>
      <c r="L618" t="s">
        <v>7</v>
      </c>
      <c r="M618" t="s">
        <v>8</v>
      </c>
      <c r="N618" t="s">
        <v>8</v>
      </c>
      <c r="P618">
        <f t="shared" si="989"/>
        <v>-1</v>
      </c>
      <c r="Q618">
        <f t="shared" si="990"/>
        <v>-1188605.3400000001</v>
      </c>
      <c r="R618">
        <f t="shared" si="991"/>
        <v>-19004291.315908112</v>
      </c>
      <c r="S618">
        <f t="shared" si="992"/>
        <v>-190.04291315908111</v>
      </c>
      <c r="T618">
        <f t="shared" si="993"/>
        <v>-0.19004291315908112</v>
      </c>
    </row>
    <row r="619" spans="1:20" x14ac:dyDescent="0.25">
      <c r="A619" s="5">
        <v>43974</v>
      </c>
      <c r="B619">
        <v>9.9500000000000005E-2</v>
      </c>
      <c r="C619">
        <v>0.1033</v>
      </c>
      <c r="D619">
        <v>9.1800000000000007E-2</v>
      </c>
      <c r="E619">
        <v>9.5500000000000002E-2</v>
      </c>
      <c r="F619">
        <v>1879819.58</v>
      </c>
      <c r="G619">
        <v>0</v>
      </c>
      <c r="L619" t="s">
        <v>8</v>
      </c>
      <c r="M619" t="s">
        <v>8</v>
      </c>
      <c r="N619" t="s">
        <v>8</v>
      </c>
      <c r="P619">
        <f t="shared" si="989"/>
        <v>-0.35652173913043544</v>
      </c>
      <c r="Q619">
        <f t="shared" si="990"/>
        <v>-670196.54591304471</v>
      </c>
      <c r="R619">
        <f t="shared" si="991"/>
        <v>-17815685.975908112</v>
      </c>
      <c r="S619">
        <f t="shared" si="992"/>
        <v>-178.15685975908113</v>
      </c>
      <c r="T619">
        <f t="shared" si="993"/>
        <v>-0.17815685975908113</v>
      </c>
    </row>
    <row r="620" spans="1:20" x14ac:dyDescent="0.25">
      <c r="A620" s="5">
        <v>43973</v>
      </c>
      <c r="B620">
        <v>8.9499999999999996E-2</v>
      </c>
      <c r="C620">
        <v>9.9500000000000005E-2</v>
      </c>
      <c r="D620">
        <v>8.6699999999999999E-2</v>
      </c>
      <c r="E620">
        <v>9.9500000000000005E-2</v>
      </c>
      <c r="F620">
        <v>1970498.15</v>
      </c>
      <c r="G620">
        <v>0</v>
      </c>
      <c r="L620" t="s">
        <v>8</v>
      </c>
      <c r="M620" t="s">
        <v>8</v>
      </c>
      <c r="N620" t="s">
        <v>7</v>
      </c>
      <c r="P620">
        <f t="shared" si="989"/>
        <v>1</v>
      </c>
      <c r="Q620">
        <f t="shared" si="990"/>
        <v>1970498.15</v>
      </c>
      <c r="R620">
        <f t="shared" si="991"/>
        <v>-17145489.429995067</v>
      </c>
      <c r="S620">
        <f t="shared" si="992"/>
        <v>-171.45489429995067</v>
      </c>
      <c r="T620">
        <f t="shared" si="993"/>
        <v>-0.17145489429995067</v>
      </c>
    </row>
    <row r="621" spans="1:20" x14ac:dyDescent="0.25">
      <c r="A621" s="5">
        <v>43972</v>
      </c>
      <c r="B621">
        <v>9.0200000000000002E-2</v>
      </c>
      <c r="C621">
        <v>9.3100000000000002E-2</v>
      </c>
      <c r="D621">
        <v>8.4199999999999997E-2</v>
      </c>
      <c r="E621">
        <v>8.9899999999999994E-2</v>
      </c>
      <c r="F621">
        <v>2177763</v>
      </c>
      <c r="G621">
        <v>0</v>
      </c>
      <c r="L621" t="s">
        <v>7</v>
      </c>
      <c r="M621" t="s">
        <v>8</v>
      </c>
      <c r="N621" t="s">
        <v>7</v>
      </c>
      <c r="P621">
        <f t="shared" si="989"/>
        <v>0.2808988764044929</v>
      </c>
      <c r="Q621">
        <f t="shared" si="990"/>
        <v>611731.17977527773</v>
      </c>
      <c r="R621">
        <f t="shared" si="991"/>
        <v>-19115987.579995066</v>
      </c>
      <c r="S621">
        <f t="shared" si="992"/>
        <v>-191.15987579995067</v>
      </c>
      <c r="T621">
        <f t="shared" si="993"/>
        <v>-0.19115987579995067</v>
      </c>
    </row>
    <row r="622" spans="1:20" x14ac:dyDescent="0.25">
      <c r="A622" s="5">
        <v>43971</v>
      </c>
      <c r="B622">
        <v>8.8499999999999995E-2</v>
      </c>
      <c r="C622">
        <v>9.1200000000000003E-2</v>
      </c>
      <c r="D622">
        <v>8.6099999999999996E-2</v>
      </c>
      <c r="E622">
        <v>8.9700000000000002E-2</v>
      </c>
      <c r="F622">
        <v>505684.34</v>
      </c>
      <c r="G622">
        <v>0</v>
      </c>
      <c r="L622" t="s">
        <v>7</v>
      </c>
      <c r="M622" t="s">
        <v>8</v>
      </c>
      <c r="N622" t="s">
        <v>7</v>
      </c>
      <c r="P622">
        <f t="shared" si="989"/>
        <v>0.41176470588235325</v>
      </c>
      <c r="Q622">
        <f t="shared" si="990"/>
        <v>208222.96352941194</v>
      </c>
      <c r="R622">
        <f t="shared" si="991"/>
        <v>-19727718.759770345</v>
      </c>
      <c r="S622">
        <f t="shared" si="992"/>
        <v>-197.27718759770346</v>
      </c>
      <c r="T622">
        <f t="shared" si="993"/>
        <v>-0.19727718759770346</v>
      </c>
    </row>
    <row r="623" spans="1:20" x14ac:dyDescent="0.25">
      <c r="A623" s="5">
        <v>43970</v>
      </c>
      <c r="B623">
        <v>8.8499999999999995E-2</v>
      </c>
      <c r="C623">
        <v>8.8800000000000004E-2</v>
      </c>
      <c r="D623">
        <v>8.6199999999999999E-2</v>
      </c>
      <c r="E623">
        <v>8.8400000000000006E-2</v>
      </c>
      <c r="F623">
        <v>172813.27</v>
      </c>
      <c r="G623">
        <v>0</v>
      </c>
      <c r="L623" t="s">
        <v>7</v>
      </c>
      <c r="M623" t="s">
        <v>8</v>
      </c>
      <c r="N623" t="s">
        <v>7</v>
      </c>
      <c r="P623">
        <f t="shared" si="989"/>
        <v>0.69230769230769473</v>
      </c>
      <c r="Q623">
        <f t="shared" si="990"/>
        <v>119639.95615384656</v>
      </c>
      <c r="R623">
        <f t="shared" si="991"/>
        <v>-19935941.723299757</v>
      </c>
      <c r="S623">
        <f t="shared" si="992"/>
        <v>-199.35941723299757</v>
      </c>
      <c r="T623">
        <f t="shared" si="993"/>
        <v>-0.19935941723299758</v>
      </c>
    </row>
    <row r="624" spans="1:20" x14ac:dyDescent="0.25">
      <c r="A624" s="5">
        <v>43969</v>
      </c>
      <c r="B624">
        <v>8.8999999999999996E-2</v>
      </c>
      <c r="C624">
        <v>8.9700000000000002E-2</v>
      </c>
      <c r="D624">
        <v>8.6099999999999996E-2</v>
      </c>
      <c r="E624">
        <v>8.8800000000000004E-2</v>
      </c>
      <c r="F624">
        <v>998232.46</v>
      </c>
      <c r="G624">
        <v>0</v>
      </c>
      <c r="L624" t="s">
        <v>7</v>
      </c>
      <c r="M624" t="s">
        <v>8</v>
      </c>
      <c r="N624" t="s">
        <v>7</v>
      </c>
      <c r="P624">
        <f t="shared" si="989"/>
        <v>0.50000000000000189</v>
      </c>
      <c r="Q624">
        <f t="shared" si="990"/>
        <v>499116.23000000184</v>
      </c>
      <c r="R624">
        <f t="shared" si="991"/>
        <v>-20055581.679453604</v>
      </c>
      <c r="S624">
        <f t="shared" si="992"/>
        <v>-200.55581679453604</v>
      </c>
      <c r="T624">
        <f t="shared" si="993"/>
        <v>-0.20055581679453605</v>
      </c>
    </row>
    <row r="625" spans="1:20" x14ac:dyDescent="0.25">
      <c r="A625" s="5">
        <v>43968</v>
      </c>
      <c r="B625">
        <v>8.8499999999999995E-2</v>
      </c>
      <c r="C625">
        <v>9.4E-2</v>
      </c>
      <c r="D625">
        <v>8.7900000000000006E-2</v>
      </c>
      <c r="E625">
        <v>8.8400000000000006E-2</v>
      </c>
      <c r="F625">
        <v>2157414.25</v>
      </c>
      <c r="G625">
        <v>0</v>
      </c>
      <c r="L625" t="s">
        <v>7</v>
      </c>
      <c r="M625" t="s">
        <v>8</v>
      </c>
      <c r="N625" t="s">
        <v>7</v>
      </c>
      <c r="P625">
        <f t="shared" si="989"/>
        <v>-0.83606557377049151</v>
      </c>
      <c r="Q625">
        <f t="shared" si="990"/>
        <v>-1803739.7827868846</v>
      </c>
      <c r="R625">
        <f t="shared" si="991"/>
        <v>-20554697.909453604</v>
      </c>
      <c r="S625">
        <f t="shared" si="992"/>
        <v>-205.54697909453606</v>
      </c>
      <c r="T625">
        <f t="shared" si="993"/>
        <v>-0.20554697909453606</v>
      </c>
    </row>
    <row r="626" spans="1:20" x14ac:dyDescent="0.25">
      <c r="A626" s="5">
        <v>43967</v>
      </c>
      <c r="B626">
        <v>8.1600000000000006E-2</v>
      </c>
      <c r="C626">
        <v>9.6000000000000002E-2</v>
      </c>
      <c r="D626">
        <v>8.0699999999999994E-2</v>
      </c>
      <c r="E626">
        <v>8.7999999999999995E-2</v>
      </c>
      <c r="F626">
        <v>2367069.7400000002</v>
      </c>
      <c r="G626">
        <v>0</v>
      </c>
      <c r="L626" t="s">
        <v>8</v>
      </c>
      <c r="M626" t="s">
        <v>8</v>
      </c>
      <c r="N626" t="s">
        <v>7</v>
      </c>
      <c r="P626">
        <f t="shared" si="989"/>
        <v>-4.5751633986928483E-2</v>
      </c>
      <c r="Q626">
        <f t="shared" si="990"/>
        <v>-108297.30836601398</v>
      </c>
      <c r="R626">
        <f t="shared" si="991"/>
        <v>-18750958.126666721</v>
      </c>
      <c r="S626">
        <f t="shared" si="992"/>
        <v>-187.5095812666672</v>
      </c>
      <c r="T626">
        <f t="shared" si="993"/>
        <v>-0.1875095812666672</v>
      </c>
    </row>
    <row r="627" spans="1:20" x14ac:dyDescent="0.25">
      <c r="A627" s="5">
        <v>43966</v>
      </c>
      <c r="B627">
        <v>8.1799999999999998E-2</v>
      </c>
      <c r="C627">
        <v>8.3799999999999999E-2</v>
      </c>
      <c r="D627">
        <v>7.8700000000000006E-2</v>
      </c>
      <c r="E627">
        <v>8.14E-2</v>
      </c>
      <c r="F627">
        <v>619802.18000000005</v>
      </c>
      <c r="G627">
        <v>0</v>
      </c>
      <c r="L627" t="s">
        <v>7</v>
      </c>
      <c r="M627" t="s">
        <v>7</v>
      </c>
      <c r="N627" t="s">
        <v>7</v>
      </c>
      <c r="P627">
        <f t="shared" si="989"/>
        <v>5.8823529411763747E-2</v>
      </c>
      <c r="Q627">
        <f t="shared" si="990"/>
        <v>36458.951764705293</v>
      </c>
      <c r="R627">
        <f t="shared" si="991"/>
        <v>-18642660.818300705</v>
      </c>
      <c r="S627">
        <f t="shared" si="992"/>
        <v>-186.42660818300706</v>
      </c>
      <c r="T627">
        <f t="shared" si="993"/>
        <v>-0.18642660818300708</v>
      </c>
    </row>
    <row r="628" spans="1:20" x14ac:dyDescent="0.25">
      <c r="A628" s="5">
        <v>43965</v>
      </c>
      <c r="B628">
        <v>8.2100000000000006E-2</v>
      </c>
      <c r="C628">
        <v>8.5099999999999995E-2</v>
      </c>
      <c r="D628">
        <v>0.08</v>
      </c>
      <c r="E628">
        <v>8.1799999999999998E-2</v>
      </c>
      <c r="F628">
        <v>894333.65</v>
      </c>
      <c r="G628">
        <v>0</v>
      </c>
      <c r="L628" t="s">
        <v>8</v>
      </c>
      <c r="M628" t="s">
        <v>7</v>
      </c>
      <c r="N628" t="s">
        <v>7</v>
      </c>
      <c r="P628">
        <f t="shared" si="989"/>
        <v>-0.29411764705882415</v>
      </c>
      <c r="Q628">
        <f t="shared" si="990"/>
        <v>-263039.30882352998</v>
      </c>
      <c r="R628">
        <f t="shared" si="991"/>
        <v>-18679119.770065412</v>
      </c>
      <c r="S628">
        <f t="shared" si="992"/>
        <v>-186.79119770065412</v>
      </c>
      <c r="T628">
        <f t="shared" si="993"/>
        <v>-0.18679119770065411</v>
      </c>
    </row>
    <row r="629" spans="1:20" x14ac:dyDescent="0.25">
      <c r="A629" s="5">
        <v>43964</v>
      </c>
      <c r="B629">
        <v>8.2199999999999995E-2</v>
      </c>
      <c r="C629">
        <v>8.4900000000000003E-2</v>
      </c>
      <c r="D629">
        <v>8.1600000000000006E-2</v>
      </c>
      <c r="E629">
        <v>8.2500000000000004E-2</v>
      </c>
      <c r="F629">
        <v>506205.8</v>
      </c>
      <c r="G629">
        <v>0</v>
      </c>
      <c r="L629" t="s">
        <v>8</v>
      </c>
      <c r="M629" t="s">
        <v>7</v>
      </c>
      <c r="N629" t="s">
        <v>7</v>
      </c>
      <c r="P629">
        <f t="shared" si="989"/>
        <v>-0.45454545454545531</v>
      </c>
      <c r="Q629">
        <f t="shared" si="990"/>
        <v>-230093.54545454585</v>
      </c>
      <c r="R629">
        <f t="shared" si="991"/>
        <v>-18416080.461241882</v>
      </c>
      <c r="S629">
        <f t="shared" si="992"/>
        <v>-184.16080461241881</v>
      </c>
      <c r="T629">
        <f t="shared" si="993"/>
        <v>-0.18416080461241882</v>
      </c>
    </row>
    <row r="630" spans="1:20" x14ac:dyDescent="0.25">
      <c r="A630" s="5">
        <v>43963</v>
      </c>
      <c r="B630">
        <v>7.8700000000000006E-2</v>
      </c>
      <c r="C630">
        <v>8.2900000000000001E-2</v>
      </c>
      <c r="D630">
        <v>7.8299999999999995E-2</v>
      </c>
      <c r="E630">
        <v>8.1900000000000001E-2</v>
      </c>
      <c r="F630">
        <v>352370.63</v>
      </c>
      <c r="G630">
        <v>0</v>
      </c>
      <c r="L630" t="s">
        <v>8</v>
      </c>
      <c r="M630" t="s">
        <v>7</v>
      </c>
      <c r="N630" t="s">
        <v>7</v>
      </c>
      <c r="P630">
        <f t="shared" si="989"/>
        <v>0.56521739130434812</v>
      </c>
      <c r="Q630">
        <f t="shared" si="990"/>
        <v>199166.00826086968</v>
      </c>
      <c r="R630">
        <f t="shared" si="991"/>
        <v>-18185986.915787335</v>
      </c>
      <c r="S630">
        <f t="shared" si="992"/>
        <v>-181.85986915787336</v>
      </c>
      <c r="T630">
        <f t="shared" si="993"/>
        <v>-0.18185986915787336</v>
      </c>
    </row>
    <row r="631" spans="1:20" x14ac:dyDescent="0.25">
      <c r="A631" s="5">
        <v>43962</v>
      </c>
      <c r="B631">
        <v>8.0799999999999997E-2</v>
      </c>
      <c r="C631">
        <v>8.3299999999999999E-2</v>
      </c>
      <c r="D631">
        <v>7.5899999999999995E-2</v>
      </c>
      <c r="E631">
        <v>7.9500000000000001E-2</v>
      </c>
      <c r="F631">
        <v>340620.66</v>
      </c>
      <c r="G631">
        <v>0</v>
      </c>
      <c r="L631" t="s">
        <v>7</v>
      </c>
      <c r="M631" t="s">
        <v>7</v>
      </c>
      <c r="N631" t="s">
        <v>7</v>
      </c>
      <c r="P631">
        <f t="shared" si="989"/>
        <v>-2.7027027027025911E-2</v>
      </c>
      <c r="Q631">
        <f t="shared" si="990"/>
        <v>-9205.9637837834034</v>
      </c>
      <c r="R631">
        <f t="shared" si="991"/>
        <v>-18385152.924048204</v>
      </c>
      <c r="S631">
        <f t="shared" si="992"/>
        <v>-183.85152924048205</v>
      </c>
      <c r="T631">
        <f t="shared" si="993"/>
        <v>-0.18385152924048206</v>
      </c>
    </row>
    <row r="632" spans="1:20" x14ac:dyDescent="0.25">
      <c r="A632" s="5">
        <v>43961</v>
      </c>
      <c r="B632">
        <v>9.5200000000000007E-2</v>
      </c>
      <c r="C632">
        <v>9.5200000000000007E-2</v>
      </c>
      <c r="D632">
        <v>7.6799999999999993E-2</v>
      </c>
      <c r="E632">
        <v>8.0299999999999996E-2</v>
      </c>
      <c r="F632">
        <v>1044483.24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-0.61956521739130432</v>
      </c>
      <c r="Q632">
        <f t="shared" si="990"/>
        <v>-647125.48565217387</v>
      </c>
      <c r="R632">
        <f t="shared" si="991"/>
        <v>-18375946.960264422</v>
      </c>
      <c r="S632">
        <f t="shared" si="992"/>
        <v>-183.75946960264423</v>
      </c>
      <c r="T632">
        <f t="shared" si="993"/>
        <v>-0.18375946960264422</v>
      </c>
    </row>
    <row r="633" spans="1:20" x14ac:dyDescent="0.25">
      <c r="A633" s="5">
        <v>43960</v>
      </c>
      <c r="B633">
        <v>9.1200000000000003E-2</v>
      </c>
      <c r="C633">
        <v>9.7000000000000003E-2</v>
      </c>
      <c r="D633">
        <v>9.11E-2</v>
      </c>
      <c r="E633">
        <v>9.5100000000000004E-2</v>
      </c>
      <c r="F633">
        <v>1381023.79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0.35593220338983117</v>
      </c>
      <c r="Q633">
        <f t="shared" si="990"/>
        <v>491550.84050847549</v>
      </c>
      <c r="R633">
        <f t="shared" si="991"/>
        <v>-17728821.474612247</v>
      </c>
      <c r="S633">
        <f t="shared" si="992"/>
        <v>-177.28821474612246</v>
      </c>
      <c r="T633">
        <f t="shared" si="993"/>
        <v>-0.17728821474612247</v>
      </c>
    </row>
    <row r="634" spans="1:20" x14ac:dyDescent="0.25">
      <c r="A634" s="5">
        <v>43959</v>
      </c>
      <c r="B634">
        <v>9.0300000000000005E-2</v>
      </c>
      <c r="C634">
        <v>9.1899999999999996E-2</v>
      </c>
      <c r="D634">
        <v>8.8900000000000007E-2</v>
      </c>
      <c r="E634">
        <v>9.11E-2</v>
      </c>
      <c r="F634">
        <v>419385.41</v>
      </c>
      <c r="G634">
        <v>0</v>
      </c>
      <c r="L634" t="s">
        <v>7</v>
      </c>
      <c r="M634" t="s">
        <v>8</v>
      </c>
      <c r="N634" t="s">
        <v>8</v>
      </c>
      <c r="P634">
        <f t="shared" si="989"/>
        <v>0.4666666666666679</v>
      </c>
      <c r="Q634">
        <f t="shared" si="990"/>
        <v>195713.19133333385</v>
      </c>
      <c r="R634">
        <f t="shared" si="991"/>
        <v>-18220372.315120723</v>
      </c>
      <c r="S634">
        <f t="shared" si="992"/>
        <v>-182.20372315120724</v>
      </c>
      <c r="T634">
        <f t="shared" si="993"/>
        <v>-0.18220372315120725</v>
      </c>
    </row>
    <row r="635" spans="1:20" x14ac:dyDescent="0.25">
      <c r="A635" s="5">
        <v>43958</v>
      </c>
      <c r="B635">
        <v>8.8800000000000004E-2</v>
      </c>
      <c r="C635">
        <v>9.2399999999999996E-2</v>
      </c>
      <c r="D635">
        <v>8.8800000000000004E-2</v>
      </c>
      <c r="E635">
        <v>9.1200000000000003E-2</v>
      </c>
      <c r="F635">
        <v>271195.52000000002</v>
      </c>
      <c r="G635">
        <v>0</v>
      </c>
      <c r="L635" t="s">
        <v>7</v>
      </c>
      <c r="M635" t="s">
        <v>8</v>
      </c>
      <c r="N635" t="s">
        <v>8</v>
      </c>
      <c r="P635">
        <f t="shared" si="989"/>
        <v>0.33333333333333592</v>
      </c>
      <c r="Q635">
        <f t="shared" si="990"/>
        <v>90398.506666667381</v>
      </c>
      <c r="R635">
        <f t="shared" si="991"/>
        <v>-18416085.506454058</v>
      </c>
      <c r="S635">
        <f t="shared" si="992"/>
        <v>-184.16085506454058</v>
      </c>
      <c r="T635">
        <f t="shared" si="993"/>
        <v>-0.18416085506454058</v>
      </c>
    </row>
    <row r="636" spans="1:20" x14ac:dyDescent="0.25">
      <c r="A636" s="5">
        <v>43957</v>
      </c>
      <c r="B636">
        <v>9.0899999999999995E-2</v>
      </c>
      <c r="C636">
        <v>9.2600000000000002E-2</v>
      </c>
      <c r="D636">
        <v>8.8800000000000004E-2</v>
      </c>
      <c r="E636">
        <v>8.8800000000000004E-2</v>
      </c>
      <c r="F636">
        <v>413009.34</v>
      </c>
      <c r="G636">
        <v>0</v>
      </c>
      <c r="L636" t="s">
        <v>7</v>
      </c>
      <c r="M636" t="s">
        <v>8</v>
      </c>
      <c r="N636" t="s">
        <v>8</v>
      </c>
      <c r="P636">
        <f t="shared" si="989"/>
        <v>-1</v>
      </c>
      <c r="Q636">
        <f t="shared" si="990"/>
        <v>-413009.34</v>
      </c>
      <c r="R636">
        <f t="shared" si="991"/>
        <v>-18506484.013120726</v>
      </c>
      <c r="S636">
        <f t="shared" si="992"/>
        <v>-185.06484013120726</v>
      </c>
      <c r="T636">
        <f t="shared" si="993"/>
        <v>-0.18506484013120728</v>
      </c>
    </row>
    <row r="637" spans="1:20" x14ac:dyDescent="0.25">
      <c r="A637" s="5">
        <v>43956</v>
      </c>
      <c r="B637">
        <v>8.9899999999999994E-2</v>
      </c>
      <c r="C637">
        <v>9.2299999999999993E-2</v>
      </c>
      <c r="D637">
        <v>8.8999999999999996E-2</v>
      </c>
      <c r="E637">
        <v>9.0999999999999998E-2</v>
      </c>
      <c r="F637">
        <v>624584.97</v>
      </c>
      <c r="G637">
        <v>0</v>
      </c>
      <c r="L637" t="s">
        <v>7</v>
      </c>
      <c r="M637" t="s">
        <v>8</v>
      </c>
      <c r="N637" t="s">
        <v>8</v>
      </c>
      <c r="P637">
        <f t="shared" si="989"/>
        <v>0.21212121212121415</v>
      </c>
      <c r="Q637">
        <f t="shared" si="990"/>
        <v>132487.72090909217</v>
      </c>
      <c r="R637">
        <f t="shared" si="991"/>
        <v>-18093474.673120726</v>
      </c>
      <c r="S637">
        <f t="shared" si="992"/>
        <v>-180.93474673120727</v>
      </c>
      <c r="T637">
        <f t="shared" si="993"/>
        <v>-0.18093474673120727</v>
      </c>
    </row>
    <row r="638" spans="1:20" x14ac:dyDescent="0.25">
      <c r="A638" s="5">
        <v>43955</v>
      </c>
      <c r="B638">
        <v>9.3100000000000002E-2</v>
      </c>
      <c r="C638">
        <v>9.9199999999999997E-2</v>
      </c>
      <c r="D638">
        <v>8.7400000000000005E-2</v>
      </c>
      <c r="E638">
        <v>8.9800000000000005E-2</v>
      </c>
      <c r="F638">
        <v>2664112.81</v>
      </c>
      <c r="G638">
        <v>0</v>
      </c>
      <c r="L638" t="s">
        <v>8</v>
      </c>
      <c r="M638" t="s">
        <v>8</v>
      </c>
      <c r="N638" t="s">
        <v>8</v>
      </c>
      <c r="P638">
        <f t="shared" si="989"/>
        <v>-0.5932203389830506</v>
      </c>
      <c r="Q638">
        <f t="shared" si="990"/>
        <v>-1580405.9042372876</v>
      </c>
      <c r="R638">
        <f t="shared" si="991"/>
        <v>-18225962.394029818</v>
      </c>
      <c r="S638">
        <f t="shared" si="992"/>
        <v>-182.25962394029818</v>
      </c>
      <c r="T638">
        <f t="shared" si="993"/>
        <v>-0.18225962394029818</v>
      </c>
    </row>
    <row r="639" spans="1:20" x14ac:dyDescent="0.25">
      <c r="A639" s="5">
        <v>43954</v>
      </c>
      <c r="B639">
        <v>9.2700000000000005E-2</v>
      </c>
      <c r="C639">
        <v>9.4700000000000006E-2</v>
      </c>
      <c r="D639">
        <v>8.9599999999999999E-2</v>
      </c>
      <c r="E639">
        <v>9.2799999999999994E-2</v>
      </c>
      <c r="F639">
        <v>1280935.6000000001</v>
      </c>
      <c r="G639">
        <v>0</v>
      </c>
      <c r="L639" t="s">
        <v>8</v>
      </c>
      <c r="M639" t="s">
        <v>7</v>
      </c>
      <c r="N639" t="s">
        <v>8</v>
      </c>
      <c r="P639">
        <f t="shared" si="989"/>
        <v>0.25490196078430977</v>
      </c>
      <c r="Q639">
        <f t="shared" si="990"/>
        <v>326512.99607842631</v>
      </c>
      <c r="R639">
        <f t="shared" si="991"/>
        <v>-16645556.489792531</v>
      </c>
      <c r="S639">
        <f t="shared" si="992"/>
        <v>-166.45556489792531</v>
      </c>
      <c r="T639">
        <f t="shared" si="993"/>
        <v>-0.16645556489792532</v>
      </c>
    </row>
    <row r="640" spans="1:20" x14ac:dyDescent="0.25">
      <c r="A640" s="5">
        <v>43953</v>
      </c>
      <c r="B640">
        <v>9.11E-2</v>
      </c>
      <c r="C640">
        <v>9.3299999999999994E-2</v>
      </c>
      <c r="D640">
        <v>9.0399999999999994E-2</v>
      </c>
      <c r="E640">
        <v>9.2999999999999999E-2</v>
      </c>
      <c r="F640">
        <v>666435.46</v>
      </c>
      <c r="G640">
        <v>0</v>
      </c>
      <c r="L640" t="s">
        <v>8</v>
      </c>
      <c r="M640" t="s">
        <v>7</v>
      </c>
      <c r="N640" t="s">
        <v>8</v>
      </c>
      <c r="P640">
        <f t="shared" si="989"/>
        <v>0.79310344827586565</v>
      </c>
      <c r="Q640">
        <f t="shared" si="990"/>
        <v>528552.26137931272</v>
      </c>
      <c r="R640">
        <f t="shared" si="991"/>
        <v>-16972069.485870957</v>
      </c>
      <c r="S640">
        <f t="shared" si="992"/>
        <v>-169.72069485870958</v>
      </c>
      <c r="T640">
        <f t="shared" si="993"/>
        <v>-0.16972069485870958</v>
      </c>
    </row>
    <row r="641" spans="1:20" x14ac:dyDescent="0.25">
      <c r="A641" s="5">
        <v>43952</v>
      </c>
      <c r="B641">
        <v>8.9499999999999996E-2</v>
      </c>
      <c r="C641">
        <v>9.2999999999999999E-2</v>
      </c>
      <c r="D641">
        <v>8.9200000000000002E-2</v>
      </c>
      <c r="E641">
        <v>9.11E-2</v>
      </c>
      <c r="F641">
        <v>1000614.02</v>
      </c>
      <c r="G641">
        <v>0</v>
      </c>
      <c r="L641" t="s">
        <v>8</v>
      </c>
      <c r="M641" t="s">
        <v>7</v>
      </c>
      <c r="N641" t="s">
        <v>8</v>
      </c>
      <c r="P641">
        <f t="shared" si="989"/>
        <v>0</v>
      </c>
      <c r="Q641">
        <f t="shared" si="990"/>
        <v>0</v>
      </c>
      <c r="R641">
        <f t="shared" si="991"/>
        <v>-17500621.74725027</v>
      </c>
      <c r="S641">
        <f t="shared" si="992"/>
        <v>-175.0062174725027</v>
      </c>
      <c r="T641">
        <f t="shared" si="993"/>
        <v>-0.1750062174725027</v>
      </c>
    </row>
    <row r="642" spans="1:20" x14ac:dyDescent="0.25">
      <c r="A642" s="5">
        <v>43951</v>
      </c>
      <c r="B642">
        <v>9.1399999999999995E-2</v>
      </c>
      <c r="C642">
        <v>9.5000000000000001E-2</v>
      </c>
      <c r="D642">
        <v>8.6800000000000002E-2</v>
      </c>
      <c r="E642">
        <v>8.9399999999999993E-2</v>
      </c>
      <c r="F642">
        <v>1274169.3700000001</v>
      </c>
      <c r="G642">
        <v>0</v>
      </c>
      <c r="L642" t="s">
        <v>7</v>
      </c>
      <c r="M642" t="s">
        <v>7</v>
      </c>
      <c r="N642" t="s">
        <v>8</v>
      </c>
      <c r="P642">
        <f t="shared" si="989"/>
        <v>-0.36585365853658741</v>
      </c>
      <c r="Q642">
        <f t="shared" si="990"/>
        <v>-466159.52560975874</v>
      </c>
      <c r="R642">
        <f t="shared" si="991"/>
        <v>-17500621.74725027</v>
      </c>
      <c r="S642">
        <f t="shared" si="992"/>
        <v>-175.0062174725027</v>
      </c>
      <c r="T642">
        <f t="shared" si="993"/>
        <v>-0.1750062174725027</v>
      </c>
    </row>
    <row r="643" spans="1:20" x14ac:dyDescent="0.25">
      <c r="A643" s="5">
        <v>43950</v>
      </c>
      <c r="B643">
        <v>8.9200000000000002E-2</v>
      </c>
      <c r="C643">
        <v>9.3200000000000005E-2</v>
      </c>
      <c r="D643">
        <v>8.8099999999999998E-2</v>
      </c>
      <c r="E643">
        <v>9.1300000000000006E-2</v>
      </c>
      <c r="F643">
        <v>1342998.6</v>
      </c>
      <c r="G643">
        <v>0</v>
      </c>
      <c r="L643" t="s">
        <v>7</v>
      </c>
      <c r="M643" t="s">
        <v>7</v>
      </c>
      <c r="N643" t="s">
        <v>8</v>
      </c>
      <c r="P643">
        <f t="shared" si="989"/>
        <v>0.25490196078431521</v>
      </c>
      <c r="Q643">
        <f t="shared" si="990"/>
        <v>342332.97647059022</v>
      </c>
      <c r="R643">
        <f t="shared" si="991"/>
        <v>-17034462.221640512</v>
      </c>
      <c r="S643">
        <f t="shared" si="992"/>
        <v>-170.34462221640513</v>
      </c>
      <c r="T643">
        <f t="shared" si="993"/>
        <v>-0.17034462221640512</v>
      </c>
    </row>
    <row r="644" spans="1:20" x14ac:dyDescent="0.25">
      <c r="A644" s="5">
        <v>43949</v>
      </c>
      <c r="B644">
        <v>9.0200000000000002E-2</v>
      </c>
      <c r="C644">
        <v>9.0399999999999994E-2</v>
      </c>
      <c r="D644">
        <v>8.8200000000000001E-2</v>
      </c>
      <c r="E644">
        <v>8.9200000000000002E-2</v>
      </c>
      <c r="F644">
        <v>419562.47</v>
      </c>
      <c r="G644">
        <v>0</v>
      </c>
      <c r="L644" t="s">
        <v>7</v>
      </c>
      <c r="M644" t="s">
        <v>7</v>
      </c>
      <c r="N644" t="s">
        <v>8</v>
      </c>
      <c r="P644">
        <f t="shared" si="989"/>
        <v>-9.090909090908747E-2</v>
      </c>
      <c r="Q644">
        <f t="shared" si="990"/>
        <v>-38142.042727271284</v>
      </c>
      <c r="R644">
        <f t="shared" si="991"/>
        <v>-17376795.198111102</v>
      </c>
      <c r="S644">
        <f t="shared" si="992"/>
        <v>-173.76795198111103</v>
      </c>
      <c r="T644">
        <f t="shared" si="993"/>
        <v>-0.17376795198111103</v>
      </c>
    </row>
    <row r="645" spans="1:20" x14ac:dyDescent="0.25">
      <c r="A645" s="5">
        <v>43948</v>
      </c>
      <c r="B645">
        <v>9.0200000000000002E-2</v>
      </c>
      <c r="C645">
        <v>9.2100000000000001E-2</v>
      </c>
      <c r="D645">
        <v>8.8200000000000001E-2</v>
      </c>
      <c r="E645">
        <v>9.0200000000000002E-2</v>
      </c>
      <c r="F645">
        <v>805249.31</v>
      </c>
      <c r="G645">
        <v>0</v>
      </c>
      <c r="L645" t="s">
        <v>7</v>
      </c>
      <c r="M645" t="s">
        <v>7</v>
      </c>
      <c r="N645" t="s">
        <v>8</v>
      </c>
      <c r="P645">
        <f t="shared" si="989"/>
        <v>2.5641025641026372E-2</v>
      </c>
      <c r="Q645">
        <f t="shared" si="990"/>
        <v>20647.418205128797</v>
      </c>
      <c r="R645">
        <f t="shared" si="991"/>
        <v>-17338653.155383829</v>
      </c>
      <c r="S645">
        <f t="shared" si="992"/>
        <v>-173.3865315538383</v>
      </c>
      <c r="T645">
        <f t="shared" si="993"/>
        <v>-0.17338653155383829</v>
      </c>
    </row>
    <row r="646" spans="1:20" x14ac:dyDescent="0.25">
      <c r="A646" s="5">
        <v>43947</v>
      </c>
      <c r="B646">
        <v>8.9800000000000005E-2</v>
      </c>
      <c r="C646">
        <v>9.2200000000000004E-2</v>
      </c>
      <c r="D646">
        <v>8.8499999999999995E-2</v>
      </c>
      <c r="E646">
        <v>8.9800000000000005E-2</v>
      </c>
      <c r="F646">
        <v>748344.89</v>
      </c>
      <c r="G646">
        <v>0</v>
      </c>
      <c r="L646" t="s">
        <v>7</v>
      </c>
      <c r="M646" t="s">
        <v>7</v>
      </c>
      <c r="N646" t="s">
        <v>8</v>
      </c>
      <c r="P646">
        <f t="shared" ref="P646:P709" si="994">IF(C646=D646,0,((E646-D646)-(C646-E646))/(C646-D646))</f>
        <v>-0.29729729729729387</v>
      </c>
      <c r="Q646">
        <f t="shared" ref="Q646:Q709" si="995">F646*P646</f>
        <v>-222480.91324324068</v>
      </c>
      <c r="R646">
        <f t="shared" ref="R646:R709" si="996">R647+Q646</f>
        <v>-17359300.573588956</v>
      </c>
      <c r="S646">
        <f t="shared" ref="S646:S709" si="997">R646/100000</f>
        <v>-173.59300573588956</v>
      </c>
      <c r="T646">
        <f t="shared" ref="T646:T709" si="998">S646/1000</f>
        <v>-0.17359300573588957</v>
      </c>
    </row>
    <row r="647" spans="1:20" x14ac:dyDescent="0.25">
      <c r="A647" s="5">
        <v>43946</v>
      </c>
      <c r="B647">
        <v>8.9300000000000004E-2</v>
      </c>
      <c r="C647">
        <v>9.2399999999999996E-2</v>
      </c>
      <c r="D647">
        <v>8.8400000000000006E-2</v>
      </c>
      <c r="E647">
        <v>8.9800000000000005E-2</v>
      </c>
      <c r="F647">
        <v>721915.38</v>
      </c>
      <c r="G647">
        <v>0</v>
      </c>
      <c r="L647" t="s">
        <v>7</v>
      </c>
      <c r="M647" t="s">
        <v>7</v>
      </c>
      <c r="N647" t="s">
        <v>8</v>
      </c>
      <c r="P647">
        <f t="shared" si="994"/>
        <v>-0.29999999999999893</v>
      </c>
      <c r="Q647">
        <f t="shared" si="995"/>
        <v>-216574.61399999924</v>
      </c>
      <c r="R647">
        <f t="shared" si="996"/>
        <v>-17136819.660345715</v>
      </c>
      <c r="S647">
        <f t="shared" si="997"/>
        <v>-171.36819660345714</v>
      </c>
      <c r="T647">
        <f t="shared" si="998"/>
        <v>-0.17136819660345715</v>
      </c>
    </row>
    <row r="648" spans="1:20" x14ac:dyDescent="0.25">
      <c r="A648" s="5">
        <v>43945</v>
      </c>
      <c r="B648">
        <v>8.8900000000000007E-2</v>
      </c>
      <c r="C648">
        <v>9.1700000000000004E-2</v>
      </c>
      <c r="D648">
        <v>8.7999999999999995E-2</v>
      </c>
      <c r="E648">
        <v>8.9800000000000005E-2</v>
      </c>
      <c r="F648">
        <v>1176603.54</v>
      </c>
      <c r="G648">
        <v>0</v>
      </c>
      <c r="L648" t="s">
        <v>7</v>
      </c>
      <c r="M648" t="s">
        <v>7</v>
      </c>
      <c r="N648" t="s">
        <v>8</v>
      </c>
      <c r="P648">
        <f t="shared" si="994"/>
        <v>-2.7027027027023986E-2</v>
      </c>
      <c r="Q648">
        <f t="shared" si="995"/>
        <v>-31800.095675672099</v>
      </c>
      <c r="R648">
        <f t="shared" si="996"/>
        <v>-16920245.046345714</v>
      </c>
      <c r="S648">
        <f t="shared" si="997"/>
        <v>-169.20245046345715</v>
      </c>
      <c r="T648">
        <f t="shared" si="998"/>
        <v>-0.16920245046345717</v>
      </c>
    </row>
    <row r="649" spans="1:20" x14ac:dyDescent="0.25">
      <c r="A649" s="5">
        <v>43944</v>
      </c>
      <c r="B649">
        <v>8.6999999999999994E-2</v>
      </c>
      <c r="C649">
        <v>9.5000000000000001E-2</v>
      </c>
      <c r="D649">
        <v>8.43E-2</v>
      </c>
      <c r="E649">
        <v>8.8900000000000007E-2</v>
      </c>
      <c r="F649">
        <v>2252603</v>
      </c>
      <c r="G649">
        <v>0</v>
      </c>
      <c r="L649" t="s">
        <v>8</v>
      </c>
      <c r="M649" t="s">
        <v>7</v>
      </c>
      <c r="N649" t="s">
        <v>8</v>
      </c>
      <c r="P649">
        <f t="shared" si="994"/>
        <v>-0.14018691588784929</v>
      </c>
      <c r="Q649">
        <f t="shared" si="995"/>
        <v>-315785.46728971699</v>
      </c>
      <c r="R649">
        <f t="shared" si="996"/>
        <v>-16888444.950670041</v>
      </c>
      <c r="S649">
        <f t="shared" si="997"/>
        <v>-168.88444950670041</v>
      </c>
      <c r="T649">
        <f t="shared" si="998"/>
        <v>-0.1688844495067004</v>
      </c>
    </row>
    <row r="650" spans="1:20" x14ac:dyDescent="0.25">
      <c r="A650" s="5">
        <v>43943</v>
      </c>
      <c r="B650">
        <v>8.5800000000000001E-2</v>
      </c>
      <c r="C650">
        <v>8.7800000000000003E-2</v>
      </c>
      <c r="D650">
        <v>8.3500000000000005E-2</v>
      </c>
      <c r="E650">
        <v>8.7499999999999994E-2</v>
      </c>
      <c r="F650">
        <v>770342.86</v>
      </c>
      <c r="G650">
        <v>0</v>
      </c>
      <c r="L650" t="s">
        <v>8</v>
      </c>
      <c r="M650" t="s">
        <v>7</v>
      </c>
      <c r="N650" t="s">
        <v>8</v>
      </c>
      <c r="P650">
        <f t="shared" si="994"/>
        <v>0.86046511627906574</v>
      </c>
      <c r="Q650">
        <f t="shared" si="995"/>
        <v>662853.15860464808</v>
      </c>
      <c r="R650">
        <f t="shared" si="996"/>
        <v>-16572659.483380325</v>
      </c>
      <c r="S650">
        <f t="shared" si="997"/>
        <v>-165.72659483380326</v>
      </c>
      <c r="T650">
        <f t="shared" si="998"/>
        <v>-0.16572659483380325</v>
      </c>
    </row>
    <row r="651" spans="1:20" x14ac:dyDescent="0.25">
      <c r="A651" s="5">
        <v>43942</v>
      </c>
      <c r="B651">
        <v>8.3099999999999993E-2</v>
      </c>
      <c r="C651">
        <v>8.8499999999999995E-2</v>
      </c>
      <c r="D651">
        <v>8.2799999999999999E-2</v>
      </c>
      <c r="E651">
        <v>8.5800000000000001E-2</v>
      </c>
      <c r="F651">
        <v>899219.08</v>
      </c>
      <c r="G651">
        <v>0</v>
      </c>
      <c r="L651" t="s">
        <v>8</v>
      </c>
      <c r="M651" t="s">
        <v>7</v>
      </c>
      <c r="N651" t="s">
        <v>8</v>
      </c>
      <c r="P651">
        <f t="shared" si="994"/>
        <v>5.2631578947369959E-2</v>
      </c>
      <c r="Q651">
        <f t="shared" si="995"/>
        <v>47327.320000001382</v>
      </c>
      <c r="R651">
        <f t="shared" si="996"/>
        <v>-17235512.641984973</v>
      </c>
      <c r="S651">
        <f t="shared" si="997"/>
        <v>-172.35512641984974</v>
      </c>
      <c r="T651">
        <f t="shared" si="998"/>
        <v>-0.17235512641984974</v>
      </c>
    </row>
    <row r="652" spans="1:20" x14ac:dyDescent="0.25">
      <c r="A652" s="5">
        <v>43941</v>
      </c>
      <c r="B652">
        <v>9.1800000000000007E-2</v>
      </c>
      <c r="C652">
        <v>9.2299999999999993E-2</v>
      </c>
      <c r="D652">
        <v>8.1100000000000005E-2</v>
      </c>
      <c r="E652">
        <v>8.3099999999999993E-2</v>
      </c>
      <c r="F652">
        <v>2008845.77</v>
      </c>
      <c r="G652">
        <v>0</v>
      </c>
      <c r="L652" t="s">
        <v>7</v>
      </c>
      <c r="M652" t="s">
        <v>7</v>
      </c>
      <c r="N652" t="s">
        <v>8</v>
      </c>
      <c r="P652">
        <f t="shared" si="994"/>
        <v>-0.64285714285714468</v>
      </c>
      <c r="Q652">
        <f t="shared" si="995"/>
        <v>-1291400.8521428609</v>
      </c>
      <c r="R652">
        <f t="shared" si="996"/>
        <v>-17282839.961984973</v>
      </c>
      <c r="S652">
        <f t="shared" si="997"/>
        <v>-172.82839961984973</v>
      </c>
      <c r="T652">
        <f t="shared" si="998"/>
        <v>-0.17282839961984972</v>
      </c>
    </row>
    <row r="653" spans="1:20" x14ac:dyDescent="0.25">
      <c r="A653" s="5">
        <v>43940</v>
      </c>
      <c r="B653">
        <v>9.5399999999999999E-2</v>
      </c>
      <c r="C653">
        <v>9.5399999999999999E-2</v>
      </c>
      <c r="D653">
        <v>8.8599999999999998E-2</v>
      </c>
      <c r="E653">
        <v>9.2200000000000004E-2</v>
      </c>
      <c r="F653">
        <v>2201279.11</v>
      </c>
      <c r="G653">
        <v>0</v>
      </c>
      <c r="L653" t="s">
        <v>7</v>
      </c>
      <c r="M653" t="s">
        <v>8</v>
      </c>
      <c r="N653" t="s">
        <v>8</v>
      </c>
      <c r="P653">
        <f t="shared" si="994"/>
        <v>5.8823529411766384E-2</v>
      </c>
      <c r="Q653">
        <f t="shared" si="995"/>
        <v>129487.00647059192</v>
      </c>
      <c r="R653">
        <f t="shared" si="996"/>
        <v>-15991439.109842114</v>
      </c>
      <c r="S653">
        <f t="shared" si="997"/>
        <v>-159.91439109842113</v>
      </c>
      <c r="T653">
        <f t="shared" si="998"/>
        <v>-0.15991439109842112</v>
      </c>
    </row>
    <row r="654" spans="1:20" x14ac:dyDescent="0.25">
      <c r="A654" s="5">
        <v>43939</v>
      </c>
      <c r="B654">
        <v>9.6500000000000002E-2</v>
      </c>
      <c r="C654">
        <v>0.10009999999999999</v>
      </c>
      <c r="D654">
        <v>9.4899999999999998E-2</v>
      </c>
      <c r="E654">
        <v>9.5899999999999999E-2</v>
      </c>
      <c r="F654">
        <v>3222801.23</v>
      </c>
      <c r="G654">
        <v>0</v>
      </c>
      <c r="L654" t="s">
        <v>7</v>
      </c>
      <c r="M654" t="s">
        <v>8</v>
      </c>
      <c r="N654" t="s">
        <v>8</v>
      </c>
      <c r="P654">
        <f t="shared" si="994"/>
        <v>-0.61538461538461475</v>
      </c>
      <c r="Q654">
        <f t="shared" si="995"/>
        <v>-1983262.2953846133</v>
      </c>
      <c r="R654">
        <f t="shared" si="996"/>
        <v>-16120926.116312707</v>
      </c>
      <c r="S654">
        <f t="shared" si="997"/>
        <v>-161.20926116312708</v>
      </c>
      <c r="T654">
        <f t="shared" si="998"/>
        <v>-0.16120926116312709</v>
      </c>
    </row>
    <row r="655" spans="1:20" x14ac:dyDescent="0.25">
      <c r="A655" s="5">
        <v>43938</v>
      </c>
      <c r="B655">
        <v>8.8700000000000001E-2</v>
      </c>
      <c r="C655">
        <v>0.1038</v>
      </c>
      <c r="D655">
        <v>8.8200000000000001E-2</v>
      </c>
      <c r="E655">
        <v>9.69E-2</v>
      </c>
      <c r="F655">
        <v>7602909.0899999999</v>
      </c>
      <c r="G655">
        <v>0</v>
      </c>
      <c r="L655" t="s">
        <v>8</v>
      </c>
      <c r="M655" t="s">
        <v>8</v>
      </c>
      <c r="N655" t="s">
        <v>8</v>
      </c>
      <c r="P655">
        <f t="shared" si="994"/>
        <v>0.11538461538461511</v>
      </c>
      <c r="Q655">
        <f t="shared" si="995"/>
        <v>877258.74115384405</v>
      </c>
      <c r="R655">
        <f t="shared" si="996"/>
        <v>-14137663.820928093</v>
      </c>
      <c r="S655">
        <f t="shared" si="997"/>
        <v>-141.37663820928094</v>
      </c>
      <c r="T655">
        <f t="shared" si="998"/>
        <v>-0.14137663820928095</v>
      </c>
    </row>
    <row r="656" spans="1:20" x14ac:dyDescent="0.25">
      <c r="A656" s="5">
        <v>43937</v>
      </c>
      <c r="B656">
        <v>8.6199999999999999E-2</v>
      </c>
      <c r="C656">
        <v>9.0700000000000003E-2</v>
      </c>
      <c r="D656">
        <v>8.4599999999999995E-2</v>
      </c>
      <c r="E656">
        <v>8.8700000000000001E-2</v>
      </c>
      <c r="F656">
        <v>1803923.87</v>
      </c>
      <c r="G656">
        <v>0</v>
      </c>
      <c r="L656" t="s">
        <v>7</v>
      </c>
      <c r="M656" t="s">
        <v>8</v>
      </c>
      <c r="N656" t="s">
        <v>8</v>
      </c>
      <c r="P656">
        <f t="shared" si="994"/>
        <v>0.34426229508196748</v>
      </c>
      <c r="Q656">
        <f t="shared" si="995"/>
        <v>621022.97163934482</v>
      </c>
      <c r="R656">
        <f t="shared" si="996"/>
        <v>-15014922.562081937</v>
      </c>
      <c r="S656">
        <f t="shared" si="997"/>
        <v>-150.14922562081938</v>
      </c>
      <c r="T656">
        <f t="shared" si="998"/>
        <v>-0.15014922562081939</v>
      </c>
    </row>
    <row r="657" spans="1:20" x14ac:dyDescent="0.25">
      <c r="A657" s="5">
        <v>43936</v>
      </c>
      <c r="B657">
        <v>8.7800000000000003E-2</v>
      </c>
      <c r="C657">
        <v>9.2100000000000001E-2</v>
      </c>
      <c r="D657">
        <v>8.43E-2</v>
      </c>
      <c r="E657">
        <v>8.6599999999999996E-2</v>
      </c>
      <c r="F657">
        <v>3802405.93</v>
      </c>
      <c r="G657">
        <v>0</v>
      </c>
      <c r="L657" t="s">
        <v>7</v>
      </c>
      <c r="M657" t="s">
        <v>8</v>
      </c>
      <c r="N657" t="s">
        <v>8</v>
      </c>
      <c r="P657">
        <f t="shared" si="994"/>
        <v>-0.41025641025641124</v>
      </c>
      <c r="Q657">
        <f t="shared" si="995"/>
        <v>-1559961.4071794909</v>
      </c>
      <c r="R657">
        <f t="shared" si="996"/>
        <v>-15635945.533721281</v>
      </c>
      <c r="S657">
        <f t="shared" si="997"/>
        <v>-156.35945533721281</v>
      </c>
      <c r="T657">
        <f t="shared" si="998"/>
        <v>-0.15635945533721279</v>
      </c>
    </row>
    <row r="658" spans="1:20" x14ac:dyDescent="0.25">
      <c r="A658" s="5">
        <v>43935</v>
      </c>
      <c r="B658">
        <v>8.5099999999999995E-2</v>
      </c>
      <c r="C658">
        <v>9.5100000000000004E-2</v>
      </c>
      <c r="D658">
        <v>8.2699999999999996E-2</v>
      </c>
      <c r="E658">
        <v>8.7900000000000006E-2</v>
      </c>
      <c r="F658">
        <v>4703592.1500000004</v>
      </c>
      <c r="G658">
        <v>0</v>
      </c>
      <c r="L658" t="s">
        <v>8</v>
      </c>
      <c r="M658" t="s">
        <v>8</v>
      </c>
      <c r="N658" t="s">
        <v>8</v>
      </c>
      <c r="P658">
        <f t="shared" si="994"/>
        <v>-0.16129032258064407</v>
      </c>
      <c r="Q658">
        <f t="shared" si="995"/>
        <v>-758643.8951612853</v>
      </c>
      <c r="R658">
        <f t="shared" si="996"/>
        <v>-14075984.12654179</v>
      </c>
      <c r="S658">
        <f t="shared" si="997"/>
        <v>-140.75984126541789</v>
      </c>
      <c r="T658">
        <f t="shared" si="998"/>
        <v>-0.14075984126541788</v>
      </c>
    </row>
    <row r="659" spans="1:20" x14ac:dyDescent="0.25">
      <c r="A659" s="5">
        <v>43934</v>
      </c>
      <c r="B659">
        <v>8.2900000000000001E-2</v>
      </c>
      <c r="C659">
        <v>9.7500000000000003E-2</v>
      </c>
      <c r="D659">
        <v>7.8700000000000006E-2</v>
      </c>
      <c r="E659">
        <v>8.5000000000000006E-2</v>
      </c>
      <c r="F659">
        <v>5159668.72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-0.32978723404255311</v>
      </c>
      <c r="Q659">
        <f t="shared" si="995"/>
        <v>-1701592.8757446804</v>
      </c>
      <c r="R659">
        <f t="shared" si="996"/>
        <v>-13317340.231380504</v>
      </c>
      <c r="S659">
        <f t="shared" si="997"/>
        <v>-133.17340231380504</v>
      </c>
      <c r="T659">
        <f t="shared" si="998"/>
        <v>-0.13317340231380503</v>
      </c>
    </row>
    <row r="660" spans="1:20" x14ac:dyDescent="0.25">
      <c r="A660" s="5">
        <v>43933</v>
      </c>
      <c r="B660">
        <v>8.3299999999999999E-2</v>
      </c>
      <c r="C660">
        <v>8.6099999999999996E-2</v>
      </c>
      <c r="D660">
        <v>8.2000000000000003E-2</v>
      </c>
      <c r="E660">
        <v>8.2900000000000001E-2</v>
      </c>
      <c r="F660">
        <v>594312.87</v>
      </c>
      <c r="G660">
        <v>0</v>
      </c>
      <c r="L660" t="s">
        <v>7</v>
      </c>
      <c r="M660" t="s">
        <v>7</v>
      </c>
      <c r="N660" t="s">
        <v>8</v>
      </c>
      <c r="P660">
        <f t="shared" si="994"/>
        <v>-0.56097560975609773</v>
      </c>
      <c r="Q660">
        <f t="shared" si="995"/>
        <v>-333395.02463414642</v>
      </c>
      <c r="R660">
        <f t="shared" si="996"/>
        <v>-11615747.355635824</v>
      </c>
      <c r="S660">
        <f t="shared" si="997"/>
        <v>-116.15747355635824</v>
      </c>
      <c r="T660">
        <f t="shared" si="998"/>
        <v>-0.11615747355635823</v>
      </c>
    </row>
    <row r="661" spans="1:20" x14ac:dyDescent="0.25">
      <c r="A661" s="5">
        <v>43932</v>
      </c>
      <c r="B661">
        <v>8.5500000000000007E-2</v>
      </c>
      <c r="C661">
        <v>9.0899999999999995E-2</v>
      </c>
      <c r="D661">
        <v>8.14E-2</v>
      </c>
      <c r="E661">
        <v>8.2699999999999996E-2</v>
      </c>
      <c r="F661">
        <v>1148730.8500000001</v>
      </c>
      <c r="G661">
        <v>0</v>
      </c>
      <c r="L661" t="s">
        <v>8</v>
      </c>
      <c r="M661" t="s">
        <v>7</v>
      </c>
      <c r="N661" t="s">
        <v>8</v>
      </c>
      <c r="P661">
        <f t="shared" si="994"/>
        <v>-0.72631578947368503</v>
      </c>
      <c r="Q661">
        <f t="shared" si="995"/>
        <v>-834341.35421052726</v>
      </c>
      <c r="R661">
        <f t="shared" si="996"/>
        <v>-11282352.331001677</v>
      </c>
      <c r="S661">
        <f t="shared" si="997"/>
        <v>-112.82352331001677</v>
      </c>
      <c r="T661">
        <f t="shared" si="998"/>
        <v>-0.11282352331001677</v>
      </c>
    </row>
    <row r="662" spans="1:20" x14ac:dyDescent="0.25">
      <c r="A662" s="5">
        <v>43931</v>
      </c>
      <c r="B662">
        <v>9.01E-2</v>
      </c>
      <c r="C662">
        <v>9.0200000000000002E-2</v>
      </c>
      <c r="D662">
        <v>8.0399999999999999E-2</v>
      </c>
      <c r="E662">
        <v>8.5000000000000006E-2</v>
      </c>
      <c r="F662">
        <v>2392067.1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-6.122448979591727E-2</v>
      </c>
      <c r="Q662">
        <f t="shared" si="995"/>
        <v>-146453.08775509943</v>
      </c>
      <c r="R662">
        <f t="shared" si="996"/>
        <v>-10448010.976791149</v>
      </c>
      <c r="S662">
        <f t="shared" si="997"/>
        <v>-104.48010976791149</v>
      </c>
      <c r="T662">
        <f t="shared" si="998"/>
        <v>-0.10448010976791149</v>
      </c>
    </row>
    <row r="663" spans="1:20" x14ac:dyDescent="0.25">
      <c r="A663" s="5">
        <v>43930</v>
      </c>
      <c r="B663">
        <v>9.2200000000000004E-2</v>
      </c>
      <c r="C663">
        <v>9.3399999999999997E-2</v>
      </c>
      <c r="D663">
        <v>8.7999999999999995E-2</v>
      </c>
      <c r="E663">
        <v>8.9800000000000005E-2</v>
      </c>
      <c r="F663">
        <v>1017137.85</v>
      </c>
      <c r="G663">
        <v>0</v>
      </c>
      <c r="L663" t="s">
        <v>7</v>
      </c>
      <c r="M663" t="s">
        <v>7</v>
      </c>
      <c r="N663" t="s">
        <v>8</v>
      </c>
      <c r="P663">
        <f t="shared" si="994"/>
        <v>-0.33333333333332993</v>
      </c>
      <c r="Q663">
        <f t="shared" si="995"/>
        <v>-339045.94999999652</v>
      </c>
      <c r="R663">
        <f t="shared" si="996"/>
        <v>-10301557.88903605</v>
      </c>
      <c r="S663">
        <f t="shared" si="997"/>
        <v>-103.0155788903605</v>
      </c>
      <c r="T663">
        <f t="shared" si="998"/>
        <v>-0.1030155788903605</v>
      </c>
    </row>
    <row r="664" spans="1:20" x14ac:dyDescent="0.25">
      <c r="A664" s="5">
        <v>43929</v>
      </c>
      <c r="B664">
        <v>8.5599999999999996E-2</v>
      </c>
      <c r="C664">
        <v>9.4899999999999998E-2</v>
      </c>
      <c r="D664">
        <v>8.4500000000000006E-2</v>
      </c>
      <c r="E664">
        <v>9.1600000000000001E-2</v>
      </c>
      <c r="F664">
        <v>3320098.46</v>
      </c>
      <c r="G664">
        <v>0</v>
      </c>
      <c r="L664" t="s">
        <v>8</v>
      </c>
      <c r="M664" t="s">
        <v>7</v>
      </c>
      <c r="N664" t="s">
        <v>8</v>
      </c>
      <c r="P664">
        <f t="shared" si="994"/>
        <v>0.36538461538461542</v>
      </c>
      <c r="Q664">
        <f t="shared" si="995"/>
        <v>1213112.8988461539</v>
      </c>
      <c r="R664">
        <f t="shared" si="996"/>
        <v>-9962511.9390360527</v>
      </c>
      <c r="S664">
        <f t="shared" si="997"/>
        <v>-99.625119390360524</v>
      </c>
      <c r="T664">
        <f t="shared" si="998"/>
        <v>-9.962511939036052E-2</v>
      </c>
    </row>
    <row r="665" spans="1:20" x14ac:dyDescent="0.25">
      <c r="A665" s="5">
        <v>43928</v>
      </c>
      <c r="B665">
        <v>8.8400000000000006E-2</v>
      </c>
      <c r="C665">
        <v>8.9700000000000002E-2</v>
      </c>
      <c r="D665">
        <v>8.3000000000000004E-2</v>
      </c>
      <c r="E665">
        <v>8.5800000000000001E-2</v>
      </c>
      <c r="F665">
        <v>1949826.57</v>
      </c>
      <c r="G665">
        <v>0</v>
      </c>
      <c r="L665" t="s">
        <v>7</v>
      </c>
      <c r="M665" t="s">
        <v>7</v>
      </c>
      <c r="N665" t="s">
        <v>8</v>
      </c>
      <c r="P665">
        <f t="shared" si="994"/>
        <v>-0.16417910447761255</v>
      </c>
      <c r="Q665">
        <f t="shared" si="995"/>
        <v>-320120.78014925495</v>
      </c>
      <c r="R665">
        <f t="shared" si="996"/>
        <v>-11175624.837882206</v>
      </c>
      <c r="S665">
        <f t="shared" si="997"/>
        <v>-111.75624837882206</v>
      </c>
      <c r="T665">
        <f t="shared" si="998"/>
        <v>-0.11175624837882206</v>
      </c>
    </row>
    <row r="666" spans="1:20" x14ac:dyDescent="0.25">
      <c r="A666" s="5">
        <v>43927</v>
      </c>
      <c r="B666">
        <v>8.5999999999999993E-2</v>
      </c>
      <c r="C666">
        <v>8.8800000000000004E-2</v>
      </c>
      <c r="D666">
        <v>8.5199999999999998E-2</v>
      </c>
      <c r="E666">
        <v>8.7800000000000003E-2</v>
      </c>
      <c r="F666">
        <v>2540908.9500000002</v>
      </c>
      <c r="G666">
        <v>0</v>
      </c>
      <c r="L666" t="s">
        <v>8</v>
      </c>
      <c r="M666" t="s">
        <v>7</v>
      </c>
      <c r="N666" t="s">
        <v>8</v>
      </c>
      <c r="P666">
        <f t="shared" si="994"/>
        <v>0.44444444444444486</v>
      </c>
      <c r="Q666">
        <f t="shared" si="995"/>
        <v>1129292.8666666679</v>
      </c>
      <c r="R666">
        <f t="shared" si="996"/>
        <v>-10855504.057732951</v>
      </c>
      <c r="S666">
        <f t="shared" si="997"/>
        <v>-108.55504057732951</v>
      </c>
      <c r="T666">
        <f t="shared" si="998"/>
        <v>-0.10855504057732951</v>
      </c>
    </row>
    <row r="667" spans="1:20" x14ac:dyDescent="0.25">
      <c r="A667" s="5">
        <v>43926</v>
      </c>
      <c r="B667">
        <v>8.72E-2</v>
      </c>
      <c r="C667">
        <v>0.09</v>
      </c>
      <c r="D667">
        <v>8.4500000000000006E-2</v>
      </c>
      <c r="E667">
        <v>8.5999999999999993E-2</v>
      </c>
      <c r="F667">
        <v>2681184.86</v>
      </c>
      <c r="G667">
        <v>0</v>
      </c>
      <c r="L667" t="s">
        <v>8</v>
      </c>
      <c r="M667" t="s">
        <v>7</v>
      </c>
      <c r="N667" t="s">
        <v>8</v>
      </c>
      <c r="P667">
        <f t="shared" si="994"/>
        <v>-0.45454545454545819</v>
      </c>
      <c r="Q667">
        <f t="shared" si="995"/>
        <v>-1218720.3909091006</v>
      </c>
      <c r="R667">
        <f t="shared" si="996"/>
        <v>-11984796.924399618</v>
      </c>
      <c r="S667">
        <f t="shared" si="997"/>
        <v>-119.84796924399618</v>
      </c>
      <c r="T667">
        <f t="shared" si="998"/>
        <v>-0.11984796924399617</v>
      </c>
    </row>
    <row r="668" spans="1:20" x14ac:dyDescent="0.25">
      <c r="A668" s="5">
        <v>43925</v>
      </c>
      <c r="B668">
        <v>9.2899999999999996E-2</v>
      </c>
      <c r="C668">
        <v>9.8000000000000004E-2</v>
      </c>
      <c r="D668">
        <v>8.3400000000000002E-2</v>
      </c>
      <c r="E668">
        <v>8.7300000000000003E-2</v>
      </c>
      <c r="F668">
        <v>7238706.9400000004</v>
      </c>
      <c r="G668">
        <v>0</v>
      </c>
      <c r="L668" t="s">
        <v>7</v>
      </c>
      <c r="M668" t="s">
        <v>7</v>
      </c>
      <c r="N668" t="s">
        <v>8</v>
      </c>
      <c r="P668">
        <f t="shared" si="994"/>
        <v>-0.46575342465753422</v>
      </c>
      <c r="Q668">
        <f t="shared" si="995"/>
        <v>-3371452.5473972601</v>
      </c>
      <c r="R668">
        <f t="shared" si="996"/>
        <v>-10766076.533490518</v>
      </c>
      <c r="S668">
        <f t="shared" si="997"/>
        <v>-107.66076533490518</v>
      </c>
      <c r="T668">
        <f t="shared" si="998"/>
        <v>-0.10766076533490518</v>
      </c>
    </row>
    <row r="669" spans="1:20" x14ac:dyDescent="0.25">
      <c r="A669" s="5">
        <v>43924</v>
      </c>
      <c r="B669">
        <v>7.6100000000000001E-2</v>
      </c>
      <c r="C669">
        <v>0.10630000000000001</v>
      </c>
      <c r="D669">
        <v>7.5300000000000006E-2</v>
      </c>
      <c r="E669">
        <v>9.2600000000000002E-2</v>
      </c>
      <c r="F669">
        <v>13499442.550000001</v>
      </c>
      <c r="G669">
        <v>0</v>
      </c>
      <c r="L669" t="s">
        <v>8</v>
      </c>
      <c r="M669" t="s">
        <v>8</v>
      </c>
      <c r="N669" t="s">
        <v>8</v>
      </c>
      <c r="P669">
        <f t="shared" si="994"/>
        <v>0.11612903225806426</v>
      </c>
      <c r="Q669">
        <f t="shared" si="995"/>
        <v>1567677.1993548353</v>
      </c>
      <c r="R669">
        <f t="shared" si="996"/>
        <v>-7394623.9860932585</v>
      </c>
      <c r="S669">
        <f t="shared" si="997"/>
        <v>-73.946239860932579</v>
      </c>
      <c r="T669">
        <f t="shared" si="998"/>
        <v>-7.3946239860932572E-2</v>
      </c>
    </row>
    <row r="670" spans="1:20" x14ac:dyDescent="0.25">
      <c r="A670" s="5">
        <v>43923</v>
      </c>
      <c r="B670">
        <v>7.5899999999999995E-2</v>
      </c>
      <c r="C670">
        <v>7.9500000000000001E-2</v>
      </c>
      <c r="D670">
        <v>7.5200000000000003E-2</v>
      </c>
      <c r="E670">
        <v>7.6499999999999999E-2</v>
      </c>
      <c r="F670">
        <v>1214574.01</v>
      </c>
      <c r="G670">
        <v>0</v>
      </c>
      <c r="L670" t="s">
        <v>8</v>
      </c>
      <c r="M670" t="s">
        <v>7</v>
      </c>
      <c r="N670" t="s">
        <v>7</v>
      </c>
      <c r="P670">
        <f t="shared" si="994"/>
        <v>-0.39534883720930414</v>
      </c>
      <c r="Q670">
        <f t="shared" si="995"/>
        <v>-480180.42255814176</v>
      </c>
      <c r="R670">
        <f t="shared" si="996"/>
        <v>-8962301.1854480933</v>
      </c>
      <c r="S670">
        <f t="shared" si="997"/>
        <v>-89.623011854480936</v>
      </c>
      <c r="T670">
        <f t="shared" si="998"/>
        <v>-8.9623011854480933E-2</v>
      </c>
    </row>
    <row r="671" spans="1:20" x14ac:dyDescent="0.25">
      <c r="A671" s="5">
        <v>43922</v>
      </c>
      <c r="B671">
        <v>7.8399999999999997E-2</v>
      </c>
      <c r="C671">
        <v>7.85E-2</v>
      </c>
      <c r="D671">
        <v>7.2900000000000006E-2</v>
      </c>
      <c r="E671">
        <v>7.5700000000000003E-2</v>
      </c>
      <c r="F671">
        <v>1482047.51</v>
      </c>
      <c r="G671">
        <v>0</v>
      </c>
      <c r="L671" t="s">
        <v>7</v>
      </c>
      <c r="M671" t="s">
        <v>7</v>
      </c>
      <c r="N671" t="s">
        <v>7</v>
      </c>
      <c r="P671">
        <f t="shared" si="994"/>
        <v>0</v>
      </c>
      <c r="Q671">
        <f t="shared" si="995"/>
        <v>0</v>
      </c>
      <c r="R671">
        <f t="shared" si="996"/>
        <v>-8482120.7628899515</v>
      </c>
      <c r="S671">
        <f t="shared" si="997"/>
        <v>-84.821207628899515</v>
      </c>
      <c r="T671">
        <f t="shared" si="998"/>
        <v>-8.4821207628899511E-2</v>
      </c>
    </row>
    <row r="672" spans="1:20" x14ac:dyDescent="0.25">
      <c r="A672" s="5">
        <v>43921</v>
      </c>
      <c r="B672">
        <v>7.6899999999999996E-2</v>
      </c>
      <c r="C672">
        <v>9.9500000000000005E-2</v>
      </c>
      <c r="D672">
        <v>7.4899999999999994E-2</v>
      </c>
      <c r="E672">
        <v>7.85E-2</v>
      </c>
      <c r="F672">
        <v>5366089.99</v>
      </c>
      <c r="G672">
        <v>0</v>
      </c>
      <c r="L672" t="s">
        <v>8</v>
      </c>
      <c r="M672" t="s">
        <v>8</v>
      </c>
      <c r="N672" t="s">
        <v>7</v>
      </c>
      <c r="P672">
        <f t="shared" si="994"/>
        <v>-0.70731707317073134</v>
      </c>
      <c r="Q672">
        <f t="shared" si="995"/>
        <v>-3795527.0660975589</v>
      </c>
      <c r="R672">
        <f t="shared" si="996"/>
        <v>-8482120.7628899515</v>
      </c>
      <c r="S672">
        <f t="shared" si="997"/>
        <v>-84.821207628899515</v>
      </c>
      <c r="T672">
        <f t="shared" si="998"/>
        <v>-8.4821207628899511E-2</v>
      </c>
    </row>
    <row r="673" spans="1:20" x14ac:dyDescent="0.25">
      <c r="A673" s="5">
        <v>43920</v>
      </c>
      <c r="B673">
        <v>7.1499999999999994E-2</v>
      </c>
      <c r="C673">
        <v>8.4000000000000005E-2</v>
      </c>
      <c r="D673">
        <v>7.0900000000000005E-2</v>
      </c>
      <c r="E673">
        <v>7.6399999999999996E-2</v>
      </c>
      <c r="F673">
        <v>3206417.78</v>
      </c>
      <c r="G673">
        <v>0</v>
      </c>
      <c r="L673" t="s">
        <v>8</v>
      </c>
      <c r="M673" t="s">
        <v>8</v>
      </c>
      <c r="N673" t="s">
        <v>7</v>
      </c>
      <c r="P673">
        <f t="shared" si="994"/>
        <v>-0.16030534351145179</v>
      </c>
      <c r="Q673">
        <f t="shared" si="995"/>
        <v>-514005.90366412658</v>
      </c>
      <c r="R673">
        <f t="shared" si="996"/>
        <v>-4686593.6967923921</v>
      </c>
      <c r="S673">
        <f t="shared" si="997"/>
        <v>-46.865936967923922</v>
      </c>
      <c r="T673">
        <f t="shared" si="998"/>
        <v>-4.6865936967923918E-2</v>
      </c>
    </row>
    <row r="674" spans="1:20" x14ac:dyDescent="0.25">
      <c r="A674" s="5">
        <v>43919</v>
      </c>
      <c r="B674">
        <v>8.2600000000000007E-2</v>
      </c>
      <c r="C674">
        <v>8.3199999999999996E-2</v>
      </c>
      <c r="D674">
        <v>7.0699999999999999E-2</v>
      </c>
      <c r="E674">
        <v>7.1900000000000006E-2</v>
      </c>
      <c r="F674">
        <v>1980635.87</v>
      </c>
      <c r="G674">
        <v>0</v>
      </c>
      <c r="L674" t="s">
        <v>7</v>
      </c>
      <c r="M674" t="s">
        <v>7</v>
      </c>
      <c r="N674" t="s">
        <v>7</v>
      </c>
      <c r="P674">
        <f t="shared" si="994"/>
        <v>-0.80799999999999894</v>
      </c>
      <c r="Q674">
        <f t="shared" si="995"/>
        <v>-1600353.7829599979</v>
      </c>
      <c r="R674">
        <f t="shared" si="996"/>
        <v>-4172587.7931282651</v>
      </c>
      <c r="S674">
        <f t="shared" si="997"/>
        <v>-41.725877931282653</v>
      </c>
      <c r="T674">
        <f t="shared" si="998"/>
        <v>-4.1725877931282657E-2</v>
      </c>
    </row>
    <row r="675" spans="1:20" x14ac:dyDescent="0.25">
      <c r="A675" s="5">
        <v>43918</v>
      </c>
      <c r="B675">
        <v>8.7300000000000003E-2</v>
      </c>
      <c r="C675">
        <v>9.2899999999999996E-2</v>
      </c>
      <c r="D675">
        <v>7.8700000000000006E-2</v>
      </c>
      <c r="E675">
        <v>8.2600000000000007E-2</v>
      </c>
      <c r="F675">
        <v>9380138.5</v>
      </c>
      <c r="G675">
        <v>0</v>
      </c>
      <c r="L675" t="s">
        <v>7</v>
      </c>
      <c r="M675" t="s">
        <v>7</v>
      </c>
      <c r="N675" t="s">
        <v>7</v>
      </c>
      <c r="P675">
        <f t="shared" si="994"/>
        <v>-0.45070422535211219</v>
      </c>
      <c r="Q675">
        <f t="shared" si="995"/>
        <v>-4227668.0563380234</v>
      </c>
      <c r="R675">
        <f t="shared" si="996"/>
        <v>-2572234.0101682674</v>
      </c>
      <c r="S675">
        <f t="shared" si="997"/>
        <v>-25.722340101682676</v>
      </c>
      <c r="T675">
        <f t="shared" si="998"/>
        <v>-2.5722340101682676E-2</v>
      </c>
    </row>
    <row r="676" spans="1:20" x14ac:dyDescent="0.25">
      <c r="A676" s="5">
        <v>43917</v>
      </c>
      <c r="B676">
        <v>5.3499999999999999E-2</v>
      </c>
      <c r="C676">
        <v>0.11890000000000001</v>
      </c>
      <c r="D676">
        <v>5.28E-2</v>
      </c>
      <c r="E676">
        <v>8.6900000000000005E-2</v>
      </c>
      <c r="F676">
        <v>39390561.399999999</v>
      </c>
      <c r="G676">
        <v>0</v>
      </c>
      <c r="L676" t="s">
        <v>8</v>
      </c>
      <c r="M676" t="s">
        <v>8</v>
      </c>
      <c r="N676" t="s">
        <v>8</v>
      </c>
      <c r="P676">
        <f t="shared" si="994"/>
        <v>3.177004538577919E-2</v>
      </c>
      <c r="Q676">
        <f t="shared" si="995"/>
        <v>1251439.9234493219</v>
      </c>
      <c r="R676">
        <f t="shared" si="996"/>
        <v>1655434.0461697562</v>
      </c>
      <c r="S676">
        <f t="shared" si="997"/>
        <v>16.554340461697564</v>
      </c>
      <c r="T676">
        <f t="shared" si="998"/>
        <v>1.6554340461697563E-2</v>
      </c>
    </row>
    <row r="677" spans="1:20" x14ac:dyDescent="0.25">
      <c r="A677" s="5">
        <v>43916</v>
      </c>
      <c r="B677">
        <v>5.2900000000000003E-2</v>
      </c>
      <c r="C677">
        <v>5.2999999999999999E-2</v>
      </c>
      <c r="D677">
        <v>4.8500000000000001E-2</v>
      </c>
      <c r="E677">
        <v>5.2999999999999999E-2</v>
      </c>
      <c r="F677">
        <v>1680885.48</v>
      </c>
      <c r="G677">
        <v>0</v>
      </c>
      <c r="L677" t="s">
        <v>7</v>
      </c>
      <c r="M677" t="s">
        <v>7</v>
      </c>
      <c r="N677" t="s">
        <v>8</v>
      </c>
      <c r="P677">
        <f t="shared" si="994"/>
        <v>1</v>
      </c>
      <c r="Q677">
        <f t="shared" si="995"/>
        <v>1680885.48</v>
      </c>
      <c r="R677">
        <f t="shared" si="996"/>
        <v>403994.12272043433</v>
      </c>
      <c r="S677">
        <f t="shared" si="997"/>
        <v>4.0399412272043431</v>
      </c>
      <c r="T677">
        <f t="shared" si="998"/>
        <v>4.039941227204343E-3</v>
      </c>
    </row>
    <row r="678" spans="1:20" x14ac:dyDescent="0.25">
      <c r="A678" s="5">
        <v>43915</v>
      </c>
      <c r="B678">
        <v>5.3900000000000003E-2</v>
      </c>
      <c r="C678">
        <v>5.5E-2</v>
      </c>
      <c r="D678">
        <v>5.0799999999999998E-2</v>
      </c>
      <c r="E678">
        <v>5.2600000000000001E-2</v>
      </c>
      <c r="F678">
        <v>886301.23</v>
      </c>
      <c r="G678">
        <v>0</v>
      </c>
      <c r="L678" t="s">
        <v>7</v>
      </c>
      <c r="M678" t="s">
        <v>7</v>
      </c>
      <c r="N678" t="s">
        <v>8</v>
      </c>
      <c r="P678">
        <f t="shared" si="994"/>
        <v>-0.14285714285714191</v>
      </c>
      <c r="Q678">
        <f t="shared" si="995"/>
        <v>-126614.46142857058</v>
      </c>
      <c r="R678">
        <f t="shared" si="996"/>
        <v>-1276891.3572795657</v>
      </c>
      <c r="S678">
        <f t="shared" si="997"/>
        <v>-12.768913572795656</v>
      </c>
      <c r="T678">
        <f t="shared" si="998"/>
        <v>-1.2768913572795656E-2</v>
      </c>
    </row>
    <row r="679" spans="1:20" x14ac:dyDescent="0.25">
      <c r="A679" s="5">
        <v>43914</v>
      </c>
      <c r="B679">
        <v>5.21E-2</v>
      </c>
      <c r="C679">
        <v>6.5000000000000002E-2</v>
      </c>
      <c r="D679">
        <v>5.0099999999999999E-2</v>
      </c>
      <c r="E679">
        <v>5.4800000000000001E-2</v>
      </c>
      <c r="F679">
        <v>2488270.36</v>
      </c>
      <c r="G679">
        <v>0</v>
      </c>
      <c r="L679" t="s">
        <v>8</v>
      </c>
      <c r="M679" t="s">
        <v>8</v>
      </c>
      <c r="N679" t="s">
        <v>8</v>
      </c>
      <c r="P679">
        <f t="shared" si="994"/>
        <v>-0.36912751677852329</v>
      </c>
      <c r="Q679">
        <f t="shared" si="995"/>
        <v>-918489.0590604021</v>
      </c>
      <c r="R679">
        <f t="shared" si="996"/>
        <v>-1150276.8958509951</v>
      </c>
      <c r="S679">
        <f t="shared" si="997"/>
        <v>-11.50276895850995</v>
      </c>
      <c r="T679">
        <f t="shared" si="998"/>
        <v>-1.150276895850995E-2</v>
      </c>
    </row>
    <row r="680" spans="1:20" x14ac:dyDescent="0.25">
      <c r="A680" s="5">
        <v>43913</v>
      </c>
      <c r="B680">
        <v>4.4400000000000002E-2</v>
      </c>
      <c r="C680">
        <v>5.3400000000000003E-2</v>
      </c>
      <c r="D680">
        <v>4.3700000000000003E-2</v>
      </c>
      <c r="E680">
        <v>5.1999999999999998E-2</v>
      </c>
      <c r="F680">
        <v>1981959.03</v>
      </c>
      <c r="G680">
        <v>0</v>
      </c>
      <c r="L680" t="s">
        <v>7</v>
      </c>
      <c r="M680" t="s">
        <v>8</v>
      </c>
      <c r="N680" t="s">
        <v>8</v>
      </c>
      <c r="P680">
        <f t="shared" si="994"/>
        <v>0.71134020618556593</v>
      </c>
      <c r="Q680">
        <f t="shared" si="995"/>
        <v>1409847.1450515443</v>
      </c>
      <c r="R680">
        <f t="shared" si="996"/>
        <v>-231787.83679059288</v>
      </c>
      <c r="S680">
        <f t="shared" si="997"/>
        <v>-2.3178783679059287</v>
      </c>
      <c r="T680">
        <f t="shared" si="998"/>
        <v>-2.3178783679059286E-3</v>
      </c>
    </row>
    <row r="681" spans="1:20" x14ac:dyDescent="0.25">
      <c r="A681" s="5">
        <v>43912</v>
      </c>
      <c r="B681">
        <v>5.1499999999999997E-2</v>
      </c>
      <c r="C681">
        <v>5.79E-2</v>
      </c>
      <c r="D681">
        <v>4.3900000000000002E-2</v>
      </c>
      <c r="E681">
        <v>4.4400000000000002E-2</v>
      </c>
      <c r="F681">
        <v>891579.09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-0.92857142857142849</v>
      </c>
      <c r="Q681">
        <f t="shared" si="995"/>
        <v>-827894.86928571423</v>
      </c>
      <c r="R681">
        <f t="shared" si="996"/>
        <v>-1641634.9818421372</v>
      </c>
      <c r="S681">
        <f t="shared" si="997"/>
        <v>-16.41634981842137</v>
      </c>
      <c r="T681">
        <f t="shared" si="998"/>
        <v>-1.6416349818421369E-2</v>
      </c>
    </row>
    <row r="682" spans="1:20" x14ac:dyDescent="0.25">
      <c r="A682" s="5">
        <v>43911</v>
      </c>
      <c r="B682">
        <v>4.53E-2</v>
      </c>
      <c r="C682">
        <v>5.4300000000000001E-2</v>
      </c>
      <c r="D682">
        <v>4.4699999999999997E-2</v>
      </c>
      <c r="E682">
        <v>5.1499999999999997E-2</v>
      </c>
      <c r="F682">
        <v>1443544.31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0.41666666666666613</v>
      </c>
      <c r="Q682">
        <f t="shared" si="995"/>
        <v>601476.79583333258</v>
      </c>
      <c r="R682">
        <f t="shared" si="996"/>
        <v>-813740.11255642294</v>
      </c>
      <c r="S682">
        <f t="shared" si="997"/>
        <v>-8.1374011255642298</v>
      </c>
      <c r="T682">
        <f t="shared" si="998"/>
        <v>-8.1374011255642299E-3</v>
      </c>
    </row>
    <row r="683" spans="1:20" x14ac:dyDescent="0.25">
      <c r="A683" s="5">
        <v>43910</v>
      </c>
      <c r="B683">
        <v>4.7500000000000001E-2</v>
      </c>
      <c r="C683">
        <v>5.9900000000000002E-2</v>
      </c>
      <c r="D683">
        <v>4.02E-2</v>
      </c>
      <c r="E683">
        <v>4.53E-2</v>
      </c>
      <c r="F683">
        <v>4430843.82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-0.48223350253807107</v>
      </c>
      <c r="Q683">
        <f t="shared" si="995"/>
        <v>-2136701.3345177667</v>
      </c>
      <c r="R683">
        <f t="shared" si="996"/>
        <v>-1415216.9083897555</v>
      </c>
      <c r="S683">
        <f t="shared" si="997"/>
        <v>-14.152169083897554</v>
      </c>
      <c r="T683">
        <f t="shared" si="998"/>
        <v>-1.4152169083897555E-2</v>
      </c>
    </row>
    <row r="684" spans="1:20" x14ac:dyDescent="0.25">
      <c r="A684" s="5">
        <v>43909</v>
      </c>
      <c r="B684">
        <v>4.0599999999999997E-2</v>
      </c>
      <c r="C684">
        <v>4.8899999999999999E-2</v>
      </c>
      <c r="D684">
        <v>4.0099999999999997E-2</v>
      </c>
      <c r="E684">
        <v>4.7500000000000001E-2</v>
      </c>
      <c r="F684">
        <v>875460.41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0.68181818181818221</v>
      </c>
      <c r="Q684">
        <f t="shared" si="995"/>
        <v>596904.82500000042</v>
      </c>
      <c r="R684">
        <f t="shared" si="996"/>
        <v>721484.4261280112</v>
      </c>
      <c r="S684">
        <f t="shared" si="997"/>
        <v>7.2148442612801116</v>
      </c>
      <c r="T684">
        <f t="shared" si="998"/>
        <v>7.2148442612801119E-3</v>
      </c>
    </row>
    <row r="685" spans="1:20" x14ac:dyDescent="0.25">
      <c r="A685" s="5">
        <v>43908</v>
      </c>
      <c r="B685">
        <v>4.0399999999999998E-2</v>
      </c>
      <c r="C685">
        <v>4.07E-2</v>
      </c>
      <c r="D685">
        <v>3.6600000000000001E-2</v>
      </c>
      <c r="E685">
        <v>4.0300000000000002E-2</v>
      </c>
      <c r="F685">
        <v>390330.41</v>
      </c>
      <c r="G685">
        <v>0</v>
      </c>
      <c r="L685" t="s">
        <v>7</v>
      </c>
      <c r="M685" t="s">
        <v>8</v>
      </c>
      <c r="N685" t="s">
        <v>7</v>
      </c>
      <c r="P685">
        <f t="shared" si="994"/>
        <v>0.80487804878048896</v>
      </c>
      <c r="Q685">
        <f t="shared" si="995"/>
        <v>314168.37878048822</v>
      </c>
      <c r="R685">
        <f t="shared" si="996"/>
        <v>124579.60112801078</v>
      </c>
      <c r="S685">
        <f t="shared" si="997"/>
        <v>1.2457960112801079</v>
      </c>
      <c r="T685">
        <f t="shared" si="998"/>
        <v>1.2457960112801079E-3</v>
      </c>
    </row>
    <row r="686" spans="1:20" x14ac:dyDescent="0.25">
      <c r="A686" s="5">
        <v>43907</v>
      </c>
      <c r="B686">
        <v>3.7400000000000003E-2</v>
      </c>
      <c r="C686">
        <v>4.1099999999999998E-2</v>
      </c>
      <c r="D686">
        <v>3.6999999999999998E-2</v>
      </c>
      <c r="E686">
        <v>4.0399999999999998E-2</v>
      </c>
      <c r="F686">
        <v>646903.25</v>
      </c>
      <c r="G686">
        <v>0</v>
      </c>
      <c r="L686" t="s">
        <v>8</v>
      </c>
      <c r="M686" t="s">
        <v>8</v>
      </c>
      <c r="N686" t="s">
        <v>7</v>
      </c>
      <c r="P686">
        <f t="shared" si="994"/>
        <v>0.65853658536585402</v>
      </c>
      <c r="Q686">
        <f t="shared" si="995"/>
        <v>426009.45731707342</v>
      </c>
      <c r="R686">
        <f t="shared" si="996"/>
        <v>-189588.77765247744</v>
      </c>
      <c r="S686">
        <f t="shared" si="997"/>
        <v>-1.8958877765247744</v>
      </c>
      <c r="T686">
        <f t="shared" si="998"/>
        <v>-1.8958877765247743E-3</v>
      </c>
    </row>
    <row r="687" spans="1:20" x14ac:dyDescent="0.25">
      <c r="A687" s="5">
        <v>43906</v>
      </c>
      <c r="B687">
        <v>4.2200000000000001E-2</v>
      </c>
      <c r="C687">
        <v>4.8399999999999999E-2</v>
      </c>
      <c r="D687">
        <v>3.2500000000000001E-2</v>
      </c>
      <c r="E687">
        <v>3.7499999999999999E-2</v>
      </c>
      <c r="F687">
        <v>975458.34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-0.3710691823899373</v>
      </c>
      <c r="Q687">
        <f t="shared" si="995"/>
        <v>-361962.52867924544</v>
      </c>
      <c r="R687">
        <f t="shared" si="996"/>
        <v>-615598.23496955086</v>
      </c>
      <c r="S687">
        <f t="shared" si="997"/>
        <v>-6.1559823496955088</v>
      </c>
      <c r="T687">
        <f t="shared" si="998"/>
        <v>-6.1559823496955086E-3</v>
      </c>
    </row>
    <row r="688" spans="1:20" x14ac:dyDescent="0.25">
      <c r="A688" s="5">
        <v>43905</v>
      </c>
      <c r="B688">
        <v>3.9699999999999999E-2</v>
      </c>
      <c r="C688">
        <v>4.8599999999999997E-2</v>
      </c>
      <c r="D688">
        <v>3.9699999999999999E-2</v>
      </c>
      <c r="E688">
        <v>4.2999999999999997E-2</v>
      </c>
      <c r="F688">
        <v>707486.34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-0.2584269662921353</v>
      </c>
      <c r="Q688">
        <f t="shared" si="995"/>
        <v>-182833.54853932618</v>
      </c>
      <c r="R688">
        <f t="shared" si="996"/>
        <v>-253635.70629030542</v>
      </c>
      <c r="S688">
        <f t="shared" si="997"/>
        <v>-2.5363570629030541</v>
      </c>
      <c r="T688">
        <f t="shared" si="998"/>
        <v>-2.5363570629030542E-3</v>
      </c>
    </row>
    <row r="689" spans="1:20" x14ac:dyDescent="0.25">
      <c r="A689" s="5">
        <v>43904</v>
      </c>
      <c r="B689">
        <v>4.2299999999999997E-2</v>
      </c>
      <c r="C689">
        <v>4.3999999999999997E-2</v>
      </c>
      <c r="D689">
        <v>3.8699999999999998E-2</v>
      </c>
      <c r="E689">
        <v>3.9199999999999999E-2</v>
      </c>
      <c r="F689">
        <v>548368.06999999995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-0.81132075471698095</v>
      </c>
      <c r="Q689">
        <f t="shared" si="995"/>
        <v>-444902.3964150942</v>
      </c>
      <c r="R689">
        <f t="shared" si="996"/>
        <v>-70802.157750979241</v>
      </c>
      <c r="S689">
        <f t="shared" si="997"/>
        <v>-0.70802157750979244</v>
      </c>
      <c r="T689">
        <f t="shared" si="998"/>
        <v>-7.0802157750979246E-4</v>
      </c>
    </row>
    <row r="690" spans="1:20" x14ac:dyDescent="0.25">
      <c r="A690" s="5">
        <v>43903</v>
      </c>
      <c r="B690">
        <v>4.2099999999999999E-2</v>
      </c>
      <c r="C690">
        <v>4.8599999999999997E-2</v>
      </c>
      <c r="D690">
        <v>2.5100000000000001E-2</v>
      </c>
      <c r="E690">
        <v>4.3299999999999998E-2</v>
      </c>
      <c r="F690">
        <v>1167293.73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0.54893617021276597</v>
      </c>
      <c r="Q690">
        <f t="shared" si="995"/>
        <v>640769.74965957447</v>
      </c>
      <c r="R690">
        <f t="shared" si="996"/>
        <v>374100.23866411496</v>
      </c>
      <c r="S690">
        <f t="shared" si="997"/>
        <v>3.7410023866411497</v>
      </c>
      <c r="T690">
        <f t="shared" si="998"/>
        <v>3.7410023866411499E-3</v>
      </c>
    </row>
    <row r="691" spans="1:20" x14ac:dyDescent="0.25">
      <c r="A691" s="5">
        <v>43902</v>
      </c>
      <c r="B691">
        <v>6.8699999999999997E-2</v>
      </c>
      <c r="C691">
        <v>6.8699999999999997E-2</v>
      </c>
      <c r="D691">
        <v>3.7900000000000003E-2</v>
      </c>
      <c r="E691">
        <v>4.1599999999999998E-2</v>
      </c>
      <c r="F691">
        <v>1876129.26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-0.75974025974026005</v>
      </c>
      <c r="Q691">
        <f t="shared" si="995"/>
        <v>-1425370.9312987018</v>
      </c>
      <c r="R691">
        <f t="shared" si="996"/>
        <v>-266669.51099545951</v>
      </c>
      <c r="S691">
        <f t="shared" si="997"/>
        <v>-2.666695109954595</v>
      </c>
      <c r="T691">
        <f t="shared" si="998"/>
        <v>-2.6666951099545951E-3</v>
      </c>
    </row>
    <row r="692" spans="1:20" x14ac:dyDescent="0.25">
      <c r="A692" s="5">
        <v>43901</v>
      </c>
      <c r="B692">
        <v>6.8400000000000002E-2</v>
      </c>
      <c r="C692">
        <v>7.0099999999999996E-2</v>
      </c>
      <c r="D692">
        <v>6.3E-2</v>
      </c>
      <c r="E692">
        <v>6.8000000000000005E-2</v>
      </c>
      <c r="F692">
        <v>812999.94</v>
      </c>
      <c r="G692">
        <v>0</v>
      </c>
      <c r="L692" t="s">
        <v>7</v>
      </c>
      <c r="M692" t="s">
        <v>8</v>
      </c>
      <c r="N692" t="s">
        <v>7</v>
      </c>
      <c r="P692">
        <f t="shared" si="994"/>
        <v>0.40845070422535429</v>
      </c>
      <c r="Q692">
        <f t="shared" si="995"/>
        <v>332070.39802817075</v>
      </c>
      <c r="R692">
        <f t="shared" si="996"/>
        <v>1158701.4203032423</v>
      </c>
      <c r="S692">
        <f t="shared" si="997"/>
        <v>11.587014203032423</v>
      </c>
      <c r="T692">
        <f t="shared" si="998"/>
        <v>1.1587014203032422E-2</v>
      </c>
    </row>
    <row r="693" spans="1:20" x14ac:dyDescent="0.25">
      <c r="A693" s="5">
        <v>43900</v>
      </c>
      <c r="B693">
        <v>6.6000000000000003E-2</v>
      </c>
      <c r="C693">
        <v>7.2800000000000004E-2</v>
      </c>
      <c r="D693">
        <v>6.4899999999999999E-2</v>
      </c>
      <c r="E693">
        <v>6.8699999999999997E-2</v>
      </c>
      <c r="F693">
        <v>732397.27</v>
      </c>
      <c r="G693">
        <v>0</v>
      </c>
      <c r="L693" t="s">
        <v>8</v>
      </c>
      <c r="M693" t="s">
        <v>8</v>
      </c>
      <c r="N693" t="s">
        <v>7</v>
      </c>
      <c r="P693">
        <f t="shared" si="994"/>
        <v>-3.7974683544304867E-2</v>
      </c>
      <c r="Q693">
        <f t="shared" si="995"/>
        <v>-27812.554556962808</v>
      </c>
      <c r="R693">
        <f t="shared" si="996"/>
        <v>826631.02227507147</v>
      </c>
      <c r="S693">
        <f t="shared" si="997"/>
        <v>8.2663102227507146</v>
      </c>
      <c r="T693">
        <f t="shared" si="998"/>
        <v>8.2663102227507144E-3</v>
      </c>
    </row>
    <row r="694" spans="1:20" x14ac:dyDescent="0.25">
      <c r="A694" s="5">
        <v>43899</v>
      </c>
      <c r="B694">
        <v>6.7199999999999996E-2</v>
      </c>
      <c r="C694">
        <v>6.8199999999999997E-2</v>
      </c>
      <c r="D694">
        <v>6.1499999999999999E-2</v>
      </c>
      <c r="E694">
        <v>6.5699999999999995E-2</v>
      </c>
      <c r="F694">
        <v>797801.06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0.25373134328358116</v>
      </c>
      <c r="Q694">
        <f t="shared" si="995"/>
        <v>202427.13462686495</v>
      </c>
      <c r="R694">
        <f t="shared" si="996"/>
        <v>854443.57683203428</v>
      </c>
      <c r="S694">
        <f t="shared" si="997"/>
        <v>8.5444357683203425</v>
      </c>
      <c r="T694">
        <f t="shared" si="998"/>
        <v>8.5444357683203426E-3</v>
      </c>
    </row>
    <row r="695" spans="1:20" x14ac:dyDescent="0.25">
      <c r="A695" s="5">
        <v>43898</v>
      </c>
      <c r="B695">
        <v>8.1600000000000006E-2</v>
      </c>
      <c r="C695">
        <v>8.1600000000000006E-2</v>
      </c>
      <c r="D695">
        <v>6.6799999999999998E-2</v>
      </c>
      <c r="E695">
        <v>6.7100000000000007E-2</v>
      </c>
      <c r="F695">
        <v>972274.23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-0.95945945945945832</v>
      </c>
      <c r="Q695">
        <f t="shared" si="995"/>
        <v>-932857.70716216101</v>
      </c>
      <c r="R695">
        <f t="shared" si="996"/>
        <v>652016.44220516935</v>
      </c>
      <c r="S695">
        <f t="shared" si="997"/>
        <v>6.5201644220516934</v>
      </c>
      <c r="T695">
        <f t="shared" si="998"/>
        <v>6.5201644220516932E-3</v>
      </c>
    </row>
    <row r="696" spans="1:20" x14ac:dyDescent="0.25">
      <c r="A696" s="5">
        <v>43897</v>
      </c>
      <c r="B696">
        <v>8.4900000000000003E-2</v>
      </c>
      <c r="C696">
        <v>8.8099999999999998E-2</v>
      </c>
      <c r="D696">
        <v>7.8299999999999995E-2</v>
      </c>
      <c r="E696">
        <v>8.2100000000000006E-2</v>
      </c>
      <c r="F696">
        <v>1188522.6399999999</v>
      </c>
      <c r="G696">
        <v>0</v>
      </c>
      <c r="L696" t="s">
        <v>8</v>
      </c>
      <c r="M696" t="s">
        <v>8</v>
      </c>
      <c r="N696" t="s">
        <v>7</v>
      </c>
      <c r="P696">
        <f t="shared" si="994"/>
        <v>-0.22448979591836521</v>
      </c>
      <c r="Q696">
        <f t="shared" si="995"/>
        <v>-266811.20489795663</v>
      </c>
      <c r="R696">
        <f t="shared" si="996"/>
        <v>1584874.1493673304</v>
      </c>
      <c r="S696">
        <f t="shared" si="997"/>
        <v>15.848741493673304</v>
      </c>
      <c r="T696">
        <f t="shared" si="998"/>
        <v>1.5848741493673303E-2</v>
      </c>
    </row>
    <row r="697" spans="1:20" x14ac:dyDescent="0.25">
      <c r="A697" s="5">
        <v>43896</v>
      </c>
      <c r="B697">
        <v>8.2000000000000003E-2</v>
      </c>
      <c r="C697">
        <v>8.5000000000000006E-2</v>
      </c>
      <c r="D697">
        <v>7.9500000000000001E-2</v>
      </c>
      <c r="E697">
        <v>8.4599999999999995E-2</v>
      </c>
      <c r="F697">
        <v>953849.42</v>
      </c>
      <c r="G697">
        <v>0</v>
      </c>
      <c r="L697" t="s">
        <v>8</v>
      </c>
      <c r="M697" t="s">
        <v>8</v>
      </c>
      <c r="N697" t="s">
        <v>7</v>
      </c>
      <c r="P697">
        <f t="shared" si="994"/>
        <v>0.8545454545454505</v>
      </c>
      <c r="Q697">
        <f t="shared" si="995"/>
        <v>815107.68618181441</v>
      </c>
      <c r="R697">
        <f t="shared" si="996"/>
        <v>1851685.3542652871</v>
      </c>
      <c r="S697">
        <f t="shared" si="997"/>
        <v>18.516853542652871</v>
      </c>
      <c r="T697">
        <f t="shared" si="998"/>
        <v>1.851685354265287E-2</v>
      </c>
    </row>
    <row r="698" spans="1:20" x14ac:dyDescent="0.25">
      <c r="A698" s="5">
        <v>43895</v>
      </c>
      <c r="B698">
        <v>8.1299999999999997E-2</v>
      </c>
      <c r="C698">
        <v>8.5800000000000001E-2</v>
      </c>
      <c r="D698">
        <v>8.1199999999999994E-2</v>
      </c>
      <c r="E698">
        <v>8.2199999999999995E-2</v>
      </c>
      <c r="F698">
        <v>582286.16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-0.56521739130434812</v>
      </c>
      <c r="Q698">
        <f t="shared" si="995"/>
        <v>-329118.26434782625</v>
      </c>
      <c r="R698">
        <f t="shared" si="996"/>
        <v>1036577.6680834725</v>
      </c>
      <c r="S698">
        <f t="shared" si="997"/>
        <v>10.365776680834726</v>
      </c>
      <c r="T698">
        <f t="shared" si="998"/>
        <v>1.0365776680834726E-2</v>
      </c>
    </row>
    <row r="699" spans="1:20" x14ac:dyDescent="0.25">
      <c r="A699" s="5">
        <v>43894</v>
      </c>
      <c r="B699">
        <v>7.8700000000000006E-2</v>
      </c>
      <c r="C699">
        <v>8.3099999999999993E-2</v>
      </c>
      <c r="D699">
        <v>7.8299999999999995E-2</v>
      </c>
      <c r="E699">
        <v>8.1299999999999997E-2</v>
      </c>
      <c r="F699">
        <v>379044.13</v>
      </c>
      <c r="G699">
        <v>0</v>
      </c>
      <c r="L699" t="s">
        <v>8</v>
      </c>
      <c r="M699" t="s">
        <v>8</v>
      </c>
      <c r="N699" t="s">
        <v>7</v>
      </c>
      <c r="P699">
        <f t="shared" si="994"/>
        <v>0.25000000000000144</v>
      </c>
      <c r="Q699">
        <f t="shared" si="995"/>
        <v>94761.032500000554</v>
      </c>
      <c r="R699">
        <f t="shared" si="996"/>
        <v>1365695.9324312988</v>
      </c>
      <c r="S699">
        <f t="shared" si="997"/>
        <v>13.656959324312988</v>
      </c>
      <c r="T699">
        <f t="shared" si="998"/>
        <v>1.3656959324312988E-2</v>
      </c>
    </row>
    <row r="700" spans="1:20" x14ac:dyDescent="0.25">
      <c r="A700" s="5">
        <v>43893</v>
      </c>
      <c r="B700">
        <v>7.7100000000000002E-2</v>
      </c>
      <c r="C700">
        <v>8.3500000000000005E-2</v>
      </c>
      <c r="D700">
        <v>7.5999999999999998E-2</v>
      </c>
      <c r="E700">
        <v>7.9000000000000001E-2</v>
      </c>
      <c r="F700">
        <v>912127.13</v>
      </c>
      <c r="G700">
        <v>0</v>
      </c>
      <c r="L700" t="s">
        <v>8</v>
      </c>
      <c r="M700" t="s">
        <v>8</v>
      </c>
      <c r="N700" t="s">
        <v>7</v>
      </c>
      <c r="P700">
        <f t="shared" si="994"/>
        <v>-0.2</v>
      </c>
      <c r="Q700">
        <f t="shared" si="995"/>
        <v>-182425.42600000001</v>
      </c>
      <c r="R700">
        <f t="shared" si="996"/>
        <v>1270934.8999312981</v>
      </c>
      <c r="S700">
        <f t="shared" si="997"/>
        <v>12.709348999312981</v>
      </c>
      <c r="T700">
        <f t="shared" si="998"/>
        <v>1.2709348999312982E-2</v>
      </c>
    </row>
    <row r="701" spans="1:20" x14ac:dyDescent="0.25">
      <c r="A701" s="5">
        <v>43892</v>
      </c>
      <c r="B701">
        <v>7.3999999999999996E-2</v>
      </c>
      <c r="C701">
        <v>7.8299999999999995E-2</v>
      </c>
      <c r="D701">
        <v>7.3599999999999999E-2</v>
      </c>
      <c r="E701">
        <v>7.7299999999999994E-2</v>
      </c>
      <c r="F701">
        <v>557963.27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0.57446808510638225</v>
      </c>
      <c r="Q701">
        <f t="shared" si="995"/>
        <v>320532.09127659537</v>
      </c>
      <c r="R701">
        <f t="shared" si="996"/>
        <v>1453360.3259312981</v>
      </c>
      <c r="S701">
        <f t="shared" si="997"/>
        <v>14.533603259312981</v>
      </c>
      <c r="T701">
        <f t="shared" si="998"/>
        <v>1.4533603259312982E-2</v>
      </c>
    </row>
    <row r="702" spans="1:20" x14ac:dyDescent="0.25">
      <c r="A702" s="5">
        <v>43891</v>
      </c>
      <c r="B702">
        <v>7.3999999999999996E-2</v>
      </c>
      <c r="C702">
        <v>7.7600000000000002E-2</v>
      </c>
      <c r="D702">
        <v>7.1900000000000006E-2</v>
      </c>
      <c r="E702">
        <v>7.3999999999999996E-2</v>
      </c>
      <c r="F702">
        <v>519812.25</v>
      </c>
      <c r="G702">
        <v>0</v>
      </c>
      <c r="L702" t="s">
        <v>8</v>
      </c>
      <c r="M702" t="s">
        <v>7</v>
      </c>
      <c r="N702" t="s">
        <v>7</v>
      </c>
      <c r="P702">
        <f t="shared" si="994"/>
        <v>-0.26315789473684492</v>
      </c>
      <c r="Q702">
        <f t="shared" si="995"/>
        <v>-136792.69736842252</v>
      </c>
      <c r="R702">
        <f t="shared" si="996"/>
        <v>1132828.2346547027</v>
      </c>
      <c r="S702">
        <f t="shared" si="997"/>
        <v>11.328282346547027</v>
      </c>
      <c r="T702">
        <f t="shared" si="998"/>
        <v>1.1328282346547027E-2</v>
      </c>
    </row>
    <row r="703" spans="1:20" x14ac:dyDescent="0.25">
      <c r="A703" s="5">
        <v>43890</v>
      </c>
      <c r="B703">
        <v>7.5800000000000006E-2</v>
      </c>
      <c r="C703">
        <v>7.7700000000000005E-2</v>
      </c>
      <c r="D703">
        <v>7.3599999999999999E-2</v>
      </c>
      <c r="E703">
        <v>7.3599999999999999E-2</v>
      </c>
      <c r="F703">
        <v>169848.75</v>
      </c>
      <c r="G703">
        <v>0</v>
      </c>
      <c r="L703" t="s">
        <v>8</v>
      </c>
      <c r="M703" t="s">
        <v>7</v>
      </c>
      <c r="N703" t="s">
        <v>7</v>
      </c>
      <c r="P703">
        <f t="shared" si="994"/>
        <v>-1</v>
      </c>
      <c r="Q703">
        <f t="shared" si="995"/>
        <v>-169848.75</v>
      </c>
      <c r="R703">
        <f t="shared" si="996"/>
        <v>1269620.9320231252</v>
      </c>
      <c r="S703">
        <f t="shared" si="997"/>
        <v>12.696209320231253</v>
      </c>
      <c r="T703">
        <f t="shared" si="998"/>
        <v>1.2696209320231253E-2</v>
      </c>
    </row>
    <row r="704" spans="1:20" x14ac:dyDescent="0.25">
      <c r="A704" s="5">
        <v>43889</v>
      </c>
      <c r="B704">
        <v>7.6600000000000001E-2</v>
      </c>
      <c r="C704">
        <v>7.9600000000000004E-2</v>
      </c>
      <c r="D704">
        <v>7.17E-2</v>
      </c>
      <c r="E704">
        <v>7.51E-2</v>
      </c>
      <c r="F704">
        <v>549319.92000000004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-0.13924050632911433</v>
      </c>
      <c r="Q704">
        <f t="shared" si="995"/>
        <v>-76487.583797468586</v>
      </c>
      <c r="R704">
        <f t="shared" si="996"/>
        <v>1439469.6820231252</v>
      </c>
      <c r="S704">
        <f t="shared" si="997"/>
        <v>14.394696820231252</v>
      </c>
      <c r="T704">
        <f t="shared" si="998"/>
        <v>1.4394696820231251E-2</v>
      </c>
    </row>
    <row r="705" spans="1:20" x14ac:dyDescent="0.25">
      <c r="A705" s="5">
        <v>43888</v>
      </c>
      <c r="B705">
        <v>7.5200000000000003E-2</v>
      </c>
      <c r="C705">
        <v>8.2299999999999998E-2</v>
      </c>
      <c r="D705">
        <v>7.0499999999999993E-2</v>
      </c>
      <c r="E705">
        <v>7.6399999999999996E-2</v>
      </c>
      <c r="F705">
        <v>716812.56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0</v>
      </c>
      <c r="Q705">
        <f t="shared" si="995"/>
        <v>0</v>
      </c>
      <c r="R705">
        <f t="shared" si="996"/>
        <v>1515957.2658205938</v>
      </c>
      <c r="S705">
        <f t="shared" si="997"/>
        <v>15.159572658205938</v>
      </c>
      <c r="T705">
        <f t="shared" si="998"/>
        <v>1.5159572658205939E-2</v>
      </c>
    </row>
    <row r="706" spans="1:20" x14ac:dyDescent="0.25">
      <c r="A706" s="5">
        <v>43887</v>
      </c>
      <c r="B706">
        <v>8.7300000000000003E-2</v>
      </c>
      <c r="C706">
        <v>8.7300000000000003E-2</v>
      </c>
      <c r="D706">
        <v>7.0999999999999994E-2</v>
      </c>
      <c r="E706">
        <v>7.5200000000000003E-2</v>
      </c>
      <c r="F706">
        <v>1297926.3400000001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-0.48466257668711571</v>
      </c>
      <c r="Q706">
        <f t="shared" si="995"/>
        <v>-629056.32429447747</v>
      </c>
      <c r="R706">
        <f t="shared" si="996"/>
        <v>1515957.2658205938</v>
      </c>
      <c r="S706">
        <f t="shared" si="997"/>
        <v>15.159572658205938</v>
      </c>
      <c r="T706">
        <f t="shared" si="998"/>
        <v>1.5159572658205939E-2</v>
      </c>
    </row>
    <row r="707" spans="1:20" x14ac:dyDescent="0.25">
      <c r="A707" s="5">
        <v>43886</v>
      </c>
      <c r="B707">
        <v>9.3600000000000003E-2</v>
      </c>
      <c r="C707">
        <v>9.9900000000000003E-2</v>
      </c>
      <c r="D707">
        <v>8.5900000000000004E-2</v>
      </c>
      <c r="E707">
        <v>8.7499999999999994E-2</v>
      </c>
      <c r="F707">
        <v>1649650.9</v>
      </c>
      <c r="G707">
        <v>0</v>
      </c>
      <c r="L707" t="s">
        <v>8</v>
      </c>
      <c r="M707" t="s">
        <v>7</v>
      </c>
      <c r="N707" t="s">
        <v>7</v>
      </c>
      <c r="P707">
        <f t="shared" si="994"/>
        <v>-0.7714285714285728</v>
      </c>
      <c r="Q707">
        <f t="shared" si="995"/>
        <v>-1272587.8371428594</v>
      </c>
      <c r="R707">
        <f t="shared" si="996"/>
        <v>2145013.5901150713</v>
      </c>
      <c r="S707">
        <f t="shared" si="997"/>
        <v>21.450135901150713</v>
      </c>
      <c r="T707">
        <f t="shared" si="998"/>
        <v>2.1450135901150712E-2</v>
      </c>
    </row>
    <row r="708" spans="1:20" x14ac:dyDescent="0.25">
      <c r="A708" s="5">
        <v>43885</v>
      </c>
      <c r="B708">
        <v>9.2100000000000001E-2</v>
      </c>
      <c r="C708">
        <v>9.8000000000000004E-2</v>
      </c>
      <c r="D708">
        <v>8.8300000000000003E-2</v>
      </c>
      <c r="E708">
        <v>9.2899999999999996E-2</v>
      </c>
      <c r="F708">
        <v>1678155.31</v>
      </c>
      <c r="G708">
        <v>0</v>
      </c>
      <c r="L708" t="s">
        <v>8</v>
      </c>
      <c r="M708" t="s">
        <v>7</v>
      </c>
      <c r="N708" t="s">
        <v>7</v>
      </c>
      <c r="P708">
        <f t="shared" si="994"/>
        <v>-5.1546391752578795E-2</v>
      </c>
      <c r="Q708">
        <f t="shared" si="995"/>
        <v>-86502.851030930309</v>
      </c>
      <c r="R708">
        <f t="shared" si="996"/>
        <v>3417601.4272579309</v>
      </c>
      <c r="S708">
        <f t="shared" si="997"/>
        <v>34.176014272579309</v>
      </c>
      <c r="T708">
        <f t="shared" si="998"/>
        <v>3.4176014272579311E-2</v>
      </c>
    </row>
    <row r="709" spans="1:20" x14ac:dyDescent="0.25">
      <c r="A709" s="5">
        <v>43884</v>
      </c>
      <c r="B709">
        <v>8.9499999999999996E-2</v>
      </c>
      <c r="C709">
        <v>9.5000000000000001E-2</v>
      </c>
      <c r="D709">
        <v>8.8800000000000004E-2</v>
      </c>
      <c r="E709">
        <v>9.1700000000000004E-2</v>
      </c>
      <c r="F709">
        <v>486104.56</v>
      </c>
      <c r="G709">
        <v>0</v>
      </c>
      <c r="L709" t="s">
        <v>8</v>
      </c>
      <c r="M709" t="s">
        <v>7</v>
      </c>
      <c r="N709" t="s">
        <v>7</v>
      </c>
      <c r="P709">
        <f t="shared" si="994"/>
        <v>-6.4516129032257702E-2</v>
      </c>
      <c r="Q709">
        <f t="shared" si="995"/>
        <v>-31361.584516128856</v>
      </c>
      <c r="R709">
        <f t="shared" si="996"/>
        <v>3504104.2782888613</v>
      </c>
      <c r="S709">
        <f t="shared" si="997"/>
        <v>35.04104278288861</v>
      </c>
      <c r="T709">
        <f t="shared" si="998"/>
        <v>3.504104278288861E-2</v>
      </c>
    </row>
    <row r="710" spans="1:20" x14ac:dyDescent="0.25">
      <c r="A710" s="5">
        <v>43883</v>
      </c>
      <c r="B710">
        <v>0.09</v>
      </c>
      <c r="C710">
        <v>9.2399999999999996E-2</v>
      </c>
      <c r="D710">
        <v>8.5099999999999995E-2</v>
      </c>
      <c r="E710">
        <v>8.8900000000000007E-2</v>
      </c>
      <c r="F710">
        <v>400241.96</v>
      </c>
      <c r="G710">
        <v>0</v>
      </c>
      <c r="L710" t="s">
        <v>7</v>
      </c>
      <c r="M710" t="s">
        <v>7</v>
      </c>
      <c r="N710" t="s">
        <v>7</v>
      </c>
      <c r="P710">
        <f t="shared" ref="P710:P766" si="999">IF(C710=D710,0,((E710-D710)-(C710-E710))/(C710-D710))</f>
        <v>4.1095890410961976E-2</v>
      </c>
      <c r="Q710">
        <f t="shared" ref="Q710:Q766" si="1000">F710*P710</f>
        <v>16448.299726028628</v>
      </c>
      <c r="R710">
        <f t="shared" ref="R710:R766" si="1001">R711+Q710</f>
        <v>3535465.8628049903</v>
      </c>
      <c r="S710">
        <f t="shared" ref="S710:S766" si="1002">R710/100000</f>
        <v>35.354658628049904</v>
      </c>
      <c r="T710">
        <f t="shared" ref="T710:T766" si="1003">S710/1000</f>
        <v>3.5354658628049901E-2</v>
      </c>
    </row>
    <row r="711" spans="1:20" x14ac:dyDescent="0.25">
      <c r="A711" s="5">
        <v>43882</v>
      </c>
      <c r="B711">
        <v>8.9200000000000002E-2</v>
      </c>
      <c r="C711">
        <v>9.6799999999999997E-2</v>
      </c>
      <c r="D711">
        <v>8.8200000000000001E-2</v>
      </c>
      <c r="E711">
        <v>9.0200000000000002E-2</v>
      </c>
      <c r="F711">
        <v>550778.98</v>
      </c>
      <c r="G711">
        <v>0</v>
      </c>
      <c r="L711" t="s">
        <v>8</v>
      </c>
      <c r="M711" t="s">
        <v>7</v>
      </c>
      <c r="N711" t="s">
        <v>7</v>
      </c>
      <c r="P711">
        <f t="shared" si="999"/>
        <v>-0.53488372093023195</v>
      </c>
      <c r="Q711">
        <f t="shared" si="1000"/>
        <v>-294602.71023255779</v>
      </c>
      <c r="R711">
        <f t="shared" si="1001"/>
        <v>3519017.5630789618</v>
      </c>
      <c r="S711">
        <f t="shared" si="1002"/>
        <v>35.190175630789618</v>
      </c>
      <c r="T711">
        <f t="shared" si="1003"/>
        <v>3.5190175630789619E-2</v>
      </c>
    </row>
    <row r="712" spans="1:20" x14ac:dyDescent="0.25">
      <c r="A712" s="5">
        <v>43881</v>
      </c>
      <c r="B712">
        <v>8.9599999999999999E-2</v>
      </c>
      <c r="C712">
        <v>9.2399999999999996E-2</v>
      </c>
      <c r="D712">
        <v>8.4000000000000005E-2</v>
      </c>
      <c r="E712">
        <v>8.9399999999999993E-2</v>
      </c>
      <c r="F712">
        <v>811462.37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0.28571428571428431</v>
      </c>
      <c r="Q712">
        <f t="shared" si="1000"/>
        <v>231846.39142857029</v>
      </c>
      <c r="R712">
        <f t="shared" si="1001"/>
        <v>3813620.2733115195</v>
      </c>
      <c r="S712">
        <f t="shared" si="1002"/>
        <v>38.136202733115198</v>
      </c>
      <c r="T712">
        <f t="shared" si="1003"/>
        <v>3.8136202733115195E-2</v>
      </c>
    </row>
    <row r="713" spans="1:20" x14ac:dyDescent="0.25">
      <c r="A713" s="5">
        <v>43880</v>
      </c>
      <c r="B713">
        <v>0.1008</v>
      </c>
      <c r="C713">
        <v>0.1043</v>
      </c>
      <c r="D713">
        <v>8.8800000000000004E-2</v>
      </c>
      <c r="E713">
        <v>8.9599999999999999E-2</v>
      </c>
      <c r="F713">
        <v>479965.26</v>
      </c>
      <c r="G713">
        <v>0</v>
      </c>
      <c r="L713" t="s">
        <v>7</v>
      </c>
      <c r="M713" t="s">
        <v>8</v>
      </c>
      <c r="N713" t="s">
        <v>7</v>
      </c>
      <c r="P713">
        <f t="shared" si="999"/>
        <v>-0.89677419354838772</v>
      </c>
      <c r="Q713">
        <f t="shared" si="1000"/>
        <v>-430420.45896774222</v>
      </c>
      <c r="R713">
        <f t="shared" si="1001"/>
        <v>3581773.8818829493</v>
      </c>
      <c r="S713">
        <f t="shared" si="1002"/>
        <v>35.81773881882949</v>
      </c>
      <c r="T713">
        <f t="shared" si="1003"/>
        <v>3.5817738818829492E-2</v>
      </c>
    </row>
    <row r="714" spans="1:20" x14ac:dyDescent="0.25">
      <c r="A714" s="5">
        <v>43879</v>
      </c>
      <c r="B714">
        <v>9.7900000000000001E-2</v>
      </c>
      <c r="C714">
        <v>0.1043</v>
      </c>
      <c r="D714">
        <v>9.0499999999999997E-2</v>
      </c>
      <c r="E714">
        <v>0.1012</v>
      </c>
      <c r="F714">
        <v>576626.6</v>
      </c>
      <c r="G714">
        <v>0</v>
      </c>
      <c r="L714" t="s">
        <v>8</v>
      </c>
      <c r="M714" t="s">
        <v>8</v>
      </c>
      <c r="N714" t="s">
        <v>7</v>
      </c>
      <c r="P714">
        <f t="shared" si="999"/>
        <v>0.55072463768115887</v>
      </c>
      <c r="Q714">
        <f t="shared" si="1000"/>
        <v>317562.47536231851</v>
      </c>
      <c r="R714">
        <f t="shared" si="1001"/>
        <v>4012194.3408506913</v>
      </c>
      <c r="S714">
        <f t="shared" si="1002"/>
        <v>40.121943408506915</v>
      </c>
      <c r="T714">
        <f t="shared" si="1003"/>
        <v>4.0121943408506916E-2</v>
      </c>
    </row>
    <row r="715" spans="1:20" x14ac:dyDescent="0.25">
      <c r="A715" s="5">
        <v>43878</v>
      </c>
      <c r="B715">
        <v>0.10050000000000001</v>
      </c>
      <c r="C715">
        <v>0.1013</v>
      </c>
      <c r="D715">
        <v>8.77E-2</v>
      </c>
      <c r="E715">
        <v>9.69E-2</v>
      </c>
      <c r="F715">
        <v>1140922.8999999999</v>
      </c>
      <c r="G715">
        <v>0</v>
      </c>
      <c r="L715" t="s">
        <v>8</v>
      </c>
      <c r="M715" t="s">
        <v>8</v>
      </c>
      <c r="N715" t="s">
        <v>7</v>
      </c>
      <c r="P715">
        <f t="shared" si="999"/>
        <v>0.35294117647058809</v>
      </c>
      <c r="Q715">
        <f t="shared" si="1000"/>
        <v>402678.67058823508</v>
      </c>
      <c r="R715">
        <f t="shared" si="1001"/>
        <v>3694631.8654883727</v>
      </c>
      <c r="S715">
        <f t="shared" si="1002"/>
        <v>36.946318654883726</v>
      </c>
      <c r="T715">
        <f t="shared" si="1003"/>
        <v>3.6946318654883722E-2</v>
      </c>
    </row>
    <row r="716" spans="1:20" x14ac:dyDescent="0.25">
      <c r="A716" s="5">
        <v>43877</v>
      </c>
      <c r="B716">
        <v>0.107</v>
      </c>
      <c r="C716">
        <v>0.12</v>
      </c>
      <c r="D716">
        <v>8.6499999999999994E-2</v>
      </c>
      <c r="E716">
        <v>0.10150000000000001</v>
      </c>
      <c r="F716">
        <v>1538649.98</v>
      </c>
      <c r="G716">
        <v>0</v>
      </c>
      <c r="L716" t="s">
        <v>7</v>
      </c>
      <c r="M716" t="s">
        <v>7</v>
      </c>
      <c r="N716" t="s">
        <v>7</v>
      </c>
      <c r="P716">
        <f t="shared" si="999"/>
        <v>-0.10447761194029777</v>
      </c>
      <c r="Q716">
        <f t="shared" si="1000"/>
        <v>-160754.47552238693</v>
      </c>
      <c r="R716">
        <f t="shared" si="1001"/>
        <v>3291953.1949001378</v>
      </c>
      <c r="S716">
        <f t="shared" si="1002"/>
        <v>32.919531949001382</v>
      </c>
      <c r="T716">
        <f t="shared" si="1003"/>
        <v>3.2919531949001379E-2</v>
      </c>
    </row>
    <row r="717" spans="1:20" x14ac:dyDescent="0.25">
      <c r="A717" s="5">
        <v>43876</v>
      </c>
      <c r="B717">
        <v>0.11940000000000001</v>
      </c>
      <c r="C717">
        <v>0.12920000000000001</v>
      </c>
      <c r="D717">
        <v>0.1036</v>
      </c>
      <c r="E717">
        <v>0.1086</v>
      </c>
      <c r="F717">
        <v>1538203.12</v>
      </c>
      <c r="G717">
        <v>0</v>
      </c>
      <c r="L717" t="s">
        <v>7</v>
      </c>
      <c r="M717" t="s">
        <v>8</v>
      </c>
      <c r="N717" t="s">
        <v>8</v>
      </c>
      <c r="P717">
        <f t="shared" si="999"/>
        <v>-0.60937499999999978</v>
      </c>
      <c r="Q717">
        <f t="shared" si="1000"/>
        <v>-937342.52624999976</v>
      </c>
      <c r="R717">
        <f t="shared" si="1001"/>
        <v>3452707.6704225247</v>
      </c>
      <c r="S717">
        <f t="shared" si="1002"/>
        <v>34.527076704225244</v>
      </c>
      <c r="T717">
        <f t="shared" si="1003"/>
        <v>3.4527076704225244E-2</v>
      </c>
    </row>
    <row r="718" spans="1:20" x14ac:dyDescent="0.25">
      <c r="A718" s="5">
        <v>43875</v>
      </c>
      <c r="B718">
        <v>0.1123</v>
      </c>
      <c r="C718">
        <v>0.1285</v>
      </c>
      <c r="D718">
        <v>0.1104</v>
      </c>
      <c r="E718">
        <v>0.1193</v>
      </c>
      <c r="F718">
        <v>926516.86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-1.657458563535882E-2</v>
      </c>
      <c r="Q718">
        <f t="shared" si="1000"/>
        <v>-15356.633038673759</v>
      </c>
      <c r="R718">
        <f t="shared" si="1001"/>
        <v>4390050.1966725243</v>
      </c>
      <c r="S718">
        <f t="shared" si="1002"/>
        <v>43.900501966725244</v>
      </c>
      <c r="T718">
        <f t="shared" si="1003"/>
        <v>4.3900501966725243E-2</v>
      </c>
    </row>
    <row r="719" spans="1:20" x14ac:dyDescent="0.25">
      <c r="A719" s="5">
        <v>43874</v>
      </c>
      <c r="B719">
        <v>0.1193</v>
      </c>
      <c r="C719">
        <v>0.1216</v>
      </c>
      <c r="D719">
        <v>0.1076</v>
      </c>
      <c r="E719">
        <v>0.1119</v>
      </c>
      <c r="F719">
        <v>1008536.74</v>
      </c>
      <c r="G719">
        <v>0</v>
      </c>
      <c r="L719" t="s">
        <v>7</v>
      </c>
      <c r="M719" t="s">
        <v>8</v>
      </c>
      <c r="N719" t="s">
        <v>8</v>
      </c>
      <c r="P719">
        <f t="shared" si="999"/>
        <v>-0.3857142857142859</v>
      </c>
      <c r="Q719">
        <f t="shared" si="1000"/>
        <v>-389007.02828571445</v>
      </c>
      <c r="R719">
        <f t="shared" si="1001"/>
        <v>4405406.8297111979</v>
      </c>
      <c r="S719">
        <f t="shared" si="1002"/>
        <v>44.054068297111982</v>
      </c>
      <c r="T719">
        <f t="shared" si="1003"/>
        <v>4.4054068297111983E-2</v>
      </c>
    </row>
    <row r="720" spans="1:20" x14ac:dyDescent="0.25">
      <c r="A720" s="5">
        <v>43873</v>
      </c>
      <c r="B720">
        <v>0.1032</v>
      </c>
      <c r="C720">
        <v>0.12640000000000001</v>
      </c>
      <c r="D720">
        <v>0.1031</v>
      </c>
      <c r="E720">
        <v>0.1188</v>
      </c>
      <c r="F720">
        <v>3056893.7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0.34763948497854036</v>
      </c>
      <c r="Q720">
        <f t="shared" si="1000"/>
        <v>1062696.9515021448</v>
      </c>
      <c r="R720">
        <f t="shared" si="1001"/>
        <v>4794413.8579969127</v>
      </c>
      <c r="S720">
        <f t="shared" si="1002"/>
        <v>47.944138579969128</v>
      </c>
      <c r="T720">
        <f t="shared" si="1003"/>
        <v>4.7944138579969126E-2</v>
      </c>
    </row>
    <row r="721" spans="1:20" x14ac:dyDescent="0.25">
      <c r="A721" s="5">
        <v>43872</v>
      </c>
      <c r="B721">
        <v>9.9900000000000003E-2</v>
      </c>
      <c r="C721">
        <v>0.10489999999999999</v>
      </c>
      <c r="D721">
        <v>9.5799999999999996E-2</v>
      </c>
      <c r="E721">
        <v>0.1031</v>
      </c>
      <c r="F721">
        <v>958205.61</v>
      </c>
      <c r="G721">
        <v>0</v>
      </c>
      <c r="L721" t="s">
        <v>7</v>
      </c>
      <c r="M721" t="s">
        <v>7</v>
      </c>
      <c r="N721" t="s">
        <v>8</v>
      </c>
      <c r="P721">
        <f t="shared" si="999"/>
        <v>0.60439560439560513</v>
      </c>
      <c r="Q721">
        <f t="shared" si="1000"/>
        <v>579135.25879120955</v>
      </c>
      <c r="R721">
        <f t="shared" si="1001"/>
        <v>3731716.9064947674</v>
      </c>
      <c r="S721">
        <f t="shared" si="1002"/>
        <v>37.317169064947677</v>
      </c>
      <c r="T721">
        <f t="shared" si="1003"/>
        <v>3.7317169064947676E-2</v>
      </c>
    </row>
    <row r="722" spans="1:20" x14ac:dyDescent="0.25">
      <c r="A722" s="5">
        <v>43871</v>
      </c>
      <c r="B722">
        <v>0.1106</v>
      </c>
      <c r="C722">
        <v>0.111</v>
      </c>
      <c r="D722">
        <v>9.69E-2</v>
      </c>
      <c r="E722">
        <v>0.10009999999999999</v>
      </c>
      <c r="F722">
        <v>1195943.1299999999</v>
      </c>
      <c r="G722">
        <v>0</v>
      </c>
      <c r="L722" t="s">
        <v>7</v>
      </c>
      <c r="M722" t="s">
        <v>7</v>
      </c>
      <c r="N722" t="s">
        <v>8</v>
      </c>
      <c r="P722">
        <f t="shared" si="999"/>
        <v>-0.54609929078014263</v>
      </c>
      <c r="Q722">
        <f t="shared" si="1000"/>
        <v>-653103.69510638388</v>
      </c>
      <c r="R722">
        <f t="shared" si="1001"/>
        <v>3152581.6477035577</v>
      </c>
      <c r="S722">
        <f t="shared" si="1002"/>
        <v>31.525816477035576</v>
      </c>
      <c r="T722">
        <f t="shared" si="1003"/>
        <v>3.1525816477035576E-2</v>
      </c>
    </row>
    <row r="723" spans="1:20" x14ac:dyDescent="0.25">
      <c r="A723" s="5">
        <v>43870</v>
      </c>
      <c r="B723">
        <v>0.1046</v>
      </c>
      <c r="C723">
        <v>0.113</v>
      </c>
      <c r="D723">
        <v>9.9299999999999999E-2</v>
      </c>
      <c r="E723">
        <v>0.1103</v>
      </c>
      <c r="F723">
        <v>1672718.3</v>
      </c>
      <c r="G723">
        <v>0</v>
      </c>
      <c r="L723" t="s">
        <v>8</v>
      </c>
      <c r="M723" t="s">
        <v>7</v>
      </c>
      <c r="N723" t="s">
        <v>8</v>
      </c>
      <c r="P723">
        <f t="shared" si="999"/>
        <v>0.60583941605839309</v>
      </c>
      <c r="Q723">
        <f t="shared" si="1000"/>
        <v>1013398.678102188</v>
      </c>
      <c r="R723">
        <f t="shared" si="1001"/>
        <v>3805685.3428099416</v>
      </c>
      <c r="S723">
        <f t="shared" si="1002"/>
        <v>38.056853428099416</v>
      </c>
      <c r="T723">
        <f t="shared" si="1003"/>
        <v>3.8056853428099419E-2</v>
      </c>
    </row>
    <row r="724" spans="1:20" x14ac:dyDescent="0.25">
      <c r="A724" s="5">
        <v>43869</v>
      </c>
      <c r="B724">
        <v>0.1077</v>
      </c>
      <c r="C724">
        <v>0.1089</v>
      </c>
      <c r="D724">
        <v>9.6799999999999997E-2</v>
      </c>
      <c r="E724">
        <v>0.10340000000000001</v>
      </c>
      <c r="F724">
        <v>897858.09</v>
      </c>
      <c r="G724">
        <v>0</v>
      </c>
      <c r="L724" t="s">
        <v>7</v>
      </c>
      <c r="M724" t="s">
        <v>7</v>
      </c>
      <c r="N724" t="s">
        <v>8</v>
      </c>
      <c r="P724">
        <f t="shared" si="999"/>
        <v>9.0909090909092369E-2</v>
      </c>
      <c r="Q724">
        <f t="shared" si="1000"/>
        <v>81623.462727274033</v>
      </c>
      <c r="R724">
        <f t="shared" si="1001"/>
        <v>2792286.6647077538</v>
      </c>
      <c r="S724">
        <f t="shared" si="1002"/>
        <v>27.922866647077537</v>
      </c>
      <c r="T724">
        <f t="shared" si="1003"/>
        <v>2.7922866647077538E-2</v>
      </c>
    </row>
    <row r="725" spans="1:20" x14ac:dyDescent="0.25">
      <c r="A725" s="5">
        <v>43868</v>
      </c>
      <c r="B725">
        <v>9.4299999999999995E-2</v>
      </c>
      <c r="C725">
        <v>0.11990000000000001</v>
      </c>
      <c r="D725">
        <v>9.4100000000000003E-2</v>
      </c>
      <c r="E725">
        <v>0.10829999999999999</v>
      </c>
      <c r="F725">
        <v>2379222.46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0.10077519379844872</v>
      </c>
      <c r="Q725">
        <f t="shared" si="1000"/>
        <v>239766.6044961219</v>
      </c>
      <c r="R725">
        <f t="shared" si="1001"/>
        <v>2710663.20198048</v>
      </c>
      <c r="S725">
        <f t="shared" si="1002"/>
        <v>27.106632019804799</v>
      </c>
      <c r="T725">
        <f t="shared" si="1003"/>
        <v>2.7106632019804799E-2</v>
      </c>
    </row>
    <row r="726" spans="1:20" x14ac:dyDescent="0.25">
      <c r="A726" s="5">
        <v>43867</v>
      </c>
      <c r="B726">
        <v>9.0399999999999994E-2</v>
      </c>
      <c r="C726">
        <v>0.1042</v>
      </c>
      <c r="D726">
        <v>8.8700000000000001E-2</v>
      </c>
      <c r="E726">
        <v>9.4399999999999998E-2</v>
      </c>
      <c r="F726">
        <v>1675341.86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-0.26451612903225846</v>
      </c>
      <c r="Q726">
        <f t="shared" si="1000"/>
        <v>-443154.94361290394</v>
      </c>
      <c r="R726">
        <f t="shared" si="1001"/>
        <v>2470896.5974843581</v>
      </c>
      <c r="S726">
        <f t="shared" si="1002"/>
        <v>24.708965974843583</v>
      </c>
      <c r="T726">
        <f t="shared" si="1003"/>
        <v>2.4708965974843584E-2</v>
      </c>
    </row>
    <row r="727" spans="1:20" x14ac:dyDescent="0.25">
      <c r="A727" s="5">
        <v>43866</v>
      </c>
      <c r="B727">
        <v>8.9499999999999996E-2</v>
      </c>
      <c r="C727">
        <v>9.2499999999999999E-2</v>
      </c>
      <c r="D727">
        <v>8.7300000000000003E-2</v>
      </c>
      <c r="E727">
        <v>0.09</v>
      </c>
      <c r="F727">
        <v>553402.26</v>
      </c>
      <c r="G727">
        <v>0</v>
      </c>
      <c r="L727" t="s">
        <v>8</v>
      </c>
      <c r="M727" t="s">
        <v>8</v>
      </c>
      <c r="N727" t="s">
        <v>8</v>
      </c>
      <c r="P727">
        <f t="shared" si="999"/>
        <v>3.8461538461536923E-2</v>
      </c>
      <c r="Q727">
        <f t="shared" si="1000"/>
        <v>21284.702307691456</v>
      </c>
      <c r="R727">
        <f t="shared" si="1001"/>
        <v>2914051.5410972619</v>
      </c>
      <c r="S727">
        <f t="shared" si="1002"/>
        <v>29.140515410972618</v>
      </c>
      <c r="T727">
        <f t="shared" si="1003"/>
        <v>2.9140515410972619E-2</v>
      </c>
    </row>
    <row r="728" spans="1:20" x14ac:dyDescent="0.25">
      <c r="A728" s="5">
        <v>43865</v>
      </c>
      <c r="B728">
        <v>8.1600000000000006E-2</v>
      </c>
      <c r="C728">
        <v>9.0499999999999997E-2</v>
      </c>
      <c r="D728">
        <v>8.1000000000000003E-2</v>
      </c>
      <c r="E728">
        <v>8.8999999999999996E-2</v>
      </c>
      <c r="F728">
        <v>1071824.3500000001</v>
      </c>
      <c r="G728">
        <v>0</v>
      </c>
      <c r="L728" t="s">
        <v>7</v>
      </c>
      <c r="M728" t="s">
        <v>8</v>
      </c>
      <c r="N728" t="s">
        <v>8</v>
      </c>
      <c r="P728">
        <f t="shared" si="999"/>
        <v>0.68421052631578905</v>
      </c>
      <c r="Q728">
        <f t="shared" si="1000"/>
        <v>733353.50263157859</v>
      </c>
      <c r="R728">
        <f t="shared" si="1001"/>
        <v>2892766.8387895706</v>
      </c>
      <c r="S728">
        <f t="shared" si="1002"/>
        <v>28.927668387895707</v>
      </c>
      <c r="T728">
        <f t="shared" si="1003"/>
        <v>2.8927668387895709E-2</v>
      </c>
    </row>
    <row r="729" spans="1:20" x14ac:dyDescent="0.25">
      <c r="A729" s="5">
        <v>43864</v>
      </c>
      <c r="B729">
        <v>8.4000000000000005E-2</v>
      </c>
      <c r="C729">
        <v>9.0899999999999995E-2</v>
      </c>
      <c r="D729">
        <v>8.0600000000000005E-2</v>
      </c>
      <c r="E729">
        <v>8.1500000000000003E-2</v>
      </c>
      <c r="F729">
        <v>327821.03000000003</v>
      </c>
      <c r="G729">
        <v>0</v>
      </c>
      <c r="L729" t="s">
        <v>8</v>
      </c>
      <c r="M729" t="s">
        <v>8</v>
      </c>
      <c r="N729" t="s">
        <v>8</v>
      </c>
      <c r="P729">
        <f t="shared" si="999"/>
        <v>-0.82524271844660213</v>
      </c>
      <c r="Q729">
        <f t="shared" si="1000"/>
        <v>-270531.91796116513</v>
      </c>
      <c r="R729">
        <f t="shared" si="1001"/>
        <v>2159413.336157992</v>
      </c>
      <c r="S729">
        <f t="shared" si="1002"/>
        <v>21.594133361579921</v>
      </c>
      <c r="T729">
        <f t="shared" si="1003"/>
        <v>2.159413336157992E-2</v>
      </c>
    </row>
    <row r="730" spans="1:20" x14ac:dyDescent="0.25">
      <c r="A730" s="5">
        <v>43863</v>
      </c>
      <c r="B730">
        <v>8.3900000000000002E-2</v>
      </c>
      <c r="C730">
        <v>8.6400000000000005E-2</v>
      </c>
      <c r="D730">
        <v>7.9000000000000001E-2</v>
      </c>
      <c r="E730">
        <v>8.4000000000000005E-2</v>
      </c>
      <c r="F730">
        <v>711047.43</v>
      </c>
      <c r="G730">
        <v>0</v>
      </c>
      <c r="L730" t="s">
        <v>8</v>
      </c>
      <c r="M730" t="s">
        <v>8</v>
      </c>
      <c r="N730" t="s">
        <v>8</v>
      </c>
      <c r="P730">
        <f t="shared" si="999"/>
        <v>0.35135135135135187</v>
      </c>
      <c r="Q730">
        <f t="shared" si="1000"/>
        <v>249827.4754054058</v>
      </c>
      <c r="R730">
        <f t="shared" si="1001"/>
        <v>2429945.2541191573</v>
      </c>
      <c r="S730">
        <f t="shared" si="1002"/>
        <v>24.299452541191574</v>
      </c>
      <c r="T730">
        <f t="shared" si="1003"/>
        <v>2.4299452541191573E-2</v>
      </c>
    </row>
    <row r="731" spans="1:20" x14ac:dyDescent="0.25">
      <c r="A731" s="5">
        <v>43862</v>
      </c>
      <c r="B731">
        <v>8.2799999999999999E-2</v>
      </c>
      <c r="C731">
        <v>8.5199999999999998E-2</v>
      </c>
      <c r="D731">
        <v>7.8799999999999995E-2</v>
      </c>
      <c r="E731">
        <v>8.43E-2</v>
      </c>
      <c r="F731">
        <v>777098.84</v>
      </c>
      <c r="G731">
        <v>0</v>
      </c>
      <c r="L731" t="s">
        <v>7</v>
      </c>
      <c r="M731" t="s">
        <v>8</v>
      </c>
      <c r="N731" t="s">
        <v>8</v>
      </c>
      <c r="P731">
        <f t="shared" si="999"/>
        <v>0.71875000000000078</v>
      </c>
      <c r="Q731">
        <f t="shared" si="1000"/>
        <v>558539.79125000059</v>
      </c>
      <c r="R731">
        <f t="shared" si="1001"/>
        <v>2180117.7787137516</v>
      </c>
      <c r="S731">
        <f t="shared" si="1002"/>
        <v>21.801177787137515</v>
      </c>
      <c r="T731">
        <f t="shared" si="1003"/>
        <v>2.1801177787137516E-2</v>
      </c>
    </row>
    <row r="732" spans="1:20" x14ac:dyDescent="0.25">
      <c r="A732" s="5">
        <v>43861</v>
      </c>
      <c r="B732">
        <v>7.5999999999999998E-2</v>
      </c>
      <c r="C732">
        <v>8.9700000000000002E-2</v>
      </c>
      <c r="D732">
        <v>7.5499999999999998E-2</v>
      </c>
      <c r="E732">
        <v>8.2799999999999999E-2</v>
      </c>
      <c r="F732">
        <v>2859386.49</v>
      </c>
      <c r="G732">
        <v>0</v>
      </c>
      <c r="L732" t="s">
        <v>8</v>
      </c>
      <c r="M732" t="s">
        <v>8</v>
      </c>
      <c r="N732" t="s">
        <v>8</v>
      </c>
      <c r="P732">
        <f t="shared" si="999"/>
        <v>2.8169014084506862E-2</v>
      </c>
      <c r="Q732">
        <f t="shared" si="1000"/>
        <v>80546.098309858644</v>
      </c>
      <c r="R732">
        <f t="shared" si="1001"/>
        <v>1621577.9874637511</v>
      </c>
      <c r="S732">
        <f t="shared" si="1002"/>
        <v>16.215779874637512</v>
      </c>
      <c r="T732">
        <f t="shared" si="1003"/>
        <v>1.6215779874637511E-2</v>
      </c>
    </row>
    <row r="733" spans="1:20" x14ac:dyDescent="0.25">
      <c r="A733" s="5">
        <v>43860</v>
      </c>
      <c r="B733">
        <v>7.1400000000000005E-2</v>
      </c>
      <c r="C733">
        <v>7.9000000000000001E-2</v>
      </c>
      <c r="D733">
        <v>7.1300000000000002E-2</v>
      </c>
      <c r="E733">
        <v>7.6100000000000001E-2</v>
      </c>
      <c r="F733">
        <v>912527.11</v>
      </c>
      <c r="G733">
        <v>0</v>
      </c>
      <c r="L733" t="s">
        <v>8</v>
      </c>
      <c r="M733" t="s">
        <v>8</v>
      </c>
      <c r="N733" t="s">
        <v>8</v>
      </c>
      <c r="P733">
        <f t="shared" si="999"/>
        <v>0.24675324675324667</v>
      </c>
      <c r="Q733">
        <f t="shared" si="1000"/>
        <v>225169.02714285706</v>
      </c>
      <c r="R733">
        <f t="shared" si="1001"/>
        <v>1541031.8891538924</v>
      </c>
      <c r="S733">
        <f t="shared" si="1002"/>
        <v>15.410318891538925</v>
      </c>
      <c r="T733">
        <f t="shared" si="1003"/>
        <v>1.5410318891538925E-2</v>
      </c>
    </row>
    <row r="734" spans="1:20" x14ac:dyDescent="0.25">
      <c r="A734" s="5">
        <v>43859</v>
      </c>
      <c r="B734">
        <v>7.2999999999999995E-2</v>
      </c>
      <c r="C734">
        <v>7.3700000000000002E-2</v>
      </c>
      <c r="D734">
        <v>7.1199999999999999E-2</v>
      </c>
      <c r="E734">
        <v>7.1999999999999995E-2</v>
      </c>
      <c r="F734">
        <v>107555.81</v>
      </c>
      <c r="G734">
        <v>0</v>
      </c>
      <c r="L734" t="s">
        <v>8</v>
      </c>
      <c r="M734" t="s">
        <v>8</v>
      </c>
      <c r="N734" t="s">
        <v>8</v>
      </c>
      <c r="P734">
        <f t="shared" si="999"/>
        <v>-0.36000000000000443</v>
      </c>
      <c r="Q734">
        <f t="shared" si="1000"/>
        <v>-38720.091600000473</v>
      </c>
      <c r="R734">
        <f t="shared" si="1001"/>
        <v>1315862.8620110354</v>
      </c>
      <c r="S734">
        <f t="shared" si="1002"/>
        <v>13.158628620110354</v>
      </c>
      <c r="T734">
        <f t="shared" si="1003"/>
        <v>1.3158628620110354E-2</v>
      </c>
    </row>
    <row r="735" spans="1:20" x14ac:dyDescent="0.25">
      <c r="A735" s="5">
        <v>43858</v>
      </c>
      <c r="B735">
        <v>7.1400000000000005E-2</v>
      </c>
      <c r="C735">
        <v>7.4200000000000002E-2</v>
      </c>
      <c r="D735">
        <v>7.1199999999999999E-2</v>
      </c>
      <c r="E735">
        <v>7.2999999999999995E-2</v>
      </c>
      <c r="F735">
        <v>362976.27</v>
      </c>
      <c r="G735">
        <v>0</v>
      </c>
      <c r="L735" t="s">
        <v>8</v>
      </c>
      <c r="M735" t="s">
        <v>8</v>
      </c>
      <c r="N735" t="s">
        <v>8</v>
      </c>
      <c r="P735">
        <f t="shared" si="999"/>
        <v>0.19999999999999629</v>
      </c>
      <c r="Q735">
        <f t="shared" si="1000"/>
        <v>72595.253999998662</v>
      </c>
      <c r="R735">
        <f t="shared" si="1001"/>
        <v>1354582.9536110358</v>
      </c>
      <c r="S735">
        <f t="shared" si="1002"/>
        <v>13.545829536110359</v>
      </c>
      <c r="T735">
        <f t="shared" si="1003"/>
        <v>1.354582953611036E-2</v>
      </c>
    </row>
    <row r="736" spans="1:20" x14ac:dyDescent="0.25">
      <c r="A736" s="5">
        <v>43857</v>
      </c>
      <c r="B736">
        <v>7.0999999999999994E-2</v>
      </c>
      <c r="C736">
        <v>7.2499999999999995E-2</v>
      </c>
      <c r="D736">
        <v>7.0499999999999993E-2</v>
      </c>
      <c r="E736">
        <v>7.1900000000000006E-2</v>
      </c>
      <c r="F736">
        <v>258151.96</v>
      </c>
      <c r="G736">
        <v>0</v>
      </c>
      <c r="L736" t="s">
        <v>8</v>
      </c>
      <c r="M736" t="s">
        <v>8</v>
      </c>
      <c r="N736" t="s">
        <v>8</v>
      </c>
      <c r="P736">
        <f t="shared" si="999"/>
        <v>0.40000000000001112</v>
      </c>
      <c r="Q736">
        <f t="shared" si="1000"/>
        <v>103260.78400000287</v>
      </c>
      <c r="R736">
        <f t="shared" si="1001"/>
        <v>1281987.6996110373</v>
      </c>
      <c r="S736">
        <f t="shared" si="1002"/>
        <v>12.819876996110374</v>
      </c>
      <c r="T736">
        <f t="shared" si="1003"/>
        <v>1.2819876996110374E-2</v>
      </c>
    </row>
    <row r="737" spans="1:20" x14ac:dyDescent="0.25">
      <c r="A737" s="5">
        <v>43856</v>
      </c>
      <c r="B737">
        <v>7.0400000000000004E-2</v>
      </c>
      <c r="C737">
        <v>7.1599999999999997E-2</v>
      </c>
      <c r="D737">
        <v>6.9599999999999995E-2</v>
      </c>
      <c r="E737">
        <v>7.0599999999999996E-2</v>
      </c>
      <c r="F737">
        <v>311366.45</v>
      </c>
      <c r="G737">
        <v>0</v>
      </c>
      <c r="L737" t="s">
        <v>8</v>
      </c>
      <c r="M737" t="s">
        <v>8</v>
      </c>
      <c r="N737" t="s">
        <v>8</v>
      </c>
      <c r="P737">
        <f t="shared" si="999"/>
        <v>0</v>
      </c>
      <c r="Q737">
        <f t="shared" si="1000"/>
        <v>0</v>
      </c>
      <c r="R737">
        <f t="shared" si="1001"/>
        <v>1178726.9156110345</v>
      </c>
      <c r="S737">
        <f t="shared" si="1002"/>
        <v>11.787269156110344</v>
      </c>
      <c r="T737">
        <f t="shared" si="1003"/>
        <v>1.1787269156110345E-2</v>
      </c>
    </row>
    <row r="738" spans="1:20" x14ac:dyDescent="0.25">
      <c r="A738" s="5">
        <v>43855</v>
      </c>
      <c r="B738">
        <v>6.8500000000000005E-2</v>
      </c>
      <c r="C738">
        <v>7.3200000000000001E-2</v>
      </c>
      <c r="D738">
        <v>6.7699999999999996E-2</v>
      </c>
      <c r="E738">
        <v>7.0699999999999999E-2</v>
      </c>
      <c r="F738">
        <v>467234.18</v>
      </c>
      <c r="G738">
        <v>0</v>
      </c>
      <c r="L738" t="s">
        <v>8</v>
      </c>
      <c r="M738" t="s">
        <v>8</v>
      </c>
      <c r="N738" t="s">
        <v>8</v>
      </c>
      <c r="P738">
        <f t="shared" si="999"/>
        <v>9.0909090909090912E-2</v>
      </c>
      <c r="Q738">
        <f t="shared" si="1000"/>
        <v>42475.834545454549</v>
      </c>
      <c r="R738">
        <f t="shared" si="1001"/>
        <v>1178726.9156110345</v>
      </c>
      <c r="S738">
        <f t="shared" si="1002"/>
        <v>11.787269156110344</v>
      </c>
      <c r="T738">
        <f t="shared" si="1003"/>
        <v>1.1787269156110345E-2</v>
      </c>
    </row>
    <row r="739" spans="1:20" x14ac:dyDescent="0.25">
      <c r="A739" s="5">
        <v>43854</v>
      </c>
      <c r="B739">
        <v>6.9800000000000001E-2</v>
      </c>
      <c r="C739">
        <v>6.9800000000000001E-2</v>
      </c>
      <c r="D739">
        <v>6.6600000000000006E-2</v>
      </c>
      <c r="E739">
        <v>6.9000000000000006E-2</v>
      </c>
      <c r="F739">
        <v>148471.20000000001</v>
      </c>
      <c r="G739">
        <v>0</v>
      </c>
      <c r="L739" t="s">
        <v>7</v>
      </c>
      <c r="M739" t="s">
        <v>8</v>
      </c>
      <c r="N739" t="s">
        <v>8</v>
      </c>
      <c r="P739">
        <f t="shared" si="999"/>
        <v>0.50000000000000222</v>
      </c>
      <c r="Q739">
        <f t="shared" si="1000"/>
        <v>74235.600000000341</v>
      </c>
      <c r="R739">
        <f t="shared" si="1001"/>
        <v>1136251.08106558</v>
      </c>
      <c r="S739">
        <f t="shared" si="1002"/>
        <v>11.362510810655801</v>
      </c>
      <c r="T739">
        <f t="shared" si="1003"/>
        <v>1.13625108106558E-2</v>
      </c>
    </row>
    <row r="740" spans="1:20" x14ac:dyDescent="0.25">
      <c r="A740" s="5">
        <v>43853</v>
      </c>
      <c r="B740">
        <v>7.0999999999999994E-2</v>
      </c>
      <c r="C740">
        <v>7.1300000000000002E-2</v>
      </c>
      <c r="D740">
        <v>6.7500000000000004E-2</v>
      </c>
      <c r="E740">
        <v>6.9800000000000001E-2</v>
      </c>
      <c r="F740">
        <v>151599.76999999999</v>
      </c>
      <c r="G740">
        <v>0</v>
      </c>
      <c r="L740" t="s">
        <v>7</v>
      </c>
      <c r="M740" t="s">
        <v>8</v>
      </c>
      <c r="N740" t="s">
        <v>8</v>
      </c>
      <c r="P740">
        <f t="shared" si="999"/>
        <v>0.21052631578947253</v>
      </c>
      <c r="Q740">
        <f t="shared" si="1000"/>
        <v>31915.741052631402</v>
      </c>
      <c r="R740">
        <f t="shared" si="1001"/>
        <v>1062015.4810655797</v>
      </c>
      <c r="S740">
        <f t="shared" si="1002"/>
        <v>10.620154810655796</v>
      </c>
      <c r="T740">
        <f t="shared" si="1003"/>
        <v>1.0620154810655796E-2</v>
      </c>
    </row>
    <row r="741" spans="1:20" x14ac:dyDescent="0.25">
      <c r="A741" s="5">
        <v>43852</v>
      </c>
      <c r="B741">
        <v>7.0199999999999999E-2</v>
      </c>
      <c r="C741">
        <v>7.2800000000000004E-2</v>
      </c>
      <c r="D741">
        <v>6.9800000000000001E-2</v>
      </c>
      <c r="E741">
        <v>7.1199999999999999E-2</v>
      </c>
      <c r="F741">
        <v>336062.52</v>
      </c>
      <c r="G741">
        <v>0</v>
      </c>
      <c r="L741" t="s">
        <v>8</v>
      </c>
      <c r="M741" t="s">
        <v>8</v>
      </c>
      <c r="N741" t="s">
        <v>8</v>
      </c>
      <c r="P741">
        <f t="shared" si="999"/>
        <v>-6.6666666666668511E-2</v>
      </c>
      <c r="Q741">
        <f t="shared" si="1000"/>
        <v>-22404.16800000062</v>
      </c>
      <c r="R741">
        <f t="shared" si="1001"/>
        <v>1030099.7400129483</v>
      </c>
      <c r="S741">
        <f t="shared" si="1002"/>
        <v>10.300997400129482</v>
      </c>
      <c r="T741">
        <f t="shared" si="1003"/>
        <v>1.0300997400129483E-2</v>
      </c>
    </row>
    <row r="742" spans="1:20" x14ac:dyDescent="0.25">
      <c r="A742" s="5">
        <v>43851</v>
      </c>
      <c r="B742">
        <v>6.8199999999999997E-2</v>
      </c>
      <c r="C742">
        <v>7.3200000000000001E-2</v>
      </c>
      <c r="D742">
        <v>6.6900000000000001E-2</v>
      </c>
      <c r="E742">
        <v>7.0199999999999999E-2</v>
      </c>
      <c r="F742">
        <v>667714.93000000005</v>
      </c>
      <c r="G742">
        <v>0</v>
      </c>
      <c r="L742" t="s">
        <v>8</v>
      </c>
      <c r="M742" t="s">
        <v>8</v>
      </c>
      <c r="N742" t="s">
        <v>8</v>
      </c>
      <c r="P742">
        <f t="shared" si="999"/>
        <v>4.7619047619046777E-2</v>
      </c>
      <c r="Q742">
        <f t="shared" si="1000"/>
        <v>31795.949047618487</v>
      </c>
      <c r="R742">
        <f t="shared" si="1001"/>
        <v>1052503.9080129489</v>
      </c>
      <c r="S742">
        <f t="shared" si="1002"/>
        <v>10.52503908012949</v>
      </c>
      <c r="T742">
        <f t="shared" si="1003"/>
        <v>1.052503908012949E-2</v>
      </c>
    </row>
    <row r="743" spans="1:20" x14ac:dyDescent="0.25">
      <c r="A743" s="5">
        <v>43850</v>
      </c>
      <c r="B743">
        <v>7.1099999999999997E-2</v>
      </c>
      <c r="C743">
        <v>7.1999999999999995E-2</v>
      </c>
      <c r="D743">
        <v>6.6699999999999995E-2</v>
      </c>
      <c r="E743">
        <v>6.8199999999999997E-2</v>
      </c>
      <c r="F743">
        <v>751401.81</v>
      </c>
      <c r="G743">
        <v>0</v>
      </c>
      <c r="L743" t="s">
        <v>7</v>
      </c>
      <c r="M743" t="s">
        <v>8</v>
      </c>
      <c r="N743" t="s">
        <v>8</v>
      </c>
      <c r="P743">
        <f t="shared" si="999"/>
        <v>-0.4339622641509428</v>
      </c>
      <c r="Q743">
        <f t="shared" si="1000"/>
        <v>-326080.03075471654</v>
      </c>
      <c r="R743">
        <f t="shared" si="1001"/>
        <v>1020707.9589653304</v>
      </c>
      <c r="S743">
        <f t="shared" si="1002"/>
        <v>10.207079589653304</v>
      </c>
      <c r="T743">
        <f t="shared" si="1003"/>
        <v>1.0207079589653304E-2</v>
      </c>
    </row>
    <row r="744" spans="1:20" x14ac:dyDescent="0.25">
      <c r="A744" s="5">
        <v>43849</v>
      </c>
      <c r="B744">
        <v>7.51E-2</v>
      </c>
      <c r="C744">
        <v>7.6899999999999996E-2</v>
      </c>
      <c r="D744">
        <v>6.8500000000000005E-2</v>
      </c>
      <c r="E744">
        <v>7.1199999999999999E-2</v>
      </c>
      <c r="F744">
        <v>695032.51</v>
      </c>
      <c r="G744">
        <v>0</v>
      </c>
      <c r="L744" t="s">
        <v>7</v>
      </c>
      <c r="M744" t="s">
        <v>8</v>
      </c>
      <c r="N744" t="s">
        <v>8</v>
      </c>
      <c r="P744">
        <f t="shared" si="999"/>
        <v>-0.35714285714285787</v>
      </c>
      <c r="Q744">
        <f t="shared" si="1000"/>
        <v>-248225.89642857193</v>
      </c>
      <c r="R744">
        <f t="shared" si="1001"/>
        <v>1346787.989720047</v>
      </c>
      <c r="S744">
        <f t="shared" si="1002"/>
        <v>13.46787989720047</v>
      </c>
      <c r="T744">
        <f t="shared" si="1003"/>
        <v>1.346787989720047E-2</v>
      </c>
    </row>
    <row r="745" spans="1:20" x14ac:dyDescent="0.25">
      <c r="A745" s="5">
        <v>43848</v>
      </c>
      <c r="B745">
        <v>7.5499999999999998E-2</v>
      </c>
      <c r="C745">
        <v>7.85E-2</v>
      </c>
      <c r="D745">
        <v>7.2700000000000001E-2</v>
      </c>
      <c r="E745">
        <v>7.5399999999999995E-2</v>
      </c>
      <c r="F745">
        <v>339378.24</v>
      </c>
      <c r="G745">
        <v>0</v>
      </c>
      <c r="L745" t="s">
        <v>8</v>
      </c>
      <c r="M745" t="s">
        <v>8</v>
      </c>
      <c r="N745" t="s">
        <v>8</v>
      </c>
      <c r="P745">
        <f t="shared" si="999"/>
        <v>-6.8965517241381294E-2</v>
      </c>
      <c r="Q745">
        <f t="shared" si="1000"/>
        <v>-23405.395862069639</v>
      </c>
      <c r="R745">
        <f t="shared" si="1001"/>
        <v>1595013.886148619</v>
      </c>
      <c r="S745">
        <f t="shared" si="1002"/>
        <v>15.95013886148619</v>
      </c>
      <c r="T745">
        <f t="shared" si="1003"/>
        <v>1.5950138861486191E-2</v>
      </c>
    </row>
    <row r="746" spans="1:20" x14ac:dyDescent="0.25">
      <c r="A746" s="5">
        <v>43847</v>
      </c>
      <c r="B746">
        <v>7.4399999999999994E-2</v>
      </c>
      <c r="C746">
        <v>7.7100000000000002E-2</v>
      </c>
      <c r="D746">
        <v>7.2400000000000006E-2</v>
      </c>
      <c r="E746">
        <v>7.5899999999999995E-2</v>
      </c>
      <c r="F746">
        <v>374454.83</v>
      </c>
      <c r="G746">
        <v>0</v>
      </c>
      <c r="L746" t="s">
        <v>8</v>
      </c>
      <c r="M746" t="s">
        <v>8</v>
      </c>
      <c r="N746" t="s">
        <v>8</v>
      </c>
      <c r="P746">
        <f t="shared" si="999"/>
        <v>0.48936170212765628</v>
      </c>
      <c r="Q746">
        <f t="shared" si="1000"/>
        <v>183243.85297872219</v>
      </c>
      <c r="R746">
        <f t="shared" si="1001"/>
        <v>1618419.2820106887</v>
      </c>
      <c r="S746">
        <f t="shared" si="1002"/>
        <v>16.184192820106887</v>
      </c>
      <c r="T746">
        <f t="shared" si="1003"/>
        <v>1.6184192820106885E-2</v>
      </c>
    </row>
    <row r="747" spans="1:20" x14ac:dyDescent="0.25">
      <c r="A747" s="5">
        <v>43846</v>
      </c>
      <c r="B747">
        <v>7.6600000000000001E-2</v>
      </c>
      <c r="C747">
        <v>7.6600000000000001E-2</v>
      </c>
      <c r="D747">
        <v>7.0000000000000007E-2</v>
      </c>
      <c r="E747">
        <v>7.4800000000000005E-2</v>
      </c>
      <c r="F747">
        <v>454119.36</v>
      </c>
      <c r="G747">
        <v>0</v>
      </c>
      <c r="L747" t="s">
        <v>7</v>
      </c>
      <c r="M747" t="s">
        <v>8</v>
      </c>
      <c r="N747" t="s">
        <v>8</v>
      </c>
      <c r="P747">
        <f t="shared" si="999"/>
        <v>0.45454545454545531</v>
      </c>
      <c r="Q747">
        <f t="shared" si="1000"/>
        <v>206417.89090909125</v>
      </c>
      <c r="R747">
        <f t="shared" si="1001"/>
        <v>1435175.4290319665</v>
      </c>
      <c r="S747">
        <f t="shared" si="1002"/>
        <v>14.351754290319665</v>
      </c>
      <c r="T747">
        <f t="shared" si="1003"/>
        <v>1.4351754290319665E-2</v>
      </c>
    </row>
    <row r="748" spans="1:20" x14ac:dyDescent="0.25">
      <c r="A748" s="5">
        <v>43845</v>
      </c>
      <c r="B748">
        <v>7.1800000000000003E-2</v>
      </c>
      <c r="C748">
        <v>7.8700000000000006E-2</v>
      </c>
      <c r="D748">
        <v>6.9400000000000003E-2</v>
      </c>
      <c r="E748">
        <v>7.7100000000000002E-2</v>
      </c>
      <c r="F748">
        <v>845737.25</v>
      </c>
      <c r="G748">
        <v>0</v>
      </c>
      <c r="L748" t="s">
        <v>8</v>
      </c>
      <c r="M748" t="s">
        <v>8</v>
      </c>
      <c r="N748" t="s">
        <v>8</v>
      </c>
      <c r="P748">
        <f t="shared" si="999"/>
        <v>0.65591397849462285</v>
      </c>
      <c r="Q748">
        <f t="shared" si="1000"/>
        <v>554730.88440860144</v>
      </c>
      <c r="R748">
        <f t="shared" si="1001"/>
        <v>1228757.5381228752</v>
      </c>
      <c r="S748">
        <f t="shared" si="1002"/>
        <v>12.287575381228752</v>
      </c>
      <c r="T748">
        <f t="shared" si="1003"/>
        <v>1.2287575381228752E-2</v>
      </c>
    </row>
    <row r="749" spans="1:20" x14ac:dyDescent="0.25">
      <c r="A749" s="5">
        <v>43844</v>
      </c>
      <c r="B749">
        <v>6.8500000000000005E-2</v>
      </c>
      <c r="C749">
        <v>7.5499999999999998E-2</v>
      </c>
      <c r="D749">
        <v>4.7600000000000003E-2</v>
      </c>
      <c r="E749">
        <v>7.1999999999999995E-2</v>
      </c>
      <c r="F749">
        <v>882239.75</v>
      </c>
      <c r="G749">
        <v>0</v>
      </c>
      <c r="L749" t="s">
        <v>8</v>
      </c>
      <c r="M749" t="s">
        <v>8</v>
      </c>
      <c r="N749" t="s">
        <v>7</v>
      </c>
      <c r="P749">
        <f t="shared" si="999"/>
        <v>0.74910394265232949</v>
      </c>
      <c r="Q749">
        <f t="shared" si="1000"/>
        <v>660889.27508960548</v>
      </c>
      <c r="R749">
        <f t="shared" si="1001"/>
        <v>674026.65371427359</v>
      </c>
      <c r="S749">
        <f t="shared" si="1002"/>
        <v>6.7402665371427357</v>
      </c>
      <c r="T749">
        <f t="shared" si="1003"/>
        <v>6.7402665371427356E-3</v>
      </c>
    </row>
    <row r="750" spans="1:20" x14ac:dyDescent="0.25">
      <c r="A750" s="5">
        <v>43843</v>
      </c>
      <c r="B750">
        <v>7.0300000000000001E-2</v>
      </c>
      <c r="C750">
        <v>7.0699999999999999E-2</v>
      </c>
      <c r="D750">
        <v>6.7199999999999996E-2</v>
      </c>
      <c r="E750">
        <v>6.83E-2</v>
      </c>
      <c r="F750">
        <v>287567.2</v>
      </c>
      <c r="G750">
        <v>0</v>
      </c>
      <c r="L750" t="s">
        <v>8</v>
      </c>
      <c r="M750" t="s">
        <v>8</v>
      </c>
      <c r="N750" t="s">
        <v>7</v>
      </c>
      <c r="P750">
        <f t="shared" si="999"/>
        <v>-0.37142857142856983</v>
      </c>
      <c r="Q750">
        <f t="shared" si="1000"/>
        <v>-106810.67428571383</v>
      </c>
      <c r="R750">
        <f t="shared" si="1001"/>
        <v>13137.378624668083</v>
      </c>
      <c r="S750">
        <f t="shared" si="1002"/>
        <v>0.13137378624668083</v>
      </c>
      <c r="T750">
        <f t="shared" si="1003"/>
        <v>1.3137378624668083E-4</v>
      </c>
    </row>
    <row r="751" spans="1:20" x14ac:dyDescent="0.25">
      <c r="A751" s="5">
        <v>43842</v>
      </c>
      <c r="B751">
        <v>6.6600000000000006E-2</v>
      </c>
      <c r="C751">
        <v>7.0900000000000005E-2</v>
      </c>
      <c r="D751">
        <v>6.6600000000000006E-2</v>
      </c>
      <c r="E751">
        <v>7.0099999999999996E-2</v>
      </c>
      <c r="F751">
        <v>326980.56</v>
      </c>
      <c r="G751">
        <v>0</v>
      </c>
      <c r="L751" t="s">
        <v>8</v>
      </c>
      <c r="M751" t="s">
        <v>8</v>
      </c>
      <c r="N751" t="s">
        <v>7</v>
      </c>
      <c r="P751">
        <f t="shared" si="999"/>
        <v>0.62790697674418172</v>
      </c>
      <c r="Q751">
        <f t="shared" si="1000"/>
        <v>205313.37488371952</v>
      </c>
      <c r="R751">
        <f t="shared" si="1001"/>
        <v>119948.05291038191</v>
      </c>
      <c r="S751">
        <f t="shared" si="1002"/>
        <v>1.1994805291038191</v>
      </c>
      <c r="T751">
        <f t="shared" si="1003"/>
        <v>1.1994805291038191E-3</v>
      </c>
    </row>
    <row r="752" spans="1:20" x14ac:dyDescent="0.25">
      <c r="A752" s="5">
        <v>43841</v>
      </c>
      <c r="B752">
        <v>6.6000000000000003E-2</v>
      </c>
      <c r="C752">
        <v>6.8400000000000002E-2</v>
      </c>
      <c r="D752">
        <v>6.4299999999999996E-2</v>
      </c>
      <c r="E752">
        <v>6.7199999999999996E-2</v>
      </c>
      <c r="F752">
        <v>187137.94</v>
      </c>
      <c r="G752">
        <v>0</v>
      </c>
      <c r="L752" t="s">
        <v>8</v>
      </c>
      <c r="M752" t="s">
        <v>8</v>
      </c>
      <c r="N752" t="s">
        <v>7</v>
      </c>
      <c r="P752">
        <f t="shared" si="999"/>
        <v>0.41463414634146112</v>
      </c>
      <c r="Q752">
        <f t="shared" si="1000"/>
        <v>77593.779999999577</v>
      </c>
      <c r="R752">
        <f t="shared" si="1001"/>
        <v>-85365.321973337603</v>
      </c>
      <c r="S752">
        <f t="shared" si="1002"/>
        <v>-0.85365321973337605</v>
      </c>
      <c r="T752">
        <f t="shared" si="1003"/>
        <v>-8.5365321973337603E-4</v>
      </c>
    </row>
    <row r="753" spans="1:20" x14ac:dyDescent="0.25">
      <c r="A753" s="5">
        <v>43840</v>
      </c>
      <c r="B753">
        <v>6.4299999999999996E-2</v>
      </c>
      <c r="C753">
        <v>6.6699999999999995E-2</v>
      </c>
      <c r="D753">
        <v>6.3299999999999995E-2</v>
      </c>
      <c r="E753">
        <v>6.6600000000000006E-2</v>
      </c>
      <c r="F753">
        <v>428551.77</v>
      </c>
      <c r="G753">
        <v>0</v>
      </c>
      <c r="L753" t="s">
        <v>7</v>
      </c>
      <c r="M753" t="s">
        <v>8</v>
      </c>
      <c r="N753" t="s">
        <v>7</v>
      </c>
      <c r="P753">
        <f t="shared" si="999"/>
        <v>0.94117647058824183</v>
      </c>
      <c r="Q753">
        <f t="shared" si="1000"/>
        <v>403342.84235294402</v>
      </c>
      <c r="R753">
        <f t="shared" si="1001"/>
        <v>-162959.10197333718</v>
      </c>
      <c r="S753">
        <f t="shared" si="1002"/>
        <v>-1.6295910197333718</v>
      </c>
      <c r="T753">
        <f t="shared" si="1003"/>
        <v>-1.6295910197333717E-3</v>
      </c>
    </row>
    <row r="754" spans="1:20" x14ac:dyDescent="0.25">
      <c r="A754" s="5">
        <v>43839</v>
      </c>
      <c r="B754">
        <v>6.4299999999999996E-2</v>
      </c>
      <c r="C754">
        <v>6.6600000000000006E-2</v>
      </c>
      <c r="D754">
        <v>6.3399999999999998E-2</v>
      </c>
      <c r="E754">
        <v>6.4000000000000001E-2</v>
      </c>
      <c r="F754">
        <v>917777.97</v>
      </c>
      <c r="G754">
        <v>0</v>
      </c>
      <c r="L754" t="s">
        <v>7</v>
      </c>
      <c r="M754" t="s">
        <v>8</v>
      </c>
      <c r="N754" t="s">
        <v>7</v>
      </c>
      <c r="P754">
        <f t="shared" si="999"/>
        <v>-0.62499999999999889</v>
      </c>
      <c r="Q754">
        <f t="shared" si="1000"/>
        <v>-573611.23124999891</v>
      </c>
      <c r="R754">
        <f t="shared" si="1001"/>
        <v>-566301.9443262812</v>
      </c>
      <c r="S754">
        <f t="shared" si="1002"/>
        <v>-5.6630194432628116</v>
      </c>
      <c r="T754">
        <f t="shared" si="1003"/>
        <v>-5.6630194432628119E-3</v>
      </c>
    </row>
    <row r="755" spans="1:20" x14ac:dyDescent="0.25">
      <c r="A755" s="5">
        <v>43838</v>
      </c>
      <c r="B755">
        <v>7.1099999999999997E-2</v>
      </c>
      <c r="C755">
        <v>7.2400000000000006E-2</v>
      </c>
      <c r="D755">
        <v>6.4000000000000001E-2</v>
      </c>
      <c r="E755">
        <v>6.4299999999999996E-2</v>
      </c>
      <c r="F755">
        <v>684885.11</v>
      </c>
      <c r="G755">
        <v>0</v>
      </c>
      <c r="L755" t="s">
        <v>7</v>
      </c>
      <c r="M755" t="s">
        <v>8</v>
      </c>
      <c r="N755" t="s">
        <v>7</v>
      </c>
      <c r="P755">
        <f t="shared" si="999"/>
        <v>-0.92857142857142982</v>
      </c>
      <c r="Q755">
        <f t="shared" si="1000"/>
        <v>-635964.74500000081</v>
      </c>
      <c r="R755">
        <f t="shared" si="1001"/>
        <v>7309.2869237177074</v>
      </c>
      <c r="S755">
        <f t="shared" si="1002"/>
        <v>7.3092869237177074E-2</v>
      </c>
      <c r="T755">
        <f t="shared" si="1003"/>
        <v>7.309286923717708E-5</v>
      </c>
    </row>
    <row r="756" spans="1:20" x14ac:dyDescent="0.25">
      <c r="A756" s="5">
        <v>43837</v>
      </c>
      <c r="B756">
        <v>6.7400000000000002E-2</v>
      </c>
      <c r="C756">
        <v>7.3700000000000002E-2</v>
      </c>
      <c r="D756">
        <v>6.7400000000000002E-2</v>
      </c>
      <c r="E756">
        <v>7.0599999999999996E-2</v>
      </c>
      <c r="F756">
        <v>849235.64</v>
      </c>
      <c r="G756">
        <v>0</v>
      </c>
      <c r="L756" t="s">
        <v>8</v>
      </c>
      <c r="M756" t="s">
        <v>8</v>
      </c>
      <c r="N756" t="s">
        <v>7</v>
      </c>
      <c r="P756">
        <f t="shared" si="999"/>
        <v>1.5873015873014124E-2</v>
      </c>
      <c r="Q756">
        <f t="shared" si="1000"/>
        <v>13479.930793649308</v>
      </c>
      <c r="R756">
        <f t="shared" si="1001"/>
        <v>643274.03192371852</v>
      </c>
      <c r="S756">
        <f t="shared" si="1002"/>
        <v>6.432740319237185</v>
      </c>
      <c r="T756">
        <f t="shared" si="1003"/>
        <v>6.4327403192371855E-3</v>
      </c>
    </row>
    <row r="757" spans="1:20" x14ac:dyDescent="0.25">
      <c r="A757" s="5">
        <v>43836</v>
      </c>
      <c r="B757">
        <v>6.7000000000000004E-2</v>
      </c>
      <c r="C757">
        <v>6.8699999999999997E-2</v>
      </c>
      <c r="D757">
        <v>6.5500000000000003E-2</v>
      </c>
      <c r="E757">
        <v>6.7299999999999999E-2</v>
      </c>
      <c r="F757">
        <v>292242.15999999997</v>
      </c>
      <c r="G757">
        <v>0</v>
      </c>
      <c r="L757" t="s">
        <v>7</v>
      </c>
      <c r="M757" t="s">
        <v>7</v>
      </c>
      <c r="N757" t="s">
        <v>7</v>
      </c>
      <c r="P757">
        <f t="shared" si="999"/>
        <v>0.12499999999999946</v>
      </c>
      <c r="Q757">
        <f t="shared" si="1000"/>
        <v>36530.269999999837</v>
      </c>
      <c r="R757">
        <f t="shared" si="1001"/>
        <v>629794.10113006923</v>
      </c>
      <c r="S757">
        <f t="shared" si="1002"/>
        <v>6.2979410113006926</v>
      </c>
      <c r="T757">
        <f t="shared" si="1003"/>
        <v>6.2979410113006926E-3</v>
      </c>
    </row>
    <row r="758" spans="1:20" x14ac:dyDescent="0.25">
      <c r="A758" s="5">
        <v>43835</v>
      </c>
      <c r="B758">
        <v>6.93E-2</v>
      </c>
      <c r="C758">
        <v>7.0800000000000002E-2</v>
      </c>
      <c r="D758">
        <v>6.5600000000000006E-2</v>
      </c>
      <c r="E758">
        <v>6.6799999999999998E-2</v>
      </c>
      <c r="F758">
        <v>308848.59999999998</v>
      </c>
      <c r="G758">
        <v>0</v>
      </c>
      <c r="L758" t="s">
        <v>7</v>
      </c>
      <c r="M758" t="s">
        <v>7</v>
      </c>
      <c r="N758" t="s">
        <v>7</v>
      </c>
      <c r="P758">
        <f t="shared" si="999"/>
        <v>-0.53846153846154088</v>
      </c>
      <c r="Q758">
        <f t="shared" si="1000"/>
        <v>-166303.09230769303</v>
      </c>
      <c r="R758">
        <f t="shared" si="1001"/>
        <v>593263.83113006945</v>
      </c>
      <c r="S758">
        <f t="shared" si="1002"/>
        <v>5.9326383113006944</v>
      </c>
      <c r="T758">
        <f t="shared" si="1003"/>
        <v>5.9326383113006941E-3</v>
      </c>
    </row>
    <row r="759" spans="1:20" x14ac:dyDescent="0.25">
      <c r="A759" s="5">
        <v>43834</v>
      </c>
      <c r="B759">
        <v>6.3500000000000001E-2</v>
      </c>
      <c r="C759">
        <v>7.1099999999999997E-2</v>
      </c>
      <c r="D759">
        <v>6.3500000000000001E-2</v>
      </c>
      <c r="E759">
        <v>6.9800000000000001E-2</v>
      </c>
      <c r="F759">
        <v>1307237.5900000001</v>
      </c>
      <c r="G759">
        <v>0</v>
      </c>
      <c r="L759" t="s">
        <v>8</v>
      </c>
      <c r="M759" t="s">
        <v>7</v>
      </c>
      <c r="N759" t="s">
        <v>7</v>
      </c>
      <c r="P759">
        <f t="shared" si="999"/>
        <v>0.6578947368421062</v>
      </c>
      <c r="Q759">
        <f t="shared" si="1000"/>
        <v>860024.73026315914</v>
      </c>
      <c r="R759">
        <f t="shared" si="1001"/>
        <v>759566.92343776242</v>
      </c>
      <c r="S759">
        <f t="shared" si="1002"/>
        <v>7.595669234377624</v>
      </c>
      <c r="T759">
        <f t="shared" si="1003"/>
        <v>7.5956692343776243E-3</v>
      </c>
    </row>
    <row r="760" spans="1:20" x14ac:dyDescent="0.25">
      <c r="A760" s="5">
        <v>43833</v>
      </c>
      <c r="B760">
        <v>6.1400000000000003E-2</v>
      </c>
      <c r="C760">
        <v>6.5000000000000002E-2</v>
      </c>
      <c r="D760">
        <v>6.0499999999999998E-2</v>
      </c>
      <c r="E760">
        <v>6.3299999999999995E-2</v>
      </c>
      <c r="F760">
        <v>258906.95</v>
      </c>
      <c r="G760">
        <v>0</v>
      </c>
      <c r="L760" t="s">
        <v>7</v>
      </c>
      <c r="M760" t="s">
        <v>7</v>
      </c>
      <c r="N760" t="s">
        <v>7</v>
      </c>
      <c r="P760">
        <f t="shared" si="999"/>
        <v>0.24444444444444197</v>
      </c>
      <c r="Q760">
        <f t="shared" si="1000"/>
        <v>63288.365555554919</v>
      </c>
      <c r="R760">
        <f t="shared" si="1001"/>
        <v>-100457.80682539672</v>
      </c>
      <c r="S760">
        <f t="shared" si="1002"/>
        <v>-1.0045780682539671</v>
      </c>
      <c r="T760">
        <f t="shared" si="1003"/>
        <v>-1.004578068253967E-3</v>
      </c>
    </row>
    <row r="761" spans="1:20" x14ac:dyDescent="0.25">
      <c r="A761" s="5">
        <v>43832</v>
      </c>
      <c r="B761">
        <v>6.4000000000000001E-2</v>
      </c>
      <c r="C761">
        <v>6.4799999999999996E-2</v>
      </c>
      <c r="D761">
        <v>6.0900000000000003E-2</v>
      </c>
      <c r="E761">
        <v>6.1400000000000003E-2</v>
      </c>
      <c r="F761">
        <v>332002.06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-0.74358974358974295</v>
      </c>
      <c r="Q761">
        <f t="shared" si="1000"/>
        <v>-246873.32666666646</v>
      </c>
      <c r="R761">
        <f t="shared" si="1001"/>
        <v>-163746.17238095164</v>
      </c>
      <c r="S761">
        <f t="shared" si="1002"/>
        <v>-1.6374617238095164</v>
      </c>
      <c r="T761">
        <f t="shared" si="1003"/>
        <v>-1.6374617238095164E-3</v>
      </c>
    </row>
    <row r="762" spans="1:20" x14ac:dyDescent="0.25">
      <c r="A762" s="5">
        <v>43831</v>
      </c>
      <c r="B762">
        <v>6.2799999999999995E-2</v>
      </c>
      <c r="C762">
        <v>6.4799999999999996E-2</v>
      </c>
      <c r="D762">
        <v>6.2E-2</v>
      </c>
      <c r="E762">
        <v>6.4000000000000001E-2</v>
      </c>
      <c r="F762">
        <v>193963.36</v>
      </c>
      <c r="G762">
        <v>0</v>
      </c>
      <c r="P762">
        <f t="shared" si="999"/>
        <v>0.42857142857143138</v>
      </c>
      <c r="Q762">
        <f t="shared" si="1000"/>
        <v>83127.154285714831</v>
      </c>
      <c r="R762">
        <f t="shared" si="1001"/>
        <v>83127.154285714831</v>
      </c>
      <c r="S762">
        <f t="shared" si="1002"/>
        <v>0.83127154285714833</v>
      </c>
      <c r="T762">
        <f t="shared" si="1003"/>
        <v>8.312715428571483E-4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NP650" sqref="NP650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$A$649</v>
      </c>
      <c r="D111" s="1" t="str">
        <f>ADDRESS(C121-1,D121,1,1)</f>
        <v>$NP$649</v>
      </c>
      <c r="E111"/>
    </row>
    <row r="112" spans="1:5" x14ac:dyDescent="0.25">
      <c r="A112" s="7">
        <v>12164.144957890772</v>
      </c>
      <c r="C112" s="1" t="str">
        <f>ADDRESS(C121,1,1,1)</f>
        <v>$A$650</v>
      </c>
      <c r="D112" s="1" t="str">
        <f>ADDRESS(C121,D121-1,1,1)</f>
        <v>$NO$650</v>
      </c>
      <c r="E112"/>
    </row>
    <row r="113" spans="1:5" x14ac:dyDescent="0.25">
      <c r="A113" s="7">
        <v>11925.63231165762</v>
      </c>
      <c r="C113" s="1" t="str">
        <f>ADDRESS(C121+1,1,1,1)</f>
        <v>$A$651</v>
      </c>
      <c r="D113" s="1" t="str">
        <f>ADDRESS(C121-1,D121+1,1,1)</f>
        <v>$NQ$649</v>
      </c>
    </row>
    <row r="114" spans="1:5" x14ac:dyDescent="0.25">
      <c r="A114" s="7">
        <v>11691.796383978059</v>
      </c>
      <c r="C114" s="1" t="str">
        <f>ADDRESS(C121,D121,1,1)</f>
        <v>$NP$650</v>
      </c>
      <c r="D114" s="1" t="str">
        <f>ADDRESS(C121+1,D121+1,1,1)</f>
        <v>$NQ$651</v>
      </c>
    </row>
    <row r="115" spans="1:5" x14ac:dyDescent="0.25">
      <c r="A115" s="7">
        <v>11462.545474488292</v>
      </c>
      <c r="C115" s="1" t="str">
        <f>ADDRESS(C121+1,D121,1,1)</f>
        <v>$NP$651</v>
      </c>
    </row>
    <row r="116" spans="1:5" x14ac:dyDescent="0.25">
      <c r="A116" s="7">
        <v>11237.789680870874</v>
      </c>
      <c r="C116" s="1">
        <f>C117-1</f>
        <v>649</v>
      </c>
    </row>
    <row r="117" spans="1:5" x14ac:dyDescent="0.25">
      <c r="A117" s="7">
        <v>11017.440863598895</v>
      </c>
      <c r="C117" s="1">
        <f>C121</f>
        <v>650</v>
      </c>
      <c r="D117" s="1">
        <f>D121</f>
        <v>380</v>
      </c>
    </row>
    <row r="118" spans="1:5" x14ac:dyDescent="0.25">
      <c r="A118" s="7">
        <v>10801.412611371465</v>
      </c>
      <c r="C118" s="1">
        <f>C117+1</f>
        <v>651</v>
      </c>
      <c r="D118" s="1">
        <f>D117+1</f>
        <v>381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650</v>
      </c>
      <c r="D121" s="19">
        <v>380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R650</v>
      </c>
      <c r="D123" s="1" t="str">
        <f>"C"&amp;D121</f>
        <v>C380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0.28720313685825055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350" x14ac:dyDescent="0.25">
      <c r="A561" s="7">
        <v>1.6734181143540252</v>
      </c>
      <c r="B561"/>
      <c r="C561"/>
      <c r="D561"/>
      <c r="E561"/>
    </row>
    <row r="562" spans="1:350" x14ac:dyDescent="0.25">
      <c r="A562" s="7">
        <v>1.6406059944647307</v>
      </c>
      <c r="B562"/>
      <c r="C562"/>
      <c r="D562"/>
      <c r="E562"/>
    </row>
    <row r="563" spans="1:350" x14ac:dyDescent="0.25">
      <c r="A563" s="7">
        <v>1.6084372494752261</v>
      </c>
      <c r="B563"/>
      <c r="C563"/>
      <c r="D563"/>
      <c r="E563"/>
    </row>
    <row r="564" spans="1:350" x14ac:dyDescent="0.25">
      <c r="A564" s="7">
        <v>1.5768992641913981</v>
      </c>
      <c r="B564"/>
      <c r="C564"/>
      <c r="D564"/>
      <c r="E564"/>
    </row>
    <row r="565" spans="1:350" x14ac:dyDescent="0.25">
      <c r="A565" s="7">
        <v>1.5459796707758806</v>
      </c>
      <c r="B565"/>
      <c r="C565"/>
      <c r="D565"/>
      <c r="E565"/>
    </row>
    <row r="566" spans="1:350" x14ac:dyDescent="0.25">
      <c r="A566" s="7">
        <v>1.5156663438979221</v>
      </c>
      <c r="B566"/>
      <c r="C566"/>
      <c r="D566"/>
      <c r="E566"/>
    </row>
    <row r="567" spans="1:350" x14ac:dyDescent="0.25">
      <c r="A567" s="7">
        <v>1.4859473959783549</v>
      </c>
      <c r="B567"/>
      <c r="C567"/>
      <c r="D567"/>
      <c r="E567"/>
    </row>
    <row r="568" spans="1:350" x14ac:dyDescent="0.25">
      <c r="A568" s="7">
        <v>1.4568111725277988</v>
      </c>
      <c r="B568"/>
      <c r="C568"/>
      <c r="D568"/>
      <c r="E568"/>
    </row>
    <row r="569" spans="1:350" x14ac:dyDescent="0.25">
      <c r="A569" s="7">
        <v>1.4282462475762734</v>
      </c>
      <c r="B569"/>
      <c r="C569"/>
      <c r="D569"/>
      <c r="E569"/>
    </row>
    <row r="570" spans="1:350" x14ac:dyDescent="0.25">
      <c r="A570" s="7">
        <v>1.4002414191924248</v>
      </c>
      <c r="B570"/>
      <c r="C570"/>
      <c r="D570"/>
      <c r="E570"/>
    </row>
    <row r="571" spans="1:350" x14ac:dyDescent="0.25">
      <c r="A571" s="7">
        <v>1.3727857050906125</v>
      </c>
      <c r="B571"/>
      <c r="C571"/>
      <c r="D571"/>
      <c r="E571"/>
      <c r="MK571" s="27" t="s">
        <v>8</v>
      </c>
    </row>
    <row r="572" spans="1:350" x14ac:dyDescent="0.25">
      <c r="A572" s="7">
        <v>1.3458683383241299</v>
      </c>
      <c r="B572"/>
      <c r="C572"/>
      <c r="D572"/>
      <c r="E572"/>
      <c r="MK572" s="27" t="s">
        <v>8</v>
      </c>
      <c r="ML572" s="27" t="s">
        <v>7</v>
      </c>
    </row>
    <row r="573" spans="1:350" x14ac:dyDescent="0.25">
      <c r="A573" s="7">
        <v>1.3194787630628724</v>
      </c>
      <c r="B573"/>
      <c r="C573"/>
      <c r="D573"/>
      <c r="E573"/>
      <c r="MK573" s="27" t="s">
        <v>8</v>
      </c>
      <c r="ML573" s="27" t="s">
        <v>7</v>
      </c>
    </row>
    <row r="574" spans="1:350" x14ac:dyDescent="0.25">
      <c r="A574" s="7">
        <v>1.2936066304537963</v>
      </c>
      <c r="B574"/>
      <c r="C574"/>
      <c r="D574"/>
      <c r="E574"/>
      <c r="MK574" s="27" t="s">
        <v>8</v>
      </c>
      <c r="ML574" s="27" t="s">
        <v>7</v>
      </c>
    </row>
    <row r="575" spans="1:350" x14ac:dyDescent="0.25">
      <c r="A575" s="7">
        <v>1.2682417945625455</v>
      </c>
      <c r="B575"/>
      <c r="C575"/>
      <c r="D575"/>
      <c r="E575"/>
      <c r="MK575" s="27" t="s">
        <v>8</v>
      </c>
      <c r="ML575" s="27" t="s">
        <v>7</v>
      </c>
    </row>
    <row r="576" spans="1:350" x14ac:dyDescent="0.25">
      <c r="A576" s="7">
        <v>1.2433743083946525</v>
      </c>
      <c r="B576"/>
      <c r="C576"/>
      <c r="D576"/>
      <c r="E576"/>
      <c r="MK576" s="27" t="s">
        <v>8</v>
      </c>
      <c r="ML576" s="27" t="s">
        <v>7</v>
      </c>
    </row>
    <row r="577" spans="1:350" x14ac:dyDescent="0.25">
      <c r="A577" s="7">
        <v>1.2189944199947573</v>
      </c>
      <c r="B577"/>
      <c r="C577"/>
      <c r="D577"/>
      <c r="E577"/>
      <c r="MK577" s="27" t="s">
        <v>8</v>
      </c>
      <c r="ML577" s="27" t="s">
        <v>7</v>
      </c>
    </row>
    <row r="578" spans="1:350" x14ac:dyDescent="0.25">
      <c r="A578" s="7">
        <v>1.1950925686223111</v>
      </c>
      <c r="B578"/>
      <c r="C578"/>
      <c r="D578"/>
      <c r="E578"/>
      <c r="MK578" s="27" t="s">
        <v>8</v>
      </c>
      <c r="ML578" s="27" t="s">
        <v>7</v>
      </c>
    </row>
    <row r="579" spans="1:350" x14ac:dyDescent="0.25">
      <c r="A579" s="7">
        <v>1.1716593810022657</v>
      </c>
      <c r="B579"/>
      <c r="C579"/>
      <c r="D579"/>
      <c r="E579"/>
      <c r="MK579" s="27" t="s">
        <v>8</v>
      </c>
      <c r="ML579" s="27" t="s">
        <v>7</v>
      </c>
    </row>
    <row r="580" spans="1:350" x14ac:dyDescent="0.25">
      <c r="A580" s="7">
        <v>1.14868566764928</v>
      </c>
      <c r="B580"/>
      <c r="C580"/>
      <c r="D580"/>
      <c r="E580"/>
      <c r="MK580" s="27" t="s">
        <v>8</v>
      </c>
      <c r="ML580" s="27" t="s">
        <v>7</v>
      </c>
    </row>
    <row r="581" spans="1:350" x14ac:dyDescent="0.25">
      <c r="A581" s="7">
        <v>1.1261624192640001</v>
      </c>
      <c r="B581"/>
      <c r="C581"/>
      <c r="D581"/>
      <c r="E581"/>
      <c r="MK581" s="27" t="s">
        <v>8</v>
      </c>
      <c r="ML581" s="27" t="s">
        <v>7</v>
      </c>
    </row>
    <row r="582" spans="1:350" x14ac:dyDescent="0.25">
      <c r="A582" s="7">
        <v>1.1040808032</v>
      </c>
      <c r="B582"/>
      <c r="C582"/>
      <c r="D582"/>
      <c r="E582"/>
      <c r="MK582" s="27" t="s">
        <v>8</v>
      </c>
      <c r="ML582" s="27" t="s">
        <v>7</v>
      </c>
    </row>
    <row r="583" spans="1:350" x14ac:dyDescent="0.25">
      <c r="A583" s="7">
        <v>1.08243216</v>
      </c>
      <c r="B583"/>
      <c r="C583"/>
      <c r="D583"/>
      <c r="E583"/>
      <c r="MK583" s="27" t="s">
        <v>8</v>
      </c>
      <c r="ML583" s="27" t="s">
        <v>7</v>
      </c>
    </row>
    <row r="584" spans="1:350" x14ac:dyDescent="0.25">
      <c r="A584" s="7">
        <v>1.0612079999999999</v>
      </c>
      <c r="B584"/>
      <c r="C584"/>
      <c r="D584"/>
      <c r="E584"/>
      <c r="MK584" s="27" t="s">
        <v>8</v>
      </c>
      <c r="ML584" s="27" t="s">
        <v>7</v>
      </c>
    </row>
    <row r="585" spans="1:350" x14ac:dyDescent="0.25">
      <c r="A585" s="7">
        <v>1.0404</v>
      </c>
      <c r="B585"/>
      <c r="C585"/>
      <c r="D585"/>
      <c r="E585"/>
      <c r="MK585" s="27" t="s">
        <v>8</v>
      </c>
      <c r="ML585" s="27" t="s">
        <v>7</v>
      </c>
    </row>
    <row r="586" spans="1:350" x14ac:dyDescent="0.25">
      <c r="A586" s="7">
        <v>1.02</v>
      </c>
      <c r="B586"/>
      <c r="C586"/>
      <c r="D586"/>
      <c r="E586"/>
      <c r="MK586" s="27" t="s">
        <v>8</v>
      </c>
      <c r="ML586" s="27" t="s">
        <v>7</v>
      </c>
    </row>
    <row r="587" spans="1:350" x14ac:dyDescent="0.25">
      <c r="A587" s="7">
        <v>1</v>
      </c>
      <c r="B587"/>
      <c r="C587"/>
      <c r="D587"/>
      <c r="E587" s="29" t="s">
        <v>8</v>
      </c>
      <c r="MK587" s="27" t="s">
        <v>8</v>
      </c>
      <c r="ML587" s="27" t="s">
        <v>7</v>
      </c>
    </row>
    <row r="588" spans="1:350" x14ac:dyDescent="0.25">
      <c r="A588" s="7">
        <v>0.98039215686274506</v>
      </c>
      <c r="B588"/>
      <c r="C588"/>
      <c r="D588"/>
      <c r="E588"/>
      <c r="F588" s="27" t="s">
        <v>7</v>
      </c>
      <c r="MK588" s="27" t="s">
        <v>8</v>
      </c>
      <c r="ML588" s="27" t="s">
        <v>7</v>
      </c>
    </row>
    <row r="589" spans="1:350" x14ac:dyDescent="0.25">
      <c r="A589" s="7">
        <v>0.96116878123798544</v>
      </c>
      <c r="B589"/>
      <c r="C589"/>
      <c r="D589"/>
      <c r="E589"/>
      <c r="F589" s="27" t="s">
        <v>7</v>
      </c>
      <c r="MK589" s="27" t="s">
        <v>8</v>
      </c>
      <c r="ML589" s="27" t="s">
        <v>7</v>
      </c>
    </row>
    <row r="590" spans="1:350" x14ac:dyDescent="0.25">
      <c r="A590" s="7">
        <v>0.94232233454704462</v>
      </c>
      <c r="B590"/>
      <c r="C590"/>
      <c r="D590"/>
      <c r="E590"/>
      <c r="F590" s="27" t="s">
        <v>7</v>
      </c>
      <c r="MK590" s="27" t="s">
        <v>8</v>
      </c>
      <c r="ML590" s="27" t="s">
        <v>7</v>
      </c>
    </row>
    <row r="591" spans="1:350" x14ac:dyDescent="0.25">
      <c r="A591" s="7">
        <v>0.92384542602651432</v>
      </c>
      <c r="B591"/>
      <c r="C591"/>
      <c r="D591"/>
      <c r="E591"/>
      <c r="F591" s="27" t="s">
        <v>7</v>
      </c>
      <c r="MK591" s="27" t="s">
        <v>8</v>
      </c>
      <c r="ML591" s="27" t="s">
        <v>7</v>
      </c>
    </row>
    <row r="592" spans="1:350" x14ac:dyDescent="0.25">
      <c r="A592" s="7">
        <v>0.90573080982991594</v>
      </c>
      <c r="B592"/>
      <c r="C592"/>
      <c r="D592"/>
      <c r="E592"/>
      <c r="F592" s="27" t="s">
        <v>7</v>
      </c>
      <c r="MK592" s="27" t="s">
        <v>8</v>
      </c>
      <c r="ML592" s="27" t="s">
        <v>7</v>
      </c>
    </row>
    <row r="593" spans="1:358" x14ac:dyDescent="0.25">
      <c r="A593" s="7">
        <v>0.8879713821861922</v>
      </c>
      <c r="B593"/>
      <c r="C593"/>
      <c r="D593"/>
      <c r="E593"/>
      <c r="F593" s="27" t="s">
        <v>7</v>
      </c>
      <c r="MK593" s="27" t="s">
        <v>8</v>
      </c>
      <c r="ML593" s="27" t="s">
        <v>7</v>
      </c>
    </row>
    <row r="594" spans="1:358" x14ac:dyDescent="0.25">
      <c r="A594" s="7">
        <v>0.87056017861391399</v>
      </c>
      <c r="B594"/>
      <c r="C594"/>
      <c r="D594"/>
      <c r="E594"/>
      <c r="F594" s="27" t="s">
        <v>7</v>
      </c>
      <c r="MK594" s="27" t="s">
        <v>8</v>
      </c>
      <c r="ML594" s="27" t="s">
        <v>7</v>
      </c>
    </row>
    <row r="595" spans="1:358" x14ac:dyDescent="0.25">
      <c r="A595" s="7">
        <v>0.85349037119011173</v>
      </c>
      <c r="B595"/>
      <c r="C595"/>
      <c r="D595"/>
      <c r="E595"/>
      <c r="F595" s="27" t="s">
        <v>7</v>
      </c>
      <c r="MK595" s="27" t="s">
        <v>8</v>
      </c>
      <c r="ML595" s="27" t="s">
        <v>7</v>
      </c>
    </row>
    <row r="596" spans="1:358" x14ac:dyDescent="0.25">
      <c r="A596" s="7">
        <v>0.83675526587265858</v>
      </c>
      <c r="B596"/>
      <c r="C596"/>
      <c r="D596"/>
      <c r="E596"/>
      <c r="F596" s="27" t="s">
        <v>7</v>
      </c>
      <c r="MK596" s="27" t="s">
        <v>8</v>
      </c>
      <c r="ML596" s="27" t="s">
        <v>7</v>
      </c>
    </row>
    <row r="597" spans="1:358" x14ac:dyDescent="0.25">
      <c r="A597" s="7">
        <v>0.82034829987515545</v>
      </c>
      <c r="B597"/>
      <c r="C597"/>
      <c r="D597"/>
      <c r="E597"/>
      <c r="F597" s="27" t="s">
        <v>7</v>
      </c>
      <c r="MK597" s="27" t="s">
        <v>8</v>
      </c>
      <c r="ML597" s="27" t="s">
        <v>7</v>
      </c>
    </row>
    <row r="598" spans="1:358" x14ac:dyDescent="0.25">
      <c r="A598" s="7">
        <v>0.80426303909328967</v>
      </c>
      <c r="B598"/>
      <c r="C598"/>
      <c r="D598"/>
      <c r="E598"/>
      <c r="F598" s="27" t="s">
        <v>7</v>
      </c>
      <c r="MK598" s="27" t="s">
        <v>8</v>
      </c>
      <c r="ML598" s="27" t="s">
        <v>7</v>
      </c>
      <c r="MS598" s="27" t="s">
        <v>8</v>
      </c>
    </row>
    <row r="599" spans="1:358" x14ac:dyDescent="0.25">
      <c r="A599" s="7">
        <v>0.78849317558165644</v>
      </c>
      <c r="B599"/>
      <c r="C599"/>
      <c r="D599"/>
      <c r="E599"/>
      <c r="F599" s="27" t="s">
        <v>7</v>
      </c>
      <c r="MK599" s="27" t="s">
        <v>8</v>
      </c>
      <c r="ML599" s="27" t="s">
        <v>7</v>
      </c>
      <c r="MS599" s="27" t="s">
        <v>8</v>
      </c>
      <c r="MT599" s="27" t="s">
        <v>7</v>
      </c>
    </row>
    <row r="600" spans="1:358" x14ac:dyDescent="0.25">
      <c r="A600" s="7">
        <v>0.77303252508005538</v>
      </c>
      <c r="B600"/>
      <c r="C600"/>
      <c r="D600"/>
      <c r="E600"/>
      <c r="F600" s="27" t="s">
        <v>7</v>
      </c>
      <c r="MK600" s="27" t="s">
        <v>8</v>
      </c>
      <c r="ML600" s="27" t="s">
        <v>7</v>
      </c>
      <c r="MS600" s="27" t="s">
        <v>8</v>
      </c>
      <c r="MT600" s="27" t="s">
        <v>7</v>
      </c>
    </row>
    <row r="601" spans="1:358" x14ac:dyDescent="0.25">
      <c r="A601" s="7">
        <v>0.75787502458828959</v>
      </c>
      <c r="B601"/>
      <c r="C601"/>
      <c r="D601"/>
      <c r="E601"/>
      <c r="F601" s="27" t="s">
        <v>7</v>
      </c>
      <c r="MK601" s="27" t="s">
        <v>8</v>
      </c>
      <c r="ML601" s="27" t="s">
        <v>7</v>
      </c>
      <c r="MS601" s="27" t="s">
        <v>8</v>
      </c>
      <c r="MT601" s="27" t="s">
        <v>7</v>
      </c>
    </row>
    <row r="602" spans="1:358" x14ac:dyDescent="0.25">
      <c r="A602" s="7">
        <v>0.74301472998851925</v>
      </c>
      <c r="B602"/>
      <c r="C602"/>
      <c r="D602"/>
      <c r="E602"/>
      <c r="F602" s="27" t="s">
        <v>7</v>
      </c>
      <c r="MK602" s="27" t="s">
        <v>8</v>
      </c>
      <c r="ML602" s="27" t="s">
        <v>7</v>
      </c>
      <c r="MS602" s="27" t="s">
        <v>8</v>
      </c>
      <c r="MT602" s="27" t="s">
        <v>7</v>
      </c>
    </row>
    <row r="603" spans="1:358" x14ac:dyDescent="0.25">
      <c r="A603" s="7">
        <v>0.72844581371423456</v>
      </c>
      <c r="B603"/>
      <c r="C603"/>
      <c r="D603"/>
      <c r="E603"/>
      <c r="F603" s="27" t="s">
        <v>7</v>
      </c>
      <c r="HK603" s="27" t="s">
        <v>8</v>
      </c>
      <c r="MK603" s="27" t="s">
        <v>8</v>
      </c>
      <c r="ML603" s="27" t="s">
        <v>7</v>
      </c>
      <c r="MS603" s="27" t="s">
        <v>8</v>
      </c>
      <c r="MT603" s="27" t="s">
        <v>7</v>
      </c>
    </row>
    <row r="604" spans="1:358" x14ac:dyDescent="0.25">
      <c r="A604" s="7">
        <v>0.71416256246493581</v>
      </c>
      <c r="B604"/>
      <c r="C604"/>
      <c r="D604"/>
      <c r="E604"/>
      <c r="F604" s="27" t="s">
        <v>7</v>
      </c>
      <c r="HK604" s="27" t="s">
        <v>8</v>
      </c>
      <c r="HL604" s="27" t="s">
        <v>7</v>
      </c>
      <c r="MK604" s="27" t="s">
        <v>8</v>
      </c>
      <c r="ML604" s="27" t="s">
        <v>7</v>
      </c>
      <c r="MS604" s="27" t="s">
        <v>8</v>
      </c>
      <c r="MT604" s="27" t="s">
        <v>7</v>
      </c>
    </row>
    <row r="605" spans="1:358" x14ac:dyDescent="0.25">
      <c r="A605" s="7">
        <v>0.7001593749656233</v>
      </c>
      <c r="B605"/>
      <c r="C605"/>
      <c r="D605"/>
      <c r="E605"/>
      <c r="F605" s="27" t="s">
        <v>7</v>
      </c>
      <c r="HK605" s="27" t="s">
        <v>8</v>
      </c>
      <c r="HL605" s="27" t="s">
        <v>7</v>
      </c>
      <c r="MK605" s="27" t="s">
        <v>8</v>
      </c>
      <c r="ML605" s="27" t="s">
        <v>7</v>
      </c>
      <c r="MS605" s="27" t="s">
        <v>8</v>
      </c>
      <c r="MT605" s="27" t="s">
        <v>7</v>
      </c>
    </row>
    <row r="606" spans="1:358" x14ac:dyDescent="0.25">
      <c r="A606" s="7">
        <v>0.68643075977021883</v>
      </c>
      <c r="B606"/>
      <c r="C606"/>
      <c r="D606"/>
      <c r="E606"/>
      <c r="F606" s="27" t="s">
        <v>7</v>
      </c>
      <c r="HK606" s="27" t="s">
        <v>8</v>
      </c>
      <c r="HL606" s="27" t="s">
        <v>7</v>
      </c>
      <c r="MK606" s="27" t="s">
        <v>8</v>
      </c>
      <c r="ML606" s="27" t="s">
        <v>7</v>
      </c>
      <c r="MS606" s="27" t="s">
        <v>8</v>
      </c>
      <c r="MT606" s="27" t="s">
        <v>7</v>
      </c>
    </row>
    <row r="607" spans="1:358" x14ac:dyDescent="0.25">
      <c r="A607" s="7">
        <v>0.67297133310805768</v>
      </c>
      <c r="B607"/>
      <c r="C607"/>
      <c r="D607"/>
      <c r="E607"/>
      <c r="F607" s="27" t="s">
        <v>7</v>
      </c>
      <c r="HK607" s="27" t="s">
        <v>8</v>
      </c>
      <c r="HL607" s="27" t="s">
        <v>7</v>
      </c>
      <c r="MK607" s="27" t="s">
        <v>8</v>
      </c>
      <c r="ML607" s="27" t="s">
        <v>7</v>
      </c>
      <c r="MS607" s="27" t="s">
        <v>8</v>
      </c>
      <c r="MT607" s="27" t="s">
        <v>7</v>
      </c>
    </row>
    <row r="608" spans="1:358" x14ac:dyDescent="0.25">
      <c r="A608" s="7">
        <v>0.65977581677260566</v>
      </c>
      <c r="B608"/>
      <c r="C608"/>
      <c r="D608"/>
      <c r="E608"/>
      <c r="F608" s="27" t="s">
        <v>7</v>
      </c>
      <c r="HK608" s="27" t="s">
        <v>8</v>
      </c>
      <c r="HL608" s="27" t="s">
        <v>7</v>
      </c>
      <c r="MK608" s="27" t="s">
        <v>8</v>
      </c>
      <c r="ML608" s="27" t="s">
        <v>7</v>
      </c>
      <c r="MS608" s="27" t="s">
        <v>8</v>
      </c>
      <c r="MT608" s="27" t="s">
        <v>7</v>
      </c>
    </row>
    <row r="609" spans="1:368" x14ac:dyDescent="0.25">
      <c r="A609" s="7">
        <v>0.64683903605157422</v>
      </c>
      <c r="B609"/>
      <c r="C609"/>
      <c r="D609"/>
      <c r="E609"/>
      <c r="F609" s="27" t="s">
        <v>7</v>
      </c>
      <c r="HK609" s="27" t="s">
        <v>8</v>
      </c>
      <c r="HL609" s="27" t="s">
        <v>7</v>
      </c>
      <c r="MK609" s="27" t="s">
        <v>8</v>
      </c>
      <c r="ML609" s="27" t="s">
        <v>7</v>
      </c>
      <c r="MS609" s="27" t="s">
        <v>8</v>
      </c>
      <c r="MT609" s="27" t="s">
        <v>7</v>
      </c>
    </row>
    <row r="610" spans="1:368" x14ac:dyDescent="0.25">
      <c r="A610" s="7">
        <v>0.63415591769762181</v>
      </c>
      <c r="B610"/>
      <c r="C610"/>
      <c r="D610"/>
      <c r="E610"/>
      <c r="F610" s="27" t="s">
        <v>7</v>
      </c>
      <c r="HK610" s="27" t="s">
        <v>8</v>
      </c>
      <c r="HL610" s="27" t="s">
        <v>7</v>
      </c>
      <c r="MK610" s="27" t="s">
        <v>8</v>
      </c>
      <c r="ML610" s="27" t="s">
        <v>7</v>
      </c>
      <c r="MS610" s="27" t="s">
        <v>8</v>
      </c>
      <c r="MT610" s="27" t="s">
        <v>7</v>
      </c>
    </row>
    <row r="611" spans="1:368" x14ac:dyDescent="0.25">
      <c r="A611" s="7">
        <v>0.62172148793884496</v>
      </c>
      <c r="B611"/>
      <c r="C611"/>
      <c r="D611"/>
      <c r="E611"/>
      <c r="F611" s="27" t="s">
        <v>7</v>
      </c>
      <c r="HK611" s="27" t="s">
        <v>8</v>
      </c>
      <c r="HL611" s="27" t="s">
        <v>7</v>
      </c>
      <c r="MK611" s="27" t="s">
        <v>8</v>
      </c>
      <c r="ML611" s="27" t="s">
        <v>7</v>
      </c>
      <c r="MS611" s="27" t="s">
        <v>8</v>
      </c>
      <c r="MT611" s="27" t="s">
        <v>7</v>
      </c>
    </row>
    <row r="612" spans="1:368" x14ac:dyDescent="0.25">
      <c r="A612" s="7">
        <v>0.60953087052827937</v>
      </c>
      <c r="B612"/>
      <c r="C612"/>
      <c r="D612"/>
      <c r="E612"/>
      <c r="F612" s="27" t="s">
        <v>7</v>
      </c>
      <c r="HK612" s="27" t="s">
        <v>8</v>
      </c>
      <c r="HL612" s="27" t="s">
        <v>7</v>
      </c>
      <c r="MK612" s="27" t="s">
        <v>8</v>
      </c>
      <c r="ML612" s="27" t="s">
        <v>7</v>
      </c>
      <c r="MS612" s="27" t="s">
        <v>8</v>
      </c>
      <c r="MT612" s="27" t="s">
        <v>7</v>
      </c>
      <c r="MY612" s="27" t="s">
        <v>8</v>
      </c>
    </row>
    <row r="613" spans="1:368" x14ac:dyDescent="0.25">
      <c r="A613" s="7">
        <v>0.59757928483164646</v>
      </c>
      <c r="B613"/>
      <c r="C613"/>
      <c r="D613"/>
      <c r="E613"/>
      <c r="F613" s="27" t="s">
        <v>7</v>
      </c>
      <c r="HK613" s="27" t="s">
        <v>8</v>
      </c>
      <c r="HL613" s="27" t="s">
        <v>7</v>
      </c>
      <c r="MK613" s="27" t="s">
        <v>8</v>
      </c>
      <c r="ML613" s="27" t="s">
        <v>7</v>
      </c>
      <c r="MS613" s="27" t="s">
        <v>8</v>
      </c>
      <c r="MT613" s="27" t="s">
        <v>7</v>
      </c>
      <c r="MY613" s="27" t="s">
        <v>8</v>
      </c>
      <c r="MZ613" s="27" t="s">
        <v>7</v>
      </c>
    </row>
    <row r="614" spans="1:368" x14ac:dyDescent="0.25">
      <c r="A614" s="7">
        <v>0.58586204395259456</v>
      </c>
      <c r="B614"/>
      <c r="C614"/>
      <c r="D614"/>
      <c r="E614"/>
      <c r="F614" s="27" t="s">
        <v>7</v>
      </c>
      <c r="HK614" s="27" t="s">
        <v>8</v>
      </c>
      <c r="HL614" s="27" t="s">
        <v>7</v>
      </c>
      <c r="IC614" s="27" t="s">
        <v>8</v>
      </c>
      <c r="MK614" s="27" t="s">
        <v>8</v>
      </c>
      <c r="ML614" s="27" t="s">
        <v>7</v>
      </c>
      <c r="MS614" s="27" t="s">
        <v>8</v>
      </c>
      <c r="MT614" s="27" t="s">
        <v>7</v>
      </c>
      <c r="MY614" s="27" t="s">
        <v>8</v>
      </c>
      <c r="MZ614" s="27" t="s">
        <v>7</v>
      </c>
    </row>
    <row r="615" spans="1:368" x14ac:dyDescent="0.25">
      <c r="A615" s="7">
        <v>0.57437455289470052</v>
      </c>
      <c r="B615"/>
      <c r="C615"/>
      <c r="D615"/>
      <c r="E615"/>
      <c r="F615" s="27" t="s">
        <v>7</v>
      </c>
      <c r="HK615" s="27" t="s">
        <v>8</v>
      </c>
      <c r="HL615" s="27" t="s">
        <v>7</v>
      </c>
      <c r="IC615" s="27" t="s">
        <v>8</v>
      </c>
      <c r="ID615" s="27" t="s">
        <v>7</v>
      </c>
      <c r="MK615" s="27" t="s">
        <v>8</v>
      </c>
      <c r="ML615" s="27" t="s">
        <v>7</v>
      </c>
      <c r="MS615" s="27" t="s">
        <v>8</v>
      </c>
      <c r="MT615" s="27" t="s">
        <v>7</v>
      </c>
      <c r="MY615" s="27" t="s">
        <v>8</v>
      </c>
      <c r="MZ615" s="27" t="s">
        <v>7</v>
      </c>
    </row>
    <row r="616" spans="1:368" x14ac:dyDescent="0.25">
      <c r="A616" s="7">
        <v>0.56311230675951029</v>
      </c>
      <c r="B616"/>
      <c r="C616"/>
      <c r="D616"/>
      <c r="E616"/>
      <c r="F616" s="27" t="s">
        <v>7</v>
      </c>
      <c r="HK616" s="27" t="s">
        <v>8</v>
      </c>
      <c r="HL616" s="27" t="s">
        <v>7</v>
      </c>
      <c r="IC616" s="27" t="s">
        <v>8</v>
      </c>
      <c r="ID616" s="27" t="s">
        <v>7</v>
      </c>
      <c r="MK616" s="27" t="s">
        <v>8</v>
      </c>
      <c r="ML616" s="27" t="s">
        <v>7</v>
      </c>
      <c r="MS616" s="27" t="s">
        <v>8</v>
      </c>
      <c r="MT616" s="27" t="s">
        <v>7</v>
      </c>
      <c r="MW616" s="27" t="s">
        <v>8</v>
      </c>
      <c r="MY616" s="27" t="s">
        <v>8</v>
      </c>
      <c r="MZ616" s="27" t="s">
        <v>7</v>
      </c>
    </row>
    <row r="617" spans="1:368" x14ac:dyDescent="0.25">
      <c r="A617" s="7">
        <v>0.55207088897991208</v>
      </c>
      <c r="B617"/>
      <c r="C617"/>
      <c r="D617"/>
      <c r="E617"/>
      <c r="F617" s="27" t="s">
        <v>7</v>
      </c>
      <c r="HK617" s="27" t="s">
        <v>8</v>
      </c>
      <c r="HL617" s="27" t="s">
        <v>7</v>
      </c>
      <c r="IC617" s="27" t="s">
        <v>8</v>
      </c>
      <c r="ID617" s="27" t="s">
        <v>7</v>
      </c>
      <c r="MK617" s="27" t="s">
        <v>8</v>
      </c>
      <c r="ML617" s="27" t="s">
        <v>7</v>
      </c>
      <c r="MS617" s="27" t="s">
        <v>8</v>
      </c>
      <c r="MT617" s="27" t="s">
        <v>7</v>
      </c>
      <c r="MW617" s="27" t="s">
        <v>8</v>
      </c>
      <c r="MX617" s="27" t="s">
        <v>7</v>
      </c>
      <c r="MY617" s="27" t="s">
        <v>8</v>
      </c>
      <c r="MZ617" s="27" t="s">
        <v>7</v>
      </c>
    </row>
    <row r="618" spans="1:368" x14ac:dyDescent="0.25">
      <c r="A618" s="7">
        <v>0.54124596958814908</v>
      </c>
      <c r="B618"/>
      <c r="C618"/>
      <c r="D618"/>
      <c r="E618"/>
      <c r="F618" s="27" t="s">
        <v>7</v>
      </c>
      <c r="HK618" s="27" t="s">
        <v>8</v>
      </c>
      <c r="HL618" s="27" t="s">
        <v>7</v>
      </c>
      <c r="IC618" s="27" t="s">
        <v>8</v>
      </c>
      <c r="ID618" s="27" t="s">
        <v>7</v>
      </c>
      <c r="MK618" s="27" t="s">
        <v>8</v>
      </c>
      <c r="ML618" s="27" t="s">
        <v>7</v>
      </c>
      <c r="MS618" s="27" t="s">
        <v>8</v>
      </c>
      <c r="MT618" s="27" t="s">
        <v>7</v>
      </c>
      <c r="MW618" s="27" t="s">
        <v>8</v>
      </c>
      <c r="MX618" s="27" t="s">
        <v>7</v>
      </c>
      <c r="MY618" s="27" t="s">
        <v>8</v>
      </c>
      <c r="MZ618" s="27" t="s">
        <v>7</v>
      </c>
    </row>
    <row r="619" spans="1:368" x14ac:dyDescent="0.25">
      <c r="A619" s="7">
        <v>0.53063330351779314</v>
      </c>
      <c r="B619"/>
      <c r="C619"/>
      <c r="D619"/>
      <c r="E619"/>
      <c r="F619" s="27" t="s">
        <v>7</v>
      </c>
      <c r="HK619" s="27" t="s">
        <v>8</v>
      </c>
      <c r="HL619" s="27" t="s">
        <v>7</v>
      </c>
      <c r="IC619" s="27" t="s">
        <v>8</v>
      </c>
      <c r="ID619" s="27" t="s">
        <v>7</v>
      </c>
      <c r="MK619" s="27" t="s">
        <v>8</v>
      </c>
      <c r="ML619" s="27" t="s">
        <v>7</v>
      </c>
      <c r="MS619" s="27" t="s">
        <v>8</v>
      </c>
      <c r="MT619" s="27" t="s">
        <v>7</v>
      </c>
      <c r="MW619" s="27" t="s">
        <v>8</v>
      </c>
      <c r="MX619" s="27" t="s">
        <v>7</v>
      </c>
      <c r="MY619" s="27" t="s">
        <v>8</v>
      </c>
      <c r="MZ619" s="27" t="s">
        <v>7</v>
      </c>
      <c r="NC619" s="27" t="s">
        <v>8</v>
      </c>
    </row>
    <row r="620" spans="1:368" x14ac:dyDescent="0.25">
      <c r="A620" s="7">
        <v>0.52022872893901284</v>
      </c>
      <c r="B620"/>
      <c r="C620"/>
      <c r="D620"/>
      <c r="E620"/>
      <c r="F620" s="27" t="s">
        <v>7</v>
      </c>
      <c r="HK620" s="27" t="s">
        <v>8</v>
      </c>
      <c r="HL620" s="27" t="s">
        <v>7</v>
      </c>
      <c r="IC620" s="27" t="s">
        <v>8</v>
      </c>
      <c r="ID620" s="27" t="s">
        <v>7</v>
      </c>
      <c r="MK620" s="27" t="s">
        <v>8</v>
      </c>
      <c r="ML620" s="27" t="s">
        <v>7</v>
      </c>
      <c r="MS620" s="27" t="s">
        <v>8</v>
      </c>
      <c r="MT620" s="27" t="s">
        <v>7</v>
      </c>
      <c r="MW620" s="27" t="s">
        <v>8</v>
      </c>
      <c r="MX620" s="27" t="s">
        <v>7</v>
      </c>
      <c r="MY620" s="27" t="s">
        <v>8</v>
      </c>
      <c r="MZ620" s="27" t="s">
        <v>7</v>
      </c>
      <c r="NA620" s="27" t="s">
        <v>8</v>
      </c>
      <c r="NC620" s="27" t="s">
        <v>8</v>
      </c>
      <c r="ND620" s="27" t="s">
        <v>7</v>
      </c>
    </row>
    <row r="621" spans="1:368" x14ac:dyDescent="0.25">
      <c r="A621" s="7">
        <v>0.51002816562648323</v>
      </c>
      <c r="B621"/>
      <c r="C621"/>
      <c r="D621"/>
      <c r="E621"/>
      <c r="F621" s="27" t="s">
        <v>7</v>
      </c>
      <c r="HK621" s="27" t="s">
        <v>8</v>
      </c>
      <c r="HL621" s="27" t="s">
        <v>7</v>
      </c>
      <c r="HO621" s="27" t="s">
        <v>8</v>
      </c>
      <c r="IC621" s="27" t="s">
        <v>8</v>
      </c>
      <c r="ID621" s="27" t="s">
        <v>7</v>
      </c>
      <c r="MK621" s="27" t="s">
        <v>8</v>
      </c>
      <c r="ML621" s="27" t="s">
        <v>7</v>
      </c>
      <c r="MS621" s="27" t="s">
        <v>8</v>
      </c>
      <c r="MT621" s="27" t="s">
        <v>7</v>
      </c>
      <c r="MW621" s="27" t="s">
        <v>8</v>
      </c>
      <c r="MX621" s="27" t="s">
        <v>7</v>
      </c>
      <c r="MY621" s="27" t="s">
        <v>8</v>
      </c>
      <c r="MZ621" s="27" t="s">
        <v>7</v>
      </c>
      <c r="NA621" s="27" t="s">
        <v>8</v>
      </c>
      <c r="NB621" s="27" t="s">
        <v>7</v>
      </c>
      <c r="NC621" s="27" t="s">
        <v>8</v>
      </c>
      <c r="ND621" s="27" t="s">
        <v>7</v>
      </c>
    </row>
    <row r="622" spans="1:368" x14ac:dyDescent="0.25">
      <c r="A622" s="7">
        <v>0.50002761335929735</v>
      </c>
      <c r="B622"/>
      <c r="C622"/>
      <c r="D622"/>
      <c r="E622"/>
      <c r="F622" s="27" t="s">
        <v>7</v>
      </c>
      <c r="HK622" s="27" t="s">
        <v>8</v>
      </c>
      <c r="HL622" s="27" t="s">
        <v>7</v>
      </c>
      <c r="HO622" s="27" t="s">
        <v>8</v>
      </c>
      <c r="HP622" s="27" t="s">
        <v>7</v>
      </c>
      <c r="IC622" s="27" t="s">
        <v>8</v>
      </c>
      <c r="ID622" s="27" t="s">
        <v>7</v>
      </c>
      <c r="MK622" s="27" t="s">
        <v>8</v>
      </c>
      <c r="ML622" s="27" t="s">
        <v>7</v>
      </c>
      <c r="MM622" s="27" t="s">
        <v>8</v>
      </c>
      <c r="MS622" s="27" t="s">
        <v>8</v>
      </c>
      <c r="MT622" s="27" t="s">
        <v>7</v>
      </c>
      <c r="MW622" s="27" t="s">
        <v>8</v>
      </c>
      <c r="MX622" s="27" t="s">
        <v>7</v>
      </c>
      <c r="MY622" s="27" t="s">
        <v>8</v>
      </c>
      <c r="MZ622" s="27" t="s">
        <v>7</v>
      </c>
      <c r="NA622" s="27" t="s">
        <v>8</v>
      </c>
      <c r="NB622" s="27" t="s">
        <v>7</v>
      </c>
      <c r="NC622" s="27" t="s">
        <v>8</v>
      </c>
      <c r="ND622" s="27" t="s">
        <v>7</v>
      </c>
    </row>
    <row r="623" spans="1:368" x14ac:dyDescent="0.25">
      <c r="A623" s="7">
        <v>0.49022315035225228</v>
      </c>
      <c r="B623"/>
      <c r="C623"/>
      <c r="D623"/>
      <c r="E623"/>
      <c r="F623" s="27" t="s">
        <v>7</v>
      </c>
      <c r="HK623" s="27" t="s">
        <v>8</v>
      </c>
      <c r="HL623" s="27" t="s">
        <v>7</v>
      </c>
      <c r="HO623" s="27" t="s">
        <v>8</v>
      </c>
      <c r="HP623" s="27" t="s">
        <v>7</v>
      </c>
      <c r="IC623" s="27" t="s">
        <v>8</v>
      </c>
      <c r="ID623" s="27" t="s">
        <v>7</v>
      </c>
      <c r="MK623" s="27" t="s">
        <v>8</v>
      </c>
      <c r="ML623" s="27" t="s">
        <v>7</v>
      </c>
      <c r="MM623" s="27" t="s">
        <v>8</v>
      </c>
      <c r="MN623" s="27" t="s">
        <v>7</v>
      </c>
      <c r="MS623" s="27" t="s">
        <v>8</v>
      </c>
      <c r="MT623" s="27" t="s">
        <v>7</v>
      </c>
      <c r="MW623" s="27" t="s">
        <v>8</v>
      </c>
      <c r="MX623" s="27" t="s">
        <v>7</v>
      </c>
      <c r="MY623" s="27" t="s">
        <v>8</v>
      </c>
      <c r="MZ623" s="27" t="s">
        <v>7</v>
      </c>
      <c r="NA623" s="27" t="s">
        <v>8</v>
      </c>
      <c r="NB623" s="27" t="s">
        <v>7</v>
      </c>
      <c r="NC623" s="27" t="s">
        <v>8</v>
      </c>
      <c r="ND623" s="27" t="s">
        <v>7</v>
      </c>
    </row>
    <row r="624" spans="1:368" x14ac:dyDescent="0.25">
      <c r="A624" s="7">
        <v>0.48061093171789437</v>
      </c>
      <c r="B624"/>
      <c r="C624"/>
      <c r="D624"/>
      <c r="E624"/>
      <c r="F624" s="27" t="s">
        <v>7</v>
      </c>
      <c r="HK624" s="27" t="s">
        <v>8</v>
      </c>
      <c r="HL624" s="27" t="s">
        <v>7</v>
      </c>
      <c r="HM624" s="27" t="s">
        <v>8</v>
      </c>
      <c r="HO624" s="27" t="s">
        <v>8</v>
      </c>
      <c r="HP624" s="27" t="s">
        <v>7</v>
      </c>
      <c r="IC624" s="27" t="s">
        <v>8</v>
      </c>
      <c r="ID624" s="27" t="s">
        <v>7</v>
      </c>
      <c r="MK624" s="27" t="s">
        <v>8</v>
      </c>
      <c r="ML624" s="27" t="s">
        <v>7</v>
      </c>
      <c r="MM624" s="27" t="s">
        <v>8</v>
      </c>
      <c r="MN624" s="27" t="s">
        <v>7</v>
      </c>
      <c r="MS624" s="27" t="s">
        <v>8</v>
      </c>
      <c r="MT624" s="27" t="s">
        <v>7</v>
      </c>
      <c r="MW624" s="27" t="s">
        <v>8</v>
      </c>
      <c r="MX624" s="27" t="s">
        <v>7</v>
      </c>
      <c r="MY624" s="27" t="s">
        <v>8</v>
      </c>
      <c r="MZ624" s="27" t="s">
        <v>7</v>
      </c>
      <c r="NA624" s="27" t="s">
        <v>8</v>
      </c>
      <c r="NB624" s="27" t="s">
        <v>7</v>
      </c>
      <c r="NC624" s="27" t="s">
        <v>8</v>
      </c>
      <c r="ND624" s="27" t="s">
        <v>7</v>
      </c>
    </row>
    <row r="625" spans="1:378" x14ac:dyDescent="0.25">
      <c r="A625" s="7">
        <v>0.47118718795871994</v>
      </c>
      <c r="B625"/>
      <c r="C625"/>
      <c r="D625"/>
      <c r="E625"/>
      <c r="F625" s="27" t="s">
        <v>7</v>
      </c>
      <c r="HK625" s="27" t="s">
        <v>8</v>
      </c>
      <c r="HL625" s="27" t="s">
        <v>7</v>
      </c>
      <c r="HM625" s="27" t="s">
        <v>8</v>
      </c>
      <c r="HN625" s="27" t="s">
        <v>7</v>
      </c>
      <c r="HO625" s="27" t="s">
        <v>8</v>
      </c>
      <c r="HP625" s="27" t="s">
        <v>7</v>
      </c>
      <c r="IC625" s="27" t="s">
        <v>8</v>
      </c>
      <c r="ID625" s="27" t="s">
        <v>7</v>
      </c>
      <c r="MK625" s="27" t="s">
        <v>8</v>
      </c>
      <c r="ML625" s="27" t="s">
        <v>7</v>
      </c>
      <c r="MM625" s="27" t="s">
        <v>8</v>
      </c>
      <c r="MN625" s="27" t="s">
        <v>7</v>
      </c>
      <c r="MS625" s="27" t="s">
        <v>8</v>
      </c>
      <c r="MT625" s="27" t="s">
        <v>7</v>
      </c>
      <c r="MW625" s="27" t="s">
        <v>8</v>
      </c>
      <c r="MX625" s="27" t="s">
        <v>7</v>
      </c>
      <c r="MY625" s="27" t="s">
        <v>8</v>
      </c>
      <c r="MZ625" s="27" t="s">
        <v>7</v>
      </c>
      <c r="NB625" s="27" t="s">
        <v>7</v>
      </c>
      <c r="ND625" s="27" t="s">
        <v>7</v>
      </c>
    </row>
    <row r="626" spans="1:378" x14ac:dyDescent="0.25">
      <c r="A626" s="7">
        <v>0.46194822348894116</v>
      </c>
      <c r="B626"/>
      <c r="C626"/>
      <c r="D626"/>
      <c r="E626"/>
      <c r="F626" s="27" t="s">
        <v>7</v>
      </c>
      <c r="HK626" s="27" t="s">
        <v>8</v>
      </c>
      <c r="HL626" s="27" t="s">
        <v>7</v>
      </c>
      <c r="HM626" s="27" t="s">
        <v>8</v>
      </c>
      <c r="HN626" s="27" t="s">
        <v>7</v>
      </c>
      <c r="HO626" s="27" t="s">
        <v>8</v>
      </c>
      <c r="HP626" s="27" t="s">
        <v>7</v>
      </c>
      <c r="IC626" s="27" t="s">
        <v>8</v>
      </c>
      <c r="ID626" s="27" t="s">
        <v>7</v>
      </c>
      <c r="MK626" s="27" t="s">
        <v>8</v>
      </c>
      <c r="ML626" s="27" t="s">
        <v>7</v>
      </c>
      <c r="MM626" s="27" t="s">
        <v>8</v>
      </c>
      <c r="MN626" s="27" t="s">
        <v>7</v>
      </c>
      <c r="MS626" s="27" t="s">
        <v>8</v>
      </c>
      <c r="MT626" s="27" t="s">
        <v>7</v>
      </c>
      <c r="MW626" s="27" t="s">
        <v>8</v>
      </c>
      <c r="MX626" s="27" t="s">
        <v>7</v>
      </c>
      <c r="MY626" s="27" t="s">
        <v>8</v>
      </c>
      <c r="ND626" s="27" t="s">
        <v>7</v>
      </c>
      <c r="NG626" s="27" t="s">
        <v>8</v>
      </c>
    </row>
    <row r="627" spans="1:378" x14ac:dyDescent="0.25">
      <c r="A627" s="7">
        <v>0.45289041518523643</v>
      </c>
      <c r="B627"/>
      <c r="C627"/>
      <c r="D627"/>
      <c r="E627"/>
      <c r="F627" s="27" t="s">
        <v>7</v>
      </c>
      <c r="HK627" s="27" t="s">
        <v>8</v>
      </c>
      <c r="HL627" s="27" t="s">
        <v>7</v>
      </c>
      <c r="HM627" s="27" t="s">
        <v>8</v>
      </c>
      <c r="HN627" s="27" t="s">
        <v>7</v>
      </c>
      <c r="HO627" s="27" t="s">
        <v>8</v>
      </c>
      <c r="HP627" s="27" t="s">
        <v>7</v>
      </c>
      <c r="HQ627" s="27" t="s">
        <v>8</v>
      </c>
      <c r="IC627" s="27" t="s">
        <v>8</v>
      </c>
      <c r="ID627" s="27" t="s">
        <v>7</v>
      </c>
      <c r="MK627" s="27" t="s">
        <v>8</v>
      </c>
      <c r="ML627" s="27" t="s">
        <v>7</v>
      </c>
      <c r="MM627" s="27" t="s">
        <v>8</v>
      </c>
      <c r="MN627" s="27" t="s">
        <v>7</v>
      </c>
      <c r="MS627" s="27" t="s">
        <v>8</v>
      </c>
      <c r="MT627" s="27" t="s">
        <v>7</v>
      </c>
      <c r="MU627" s="27" t="s">
        <v>8</v>
      </c>
      <c r="MW627" s="27" t="s">
        <v>8</v>
      </c>
      <c r="MX627" s="27" t="s">
        <v>7</v>
      </c>
      <c r="MY627" s="27" t="s">
        <v>8</v>
      </c>
      <c r="ND627" s="27" t="s">
        <v>7</v>
      </c>
      <c r="NE627" s="27" t="s">
        <v>8</v>
      </c>
      <c r="NG627" s="27" t="s">
        <v>8</v>
      </c>
      <c r="NH627" s="27" t="s">
        <v>7</v>
      </c>
    </row>
    <row r="628" spans="1:378" x14ac:dyDescent="0.25">
      <c r="A628" s="7">
        <v>0.44401021096591808</v>
      </c>
      <c r="B628"/>
      <c r="C628"/>
      <c r="D628"/>
      <c r="E628"/>
      <c r="F628" s="27" t="s">
        <v>7</v>
      </c>
      <c r="HA628" s="27" t="s">
        <v>8</v>
      </c>
      <c r="HK628" s="27" t="s">
        <v>8</v>
      </c>
      <c r="HL628" s="27" t="s">
        <v>7</v>
      </c>
      <c r="HM628" s="27" t="s">
        <v>8</v>
      </c>
      <c r="HN628" s="27" t="s">
        <v>7</v>
      </c>
      <c r="HO628" s="27" t="s">
        <v>8</v>
      </c>
      <c r="HP628" s="27" t="s">
        <v>7</v>
      </c>
      <c r="HQ628" s="27" t="s">
        <v>8</v>
      </c>
      <c r="HR628" s="27" t="s">
        <v>7</v>
      </c>
      <c r="HS628" s="27" t="s">
        <v>8</v>
      </c>
      <c r="IC628" s="27" t="s">
        <v>8</v>
      </c>
      <c r="ID628" s="27" t="s">
        <v>7</v>
      </c>
      <c r="MK628" s="27" t="s">
        <v>8</v>
      </c>
      <c r="ML628" s="27" t="s">
        <v>7</v>
      </c>
      <c r="MM628" s="27" t="s">
        <v>8</v>
      </c>
      <c r="MN628" s="27" t="s">
        <v>7</v>
      </c>
      <c r="MO628" s="27" t="s">
        <v>8</v>
      </c>
      <c r="MS628" s="27" t="s">
        <v>8</v>
      </c>
      <c r="MT628" s="27" t="s">
        <v>7</v>
      </c>
      <c r="MU628" s="27" t="s">
        <v>8</v>
      </c>
      <c r="MV628" s="27" t="s">
        <v>7</v>
      </c>
      <c r="MW628" s="27" t="s">
        <v>8</v>
      </c>
      <c r="MX628" s="27" t="s">
        <v>7</v>
      </c>
      <c r="MY628" s="27" t="s">
        <v>8</v>
      </c>
      <c r="ND628" s="27" t="s">
        <v>7</v>
      </c>
      <c r="NE628" s="27" t="s">
        <v>8</v>
      </c>
      <c r="NF628" s="27" t="s">
        <v>7</v>
      </c>
      <c r="NG628" s="27" t="s">
        <v>8</v>
      </c>
      <c r="NH628" s="27" t="s">
        <v>7</v>
      </c>
    </row>
    <row r="629" spans="1:378" x14ac:dyDescent="0.25">
      <c r="A629" s="7">
        <v>0.4353041283979589</v>
      </c>
      <c r="B629"/>
      <c r="C629"/>
      <c r="D629"/>
      <c r="E629"/>
      <c r="F629" s="27" t="s">
        <v>7</v>
      </c>
      <c r="HA629" s="27" t="s">
        <v>8</v>
      </c>
      <c r="HB629" s="27" t="s">
        <v>7</v>
      </c>
      <c r="HK629" s="27" t="s">
        <v>8</v>
      </c>
      <c r="HL629" s="27" t="s">
        <v>7</v>
      </c>
      <c r="HN629" s="27" t="s">
        <v>7</v>
      </c>
      <c r="HO629" s="27" t="s">
        <v>8</v>
      </c>
      <c r="HP629" s="27" t="s">
        <v>7</v>
      </c>
      <c r="HQ629" s="27" t="s">
        <v>8</v>
      </c>
      <c r="HR629" s="27" t="s">
        <v>7</v>
      </c>
      <c r="HS629" s="27" t="s">
        <v>8</v>
      </c>
      <c r="HT629" s="27" t="s">
        <v>7</v>
      </c>
      <c r="HY629" s="27" t="s">
        <v>8</v>
      </c>
      <c r="IC629" s="27" t="s">
        <v>8</v>
      </c>
      <c r="ID629" s="27" t="s">
        <v>7</v>
      </c>
      <c r="MK629" s="27" t="s">
        <v>8</v>
      </c>
      <c r="ML629" s="27" t="s">
        <v>7</v>
      </c>
      <c r="MM629" s="27" t="s">
        <v>8</v>
      </c>
      <c r="MN629" s="27" t="s">
        <v>7</v>
      </c>
      <c r="MO629" s="27" t="s">
        <v>8</v>
      </c>
      <c r="MP629" s="27" t="s">
        <v>7</v>
      </c>
      <c r="MS629" s="27" t="s">
        <v>8</v>
      </c>
      <c r="MT629" s="27" t="s">
        <v>7</v>
      </c>
      <c r="MU629" s="27" t="s">
        <v>8</v>
      </c>
      <c r="MV629" s="27" t="s">
        <v>7</v>
      </c>
      <c r="MW629" s="27" t="s">
        <v>8</v>
      </c>
      <c r="MX629" s="27" t="s">
        <v>7</v>
      </c>
      <c r="MY629" s="27" t="s">
        <v>8</v>
      </c>
      <c r="ND629" s="27" t="s">
        <v>7</v>
      </c>
      <c r="NE629" s="27" t="s">
        <v>8</v>
      </c>
      <c r="NF629" s="27" t="s">
        <v>7</v>
      </c>
      <c r="NG629" s="27" t="s">
        <v>8</v>
      </c>
      <c r="NH629" s="27" t="s">
        <v>7</v>
      </c>
    </row>
    <row r="630" spans="1:378" x14ac:dyDescent="0.25">
      <c r="A630" s="7">
        <v>0.4267687533313323</v>
      </c>
      <c r="B630"/>
      <c r="C630"/>
      <c r="D630"/>
      <c r="E630"/>
      <c r="F630" s="27" t="s">
        <v>7</v>
      </c>
      <c r="HA630" s="27" t="s">
        <v>8</v>
      </c>
      <c r="HB630" s="27" t="s">
        <v>7</v>
      </c>
      <c r="HK630" s="27" t="s">
        <v>8</v>
      </c>
      <c r="HN630" s="27" t="s">
        <v>7</v>
      </c>
      <c r="HO630" s="27" t="s">
        <v>8</v>
      </c>
      <c r="HP630" s="27" t="s">
        <v>7</v>
      </c>
      <c r="HQ630" s="27" t="s">
        <v>8</v>
      </c>
      <c r="HR630" s="27" t="s">
        <v>7</v>
      </c>
      <c r="HS630" s="27" t="s">
        <v>8</v>
      </c>
      <c r="HT630" s="27" t="s">
        <v>7</v>
      </c>
      <c r="HY630" s="27" t="s">
        <v>8</v>
      </c>
      <c r="HZ630" s="27" t="s">
        <v>7</v>
      </c>
      <c r="IC630" s="27" t="s">
        <v>8</v>
      </c>
      <c r="ID630" s="27" t="s">
        <v>7</v>
      </c>
      <c r="MK630" s="27" t="s">
        <v>8</v>
      </c>
      <c r="ML630" s="27" t="s">
        <v>7</v>
      </c>
      <c r="MM630" s="27" t="s">
        <v>8</v>
      </c>
      <c r="MN630" s="27" t="s">
        <v>7</v>
      </c>
      <c r="MO630" s="27" t="s">
        <v>8</v>
      </c>
      <c r="MP630" s="27" t="s">
        <v>7</v>
      </c>
      <c r="MS630" s="27" t="s">
        <v>8</v>
      </c>
      <c r="MT630" s="27" t="s">
        <v>7</v>
      </c>
      <c r="MU630" s="27" t="s">
        <v>8</v>
      </c>
      <c r="MV630" s="27" t="s">
        <v>7</v>
      </c>
      <c r="MW630" s="27" t="s">
        <v>8</v>
      </c>
      <c r="MX630" s="27" t="s">
        <v>7</v>
      </c>
      <c r="MY630" s="27" t="s">
        <v>8</v>
      </c>
      <c r="ND630" s="27" t="s">
        <v>7</v>
      </c>
      <c r="NE630" s="27" t="s">
        <v>8</v>
      </c>
      <c r="NF630" s="27" t="s">
        <v>7</v>
      </c>
      <c r="NG630" s="27" t="s">
        <v>8</v>
      </c>
      <c r="NH630" s="27" t="s">
        <v>7</v>
      </c>
    </row>
    <row r="631" spans="1:378" x14ac:dyDescent="0.25">
      <c r="A631" s="7">
        <v>0.41840073856012971</v>
      </c>
      <c r="B631"/>
      <c r="C631"/>
      <c r="D631"/>
      <c r="E631"/>
      <c r="F631" s="27" t="s">
        <v>7</v>
      </c>
      <c r="HA631" s="27" t="s">
        <v>8</v>
      </c>
      <c r="HB631" s="27" t="s">
        <v>7</v>
      </c>
      <c r="HK631" s="27" t="s">
        <v>8</v>
      </c>
      <c r="HN631" s="27" t="s">
        <v>7</v>
      </c>
      <c r="HP631" s="27" t="s">
        <v>7</v>
      </c>
      <c r="HQ631" s="27" t="s">
        <v>8</v>
      </c>
      <c r="HR631" s="27" t="s">
        <v>7</v>
      </c>
      <c r="HS631" s="27" t="s">
        <v>8</v>
      </c>
      <c r="HT631" s="27" t="s">
        <v>7</v>
      </c>
      <c r="HY631" s="27" t="s">
        <v>8</v>
      </c>
      <c r="HZ631" s="27" t="s">
        <v>7</v>
      </c>
      <c r="IA631" s="27" t="s">
        <v>8</v>
      </c>
      <c r="IC631" s="27" t="s">
        <v>8</v>
      </c>
      <c r="ID631" s="27" t="s">
        <v>7</v>
      </c>
      <c r="MK631" s="27" t="s">
        <v>8</v>
      </c>
      <c r="ML631" s="27" t="s">
        <v>7</v>
      </c>
      <c r="MM631" s="27" t="s">
        <v>8</v>
      </c>
      <c r="MN631" s="27" t="s">
        <v>7</v>
      </c>
      <c r="MO631" s="27" t="s">
        <v>8</v>
      </c>
      <c r="MP631" s="27" t="s">
        <v>7</v>
      </c>
      <c r="MS631" s="27" t="s">
        <v>8</v>
      </c>
      <c r="MT631" s="27" t="s">
        <v>7</v>
      </c>
      <c r="MU631" s="27" t="s">
        <v>8</v>
      </c>
      <c r="MV631" s="27" t="s">
        <v>7</v>
      </c>
      <c r="MW631" s="27" t="s">
        <v>8</v>
      </c>
      <c r="MX631" s="27" t="s">
        <v>7</v>
      </c>
      <c r="MY631" s="27" t="s">
        <v>8</v>
      </c>
      <c r="ND631" s="27" t="s">
        <v>7</v>
      </c>
      <c r="NF631" s="27" t="s">
        <v>7</v>
      </c>
      <c r="NG631" s="27" t="s">
        <v>8</v>
      </c>
      <c r="NH631" s="27" t="s">
        <v>7</v>
      </c>
      <c r="NI631" s="27" t="s">
        <v>8</v>
      </c>
    </row>
    <row r="632" spans="1:378" x14ac:dyDescent="0.25">
      <c r="A632" s="7">
        <v>0.41019680250993112</v>
      </c>
      <c r="B632"/>
      <c r="C632"/>
      <c r="D632"/>
      <c r="E632"/>
      <c r="F632" s="27" t="s">
        <v>7</v>
      </c>
      <c r="HA632" s="27" t="s">
        <v>8</v>
      </c>
      <c r="HB632" s="27" t="s">
        <v>7</v>
      </c>
      <c r="HK632" s="27" t="s">
        <v>8</v>
      </c>
      <c r="HP632" s="27" t="s">
        <v>7</v>
      </c>
      <c r="HQ632" s="27" t="s">
        <v>8</v>
      </c>
      <c r="HR632" s="27" t="s">
        <v>7</v>
      </c>
      <c r="HS632" s="27" t="s">
        <v>8</v>
      </c>
      <c r="HT632" s="27" t="s">
        <v>7</v>
      </c>
      <c r="HY632" s="27" t="s">
        <v>8</v>
      </c>
      <c r="HZ632" s="27" t="s">
        <v>7</v>
      </c>
      <c r="IA632" s="27" t="s">
        <v>8</v>
      </c>
      <c r="IB632" s="27" t="s">
        <v>7</v>
      </c>
      <c r="IC632" s="27" t="s">
        <v>8</v>
      </c>
      <c r="ID632" s="27" t="s">
        <v>7</v>
      </c>
      <c r="IE632" s="27" t="s">
        <v>8</v>
      </c>
      <c r="MK632" s="27" t="s">
        <v>8</v>
      </c>
      <c r="ML632" s="27" t="s">
        <v>7</v>
      </c>
      <c r="MM632" s="27" t="s">
        <v>8</v>
      </c>
      <c r="MN632" s="27" t="s">
        <v>7</v>
      </c>
      <c r="MO632" s="27" t="s">
        <v>8</v>
      </c>
      <c r="MP632" s="27" t="s">
        <v>7</v>
      </c>
      <c r="MS632" s="27" t="s">
        <v>8</v>
      </c>
      <c r="MT632" s="27" t="s">
        <v>7</v>
      </c>
      <c r="MV632" s="27" t="s">
        <v>7</v>
      </c>
      <c r="MW632" s="27" t="s">
        <v>8</v>
      </c>
      <c r="MX632" s="27" t="s">
        <v>7</v>
      </c>
      <c r="MY632" s="27" t="s">
        <v>8</v>
      </c>
      <c r="NF632" s="27" t="s">
        <v>7</v>
      </c>
      <c r="NG632" s="27" t="s">
        <v>8</v>
      </c>
      <c r="NH632" s="27" t="s">
        <v>7</v>
      </c>
      <c r="NI632" s="27" t="s">
        <v>8</v>
      </c>
      <c r="NJ632" s="27" t="s">
        <v>7</v>
      </c>
    </row>
    <row r="633" spans="1:378" x14ac:dyDescent="0.25">
      <c r="A633" s="7">
        <v>0.40215372795091286</v>
      </c>
      <c r="B633"/>
      <c r="C633"/>
      <c r="D633"/>
      <c r="E633"/>
      <c r="F633" s="27" t="s">
        <v>7</v>
      </c>
      <c r="HA633" s="27" t="s">
        <v>8</v>
      </c>
      <c r="HB633" s="27" t="s">
        <v>7</v>
      </c>
      <c r="HK633" s="27" t="s">
        <v>8</v>
      </c>
      <c r="HP633" s="27" t="s">
        <v>7</v>
      </c>
      <c r="HQ633" s="27" t="s">
        <v>8</v>
      </c>
      <c r="HR633" s="27" t="s">
        <v>7</v>
      </c>
      <c r="HS633" s="27" t="s">
        <v>8</v>
      </c>
      <c r="HT633" s="27" t="s">
        <v>7</v>
      </c>
      <c r="HW633" s="27" t="s">
        <v>8</v>
      </c>
      <c r="HY633" s="27" t="s">
        <v>8</v>
      </c>
      <c r="HZ633" s="27" t="s">
        <v>7</v>
      </c>
      <c r="IA633" s="27" t="s">
        <v>8</v>
      </c>
      <c r="IB633" s="27" t="s">
        <v>7</v>
      </c>
      <c r="IC633" s="27" t="s">
        <v>8</v>
      </c>
      <c r="ID633" s="27" t="s">
        <v>7</v>
      </c>
      <c r="IE633" s="27" t="s">
        <v>8</v>
      </c>
      <c r="IF633" s="27" t="s">
        <v>7</v>
      </c>
      <c r="MK633" s="27" t="s">
        <v>8</v>
      </c>
      <c r="ML633" s="27" t="s">
        <v>7</v>
      </c>
      <c r="MN633" s="27" t="s">
        <v>7</v>
      </c>
      <c r="MO633" s="27" t="s">
        <v>8</v>
      </c>
      <c r="MP633" s="27" t="s">
        <v>7</v>
      </c>
      <c r="MS633" s="27" t="s">
        <v>8</v>
      </c>
      <c r="MV633" s="27" t="s">
        <v>7</v>
      </c>
      <c r="MW633" s="27" t="s">
        <v>8</v>
      </c>
      <c r="MX633" s="27" t="s">
        <v>7</v>
      </c>
      <c r="NF633" s="27" t="s">
        <v>7</v>
      </c>
      <c r="NG633" s="27" t="s">
        <v>8</v>
      </c>
      <c r="NH633" s="27" t="s">
        <v>7</v>
      </c>
      <c r="NI633" s="27" t="s">
        <v>8</v>
      </c>
      <c r="NJ633" s="27" t="s">
        <v>7</v>
      </c>
    </row>
    <row r="634" spans="1:378" x14ac:dyDescent="0.25">
      <c r="A634" s="7">
        <v>0.39426836073618904</v>
      </c>
      <c r="B634"/>
      <c r="C634"/>
      <c r="D634"/>
      <c r="E634"/>
      <c r="F634" s="27" t="s">
        <v>7</v>
      </c>
      <c r="HA634" s="27" t="s">
        <v>8</v>
      </c>
      <c r="HB634" s="27" t="s">
        <v>7</v>
      </c>
      <c r="HI634" s="27" t="s">
        <v>8</v>
      </c>
      <c r="HK634" s="27" t="s">
        <v>8</v>
      </c>
      <c r="HP634" s="27" t="s">
        <v>7</v>
      </c>
      <c r="HQ634" s="27" t="s">
        <v>8</v>
      </c>
      <c r="HR634" s="27" t="s">
        <v>7</v>
      </c>
      <c r="HS634" s="27" t="s">
        <v>8</v>
      </c>
      <c r="HT634" s="27" t="s">
        <v>7</v>
      </c>
      <c r="HW634" s="27" t="s">
        <v>8</v>
      </c>
      <c r="HX634" s="27" t="s">
        <v>7</v>
      </c>
      <c r="HY634" s="27" t="s">
        <v>8</v>
      </c>
      <c r="HZ634" s="27" t="s">
        <v>7</v>
      </c>
      <c r="IA634" s="27" t="s">
        <v>8</v>
      </c>
      <c r="IB634" s="27" t="s">
        <v>7</v>
      </c>
      <c r="IC634" s="27" t="s">
        <v>8</v>
      </c>
      <c r="ID634" s="27" t="s">
        <v>7</v>
      </c>
      <c r="IE634" s="27" t="s">
        <v>8</v>
      </c>
      <c r="IF634" s="27" t="s">
        <v>7</v>
      </c>
      <c r="MK634" s="27" t="s">
        <v>8</v>
      </c>
      <c r="MN634" s="27" t="s">
        <v>7</v>
      </c>
      <c r="MO634" s="27" t="s">
        <v>8</v>
      </c>
      <c r="MP634" s="27" t="s">
        <v>7</v>
      </c>
      <c r="MS634" s="27" t="s">
        <v>8</v>
      </c>
      <c r="MV634" s="27" t="s">
        <v>7</v>
      </c>
      <c r="MW634" s="27" t="s">
        <v>8</v>
      </c>
      <c r="NF634" s="27" t="s">
        <v>7</v>
      </c>
      <c r="NG634" s="27" t="s">
        <v>8</v>
      </c>
      <c r="NH634" s="27" t="s">
        <v>7</v>
      </c>
      <c r="NI634" s="27" t="s">
        <v>8</v>
      </c>
      <c r="NJ634" s="27" t="s">
        <v>7</v>
      </c>
      <c r="NK634" s="27" t="s">
        <v>8</v>
      </c>
    </row>
    <row r="635" spans="1:378" x14ac:dyDescent="0.25">
      <c r="A635" s="7">
        <v>0.38653760856489122</v>
      </c>
      <c r="B635"/>
      <c r="C635"/>
      <c r="D635"/>
      <c r="E635"/>
      <c r="F635" s="27" t="s">
        <v>7</v>
      </c>
      <c r="HA635" s="27" t="s">
        <v>8</v>
      </c>
      <c r="HB635" s="27" t="s">
        <v>7</v>
      </c>
      <c r="HI635" s="27" t="s">
        <v>8</v>
      </c>
      <c r="HJ635" s="27" t="s">
        <v>7</v>
      </c>
      <c r="HK635" s="27" t="s">
        <v>8</v>
      </c>
      <c r="HP635" s="27" t="s">
        <v>7</v>
      </c>
      <c r="HQ635" s="27" t="s">
        <v>8</v>
      </c>
      <c r="HR635" s="27" t="s">
        <v>7</v>
      </c>
      <c r="HS635" s="27" t="s">
        <v>8</v>
      </c>
      <c r="HT635" s="27" t="s">
        <v>7</v>
      </c>
      <c r="HW635" s="27" t="s">
        <v>8</v>
      </c>
      <c r="HX635" s="27" t="s">
        <v>7</v>
      </c>
      <c r="HY635" s="27" t="s">
        <v>8</v>
      </c>
      <c r="HZ635" s="27" t="s">
        <v>7</v>
      </c>
      <c r="IA635" s="27" t="s">
        <v>8</v>
      </c>
      <c r="IB635" s="27" t="s">
        <v>7</v>
      </c>
      <c r="IC635" s="27" t="s">
        <v>8</v>
      </c>
      <c r="ID635" s="27" t="s">
        <v>7</v>
      </c>
      <c r="IF635" s="27" t="s">
        <v>7</v>
      </c>
      <c r="MK635" s="27" t="s">
        <v>8</v>
      </c>
      <c r="MN635" s="27" t="s">
        <v>7</v>
      </c>
      <c r="MO635" s="27" t="s">
        <v>8</v>
      </c>
      <c r="MP635" s="27" t="s">
        <v>7</v>
      </c>
      <c r="MS635" s="27" t="s">
        <v>8</v>
      </c>
      <c r="MV635" s="27" t="s">
        <v>7</v>
      </c>
      <c r="MW635" s="27" t="s">
        <v>8</v>
      </c>
      <c r="NF635" s="27" t="s">
        <v>7</v>
      </c>
      <c r="NH635" s="27" t="s">
        <v>7</v>
      </c>
      <c r="NI635" s="27" t="s">
        <v>8</v>
      </c>
      <c r="NJ635" s="27" t="s">
        <v>7</v>
      </c>
      <c r="NK635" s="27" t="s">
        <v>8</v>
      </c>
      <c r="NL635" s="27" t="s">
        <v>7</v>
      </c>
    </row>
    <row r="636" spans="1:378" x14ac:dyDescent="0.25">
      <c r="A636" s="7">
        <v>0.37895843976950117</v>
      </c>
      <c r="B636"/>
      <c r="C636"/>
      <c r="D636"/>
      <c r="E636"/>
      <c r="F636" s="27" t="s">
        <v>7</v>
      </c>
      <c r="GI636" s="27" t="s">
        <v>8</v>
      </c>
      <c r="HA636" s="27" t="s">
        <v>8</v>
      </c>
      <c r="HB636" s="27" t="s">
        <v>7</v>
      </c>
      <c r="HI636" s="27" t="s">
        <v>8</v>
      </c>
      <c r="HJ636" s="27" t="s">
        <v>7</v>
      </c>
      <c r="HK636" s="27" t="s">
        <v>8</v>
      </c>
      <c r="HP636" s="27" t="s">
        <v>7</v>
      </c>
      <c r="HQ636" s="27" t="s">
        <v>8</v>
      </c>
      <c r="HR636" s="27" t="s">
        <v>7</v>
      </c>
      <c r="HS636" s="27" t="s">
        <v>8</v>
      </c>
      <c r="HT636" s="27" t="s">
        <v>7</v>
      </c>
      <c r="HW636" s="27" t="s">
        <v>8</v>
      </c>
      <c r="HX636" s="27" t="s">
        <v>7</v>
      </c>
      <c r="HY636" s="27" t="s">
        <v>8</v>
      </c>
      <c r="HZ636" s="27" t="s">
        <v>7</v>
      </c>
      <c r="IA636" s="27" t="s">
        <v>8</v>
      </c>
      <c r="IB636" s="27" t="s">
        <v>7</v>
      </c>
      <c r="IC636" s="27" t="s">
        <v>8</v>
      </c>
      <c r="IF636" s="27" t="s">
        <v>7</v>
      </c>
      <c r="MK636" s="27" t="s">
        <v>8</v>
      </c>
      <c r="MN636" s="27" t="s">
        <v>7</v>
      </c>
      <c r="MO636" s="27" t="s">
        <v>8</v>
      </c>
      <c r="MP636" s="27" t="s">
        <v>7</v>
      </c>
      <c r="MS636" s="27" t="s">
        <v>8</v>
      </c>
      <c r="MV636" s="27" t="s">
        <v>7</v>
      </c>
      <c r="NH636" s="27" t="s">
        <v>7</v>
      </c>
      <c r="NI636" s="27" t="s">
        <v>8</v>
      </c>
      <c r="NJ636" s="27" t="s">
        <v>7</v>
      </c>
      <c r="NK636" s="27" t="s">
        <v>8</v>
      </c>
      <c r="NL636" s="27" t="s">
        <v>7</v>
      </c>
    </row>
    <row r="637" spans="1:378" x14ac:dyDescent="0.25">
      <c r="A637" s="7">
        <v>0.37152788212696197</v>
      </c>
      <c r="B637"/>
      <c r="C637"/>
      <c r="D637"/>
      <c r="E637"/>
      <c r="F637" s="27" t="s">
        <v>7</v>
      </c>
      <c r="GI637" s="27" t="s">
        <v>8</v>
      </c>
      <c r="GJ637" s="27" t="s">
        <v>7</v>
      </c>
      <c r="HA637" s="27" t="s">
        <v>8</v>
      </c>
      <c r="HB637" s="27" t="s">
        <v>7</v>
      </c>
      <c r="HG637" s="27" t="s">
        <v>8</v>
      </c>
      <c r="HI637" s="27" t="s">
        <v>8</v>
      </c>
      <c r="HJ637" s="27" t="s">
        <v>7</v>
      </c>
      <c r="HK637" s="27" t="s">
        <v>8</v>
      </c>
      <c r="HP637" s="27" t="s">
        <v>7</v>
      </c>
      <c r="HQ637" s="27" t="s">
        <v>8</v>
      </c>
      <c r="HR637" s="27" t="s">
        <v>7</v>
      </c>
      <c r="HS637" s="27" t="s">
        <v>8</v>
      </c>
      <c r="HT637" s="27" t="s">
        <v>7</v>
      </c>
      <c r="HU637" s="27" t="s">
        <v>8</v>
      </c>
      <c r="HW637" s="27" t="s">
        <v>8</v>
      </c>
      <c r="HX637" s="27" t="s">
        <v>7</v>
      </c>
      <c r="HY637" s="27" t="s">
        <v>8</v>
      </c>
      <c r="HZ637" s="27" t="s">
        <v>7</v>
      </c>
      <c r="IA637" s="27" t="s">
        <v>8</v>
      </c>
      <c r="IB637" s="27" t="s">
        <v>7</v>
      </c>
      <c r="IC637" s="27" t="s">
        <v>8</v>
      </c>
      <c r="IF637" s="27" t="s">
        <v>7</v>
      </c>
      <c r="MK637" s="27" t="s">
        <v>8</v>
      </c>
      <c r="MN637" s="27" t="s">
        <v>7</v>
      </c>
      <c r="MO637" s="27" t="s">
        <v>8</v>
      </c>
      <c r="MP637" s="27" t="s">
        <v>7</v>
      </c>
      <c r="MQ637" s="27" t="s">
        <v>8</v>
      </c>
      <c r="MS637" s="27" t="s">
        <v>8</v>
      </c>
      <c r="NH637" s="27" t="s">
        <v>7</v>
      </c>
      <c r="NJ637" s="27" t="s">
        <v>7</v>
      </c>
      <c r="NK637" s="27" t="s">
        <v>8</v>
      </c>
      <c r="NL637" s="27" t="s">
        <v>7</v>
      </c>
      <c r="NM637" s="27" t="s">
        <v>8</v>
      </c>
    </row>
    <row r="638" spans="1:378" x14ac:dyDescent="0.25">
      <c r="A638" s="7">
        <v>0.36424302169310002</v>
      </c>
      <c r="B638"/>
      <c r="C638"/>
      <c r="D638"/>
      <c r="E638"/>
      <c r="F638" s="27" t="s">
        <v>7</v>
      </c>
      <c r="GI638" s="27" t="s">
        <v>8</v>
      </c>
      <c r="GJ638" s="27" t="s">
        <v>7</v>
      </c>
      <c r="HA638" s="27" t="s">
        <v>8</v>
      </c>
      <c r="HB638" s="27" t="s">
        <v>7</v>
      </c>
      <c r="HG638" s="27" t="s">
        <v>8</v>
      </c>
      <c r="HH638" s="27" t="s">
        <v>7</v>
      </c>
      <c r="HI638" s="27" t="s">
        <v>8</v>
      </c>
      <c r="HJ638" s="27" t="s">
        <v>7</v>
      </c>
      <c r="HK638" s="27" t="s">
        <v>8</v>
      </c>
      <c r="HP638" s="27" t="s">
        <v>7</v>
      </c>
      <c r="HR638" s="27" t="s">
        <v>7</v>
      </c>
      <c r="HS638" s="27" t="s">
        <v>8</v>
      </c>
      <c r="HT638" s="27" t="s">
        <v>7</v>
      </c>
      <c r="HU638" s="27" t="s">
        <v>8</v>
      </c>
      <c r="HV638" s="27" t="s">
        <v>7</v>
      </c>
      <c r="HW638" s="27" t="s">
        <v>8</v>
      </c>
      <c r="HX638" s="27" t="s">
        <v>7</v>
      </c>
      <c r="HY638" s="27" t="s">
        <v>8</v>
      </c>
      <c r="HZ638" s="27" t="s">
        <v>7</v>
      </c>
      <c r="IA638" s="27" t="s">
        <v>8</v>
      </c>
      <c r="IB638" s="27" t="s">
        <v>7</v>
      </c>
      <c r="IF638" s="27" t="s">
        <v>7</v>
      </c>
      <c r="MK638" s="27" t="s">
        <v>8</v>
      </c>
      <c r="MN638" s="27" t="s">
        <v>7</v>
      </c>
      <c r="MO638" s="27" t="s">
        <v>8</v>
      </c>
      <c r="MP638" s="27" t="s">
        <v>7</v>
      </c>
      <c r="MQ638" s="27" t="s">
        <v>8</v>
      </c>
      <c r="MR638" s="27" t="s">
        <v>7</v>
      </c>
      <c r="MS638" s="27" t="s">
        <v>8</v>
      </c>
      <c r="NJ638" s="27" t="s">
        <v>7</v>
      </c>
      <c r="NK638" s="27" t="s">
        <v>8</v>
      </c>
      <c r="NL638" s="27" t="s">
        <v>7</v>
      </c>
      <c r="NM638" s="27" t="s">
        <v>8</v>
      </c>
      <c r="NN638" s="27" t="s">
        <v>7</v>
      </c>
    </row>
    <row r="639" spans="1:378" x14ac:dyDescent="0.25">
      <c r="A639" s="7">
        <v>0.35710100165990194</v>
      </c>
      <c r="B639"/>
      <c r="C639"/>
      <c r="D639"/>
      <c r="E639"/>
      <c r="F639" s="27" t="s">
        <v>7</v>
      </c>
      <c r="GI639" s="27" t="s">
        <v>8</v>
      </c>
      <c r="GJ639" s="27" t="s">
        <v>7</v>
      </c>
      <c r="HA639" s="27" t="s">
        <v>8</v>
      </c>
      <c r="HB639" s="27" t="s">
        <v>7</v>
      </c>
      <c r="HG639" s="27" t="s">
        <v>8</v>
      </c>
      <c r="HH639" s="27" t="s">
        <v>7</v>
      </c>
      <c r="HI639" s="27" t="s">
        <v>8</v>
      </c>
      <c r="HJ639" s="27" t="s">
        <v>7</v>
      </c>
      <c r="HK639" s="27" t="s">
        <v>8</v>
      </c>
      <c r="HR639" s="27" t="s">
        <v>7</v>
      </c>
      <c r="HS639" s="27" t="s">
        <v>8</v>
      </c>
      <c r="HT639" s="27" t="s">
        <v>7</v>
      </c>
      <c r="HU639" s="27" t="s">
        <v>8</v>
      </c>
      <c r="HV639" s="27" t="s">
        <v>7</v>
      </c>
      <c r="HW639" s="27" t="s">
        <v>8</v>
      </c>
      <c r="HX639" s="27" t="s">
        <v>7</v>
      </c>
      <c r="HY639" s="27" t="s">
        <v>8</v>
      </c>
      <c r="HZ639" s="27" t="s">
        <v>7</v>
      </c>
      <c r="IA639" s="27" t="s">
        <v>8</v>
      </c>
      <c r="IF639" s="27" t="s">
        <v>7</v>
      </c>
      <c r="IG639" s="27" t="s">
        <v>8</v>
      </c>
      <c r="KQ639" s="27" t="s">
        <v>8</v>
      </c>
      <c r="MK639" s="27" t="s">
        <v>8</v>
      </c>
      <c r="MN639" s="27" t="s">
        <v>7</v>
      </c>
      <c r="MP639" s="27" t="s">
        <v>7</v>
      </c>
      <c r="MQ639" s="27" t="s">
        <v>8</v>
      </c>
      <c r="MR639" s="27" t="s">
        <v>7</v>
      </c>
      <c r="MS639" s="27" t="s">
        <v>8</v>
      </c>
      <c r="NJ639" s="27" t="s">
        <v>7</v>
      </c>
      <c r="NK639" s="27" t="s">
        <v>8</v>
      </c>
      <c r="NL639" s="27" t="s">
        <v>7</v>
      </c>
      <c r="NM639" s="27" t="s">
        <v>8</v>
      </c>
      <c r="NN639" s="27" t="s">
        <v>7</v>
      </c>
    </row>
    <row r="640" spans="1:378" x14ac:dyDescent="0.25">
      <c r="A640" s="7">
        <v>0.35009902123519804</v>
      </c>
      <c r="B640"/>
      <c r="C640"/>
      <c r="D640"/>
      <c r="E640"/>
      <c r="F640" s="27" t="s">
        <v>7</v>
      </c>
      <c r="GI640" s="27" t="s">
        <v>8</v>
      </c>
      <c r="GJ640" s="27" t="s">
        <v>7</v>
      </c>
      <c r="HA640" s="27" t="s">
        <v>8</v>
      </c>
      <c r="HB640" s="27" t="s">
        <v>7</v>
      </c>
      <c r="HG640" s="27" t="s">
        <v>8</v>
      </c>
      <c r="HH640" s="27" t="s">
        <v>7</v>
      </c>
      <c r="HI640" s="27" t="s">
        <v>8</v>
      </c>
      <c r="HJ640" s="27" t="s">
        <v>7</v>
      </c>
      <c r="HK640" s="27" t="s">
        <v>8</v>
      </c>
      <c r="HR640" s="27" t="s">
        <v>7</v>
      </c>
      <c r="HT640" s="27" t="s">
        <v>7</v>
      </c>
      <c r="HU640" s="27" t="s">
        <v>8</v>
      </c>
      <c r="HV640" s="27" t="s">
        <v>7</v>
      </c>
      <c r="HW640" s="27" t="s">
        <v>8</v>
      </c>
      <c r="HX640" s="27" t="s">
        <v>7</v>
      </c>
      <c r="HZ640" s="27" t="s">
        <v>7</v>
      </c>
      <c r="IF640" s="27" t="s">
        <v>7</v>
      </c>
      <c r="IG640" s="27" t="s">
        <v>8</v>
      </c>
      <c r="IH640" s="27" t="s">
        <v>7</v>
      </c>
      <c r="KQ640" s="27" t="s">
        <v>8</v>
      </c>
      <c r="KR640" s="27" t="s">
        <v>7</v>
      </c>
      <c r="MK640" s="27" t="s">
        <v>8</v>
      </c>
      <c r="MP640" s="27" t="s">
        <v>7</v>
      </c>
      <c r="MQ640" s="27" t="s">
        <v>8</v>
      </c>
      <c r="MR640" s="27" t="s">
        <v>7</v>
      </c>
      <c r="MS640" s="27" t="s">
        <v>8</v>
      </c>
      <c r="NJ640" s="27" t="s">
        <v>7</v>
      </c>
      <c r="NK640" s="27" t="s">
        <v>8</v>
      </c>
      <c r="NL640" s="27" t="s">
        <v>7</v>
      </c>
      <c r="NM640" s="27" t="s">
        <v>8</v>
      </c>
      <c r="NN640" s="27" t="s">
        <v>7</v>
      </c>
    </row>
    <row r="641" spans="1:380" x14ac:dyDescent="0.25">
      <c r="A641" s="7">
        <v>0.34323433454431179</v>
      </c>
      <c r="B641"/>
      <c r="C641"/>
      <c r="D641"/>
      <c r="E641"/>
      <c r="F641" s="27" t="s">
        <v>7</v>
      </c>
      <c r="GI641" s="27" t="s">
        <v>8</v>
      </c>
      <c r="GJ641" s="27" t="s">
        <v>7</v>
      </c>
      <c r="HA641" s="27" t="s">
        <v>8</v>
      </c>
      <c r="HB641" s="27" t="s">
        <v>7</v>
      </c>
      <c r="HG641" s="27" t="s">
        <v>8</v>
      </c>
      <c r="HH641" s="27" t="s">
        <v>7</v>
      </c>
      <c r="HI641" s="27" t="s">
        <v>8</v>
      </c>
      <c r="HJ641" s="27" t="s">
        <v>7</v>
      </c>
      <c r="HK641" s="27" t="s">
        <v>8</v>
      </c>
      <c r="HT641" s="27" t="s">
        <v>7</v>
      </c>
      <c r="HU641" s="27" t="s">
        <v>8</v>
      </c>
      <c r="HV641" s="27" t="s">
        <v>7</v>
      </c>
      <c r="HW641" s="27" t="s">
        <v>8</v>
      </c>
      <c r="IF641" s="27" t="s">
        <v>7</v>
      </c>
      <c r="IG641" s="27" t="s">
        <v>8</v>
      </c>
      <c r="IH641" s="27" t="s">
        <v>7</v>
      </c>
      <c r="KQ641" s="27" t="s">
        <v>8</v>
      </c>
      <c r="KR641" s="27" t="s">
        <v>7</v>
      </c>
      <c r="MK641" s="27" t="s">
        <v>8</v>
      </c>
      <c r="MP641" s="27" t="s">
        <v>7</v>
      </c>
      <c r="MQ641" s="27" t="s">
        <v>8</v>
      </c>
      <c r="MR641" s="27" t="s">
        <v>7</v>
      </c>
      <c r="MS641" s="27" t="s">
        <v>8</v>
      </c>
      <c r="NJ641" s="27" t="s">
        <v>7</v>
      </c>
      <c r="NK641" s="27" t="s">
        <v>8</v>
      </c>
      <c r="NL641" s="27" t="s">
        <v>7</v>
      </c>
      <c r="NM641" s="27" t="s">
        <v>8</v>
      </c>
      <c r="NN641" s="27" t="s">
        <v>7</v>
      </c>
    </row>
    <row r="642" spans="1:380" x14ac:dyDescent="0.25">
      <c r="A642" s="7">
        <v>0.33650424955324681</v>
      </c>
      <c r="B642"/>
      <c r="C642"/>
      <c r="D642"/>
      <c r="E642"/>
      <c r="F642" s="27" t="s">
        <v>7</v>
      </c>
      <c r="GI642" s="27" t="s">
        <v>8</v>
      </c>
      <c r="GJ642" s="27" t="s">
        <v>7</v>
      </c>
      <c r="HA642" s="27" t="s">
        <v>8</v>
      </c>
      <c r="HB642" s="27" t="s">
        <v>7</v>
      </c>
      <c r="HC642" s="27" t="s">
        <v>8</v>
      </c>
      <c r="HG642" s="27" t="s">
        <v>8</v>
      </c>
      <c r="HH642" s="27" t="s">
        <v>7</v>
      </c>
      <c r="HI642" s="27" t="s">
        <v>8</v>
      </c>
      <c r="HJ642" s="27" t="s">
        <v>7</v>
      </c>
      <c r="HK642" s="27" t="s">
        <v>8</v>
      </c>
      <c r="HT642" s="27" t="s">
        <v>7</v>
      </c>
      <c r="HU642" s="27" t="s">
        <v>8</v>
      </c>
      <c r="HV642" s="27" t="s">
        <v>7</v>
      </c>
      <c r="HW642" s="27" t="s">
        <v>8</v>
      </c>
      <c r="IF642" s="27" t="s">
        <v>7</v>
      </c>
      <c r="IG642" s="27" t="s">
        <v>8</v>
      </c>
      <c r="IH642" s="27" t="s">
        <v>7</v>
      </c>
      <c r="KQ642" s="27" t="s">
        <v>8</v>
      </c>
      <c r="KR642" s="27" t="s">
        <v>7</v>
      </c>
      <c r="KW642" s="27" t="s">
        <v>8</v>
      </c>
      <c r="MK642" s="27" t="s">
        <v>8</v>
      </c>
      <c r="MP642" s="27" t="s">
        <v>7</v>
      </c>
      <c r="MQ642" s="27" t="s">
        <v>8</v>
      </c>
      <c r="MR642" s="27" t="s">
        <v>7</v>
      </c>
      <c r="MS642" s="27" t="s">
        <v>8</v>
      </c>
      <c r="NJ642" s="27" t="s">
        <v>7</v>
      </c>
      <c r="NK642" s="27" t="s">
        <v>8</v>
      </c>
      <c r="NL642" s="27" t="s">
        <v>7</v>
      </c>
      <c r="NM642" s="27" t="s">
        <v>8</v>
      </c>
      <c r="NN642" s="27" t="s">
        <v>7</v>
      </c>
    </row>
    <row r="643" spans="1:380" x14ac:dyDescent="0.25">
      <c r="A643" s="7">
        <v>0.3299061270129871</v>
      </c>
      <c r="B643"/>
      <c r="C643"/>
      <c r="D643"/>
      <c r="E643"/>
      <c r="F643" s="27" t="s">
        <v>7</v>
      </c>
      <c r="CA643" s="27" t="s">
        <v>8</v>
      </c>
      <c r="GI643" s="27" t="s">
        <v>8</v>
      </c>
      <c r="GJ643" s="27" t="s">
        <v>7</v>
      </c>
      <c r="HA643" s="27" t="s">
        <v>8</v>
      </c>
      <c r="HB643" s="27" t="s">
        <v>7</v>
      </c>
      <c r="HC643" s="27" t="s">
        <v>8</v>
      </c>
      <c r="HD643" s="27" t="s">
        <v>7</v>
      </c>
      <c r="HE643" s="27" t="s">
        <v>8</v>
      </c>
      <c r="HG643" s="27" t="s">
        <v>8</v>
      </c>
      <c r="HH643" s="27" t="s">
        <v>7</v>
      </c>
      <c r="HI643" s="27" t="s">
        <v>8</v>
      </c>
      <c r="HJ643" s="27" t="s">
        <v>7</v>
      </c>
      <c r="HK643" s="27" t="s">
        <v>8</v>
      </c>
      <c r="HT643" s="27" t="s">
        <v>7</v>
      </c>
      <c r="HU643" s="27" t="s">
        <v>8</v>
      </c>
      <c r="HV643" s="27" t="s">
        <v>7</v>
      </c>
      <c r="HW643" s="27" t="s">
        <v>8</v>
      </c>
      <c r="IF643" s="27" t="s">
        <v>7</v>
      </c>
      <c r="IG643" s="27" t="s">
        <v>8</v>
      </c>
      <c r="IH643" s="27" t="s">
        <v>7</v>
      </c>
      <c r="KQ643" s="27" t="s">
        <v>8</v>
      </c>
      <c r="KR643" s="27" t="s">
        <v>7</v>
      </c>
      <c r="KW643" s="27" t="s">
        <v>8</v>
      </c>
      <c r="KX643" s="27" t="s">
        <v>7</v>
      </c>
      <c r="MK643" s="27" t="s">
        <v>8</v>
      </c>
      <c r="MP643" s="27" t="s">
        <v>7</v>
      </c>
      <c r="MQ643" s="27" t="s">
        <v>8</v>
      </c>
      <c r="MR643" s="27" t="s">
        <v>7</v>
      </c>
      <c r="MS643" s="27" t="s">
        <v>8</v>
      </c>
      <c r="NJ643" s="27" t="s">
        <v>7</v>
      </c>
      <c r="NK643" s="27" t="s">
        <v>8</v>
      </c>
      <c r="NL643" s="27" t="s">
        <v>7</v>
      </c>
      <c r="NM643" s="27" t="s">
        <v>8</v>
      </c>
      <c r="NN643" s="27" t="s">
        <v>7</v>
      </c>
    </row>
    <row r="644" spans="1:380" x14ac:dyDescent="0.25">
      <c r="A644" s="7">
        <v>0.32343737942449713</v>
      </c>
      <c r="B644"/>
      <c r="C644"/>
      <c r="D644"/>
      <c r="E644"/>
      <c r="F644" s="27" t="s">
        <v>7</v>
      </c>
      <c r="CA644" s="27" t="s">
        <v>8</v>
      </c>
      <c r="CB644" s="27" t="s">
        <v>7</v>
      </c>
      <c r="GI644" s="27" t="s">
        <v>8</v>
      </c>
      <c r="GJ644" s="27" t="s">
        <v>7</v>
      </c>
      <c r="HA644" s="27" t="s">
        <v>8</v>
      </c>
      <c r="HB644" s="27" t="s">
        <v>7</v>
      </c>
      <c r="HC644" s="27" t="s">
        <v>8</v>
      </c>
      <c r="HD644" s="27" t="s">
        <v>7</v>
      </c>
      <c r="HE644" s="27" t="s">
        <v>8</v>
      </c>
      <c r="HF644" s="27" t="s">
        <v>7</v>
      </c>
      <c r="HG644" s="27" t="s">
        <v>8</v>
      </c>
      <c r="HH644" s="27" t="s">
        <v>7</v>
      </c>
      <c r="HI644" s="27" t="s">
        <v>8</v>
      </c>
      <c r="HJ644" s="27" t="s">
        <v>7</v>
      </c>
      <c r="HK644" s="27" t="s">
        <v>8</v>
      </c>
      <c r="HT644" s="27" t="s">
        <v>7</v>
      </c>
      <c r="HU644" s="27" t="s">
        <v>8</v>
      </c>
      <c r="HV644" s="27" t="s">
        <v>7</v>
      </c>
      <c r="IF644" s="27" t="s">
        <v>7</v>
      </c>
      <c r="IG644" s="27" t="s">
        <v>8</v>
      </c>
      <c r="IH644" s="27" t="s">
        <v>7</v>
      </c>
      <c r="KQ644" s="27" t="s">
        <v>8</v>
      </c>
      <c r="KR644" s="27" t="s">
        <v>7</v>
      </c>
      <c r="KW644" s="27" t="s">
        <v>8</v>
      </c>
      <c r="KX644" s="27" t="s">
        <v>7</v>
      </c>
      <c r="MK644" s="27" t="s">
        <v>8</v>
      </c>
      <c r="MP644" s="27" t="s">
        <v>7</v>
      </c>
      <c r="MQ644" s="27" t="s">
        <v>8</v>
      </c>
      <c r="MR644" s="27" t="s">
        <v>7</v>
      </c>
      <c r="MS644" s="27" t="s">
        <v>8</v>
      </c>
      <c r="NJ644" s="27" t="s">
        <v>7</v>
      </c>
      <c r="NK644" s="27" t="s">
        <v>8</v>
      </c>
      <c r="NL644" s="27" t="s">
        <v>7</v>
      </c>
      <c r="NM644" s="27" t="s">
        <v>8</v>
      </c>
      <c r="NN644" s="27" t="s">
        <v>7</v>
      </c>
    </row>
    <row r="645" spans="1:380" x14ac:dyDescent="0.25">
      <c r="A645" s="7">
        <v>0.31709547002401678</v>
      </c>
      <c r="B645"/>
      <c r="C645"/>
      <c r="D645"/>
      <c r="E645"/>
      <c r="F645" s="27" t="s">
        <v>7</v>
      </c>
      <c r="CA645" s="27" t="s">
        <v>8</v>
      </c>
      <c r="CB645" s="27" t="s">
        <v>7</v>
      </c>
      <c r="GI645" s="27" t="s">
        <v>8</v>
      </c>
      <c r="GJ645" s="27" t="s">
        <v>7</v>
      </c>
      <c r="HA645" s="27" t="s">
        <v>8</v>
      </c>
      <c r="HB645" s="27" t="s">
        <v>7</v>
      </c>
      <c r="HC645" s="27" t="s">
        <v>8</v>
      </c>
      <c r="HD645" s="27" t="s">
        <v>7</v>
      </c>
      <c r="HE645" s="27" t="s">
        <v>8</v>
      </c>
      <c r="HF645" s="27" t="s">
        <v>7</v>
      </c>
      <c r="HG645" s="27" t="s">
        <v>8</v>
      </c>
      <c r="HH645" s="27" t="s">
        <v>7</v>
      </c>
      <c r="HI645" s="27" t="s">
        <v>8</v>
      </c>
      <c r="HJ645" s="27" t="s">
        <v>7</v>
      </c>
      <c r="HK645" s="27" t="s">
        <v>8</v>
      </c>
      <c r="HT645" s="27" t="s">
        <v>7</v>
      </c>
      <c r="HU645" s="27" t="s">
        <v>8</v>
      </c>
      <c r="IF645" s="27" t="s">
        <v>7</v>
      </c>
      <c r="IG645" s="27" t="s">
        <v>8</v>
      </c>
      <c r="IH645" s="27" t="s">
        <v>7</v>
      </c>
      <c r="KQ645" s="27" t="s">
        <v>8</v>
      </c>
      <c r="KR645" s="27" t="s">
        <v>7</v>
      </c>
      <c r="KW645" s="27" t="s">
        <v>8</v>
      </c>
      <c r="KX645" s="27" t="s">
        <v>7</v>
      </c>
      <c r="MK645" s="27" t="s">
        <v>8</v>
      </c>
      <c r="MP645" s="27" t="s">
        <v>7</v>
      </c>
      <c r="MQ645" s="27" t="s">
        <v>8</v>
      </c>
      <c r="MR645" s="27" t="s">
        <v>7</v>
      </c>
      <c r="MS645" s="27" t="s">
        <v>8</v>
      </c>
      <c r="NJ645" s="27" t="s">
        <v>7</v>
      </c>
      <c r="NL645" s="27" t="s">
        <v>7</v>
      </c>
      <c r="NM645" s="27" t="s">
        <v>8</v>
      </c>
      <c r="NN645" s="27" t="s">
        <v>7</v>
      </c>
      <c r="NO645" s="27" t="s">
        <v>8</v>
      </c>
    </row>
    <row r="646" spans="1:380" x14ac:dyDescent="0.25">
      <c r="A646" s="7">
        <v>0.31087791178825175</v>
      </c>
      <c r="B646"/>
      <c r="C646"/>
      <c r="D646"/>
      <c r="E646"/>
      <c r="F646" s="27" t="s">
        <v>7</v>
      </c>
      <c r="CA646" s="27" t="s">
        <v>8</v>
      </c>
      <c r="CB646" s="27" t="s">
        <v>7</v>
      </c>
      <c r="GI646" s="27" t="s">
        <v>8</v>
      </c>
      <c r="GJ646" s="27" t="s">
        <v>7</v>
      </c>
      <c r="HA646" s="27" t="s">
        <v>8</v>
      </c>
      <c r="HB646" s="27" t="s">
        <v>7</v>
      </c>
      <c r="HC646" s="27" t="s">
        <v>8</v>
      </c>
      <c r="HD646" s="27" t="s">
        <v>7</v>
      </c>
      <c r="HE646" s="27" t="s">
        <v>8</v>
      </c>
      <c r="HF646" s="27" t="s">
        <v>7</v>
      </c>
      <c r="HG646" s="27" t="s">
        <v>8</v>
      </c>
      <c r="HH646" s="27" t="s">
        <v>7</v>
      </c>
      <c r="HJ646" s="27" t="s">
        <v>7</v>
      </c>
      <c r="HK646" s="27" t="s">
        <v>8</v>
      </c>
      <c r="HT646" s="27" t="s">
        <v>7</v>
      </c>
      <c r="HU646" s="27" t="s">
        <v>8</v>
      </c>
      <c r="IF646" s="27" t="s">
        <v>7</v>
      </c>
      <c r="IH646" s="27" t="s">
        <v>7</v>
      </c>
      <c r="II646" s="27" t="s">
        <v>8</v>
      </c>
      <c r="KQ646" s="27" t="s">
        <v>8</v>
      </c>
      <c r="KR646" s="27" t="s">
        <v>7</v>
      </c>
      <c r="KW646" s="27" t="s">
        <v>8</v>
      </c>
      <c r="KX646" s="27" t="s">
        <v>7</v>
      </c>
      <c r="MK646" s="27" t="s">
        <v>8</v>
      </c>
      <c r="MP646" s="27" t="s">
        <v>7</v>
      </c>
      <c r="MQ646" s="27" t="s">
        <v>8</v>
      </c>
      <c r="MR646" s="27" t="s">
        <v>7</v>
      </c>
      <c r="MS646" s="27" t="s">
        <v>8</v>
      </c>
      <c r="NL646" s="27" t="s">
        <v>7</v>
      </c>
      <c r="NM646" s="27" t="s">
        <v>8</v>
      </c>
      <c r="NN646" s="27" t="s">
        <v>7</v>
      </c>
      <c r="NO646" s="27" t="s">
        <v>8</v>
      </c>
      <c r="NP646" s="27" t="s">
        <v>7</v>
      </c>
    </row>
    <row r="647" spans="1:380" x14ac:dyDescent="0.25">
      <c r="A647" s="7">
        <v>0.30478226645907036</v>
      </c>
      <c r="B647"/>
      <c r="C647"/>
      <c r="D647"/>
      <c r="E647"/>
      <c r="F647" s="27" t="s">
        <v>7</v>
      </c>
      <c r="CA647" s="27" t="s">
        <v>8</v>
      </c>
      <c r="CB647" s="27" t="s">
        <v>7</v>
      </c>
      <c r="GI647" s="27" t="s">
        <v>8</v>
      </c>
      <c r="GJ647" s="27" t="s">
        <v>7</v>
      </c>
      <c r="GY647" s="27" t="s">
        <v>8</v>
      </c>
      <c r="HA647" s="27" t="s">
        <v>8</v>
      </c>
      <c r="HB647" s="27" t="s">
        <v>7</v>
      </c>
      <c r="HC647" s="27" t="s">
        <v>8</v>
      </c>
      <c r="HD647" s="27" t="s">
        <v>7</v>
      </c>
      <c r="HE647" s="27" t="s">
        <v>8</v>
      </c>
      <c r="HF647" s="27" t="s">
        <v>7</v>
      </c>
      <c r="HG647" s="27" t="s">
        <v>8</v>
      </c>
      <c r="HJ647" s="27" t="s">
        <v>7</v>
      </c>
      <c r="HT647" s="27" t="s">
        <v>7</v>
      </c>
      <c r="HU647" s="27" t="s">
        <v>8</v>
      </c>
      <c r="IH647" s="27" t="s">
        <v>7</v>
      </c>
      <c r="II647" s="27" t="s">
        <v>8</v>
      </c>
      <c r="IJ647" s="27" t="s">
        <v>7</v>
      </c>
      <c r="KQ647" s="27" t="s">
        <v>8</v>
      </c>
      <c r="KR647" s="27" t="s">
        <v>7</v>
      </c>
      <c r="KW647" s="27" t="s">
        <v>8</v>
      </c>
      <c r="KX647" s="27" t="s">
        <v>7</v>
      </c>
      <c r="MK647" s="27" t="s">
        <v>8</v>
      </c>
      <c r="MP647" s="27" t="s">
        <v>7</v>
      </c>
      <c r="MQ647" s="27" t="s">
        <v>8</v>
      </c>
      <c r="MR647" s="27" t="s">
        <v>7</v>
      </c>
      <c r="MS647" s="27" t="s">
        <v>8</v>
      </c>
      <c r="NL647" s="27" t="s">
        <v>7</v>
      </c>
      <c r="NM647" s="27" t="s">
        <v>8</v>
      </c>
      <c r="NN647" s="27" t="s">
        <v>7</v>
      </c>
      <c r="NO647" s="27" t="s">
        <v>8</v>
      </c>
      <c r="NP647" s="27" t="s">
        <v>7</v>
      </c>
    </row>
    <row r="648" spans="1:380" x14ac:dyDescent="0.25">
      <c r="A648" s="7">
        <v>0.29880614358732388</v>
      </c>
      <c r="B648"/>
      <c r="C648"/>
      <c r="D648"/>
      <c r="E648"/>
      <c r="F648" s="27" t="s">
        <v>7</v>
      </c>
      <c r="CA648" s="27" t="s">
        <v>8</v>
      </c>
      <c r="CB648" s="27" t="s">
        <v>7</v>
      </c>
      <c r="FQ648" s="27" t="s">
        <v>8</v>
      </c>
      <c r="GI648" s="27" t="s">
        <v>8</v>
      </c>
      <c r="GJ648" s="27" t="s">
        <v>7</v>
      </c>
      <c r="GY648" s="27" t="s">
        <v>8</v>
      </c>
      <c r="GZ648" s="27" t="s">
        <v>7</v>
      </c>
      <c r="HA648" s="27" t="s">
        <v>8</v>
      </c>
      <c r="HB648" s="27" t="s">
        <v>7</v>
      </c>
      <c r="HC648" s="27" t="s">
        <v>8</v>
      </c>
      <c r="HD648" s="27" t="s">
        <v>7</v>
      </c>
      <c r="HE648" s="27" t="s">
        <v>8</v>
      </c>
      <c r="HF648" s="27" t="s">
        <v>7</v>
      </c>
      <c r="HG648" s="27" t="s">
        <v>8</v>
      </c>
      <c r="HT648" s="27" t="s">
        <v>7</v>
      </c>
      <c r="HU648" s="27" t="s">
        <v>8</v>
      </c>
      <c r="IH648" s="27" t="s">
        <v>7</v>
      </c>
      <c r="II648" s="27" t="s">
        <v>8</v>
      </c>
      <c r="IJ648" s="27" t="s">
        <v>7</v>
      </c>
      <c r="KQ648" s="27" t="s">
        <v>8</v>
      </c>
      <c r="KR648" s="27" t="s">
        <v>7</v>
      </c>
      <c r="KW648" s="27" t="s">
        <v>8</v>
      </c>
      <c r="KX648" s="27" t="s">
        <v>7</v>
      </c>
      <c r="MK648" s="27" t="s">
        <v>8</v>
      </c>
      <c r="MP648" s="27" t="s">
        <v>7</v>
      </c>
      <c r="MQ648" s="27" t="s">
        <v>8</v>
      </c>
      <c r="MR648" s="27" t="s">
        <v>7</v>
      </c>
      <c r="MS648" s="27" t="s">
        <v>8</v>
      </c>
      <c r="NL648" s="27" t="s">
        <v>7</v>
      </c>
      <c r="NM648" s="27" t="s">
        <v>8</v>
      </c>
      <c r="NN648" s="27" t="s">
        <v>7</v>
      </c>
      <c r="NO648" s="27" t="s">
        <v>8</v>
      </c>
      <c r="NP648" s="27" t="s">
        <v>7</v>
      </c>
    </row>
    <row r="649" spans="1:380" x14ac:dyDescent="0.25">
      <c r="A649" s="7">
        <v>0.2929471995954156</v>
      </c>
      <c r="B649"/>
      <c r="C649"/>
      <c r="D649"/>
      <c r="E649"/>
      <c r="F649" s="27" t="s">
        <v>7</v>
      </c>
      <c r="CA649" s="27" t="s">
        <v>8</v>
      </c>
      <c r="CB649" s="27" t="s">
        <v>7</v>
      </c>
      <c r="FQ649" s="27" t="s">
        <v>8</v>
      </c>
      <c r="FR649" s="27" t="s">
        <v>7</v>
      </c>
      <c r="GI649" s="27" t="s">
        <v>8</v>
      </c>
      <c r="GJ649" s="27" t="s">
        <v>7</v>
      </c>
      <c r="GY649" s="27" t="s">
        <v>8</v>
      </c>
      <c r="GZ649" s="27" t="s">
        <v>7</v>
      </c>
      <c r="HA649" s="27" t="s">
        <v>8</v>
      </c>
      <c r="HB649" s="27" t="s">
        <v>7</v>
      </c>
      <c r="HC649" s="27" t="s">
        <v>8</v>
      </c>
      <c r="HD649" s="27" t="s">
        <v>7</v>
      </c>
      <c r="HE649" s="27" t="s">
        <v>8</v>
      </c>
      <c r="HF649" s="27" t="s">
        <v>7</v>
      </c>
      <c r="HT649" s="27" t="s">
        <v>7</v>
      </c>
      <c r="HU649" s="27" t="s">
        <v>8</v>
      </c>
      <c r="IH649" s="27" t="s">
        <v>7</v>
      </c>
      <c r="II649" s="27" t="s">
        <v>8</v>
      </c>
      <c r="IJ649" s="27" t="s">
        <v>7</v>
      </c>
      <c r="KQ649" s="27" t="s">
        <v>8</v>
      </c>
      <c r="KR649" s="27" t="s">
        <v>7</v>
      </c>
      <c r="KW649" s="27" t="s">
        <v>8</v>
      </c>
      <c r="KX649" s="27" t="s">
        <v>7</v>
      </c>
      <c r="MC649" s="27" t="s">
        <v>8</v>
      </c>
      <c r="MK649" s="27" t="s">
        <v>8</v>
      </c>
      <c r="MP649" s="27" t="s">
        <v>7</v>
      </c>
      <c r="MQ649" s="27" t="s">
        <v>8</v>
      </c>
      <c r="MR649" s="27" t="s">
        <v>7</v>
      </c>
      <c r="MS649" s="27" t="s">
        <v>8</v>
      </c>
      <c r="NL649" s="27" t="s">
        <v>7</v>
      </c>
      <c r="NM649" s="27" t="s">
        <v>8</v>
      </c>
      <c r="NN649" s="27" t="s">
        <v>7</v>
      </c>
      <c r="NO649" s="27" t="s">
        <v>8</v>
      </c>
      <c r="NP649" s="27" t="s">
        <v>7</v>
      </c>
    </row>
    <row r="650" spans="1:380" x14ac:dyDescent="0.25">
      <c r="A650" s="7">
        <v>0.28720313685825055</v>
      </c>
      <c r="B650"/>
      <c r="C650"/>
      <c r="D650"/>
      <c r="E650"/>
      <c r="F650" s="27" t="s">
        <v>7</v>
      </c>
      <c r="CA650" s="27" t="s">
        <v>8</v>
      </c>
      <c r="CB650" s="27" t="s">
        <v>7</v>
      </c>
      <c r="FQ650" s="27" t="s">
        <v>8</v>
      </c>
      <c r="FR650" s="27" t="s">
        <v>7</v>
      </c>
      <c r="GI650" s="27" t="s">
        <v>8</v>
      </c>
      <c r="GJ650" s="27" t="s">
        <v>7</v>
      </c>
      <c r="GY650" s="27" t="s">
        <v>8</v>
      </c>
      <c r="GZ650" s="27" t="s">
        <v>7</v>
      </c>
      <c r="HA650" s="27" t="s">
        <v>8</v>
      </c>
      <c r="HB650" s="27" t="s">
        <v>7</v>
      </c>
      <c r="HC650" s="27" t="s">
        <v>8</v>
      </c>
      <c r="HD650" s="27" t="s">
        <v>7</v>
      </c>
      <c r="HE650" s="27" t="s">
        <v>8</v>
      </c>
      <c r="HT650" s="27" t="s">
        <v>7</v>
      </c>
      <c r="HU650" s="27" t="s">
        <v>8</v>
      </c>
      <c r="IH650" s="27" t="s">
        <v>7</v>
      </c>
      <c r="II650" s="27" t="s">
        <v>8</v>
      </c>
      <c r="IJ650" s="27" t="s">
        <v>7</v>
      </c>
      <c r="KQ650" s="27" t="s">
        <v>8</v>
      </c>
      <c r="KR650" s="27" t="s">
        <v>7</v>
      </c>
      <c r="KW650" s="27" t="s">
        <v>8</v>
      </c>
      <c r="KX650" s="27" t="s">
        <v>7</v>
      </c>
      <c r="MC650" s="27" t="s">
        <v>8</v>
      </c>
      <c r="MD650" s="27" t="s">
        <v>7</v>
      </c>
      <c r="MK650" s="27" t="s">
        <v>8</v>
      </c>
      <c r="MP650" s="27" t="s">
        <v>7</v>
      </c>
      <c r="MR650" s="27" t="s">
        <v>7</v>
      </c>
      <c r="MS650" s="27" t="s">
        <v>8</v>
      </c>
      <c r="NL650" s="27" t="s">
        <v>7</v>
      </c>
      <c r="NM650" s="27" t="s">
        <v>8</v>
      </c>
      <c r="NN650" s="27" t="s">
        <v>7</v>
      </c>
      <c r="NO650" s="27" t="s">
        <v>8</v>
      </c>
      <c r="NP650" s="27" t="s">
        <v>7</v>
      </c>
    </row>
    <row r="651" spans="1:380" x14ac:dyDescent="0.25">
      <c r="A651" s="7">
        <v>0.28157170280220645</v>
      </c>
      <c r="B651"/>
      <c r="C651"/>
      <c r="D651"/>
      <c r="E651"/>
      <c r="F651" s="27" t="s">
        <v>7</v>
      </c>
      <c r="CA651" s="27" t="s">
        <v>8</v>
      </c>
      <c r="CB651" s="27" t="s">
        <v>7</v>
      </c>
      <c r="FQ651" s="27" t="s">
        <v>8</v>
      </c>
      <c r="FR651" s="27" t="s">
        <v>7</v>
      </c>
      <c r="GI651" s="27" t="s">
        <v>8</v>
      </c>
      <c r="GJ651" s="27" t="s">
        <v>7</v>
      </c>
      <c r="GY651" s="27" t="s">
        <v>8</v>
      </c>
      <c r="GZ651" s="27" t="s">
        <v>7</v>
      </c>
      <c r="HA651" s="27" t="s">
        <v>8</v>
      </c>
      <c r="HB651" s="27" t="s">
        <v>7</v>
      </c>
      <c r="HC651" s="27" t="s">
        <v>8</v>
      </c>
      <c r="HD651" s="27" t="s">
        <v>7</v>
      </c>
      <c r="HE651" s="27" t="s">
        <v>8</v>
      </c>
      <c r="HT651" s="27" t="s">
        <v>7</v>
      </c>
      <c r="HU651" s="27" t="s">
        <v>8</v>
      </c>
      <c r="IH651" s="27" t="s">
        <v>7</v>
      </c>
      <c r="II651" s="27" t="s">
        <v>8</v>
      </c>
      <c r="IJ651" s="27" t="s">
        <v>7</v>
      </c>
      <c r="KQ651" s="27" t="s">
        <v>8</v>
      </c>
      <c r="KR651" s="27" t="s">
        <v>7</v>
      </c>
      <c r="KW651" s="27" t="s">
        <v>8</v>
      </c>
      <c r="KX651" s="27" t="s">
        <v>7</v>
      </c>
      <c r="MC651" s="27" t="s">
        <v>8</v>
      </c>
      <c r="MD651" s="27" t="s">
        <v>7</v>
      </c>
      <c r="MK651" s="27" t="s">
        <v>8</v>
      </c>
      <c r="MR651" s="27" t="s">
        <v>7</v>
      </c>
      <c r="MS651" s="27" t="s">
        <v>8</v>
      </c>
      <c r="NL651" s="27" t="s">
        <v>7</v>
      </c>
      <c r="NM651" s="27" t="s">
        <v>8</v>
      </c>
      <c r="NN651" s="27" t="s">
        <v>7</v>
      </c>
      <c r="NO651" s="27" t="s">
        <v>8</v>
      </c>
    </row>
    <row r="652" spans="1:380" x14ac:dyDescent="0.25">
      <c r="A652" s="7">
        <v>0.27605068902177105</v>
      </c>
      <c r="B652"/>
      <c r="C652"/>
      <c r="D652"/>
      <c r="E652"/>
      <c r="F652" s="27" t="s">
        <v>7</v>
      </c>
      <c r="CA652" s="27" t="s">
        <v>8</v>
      </c>
      <c r="CB652" s="27" t="s">
        <v>7</v>
      </c>
      <c r="FQ652" s="27" t="s">
        <v>8</v>
      </c>
      <c r="FR652" s="27" t="s">
        <v>7</v>
      </c>
      <c r="GI652" s="27" t="s">
        <v>8</v>
      </c>
      <c r="GJ652" s="27" t="s">
        <v>7</v>
      </c>
      <c r="GY652" s="27" t="s">
        <v>8</v>
      </c>
      <c r="GZ652" s="27" t="s">
        <v>7</v>
      </c>
      <c r="HA652" s="27" t="s">
        <v>8</v>
      </c>
      <c r="HB652" s="27" t="s">
        <v>7</v>
      </c>
      <c r="HC652" s="27" t="s">
        <v>8</v>
      </c>
      <c r="HD652" s="27" t="s">
        <v>7</v>
      </c>
      <c r="HE652" s="27" t="s">
        <v>8</v>
      </c>
      <c r="HT652" s="27" t="s">
        <v>7</v>
      </c>
      <c r="HU652" s="27" t="s">
        <v>8</v>
      </c>
      <c r="IH652" s="27" t="s">
        <v>7</v>
      </c>
      <c r="II652" s="27" t="s">
        <v>8</v>
      </c>
      <c r="IJ652" s="27" t="s">
        <v>7</v>
      </c>
      <c r="KQ652" s="27" t="s">
        <v>8</v>
      </c>
      <c r="KR652" s="27" t="s">
        <v>7</v>
      </c>
      <c r="KW652" s="27" t="s">
        <v>8</v>
      </c>
      <c r="KX652" s="27" t="s">
        <v>7</v>
      </c>
      <c r="MC652" s="27" t="s">
        <v>8</v>
      </c>
      <c r="MD652" s="27" t="s">
        <v>7</v>
      </c>
      <c r="MK652" s="27" t="s">
        <v>8</v>
      </c>
      <c r="MR652" s="27" t="s">
        <v>7</v>
      </c>
      <c r="MS652" s="27" t="s">
        <v>8</v>
      </c>
      <c r="NL652" s="27" t="s">
        <v>7</v>
      </c>
      <c r="NM652" s="27" t="s">
        <v>8</v>
      </c>
      <c r="NN652" s="27" t="s">
        <v>7</v>
      </c>
      <c r="NO652" s="27" t="s">
        <v>8</v>
      </c>
    </row>
    <row r="653" spans="1:380" x14ac:dyDescent="0.25">
      <c r="A653" s="7">
        <v>0.27063793041350104</v>
      </c>
      <c r="B653"/>
      <c r="C653"/>
      <c r="D653"/>
      <c r="E653"/>
      <c r="F653" s="27" t="s">
        <v>7</v>
      </c>
      <c r="CA653" s="27" t="s">
        <v>8</v>
      </c>
      <c r="CB653" s="27" t="s">
        <v>7</v>
      </c>
      <c r="FQ653" s="27" t="s">
        <v>8</v>
      </c>
      <c r="FR653" s="27" t="s">
        <v>7</v>
      </c>
      <c r="GI653" s="27" t="s">
        <v>8</v>
      </c>
      <c r="GJ653" s="27" t="s">
        <v>7</v>
      </c>
      <c r="GS653" s="27" t="s">
        <v>8</v>
      </c>
      <c r="GY653" s="27" t="s">
        <v>8</v>
      </c>
      <c r="GZ653" s="27" t="s">
        <v>7</v>
      </c>
      <c r="HA653" s="27" t="s">
        <v>8</v>
      </c>
      <c r="HB653" s="27" t="s">
        <v>7</v>
      </c>
      <c r="HC653" s="27" t="s">
        <v>8</v>
      </c>
      <c r="HD653" s="27" t="s">
        <v>7</v>
      </c>
      <c r="HE653" s="27" t="s">
        <v>8</v>
      </c>
      <c r="HT653" s="27" t="s">
        <v>7</v>
      </c>
      <c r="HU653" s="27" t="s">
        <v>8</v>
      </c>
      <c r="IH653" s="27" t="s">
        <v>7</v>
      </c>
      <c r="IJ653" s="27" t="s">
        <v>7</v>
      </c>
      <c r="KQ653" s="27" t="s">
        <v>8</v>
      </c>
      <c r="KR653" s="27" t="s">
        <v>7</v>
      </c>
      <c r="KW653" s="27" t="s">
        <v>8</v>
      </c>
      <c r="KX653" s="27" t="s">
        <v>7</v>
      </c>
      <c r="MC653" s="27" t="s">
        <v>8</v>
      </c>
      <c r="MD653" s="27" t="s">
        <v>7</v>
      </c>
      <c r="MK653" s="27" t="s">
        <v>8</v>
      </c>
      <c r="MR653" s="27" t="s">
        <v>7</v>
      </c>
      <c r="NL653" s="27" t="s">
        <v>7</v>
      </c>
      <c r="NM653" s="27" t="s">
        <v>8</v>
      </c>
      <c r="NN653" s="27" t="s">
        <v>7</v>
      </c>
      <c r="NO653" s="27" t="s">
        <v>8</v>
      </c>
    </row>
    <row r="654" spans="1:380" x14ac:dyDescent="0.25">
      <c r="A654" s="7">
        <v>0.26533130432696184</v>
      </c>
      <c r="B654"/>
      <c r="C654"/>
      <c r="D654"/>
      <c r="E654"/>
      <c r="F654" s="27" t="s">
        <v>7</v>
      </c>
      <c r="CA654" s="27" t="s">
        <v>8</v>
      </c>
      <c r="CB654" s="27" t="s">
        <v>7</v>
      </c>
      <c r="FQ654" s="27" t="s">
        <v>8</v>
      </c>
      <c r="FR654" s="27" t="s">
        <v>7</v>
      </c>
      <c r="GI654" s="27" t="s">
        <v>8</v>
      </c>
      <c r="GJ654" s="27" t="s">
        <v>7</v>
      </c>
      <c r="GS654" s="27" t="s">
        <v>8</v>
      </c>
      <c r="GT654" s="27" t="s">
        <v>7</v>
      </c>
      <c r="GY654" s="27" t="s">
        <v>8</v>
      </c>
      <c r="GZ654" s="27" t="s">
        <v>7</v>
      </c>
      <c r="HA654" s="27" t="s">
        <v>8</v>
      </c>
      <c r="HB654" s="27" t="s">
        <v>7</v>
      </c>
      <c r="HD654" s="27" t="s">
        <v>7</v>
      </c>
      <c r="HE654" s="27" t="s">
        <v>8</v>
      </c>
      <c r="HT654" s="27" t="s">
        <v>7</v>
      </c>
      <c r="HU654" s="27" t="s">
        <v>8</v>
      </c>
      <c r="IJ654" s="27" t="s">
        <v>7</v>
      </c>
      <c r="IQ654" s="27" t="s">
        <v>8</v>
      </c>
      <c r="KQ654" s="27" t="s">
        <v>8</v>
      </c>
      <c r="KR654" s="27" t="s">
        <v>7</v>
      </c>
      <c r="KW654" s="27" t="s">
        <v>8</v>
      </c>
      <c r="KX654" s="27" t="s">
        <v>7</v>
      </c>
      <c r="MC654" s="27" t="s">
        <v>8</v>
      </c>
      <c r="MD654" s="27" t="s">
        <v>7</v>
      </c>
      <c r="MK654" s="27" t="s">
        <v>8</v>
      </c>
      <c r="NL654" s="27" t="s">
        <v>7</v>
      </c>
      <c r="NM654" s="27" t="s">
        <v>8</v>
      </c>
      <c r="NN654" s="27" t="s">
        <v>7</v>
      </c>
      <c r="NO654" s="27" t="s">
        <v>8</v>
      </c>
    </row>
    <row r="655" spans="1:380" x14ac:dyDescent="0.25">
      <c r="A655" s="7">
        <v>0.26012872973231554</v>
      </c>
      <c r="B655"/>
      <c r="C655"/>
      <c r="D655"/>
      <c r="E655"/>
      <c r="F655" s="27" t="s">
        <v>7</v>
      </c>
      <c r="CA655" s="27" t="s">
        <v>8</v>
      </c>
      <c r="CB655" s="27" t="s">
        <v>7</v>
      </c>
      <c r="FQ655" s="27" t="s">
        <v>8</v>
      </c>
      <c r="FR655" s="27" t="s">
        <v>7</v>
      </c>
      <c r="GI655" s="27" t="s">
        <v>8</v>
      </c>
      <c r="GJ655" s="27" t="s">
        <v>7</v>
      </c>
      <c r="GS655" s="27" t="s">
        <v>8</v>
      </c>
      <c r="GT655" s="27" t="s">
        <v>7</v>
      </c>
      <c r="GY655" s="27" t="s">
        <v>8</v>
      </c>
      <c r="GZ655" s="27" t="s">
        <v>7</v>
      </c>
      <c r="HA655" s="27" t="s">
        <v>8</v>
      </c>
      <c r="HD655" s="27" t="s">
        <v>7</v>
      </c>
      <c r="HE655" s="27" t="s">
        <v>8</v>
      </c>
      <c r="HT655" s="27" t="s">
        <v>7</v>
      </c>
      <c r="HU655" s="27" t="s">
        <v>8</v>
      </c>
      <c r="IJ655" s="27" t="s">
        <v>7</v>
      </c>
      <c r="IQ655" s="27" t="s">
        <v>8</v>
      </c>
      <c r="IR655" s="27" t="s">
        <v>7</v>
      </c>
      <c r="KQ655" s="27" t="s">
        <v>8</v>
      </c>
      <c r="KR655" s="27" t="s">
        <v>7</v>
      </c>
      <c r="KW655" s="27" t="s">
        <v>8</v>
      </c>
      <c r="KX655" s="27" t="s">
        <v>7</v>
      </c>
      <c r="KY655" s="27" t="s">
        <v>8</v>
      </c>
      <c r="LO655" s="27" t="s">
        <v>8</v>
      </c>
      <c r="MC655" s="27" t="s">
        <v>8</v>
      </c>
      <c r="MD655" s="27" t="s">
        <v>7</v>
      </c>
      <c r="MK655" s="27" t="s">
        <v>8</v>
      </c>
      <c r="NL655" s="27" t="s">
        <v>7</v>
      </c>
      <c r="NM655" s="27" t="s">
        <v>8</v>
      </c>
      <c r="NN655" s="27" t="s">
        <v>7</v>
      </c>
    </row>
    <row r="656" spans="1:380" x14ac:dyDescent="0.25">
      <c r="A656" s="7">
        <v>0.25502816640423093</v>
      </c>
      <c r="B656"/>
      <c r="C656"/>
      <c r="D656"/>
      <c r="E656"/>
      <c r="F656" s="27" t="s">
        <v>7</v>
      </c>
      <c r="CA656" s="27" t="s">
        <v>8</v>
      </c>
      <c r="CB656" s="27" t="s">
        <v>7</v>
      </c>
      <c r="FQ656" s="27" t="s">
        <v>8</v>
      </c>
      <c r="FR656" s="27" t="s">
        <v>7</v>
      </c>
      <c r="GI656" s="27" t="s">
        <v>8</v>
      </c>
      <c r="GJ656" s="27" t="s">
        <v>7</v>
      </c>
      <c r="GS656" s="27" t="s">
        <v>8</v>
      </c>
      <c r="GT656" s="27" t="s">
        <v>7</v>
      </c>
      <c r="GY656" s="27" t="s">
        <v>8</v>
      </c>
      <c r="GZ656" s="27" t="s">
        <v>7</v>
      </c>
      <c r="HA656" s="27" t="s">
        <v>8</v>
      </c>
      <c r="HD656" s="27" t="s">
        <v>7</v>
      </c>
      <c r="HE656" s="27" t="s">
        <v>8</v>
      </c>
      <c r="HT656" s="27" t="s">
        <v>7</v>
      </c>
      <c r="HU656" s="27" t="s">
        <v>8</v>
      </c>
      <c r="IJ656" s="27" t="s">
        <v>7</v>
      </c>
      <c r="IQ656" s="27" t="s">
        <v>8</v>
      </c>
      <c r="IR656" s="27" t="s">
        <v>7</v>
      </c>
      <c r="KQ656" s="27" t="s">
        <v>8</v>
      </c>
      <c r="KR656" s="27" t="s">
        <v>7</v>
      </c>
      <c r="KU656" s="27" t="s">
        <v>8</v>
      </c>
      <c r="KW656" s="27" t="s">
        <v>8</v>
      </c>
      <c r="KX656" s="27" t="s">
        <v>7</v>
      </c>
      <c r="KY656" s="27" t="s">
        <v>8</v>
      </c>
      <c r="KZ656" s="27" t="s">
        <v>7</v>
      </c>
      <c r="LO656" s="27" t="s">
        <v>8</v>
      </c>
      <c r="LP656" s="27" t="s">
        <v>7</v>
      </c>
      <c r="MC656" s="27" t="s">
        <v>8</v>
      </c>
      <c r="MD656" s="27" t="s">
        <v>7</v>
      </c>
      <c r="MK656" s="27" t="s">
        <v>8</v>
      </c>
      <c r="NL656" s="27" t="s">
        <v>7</v>
      </c>
      <c r="NM656" s="27" t="s">
        <v>8</v>
      </c>
    </row>
    <row r="657" spans="1:377" x14ac:dyDescent="0.25">
      <c r="A657" s="7">
        <v>0.25002761412179503</v>
      </c>
      <c r="B657"/>
      <c r="C657"/>
      <c r="D657"/>
      <c r="E657"/>
      <c r="F657" s="27" t="s">
        <v>7</v>
      </c>
      <c r="CA657" s="27" t="s">
        <v>8</v>
      </c>
      <c r="CB657" s="27" t="s">
        <v>7</v>
      </c>
      <c r="FQ657" s="27" t="s">
        <v>8</v>
      </c>
      <c r="FR657" s="27" t="s">
        <v>7</v>
      </c>
      <c r="GI657" s="27" t="s">
        <v>8</v>
      </c>
      <c r="GJ657" s="27" t="s">
        <v>7</v>
      </c>
      <c r="GS657" s="27" t="s">
        <v>8</v>
      </c>
      <c r="GT657" s="27" t="s">
        <v>7</v>
      </c>
      <c r="GY657" s="27" t="s">
        <v>8</v>
      </c>
      <c r="GZ657" s="27" t="s">
        <v>7</v>
      </c>
      <c r="HA657" s="27" t="s">
        <v>8</v>
      </c>
      <c r="HD657" s="27" t="s">
        <v>7</v>
      </c>
      <c r="HE657" s="27" t="s">
        <v>8</v>
      </c>
      <c r="HT657" s="27" t="s">
        <v>7</v>
      </c>
      <c r="IJ657" s="27" t="s">
        <v>7</v>
      </c>
      <c r="IQ657" s="27" t="s">
        <v>8</v>
      </c>
      <c r="IR657" s="27" t="s">
        <v>7</v>
      </c>
      <c r="IU657" s="27" t="s">
        <v>8</v>
      </c>
      <c r="KQ657" s="27" t="s">
        <v>8</v>
      </c>
      <c r="KR657" s="27" t="s">
        <v>7</v>
      </c>
      <c r="KU657" s="27" t="s">
        <v>8</v>
      </c>
      <c r="KV657" s="27" t="s">
        <v>7</v>
      </c>
      <c r="KW657" s="27" t="s">
        <v>8</v>
      </c>
      <c r="KX657" s="27" t="s">
        <v>7</v>
      </c>
      <c r="KY657" s="27" t="s">
        <v>8</v>
      </c>
      <c r="KZ657" s="27" t="s">
        <v>7</v>
      </c>
      <c r="LO657" s="27" t="s">
        <v>8</v>
      </c>
      <c r="LP657" s="27" t="s">
        <v>7</v>
      </c>
      <c r="LQ657" s="27" t="s">
        <v>8</v>
      </c>
      <c r="MC657" s="27" t="s">
        <v>8</v>
      </c>
      <c r="MD657" s="27" t="s">
        <v>7</v>
      </c>
      <c r="MK657" s="27" t="s">
        <v>8</v>
      </c>
      <c r="NL657" s="27" t="s">
        <v>7</v>
      </c>
      <c r="NM657" s="27" t="s">
        <v>8</v>
      </c>
    </row>
    <row r="658" spans="1:377" x14ac:dyDescent="0.25">
      <c r="A658" s="7">
        <v>0.24512511188411276</v>
      </c>
      <c r="B658"/>
      <c r="C658"/>
      <c r="D658"/>
      <c r="E658"/>
      <c r="F658" s="27" t="s">
        <v>7</v>
      </c>
      <c r="CA658" s="27" t="s">
        <v>8</v>
      </c>
      <c r="CB658" s="27" t="s">
        <v>7</v>
      </c>
      <c r="FQ658" s="27" t="s">
        <v>8</v>
      </c>
      <c r="FR658" s="27" t="s">
        <v>7</v>
      </c>
      <c r="GI658" s="27" t="s">
        <v>8</v>
      </c>
      <c r="GJ658" s="27" t="s">
        <v>7</v>
      </c>
      <c r="GK658" s="27" t="s">
        <v>8</v>
      </c>
      <c r="GS658" s="27" t="s">
        <v>8</v>
      </c>
      <c r="GT658" s="27" t="s">
        <v>7</v>
      </c>
      <c r="GY658" s="27" t="s">
        <v>8</v>
      </c>
      <c r="GZ658" s="27" t="s">
        <v>7</v>
      </c>
      <c r="HD658" s="27" t="s">
        <v>7</v>
      </c>
      <c r="HE658" s="27" t="s">
        <v>8</v>
      </c>
      <c r="IJ658" s="27" t="s">
        <v>7</v>
      </c>
      <c r="IQ658" s="27" t="s">
        <v>8</v>
      </c>
      <c r="IR658" s="27" t="s">
        <v>7</v>
      </c>
      <c r="IU658" s="27" t="s">
        <v>8</v>
      </c>
      <c r="IV658" s="27" t="s">
        <v>7</v>
      </c>
      <c r="KQ658" s="27" t="s">
        <v>8</v>
      </c>
      <c r="KR658" s="27" t="s">
        <v>7</v>
      </c>
      <c r="KU658" s="27" t="s">
        <v>8</v>
      </c>
      <c r="KV658" s="27" t="s">
        <v>7</v>
      </c>
      <c r="KW658" s="27" t="s">
        <v>8</v>
      </c>
      <c r="KX658" s="27" t="s">
        <v>7</v>
      </c>
      <c r="KY658" s="27" t="s">
        <v>8</v>
      </c>
      <c r="KZ658" s="27" t="s">
        <v>7</v>
      </c>
      <c r="LG658" s="27" t="s">
        <v>8</v>
      </c>
      <c r="LO658" s="27" t="s">
        <v>8</v>
      </c>
      <c r="LP658" s="27" t="s">
        <v>7</v>
      </c>
      <c r="LQ658" s="27" t="s">
        <v>8</v>
      </c>
      <c r="LR658" s="27" t="s">
        <v>7</v>
      </c>
      <c r="MC658" s="27" t="s">
        <v>8</v>
      </c>
      <c r="MD658" s="27" t="s">
        <v>7</v>
      </c>
      <c r="MG658" s="27" t="s">
        <v>8</v>
      </c>
      <c r="MK658" s="27" t="s">
        <v>8</v>
      </c>
      <c r="NL658" s="27" t="s">
        <v>7</v>
      </c>
      <c r="NM658" s="27" t="s">
        <v>8</v>
      </c>
    </row>
    <row r="659" spans="1:377" x14ac:dyDescent="0.25">
      <c r="A659" s="7">
        <v>0.24031873714128701</v>
      </c>
      <c r="B659"/>
      <c r="C659"/>
      <c r="D659"/>
      <c r="E659"/>
      <c r="F659" s="27" t="s">
        <v>7</v>
      </c>
      <c r="CA659" s="27" t="s">
        <v>8</v>
      </c>
      <c r="CB659" s="27" t="s">
        <v>7</v>
      </c>
      <c r="FQ659" s="27" t="s">
        <v>8</v>
      </c>
      <c r="FR659" s="27" t="s">
        <v>7</v>
      </c>
      <c r="GI659" s="27" t="s">
        <v>8</v>
      </c>
      <c r="GJ659" s="27" t="s">
        <v>7</v>
      </c>
      <c r="GK659" s="27" t="s">
        <v>8</v>
      </c>
      <c r="GL659" s="27" t="s">
        <v>7</v>
      </c>
      <c r="GM659" s="27" t="s">
        <v>8</v>
      </c>
      <c r="GS659" s="27" t="s">
        <v>8</v>
      </c>
      <c r="GT659" s="27" t="s">
        <v>7</v>
      </c>
      <c r="GY659" s="27" t="s">
        <v>8</v>
      </c>
      <c r="HD659" s="27" t="s">
        <v>7</v>
      </c>
      <c r="IJ659" s="27" t="s">
        <v>7</v>
      </c>
      <c r="IK659" s="27" t="s">
        <v>8</v>
      </c>
      <c r="IQ659" s="27" t="s">
        <v>8</v>
      </c>
      <c r="IR659" s="27" t="s">
        <v>7</v>
      </c>
      <c r="IU659" s="27" t="s">
        <v>8</v>
      </c>
      <c r="IV659" s="27" t="s">
        <v>7</v>
      </c>
      <c r="KQ659" s="27" t="s">
        <v>8</v>
      </c>
      <c r="KR659" s="27" t="s">
        <v>7</v>
      </c>
      <c r="KU659" s="27" t="s">
        <v>8</v>
      </c>
      <c r="KV659" s="27" t="s">
        <v>7</v>
      </c>
      <c r="KW659" s="27" t="s">
        <v>8</v>
      </c>
      <c r="KX659" s="27" t="s">
        <v>7</v>
      </c>
      <c r="KY659" s="27" t="s">
        <v>8</v>
      </c>
      <c r="KZ659" s="27" t="s">
        <v>7</v>
      </c>
      <c r="LG659" s="27" t="s">
        <v>8</v>
      </c>
      <c r="LH659" s="27" t="s">
        <v>7</v>
      </c>
      <c r="LO659" s="27" t="s">
        <v>8</v>
      </c>
      <c r="LP659" s="27" t="s">
        <v>7</v>
      </c>
      <c r="LQ659" s="27" t="s">
        <v>8</v>
      </c>
      <c r="LR659" s="27" t="s">
        <v>7</v>
      </c>
      <c r="MC659" s="27" t="s">
        <v>8</v>
      </c>
      <c r="MD659" s="27" t="s">
        <v>7</v>
      </c>
      <c r="MG659" s="27" t="s">
        <v>8</v>
      </c>
      <c r="MH659" s="27" t="s">
        <v>7</v>
      </c>
      <c r="MK659" s="27" t="s">
        <v>8</v>
      </c>
      <c r="NL659" s="27" t="s">
        <v>7</v>
      </c>
      <c r="NM659" s="27" t="s">
        <v>8</v>
      </c>
    </row>
    <row r="660" spans="1:377" x14ac:dyDescent="0.25">
      <c r="A660" s="7">
        <v>0.23560660504047748</v>
      </c>
      <c r="B660"/>
      <c r="C660"/>
      <c r="D660"/>
      <c r="E660"/>
      <c r="F660" s="27" t="s">
        <v>7</v>
      </c>
      <c r="CA660" s="27" t="s">
        <v>8</v>
      </c>
      <c r="CB660" s="27" t="s">
        <v>7</v>
      </c>
      <c r="FQ660" s="27" t="s">
        <v>8</v>
      </c>
      <c r="FR660" s="27" t="s">
        <v>7</v>
      </c>
      <c r="GI660" s="27" t="s">
        <v>8</v>
      </c>
      <c r="GJ660" s="27" t="s">
        <v>7</v>
      </c>
      <c r="GK660" s="27" t="s">
        <v>8</v>
      </c>
      <c r="GL660" s="27" t="s">
        <v>7</v>
      </c>
      <c r="GM660" s="27" t="s">
        <v>8</v>
      </c>
      <c r="GN660" s="27" t="s">
        <v>7</v>
      </c>
      <c r="GS660" s="27" t="s">
        <v>8</v>
      </c>
      <c r="GT660" s="27" t="s">
        <v>7</v>
      </c>
      <c r="GW660" s="27" t="s">
        <v>8</v>
      </c>
      <c r="GY660" s="27" t="s">
        <v>8</v>
      </c>
      <c r="IJ660" s="27" t="s">
        <v>7</v>
      </c>
      <c r="IK660" s="27" t="s">
        <v>8</v>
      </c>
      <c r="IL660" s="27" t="s">
        <v>7</v>
      </c>
      <c r="IO660" s="27" t="s">
        <v>8</v>
      </c>
      <c r="IQ660" s="27" t="s">
        <v>8</v>
      </c>
      <c r="IR660" s="27" t="s">
        <v>7</v>
      </c>
      <c r="IU660" s="27" t="s">
        <v>8</v>
      </c>
      <c r="IV660" s="27" t="s">
        <v>7</v>
      </c>
      <c r="KQ660" s="27" t="s">
        <v>8</v>
      </c>
      <c r="KR660" s="27" t="s">
        <v>7</v>
      </c>
      <c r="KU660" s="27" t="s">
        <v>8</v>
      </c>
      <c r="KV660" s="27" t="s">
        <v>7</v>
      </c>
      <c r="KW660" s="27" t="s">
        <v>8</v>
      </c>
      <c r="KX660" s="27" t="s">
        <v>7</v>
      </c>
      <c r="KY660" s="27" t="s">
        <v>8</v>
      </c>
      <c r="KZ660" s="27" t="s">
        <v>7</v>
      </c>
      <c r="LG660" s="27" t="s">
        <v>8</v>
      </c>
      <c r="LH660" s="27" t="s">
        <v>7</v>
      </c>
      <c r="LK660" s="27" t="s">
        <v>8</v>
      </c>
      <c r="LO660" s="27" t="s">
        <v>8</v>
      </c>
      <c r="LP660" s="27" t="s">
        <v>7</v>
      </c>
      <c r="LQ660" s="27" t="s">
        <v>8</v>
      </c>
      <c r="LR660" s="27" t="s">
        <v>7</v>
      </c>
      <c r="LS660" s="27" t="s">
        <v>8</v>
      </c>
      <c r="MC660" s="27" t="s">
        <v>8</v>
      </c>
      <c r="MD660" s="27" t="s">
        <v>7</v>
      </c>
      <c r="ME660" s="27" t="s">
        <v>8</v>
      </c>
      <c r="MG660" s="27" t="s">
        <v>8</v>
      </c>
      <c r="MH660" s="27" t="s">
        <v>7</v>
      </c>
      <c r="MK660" s="27" t="s">
        <v>8</v>
      </c>
      <c r="NL660" s="27" t="s">
        <v>7</v>
      </c>
      <c r="NM660" s="27" t="s">
        <v>8</v>
      </c>
    </row>
    <row r="661" spans="1:377" x14ac:dyDescent="0.25">
      <c r="A661" s="7">
        <v>0.23098686768674265</v>
      </c>
      <c r="B661"/>
      <c r="C661"/>
      <c r="D661"/>
      <c r="E661"/>
      <c r="F661" s="27" t="s">
        <v>7</v>
      </c>
      <c r="CA661" s="27" t="s">
        <v>8</v>
      </c>
      <c r="CB661" s="27" t="s">
        <v>7</v>
      </c>
      <c r="FQ661" s="27" t="s">
        <v>8</v>
      </c>
      <c r="FR661" s="27" t="s">
        <v>7</v>
      </c>
      <c r="GI661" s="27" t="s">
        <v>8</v>
      </c>
      <c r="GJ661" s="27" t="s">
        <v>7</v>
      </c>
      <c r="GK661" s="27" t="s">
        <v>8</v>
      </c>
      <c r="GL661" s="27" t="s">
        <v>7</v>
      </c>
      <c r="GM661" s="27" t="s">
        <v>8</v>
      </c>
      <c r="GN661" s="27" t="s">
        <v>7</v>
      </c>
      <c r="GS661" s="27" t="s">
        <v>8</v>
      </c>
      <c r="GT661" s="27" t="s">
        <v>7</v>
      </c>
      <c r="GW661" s="27" t="s">
        <v>8</v>
      </c>
      <c r="GX661" s="27" t="s">
        <v>7</v>
      </c>
      <c r="GY661" s="27" t="s">
        <v>8</v>
      </c>
      <c r="IJ661" s="27" t="s">
        <v>7</v>
      </c>
      <c r="IK661" s="27" t="s">
        <v>8</v>
      </c>
      <c r="IL661" s="27" t="s">
        <v>7</v>
      </c>
      <c r="IO661" s="27" t="s">
        <v>8</v>
      </c>
      <c r="IP661" s="27" t="s">
        <v>7</v>
      </c>
      <c r="IQ661" s="27" t="s">
        <v>8</v>
      </c>
      <c r="IR661" s="27" t="s">
        <v>7</v>
      </c>
      <c r="IU661" s="27" t="s">
        <v>8</v>
      </c>
      <c r="IV661" s="27" t="s">
        <v>7</v>
      </c>
      <c r="KG661" s="27" t="s">
        <v>8</v>
      </c>
      <c r="KK661" s="27" t="s">
        <v>8</v>
      </c>
      <c r="KQ661" s="27" t="s">
        <v>8</v>
      </c>
      <c r="KR661" s="27" t="s">
        <v>7</v>
      </c>
      <c r="KU661" s="27" t="s">
        <v>8</v>
      </c>
      <c r="KV661" s="27" t="s">
        <v>7</v>
      </c>
      <c r="KW661" s="27" t="s">
        <v>8</v>
      </c>
      <c r="KX661" s="27" t="s">
        <v>7</v>
      </c>
      <c r="KY661" s="27" t="s">
        <v>8</v>
      </c>
      <c r="KZ661" s="27" t="s">
        <v>7</v>
      </c>
      <c r="LG661" s="27" t="s">
        <v>8</v>
      </c>
      <c r="LH661" s="27" t="s">
        <v>7</v>
      </c>
      <c r="LK661" s="27" t="s">
        <v>8</v>
      </c>
      <c r="LL661" s="27" t="s">
        <v>7</v>
      </c>
      <c r="LO661" s="27" t="s">
        <v>8</v>
      </c>
      <c r="LP661" s="27" t="s">
        <v>7</v>
      </c>
      <c r="LQ661" s="27" t="s">
        <v>8</v>
      </c>
      <c r="LR661" s="27" t="s">
        <v>7</v>
      </c>
      <c r="LS661" s="27" t="s">
        <v>8</v>
      </c>
      <c r="LT661" s="27" t="s">
        <v>7</v>
      </c>
      <c r="LU661" s="27" t="s">
        <v>8</v>
      </c>
      <c r="LW661" s="27" t="s">
        <v>8</v>
      </c>
      <c r="MC661" s="27" t="s">
        <v>8</v>
      </c>
      <c r="MD661" s="27" t="s">
        <v>7</v>
      </c>
      <c r="ME661" s="27" t="s">
        <v>8</v>
      </c>
      <c r="MF661" s="27" t="s">
        <v>7</v>
      </c>
      <c r="MG661" s="27" t="s">
        <v>8</v>
      </c>
      <c r="MH661" s="27" t="s">
        <v>7</v>
      </c>
      <c r="MK661" s="27" t="s">
        <v>8</v>
      </c>
      <c r="NL661" s="27" t="s">
        <v>7</v>
      </c>
    </row>
    <row r="662" spans="1:377" x14ac:dyDescent="0.25">
      <c r="A662" s="7">
        <v>0.22645771341837515</v>
      </c>
      <c r="B662"/>
      <c r="C662"/>
      <c r="D662"/>
      <c r="E662"/>
      <c r="F662" s="27" t="s">
        <v>7</v>
      </c>
      <c r="CA662" s="27" t="s">
        <v>8</v>
      </c>
      <c r="CB662" s="27" t="s">
        <v>7</v>
      </c>
      <c r="FQ662" s="27" t="s">
        <v>8</v>
      </c>
      <c r="FR662" s="27" t="s">
        <v>7</v>
      </c>
      <c r="GI662" s="27" t="s">
        <v>8</v>
      </c>
      <c r="GJ662" s="27" t="s">
        <v>7</v>
      </c>
      <c r="GK662" s="27" t="s">
        <v>8</v>
      </c>
      <c r="GL662" s="27" t="s">
        <v>7</v>
      </c>
      <c r="GM662" s="27" t="s">
        <v>8</v>
      </c>
      <c r="GN662" s="27" t="s">
        <v>7</v>
      </c>
      <c r="GO662" s="27" t="s">
        <v>8</v>
      </c>
      <c r="GS662" s="27" t="s">
        <v>8</v>
      </c>
      <c r="GT662" s="27" t="s">
        <v>7</v>
      </c>
      <c r="GW662" s="27" t="s">
        <v>8</v>
      </c>
      <c r="GX662" s="27" t="s">
        <v>7</v>
      </c>
      <c r="GY662" s="27" t="s">
        <v>8</v>
      </c>
      <c r="IJ662" s="27" t="s">
        <v>7</v>
      </c>
      <c r="IK662" s="27" t="s">
        <v>8</v>
      </c>
      <c r="IL662" s="27" t="s">
        <v>7</v>
      </c>
      <c r="IO662" s="27" t="s">
        <v>8</v>
      </c>
      <c r="IP662" s="27" t="s">
        <v>7</v>
      </c>
      <c r="IQ662" s="27" t="s">
        <v>8</v>
      </c>
      <c r="IR662" s="27" t="s">
        <v>7</v>
      </c>
      <c r="IS662" s="27" t="s">
        <v>8</v>
      </c>
      <c r="IU662" s="27" t="s">
        <v>8</v>
      </c>
      <c r="IV662" s="27" t="s">
        <v>7</v>
      </c>
      <c r="IW662" s="27" t="s">
        <v>8</v>
      </c>
      <c r="KE662" s="27" t="s">
        <v>8</v>
      </c>
      <c r="KG662" s="27" t="s">
        <v>8</v>
      </c>
      <c r="KH662" s="27" t="s">
        <v>7</v>
      </c>
      <c r="KK662" s="27" t="s">
        <v>8</v>
      </c>
      <c r="KL662" s="27" t="s">
        <v>7</v>
      </c>
      <c r="KM662" s="27" t="s">
        <v>8</v>
      </c>
      <c r="KO662" s="27" t="s">
        <v>8</v>
      </c>
      <c r="KQ662" s="27" t="s">
        <v>8</v>
      </c>
      <c r="KR662" s="27" t="s">
        <v>7</v>
      </c>
      <c r="KS662" s="27" t="s">
        <v>8</v>
      </c>
      <c r="KU662" s="27" t="s">
        <v>8</v>
      </c>
      <c r="KV662" s="27" t="s">
        <v>7</v>
      </c>
      <c r="KW662" s="27" t="s">
        <v>8</v>
      </c>
      <c r="KX662" s="27" t="s">
        <v>7</v>
      </c>
      <c r="KY662" s="27" t="s">
        <v>8</v>
      </c>
      <c r="KZ662" s="27" t="s">
        <v>7</v>
      </c>
      <c r="LA662" s="27" t="s">
        <v>8</v>
      </c>
      <c r="LG662" s="27" t="s">
        <v>8</v>
      </c>
      <c r="LH662" s="27" t="s">
        <v>7</v>
      </c>
      <c r="LK662" s="27" t="s">
        <v>8</v>
      </c>
      <c r="LL662" s="27" t="s">
        <v>7</v>
      </c>
      <c r="LM662" s="27" t="s">
        <v>8</v>
      </c>
      <c r="LO662" s="27" t="s">
        <v>8</v>
      </c>
      <c r="LP662" s="27" t="s">
        <v>7</v>
      </c>
      <c r="LQ662" s="27" t="s">
        <v>8</v>
      </c>
      <c r="LR662" s="27" t="s">
        <v>7</v>
      </c>
      <c r="LS662" s="27" t="s">
        <v>8</v>
      </c>
      <c r="LT662" s="27" t="s">
        <v>7</v>
      </c>
      <c r="LU662" s="27" t="s">
        <v>8</v>
      </c>
      <c r="LV662" s="27" t="s">
        <v>7</v>
      </c>
      <c r="LW662" s="27" t="s">
        <v>8</v>
      </c>
      <c r="LX662" s="27" t="s">
        <v>7</v>
      </c>
      <c r="LY662" s="27" t="s">
        <v>8</v>
      </c>
      <c r="MC662" s="27" t="s">
        <v>8</v>
      </c>
      <c r="MD662" s="27" t="s">
        <v>7</v>
      </c>
      <c r="ME662" s="27" t="s">
        <v>8</v>
      </c>
      <c r="MF662" s="27" t="s">
        <v>7</v>
      </c>
      <c r="MG662" s="27" t="s">
        <v>8</v>
      </c>
      <c r="MH662" s="27" t="s">
        <v>7</v>
      </c>
      <c r="MK662" s="27" t="s">
        <v>8</v>
      </c>
    </row>
    <row r="663" spans="1:377" x14ac:dyDescent="0.25">
      <c r="A663" s="7">
        <v>0.22201736609644623</v>
      </c>
      <c r="B663"/>
      <c r="C663"/>
      <c r="D663"/>
      <c r="E663"/>
      <c r="F663" s="27" t="s">
        <v>7</v>
      </c>
      <c r="CA663" s="27" t="s">
        <v>8</v>
      </c>
      <c r="CB663" s="27" t="s">
        <v>7</v>
      </c>
      <c r="FQ663" s="27" t="s">
        <v>8</v>
      </c>
      <c r="FR663" s="27" t="s">
        <v>7</v>
      </c>
      <c r="GI663" s="27" t="s">
        <v>8</v>
      </c>
      <c r="GJ663" s="27" t="s">
        <v>7</v>
      </c>
      <c r="GK663" s="27" t="s">
        <v>8</v>
      </c>
      <c r="GL663" s="27" t="s">
        <v>7</v>
      </c>
      <c r="GM663" s="27" t="s">
        <v>8</v>
      </c>
      <c r="GN663" s="27" t="s">
        <v>7</v>
      </c>
      <c r="GO663" s="27" t="s">
        <v>8</v>
      </c>
      <c r="GP663" s="27" t="s">
        <v>7</v>
      </c>
      <c r="GS663" s="27" t="s">
        <v>8</v>
      </c>
      <c r="GT663" s="27" t="s">
        <v>7</v>
      </c>
      <c r="GW663" s="27" t="s">
        <v>8</v>
      </c>
      <c r="GX663" s="27" t="s">
        <v>7</v>
      </c>
      <c r="GY663" s="27" t="s">
        <v>8</v>
      </c>
      <c r="IJ663" s="27" t="s">
        <v>7</v>
      </c>
      <c r="IK663" s="27" t="s">
        <v>8</v>
      </c>
      <c r="IL663" s="27" t="s">
        <v>7</v>
      </c>
      <c r="IO663" s="27" t="s">
        <v>8</v>
      </c>
      <c r="IP663" s="27" t="s">
        <v>7</v>
      </c>
      <c r="IQ663" s="27" t="s">
        <v>8</v>
      </c>
      <c r="IR663" s="27" t="s">
        <v>7</v>
      </c>
      <c r="IS663" s="27" t="s">
        <v>8</v>
      </c>
      <c r="IT663" s="27" t="s">
        <v>7</v>
      </c>
      <c r="IU663" s="27" t="s">
        <v>8</v>
      </c>
      <c r="IV663" s="27" t="s">
        <v>7</v>
      </c>
      <c r="IW663" s="27" t="s">
        <v>8</v>
      </c>
      <c r="IX663" s="27" t="s">
        <v>7</v>
      </c>
      <c r="KE663" s="27" t="s">
        <v>8</v>
      </c>
      <c r="KF663" s="27" t="s">
        <v>7</v>
      </c>
      <c r="KG663" s="27" t="s">
        <v>8</v>
      </c>
      <c r="KH663" s="27" t="s">
        <v>7</v>
      </c>
      <c r="KK663" s="27" t="s">
        <v>8</v>
      </c>
      <c r="KL663" s="27" t="s">
        <v>7</v>
      </c>
      <c r="KM663" s="27" t="s">
        <v>8</v>
      </c>
      <c r="KN663" s="27" t="s">
        <v>7</v>
      </c>
      <c r="KO663" s="27" t="s">
        <v>8</v>
      </c>
      <c r="KP663" s="27" t="s">
        <v>7</v>
      </c>
      <c r="KQ663" s="27" t="s">
        <v>8</v>
      </c>
      <c r="KR663" s="27" t="s">
        <v>7</v>
      </c>
      <c r="KS663" s="27" t="s">
        <v>8</v>
      </c>
      <c r="KT663" s="27" t="s">
        <v>7</v>
      </c>
      <c r="KU663" s="27" t="s">
        <v>8</v>
      </c>
      <c r="KV663" s="27" t="s">
        <v>7</v>
      </c>
      <c r="KX663" s="27" t="s">
        <v>7</v>
      </c>
      <c r="KY663" s="27" t="s">
        <v>8</v>
      </c>
      <c r="KZ663" s="27" t="s">
        <v>7</v>
      </c>
      <c r="LA663" s="27" t="s">
        <v>8</v>
      </c>
      <c r="LB663" s="27" t="s">
        <v>7</v>
      </c>
      <c r="LG663" s="27" t="s">
        <v>8</v>
      </c>
      <c r="LH663" s="27" t="s">
        <v>7</v>
      </c>
      <c r="LK663" s="27" t="s">
        <v>8</v>
      </c>
      <c r="LL663" s="27" t="s">
        <v>7</v>
      </c>
      <c r="LM663" s="27" t="s">
        <v>8</v>
      </c>
      <c r="LN663" s="27" t="s">
        <v>7</v>
      </c>
      <c r="LO663" s="27" t="s">
        <v>8</v>
      </c>
      <c r="LP663" s="27" t="s">
        <v>7</v>
      </c>
      <c r="LQ663" s="27" t="s">
        <v>8</v>
      </c>
      <c r="LR663" s="27" t="s">
        <v>7</v>
      </c>
      <c r="LS663" s="27" t="s">
        <v>8</v>
      </c>
      <c r="LT663" s="27" t="s">
        <v>7</v>
      </c>
      <c r="LU663" s="27" t="s">
        <v>8</v>
      </c>
      <c r="LV663" s="27" t="s">
        <v>7</v>
      </c>
      <c r="LW663" s="27" t="s">
        <v>8</v>
      </c>
      <c r="LX663" s="27" t="s">
        <v>7</v>
      </c>
      <c r="LY663" s="27" t="s">
        <v>8</v>
      </c>
      <c r="LZ663" s="27" t="s">
        <v>7</v>
      </c>
      <c r="MC663" s="27" t="s">
        <v>8</v>
      </c>
      <c r="MD663" s="27" t="s">
        <v>7</v>
      </c>
      <c r="ME663" s="27" t="s">
        <v>8</v>
      </c>
      <c r="MF663" s="27" t="s">
        <v>7</v>
      </c>
      <c r="MG663" s="27" t="s">
        <v>8</v>
      </c>
      <c r="MH663" s="27" t="s">
        <v>7</v>
      </c>
      <c r="MK663" s="27" t="s">
        <v>8</v>
      </c>
    </row>
    <row r="664" spans="1:377" x14ac:dyDescent="0.25">
      <c r="A664" s="7">
        <v>0.21766408440828061</v>
      </c>
      <c r="B664"/>
      <c r="C664"/>
      <c r="D664"/>
      <c r="E664"/>
      <c r="F664" s="27" t="s">
        <v>7</v>
      </c>
      <c r="CA664" s="27" t="s">
        <v>8</v>
      </c>
      <c r="CB664" s="27" t="s">
        <v>7</v>
      </c>
      <c r="FQ664" s="27" t="s">
        <v>8</v>
      </c>
      <c r="FR664" s="27" t="s">
        <v>7</v>
      </c>
      <c r="GI664" s="27" t="s">
        <v>8</v>
      </c>
      <c r="GJ664" s="27" t="s">
        <v>7</v>
      </c>
      <c r="GK664" s="27" t="s">
        <v>8</v>
      </c>
      <c r="GL664" s="27" t="s">
        <v>7</v>
      </c>
      <c r="GM664" s="27" t="s">
        <v>8</v>
      </c>
      <c r="GN664" s="27" t="s">
        <v>7</v>
      </c>
      <c r="GO664" s="27" t="s">
        <v>8</v>
      </c>
      <c r="GP664" s="27" t="s">
        <v>7</v>
      </c>
      <c r="GS664" s="27" t="s">
        <v>8</v>
      </c>
      <c r="GT664" s="27" t="s">
        <v>7</v>
      </c>
      <c r="GW664" s="27" t="s">
        <v>8</v>
      </c>
      <c r="GX664" s="27" t="s">
        <v>7</v>
      </c>
      <c r="GY664" s="27" t="s">
        <v>8</v>
      </c>
      <c r="IJ664" s="27" t="s">
        <v>7</v>
      </c>
      <c r="IK664" s="27" t="s">
        <v>8</v>
      </c>
      <c r="IL664" s="27" t="s">
        <v>7</v>
      </c>
      <c r="IO664" s="27" t="s">
        <v>8</v>
      </c>
      <c r="IP664" s="27" t="s">
        <v>7</v>
      </c>
      <c r="IQ664" s="27" t="s">
        <v>8</v>
      </c>
      <c r="IR664" s="27" t="s">
        <v>7</v>
      </c>
      <c r="IS664" s="27" t="s">
        <v>8</v>
      </c>
      <c r="IT664" s="27" t="s">
        <v>7</v>
      </c>
      <c r="IU664" s="27" t="s">
        <v>8</v>
      </c>
      <c r="IV664" s="27" t="s">
        <v>7</v>
      </c>
      <c r="IW664" s="27" t="s">
        <v>8</v>
      </c>
      <c r="IX664" s="27" t="s">
        <v>7</v>
      </c>
      <c r="KE664" s="27" t="s">
        <v>8</v>
      </c>
      <c r="KF664" s="27" t="s">
        <v>7</v>
      </c>
      <c r="KG664" s="27" t="s">
        <v>8</v>
      </c>
      <c r="KH664" s="27" t="s">
        <v>7</v>
      </c>
      <c r="KK664" s="27" t="s">
        <v>8</v>
      </c>
      <c r="KL664" s="27" t="s">
        <v>7</v>
      </c>
      <c r="KM664" s="27" t="s">
        <v>8</v>
      </c>
      <c r="KN664" s="27" t="s">
        <v>7</v>
      </c>
      <c r="KO664" s="27" t="s">
        <v>8</v>
      </c>
      <c r="KP664" s="27" t="s">
        <v>7</v>
      </c>
      <c r="KQ664" s="27" t="s">
        <v>8</v>
      </c>
      <c r="KR664" s="27" t="s">
        <v>7</v>
      </c>
      <c r="KS664" s="27" t="s">
        <v>8</v>
      </c>
      <c r="KT664" s="27" t="s">
        <v>7</v>
      </c>
      <c r="KU664" s="27" t="s">
        <v>8</v>
      </c>
      <c r="KX664" s="27" t="s">
        <v>7</v>
      </c>
      <c r="KY664" s="27" t="s">
        <v>8</v>
      </c>
      <c r="KZ664" s="27" t="s">
        <v>7</v>
      </c>
      <c r="LA664" s="27" t="s">
        <v>8</v>
      </c>
      <c r="LB664" s="27" t="s">
        <v>7</v>
      </c>
      <c r="LG664" s="27" t="s">
        <v>8</v>
      </c>
      <c r="LH664" s="27" t="s">
        <v>7</v>
      </c>
      <c r="LI664" s="27" t="s">
        <v>8</v>
      </c>
      <c r="LK664" s="27" t="s">
        <v>8</v>
      </c>
      <c r="LL664" s="27" t="s">
        <v>7</v>
      </c>
      <c r="LM664" s="27" t="s">
        <v>8</v>
      </c>
      <c r="LN664" s="27" t="s">
        <v>7</v>
      </c>
      <c r="LO664" s="27" t="s">
        <v>8</v>
      </c>
      <c r="LP664" s="27" t="s">
        <v>7</v>
      </c>
      <c r="LQ664" s="27" t="s">
        <v>8</v>
      </c>
      <c r="LR664" s="27" t="s">
        <v>7</v>
      </c>
      <c r="LT664" s="27" t="s">
        <v>7</v>
      </c>
      <c r="LU664" s="27" t="s">
        <v>8</v>
      </c>
      <c r="LV664" s="27" t="s">
        <v>7</v>
      </c>
      <c r="LW664" s="27" t="s">
        <v>8</v>
      </c>
      <c r="LX664" s="27" t="s">
        <v>7</v>
      </c>
      <c r="LY664" s="27" t="s">
        <v>8</v>
      </c>
      <c r="LZ664" s="27" t="s">
        <v>7</v>
      </c>
      <c r="MC664" s="27" t="s">
        <v>8</v>
      </c>
      <c r="MD664" s="27" t="s">
        <v>7</v>
      </c>
      <c r="ME664" s="27" t="s">
        <v>8</v>
      </c>
      <c r="MF664" s="27" t="s">
        <v>7</v>
      </c>
      <c r="MG664" s="27" t="s">
        <v>8</v>
      </c>
      <c r="MH664" s="27" t="s">
        <v>7</v>
      </c>
      <c r="MI664" s="27" t="s">
        <v>8</v>
      </c>
      <c r="MK664" s="27" t="s">
        <v>8</v>
      </c>
    </row>
    <row r="665" spans="1:377" x14ac:dyDescent="0.25">
      <c r="A665" s="7">
        <v>0.21339616118458882</v>
      </c>
      <c r="B665"/>
      <c r="C665"/>
      <c r="D665"/>
      <c r="E665"/>
      <c r="F665" s="27" t="s">
        <v>7</v>
      </c>
      <c r="CA665" s="27" t="s">
        <v>8</v>
      </c>
      <c r="CB665" s="27" t="s">
        <v>7</v>
      </c>
      <c r="FQ665" s="27" t="s">
        <v>8</v>
      </c>
      <c r="FR665" s="27" t="s">
        <v>7</v>
      </c>
      <c r="GI665" s="27" t="s">
        <v>8</v>
      </c>
      <c r="GJ665" s="27" t="s">
        <v>7</v>
      </c>
      <c r="GK665" s="27" t="s">
        <v>8</v>
      </c>
      <c r="GL665" s="27" t="s">
        <v>7</v>
      </c>
      <c r="GN665" s="27" t="s">
        <v>7</v>
      </c>
      <c r="GO665" s="27" t="s">
        <v>8</v>
      </c>
      <c r="GP665" s="27" t="s">
        <v>7</v>
      </c>
      <c r="GS665" s="27" t="s">
        <v>8</v>
      </c>
      <c r="GT665" s="27" t="s">
        <v>7</v>
      </c>
      <c r="GW665" s="27" t="s">
        <v>8</v>
      </c>
      <c r="GX665" s="27" t="s">
        <v>7</v>
      </c>
      <c r="GY665" s="27" t="s">
        <v>8</v>
      </c>
      <c r="IJ665" s="27" t="s">
        <v>7</v>
      </c>
      <c r="IK665" s="27" t="s">
        <v>8</v>
      </c>
      <c r="IL665" s="27" t="s">
        <v>7</v>
      </c>
      <c r="IO665" s="27" t="s">
        <v>8</v>
      </c>
      <c r="IP665" s="27" t="s">
        <v>7</v>
      </c>
      <c r="IQ665" s="27" t="s">
        <v>8</v>
      </c>
      <c r="IR665" s="27" t="s">
        <v>7</v>
      </c>
      <c r="IS665" s="27" t="s">
        <v>8</v>
      </c>
      <c r="IT665" s="27" t="s">
        <v>7</v>
      </c>
      <c r="IU665" s="27" t="s">
        <v>8</v>
      </c>
      <c r="IV665" s="27" t="s">
        <v>7</v>
      </c>
      <c r="IW665" s="27" t="s">
        <v>8</v>
      </c>
      <c r="IX665" s="27" t="s">
        <v>7</v>
      </c>
      <c r="IY665" s="27" t="s">
        <v>8</v>
      </c>
      <c r="KE665" s="27" t="s">
        <v>8</v>
      </c>
      <c r="KF665" s="27" t="s">
        <v>7</v>
      </c>
      <c r="KG665" s="27" t="s">
        <v>8</v>
      </c>
      <c r="KH665" s="27" t="s">
        <v>7</v>
      </c>
      <c r="KK665" s="27" t="s">
        <v>8</v>
      </c>
      <c r="KL665" s="27" t="s">
        <v>7</v>
      </c>
      <c r="KM665" s="27" t="s">
        <v>8</v>
      </c>
      <c r="KN665" s="27" t="s">
        <v>7</v>
      </c>
      <c r="KO665" s="27" t="s">
        <v>8</v>
      </c>
      <c r="KP665" s="27" t="s">
        <v>7</v>
      </c>
      <c r="KQ665" s="27" t="s">
        <v>8</v>
      </c>
      <c r="KR665" s="27" t="s">
        <v>7</v>
      </c>
      <c r="KS665" s="27" t="s">
        <v>8</v>
      </c>
      <c r="KT665" s="27" t="s">
        <v>7</v>
      </c>
      <c r="KU665" s="27" t="s">
        <v>8</v>
      </c>
      <c r="KX665" s="27" t="s">
        <v>7</v>
      </c>
      <c r="KY665" s="27" t="s">
        <v>8</v>
      </c>
      <c r="KZ665" s="27" t="s">
        <v>7</v>
      </c>
      <c r="LA665" s="27" t="s">
        <v>8</v>
      </c>
      <c r="LB665" s="27" t="s">
        <v>7</v>
      </c>
      <c r="LG665" s="27" t="s">
        <v>8</v>
      </c>
      <c r="LH665" s="27" t="s">
        <v>7</v>
      </c>
      <c r="LI665" s="27" t="s">
        <v>8</v>
      </c>
      <c r="LJ665" s="27" t="s">
        <v>7</v>
      </c>
      <c r="LK665" s="27" t="s">
        <v>8</v>
      </c>
      <c r="LL665" s="27" t="s">
        <v>7</v>
      </c>
      <c r="LM665" s="27" t="s">
        <v>8</v>
      </c>
      <c r="LN665" s="27" t="s">
        <v>7</v>
      </c>
      <c r="LO665" s="27" t="s">
        <v>8</v>
      </c>
      <c r="LP665" s="27" t="s">
        <v>7</v>
      </c>
      <c r="LT665" s="27" t="s">
        <v>7</v>
      </c>
      <c r="LU665" s="27" t="s">
        <v>8</v>
      </c>
      <c r="LV665" s="27" t="s">
        <v>7</v>
      </c>
      <c r="LW665" s="27" t="s">
        <v>8</v>
      </c>
      <c r="LX665" s="27" t="s">
        <v>7</v>
      </c>
      <c r="LY665" s="27" t="s">
        <v>8</v>
      </c>
      <c r="LZ665" s="27" t="s">
        <v>7</v>
      </c>
      <c r="MC665" s="27" t="s">
        <v>8</v>
      </c>
      <c r="MD665" s="27" t="s">
        <v>7</v>
      </c>
      <c r="ME665" s="27" t="s">
        <v>8</v>
      </c>
      <c r="MF665" s="27" t="s">
        <v>7</v>
      </c>
      <c r="MG665" s="27" t="s">
        <v>8</v>
      </c>
      <c r="MH665" s="27" t="s">
        <v>7</v>
      </c>
      <c r="MI665" s="27" t="s">
        <v>8</v>
      </c>
      <c r="MJ665" s="27" t="s">
        <v>7</v>
      </c>
      <c r="MK665" s="27" t="s">
        <v>8</v>
      </c>
    </row>
    <row r="666" spans="1:377" x14ac:dyDescent="0.25">
      <c r="A666" s="7">
        <v>0.20921192272998904</v>
      </c>
      <c r="B666"/>
      <c r="C666"/>
      <c r="D666"/>
      <c r="E666"/>
      <c r="F666" s="27" t="s">
        <v>7</v>
      </c>
      <c r="CA666" s="27" t="s">
        <v>8</v>
      </c>
      <c r="CB666" s="27" t="s">
        <v>7</v>
      </c>
      <c r="FQ666" s="27" t="s">
        <v>8</v>
      </c>
      <c r="FR666" s="27" t="s">
        <v>7</v>
      </c>
      <c r="GI666" s="27" t="s">
        <v>8</v>
      </c>
      <c r="GJ666" s="27" t="s">
        <v>7</v>
      </c>
      <c r="GK666" s="27" t="s">
        <v>8</v>
      </c>
      <c r="GN666" s="27" t="s">
        <v>7</v>
      </c>
      <c r="GO666" s="27" t="s">
        <v>8</v>
      </c>
      <c r="GP666" s="27" t="s">
        <v>7</v>
      </c>
      <c r="GS666" s="27" t="s">
        <v>8</v>
      </c>
      <c r="GT666" s="27" t="s">
        <v>7</v>
      </c>
      <c r="GW666" s="27" t="s">
        <v>8</v>
      </c>
      <c r="GX666" s="27" t="s">
        <v>7</v>
      </c>
      <c r="GY666" s="27" t="s">
        <v>8</v>
      </c>
      <c r="IJ666" s="27" t="s">
        <v>7</v>
      </c>
      <c r="IK666" s="27" t="s">
        <v>8</v>
      </c>
      <c r="IL666" s="27" t="s">
        <v>7</v>
      </c>
      <c r="IO666" s="27" t="s">
        <v>8</v>
      </c>
      <c r="IP666" s="27" t="s">
        <v>7</v>
      </c>
      <c r="IQ666" s="27" t="s">
        <v>8</v>
      </c>
      <c r="IR666" s="27" t="s">
        <v>7</v>
      </c>
      <c r="IS666" s="27" t="s">
        <v>8</v>
      </c>
      <c r="IT666" s="27" t="s">
        <v>7</v>
      </c>
      <c r="IU666" s="27" t="s">
        <v>8</v>
      </c>
      <c r="IV666" s="27" t="s">
        <v>7</v>
      </c>
      <c r="IW666" s="27" t="s">
        <v>8</v>
      </c>
      <c r="IX666" s="27" t="s">
        <v>7</v>
      </c>
      <c r="IY666" s="27" t="s">
        <v>8</v>
      </c>
      <c r="IZ666" s="27" t="s">
        <v>7</v>
      </c>
      <c r="JA666" s="27" t="s">
        <v>8</v>
      </c>
      <c r="KE666" s="27" t="s">
        <v>8</v>
      </c>
      <c r="KF666" s="27" t="s">
        <v>7</v>
      </c>
      <c r="KG666" s="27" t="s">
        <v>8</v>
      </c>
      <c r="KH666" s="27" t="s">
        <v>7</v>
      </c>
      <c r="KI666" s="27" t="s">
        <v>8</v>
      </c>
      <c r="KK666" s="27" t="s">
        <v>8</v>
      </c>
      <c r="KL666" s="27" t="s">
        <v>7</v>
      </c>
      <c r="KM666" s="27" t="s">
        <v>8</v>
      </c>
      <c r="KN666" s="27" t="s">
        <v>7</v>
      </c>
      <c r="KO666" s="27" t="s">
        <v>8</v>
      </c>
      <c r="KP666" s="27" t="s">
        <v>7</v>
      </c>
      <c r="KQ666" s="27" t="s">
        <v>8</v>
      </c>
      <c r="KR666" s="27" t="s">
        <v>7</v>
      </c>
      <c r="KS666" s="27" t="s">
        <v>8</v>
      </c>
      <c r="KT666" s="27" t="s">
        <v>7</v>
      </c>
      <c r="KU666" s="27" t="s">
        <v>8</v>
      </c>
      <c r="KX666" s="27" t="s">
        <v>7</v>
      </c>
      <c r="KZ666" s="27" t="s">
        <v>7</v>
      </c>
      <c r="LA666" s="27" t="s">
        <v>8</v>
      </c>
      <c r="LB666" s="27" t="s">
        <v>7</v>
      </c>
      <c r="LC666" s="27" t="s">
        <v>8</v>
      </c>
      <c r="LG666" s="27" t="s">
        <v>8</v>
      </c>
      <c r="LH666" s="27" t="s">
        <v>7</v>
      </c>
      <c r="LI666" s="27" t="s">
        <v>8</v>
      </c>
      <c r="LJ666" s="27" t="s">
        <v>7</v>
      </c>
      <c r="LK666" s="27" t="s">
        <v>8</v>
      </c>
      <c r="LL666" s="27" t="s">
        <v>7</v>
      </c>
      <c r="LN666" s="27" t="s">
        <v>7</v>
      </c>
      <c r="LO666" s="27" t="s">
        <v>8</v>
      </c>
      <c r="LT666" s="27" t="s">
        <v>7</v>
      </c>
      <c r="LU666" s="27" t="s">
        <v>8</v>
      </c>
      <c r="LV666" s="27" t="s">
        <v>7</v>
      </c>
      <c r="LW666" s="27" t="s">
        <v>8</v>
      </c>
      <c r="LX666" s="27" t="s">
        <v>7</v>
      </c>
      <c r="LZ666" s="27" t="s">
        <v>7</v>
      </c>
      <c r="MC666" s="27" t="s">
        <v>8</v>
      </c>
      <c r="MD666" s="27" t="s">
        <v>7</v>
      </c>
      <c r="MF666" s="27" t="s">
        <v>7</v>
      </c>
      <c r="MG666" s="27" t="s">
        <v>8</v>
      </c>
      <c r="MH666" s="27" t="s">
        <v>7</v>
      </c>
      <c r="MI666" s="27" t="s">
        <v>8</v>
      </c>
      <c r="MJ666" s="27" t="s">
        <v>7</v>
      </c>
      <c r="MK666" s="27" t="s">
        <v>8</v>
      </c>
    </row>
    <row r="667" spans="1:377" x14ac:dyDescent="0.25">
      <c r="A667" s="7">
        <v>0.20510972816665593</v>
      </c>
      <c r="B667"/>
      <c r="C667"/>
      <c r="D667"/>
      <c r="E667"/>
      <c r="F667" s="27" t="s">
        <v>7</v>
      </c>
      <c r="CA667" s="27" t="s">
        <v>8</v>
      </c>
      <c r="CB667" s="27" t="s">
        <v>7</v>
      </c>
      <c r="FQ667" s="27" t="s">
        <v>8</v>
      </c>
      <c r="FR667" s="27" t="s">
        <v>7</v>
      </c>
      <c r="GI667" s="27" t="s">
        <v>8</v>
      </c>
      <c r="GJ667" s="27" t="s">
        <v>7</v>
      </c>
      <c r="GK667" s="27" t="s">
        <v>8</v>
      </c>
      <c r="GN667" s="27" t="s">
        <v>7</v>
      </c>
      <c r="GP667" s="27" t="s">
        <v>7</v>
      </c>
      <c r="GS667" s="27" t="s">
        <v>8</v>
      </c>
      <c r="GT667" s="27" t="s">
        <v>7</v>
      </c>
      <c r="GW667" s="27" t="s">
        <v>8</v>
      </c>
      <c r="GX667" s="27" t="s">
        <v>7</v>
      </c>
      <c r="GY667" s="27" t="s">
        <v>8</v>
      </c>
      <c r="IJ667" s="27" t="s">
        <v>7</v>
      </c>
      <c r="IK667" s="27" t="s">
        <v>8</v>
      </c>
      <c r="IL667" s="27" t="s">
        <v>7</v>
      </c>
      <c r="IO667" s="27" t="s">
        <v>8</v>
      </c>
      <c r="IP667" s="27" t="s">
        <v>7</v>
      </c>
      <c r="IQ667" s="27" t="s">
        <v>8</v>
      </c>
      <c r="IR667" s="27" t="s">
        <v>7</v>
      </c>
      <c r="IS667" s="27" t="s">
        <v>8</v>
      </c>
      <c r="IT667" s="27" t="s">
        <v>7</v>
      </c>
      <c r="IU667" s="27" t="s">
        <v>8</v>
      </c>
      <c r="IV667" s="27" t="s">
        <v>7</v>
      </c>
      <c r="IW667" s="27" t="s">
        <v>8</v>
      </c>
      <c r="IX667" s="27" t="s">
        <v>7</v>
      </c>
      <c r="IY667" s="27" t="s">
        <v>8</v>
      </c>
      <c r="IZ667" s="27" t="s">
        <v>7</v>
      </c>
      <c r="JA667" s="27" t="s">
        <v>8</v>
      </c>
      <c r="JB667" s="27" t="s">
        <v>7</v>
      </c>
      <c r="KE667" s="27" t="s">
        <v>8</v>
      </c>
      <c r="KF667" s="27" t="s">
        <v>7</v>
      </c>
      <c r="KG667" s="27" t="s">
        <v>8</v>
      </c>
      <c r="KH667" s="27" t="s">
        <v>7</v>
      </c>
      <c r="KI667" s="27" t="s">
        <v>8</v>
      </c>
      <c r="KJ667" s="27" t="s">
        <v>7</v>
      </c>
      <c r="KK667" s="27" t="s">
        <v>8</v>
      </c>
      <c r="KL667" s="27" t="s">
        <v>7</v>
      </c>
      <c r="KM667" s="27" t="s">
        <v>8</v>
      </c>
      <c r="KN667" s="27" t="s">
        <v>7</v>
      </c>
      <c r="KO667" s="27" t="s">
        <v>8</v>
      </c>
      <c r="KP667" s="27" t="s">
        <v>7</v>
      </c>
      <c r="KQ667" s="27" t="s">
        <v>8</v>
      </c>
      <c r="KR667" s="27" t="s">
        <v>7</v>
      </c>
      <c r="KS667" s="27" t="s">
        <v>8</v>
      </c>
      <c r="KT667" s="27" t="s">
        <v>7</v>
      </c>
      <c r="KU667" s="27" t="s">
        <v>8</v>
      </c>
      <c r="KZ667" s="27" t="s">
        <v>7</v>
      </c>
      <c r="LB667" s="27" t="s">
        <v>7</v>
      </c>
      <c r="LC667" s="27" t="s">
        <v>8</v>
      </c>
      <c r="LD667" s="27" t="s">
        <v>7</v>
      </c>
      <c r="LG667" s="27" t="s">
        <v>8</v>
      </c>
      <c r="LH667" s="27" t="s">
        <v>7</v>
      </c>
      <c r="LI667" s="27" t="s">
        <v>8</v>
      </c>
      <c r="LJ667" s="27" t="s">
        <v>7</v>
      </c>
      <c r="LK667" s="27" t="s">
        <v>8</v>
      </c>
      <c r="LN667" s="27" t="s">
        <v>7</v>
      </c>
      <c r="LO667" s="27" t="s">
        <v>8</v>
      </c>
      <c r="LT667" s="27" t="s">
        <v>7</v>
      </c>
      <c r="LU667" s="27" t="s">
        <v>8</v>
      </c>
      <c r="LV667" s="27" t="s">
        <v>7</v>
      </c>
      <c r="LZ667" s="27" t="s">
        <v>7</v>
      </c>
      <c r="MC667" s="27" t="s">
        <v>8</v>
      </c>
      <c r="MF667" s="27" t="s">
        <v>7</v>
      </c>
      <c r="MG667" s="27" t="s">
        <v>8</v>
      </c>
      <c r="MH667" s="27" t="s">
        <v>7</v>
      </c>
      <c r="MJ667" s="27" t="s">
        <v>7</v>
      </c>
    </row>
    <row r="668" spans="1:377" x14ac:dyDescent="0.25">
      <c r="A668" s="7">
        <v>0.20108796879083912</v>
      </c>
      <c r="B668"/>
      <c r="C668"/>
      <c r="D668"/>
      <c r="E668"/>
      <c r="F668" s="27" t="s">
        <v>7</v>
      </c>
      <c r="CA668" s="27" t="s">
        <v>8</v>
      </c>
      <c r="CB668" s="27" t="s">
        <v>7</v>
      </c>
      <c r="FQ668" s="27" t="s">
        <v>8</v>
      </c>
      <c r="FR668" s="27" t="s">
        <v>7</v>
      </c>
      <c r="GI668" s="27" t="s">
        <v>8</v>
      </c>
      <c r="GJ668" s="27" t="s">
        <v>7</v>
      </c>
      <c r="GP668" s="27" t="s">
        <v>7</v>
      </c>
      <c r="GS668" s="27" t="s">
        <v>8</v>
      </c>
      <c r="GT668" s="27" t="s">
        <v>7</v>
      </c>
      <c r="GW668" s="27" t="s">
        <v>8</v>
      </c>
      <c r="GX668" s="27" t="s">
        <v>7</v>
      </c>
      <c r="GY668" s="27" t="s">
        <v>8</v>
      </c>
      <c r="IJ668" s="27" t="s">
        <v>7</v>
      </c>
      <c r="IK668" s="27" t="s">
        <v>8</v>
      </c>
      <c r="IL668" s="27" t="s">
        <v>7</v>
      </c>
      <c r="IM668" s="27" t="s">
        <v>8</v>
      </c>
      <c r="IO668" s="27" t="s">
        <v>8</v>
      </c>
      <c r="IP668" s="27" t="s">
        <v>7</v>
      </c>
      <c r="IQ668" s="27" t="s">
        <v>8</v>
      </c>
      <c r="IR668" s="27" t="s">
        <v>7</v>
      </c>
      <c r="IS668" s="27" t="s">
        <v>8</v>
      </c>
      <c r="IT668" s="27" t="s">
        <v>7</v>
      </c>
      <c r="IU668" s="27" t="s">
        <v>8</v>
      </c>
      <c r="IV668" s="27" t="s">
        <v>7</v>
      </c>
      <c r="IX668" s="27" t="s">
        <v>7</v>
      </c>
      <c r="IY668" s="27" t="s">
        <v>8</v>
      </c>
      <c r="IZ668" s="27" t="s">
        <v>7</v>
      </c>
      <c r="JA668" s="27" t="s">
        <v>8</v>
      </c>
      <c r="JB668" s="27" t="s">
        <v>7</v>
      </c>
      <c r="KE668" s="27" t="s">
        <v>8</v>
      </c>
      <c r="KF668" s="27" t="s">
        <v>7</v>
      </c>
      <c r="KG668" s="27" t="s">
        <v>8</v>
      </c>
      <c r="KH668" s="27" t="s">
        <v>7</v>
      </c>
      <c r="KI668" s="27" t="s">
        <v>8</v>
      </c>
      <c r="KJ668" s="27" t="s">
        <v>7</v>
      </c>
      <c r="KK668" s="27" t="s">
        <v>8</v>
      </c>
      <c r="KL668" s="27" t="s">
        <v>7</v>
      </c>
      <c r="KM668" s="27" t="s">
        <v>8</v>
      </c>
      <c r="KN668" s="27" t="s">
        <v>7</v>
      </c>
      <c r="KO668" s="27" t="s">
        <v>8</v>
      </c>
      <c r="KP668" s="27" t="s">
        <v>7</v>
      </c>
      <c r="KQ668" s="27" t="s">
        <v>8</v>
      </c>
      <c r="KR668" s="27" t="s">
        <v>7</v>
      </c>
      <c r="KS668" s="27" t="s">
        <v>8</v>
      </c>
      <c r="KT668" s="27" t="s">
        <v>7</v>
      </c>
      <c r="KU668" s="27" t="s">
        <v>8</v>
      </c>
      <c r="LB668" s="27" t="s">
        <v>7</v>
      </c>
      <c r="LC668" s="27" t="s">
        <v>8</v>
      </c>
      <c r="LD668" s="27" t="s">
        <v>7</v>
      </c>
      <c r="LE668" s="27" t="s">
        <v>8</v>
      </c>
      <c r="LG668" s="27" t="s">
        <v>8</v>
      </c>
      <c r="LH668" s="27" t="s">
        <v>7</v>
      </c>
      <c r="LJ668" s="27" t="s">
        <v>7</v>
      </c>
      <c r="LN668" s="27" t="s">
        <v>7</v>
      </c>
      <c r="LT668" s="27" t="s">
        <v>7</v>
      </c>
      <c r="LU668" s="27" t="s">
        <v>8</v>
      </c>
      <c r="LZ668" s="27" t="s">
        <v>7</v>
      </c>
      <c r="MC668" s="27" t="s">
        <v>8</v>
      </c>
      <c r="MF668" s="27" t="s">
        <v>7</v>
      </c>
    </row>
    <row r="669" spans="1:377" x14ac:dyDescent="0.25">
      <c r="A669" s="7">
        <v>0.19714506744199917</v>
      </c>
      <c r="B669"/>
      <c r="C669"/>
      <c r="D669"/>
      <c r="E669"/>
      <c r="F669" s="27" t="s">
        <v>7</v>
      </c>
      <c r="CA669" s="27" t="s">
        <v>8</v>
      </c>
      <c r="CB669" s="27" t="s">
        <v>7</v>
      </c>
      <c r="FQ669" s="27" t="s">
        <v>8</v>
      </c>
      <c r="FR669" s="27" t="s">
        <v>7</v>
      </c>
      <c r="GI669" s="27" t="s">
        <v>8</v>
      </c>
      <c r="GP669" s="27" t="s">
        <v>7</v>
      </c>
      <c r="GS669" s="27" t="s">
        <v>8</v>
      </c>
      <c r="GT669" s="27" t="s">
        <v>7</v>
      </c>
      <c r="GU669" s="27" t="s">
        <v>8</v>
      </c>
      <c r="GW669" s="27" t="s">
        <v>8</v>
      </c>
      <c r="GX669" s="27" t="s">
        <v>7</v>
      </c>
      <c r="IJ669" s="27" t="s">
        <v>7</v>
      </c>
      <c r="IK669" s="27" t="s">
        <v>8</v>
      </c>
      <c r="IL669" s="27" t="s">
        <v>7</v>
      </c>
      <c r="IM669" s="27" t="s">
        <v>8</v>
      </c>
      <c r="IN669" s="27" t="s">
        <v>7</v>
      </c>
      <c r="IO669" s="27" t="s">
        <v>8</v>
      </c>
      <c r="IP669" s="27" t="s">
        <v>7</v>
      </c>
      <c r="IQ669" s="27" t="s">
        <v>8</v>
      </c>
      <c r="IR669" s="27" t="s">
        <v>7</v>
      </c>
      <c r="IS669" s="27" t="s">
        <v>8</v>
      </c>
      <c r="IT669" s="27" t="s">
        <v>7</v>
      </c>
      <c r="IU669" s="27" t="s">
        <v>8</v>
      </c>
      <c r="IX669" s="27" t="s">
        <v>7</v>
      </c>
      <c r="IZ669" s="27" t="s">
        <v>7</v>
      </c>
      <c r="JA669" s="27" t="s">
        <v>8</v>
      </c>
      <c r="JB669" s="27" t="s">
        <v>7</v>
      </c>
      <c r="KE669" s="27" t="s">
        <v>8</v>
      </c>
      <c r="KF669" s="27" t="s">
        <v>7</v>
      </c>
      <c r="KG669" s="27" t="s">
        <v>8</v>
      </c>
      <c r="KH669" s="27" t="s">
        <v>7</v>
      </c>
      <c r="KJ669" s="27" t="s">
        <v>7</v>
      </c>
      <c r="KK669" s="27" t="s">
        <v>8</v>
      </c>
      <c r="KL669" s="27" t="s">
        <v>7</v>
      </c>
      <c r="KM669" s="27" t="s">
        <v>8</v>
      </c>
      <c r="KN669" s="27" t="s">
        <v>7</v>
      </c>
      <c r="KO669" s="27" t="s">
        <v>8</v>
      </c>
      <c r="KP669" s="27" t="s">
        <v>7</v>
      </c>
      <c r="KR669" s="27" t="s">
        <v>7</v>
      </c>
      <c r="KS669" s="27" t="s">
        <v>8</v>
      </c>
      <c r="KT669" s="27" t="s">
        <v>7</v>
      </c>
      <c r="LB669" s="27" t="s">
        <v>7</v>
      </c>
      <c r="LC669" s="27" t="s">
        <v>8</v>
      </c>
      <c r="LD669" s="27" t="s">
        <v>7</v>
      </c>
      <c r="LE669" s="27" t="s">
        <v>8</v>
      </c>
      <c r="LF669" s="27" t="s">
        <v>7</v>
      </c>
      <c r="LG669" s="27" t="s">
        <v>8</v>
      </c>
      <c r="LT669" s="27" t="s">
        <v>7</v>
      </c>
      <c r="LU669" s="27" t="s">
        <v>8</v>
      </c>
      <c r="LZ669" s="27" t="s">
        <v>7</v>
      </c>
      <c r="MC669" s="27" t="s">
        <v>8</v>
      </c>
    </row>
    <row r="670" spans="1:377" x14ac:dyDescent="0.25">
      <c r="A670" s="7">
        <v>0.19327947788431293</v>
      </c>
      <c r="B670"/>
      <c r="C670"/>
      <c r="D670"/>
      <c r="E670"/>
      <c r="F670" s="27" t="s">
        <v>7</v>
      </c>
      <c r="CA670" s="27" t="s">
        <v>8</v>
      </c>
      <c r="CB670" s="27" t="s">
        <v>7</v>
      </c>
      <c r="FQ670" s="27" t="s">
        <v>8</v>
      </c>
      <c r="FR670" s="27" t="s">
        <v>7</v>
      </c>
      <c r="GI670" s="27" t="s">
        <v>8</v>
      </c>
      <c r="GP670" s="27" t="s">
        <v>7</v>
      </c>
      <c r="GS670" s="27" t="s">
        <v>8</v>
      </c>
      <c r="GT670" s="27" t="s">
        <v>7</v>
      </c>
      <c r="GU670" s="27" t="s">
        <v>8</v>
      </c>
      <c r="GV670" s="27" t="s">
        <v>7</v>
      </c>
      <c r="GW670" s="27" t="s">
        <v>8</v>
      </c>
      <c r="IJ670" s="27" t="s">
        <v>7</v>
      </c>
      <c r="IK670" s="27" t="s">
        <v>8</v>
      </c>
      <c r="IL670" s="27" t="s">
        <v>7</v>
      </c>
      <c r="IM670" s="27" t="s">
        <v>8</v>
      </c>
      <c r="IN670" s="27" t="s">
        <v>7</v>
      </c>
      <c r="IO670" s="27" t="s">
        <v>8</v>
      </c>
      <c r="IP670" s="27" t="s">
        <v>7</v>
      </c>
      <c r="IQ670" s="27" t="s">
        <v>8</v>
      </c>
      <c r="IR670" s="27" t="s">
        <v>7</v>
      </c>
      <c r="IS670" s="27" t="s">
        <v>8</v>
      </c>
      <c r="IT670" s="27" t="s">
        <v>7</v>
      </c>
      <c r="IU670" s="27" t="s">
        <v>8</v>
      </c>
      <c r="IZ670" s="27" t="s">
        <v>7</v>
      </c>
      <c r="JA670" s="27" t="s">
        <v>8</v>
      </c>
      <c r="JB670" s="27" t="s">
        <v>7</v>
      </c>
      <c r="KE670" s="27" t="s">
        <v>8</v>
      </c>
      <c r="KF670" s="27" t="s">
        <v>7</v>
      </c>
      <c r="KG670" s="27" t="s">
        <v>8</v>
      </c>
      <c r="KJ670" s="27" t="s">
        <v>7</v>
      </c>
      <c r="KK670" s="27" t="s">
        <v>8</v>
      </c>
      <c r="KL670" s="27" t="s">
        <v>7</v>
      </c>
      <c r="KN670" s="27" t="s">
        <v>7</v>
      </c>
      <c r="KO670" s="27" t="s">
        <v>8</v>
      </c>
      <c r="KR670" s="27" t="s">
        <v>7</v>
      </c>
      <c r="KS670" s="27" t="s">
        <v>8</v>
      </c>
      <c r="LB670" s="27" t="s">
        <v>7</v>
      </c>
      <c r="LC670" s="27" t="s">
        <v>8</v>
      </c>
      <c r="LD670" s="27" t="s">
        <v>7</v>
      </c>
      <c r="LE670" s="27" t="s">
        <v>8</v>
      </c>
      <c r="LF670" s="27" t="s">
        <v>7</v>
      </c>
      <c r="LG670" s="27" t="s">
        <v>8</v>
      </c>
      <c r="LT670" s="27" t="s">
        <v>7</v>
      </c>
      <c r="LU670" s="27" t="s">
        <v>8</v>
      </c>
      <c r="LZ670" s="27" t="s">
        <v>7</v>
      </c>
      <c r="MA670" s="27" t="s">
        <v>8</v>
      </c>
      <c r="MC670" s="27" t="s">
        <v>8</v>
      </c>
    </row>
    <row r="671" spans="1:377" x14ac:dyDescent="0.25">
      <c r="A671" s="7">
        <v>0.18948968420030682</v>
      </c>
      <c r="B671"/>
      <c r="C671"/>
      <c r="D671"/>
      <c r="E671"/>
      <c r="F671" s="27" t="s">
        <v>7</v>
      </c>
      <c r="CA671" s="27" t="s">
        <v>8</v>
      </c>
      <c r="CB671" s="27" t="s">
        <v>7</v>
      </c>
      <c r="FQ671" s="27" t="s">
        <v>8</v>
      </c>
      <c r="FR671" s="27" t="s">
        <v>7</v>
      </c>
      <c r="GI671" s="27" t="s">
        <v>8</v>
      </c>
      <c r="GP671" s="27" t="s">
        <v>7</v>
      </c>
      <c r="GS671" s="27" t="s">
        <v>8</v>
      </c>
      <c r="GT671" s="27" t="s">
        <v>7</v>
      </c>
      <c r="GU671" s="27" t="s">
        <v>8</v>
      </c>
      <c r="GV671" s="27" t="s">
        <v>7</v>
      </c>
      <c r="GW671" s="27" t="s">
        <v>8</v>
      </c>
      <c r="IJ671" s="27" t="s">
        <v>7</v>
      </c>
      <c r="IK671" s="27" t="s">
        <v>8</v>
      </c>
      <c r="IL671" s="27" t="s">
        <v>7</v>
      </c>
      <c r="IM671" s="27" t="s">
        <v>8</v>
      </c>
      <c r="IN671" s="27" t="s">
        <v>7</v>
      </c>
      <c r="IO671" s="27" t="s">
        <v>8</v>
      </c>
      <c r="IP671" s="27" t="s">
        <v>7</v>
      </c>
      <c r="IQ671" s="27" t="s">
        <v>8</v>
      </c>
      <c r="IR671" s="27" t="s">
        <v>7</v>
      </c>
      <c r="IS671" s="27" t="s">
        <v>8</v>
      </c>
      <c r="IT671" s="27" t="s">
        <v>7</v>
      </c>
      <c r="IU671" s="27" t="s">
        <v>8</v>
      </c>
      <c r="IZ671" s="27" t="s">
        <v>7</v>
      </c>
      <c r="JA671" s="27" t="s">
        <v>8</v>
      </c>
      <c r="JB671" s="27" t="s">
        <v>7</v>
      </c>
      <c r="KC671" s="27" t="s">
        <v>8</v>
      </c>
      <c r="KE671" s="27" t="s">
        <v>8</v>
      </c>
      <c r="KF671" s="27" t="s">
        <v>7</v>
      </c>
      <c r="KG671" s="27" t="s">
        <v>8</v>
      </c>
      <c r="KJ671" s="27" t="s">
        <v>7</v>
      </c>
      <c r="KK671" s="27" t="s">
        <v>8</v>
      </c>
      <c r="KN671" s="27" t="s">
        <v>7</v>
      </c>
      <c r="KR671" s="27" t="s">
        <v>7</v>
      </c>
      <c r="KS671" s="27" t="s">
        <v>8</v>
      </c>
      <c r="LB671" s="27" t="s">
        <v>7</v>
      </c>
      <c r="LC671" s="27" t="s">
        <v>8</v>
      </c>
      <c r="LD671" s="27" t="s">
        <v>7</v>
      </c>
      <c r="LE671" s="27" t="s">
        <v>8</v>
      </c>
      <c r="LF671" s="27" t="s">
        <v>7</v>
      </c>
      <c r="LG671" s="27" t="s">
        <v>8</v>
      </c>
      <c r="LT671" s="27" t="s">
        <v>7</v>
      </c>
      <c r="LZ671" s="27" t="s">
        <v>7</v>
      </c>
      <c r="MA671" s="27" t="s">
        <v>8</v>
      </c>
      <c r="MB671" s="27" t="s">
        <v>7</v>
      </c>
      <c r="MC671" s="27" t="s">
        <v>8</v>
      </c>
    </row>
    <row r="672" spans="1:377" x14ac:dyDescent="0.25">
      <c r="A672" s="7">
        <v>0.18577420019637925</v>
      </c>
      <c r="B672"/>
      <c r="C672"/>
      <c r="D672"/>
      <c r="E672"/>
      <c r="F672" s="27" t="s">
        <v>7</v>
      </c>
      <c r="CA672" s="27" t="s">
        <v>8</v>
      </c>
      <c r="CB672" s="27" t="s">
        <v>7</v>
      </c>
      <c r="FQ672" s="27" t="s">
        <v>8</v>
      </c>
      <c r="FR672" s="27" t="s">
        <v>7</v>
      </c>
      <c r="GI672" s="27" t="s">
        <v>8</v>
      </c>
      <c r="GP672" s="27" t="s">
        <v>7</v>
      </c>
      <c r="GS672" s="27" t="s">
        <v>8</v>
      </c>
      <c r="GT672" s="27" t="s">
        <v>7</v>
      </c>
      <c r="GU672" s="27" t="s">
        <v>8</v>
      </c>
      <c r="GV672" s="27" t="s">
        <v>7</v>
      </c>
      <c r="GW672" s="27" t="s">
        <v>8</v>
      </c>
      <c r="IJ672" s="27" t="s">
        <v>7</v>
      </c>
      <c r="IK672" s="27" t="s">
        <v>8</v>
      </c>
      <c r="IL672" s="27" t="s">
        <v>7</v>
      </c>
      <c r="IM672" s="27" t="s">
        <v>8</v>
      </c>
      <c r="IN672" s="27" t="s">
        <v>7</v>
      </c>
      <c r="IO672" s="27" t="s">
        <v>8</v>
      </c>
      <c r="IP672" s="27" t="s">
        <v>7</v>
      </c>
      <c r="IQ672" s="27" t="s">
        <v>8</v>
      </c>
      <c r="IR672" s="27" t="s">
        <v>7</v>
      </c>
      <c r="IS672" s="27" t="s">
        <v>8</v>
      </c>
      <c r="IT672" s="27" t="s">
        <v>7</v>
      </c>
      <c r="IU672" s="27" t="s">
        <v>8</v>
      </c>
      <c r="IZ672" s="27" t="s">
        <v>7</v>
      </c>
      <c r="JA672" s="27" t="s">
        <v>8</v>
      </c>
      <c r="JB672" s="27" t="s">
        <v>7</v>
      </c>
      <c r="KC672" s="27" t="s">
        <v>8</v>
      </c>
      <c r="KD672" s="27" t="s">
        <v>7</v>
      </c>
      <c r="KE672" s="27" t="s">
        <v>8</v>
      </c>
      <c r="KF672" s="27" t="s">
        <v>7</v>
      </c>
      <c r="KG672" s="27" t="s">
        <v>8</v>
      </c>
      <c r="KJ672" s="27" t="s">
        <v>7</v>
      </c>
      <c r="KK672" s="27" t="s">
        <v>8</v>
      </c>
      <c r="KR672" s="27" t="s">
        <v>7</v>
      </c>
      <c r="LB672" s="27" t="s">
        <v>7</v>
      </c>
      <c r="LD672" s="27" t="s">
        <v>7</v>
      </c>
      <c r="LE672" s="27" t="s">
        <v>8</v>
      </c>
      <c r="LF672" s="27" t="s">
        <v>7</v>
      </c>
      <c r="LZ672" s="27" t="s">
        <v>7</v>
      </c>
      <c r="MA672" s="27" t="s">
        <v>8</v>
      </c>
      <c r="MB672" s="27" t="s">
        <v>7</v>
      </c>
      <c r="MC672" s="27" t="s">
        <v>8</v>
      </c>
    </row>
    <row r="673" spans="1:341" x14ac:dyDescent="0.25">
      <c r="A673" s="7">
        <v>0.18213156881997963</v>
      </c>
      <c r="B673"/>
      <c r="C673"/>
      <c r="D673"/>
      <c r="E673"/>
      <c r="F673" s="27" t="s">
        <v>7</v>
      </c>
      <c r="CA673" s="27" t="s">
        <v>8</v>
      </c>
      <c r="CB673" s="27" t="s">
        <v>7</v>
      </c>
      <c r="DO673" s="27" t="s">
        <v>8</v>
      </c>
      <c r="FQ673" s="27" t="s">
        <v>8</v>
      </c>
      <c r="FR673" s="27" t="s">
        <v>7</v>
      </c>
      <c r="GI673" s="27" t="s">
        <v>8</v>
      </c>
      <c r="GP673" s="27" t="s">
        <v>7</v>
      </c>
      <c r="GS673" s="27" t="s">
        <v>8</v>
      </c>
      <c r="GT673" s="27" t="s">
        <v>7</v>
      </c>
      <c r="GU673" s="27" t="s">
        <v>8</v>
      </c>
      <c r="GV673" s="27" t="s">
        <v>7</v>
      </c>
      <c r="GW673" s="27" t="s">
        <v>8</v>
      </c>
      <c r="IJ673" s="27" t="s">
        <v>7</v>
      </c>
      <c r="IK673" s="27" t="s">
        <v>8</v>
      </c>
      <c r="IL673" s="27" t="s">
        <v>7</v>
      </c>
      <c r="IM673" s="27" t="s">
        <v>8</v>
      </c>
      <c r="IN673" s="27" t="s">
        <v>7</v>
      </c>
      <c r="IO673" s="27" t="s">
        <v>8</v>
      </c>
      <c r="IP673" s="27" t="s">
        <v>7</v>
      </c>
      <c r="IQ673" s="27" t="s">
        <v>8</v>
      </c>
      <c r="IR673" s="27" t="s">
        <v>7</v>
      </c>
      <c r="IS673" s="27" t="s">
        <v>8</v>
      </c>
      <c r="IT673" s="27" t="s">
        <v>7</v>
      </c>
      <c r="IU673" s="27" t="s">
        <v>8</v>
      </c>
      <c r="IZ673" s="27" t="s">
        <v>7</v>
      </c>
      <c r="JA673" s="27" t="s">
        <v>8</v>
      </c>
      <c r="JB673" s="27" t="s">
        <v>7</v>
      </c>
      <c r="KC673" s="27" t="s">
        <v>8</v>
      </c>
      <c r="KD673" s="27" t="s">
        <v>7</v>
      </c>
      <c r="KE673" s="27" t="s">
        <v>8</v>
      </c>
      <c r="KF673" s="27" t="s">
        <v>7</v>
      </c>
      <c r="KG673" s="27" t="s">
        <v>8</v>
      </c>
      <c r="KJ673" s="27" t="s">
        <v>7</v>
      </c>
      <c r="KK673" s="27" t="s">
        <v>8</v>
      </c>
      <c r="LD673" s="27" t="s">
        <v>7</v>
      </c>
      <c r="LE673" s="27" t="s">
        <v>8</v>
      </c>
      <c r="LZ673" s="27" t="s">
        <v>7</v>
      </c>
      <c r="MA673" s="27" t="s">
        <v>8</v>
      </c>
      <c r="MB673" s="27" t="s">
        <v>7</v>
      </c>
      <c r="MC673" s="27" t="s">
        <v>8</v>
      </c>
    </row>
    <row r="674" spans="1:341" x14ac:dyDescent="0.25">
      <c r="A674" s="7">
        <v>0.17856036158821534</v>
      </c>
      <c r="B674"/>
      <c r="C674"/>
      <c r="D674"/>
      <c r="E674"/>
      <c r="F674" s="27" t="s">
        <v>7</v>
      </c>
      <c r="CA674" s="27" t="s">
        <v>8</v>
      </c>
      <c r="CB674" s="27" t="s">
        <v>7</v>
      </c>
      <c r="DO674" s="27" t="s">
        <v>8</v>
      </c>
      <c r="DP674" s="27" t="s">
        <v>7</v>
      </c>
      <c r="FQ674" s="27" t="s">
        <v>8</v>
      </c>
      <c r="FR674" s="27" t="s">
        <v>7</v>
      </c>
      <c r="GI674" s="27" t="s">
        <v>8</v>
      </c>
      <c r="GP674" s="27" t="s">
        <v>7</v>
      </c>
      <c r="GS674" s="27" t="s">
        <v>8</v>
      </c>
      <c r="GT674" s="27" t="s">
        <v>7</v>
      </c>
      <c r="GV674" s="27" t="s">
        <v>7</v>
      </c>
      <c r="GW674" s="27" t="s">
        <v>8</v>
      </c>
      <c r="IJ674" s="27" t="s">
        <v>7</v>
      </c>
      <c r="IK674" s="27" t="s">
        <v>8</v>
      </c>
      <c r="IL674" s="27" t="s">
        <v>7</v>
      </c>
      <c r="IM674" s="27" t="s">
        <v>8</v>
      </c>
      <c r="IN674" s="27" t="s">
        <v>7</v>
      </c>
      <c r="IO674" s="27" t="s">
        <v>8</v>
      </c>
      <c r="IP674" s="27" t="s">
        <v>7</v>
      </c>
      <c r="IQ674" s="27" t="s">
        <v>8</v>
      </c>
      <c r="IR674" s="27" t="s">
        <v>7</v>
      </c>
      <c r="IS674" s="27" t="s">
        <v>8</v>
      </c>
      <c r="IT674" s="27" t="s">
        <v>7</v>
      </c>
      <c r="IU674" s="27" t="s">
        <v>8</v>
      </c>
      <c r="IZ674" s="27" t="s">
        <v>7</v>
      </c>
      <c r="JB674" s="27" t="s">
        <v>7</v>
      </c>
      <c r="KC674" s="27" t="s">
        <v>8</v>
      </c>
      <c r="KD674" s="27" t="s">
        <v>7</v>
      </c>
      <c r="KE674" s="27" t="s">
        <v>8</v>
      </c>
      <c r="KF674" s="27" t="s">
        <v>7</v>
      </c>
      <c r="KG674" s="27" t="s">
        <v>8</v>
      </c>
      <c r="KJ674" s="27" t="s">
        <v>7</v>
      </c>
      <c r="LD674" s="27" t="s">
        <v>7</v>
      </c>
      <c r="LZ674" s="27" t="s">
        <v>7</v>
      </c>
      <c r="MB674" s="27" t="s">
        <v>7</v>
      </c>
      <c r="MC674" s="27" t="s">
        <v>8</v>
      </c>
    </row>
    <row r="675" spans="1:341" x14ac:dyDescent="0.25">
      <c r="A675" s="7">
        <v>0.17505917802766208</v>
      </c>
      <c r="B675"/>
      <c r="C675"/>
      <c r="D675"/>
      <c r="E675"/>
      <c r="F675" s="27" t="s">
        <v>7</v>
      </c>
      <c r="CA675" s="27" t="s">
        <v>8</v>
      </c>
      <c r="CB675" s="27" t="s">
        <v>7</v>
      </c>
      <c r="DO675" s="27" t="s">
        <v>8</v>
      </c>
      <c r="DP675" s="27" t="s">
        <v>7</v>
      </c>
      <c r="FQ675" s="27" t="s">
        <v>8</v>
      </c>
      <c r="FR675" s="27" t="s">
        <v>7</v>
      </c>
      <c r="GI675" s="27" t="s">
        <v>8</v>
      </c>
      <c r="GP675" s="27" t="s">
        <v>7</v>
      </c>
      <c r="GS675" s="27" t="s">
        <v>8</v>
      </c>
      <c r="GV675" s="27" t="s">
        <v>7</v>
      </c>
      <c r="GW675" s="27" t="s">
        <v>8</v>
      </c>
      <c r="IJ675" s="27" t="s">
        <v>7</v>
      </c>
      <c r="IK675" s="27" t="s">
        <v>8</v>
      </c>
      <c r="IL675" s="27" t="s">
        <v>7</v>
      </c>
      <c r="IM675" s="27" t="s">
        <v>8</v>
      </c>
      <c r="IN675" s="27" t="s">
        <v>7</v>
      </c>
      <c r="IO675" s="27" t="s">
        <v>8</v>
      </c>
      <c r="IP675" s="27" t="s">
        <v>7</v>
      </c>
      <c r="IQ675" s="27" t="s">
        <v>8</v>
      </c>
      <c r="IR675" s="27" t="s">
        <v>7</v>
      </c>
      <c r="IS675" s="27" t="s">
        <v>8</v>
      </c>
      <c r="IT675" s="27" t="s">
        <v>7</v>
      </c>
      <c r="IU675" s="27" t="s">
        <v>8</v>
      </c>
      <c r="JB675" s="27" t="s">
        <v>7</v>
      </c>
      <c r="JE675" s="27" t="s">
        <v>8</v>
      </c>
      <c r="KC675" s="27" t="s">
        <v>8</v>
      </c>
      <c r="KD675" s="27" t="s">
        <v>7</v>
      </c>
      <c r="KE675" s="27" t="s">
        <v>8</v>
      </c>
      <c r="KF675" s="27" t="s">
        <v>7</v>
      </c>
      <c r="MB675" s="27" t="s">
        <v>7</v>
      </c>
      <c r="MC675" s="27" t="s">
        <v>8</v>
      </c>
    </row>
    <row r="676" spans="1:341" x14ac:dyDescent="0.25">
      <c r="A676" s="7">
        <v>0.17162664512515888</v>
      </c>
      <c r="B676"/>
      <c r="C676"/>
      <c r="D676"/>
      <c r="E676"/>
      <c r="F676" s="27" t="s">
        <v>7</v>
      </c>
      <c r="CA676" s="27" t="s">
        <v>8</v>
      </c>
      <c r="CB676" s="27" t="s">
        <v>7</v>
      </c>
      <c r="DO676" s="27" t="s">
        <v>8</v>
      </c>
      <c r="DP676" s="27" t="s">
        <v>7</v>
      </c>
      <c r="FQ676" s="27" t="s">
        <v>8</v>
      </c>
      <c r="FR676" s="27" t="s">
        <v>7</v>
      </c>
      <c r="GI676" s="27" t="s">
        <v>8</v>
      </c>
      <c r="GP676" s="27" t="s">
        <v>7</v>
      </c>
      <c r="GS676" s="27" t="s">
        <v>8</v>
      </c>
      <c r="GV676" s="27" t="s">
        <v>7</v>
      </c>
      <c r="GW676" s="27" t="s">
        <v>8</v>
      </c>
      <c r="IJ676" s="27" t="s">
        <v>7</v>
      </c>
      <c r="IK676" s="27" t="s">
        <v>8</v>
      </c>
      <c r="IL676" s="27" t="s">
        <v>7</v>
      </c>
      <c r="IM676" s="27" t="s">
        <v>8</v>
      </c>
      <c r="IN676" s="27" t="s">
        <v>7</v>
      </c>
      <c r="IO676" s="27" t="s">
        <v>8</v>
      </c>
      <c r="IP676" s="27" t="s">
        <v>7</v>
      </c>
      <c r="IQ676" s="27" t="s">
        <v>8</v>
      </c>
      <c r="IR676" s="27" t="s">
        <v>7</v>
      </c>
      <c r="IS676" s="27" t="s">
        <v>8</v>
      </c>
      <c r="IT676" s="27" t="s">
        <v>7</v>
      </c>
      <c r="JB676" s="27" t="s">
        <v>7</v>
      </c>
      <c r="JE676" s="27" t="s">
        <v>8</v>
      </c>
      <c r="JF676" s="27" t="s">
        <v>7</v>
      </c>
      <c r="KC676" s="27" t="s">
        <v>8</v>
      </c>
      <c r="KD676" s="27" t="s">
        <v>7</v>
      </c>
      <c r="KE676" s="27" t="s">
        <v>8</v>
      </c>
      <c r="MB676" s="27" t="s">
        <v>7</v>
      </c>
    </row>
    <row r="677" spans="1:341" x14ac:dyDescent="0.25">
      <c r="A677" s="7">
        <v>0.16826141678937145</v>
      </c>
      <c r="B677"/>
      <c r="C677"/>
      <c r="D677"/>
      <c r="E677"/>
      <c r="F677" s="27" t="s">
        <v>7</v>
      </c>
      <c r="CA677" s="27" t="s">
        <v>8</v>
      </c>
      <c r="CB677" s="27" t="s">
        <v>7</v>
      </c>
      <c r="DO677" s="27" t="s">
        <v>8</v>
      </c>
      <c r="DP677" s="27" t="s">
        <v>7</v>
      </c>
      <c r="DQ677" s="27" t="s">
        <v>8</v>
      </c>
      <c r="FQ677" s="27" t="s">
        <v>8</v>
      </c>
      <c r="FR677" s="27" t="s">
        <v>7</v>
      </c>
      <c r="GI677" s="27" t="s">
        <v>8</v>
      </c>
      <c r="GP677" s="27" t="s">
        <v>7</v>
      </c>
      <c r="GS677" s="27" t="s">
        <v>8</v>
      </c>
      <c r="GV677" s="27" t="s">
        <v>7</v>
      </c>
      <c r="GW677" s="27" t="s">
        <v>8</v>
      </c>
      <c r="IJ677" s="27" t="s">
        <v>7</v>
      </c>
      <c r="IK677" s="27" t="s">
        <v>8</v>
      </c>
      <c r="IL677" s="27" t="s">
        <v>7</v>
      </c>
      <c r="IM677" s="27" t="s">
        <v>8</v>
      </c>
      <c r="IN677" s="27" t="s">
        <v>7</v>
      </c>
      <c r="IO677" s="27" t="s">
        <v>8</v>
      </c>
      <c r="IP677" s="27" t="s">
        <v>7</v>
      </c>
      <c r="IQ677" s="27" t="s">
        <v>8</v>
      </c>
      <c r="IR677" s="27" t="s">
        <v>7</v>
      </c>
      <c r="JB677" s="27" t="s">
        <v>7</v>
      </c>
      <c r="JE677" s="27" t="s">
        <v>8</v>
      </c>
      <c r="JF677" s="27" t="s">
        <v>7</v>
      </c>
      <c r="KC677" s="27" t="s">
        <v>8</v>
      </c>
      <c r="KD677" s="27" t="s">
        <v>7</v>
      </c>
      <c r="KE677" s="27" t="s">
        <v>8</v>
      </c>
    </row>
    <row r="678" spans="1:341" x14ac:dyDescent="0.25">
      <c r="A678" s="7">
        <v>0.16496217332291319</v>
      </c>
      <c r="B678"/>
      <c r="C678"/>
      <c r="D678"/>
      <c r="E678"/>
      <c r="F678" s="27" t="s">
        <v>7</v>
      </c>
      <c r="CA678" s="27" t="s">
        <v>8</v>
      </c>
      <c r="CB678" s="27" t="s">
        <v>7</v>
      </c>
      <c r="DO678" s="27" t="s">
        <v>8</v>
      </c>
      <c r="DP678" s="27" t="s">
        <v>7</v>
      </c>
      <c r="DQ678" s="27" t="s">
        <v>8</v>
      </c>
      <c r="DR678" s="27" t="s">
        <v>7</v>
      </c>
      <c r="FQ678" s="27" t="s">
        <v>8</v>
      </c>
      <c r="FR678" s="27" t="s">
        <v>7</v>
      </c>
      <c r="GI678" s="27" t="s">
        <v>8</v>
      </c>
      <c r="GP678" s="27" t="s">
        <v>7</v>
      </c>
      <c r="GQ678" s="27" t="s">
        <v>8</v>
      </c>
      <c r="GS678" s="27" t="s">
        <v>8</v>
      </c>
      <c r="GV678" s="27" t="s">
        <v>7</v>
      </c>
      <c r="GW678" s="27" t="s">
        <v>8</v>
      </c>
      <c r="IJ678" s="27" t="s">
        <v>7</v>
      </c>
      <c r="IK678" s="27" t="s">
        <v>8</v>
      </c>
      <c r="IL678" s="27" t="s">
        <v>7</v>
      </c>
      <c r="IM678" s="27" t="s">
        <v>8</v>
      </c>
      <c r="IN678" s="27" t="s">
        <v>7</v>
      </c>
      <c r="IO678" s="27" t="s">
        <v>8</v>
      </c>
      <c r="IP678" s="27" t="s">
        <v>7</v>
      </c>
      <c r="IQ678" s="27" t="s">
        <v>8</v>
      </c>
      <c r="JB678" s="27" t="s">
        <v>7</v>
      </c>
      <c r="JE678" s="27" t="s">
        <v>8</v>
      </c>
      <c r="JF678" s="27" t="s">
        <v>7</v>
      </c>
      <c r="KC678" s="27" t="s">
        <v>8</v>
      </c>
      <c r="KD678" s="27" t="s">
        <v>7</v>
      </c>
    </row>
    <row r="679" spans="1:341" x14ac:dyDescent="0.25">
      <c r="A679" s="7">
        <v>0.16172762090481685</v>
      </c>
      <c r="B679"/>
      <c r="C679"/>
      <c r="D679"/>
      <c r="E679"/>
      <c r="F679" s="27" t="s">
        <v>7</v>
      </c>
      <c r="CA679" s="27" t="s">
        <v>8</v>
      </c>
      <c r="CB679" s="27" t="s">
        <v>7</v>
      </c>
      <c r="DO679" s="27" t="s">
        <v>8</v>
      </c>
      <c r="DP679" s="27" t="s">
        <v>7</v>
      </c>
      <c r="DQ679" s="27" t="s">
        <v>8</v>
      </c>
      <c r="DR679" s="27" t="s">
        <v>7</v>
      </c>
      <c r="FQ679" s="27" t="s">
        <v>8</v>
      </c>
      <c r="FR679" s="27" t="s">
        <v>7</v>
      </c>
      <c r="GC679" s="27" t="s">
        <v>8</v>
      </c>
      <c r="GI679" s="27" t="s">
        <v>8</v>
      </c>
      <c r="GP679" s="27" t="s">
        <v>7</v>
      </c>
      <c r="GQ679" s="27" t="s">
        <v>8</v>
      </c>
      <c r="GR679" s="27" t="s">
        <v>7</v>
      </c>
      <c r="GS679" s="27" t="s">
        <v>8</v>
      </c>
      <c r="GV679" s="27" t="s">
        <v>7</v>
      </c>
      <c r="IJ679" s="27" t="s">
        <v>7</v>
      </c>
      <c r="IK679" s="27" t="s">
        <v>8</v>
      </c>
      <c r="IL679" s="27" t="s">
        <v>7</v>
      </c>
      <c r="IM679" s="27" t="s">
        <v>8</v>
      </c>
      <c r="IN679" s="27" t="s">
        <v>7</v>
      </c>
      <c r="IO679" s="27" t="s">
        <v>8</v>
      </c>
      <c r="IP679" s="27" t="s">
        <v>7</v>
      </c>
      <c r="IQ679" s="27" t="s">
        <v>8</v>
      </c>
      <c r="JB679" s="27" t="s">
        <v>7</v>
      </c>
      <c r="JE679" s="27" t="s">
        <v>8</v>
      </c>
      <c r="JF679" s="27" t="s">
        <v>7</v>
      </c>
      <c r="JG679" s="27" t="s">
        <v>8</v>
      </c>
      <c r="JI679" s="27" t="s">
        <v>8</v>
      </c>
      <c r="JO679" s="27" t="s">
        <v>8</v>
      </c>
      <c r="KC679" s="27" t="s">
        <v>8</v>
      </c>
    </row>
    <row r="680" spans="1:341" x14ac:dyDescent="0.25">
      <c r="A680" s="7">
        <v>0.15855649108315376</v>
      </c>
      <c r="B680"/>
      <c r="C680"/>
      <c r="D680"/>
      <c r="E680"/>
      <c r="F680" s="27" t="s">
        <v>7</v>
      </c>
      <c r="CA680" s="27" t="s">
        <v>8</v>
      </c>
      <c r="CB680" s="27" t="s">
        <v>7</v>
      </c>
      <c r="DM680" s="27" t="s">
        <v>8</v>
      </c>
      <c r="DO680" s="27" t="s">
        <v>8</v>
      </c>
      <c r="DP680" s="27" t="s">
        <v>7</v>
      </c>
      <c r="DQ680" s="27" t="s">
        <v>8</v>
      </c>
      <c r="DR680" s="27" t="s">
        <v>7</v>
      </c>
      <c r="FQ680" s="27" t="s">
        <v>8</v>
      </c>
      <c r="FR680" s="27" t="s">
        <v>7</v>
      </c>
      <c r="GC680" s="27" t="s">
        <v>8</v>
      </c>
      <c r="GD680" s="27" t="s">
        <v>7</v>
      </c>
      <c r="GI680" s="27" t="s">
        <v>8</v>
      </c>
      <c r="GP680" s="27" t="s">
        <v>7</v>
      </c>
      <c r="GQ680" s="27" t="s">
        <v>8</v>
      </c>
      <c r="GR680" s="27" t="s">
        <v>7</v>
      </c>
      <c r="GS680" s="27" t="s">
        <v>8</v>
      </c>
      <c r="IJ680" s="27" t="s">
        <v>7</v>
      </c>
      <c r="IK680" s="27" t="s">
        <v>8</v>
      </c>
      <c r="IL680" s="27" t="s">
        <v>7</v>
      </c>
      <c r="IM680" s="27" t="s">
        <v>8</v>
      </c>
      <c r="IN680" s="27" t="s">
        <v>7</v>
      </c>
      <c r="IO680" s="27" t="s">
        <v>8</v>
      </c>
      <c r="IP680" s="27" t="s">
        <v>7</v>
      </c>
      <c r="IQ680" s="27" t="s">
        <v>8</v>
      </c>
      <c r="JB680" s="27" t="s">
        <v>7</v>
      </c>
      <c r="JE680" s="27" t="s">
        <v>8</v>
      </c>
      <c r="JF680" s="27" t="s">
        <v>7</v>
      </c>
      <c r="JG680" s="27" t="s">
        <v>8</v>
      </c>
      <c r="JH680" s="27" t="s">
        <v>7</v>
      </c>
      <c r="JI680" s="27" t="s">
        <v>8</v>
      </c>
      <c r="JJ680" s="27" t="s">
        <v>7</v>
      </c>
      <c r="JO680" s="27" t="s">
        <v>8</v>
      </c>
      <c r="JP680" s="27" t="s">
        <v>7</v>
      </c>
      <c r="KC680" s="27" t="s">
        <v>8</v>
      </c>
    </row>
    <row r="681" spans="1:341" x14ac:dyDescent="0.25">
      <c r="A681" s="7">
        <v>0.15544754027760171</v>
      </c>
      <c r="B681"/>
      <c r="C681"/>
      <c r="D681"/>
      <c r="E681"/>
      <c r="F681" s="27" t="s">
        <v>7</v>
      </c>
      <c r="CA681" s="27" t="s">
        <v>8</v>
      </c>
      <c r="CB681" s="27" t="s">
        <v>7</v>
      </c>
      <c r="DI681" s="27" t="s">
        <v>8</v>
      </c>
      <c r="DM681" s="27" t="s">
        <v>8</v>
      </c>
      <c r="DN681" s="27" t="s">
        <v>7</v>
      </c>
      <c r="DO681" s="27" t="s">
        <v>8</v>
      </c>
      <c r="DP681" s="27" t="s">
        <v>7</v>
      </c>
      <c r="DQ681" s="27" t="s">
        <v>8</v>
      </c>
      <c r="DR681" s="27" t="s">
        <v>7</v>
      </c>
      <c r="FQ681" s="27" t="s">
        <v>8</v>
      </c>
      <c r="FR681" s="27" t="s">
        <v>7</v>
      </c>
      <c r="GC681" s="27" t="s">
        <v>8</v>
      </c>
      <c r="GD681" s="27" t="s">
        <v>7</v>
      </c>
      <c r="GI681" s="27" t="s">
        <v>8</v>
      </c>
      <c r="GP681" s="27" t="s">
        <v>7</v>
      </c>
      <c r="GQ681" s="27" t="s">
        <v>8</v>
      </c>
      <c r="GR681" s="27" t="s">
        <v>7</v>
      </c>
      <c r="GS681" s="27" t="s">
        <v>8</v>
      </c>
      <c r="IJ681" s="27" t="s">
        <v>7</v>
      </c>
      <c r="IK681" s="27" t="s">
        <v>8</v>
      </c>
      <c r="IL681" s="27" t="s">
        <v>7</v>
      </c>
      <c r="IN681" s="27" t="s">
        <v>7</v>
      </c>
      <c r="IO681" s="27" t="s">
        <v>8</v>
      </c>
      <c r="IP681" s="27" t="s">
        <v>7</v>
      </c>
      <c r="IQ681" s="27" t="s">
        <v>8</v>
      </c>
      <c r="JB681" s="27" t="s">
        <v>7</v>
      </c>
      <c r="JC681" s="27" t="s">
        <v>8</v>
      </c>
      <c r="JE681" s="27" t="s">
        <v>8</v>
      </c>
      <c r="JF681" s="27" t="s">
        <v>7</v>
      </c>
      <c r="JG681" s="27" t="s">
        <v>8</v>
      </c>
      <c r="JH681" s="27" t="s">
        <v>7</v>
      </c>
      <c r="JI681" s="27" t="s">
        <v>8</v>
      </c>
      <c r="JJ681" s="27" t="s">
        <v>7</v>
      </c>
      <c r="JM681" s="27" t="s">
        <v>8</v>
      </c>
      <c r="JO681" s="27" t="s">
        <v>8</v>
      </c>
      <c r="JP681" s="27" t="s">
        <v>7</v>
      </c>
      <c r="KC681" s="27" t="s">
        <v>8</v>
      </c>
    </row>
    <row r="682" spans="1:341" x14ac:dyDescent="0.25">
      <c r="A682" s="7">
        <v>0.15239954929176638</v>
      </c>
      <c r="B682"/>
      <c r="C682"/>
      <c r="D682"/>
      <c r="E682"/>
      <c r="F682" s="27" t="s">
        <v>7</v>
      </c>
      <c r="CA682" s="27" t="s">
        <v>8</v>
      </c>
      <c r="CB682" s="27" t="s">
        <v>7</v>
      </c>
      <c r="DE682" s="27" t="s">
        <v>8</v>
      </c>
      <c r="DI682" s="27" t="s">
        <v>8</v>
      </c>
      <c r="DJ682" s="27" t="s">
        <v>7</v>
      </c>
      <c r="DM682" s="27" t="s">
        <v>8</v>
      </c>
      <c r="DN682" s="27" t="s">
        <v>7</v>
      </c>
      <c r="DO682" s="27" t="s">
        <v>8</v>
      </c>
      <c r="DP682" s="27" t="s">
        <v>7</v>
      </c>
      <c r="DQ682" s="27" t="s">
        <v>8</v>
      </c>
      <c r="DR682" s="27" t="s">
        <v>7</v>
      </c>
      <c r="FQ682" s="27" t="s">
        <v>8</v>
      </c>
      <c r="FR682" s="27" t="s">
        <v>7</v>
      </c>
      <c r="GC682" s="27" t="s">
        <v>8</v>
      </c>
      <c r="GD682" s="27" t="s">
        <v>7</v>
      </c>
      <c r="GI682" s="27" t="s">
        <v>8</v>
      </c>
      <c r="GP682" s="27" t="s">
        <v>7</v>
      </c>
      <c r="GQ682" s="27" t="s">
        <v>8</v>
      </c>
      <c r="GR682" s="27" t="s">
        <v>7</v>
      </c>
      <c r="GS682" s="27" t="s">
        <v>8</v>
      </c>
      <c r="IJ682" s="27" t="s">
        <v>7</v>
      </c>
      <c r="IK682" s="27" t="s">
        <v>8</v>
      </c>
      <c r="IN682" s="27" t="s">
        <v>7</v>
      </c>
      <c r="IO682" s="27" t="s">
        <v>8</v>
      </c>
      <c r="IP682" s="27" t="s">
        <v>7</v>
      </c>
      <c r="JB682" s="27" t="s">
        <v>7</v>
      </c>
      <c r="JC682" s="27" t="s">
        <v>8</v>
      </c>
      <c r="JD682" s="27" t="s">
        <v>7</v>
      </c>
      <c r="JE682" s="27" t="s">
        <v>8</v>
      </c>
      <c r="JF682" s="27" t="s">
        <v>7</v>
      </c>
      <c r="JG682" s="27" t="s">
        <v>8</v>
      </c>
      <c r="JH682" s="27" t="s">
        <v>7</v>
      </c>
      <c r="JI682" s="27" t="s">
        <v>8</v>
      </c>
      <c r="JJ682" s="27" t="s">
        <v>7</v>
      </c>
      <c r="JM682" s="27" t="s">
        <v>8</v>
      </c>
      <c r="JN682" s="27" t="s">
        <v>7</v>
      </c>
      <c r="JO682" s="27" t="s">
        <v>8</v>
      </c>
      <c r="JP682" s="27" t="s">
        <v>7</v>
      </c>
      <c r="JQ682" s="27" t="s">
        <v>8</v>
      </c>
      <c r="JY682" s="27" t="s">
        <v>8</v>
      </c>
      <c r="KC682" s="27" t="s">
        <v>8</v>
      </c>
    </row>
    <row r="683" spans="1:341" x14ac:dyDescent="0.25">
      <c r="A683" s="7">
        <v>0.14941132283506509</v>
      </c>
      <c r="B683"/>
      <c r="C683"/>
      <c r="D683"/>
      <c r="E683"/>
      <c r="F683" s="27" t="s">
        <v>7</v>
      </c>
      <c r="CA683" s="27" t="s">
        <v>8</v>
      </c>
      <c r="CB683" s="27" t="s">
        <v>7</v>
      </c>
      <c r="DE683" s="27" t="s">
        <v>8</v>
      </c>
      <c r="DF683" s="27" t="s">
        <v>7</v>
      </c>
      <c r="DG683" s="27" t="s">
        <v>8</v>
      </c>
      <c r="DI683" s="27" t="s">
        <v>8</v>
      </c>
      <c r="DJ683" s="27" t="s">
        <v>7</v>
      </c>
      <c r="DK683" s="27" t="s">
        <v>8</v>
      </c>
      <c r="DM683" s="27" t="s">
        <v>8</v>
      </c>
      <c r="DN683" s="27" t="s">
        <v>7</v>
      </c>
      <c r="DO683" s="27" t="s">
        <v>8</v>
      </c>
      <c r="DP683" s="27" t="s">
        <v>7</v>
      </c>
      <c r="DR683" s="27" t="s">
        <v>7</v>
      </c>
      <c r="FQ683" s="27" t="s">
        <v>8</v>
      </c>
      <c r="FR683" s="27" t="s">
        <v>7</v>
      </c>
      <c r="GC683" s="27" t="s">
        <v>8</v>
      </c>
      <c r="GD683" s="27" t="s">
        <v>7</v>
      </c>
      <c r="GE683" s="27" t="s">
        <v>8</v>
      </c>
      <c r="GG683" s="27" t="s">
        <v>8</v>
      </c>
      <c r="GI683" s="27" t="s">
        <v>8</v>
      </c>
      <c r="GP683" s="27" t="s">
        <v>7</v>
      </c>
      <c r="GQ683" s="27" t="s">
        <v>8</v>
      </c>
      <c r="GR683" s="27" t="s">
        <v>7</v>
      </c>
      <c r="GS683" s="27" t="s">
        <v>8</v>
      </c>
      <c r="IJ683" s="27" t="s">
        <v>7</v>
      </c>
      <c r="IN683" s="27" t="s">
        <v>7</v>
      </c>
      <c r="IO683" s="27" t="s">
        <v>8</v>
      </c>
      <c r="JB683" s="27" t="s">
        <v>7</v>
      </c>
      <c r="JC683" s="27" t="s">
        <v>8</v>
      </c>
      <c r="JD683" s="27" t="s">
        <v>7</v>
      </c>
      <c r="JE683" s="27" t="s">
        <v>8</v>
      </c>
      <c r="JF683" s="27" t="s">
        <v>7</v>
      </c>
      <c r="JG683" s="27" t="s">
        <v>8</v>
      </c>
      <c r="JH683" s="27" t="s">
        <v>7</v>
      </c>
      <c r="JI683" s="27" t="s">
        <v>8</v>
      </c>
      <c r="JJ683" s="27" t="s">
        <v>7</v>
      </c>
      <c r="JK683" s="27" t="s">
        <v>8</v>
      </c>
      <c r="JM683" s="27" t="s">
        <v>8</v>
      </c>
      <c r="JN683" s="27" t="s">
        <v>7</v>
      </c>
      <c r="JO683" s="27" t="s">
        <v>8</v>
      </c>
      <c r="JP683" s="27" t="s">
        <v>7</v>
      </c>
      <c r="JQ683" s="27" t="s">
        <v>8</v>
      </c>
      <c r="JR683" s="27" t="s">
        <v>7</v>
      </c>
      <c r="JY683" s="27" t="s">
        <v>8</v>
      </c>
      <c r="JZ683" s="27" t="s">
        <v>7</v>
      </c>
      <c r="KA683" s="27" t="s">
        <v>8</v>
      </c>
      <c r="KC683" s="27" t="s">
        <v>8</v>
      </c>
    </row>
    <row r="684" spans="1:341" x14ac:dyDescent="0.25">
      <c r="A684" s="7">
        <v>0.14648168905398537</v>
      </c>
      <c r="B684"/>
      <c r="C684"/>
      <c r="D684"/>
      <c r="E684"/>
      <c r="F684" s="27" t="s">
        <v>7</v>
      </c>
      <c r="CA684" s="27" t="s">
        <v>8</v>
      </c>
      <c r="CB684" s="27" t="s">
        <v>7</v>
      </c>
      <c r="DE684" s="27" t="s">
        <v>8</v>
      </c>
      <c r="DF684" s="27" t="s">
        <v>7</v>
      </c>
      <c r="DG684" s="27" t="s">
        <v>8</v>
      </c>
      <c r="DH684" s="27" t="s">
        <v>7</v>
      </c>
      <c r="DI684" s="27" t="s">
        <v>8</v>
      </c>
      <c r="DJ684" s="27" t="s">
        <v>7</v>
      </c>
      <c r="DK684" s="27" t="s">
        <v>8</v>
      </c>
      <c r="DL684" s="27" t="s">
        <v>7</v>
      </c>
      <c r="DM684" s="27" t="s">
        <v>8</v>
      </c>
      <c r="DN684" s="27" t="s">
        <v>7</v>
      </c>
      <c r="DO684" s="27" t="s">
        <v>8</v>
      </c>
      <c r="DR684" s="27" t="s">
        <v>7</v>
      </c>
      <c r="FQ684" s="27" t="s">
        <v>8</v>
      </c>
      <c r="FR684" s="27" t="s">
        <v>7</v>
      </c>
      <c r="GC684" s="27" t="s">
        <v>8</v>
      </c>
      <c r="GD684" s="27" t="s">
        <v>7</v>
      </c>
      <c r="GE684" s="27" t="s">
        <v>8</v>
      </c>
      <c r="GF684" s="27" t="s">
        <v>7</v>
      </c>
      <c r="GG684" s="27" t="s">
        <v>8</v>
      </c>
      <c r="GH684" s="27" t="s">
        <v>7</v>
      </c>
      <c r="GI684" s="27" t="s">
        <v>8</v>
      </c>
      <c r="GP684" s="27" t="s">
        <v>7</v>
      </c>
      <c r="GQ684" s="27" t="s">
        <v>8</v>
      </c>
      <c r="GR684" s="27" t="s">
        <v>7</v>
      </c>
      <c r="GS684" s="27" t="s">
        <v>8</v>
      </c>
      <c r="IN684" s="27" t="s">
        <v>7</v>
      </c>
      <c r="IO684" s="27" t="s">
        <v>8</v>
      </c>
      <c r="JB684" s="27" t="s">
        <v>7</v>
      </c>
      <c r="JC684" s="27" t="s">
        <v>8</v>
      </c>
      <c r="JD684" s="27" t="s">
        <v>7</v>
      </c>
      <c r="JE684" s="27" t="s">
        <v>8</v>
      </c>
      <c r="JF684" s="27" t="s">
        <v>7</v>
      </c>
      <c r="JG684" s="27" t="s">
        <v>8</v>
      </c>
      <c r="JH684" s="27" t="s">
        <v>7</v>
      </c>
      <c r="JI684" s="27" t="s">
        <v>8</v>
      </c>
      <c r="JJ684" s="27" t="s">
        <v>7</v>
      </c>
      <c r="JK684" s="27" t="s">
        <v>8</v>
      </c>
      <c r="JL684" s="27" t="s">
        <v>7</v>
      </c>
      <c r="JM684" s="27" t="s">
        <v>8</v>
      </c>
      <c r="JN684" s="27" t="s">
        <v>7</v>
      </c>
      <c r="JP684" s="27" t="s">
        <v>7</v>
      </c>
      <c r="JQ684" s="27" t="s">
        <v>8</v>
      </c>
      <c r="JR684" s="27" t="s">
        <v>7</v>
      </c>
      <c r="JY684" s="27" t="s">
        <v>8</v>
      </c>
      <c r="JZ684" s="27" t="s">
        <v>7</v>
      </c>
      <c r="KA684" s="27" t="s">
        <v>8</v>
      </c>
      <c r="KB684" s="27" t="s">
        <v>7</v>
      </c>
      <c r="KC684" s="27" t="s">
        <v>8</v>
      </c>
    </row>
    <row r="685" spans="1:341" x14ac:dyDescent="0.25">
      <c r="A685" s="7">
        <v>0.14360949907253467</v>
      </c>
      <c r="B685"/>
      <c r="C685"/>
      <c r="D685"/>
      <c r="E685"/>
      <c r="F685" s="27" t="s">
        <v>7</v>
      </c>
      <c r="BY685" s="27" t="s">
        <v>8</v>
      </c>
      <c r="CA685" s="27" t="s">
        <v>8</v>
      </c>
      <c r="CB685" s="27" t="s">
        <v>7</v>
      </c>
      <c r="CM685" s="27" t="s">
        <v>8</v>
      </c>
      <c r="DE685" s="27" t="s">
        <v>8</v>
      </c>
      <c r="DF685" s="27" t="s">
        <v>7</v>
      </c>
      <c r="DG685" s="27" t="s">
        <v>8</v>
      </c>
      <c r="DH685" s="27" t="s">
        <v>7</v>
      </c>
      <c r="DI685" s="27" t="s">
        <v>8</v>
      </c>
      <c r="DJ685" s="27" t="s">
        <v>7</v>
      </c>
      <c r="DK685" s="27" t="s">
        <v>8</v>
      </c>
      <c r="DL685" s="27" t="s">
        <v>7</v>
      </c>
      <c r="DM685" s="27" t="s">
        <v>8</v>
      </c>
      <c r="DN685" s="27" t="s">
        <v>7</v>
      </c>
      <c r="DO685" s="27" t="s">
        <v>8</v>
      </c>
      <c r="DR685" s="27" t="s">
        <v>7</v>
      </c>
      <c r="FQ685" s="27" t="s">
        <v>8</v>
      </c>
      <c r="FR685" s="27" t="s">
        <v>7</v>
      </c>
      <c r="GC685" s="27" t="s">
        <v>8</v>
      </c>
      <c r="GD685" s="27" t="s">
        <v>7</v>
      </c>
      <c r="GE685" s="27" t="s">
        <v>8</v>
      </c>
      <c r="GF685" s="27" t="s">
        <v>7</v>
      </c>
      <c r="GG685" s="27" t="s">
        <v>8</v>
      </c>
      <c r="GH685" s="27" t="s">
        <v>7</v>
      </c>
      <c r="GI685" s="27" t="s">
        <v>8</v>
      </c>
      <c r="GP685" s="27" t="s">
        <v>7</v>
      </c>
      <c r="GQ685" s="27" t="s">
        <v>8</v>
      </c>
      <c r="GR685" s="27" t="s">
        <v>7</v>
      </c>
      <c r="GS685" s="27" t="s">
        <v>8</v>
      </c>
      <c r="IN685" s="27" t="s">
        <v>7</v>
      </c>
      <c r="IO685" s="27" t="s">
        <v>8</v>
      </c>
      <c r="JB685" s="27" t="s">
        <v>7</v>
      </c>
      <c r="JC685" s="27" t="s">
        <v>8</v>
      </c>
      <c r="JD685" s="27" t="s">
        <v>7</v>
      </c>
      <c r="JE685" s="27" t="s">
        <v>8</v>
      </c>
      <c r="JF685" s="27" t="s">
        <v>7</v>
      </c>
      <c r="JH685" s="27" t="s">
        <v>7</v>
      </c>
      <c r="JI685" s="27" t="s">
        <v>8</v>
      </c>
      <c r="JJ685" s="27" t="s">
        <v>7</v>
      </c>
      <c r="JK685" s="27" t="s">
        <v>8</v>
      </c>
      <c r="JL685" s="27" t="s">
        <v>7</v>
      </c>
      <c r="JM685" s="27" t="s">
        <v>8</v>
      </c>
      <c r="JP685" s="27" t="s">
        <v>7</v>
      </c>
      <c r="JQ685" s="27" t="s">
        <v>8</v>
      </c>
      <c r="JR685" s="27" t="s">
        <v>7</v>
      </c>
      <c r="JW685" s="27" t="s">
        <v>8</v>
      </c>
      <c r="JY685" s="27" t="s">
        <v>8</v>
      </c>
      <c r="JZ685" s="27" t="s">
        <v>7</v>
      </c>
      <c r="KA685" s="27" t="s">
        <v>8</v>
      </c>
      <c r="KB685" s="27" t="s">
        <v>7</v>
      </c>
      <c r="KC685" s="27" t="s">
        <v>8</v>
      </c>
    </row>
    <row r="686" spans="1:341" x14ac:dyDescent="0.25">
      <c r="A686" s="7">
        <v>0.14079362654170066</v>
      </c>
      <c r="B686"/>
      <c r="C686"/>
      <c r="D686"/>
      <c r="E686"/>
      <c r="F686" s="27" t="s">
        <v>7</v>
      </c>
      <c r="BY686" s="27" t="s">
        <v>8</v>
      </c>
      <c r="BZ686" s="27" t="s">
        <v>7</v>
      </c>
      <c r="CA686" s="27" t="s">
        <v>8</v>
      </c>
      <c r="CB686" s="27" t="s">
        <v>7</v>
      </c>
      <c r="CM686" s="27" t="s">
        <v>8</v>
      </c>
      <c r="CN686" s="27" t="s">
        <v>7</v>
      </c>
      <c r="DC686" s="27" t="s">
        <v>8</v>
      </c>
      <c r="DE686" s="27" t="s">
        <v>8</v>
      </c>
      <c r="DF686" s="27" t="s">
        <v>7</v>
      </c>
      <c r="DG686" s="27" t="s">
        <v>8</v>
      </c>
      <c r="DH686" s="27" t="s">
        <v>7</v>
      </c>
      <c r="DI686" s="27" t="s">
        <v>8</v>
      </c>
      <c r="DJ686" s="27" t="s">
        <v>7</v>
      </c>
      <c r="DK686" s="27" t="s">
        <v>8</v>
      </c>
      <c r="DL686" s="27" t="s">
        <v>7</v>
      </c>
      <c r="DM686" s="27" t="s">
        <v>8</v>
      </c>
      <c r="DN686" s="27" t="s">
        <v>7</v>
      </c>
      <c r="DO686" s="27" t="s">
        <v>8</v>
      </c>
      <c r="DR686" s="27" t="s">
        <v>7</v>
      </c>
      <c r="FQ686" s="27" t="s">
        <v>8</v>
      </c>
      <c r="FR686" s="27" t="s">
        <v>7</v>
      </c>
      <c r="GC686" s="27" t="s">
        <v>8</v>
      </c>
      <c r="GD686" s="27" t="s">
        <v>7</v>
      </c>
      <c r="GE686" s="27" t="s">
        <v>8</v>
      </c>
      <c r="GF686" s="27" t="s">
        <v>7</v>
      </c>
      <c r="GG686" s="27" t="s">
        <v>8</v>
      </c>
      <c r="GH686" s="27" t="s">
        <v>7</v>
      </c>
      <c r="GI686" s="27" t="s">
        <v>8</v>
      </c>
      <c r="GP686" s="27" t="s">
        <v>7</v>
      </c>
      <c r="GQ686" s="27" t="s">
        <v>8</v>
      </c>
      <c r="GR686" s="27" t="s">
        <v>7</v>
      </c>
      <c r="GS686" s="27" t="s">
        <v>8</v>
      </c>
      <c r="IN686" s="27" t="s">
        <v>7</v>
      </c>
      <c r="IO686" s="27" t="s">
        <v>8</v>
      </c>
      <c r="JB686" s="27" t="s">
        <v>7</v>
      </c>
      <c r="JC686" s="27" t="s">
        <v>8</v>
      </c>
      <c r="JD686" s="27" t="s">
        <v>7</v>
      </c>
      <c r="JE686" s="27" t="s">
        <v>8</v>
      </c>
      <c r="JH686" s="27" t="s">
        <v>7</v>
      </c>
      <c r="JJ686" s="27" t="s">
        <v>7</v>
      </c>
      <c r="JL686" s="27" t="s">
        <v>7</v>
      </c>
      <c r="JP686" s="27" t="s">
        <v>7</v>
      </c>
      <c r="JQ686" s="27" t="s">
        <v>8</v>
      </c>
      <c r="JR686" s="27" t="s">
        <v>7</v>
      </c>
      <c r="JW686" s="27" t="s">
        <v>8</v>
      </c>
      <c r="JX686" s="27" t="s">
        <v>7</v>
      </c>
      <c r="JY686" s="27" t="s">
        <v>8</v>
      </c>
      <c r="JZ686" s="27" t="s">
        <v>7</v>
      </c>
      <c r="KA686" s="27" t="s">
        <v>8</v>
      </c>
      <c r="KB686" s="27" t="s">
        <v>7</v>
      </c>
      <c r="KC686" s="27" t="s">
        <v>8</v>
      </c>
    </row>
    <row r="687" spans="1:341" x14ac:dyDescent="0.25">
      <c r="A687" s="7">
        <v>0.13803296719774574</v>
      </c>
      <c r="B687"/>
      <c r="C687"/>
      <c r="D687"/>
      <c r="E687"/>
      <c r="F687" s="27" t="s">
        <v>7</v>
      </c>
      <c r="BY687" s="27" t="s">
        <v>8</v>
      </c>
      <c r="BZ687" s="27" t="s">
        <v>7</v>
      </c>
      <c r="CA687" s="27" t="s">
        <v>8</v>
      </c>
      <c r="CB687" s="27" t="s">
        <v>7</v>
      </c>
      <c r="CM687" s="27" t="s">
        <v>8</v>
      </c>
      <c r="CN687" s="27" t="s">
        <v>7</v>
      </c>
      <c r="CW687" s="27" t="s">
        <v>8</v>
      </c>
      <c r="DC687" s="27" t="s">
        <v>8</v>
      </c>
      <c r="DD687" s="27" t="s">
        <v>7</v>
      </c>
      <c r="DE687" s="27" t="s">
        <v>8</v>
      </c>
      <c r="DF687" s="27" t="s">
        <v>7</v>
      </c>
      <c r="DG687" s="27" t="s">
        <v>8</v>
      </c>
      <c r="DH687" s="27" t="s">
        <v>7</v>
      </c>
      <c r="DI687" s="27" t="s">
        <v>8</v>
      </c>
      <c r="DJ687" s="27" t="s">
        <v>7</v>
      </c>
      <c r="DK687" s="27" t="s">
        <v>8</v>
      </c>
      <c r="DL687" s="27" t="s">
        <v>7</v>
      </c>
      <c r="DM687" s="27" t="s">
        <v>8</v>
      </c>
      <c r="DN687" s="27" t="s">
        <v>7</v>
      </c>
      <c r="DO687" s="27" t="s">
        <v>8</v>
      </c>
      <c r="DR687" s="27" t="s">
        <v>7</v>
      </c>
      <c r="FQ687" s="27" t="s">
        <v>8</v>
      </c>
      <c r="FR687" s="27" t="s">
        <v>7</v>
      </c>
      <c r="FU687" s="27" t="s">
        <v>8</v>
      </c>
      <c r="GC687" s="27" t="s">
        <v>8</v>
      </c>
      <c r="GD687" s="27" t="s">
        <v>7</v>
      </c>
      <c r="GE687" s="27" t="s">
        <v>8</v>
      </c>
      <c r="GF687" s="27" t="s">
        <v>7</v>
      </c>
      <c r="GG687" s="27" t="s">
        <v>8</v>
      </c>
      <c r="GH687" s="27" t="s">
        <v>7</v>
      </c>
      <c r="GI687" s="27" t="s">
        <v>8</v>
      </c>
      <c r="GP687" s="27" t="s">
        <v>7</v>
      </c>
      <c r="GQ687" s="27" t="s">
        <v>8</v>
      </c>
      <c r="GR687" s="27" t="s">
        <v>7</v>
      </c>
      <c r="GS687" s="27" t="s">
        <v>8</v>
      </c>
      <c r="IN687" s="27" t="s">
        <v>7</v>
      </c>
      <c r="IO687" s="27" t="s">
        <v>8</v>
      </c>
      <c r="JB687" s="27" t="s">
        <v>7</v>
      </c>
      <c r="JC687" s="27" t="s">
        <v>8</v>
      </c>
      <c r="JD687" s="27" t="s">
        <v>7</v>
      </c>
      <c r="JE687" s="27" t="s">
        <v>8</v>
      </c>
      <c r="JP687" s="27" t="s">
        <v>7</v>
      </c>
      <c r="JQ687" s="27" t="s">
        <v>8</v>
      </c>
      <c r="JR687" s="27" t="s">
        <v>7</v>
      </c>
      <c r="JW687" s="27" t="s">
        <v>8</v>
      </c>
      <c r="JX687" s="27" t="s">
        <v>7</v>
      </c>
      <c r="JY687" s="27" t="s">
        <v>8</v>
      </c>
      <c r="JZ687" s="27" t="s">
        <v>7</v>
      </c>
      <c r="KA687" s="27" t="s">
        <v>8</v>
      </c>
      <c r="KB687" s="27" t="s">
        <v>7</v>
      </c>
    </row>
    <row r="688" spans="1:341" x14ac:dyDescent="0.25">
      <c r="A688" s="7">
        <v>0.1353264384291625</v>
      </c>
      <c r="B688"/>
      <c r="C688"/>
      <c r="D688"/>
      <c r="E688"/>
      <c r="F688" s="27" t="s">
        <v>7</v>
      </c>
      <c r="BY688" s="27" t="s">
        <v>8</v>
      </c>
      <c r="BZ688" s="27" t="s">
        <v>7</v>
      </c>
      <c r="CA688" s="27" t="s">
        <v>8</v>
      </c>
      <c r="CB688" s="27" t="s">
        <v>7</v>
      </c>
      <c r="CM688" s="27" t="s">
        <v>8</v>
      </c>
      <c r="CN688" s="27" t="s">
        <v>7</v>
      </c>
      <c r="CS688" s="27" t="s">
        <v>8</v>
      </c>
      <c r="CW688" s="27" t="s">
        <v>8</v>
      </c>
      <c r="CX688" s="27" t="s">
        <v>7</v>
      </c>
      <c r="DC688" s="27" t="s">
        <v>8</v>
      </c>
      <c r="DD688" s="27" t="s">
        <v>7</v>
      </c>
      <c r="DE688" s="27" t="s">
        <v>8</v>
      </c>
      <c r="DF688" s="27" t="s">
        <v>7</v>
      </c>
      <c r="DH688" s="27" t="s">
        <v>7</v>
      </c>
      <c r="DI688" s="27" t="s">
        <v>8</v>
      </c>
      <c r="DJ688" s="27" t="s">
        <v>7</v>
      </c>
      <c r="DK688" s="27" t="s">
        <v>8</v>
      </c>
      <c r="DL688" s="27" t="s">
        <v>7</v>
      </c>
      <c r="DM688" s="27" t="s">
        <v>8</v>
      </c>
      <c r="DN688" s="27" t="s">
        <v>7</v>
      </c>
      <c r="DR688" s="27" t="s">
        <v>7</v>
      </c>
      <c r="FQ688" s="27" t="s">
        <v>8</v>
      </c>
      <c r="FR688" s="27" t="s">
        <v>7</v>
      </c>
      <c r="FU688" s="27" t="s">
        <v>8</v>
      </c>
      <c r="FV688" s="27" t="s">
        <v>7</v>
      </c>
      <c r="GC688" s="27" t="s">
        <v>8</v>
      </c>
      <c r="GD688" s="27" t="s">
        <v>7</v>
      </c>
      <c r="GE688" s="27" t="s">
        <v>8</v>
      </c>
      <c r="GF688" s="27" t="s">
        <v>7</v>
      </c>
      <c r="GG688" s="27" t="s">
        <v>8</v>
      </c>
      <c r="GH688" s="27" t="s">
        <v>7</v>
      </c>
      <c r="GI688" s="27" t="s">
        <v>8</v>
      </c>
      <c r="GP688" s="27" t="s">
        <v>7</v>
      </c>
      <c r="GQ688" s="27" t="s">
        <v>8</v>
      </c>
      <c r="GR688" s="27" t="s">
        <v>7</v>
      </c>
      <c r="GS688" s="27" t="s">
        <v>8</v>
      </c>
      <c r="IN688" s="27" t="s">
        <v>7</v>
      </c>
      <c r="IO688" s="27" t="s">
        <v>8</v>
      </c>
      <c r="JB688" s="27" t="s">
        <v>7</v>
      </c>
      <c r="JC688" s="27" t="s">
        <v>8</v>
      </c>
      <c r="JD688" s="27" t="s">
        <v>7</v>
      </c>
      <c r="JE688" s="27" t="s">
        <v>8</v>
      </c>
      <c r="JP688" s="27" t="s">
        <v>7</v>
      </c>
      <c r="JR688" s="27" t="s">
        <v>7</v>
      </c>
      <c r="JU688" s="27" t="s">
        <v>8</v>
      </c>
      <c r="JW688" s="27" t="s">
        <v>8</v>
      </c>
      <c r="JX688" s="27" t="s">
        <v>7</v>
      </c>
      <c r="JY688" s="27" t="s">
        <v>8</v>
      </c>
      <c r="JZ688" s="27" t="s">
        <v>7</v>
      </c>
    </row>
    <row r="689" spans="1:285" x14ac:dyDescent="0.25">
      <c r="A689" s="7">
        <v>0.13267297885212009</v>
      </c>
      <c r="B689"/>
      <c r="C689"/>
      <c r="D689"/>
      <c r="E689"/>
      <c r="F689" s="27" t="s">
        <v>7</v>
      </c>
      <c r="BY689" s="27" t="s">
        <v>8</v>
      </c>
      <c r="BZ689" s="27" t="s">
        <v>7</v>
      </c>
      <c r="CA689" s="27" t="s">
        <v>8</v>
      </c>
      <c r="CB689" s="27" t="s">
        <v>7</v>
      </c>
      <c r="CM689" s="27" t="s">
        <v>8</v>
      </c>
      <c r="CN689" s="27" t="s">
        <v>7</v>
      </c>
      <c r="CS689" s="27" t="s">
        <v>8</v>
      </c>
      <c r="CT689" s="27" t="s">
        <v>7</v>
      </c>
      <c r="CW689" s="27" t="s">
        <v>8</v>
      </c>
      <c r="CX689" s="27" t="s">
        <v>7</v>
      </c>
      <c r="DC689" s="27" t="s">
        <v>8</v>
      </c>
      <c r="DD689" s="27" t="s">
        <v>7</v>
      </c>
      <c r="DE689" s="27" t="s">
        <v>8</v>
      </c>
      <c r="DH689" s="27" t="s">
        <v>7</v>
      </c>
      <c r="DJ689" s="27" t="s">
        <v>7</v>
      </c>
      <c r="DK689" s="27" t="s">
        <v>8</v>
      </c>
      <c r="DL689" s="27" t="s">
        <v>7</v>
      </c>
      <c r="DM689" s="27" t="s">
        <v>8</v>
      </c>
      <c r="DR689" s="27" t="s">
        <v>7</v>
      </c>
      <c r="FQ689" s="27" t="s">
        <v>8</v>
      </c>
      <c r="FR689" s="27" t="s">
        <v>7</v>
      </c>
      <c r="FU689" s="27" t="s">
        <v>8</v>
      </c>
      <c r="FV689" s="27" t="s">
        <v>7</v>
      </c>
      <c r="GC689" s="27" t="s">
        <v>8</v>
      </c>
      <c r="GD689" s="27" t="s">
        <v>7</v>
      </c>
      <c r="GE689" s="27" t="s">
        <v>8</v>
      </c>
      <c r="GF689" s="27" t="s">
        <v>7</v>
      </c>
      <c r="GG689" s="27" t="s">
        <v>8</v>
      </c>
      <c r="GH689" s="27" t="s">
        <v>7</v>
      </c>
      <c r="GP689" s="27" t="s">
        <v>7</v>
      </c>
      <c r="GQ689" s="27" t="s">
        <v>8</v>
      </c>
      <c r="GR689" s="27" t="s">
        <v>7</v>
      </c>
      <c r="GS689" s="27" t="s">
        <v>8</v>
      </c>
      <c r="IN689" s="27" t="s">
        <v>7</v>
      </c>
      <c r="IO689" s="27" t="s">
        <v>8</v>
      </c>
      <c r="JB689" s="27" t="s">
        <v>7</v>
      </c>
      <c r="JC689" s="27" t="s">
        <v>8</v>
      </c>
      <c r="JD689" s="27" t="s">
        <v>7</v>
      </c>
      <c r="JE689" s="27" t="s">
        <v>8</v>
      </c>
      <c r="JR689" s="27" t="s">
        <v>7</v>
      </c>
      <c r="JS689" s="27" t="s">
        <v>8</v>
      </c>
      <c r="JU689" s="27" t="s">
        <v>8</v>
      </c>
      <c r="JV689" s="27" t="s">
        <v>7</v>
      </c>
      <c r="JW689" s="27" t="s">
        <v>8</v>
      </c>
      <c r="JX689" s="27" t="s">
        <v>7</v>
      </c>
      <c r="JY689" s="27" t="s">
        <v>8</v>
      </c>
    </row>
    <row r="690" spans="1:285" x14ac:dyDescent="0.25">
      <c r="A690" s="7">
        <v>0.13007154789423539</v>
      </c>
      <c r="B690"/>
      <c r="C690"/>
      <c r="D690"/>
      <c r="E690"/>
      <c r="F690" s="27" t="s">
        <v>7</v>
      </c>
      <c r="BY690" s="27" t="s">
        <v>8</v>
      </c>
      <c r="BZ690" s="27" t="s">
        <v>7</v>
      </c>
      <c r="CA690" s="27" t="s">
        <v>8</v>
      </c>
      <c r="CB690" s="27" t="s">
        <v>7</v>
      </c>
      <c r="CM690" s="27" t="s">
        <v>8</v>
      </c>
      <c r="CN690" s="27" t="s">
        <v>7</v>
      </c>
      <c r="CS690" s="27" t="s">
        <v>8</v>
      </c>
      <c r="CT690" s="27" t="s">
        <v>7</v>
      </c>
      <c r="CW690" s="27" t="s">
        <v>8</v>
      </c>
      <c r="CX690" s="27" t="s">
        <v>7</v>
      </c>
      <c r="CY690" s="27" t="s">
        <v>8</v>
      </c>
      <c r="DC690" s="27" t="s">
        <v>8</v>
      </c>
      <c r="DD690" s="27" t="s">
        <v>7</v>
      </c>
      <c r="DJ690" s="27" t="s">
        <v>7</v>
      </c>
      <c r="DL690" s="27" t="s">
        <v>7</v>
      </c>
      <c r="DM690" s="27" t="s">
        <v>8</v>
      </c>
      <c r="DR690" s="27" t="s">
        <v>7</v>
      </c>
      <c r="FQ690" s="27" t="s">
        <v>8</v>
      </c>
      <c r="FR690" s="27" t="s">
        <v>7</v>
      </c>
      <c r="FS690" s="27" t="s">
        <v>8</v>
      </c>
      <c r="FU690" s="27" t="s">
        <v>8</v>
      </c>
      <c r="FV690" s="27" t="s">
        <v>7</v>
      </c>
      <c r="GC690" s="27" t="s">
        <v>8</v>
      </c>
      <c r="GD690" s="27" t="s">
        <v>7</v>
      </c>
      <c r="GE690" s="27" t="s">
        <v>8</v>
      </c>
      <c r="GF690" s="27" t="s">
        <v>7</v>
      </c>
      <c r="GG690" s="27" t="s">
        <v>8</v>
      </c>
      <c r="GP690" s="27" t="s">
        <v>7</v>
      </c>
      <c r="GQ690" s="27" t="s">
        <v>8</v>
      </c>
      <c r="GR690" s="27" t="s">
        <v>7</v>
      </c>
      <c r="GS690" s="27" t="s">
        <v>8</v>
      </c>
      <c r="IN690" s="27" t="s">
        <v>7</v>
      </c>
      <c r="IO690" s="27" t="s">
        <v>8</v>
      </c>
      <c r="JB690" s="27" t="s">
        <v>7</v>
      </c>
      <c r="JC690" s="27" t="s">
        <v>8</v>
      </c>
      <c r="JD690" s="27" t="s">
        <v>7</v>
      </c>
      <c r="JR690" s="27" t="s">
        <v>7</v>
      </c>
      <c r="JS690" s="27" t="s">
        <v>8</v>
      </c>
      <c r="JT690" s="27" t="s">
        <v>7</v>
      </c>
      <c r="JU690" s="27" t="s">
        <v>8</v>
      </c>
      <c r="JV690" s="27" t="s">
        <v>7</v>
      </c>
      <c r="JW690" s="27" t="s">
        <v>8</v>
      </c>
      <c r="JX690" s="27" t="s">
        <v>7</v>
      </c>
    </row>
    <row r="691" spans="1:285" x14ac:dyDescent="0.25">
      <c r="A691" s="7">
        <v>0.12752112538650529</v>
      </c>
      <c r="B691"/>
      <c r="C691"/>
      <c r="D691"/>
      <c r="E691"/>
      <c r="F691" s="27" t="s">
        <v>7</v>
      </c>
      <c r="AA691" s="27" t="s">
        <v>8</v>
      </c>
      <c r="BY691" s="27" t="s">
        <v>8</v>
      </c>
      <c r="BZ691" s="27" t="s">
        <v>7</v>
      </c>
      <c r="CA691" s="27" t="s">
        <v>8</v>
      </c>
      <c r="CB691" s="27" t="s">
        <v>7</v>
      </c>
      <c r="CM691" s="27" t="s">
        <v>8</v>
      </c>
      <c r="CN691" s="27" t="s">
        <v>7</v>
      </c>
      <c r="CS691" s="27" t="s">
        <v>8</v>
      </c>
      <c r="CT691" s="27" t="s">
        <v>7</v>
      </c>
      <c r="CW691" s="27" t="s">
        <v>8</v>
      </c>
      <c r="CX691" s="27" t="s">
        <v>7</v>
      </c>
      <c r="CY691" s="27" t="s">
        <v>8</v>
      </c>
      <c r="CZ691" s="27" t="s">
        <v>7</v>
      </c>
      <c r="DA691" s="27" t="s">
        <v>8</v>
      </c>
      <c r="DC691" s="27" t="s">
        <v>8</v>
      </c>
      <c r="DL691" s="27" t="s">
        <v>7</v>
      </c>
      <c r="DR691" s="27" t="s">
        <v>7</v>
      </c>
      <c r="FQ691" s="27" t="s">
        <v>8</v>
      </c>
      <c r="FR691" s="27" t="s">
        <v>7</v>
      </c>
      <c r="FS691" s="27" t="s">
        <v>8</v>
      </c>
      <c r="FT691" s="27" t="s">
        <v>7</v>
      </c>
      <c r="FU691" s="27" t="s">
        <v>8</v>
      </c>
      <c r="FV691" s="27" t="s">
        <v>7</v>
      </c>
      <c r="GC691" s="27" t="s">
        <v>8</v>
      </c>
      <c r="GD691" s="27" t="s">
        <v>7</v>
      </c>
      <c r="GE691" s="27" t="s">
        <v>8</v>
      </c>
      <c r="GF691" s="27" t="s">
        <v>7</v>
      </c>
      <c r="GG691" s="27" t="s">
        <v>8</v>
      </c>
      <c r="GP691" s="27" t="s">
        <v>7</v>
      </c>
      <c r="GR691" s="27" t="s">
        <v>7</v>
      </c>
      <c r="IN691" s="27" t="s">
        <v>7</v>
      </c>
      <c r="IO691" s="27" t="s">
        <v>8</v>
      </c>
      <c r="JB691" s="27" t="s">
        <v>7</v>
      </c>
      <c r="JR691" s="27" t="s">
        <v>7</v>
      </c>
      <c r="JS691" s="27" t="s">
        <v>8</v>
      </c>
      <c r="JT691" s="27" t="s">
        <v>7</v>
      </c>
      <c r="JU691" s="27" t="s">
        <v>8</v>
      </c>
      <c r="JV691" s="27" t="s">
        <v>7</v>
      </c>
    </row>
    <row r="692" spans="1:285" x14ac:dyDescent="0.25">
      <c r="A692" s="7">
        <v>0.12502071116324048</v>
      </c>
      <c r="B692"/>
      <c r="C692"/>
      <c r="D692"/>
      <c r="E692"/>
      <c r="F692" s="27" t="s">
        <v>7</v>
      </c>
      <c r="Y692" s="27" t="s">
        <v>8</v>
      </c>
      <c r="AA692" s="27" t="s">
        <v>8</v>
      </c>
      <c r="AB692" s="27" t="s">
        <v>7</v>
      </c>
      <c r="BY692" s="27" t="s">
        <v>8</v>
      </c>
      <c r="BZ692" s="27" t="s">
        <v>7</v>
      </c>
      <c r="CA692" s="27" t="s">
        <v>8</v>
      </c>
      <c r="CB692" s="27" t="s">
        <v>7</v>
      </c>
      <c r="CM692" s="27" t="s">
        <v>8</v>
      </c>
      <c r="CN692" s="27" t="s">
        <v>7</v>
      </c>
      <c r="CS692" s="27" t="s">
        <v>8</v>
      </c>
      <c r="CT692" s="27" t="s">
        <v>7</v>
      </c>
      <c r="CW692" s="27" t="s">
        <v>8</v>
      </c>
      <c r="CX692" s="27" t="s">
        <v>7</v>
      </c>
      <c r="CY692" s="27" t="s">
        <v>8</v>
      </c>
      <c r="CZ692" s="27" t="s">
        <v>7</v>
      </c>
      <c r="DA692" s="27" t="s">
        <v>8</v>
      </c>
      <c r="DB692" s="27" t="s">
        <v>7</v>
      </c>
      <c r="DC692" s="27" t="s">
        <v>8</v>
      </c>
      <c r="DR692" s="27" t="s">
        <v>7</v>
      </c>
      <c r="FQ692" s="27" t="s">
        <v>8</v>
      </c>
      <c r="FR692" s="27" t="s">
        <v>7</v>
      </c>
      <c r="FS692" s="27" t="s">
        <v>8</v>
      </c>
      <c r="FT692" s="27" t="s">
        <v>7</v>
      </c>
      <c r="FU692" s="27" t="s">
        <v>8</v>
      </c>
      <c r="FV692" s="27" t="s">
        <v>7</v>
      </c>
      <c r="GC692" s="27" t="s">
        <v>8</v>
      </c>
      <c r="GD692" s="27" t="s">
        <v>7</v>
      </c>
      <c r="GE692" s="27" t="s">
        <v>8</v>
      </c>
      <c r="GF692" s="27" t="s">
        <v>7</v>
      </c>
      <c r="IN692" s="27" t="s">
        <v>7</v>
      </c>
      <c r="JR692" s="18" t="s">
        <v>7</v>
      </c>
      <c r="JS692" s="27" t="s">
        <v>8</v>
      </c>
      <c r="JT692" s="27" t="s">
        <v>7</v>
      </c>
    </row>
    <row r="693" spans="1:285" x14ac:dyDescent="0.25">
      <c r="A693" s="7">
        <v>0.1225693246698436</v>
      </c>
      <c r="B693"/>
      <c r="C693"/>
      <c r="D693"/>
      <c r="E693"/>
      <c r="F693" s="27" t="s">
        <v>7</v>
      </c>
      <c r="Y693" s="27" t="s">
        <v>8</v>
      </c>
      <c r="Z693" s="27" t="s">
        <v>7</v>
      </c>
      <c r="AA693" s="27" t="s">
        <v>8</v>
      </c>
      <c r="AB693" s="27" t="s">
        <v>7</v>
      </c>
      <c r="BY693" s="27" t="s">
        <v>8</v>
      </c>
      <c r="BZ693" s="27" t="s">
        <v>7</v>
      </c>
      <c r="CA693" s="27" t="s">
        <v>8</v>
      </c>
      <c r="CB693" s="27" t="s">
        <v>7</v>
      </c>
      <c r="CE693" s="27" t="s">
        <v>8</v>
      </c>
      <c r="CM693" s="27" t="s">
        <v>8</v>
      </c>
      <c r="CN693" s="27" t="s">
        <v>7</v>
      </c>
      <c r="CQ693" s="27" t="s">
        <v>8</v>
      </c>
      <c r="CS693" s="27" t="s">
        <v>8</v>
      </c>
      <c r="CT693" s="27" t="s">
        <v>7</v>
      </c>
      <c r="CU693" s="27" t="s">
        <v>8</v>
      </c>
      <c r="CW693" s="27" t="s">
        <v>8</v>
      </c>
      <c r="CX693" s="27" t="s">
        <v>7</v>
      </c>
      <c r="CZ693" s="27" t="s">
        <v>7</v>
      </c>
      <c r="DA693" s="27" t="s">
        <v>8</v>
      </c>
      <c r="DB693" s="27" t="s">
        <v>7</v>
      </c>
      <c r="DC693" s="27" t="s">
        <v>8</v>
      </c>
      <c r="DR693" s="27" t="s">
        <v>7</v>
      </c>
      <c r="FQ693" s="27" t="s">
        <v>8</v>
      </c>
      <c r="FR693" s="27" t="s">
        <v>7</v>
      </c>
      <c r="FS693" s="27" t="s">
        <v>8</v>
      </c>
      <c r="FT693" s="27" t="s">
        <v>7</v>
      </c>
      <c r="FU693" s="27" t="s">
        <v>8</v>
      </c>
      <c r="FV693" s="27" t="s">
        <v>7</v>
      </c>
      <c r="FW693" s="27" t="s">
        <v>8</v>
      </c>
      <c r="GC693" s="27" t="s">
        <v>8</v>
      </c>
      <c r="GD693" s="27" t="s">
        <v>7</v>
      </c>
      <c r="GE693" s="27" t="s">
        <v>8</v>
      </c>
      <c r="JR693" s="27" t="s">
        <v>7</v>
      </c>
      <c r="JS693" s="27" t="s">
        <v>8</v>
      </c>
    </row>
    <row r="694" spans="1:285" x14ac:dyDescent="0.25">
      <c r="A694" s="7">
        <v>0.12016600457827803</v>
      </c>
      <c r="B694"/>
      <c r="C694"/>
      <c r="D694"/>
      <c r="E694"/>
      <c r="F694" s="27" t="s">
        <v>7</v>
      </c>
      <c r="Y694" s="27" t="s">
        <v>8</v>
      </c>
      <c r="Z694" s="27" t="s">
        <v>7</v>
      </c>
      <c r="AA694" s="27" t="s">
        <v>8</v>
      </c>
      <c r="AB694" s="27" t="s">
        <v>7</v>
      </c>
      <c r="BY694" s="27" t="s">
        <v>8</v>
      </c>
      <c r="BZ694" s="27" t="s">
        <v>7</v>
      </c>
      <c r="CA694" s="27" t="s">
        <v>8</v>
      </c>
      <c r="CB694" s="27" t="s">
        <v>7</v>
      </c>
      <c r="CC694" s="27" t="s">
        <v>8</v>
      </c>
      <c r="CE694" s="27" t="s">
        <v>8</v>
      </c>
      <c r="CF694" s="27" t="s">
        <v>7</v>
      </c>
      <c r="CM694" s="27" t="s">
        <v>8</v>
      </c>
      <c r="CN694" s="27" t="s">
        <v>7</v>
      </c>
      <c r="CQ694" s="27" t="s">
        <v>8</v>
      </c>
      <c r="CR694" s="27" t="s">
        <v>7</v>
      </c>
      <c r="CS694" s="27" t="s">
        <v>8</v>
      </c>
      <c r="CT694" s="27" t="s">
        <v>7</v>
      </c>
      <c r="CU694" s="27" t="s">
        <v>8</v>
      </c>
      <c r="CV694" s="27" t="s">
        <v>7</v>
      </c>
      <c r="CW694" s="27" t="s">
        <v>8</v>
      </c>
      <c r="CZ694" s="27" t="s">
        <v>7</v>
      </c>
      <c r="DA694" s="27" t="s">
        <v>8</v>
      </c>
      <c r="DB694" s="27" t="s">
        <v>7</v>
      </c>
      <c r="DC694" s="27" t="s">
        <v>8</v>
      </c>
      <c r="DR694" s="27" t="s">
        <v>7</v>
      </c>
      <c r="FQ694" s="27" t="s">
        <v>8</v>
      </c>
      <c r="FR694" s="27" t="s">
        <v>7</v>
      </c>
      <c r="FS694" s="27" t="s">
        <v>8</v>
      </c>
      <c r="FT694" s="27" t="s">
        <v>7</v>
      </c>
      <c r="FU694" s="27" t="s">
        <v>8</v>
      </c>
      <c r="FV694" s="27" t="s">
        <v>7</v>
      </c>
      <c r="FW694" s="27" t="s">
        <v>8</v>
      </c>
      <c r="FX694" s="27" t="s">
        <v>7</v>
      </c>
      <c r="GC694" s="27" t="s">
        <v>8</v>
      </c>
      <c r="GD694" s="27" t="s">
        <v>7</v>
      </c>
      <c r="GE694" s="27" t="s">
        <v>8</v>
      </c>
      <c r="JR694" s="27" t="s">
        <v>7</v>
      </c>
      <c r="JS694" s="27" t="s">
        <v>8</v>
      </c>
    </row>
    <row r="695" spans="1:285" x14ac:dyDescent="0.25">
      <c r="A695" s="7">
        <v>0.1178098084100765</v>
      </c>
      <c r="B695"/>
      <c r="C695"/>
      <c r="D695"/>
      <c r="E695"/>
      <c r="F695" s="27" t="s">
        <v>7</v>
      </c>
      <c r="U695" s="27" t="s">
        <v>8</v>
      </c>
      <c r="Y695" s="27" t="s">
        <v>8</v>
      </c>
      <c r="Z695" s="27" t="s">
        <v>7</v>
      </c>
      <c r="AA695" s="27" t="s">
        <v>8</v>
      </c>
      <c r="AB695" s="27" t="s">
        <v>7</v>
      </c>
      <c r="AW695" s="27" t="s">
        <v>8</v>
      </c>
      <c r="BY695" s="27" t="s">
        <v>8</v>
      </c>
      <c r="BZ695" s="27" t="s">
        <v>7</v>
      </c>
      <c r="CA695" s="27" t="s">
        <v>8</v>
      </c>
      <c r="CB695" s="27" t="s">
        <v>7</v>
      </c>
      <c r="CC695" s="27" t="s">
        <v>8</v>
      </c>
      <c r="CD695" s="27" t="s">
        <v>7</v>
      </c>
      <c r="CE695" s="27" t="s">
        <v>8</v>
      </c>
      <c r="CF695" s="27" t="s">
        <v>7</v>
      </c>
      <c r="CM695" s="27" t="s">
        <v>8</v>
      </c>
      <c r="CN695" s="27" t="s">
        <v>7</v>
      </c>
      <c r="CQ695" s="27" t="s">
        <v>8</v>
      </c>
      <c r="CR695" s="27" t="s">
        <v>7</v>
      </c>
      <c r="CS695" s="27" t="s">
        <v>8</v>
      </c>
      <c r="CT695" s="27" t="s">
        <v>7</v>
      </c>
      <c r="CU695" s="27" t="s">
        <v>8</v>
      </c>
      <c r="CV695" s="27" t="s">
        <v>7</v>
      </c>
      <c r="CW695" s="27" t="s">
        <v>8</v>
      </c>
      <c r="CZ695" s="27" t="s">
        <v>7</v>
      </c>
      <c r="DA695" s="27" t="s">
        <v>8</v>
      </c>
      <c r="DB695" s="27" t="s">
        <v>7</v>
      </c>
      <c r="DC695" s="27" t="s">
        <v>8</v>
      </c>
      <c r="DR695" s="27" t="s">
        <v>7</v>
      </c>
      <c r="DU695" s="27" t="s">
        <v>8</v>
      </c>
      <c r="FQ695" s="27" t="s">
        <v>8</v>
      </c>
      <c r="FR695" s="27" t="s">
        <v>7</v>
      </c>
      <c r="FS695" s="27" t="s">
        <v>8</v>
      </c>
      <c r="FT695" s="27" t="s">
        <v>7</v>
      </c>
      <c r="FU695" s="27" t="s">
        <v>8</v>
      </c>
      <c r="FV695" s="27" t="s">
        <v>7</v>
      </c>
      <c r="FW695" s="27" t="s">
        <v>8</v>
      </c>
      <c r="FX695" s="27" t="s">
        <v>7</v>
      </c>
      <c r="FY695" s="27" t="s">
        <v>8</v>
      </c>
      <c r="GC695" s="27" t="s">
        <v>8</v>
      </c>
      <c r="GD695" s="27" t="s">
        <v>7</v>
      </c>
      <c r="JR695" s="27" t="s">
        <v>7</v>
      </c>
      <c r="JS695" s="27" t="s">
        <v>8</v>
      </c>
    </row>
    <row r="696" spans="1:285" x14ac:dyDescent="0.25">
      <c r="A696" s="7">
        <v>0.11549981216674166</v>
      </c>
      <c r="B696"/>
      <c r="C696"/>
      <c r="D696"/>
      <c r="E696"/>
      <c r="F696" s="27" t="s">
        <v>7</v>
      </c>
      <c r="U696" s="27" t="s">
        <v>8</v>
      </c>
      <c r="V696" s="27" t="s">
        <v>7</v>
      </c>
      <c r="Y696" s="27" t="s">
        <v>8</v>
      </c>
      <c r="Z696" s="27" t="s">
        <v>7</v>
      </c>
      <c r="AA696" s="27" t="s">
        <v>8</v>
      </c>
      <c r="AB696" s="27" t="s">
        <v>7</v>
      </c>
      <c r="AW696" s="27" t="s">
        <v>8</v>
      </c>
      <c r="AX696" s="27" t="s">
        <v>7</v>
      </c>
      <c r="BY696" s="27" t="s">
        <v>8</v>
      </c>
      <c r="BZ696" s="27" t="s">
        <v>7</v>
      </c>
      <c r="CA696" s="27" t="s">
        <v>8</v>
      </c>
      <c r="CB696" s="27" t="s">
        <v>7</v>
      </c>
      <c r="CC696" s="27" t="s">
        <v>8</v>
      </c>
      <c r="CD696" s="27" t="s">
        <v>7</v>
      </c>
      <c r="CE696" s="27" t="s">
        <v>8</v>
      </c>
      <c r="CF696" s="27" t="s">
        <v>7</v>
      </c>
      <c r="CM696" s="27" t="s">
        <v>8</v>
      </c>
      <c r="CN696" s="27" t="s">
        <v>7</v>
      </c>
      <c r="CQ696" s="27" t="s">
        <v>8</v>
      </c>
      <c r="CR696" s="27" t="s">
        <v>7</v>
      </c>
      <c r="CS696" s="27" t="s">
        <v>8</v>
      </c>
      <c r="CT696" s="27" t="s">
        <v>7</v>
      </c>
      <c r="CU696" s="27" t="s">
        <v>8</v>
      </c>
      <c r="CV696" s="27" t="s">
        <v>7</v>
      </c>
      <c r="CW696" s="27" t="s">
        <v>8</v>
      </c>
      <c r="CZ696" s="27" t="s">
        <v>7</v>
      </c>
      <c r="DA696" s="27" t="s">
        <v>8</v>
      </c>
      <c r="DB696" s="27" t="s">
        <v>7</v>
      </c>
      <c r="DC696" s="27" t="s">
        <v>8</v>
      </c>
      <c r="DR696" s="27" t="s">
        <v>7</v>
      </c>
      <c r="DU696" s="27" t="s">
        <v>8</v>
      </c>
      <c r="DV696" s="27" t="s">
        <v>7</v>
      </c>
      <c r="DW696" s="27" t="s">
        <v>8</v>
      </c>
      <c r="FQ696" s="27" t="s">
        <v>8</v>
      </c>
      <c r="FR696" s="27" t="s">
        <v>7</v>
      </c>
      <c r="FS696" s="27" t="s">
        <v>8</v>
      </c>
      <c r="FT696" s="27" t="s">
        <v>7</v>
      </c>
      <c r="FU696" s="27" t="s">
        <v>8</v>
      </c>
      <c r="FV696" s="27" t="s">
        <v>7</v>
      </c>
      <c r="FW696" s="27" t="s">
        <v>8</v>
      </c>
      <c r="FX696" s="27" t="s">
        <v>7</v>
      </c>
      <c r="FY696" s="27" t="s">
        <v>8</v>
      </c>
      <c r="FZ696" s="27" t="s">
        <v>7</v>
      </c>
      <c r="GC696" s="27" t="s">
        <v>8</v>
      </c>
      <c r="JR696" s="27" t="s">
        <v>7</v>
      </c>
      <c r="JS696" s="27" t="s">
        <v>8</v>
      </c>
    </row>
    <row r="697" spans="1:285" x14ac:dyDescent="0.25">
      <c r="A697" s="7">
        <v>0.11323510996739378</v>
      </c>
      <c r="B697"/>
      <c r="C697"/>
      <c r="D697"/>
      <c r="E697"/>
      <c r="F697" s="27" t="s">
        <v>7</v>
      </c>
      <c r="U697" s="27" t="s">
        <v>8</v>
      </c>
      <c r="V697" s="27" t="s">
        <v>7</v>
      </c>
      <c r="Y697" s="27" t="s">
        <v>8</v>
      </c>
      <c r="Z697" s="27" t="s">
        <v>7</v>
      </c>
      <c r="AA697" s="27" t="s">
        <v>8</v>
      </c>
      <c r="AB697" s="27" t="s">
        <v>7</v>
      </c>
      <c r="AW697" s="27" t="s">
        <v>8</v>
      </c>
      <c r="AX697" s="27" t="s">
        <v>7</v>
      </c>
      <c r="BY697" s="27" t="s">
        <v>8</v>
      </c>
      <c r="BZ697" s="27" t="s">
        <v>7</v>
      </c>
      <c r="CA697" s="27" t="s">
        <v>8</v>
      </c>
      <c r="CB697" s="27" t="s">
        <v>7</v>
      </c>
      <c r="CC697" s="27" t="s">
        <v>8</v>
      </c>
      <c r="CD697" s="27" t="s">
        <v>7</v>
      </c>
      <c r="CE697" s="27" t="s">
        <v>8</v>
      </c>
      <c r="CF697" s="27" t="s">
        <v>7</v>
      </c>
      <c r="CK697" s="27" t="s">
        <v>8</v>
      </c>
      <c r="CM697" s="27" t="s">
        <v>8</v>
      </c>
      <c r="CN697" s="27" t="s">
        <v>7</v>
      </c>
      <c r="CQ697" s="27" t="s">
        <v>8</v>
      </c>
      <c r="CR697" s="27" t="s">
        <v>7</v>
      </c>
      <c r="CS697" s="27" t="s">
        <v>8</v>
      </c>
      <c r="CT697" s="27" t="s">
        <v>7</v>
      </c>
      <c r="CU697" s="27" t="s">
        <v>8</v>
      </c>
      <c r="CV697" s="27" t="s">
        <v>7</v>
      </c>
      <c r="CW697" s="27" t="s">
        <v>8</v>
      </c>
      <c r="CZ697" s="27" t="s">
        <v>7</v>
      </c>
      <c r="DA697" s="27" t="s">
        <v>8</v>
      </c>
      <c r="DB697" s="27" t="s">
        <v>7</v>
      </c>
      <c r="DC697" s="27" t="s">
        <v>8</v>
      </c>
      <c r="DR697" s="27" t="s">
        <v>7</v>
      </c>
      <c r="DU697" s="27" t="s">
        <v>8</v>
      </c>
      <c r="DV697" s="27" t="s">
        <v>7</v>
      </c>
      <c r="DW697" s="27" t="s">
        <v>8</v>
      </c>
      <c r="DX697" s="27" t="s">
        <v>7</v>
      </c>
      <c r="FQ697" s="27" t="s">
        <v>8</v>
      </c>
      <c r="FR697" s="27" t="s">
        <v>7</v>
      </c>
      <c r="FS697" s="27" t="s">
        <v>8</v>
      </c>
      <c r="FT697" s="27" t="s">
        <v>7</v>
      </c>
      <c r="FU697" s="27" t="s">
        <v>8</v>
      </c>
      <c r="FV697" s="27" t="s">
        <v>7</v>
      </c>
      <c r="FW697" s="27" t="s">
        <v>8</v>
      </c>
      <c r="FX697" s="27" t="s">
        <v>7</v>
      </c>
      <c r="FY697" s="27" t="s">
        <v>8</v>
      </c>
      <c r="FZ697" s="27" t="s">
        <v>7</v>
      </c>
      <c r="GC697" s="27" t="s">
        <v>8</v>
      </c>
      <c r="JR697" s="27" t="s">
        <v>7</v>
      </c>
      <c r="JS697" s="27" t="s">
        <v>8</v>
      </c>
    </row>
    <row r="698" spans="1:285" x14ac:dyDescent="0.25">
      <c r="A698" s="7">
        <v>0.11101481369352331</v>
      </c>
      <c r="B698"/>
      <c r="C698"/>
      <c r="D698"/>
      <c r="E698"/>
      <c r="F698" s="27" t="s">
        <v>7</v>
      </c>
      <c r="U698" s="27" t="s">
        <v>8</v>
      </c>
      <c r="V698" s="27" t="s">
        <v>7</v>
      </c>
      <c r="W698" s="27" t="s">
        <v>8</v>
      </c>
      <c r="Y698" s="27" t="s">
        <v>8</v>
      </c>
      <c r="Z698" s="27" t="s">
        <v>7</v>
      </c>
      <c r="AA698" s="27" t="s">
        <v>8</v>
      </c>
      <c r="AB698" s="27" t="s">
        <v>7</v>
      </c>
      <c r="AW698" s="27" t="s">
        <v>8</v>
      </c>
      <c r="AX698" s="27" t="s">
        <v>7</v>
      </c>
      <c r="BY698" s="27" t="s">
        <v>8</v>
      </c>
      <c r="BZ698" s="27" t="s">
        <v>7</v>
      </c>
      <c r="CA698" s="27" t="s">
        <v>8</v>
      </c>
      <c r="CB698" s="27" t="s">
        <v>7</v>
      </c>
      <c r="CC698" s="27" t="s">
        <v>8</v>
      </c>
      <c r="CD698" s="27" t="s">
        <v>7</v>
      </c>
      <c r="CF698" s="27" t="s">
        <v>7</v>
      </c>
      <c r="CK698" s="27" t="s">
        <v>8</v>
      </c>
      <c r="CL698" s="27" t="s">
        <v>7</v>
      </c>
      <c r="CM698" s="27" t="s">
        <v>8</v>
      </c>
      <c r="CN698" s="27" t="s">
        <v>7</v>
      </c>
      <c r="CO698" s="27" t="s">
        <v>8</v>
      </c>
      <c r="CQ698" s="27" t="s">
        <v>8</v>
      </c>
      <c r="CR698" s="27" t="s">
        <v>7</v>
      </c>
      <c r="CT698" s="27" t="s">
        <v>7</v>
      </c>
      <c r="CV698" s="27" t="s">
        <v>7</v>
      </c>
      <c r="CW698" s="27" t="s">
        <v>8</v>
      </c>
      <c r="CZ698" s="27" t="s">
        <v>7</v>
      </c>
      <c r="DA698" s="27" t="s">
        <v>8</v>
      </c>
      <c r="DB698" s="27" t="s">
        <v>7</v>
      </c>
      <c r="DC698" s="27" t="s">
        <v>8</v>
      </c>
      <c r="DR698" s="27" t="s">
        <v>7</v>
      </c>
      <c r="DU698" s="27" t="s">
        <v>8</v>
      </c>
      <c r="DV698" s="27" t="s">
        <v>7</v>
      </c>
      <c r="DW698" s="27" t="s">
        <v>8</v>
      </c>
      <c r="DX698" s="27" t="s">
        <v>7</v>
      </c>
      <c r="DY698" s="27" t="s">
        <v>8</v>
      </c>
      <c r="FQ698" s="27" t="s">
        <v>8</v>
      </c>
      <c r="FR698" s="27" t="s">
        <v>7</v>
      </c>
      <c r="FS698" s="27" t="s">
        <v>8</v>
      </c>
      <c r="FT698" s="27" t="s">
        <v>7</v>
      </c>
      <c r="FU698" s="27" t="s">
        <v>8</v>
      </c>
      <c r="FV698" s="27" t="s">
        <v>7</v>
      </c>
      <c r="FW698" s="27" t="s">
        <v>8</v>
      </c>
      <c r="FX698" s="27" t="s">
        <v>7</v>
      </c>
      <c r="FY698" s="27" t="s">
        <v>8</v>
      </c>
      <c r="FZ698" s="27" t="s">
        <v>7</v>
      </c>
      <c r="GA698" s="27" t="s">
        <v>8</v>
      </c>
      <c r="GC698" s="27" t="s">
        <v>8</v>
      </c>
      <c r="JR698" s="27" t="s">
        <v>7</v>
      </c>
    </row>
    <row r="699" spans="1:285" x14ac:dyDescent="0.25">
      <c r="A699" s="7">
        <v>0.10883805264070913</v>
      </c>
      <c r="B699"/>
      <c r="C699"/>
      <c r="D699"/>
      <c r="E699"/>
      <c r="F699" s="27" t="s">
        <v>7</v>
      </c>
      <c r="U699" s="27" t="s">
        <v>8</v>
      </c>
      <c r="V699" s="27" t="s">
        <v>7</v>
      </c>
      <c r="W699" s="27" t="s">
        <v>8</v>
      </c>
      <c r="X699" s="27" t="s">
        <v>7</v>
      </c>
      <c r="Y699" s="27" t="s">
        <v>8</v>
      </c>
      <c r="Z699" s="27" t="s">
        <v>7</v>
      </c>
      <c r="AB699" s="27" t="s">
        <v>7</v>
      </c>
      <c r="AW699" s="27" t="s">
        <v>8</v>
      </c>
      <c r="AX699" s="27" t="s">
        <v>7</v>
      </c>
      <c r="BY699" s="27" t="s">
        <v>8</v>
      </c>
      <c r="BZ699" s="27" t="s">
        <v>7</v>
      </c>
      <c r="CA699" s="27" t="s">
        <v>8</v>
      </c>
      <c r="CB699" s="27" t="s">
        <v>7</v>
      </c>
      <c r="CF699" s="27" t="s">
        <v>7</v>
      </c>
      <c r="CK699" s="27" t="s">
        <v>8</v>
      </c>
      <c r="CL699" s="27" t="s">
        <v>7</v>
      </c>
      <c r="CM699" s="27" t="s">
        <v>8</v>
      </c>
      <c r="CN699" s="27" t="s">
        <v>7</v>
      </c>
      <c r="CO699" s="27" t="s">
        <v>8</v>
      </c>
      <c r="CP699" s="27" t="s">
        <v>7</v>
      </c>
      <c r="CQ699" s="27" t="s">
        <v>8</v>
      </c>
      <c r="CV699" s="27" t="s">
        <v>7</v>
      </c>
      <c r="CZ699" s="27" t="s">
        <v>7</v>
      </c>
      <c r="DA699" s="27" t="s">
        <v>8</v>
      </c>
      <c r="DB699" s="27" t="s">
        <v>7</v>
      </c>
      <c r="DC699" s="27" t="s">
        <v>8</v>
      </c>
      <c r="DR699" s="27" t="s">
        <v>7</v>
      </c>
      <c r="DU699" s="27" t="s">
        <v>8</v>
      </c>
      <c r="DV699" s="27" t="s">
        <v>7</v>
      </c>
      <c r="DX699" s="27" t="s">
        <v>7</v>
      </c>
      <c r="DY699" s="27" t="s">
        <v>8</v>
      </c>
      <c r="DZ699" s="27" t="s">
        <v>7</v>
      </c>
      <c r="FG699" s="27" t="s">
        <v>8</v>
      </c>
      <c r="FQ699" s="27" t="s">
        <v>8</v>
      </c>
      <c r="FR699" s="27" t="s">
        <v>7</v>
      </c>
      <c r="FS699" s="27" t="s">
        <v>8</v>
      </c>
      <c r="FT699" s="27" t="s">
        <v>7</v>
      </c>
      <c r="FU699" s="27" t="s">
        <v>8</v>
      </c>
      <c r="FV699" s="27" t="s">
        <v>7</v>
      </c>
      <c r="FW699" s="27" t="s">
        <v>8</v>
      </c>
      <c r="FX699" s="27" t="s">
        <v>7</v>
      </c>
      <c r="FZ699" s="27" t="s">
        <v>7</v>
      </c>
      <c r="GA699" s="27" t="s">
        <v>8</v>
      </c>
      <c r="GB699" s="27" t="s">
        <v>7</v>
      </c>
      <c r="GC699" s="27" t="s">
        <v>8</v>
      </c>
    </row>
    <row r="700" spans="1:285" x14ac:dyDescent="0.25">
      <c r="A700" s="7">
        <v>0.10670397317716582</v>
      </c>
      <c r="B700"/>
      <c r="C700"/>
      <c r="D700"/>
      <c r="E700"/>
      <c r="F700" s="27" t="s">
        <v>7</v>
      </c>
      <c r="U700" s="27" t="s">
        <v>8</v>
      </c>
      <c r="V700" s="27" t="s">
        <v>7</v>
      </c>
      <c r="W700" s="27" t="s">
        <v>8</v>
      </c>
      <c r="X700" s="27" t="s">
        <v>7</v>
      </c>
      <c r="Y700" s="27" t="s">
        <v>8</v>
      </c>
      <c r="AB700" s="27" t="s">
        <v>7</v>
      </c>
      <c r="AW700" s="27" t="s">
        <v>8</v>
      </c>
      <c r="AX700" s="27" t="s">
        <v>7</v>
      </c>
      <c r="BY700" s="27" t="s">
        <v>8</v>
      </c>
      <c r="BZ700" s="27" t="s">
        <v>7</v>
      </c>
      <c r="CA700" s="27" t="s">
        <v>8</v>
      </c>
      <c r="CF700" s="27" t="s">
        <v>7</v>
      </c>
      <c r="CG700" s="27" t="s">
        <v>8</v>
      </c>
      <c r="CI700" s="27" t="s">
        <v>8</v>
      </c>
      <c r="CK700" s="27" t="s">
        <v>8</v>
      </c>
      <c r="CL700" s="27" t="s">
        <v>7</v>
      </c>
      <c r="CM700" s="27" t="s">
        <v>8</v>
      </c>
      <c r="CN700" s="27" t="s">
        <v>7</v>
      </c>
      <c r="CO700" s="27" t="s">
        <v>8</v>
      </c>
      <c r="CP700" s="27" t="s">
        <v>7</v>
      </c>
      <c r="CQ700" s="27" t="s">
        <v>8</v>
      </c>
      <c r="CZ700" s="27" t="s">
        <v>7</v>
      </c>
      <c r="DA700" s="27" t="s">
        <v>8</v>
      </c>
      <c r="DB700" s="27" t="s">
        <v>7</v>
      </c>
      <c r="DC700" s="27" t="s">
        <v>8</v>
      </c>
      <c r="DR700" s="27" t="s">
        <v>7</v>
      </c>
      <c r="DU700" s="27" t="s">
        <v>8</v>
      </c>
      <c r="DX700" s="27" t="s">
        <v>7</v>
      </c>
      <c r="DY700" s="27" t="s">
        <v>8</v>
      </c>
      <c r="DZ700" s="27" t="s">
        <v>7</v>
      </c>
      <c r="FG700" s="27" t="s">
        <v>8</v>
      </c>
      <c r="FH700" s="27" t="s">
        <v>7</v>
      </c>
      <c r="FQ700" s="27" t="s">
        <v>8</v>
      </c>
      <c r="FR700" s="27" t="s">
        <v>7</v>
      </c>
      <c r="FS700" s="27" t="s">
        <v>8</v>
      </c>
      <c r="FT700" s="27" t="s">
        <v>7</v>
      </c>
      <c r="FU700" s="27" t="s">
        <v>8</v>
      </c>
      <c r="FV700" s="27" t="s">
        <v>7</v>
      </c>
      <c r="FZ700" s="27" t="s">
        <v>7</v>
      </c>
      <c r="GA700" s="27" t="s">
        <v>8</v>
      </c>
      <c r="GB700" s="27" t="s">
        <v>7</v>
      </c>
      <c r="GC700" s="27" t="s">
        <v>8</v>
      </c>
    </row>
    <row r="701" spans="1:285" x14ac:dyDescent="0.25">
      <c r="A701" s="7">
        <v>0.1046117384089861</v>
      </c>
      <c r="B701"/>
      <c r="C701"/>
      <c r="D701"/>
      <c r="E701"/>
      <c r="F701" s="27" t="s">
        <v>7</v>
      </c>
      <c r="U701" s="27" t="s">
        <v>8</v>
      </c>
      <c r="V701" s="27" t="s">
        <v>7</v>
      </c>
      <c r="W701" s="27" t="s">
        <v>8</v>
      </c>
      <c r="X701" s="27" t="s">
        <v>7</v>
      </c>
      <c r="Y701" s="27" t="s">
        <v>8</v>
      </c>
      <c r="AB701" s="27" t="s">
        <v>7</v>
      </c>
      <c r="AW701" s="27" t="s">
        <v>8</v>
      </c>
      <c r="AX701" s="27" t="s">
        <v>7</v>
      </c>
      <c r="BA701" s="27" t="s">
        <v>8</v>
      </c>
      <c r="BY701" s="27" t="s">
        <v>8</v>
      </c>
      <c r="BZ701" s="27" t="s">
        <v>7</v>
      </c>
      <c r="CA701" s="27" t="s">
        <v>8</v>
      </c>
      <c r="CF701" s="27" t="s">
        <v>7</v>
      </c>
      <c r="CG701" s="27" t="s">
        <v>8</v>
      </c>
      <c r="CH701" s="27" t="s">
        <v>7</v>
      </c>
      <c r="CI701" s="27" t="s">
        <v>8</v>
      </c>
      <c r="CJ701" s="27" t="s">
        <v>7</v>
      </c>
      <c r="CK701" s="27" t="s">
        <v>8</v>
      </c>
      <c r="CL701" s="27" t="s">
        <v>7</v>
      </c>
      <c r="CM701" s="27" t="s">
        <v>8</v>
      </c>
      <c r="CN701" s="27" t="s">
        <v>7</v>
      </c>
      <c r="CO701" s="27" t="s">
        <v>8</v>
      </c>
      <c r="CP701" s="27" t="s">
        <v>7</v>
      </c>
      <c r="CZ701" s="27" t="s">
        <v>7</v>
      </c>
      <c r="DB701" s="27" t="s">
        <v>7</v>
      </c>
      <c r="DC701" s="27" t="s">
        <v>8</v>
      </c>
      <c r="DR701" s="27" t="s">
        <v>7</v>
      </c>
      <c r="DS701" s="27" t="s">
        <v>8</v>
      </c>
      <c r="DU701" s="27" t="s">
        <v>8</v>
      </c>
      <c r="DX701" s="27" t="s">
        <v>7</v>
      </c>
      <c r="DY701" s="27" t="s">
        <v>8</v>
      </c>
      <c r="DZ701" s="27" t="s">
        <v>7</v>
      </c>
      <c r="FG701" s="27" t="s">
        <v>8</v>
      </c>
      <c r="FH701" s="27" t="s">
        <v>7</v>
      </c>
      <c r="FQ701" s="27" t="s">
        <v>8</v>
      </c>
      <c r="FR701" s="27" t="s">
        <v>7</v>
      </c>
      <c r="FS701" s="27" t="s">
        <v>8</v>
      </c>
      <c r="FT701" s="27" t="s">
        <v>7</v>
      </c>
      <c r="FZ701" s="27" t="s">
        <v>7</v>
      </c>
      <c r="GA701" s="27" t="s">
        <v>8</v>
      </c>
      <c r="GB701" s="27" t="s">
        <v>7</v>
      </c>
      <c r="GC701" s="27" t="s">
        <v>8</v>
      </c>
    </row>
    <row r="702" spans="1:285" x14ac:dyDescent="0.25">
      <c r="A702" s="7">
        <v>0.10256052785194716</v>
      </c>
      <c r="B702"/>
      <c r="C702"/>
      <c r="D702"/>
      <c r="E702"/>
      <c r="F702" s="27" t="s">
        <v>7</v>
      </c>
      <c r="U702" s="27" t="s">
        <v>8</v>
      </c>
      <c r="V702" s="27" t="s">
        <v>7</v>
      </c>
      <c r="W702" s="27" t="s">
        <v>8</v>
      </c>
      <c r="X702" s="27" t="s">
        <v>7</v>
      </c>
      <c r="Y702" s="27" t="s">
        <v>8</v>
      </c>
      <c r="AB702" s="27" t="s">
        <v>7</v>
      </c>
      <c r="AC702" s="27" t="s">
        <v>8</v>
      </c>
      <c r="AW702" s="27" t="s">
        <v>8</v>
      </c>
      <c r="AX702" s="27" t="s">
        <v>7</v>
      </c>
      <c r="BA702" s="27" t="s">
        <v>8</v>
      </c>
      <c r="BB702" s="27" t="s">
        <v>7</v>
      </c>
      <c r="BK702" s="27" t="s">
        <v>8</v>
      </c>
      <c r="BW702" s="27" t="s">
        <v>8</v>
      </c>
      <c r="BY702" s="27" t="s">
        <v>8</v>
      </c>
      <c r="BZ702" s="27" t="s">
        <v>7</v>
      </c>
      <c r="CA702" s="27" t="s">
        <v>8</v>
      </c>
      <c r="CF702" s="27" t="s">
        <v>7</v>
      </c>
      <c r="CG702" s="27" t="s">
        <v>8</v>
      </c>
      <c r="CH702" s="27" t="s">
        <v>7</v>
      </c>
      <c r="CI702" s="27" t="s">
        <v>8</v>
      </c>
      <c r="CJ702" s="27" t="s">
        <v>7</v>
      </c>
      <c r="CK702" s="27" t="s">
        <v>8</v>
      </c>
      <c r="CL702" s="27" t="s">
        <v>7</v>
      </c>
      <c r="CM702" s="27" t="s">
        <v>8</v>
      </c>
      <c r="CN702" s="27" t="s">
        <v>7</v>
      </c>
      <c r="CO702" s="27" t="s">
        <v>8</v>
      </c>
      <c r="DB702" s="27" t="s">
        <v>7</v>
      </c>
      <c r="DC702" s="27" t="s">
        <v>8</v>
      </c>
      <c r="DR702" s="27" t="s">
        <v>7</v>
      </c>
      <c r="DS702" s="27" t="s">
        <v>8</v>
      </c>
      <c r="DT702" s="27" t="s">
        <v>7</v>
      </c>
      <c r="DU702" s="27" t="s">
        <v>8</v>
      </c>
      <c r="DX702" s="27" t="s">
        <v>7</v>
      </c>
      <c r="DY702" s="27" t="s">
        <v>8</v>
      </c>
      <c r="DZ702" s="27" t="s">
        <v>7</v>
      </c>
      <c r="EE702" s="27" t="s">
        <v>8</v>
      </c>
      <c r="FG702" s="27" t="s">
        <v>8</v>
      </c>
      <c r="FH702" s="27" t="s">
        <v>7</v>
      </c>
      <c r="FQ702" s="27" t="s">
        <v>8</v>
      </c>
      <c r="FR702" s="27" t="s">
        <v>7</v>
      </c>
      <c r="FS702" s="27" t="s">
        <v>8</v>
      </c>
      <c r="FZ702" s="27" t="s">
        <v>7</v>
      </c>
      <c r="GA702" s="27" t="s">
        <v>8</v>
      </c>
      <c r="GB702" s="27" t="s">
        <v>7</v>
      </c>
      <c r="GC702" s="27" t="s">
        <v>8</v>
      </c>
    </row>
    <row r="703" spans="1:285" x14ac:dyDescent="0.25">
      <c r="A703" s="7">
        <v>0.10054953710975212</v>
      </c>
      <c r="B703"/>
      <c r="C703"/>
      <c r="D703"/>
      <c r="E703"/>
      <c r="F703" s="27" t="s">
        <v>7</v>
      </c>
      <c r="U703" s="27" t="s">
        <v>8</v>
      </c>
      <c r="V703" s="27" t="s">
        <v>7</v>
      </c>
      <c r="W703" s="27" t="s">
        <v>8</v>
      </c>
      <c r="X703" s="27" t="s">
        <v>7</v>
      </c>
      <c r="Y703" s="27" t="s">
        <v>8</v>
      </c>
      <c r="AB703" s="27" t="s">
        <v>7</v>
      </c>
      <c r="AC703" s="27" t="s">
        <v>8</v>
      </c>
      <c r="AD703" s="27" t="s">
        <v>7</v>
      </c>
      <c r="AW703" s="27" t="s">
        <v>8</v>
      </c>
      <c r="AX703" s="27" t="s">
        <v>7</v>
      </c>
      <c r="BA703" s="27" t="s">
        <v>8</v>
      </c>
      <c r="BB703" s="27" t="s">
        <v>7</v>
      </c>
      <c r="BK703" s="27" t="s">
        <v>8</v>
      </c>
      <c r="BL703" s="27" t="s">
        <v>7</v>
      </c>
      <c r="BW703" s="27" t="s">
        <v>8</v>
      </c>
      <c r="BX703" s="27" t="s">
        <v>7</v>
      </c>
      <c r="BY703" s="27" t="s">
        <v>8</v>
      </c>
      <c r="BZ703" s="27" t="s">
        <v>7</v>
      </c>
      <c r="CF703" s="27" t="s">
        <v>7</v>
      </c>
      <c r="CG703" s="27" t="s">
        <v>8</v>
      </c>
      <c r="CH703" s="27" t="s">
        <v>7</v>
      </c>
      <c r="CI703" s="27" t="s">
        <v>8</v>
      </c>
      <c r="CJ703" s="27" t="s">
        <v>7</v>
      </c>
      <c r="CL703" s="27" t="s">
        <v>7</v>
      </c>
      <c r="CM703" s="27" t="s">
        <v>8</v>
      </c>
      <c r="CN703" s="27" t="s">
        <v>7</v>
      </c>
      <c r="DB703" s="27" t="s">
        <v>7</v>
      </c>
      <c r="DR703" s="27" t="s">
        <v>7</v>
      </c>
      <c r="DS703" s="27" t="s">
        <v>8</v>
      </c>
      <c r="DT703" s="27" t="s">
        <v>7</v>
      </c>
      <c r="DU703" s="27" t="s">
        <v>8</v>
      </c>
      <c r="DX703" s="27" t="s">
        <v>7</v>
      </c>
      <c r="DY703" s="27" t="s">
        <v>8</v>
      </c>
      <c r="DZ703" s="27" t="s">
        <v>7</v>
      </c>
      <c r="EE703" s="27" t="s">
        <v>8</v>
      </c>
      <c r="EF703" s="27" t="s">
        <v>7</v>
      </c>
      <c r="FG703" s="27" t="s">
        <v>8</v>
      </c>
      <c r="FH703" s="27" t="s">
        <v>7</v>
      </c>
      <c r="FQ703" s="27" t="s">
        <v>8</v>
      </c>
      <c r="FR703" s="27" t="s">
        <v>7</v>
      </c>
      <c r="FS703" s="27" t="s">
        <v>8</v>
      </c>
      <c r="FZ703" s="27" t="s">
        <v>7</v>
      </c>
      <c r="GA703" s="27" t="s">
        <v>8</v>
      </c>
      <c r="GB703" s="27" t="s">
        <v>7</v>
      </c>
      <c r="GC703" s="27" t="s">
        <v>8</v>
      </c>
    </row>
    <row r="704" spans="1:285" x14ac:dyDescent="0.25">
      <c r="A704" s="7">
        <v>9.8577977558580512E-2</v>
      </c>
      <c r="B704"/>
      <c r="C704"/>
      <c r="D704"/>
      <c r="E704"/>
      <c r="F704" s="27" t="s">
        <v>7</v>
      </c>
      <c r="U704" s="27" t="s">
        <v>8</v>
      </c>
      <c r="V704" s="27" t="s">
        <v>7</v>
      </c>
      <c r="X704" s="27" t="s">
        <v>7</v>
      </c>
      <c r="Y704" s="27" t="s">
        <v>8</v>
      </c>
      <c r="AB704" s="27" t="s">
        <v>7</v>
      </c>
      <c r="AC704" s="27" t="s">
        <v>8</v>
      </c>
      <c r="AD704" s="27" t="s">
        <v>7</v>
      </c>
      <c r="AG704" s="27" t="s">
        <v>8</v>
      </c>
      <c r="AW704" s="27" t="s">
        <v>8</v>
      </c>
      <c r="AX704" s="27" t="s">
        <v>7</v>
      </c>
      <c r="AY704" s="27" t="s">
        <v>8</v>
      </c>
      <c r="BA704" s="27" t="s">
        <v>8</v>
      </c>
      <c r="BB704" s="27" t="s">
        <v>7</v>
      </c>
      <c r="BK704" s="27" t="s">
        <v>8</v>
      </c>
      <c r="BL704" s="27" t="s">
        <v>7</v>
      </c>
      <c r="BO704" s="27" t="s">
        <v>8</v>
      </c>
      <c r="BW704" s="27" t="s">
        <v>8</v>
      </c>
      <c r="BX704" s="27" t="s">
        <v>7</v>
      </c>
      <c r="BY704" s="27" t="s">
        <v>8</v>
      </c>
      <c r="CF704" s="27" t="s">
        <v>7</v>
      </c>
      <c r="CH704" s="27" t="s">
        <v>7</v>
      </c>
      <c r="CI704" s="27" t="s">
        <v>8</v>
      </c>
      <c r="CL704" s="27" t="s">
        <v>7</v>
      </c>
      <c r="DR704" s="27" t="s">
        <v>7</v>
      </c>
      <c r="DS704" s="27" t="s">
        <v>8</v>
      </c>
      <c r="DT704" s="27" t="s">
        <v>7</v>
      </c>
      <c r="DU704" s="27" t="s">
        <v>8</v>
      </c>
      <c r="DX704" s="27" t="s">
        <v>7</v>
      </c>
      <c r="DY704" s="27" t="s">
        <v>8</v>
      </c>
      <c r="DZ704" s="27" t="s">
        <v>7</v>
      </c>
      <c r="EA704" s="27" t="s">
        <v>8</v>
      </c>
      <c r="EE704" s="27" t="s">
        <v>8</v>
      </c>
      <c r="EF704" s="27" t="s">
        <v>7</v>
      </c>
      <c r="EI704" s="27" t="s">
        <v>8</v>
      </c>
      <c r="EW704" s="27" t="s">
        <v>8</v>
      </c>
      <c r="FG704" s="27" t="s">
        <v>8</v>
      </c>
      <c r="FH704" s="27" t="s">
        <v>7</v>
      </c>
      <c r="FQ704" s="27" t="s">
        <v>8</v>
      </c>
      <c r="FR704" s="27" t="s">
        <v>7</v>
      </c>
      <c r="FZ704" s="27" t="s">
        <v>7</v>
      </c>
      <c r="GA704" s="27" t="s">
        <v>8</v>
      </c>
      <c r="GB704" s="27" t="s">
        <v>7</v>
      </c>
      <c r="GC704" s="27" t="s">
        <v>8</v>
      </c>
    </row>
    <row r="705" spans="1:185" x14ac:dyDescent="0.25">
      <c r="A705" s="7">
        <v>9.6645076037824032E-2</v>
      </c>
      <c r="B705"/>
      <c r="C705"/>
      <c r="D705"/>
      <c r="E705"/>
      <c r="F705" s="27" t="s">
        <v>7</v>
      </c>
      <c r="U705" s="27" t="s">
        <v>8</v>
      </c>
      <c r="X705" s="27" t="s">
        <v>7</v>
      </c>
      <c r="AB705" s="27" t="s">
        <v>7</v>
      </c>
      <c r="AC705" s="27" t="s">
        <v>8</v>
      </c>
      <c r="AD705" s="27" t="s">
        <v>7</v>
      </c>
      <c r="AE705" s="27" t="s">
        <v>8</v>
      </c>
      <c r="AG705" s="27" t="s">
        <v>8</v>
      </c>
      <c r="AH705" s="27" t="s">
        <v>7</v>
      </c>
      <c r="AW705" s="27" t="s">
        <v>8</v>
      </c>
      <c r="AX705" s="27" t="s">
        <v>7</v>
      </c>
      <c r="AY705" s="27" t="s">
        <v>8</v>
      </c>
      <c r="AZ705" s="27" t="s">
        <v>7</v>
      </c>
      <c r="BA705" s="27" t="s">
        <v>8</v>
      </c>
      <c r="BB705" s="27" t="s">
        <v>7</v>
      </c>
      <c r="BK705" s="27" t="s">
        <v>8</v>
      </c>
      <c r="BL705" s="27" t="s">
        <v>7</v>
      </c>
      <c r="BO705" s="27" t="s">
        <v>8</v>
      </c>
      <c r="BP705" s="27" t="s">
        <v>7</v>
      </c>
      <c r="BQ705" s="27" t="s">
        <v>8</v>
      </c>
      <c r="BW705" s="27" t="s">
        <v>8</v>
      </c>
      <c r="BX705" s="27" t="s">
        <v>7</v>
      </c>
      <c r="BY705" s="27" t="s">
        <v>8</v>
      </c>
      <c r="CH705" s="27" t="s">
        <v>7</v>
      </c>
      <c r="CI705" s="27" t="s">
        <v>8</v>
      </c>
      <c r="DR705" s="27" t="s">
        <v>7</v>
      </c>
      <c r="DS705" s="27" t="s">
        <v>8</v>
      </c>
      <c r="DT705" s="27" t="s">
        <v>7</v>
      </c>
      <c r="DU705" s="27" t="s">
        <v>8</v>
      </c>
      <c r="DX705" s="27" t="s">
        <v>7</v>
      </c>
      <c r="DY705" s="27" t="s">
        <v>8</v>
      </c>
      <c r="DZ705" s="27" t="s">
        <v>7</v>
      </c>
      <c r="EA705" s="27" t="s">
        <v>8</v>
      </c>
      <c r="EB705" s="27" t="s">
        <v>7</v>
      </c>
      <c r="EE705" s="27" t="s">
        <v>8</v>
      </c>
      <c r="EF705" s="27" t="s">
        <v>7</v>
      </c>
      <c r="EI705" s="27" t="s">
        <v>8</v>
      </c>
      <c r="EJ705" s="27" t="s">
        <v>7</v>
      </c>
      <c r="EW705" s="27" t="s">
        <v>8</v>
      </c>
      <c r="EX705" s="27" t="s">
        <v>7</v>
      </c>
      <c r="FG705" s="27" t="s">
        <v>8</v>
      </c>
      <c r="FH705" s="27" t="s">
        <v>7</v>
      </c>
      <c r="FI705" s="27" t="s">
        <v>8</v>
      </c>
      <c r="FQ705" s="27" t="s">
        <v>8</v>
      </c>
      <c r="FZ705" s="27" t="s">
        <v>7</v>
      </c>
      <c r="GA705" s="27" t="s">
        <v>8</v>
      </c>
      <c r="GB705" s="27" t="s">
        <v>7</v>
      </c>
      <c r="GC705" s="27" t="s">
        <v>8</v>
      </c>
    </row>
    <row r="706" spans="1:185" x14ac:dyDescent="0.25">
      <c r="A706" s="7">
        <v>9.4750074546886304E-2</v>
      </c>
      <c r="B706"/>
      <c r="C706"/>
      <c r="D706"/>
      <c r="E706"/>
      <c r="F706" s="27" t="s">
        <v>7</v>
      </c>
      <c r="U706" s="27" t="s">
        <v>8</v>
      </c>
      <c r="AB706" s="27" t="s">
        <v>7</v>
      </c>
      <c r="AC706" s="27" t="s">
        <v>8</v>
      </c>
      <c r="AD706" s="27" t="s">
        <v>7</v>
      </c>
      <c r="AE706" s="27" t="s">
        <v>8</v>
      </c>
      <c r="AF706" s="27" t="s">
        <v>7</v>
      </c>
      <c r="AG706" s="27" t="s">
        <v>8</v>
      </c>
      <c r="AH706" s="27" t="s">
        <v>7</v>
      </c>
      <c r="AW706" s="27" t="s">
        <v>8</v>
      </c>
      <c r="AX706" s="27" t="s">
        <v>7</v>
      </c>
      <c r="AY706" s="27" t="s">
        <v>8</v>
      </c>
      <c r="AZ706" s="27" t="s">
        <v>7</v>
      </c>
      <c r="BA706" s="27" t="s">
        <v>8</v>
      </c>
      <c r="BB706" s="27" t="s">
        <v>7</v>
      </c>
      <c r="BE706" s="27" t="s">
        <v>8</v>
      </c>
      <c r="BI706" s="27" t="s">
        <v>8</v>
      </c>
      <c r="BK706" s="27" t="s">
        <v>8</v>
      </c>
      <c r="BL706" s="27" t="s">
        <v>7</v>
      </c>
      <c r="BM706" s="27" t="s">
        <v>8</v>
      </c>
      <c r="BO706" s="27" t="s">
        <v>8</v>
      </c>
      <c r="BP706" s="27" t="s">
        <v>7</v>
      </c>
      <c r="BQ706" s="27" t="s">
        <v>8</v>
      </c>
      <c r="BR706" s="27" t="s">
        <v>7</v>
      </c>
      <c r="BU706" s="27" t="s">
        <v>8</v>
      </c>
      <c r="BW706" s="27" t="s">
        <v>8</v>
      </c>
      <c r="BX706" s="27" t="s">
        <v>7</v>
      </c>
      <c r="BY706" s="27" t="s">
        <v>8</v>
      </c>
      <c r="CH706" s="27" t="s">
        <v>7</v>
      </c>
      <c r="CI706" s="27" t="s">
        <v>8</v>
      </c>
      <c r="DR706" s="27" t="s">
        <v>7</v>
      </c>
      <c r="DS706" s="27" t="s">
        <v>8</v>
      </c>
      <c r="DT706" s="27" t="s">
        <v>7</v>
      </c>
      <c r="DU706" s="27" t="s">
        <v>8</v>
      </c>
      <c r="DX706" s="27" t="s">
        <v>7</v>
      </c>
      <c r="DZ706" s="27" t="s">
        <v>7</v>
      </c>
      <c r="EA706" s="27" t="s">
        <v>8</v>
      </c>
      <c r="EB706" s="27" t="s">
        <v>7</v>
      </c>
      <c r="EE706" s="27" t="s">
        <v>8</v>
      </c>
      <c r="EF706" s="27" t="s">
        <v>7</v>
      </c>
      <c r="EI706" s="27" t="s">
        <v>8</v>
      </c>
      <c r="EJ706" s="27" t="s">
        <v>7</v>
      </c>
      <c r="EW706" s="27" t="s">
        <v>8</v>
      </c>
      <c r="EX706" s="27" t="s">
        <v>7</v>
      </c>
      <c r="FG706" s="27" t="s">
        <v>8</v>
      </c>
      <c r="FH706" s="27" t="s">
        <v>7</v>
      </c>
      <c r="FI706" s="27" t="s">
        <v>8</v>
      </c>
      <c r="FJ706" s="27" t="s">
        <v>7</v>
      </c>
      <c r="FQ706" s="27" t="s">
        <v>8</v>
      </c>
      <c r="FZ706" s="27" t="s">
        <v>7</v>
      </c>
      <c r="GA706" s="27" t="s">
        <v>8</v>
      </c>
      <c r="GB706" s="27" t="s">
        <v>7</v>
      </c>
    </row>
    <row r="707" spans="1:185" x14ac:dyDescent="0.25">
      <c r="A707" s="7">
        <v>9.2892229947927743E-2</v>
      </c>
      <c r="B707"/>
      <c r="C707"/>
      <c r="D707"/>
      <c r="E707"/>
      <c r="F707" s="27" t="s">
        <v>7</v>
      </c>
      <c r="U707" s="27" t="s">
        <v>8</v>
      </c>
      <c r="AB707" s="27" t="s">
        <v>7</v>
      </c>
      <c r="AC707" s="27" t="s">
        <v>8</v>
      </c>
      <c r="AD707" s="27" t="s">
        <v>7</v>
      </c>
      <c r="AE707" s="27" t="s">
        <v>8</v>
      </c>
      <c r="AF707" s="27" t="s">
        <v>7</v>
      </c>
      <c r="AG707" s="27" t="s">
        <v>8</v>
      </c>
      <c r="AH707" s="27" t="s">
        <v>7</v>
      </c>
      <c r="AW707" s="27" t="s">
        <v>8</v>
      </c>
      <c r="AX707" s="27" t="s">
        <v>7</v>
      </c>
      <c r="AY707" s="27" t="s">
        <v>8</v>
      </c>
      <c r="AZ707" s="27" t="s">
        <v>7</v>
      </c>
      <c r="BA707" s="27" t="s">
        <v>8</v>
      </c>
      <c r="BB707" s="27" t="s">
        <v>7</v>
      </c>
      <c r="BE707" s="27" t="s">
        <v>8</v>
      </c>
      <c r="BF707" s="27" t="s">
        <v>7</v>
      </c>
      <c r="BI707" s="27" t="s">
        <v>8</v>
      </c>
      <c r="BJ707" s="27" t="s">
        <v>7</v>
      </c>
      <c r="BK707" s="27" t="s">
        <v>8</v>
      </c>
      <c r="BL707" s="27" t="s">
        <v>7</v>
      </c>
      <c r="BM707" s="27" t="s">
        <v>8</v>
      </c>
      <c r="BN707" s="27" t="s">
        <v>7</v>
      </c>
      <c r="BO707" s="27" t="s">
        <v>8</v>
      </c>
      <c r="BP707" s="27" t="s">
        <v>7</v>
      </c>
      <c r="BQ707" s="27" t="s">
        <v>8</v>
      </c>
      <c r="BR707" s="27" t="s">
        <v>7</v>
      </c>
      <c r="BU707" s="27" t="s">
        <v>8</v>
      </c>
      <c r="BV707" s="27" t="s">
        <v>7</v>
      </c>
      <c r="BW707" s="27" t="s">
        <v>8</v>
      </c>
      <c r="BX707" s="27" t="s">
        <v>7</v>
      </c>
      <c r="BY707" s="27" t="s">
        <v>8</v>
      </c>
      <c r="CH707" s="27" t="s">
        <v>7</v>
      </c>
      <c r="DR707" s="27" t="s">
        <v>7</v>
      </c>
      <c r="DT707" s="27" t="s">
        <v>7</v>
      </c>
      <c r="DZ707" s="27" t="s">
        <v>7</v>
      </c>
      <c r="EA707" s="27" t="s">
        <v>8</v>
      </c>
      <c r="EB707" s="27" t="s">
        <v>7</v>
      </c>
      <c r="EC707" s="27" t="s">
        <v>8</v>
      </c>
      <c r="EE707" s="27" t="s">
        <v>8</v>
      </c>
      <c r="EF707" s="27" t="s">
        <v>7</v>
      </c>
      <c r="EI707" s="27" t="s">
        <v>8</v>
      </c>
      <c r="EJ707" s="27" t="s">
        <v>7</v>
      </c>
      <c r="EO707" s="27" t="s">
        <v>8</v>
      </c>
      <c r="EW707" s="27" t="s">
        <v>8</v>
      </c>
      <c r="EX707" s="27" t="s">
        <v>7</v>
      </c>
      <c r="FG707" s="27" t="s">
        <v>8</v>
      </c>
      <c r="FH707" s="27" t="s">
        <v>7</v>
      </c>
      <c r="FI707" s="27" t="s">
        <v>8</v>
      </c>
      <c r="FJ707" s="27" t="s">
        <v>7</v>
      </c>
      <c r="FQ707" s="27" t="s">
        <v>8</v>
      </c>
      <c r="FZ707" s="27" t="s">
        <v>7</v>
      </c>
      <c r="GA707" s="27" t="s">
        <v>8</v>
      </c>
    </row>
    <row r="708" spans="1:185" x14ac:dyDescent="0.25">
      <c r="A708" s="7">
        <v>9.1070813674438963E-2</v>
      </c>
      <c r="B708"/>
      <c r="C708"/>
      <c r="D708"/>
      <c r="E708"/>
      <c r="F708" s="27" t="s">
        <v>7</v>
      </c>
      <c r="U708" s="27" t="s">
        <v>8</v>
      </c>
      <c r="AB708" s="27" t="s">
        <v>7</v>
      </c>
      <c r="AC708" s="27" t="s">
        <v>8</v>
      </c>
      <c r="AD708" s="27" t="s">
        <v>7</v>
      </c>
      <c r="AE708" s="27" t="s">
        <v>8</v>
      </c>
      <c r="AF708" s="27" t="s">
        <v>7</v>
      </c>
      <c r="AG708" s="27" t="s">
        <v>8</v>
      </c>
      <c r="AH708" s="27" t="s">
        <v>7</v>
      </c>
      <c r="AW708" s="27" t="s">
        <v>8</v>
      </c>
      <c r="AX708" s="27" t="s">
        <v>7</v>
      </c>
      <c r="AY708" s="27" t="s">
        <v>8</v>
      </c>
      <c r="AZ708" s="27" t="s">
        <v>7</v>
      </c>
      <c r="BA708" s="27" t="s">
        <v>8</v>
      </c>
      <c r="BB708" s="27" t="s">
        <v>7</v>
      </c>
      <c r="BE708" s="27" t="s">
        <v>8</v>
      </c>
      <c r="BF708" s="27" t="s">
        <v>7</v>
      </c>
      <c r="BI708" s="27" t="s">
        <v>8</v>
      </c>
      <c r="BJ708" s="27" t="s">
        <v>7</v>
      </c>
      <c r="BK708" s="27" t="s">
        <v>8</v>
      </c>
      <c r="BL708" s="27" t="s">
        <v>7</v>
      </c>
      <c r="BM708" s="27" t="s">
        <v>8</v>
      </c>
      <c r="BN708" s="27" t="s">
        <v>7</v>
      </c>
      <c r="BO708" s="27" t="s">
        <v>8</v>
      </c>
      <c r="BP708" s="27" t="s">
        <v>7</v>
      </c>
      <c r="BQ708" s="27" t="s">
        <v>8</v>
      </c>
      <c r="BR708" s="27" t="s">
        <v>7</v>
      </c>
      <c r="BU708" s="27" t="s">
        <v>8</v>
      </c>
      <c r="BV708" s="27" t="s">
        <v>7</v>
      </c>
      <c r="BW708" s="27" t="s">
        <v>8</v>
      </c>
      <c r="BX708" s="27" t="s">
        <v>7</v>
      </c>
      <c r="BY708" s="27" t="s">
        <v>8</v>
      </c>
      <c r="DZ708" s="27" t="s">
        <v>7</v>
      </c>
      <c r="EA708" s="27" t="s">
        <v>8</v>
      </c>
      <c r="EB708" s="27" t="s">
        <v>7</v>
      </c>
      <c r="EC708" s="27" t="s">
        <v>8</v>
      </c>
      <c r="ED708" s="27" t="s">
        <v>7</v>
      </c>
      <c r="EE708" s="27" t="s">
        <v>8</v>
      </c>
      <c r="EF708" s="27" t="s">
        <v>7</v>
      </c>
      <c r="EG708" s="27" t="s">
        <v>8</v>
      </c>
      <c r="EI708" s="27" t="s">
        <v>8</v>
      </c>
      <c r="EJ708" s="27" t="s">
        <v>7</v>
      </c>
      <c r="EO708" s="27" t="s">
        <v>8</v>
      </c>
      <c r="EP708" s="27" t="s">
        <v>7</v>
      </c>
      <c r="EU708" s="27" t="s">
        <v>8</v>
      </c>
      <c r="EW708" s="27" t="s">
        <v>8</v>
      </c>
      <c r="EX708" s="27" t="s">
        <v>7</v>
      </c>
      <c r="FG708" s="27" t="s">
        <v>8</v>
      </c>
      <c r="FH708" s="27" t="s">
        <v>7</v>
      </c>
      <c r="FI708" s="27" t="s">
        <v>8</v>
      </c>
      <c r="FJ708" s="27" t="s">
        <v>7</v>
      </c>
      <c r="FO708" s="27" t="s">
        <v>8</v>
      </c>
      <c r="FQ708" s="27" t="s">
        <v>8</v>
      </c>
      <c r="FZ708" s="27" t="s">
        <v>7</v>
      </c>
      <c r="GA708" s="27" t="s">
        <v>8</v>
      </c>
    </row>
    <row r="709" spans="1:185" x14ac:dyDescent="0.25">
      <c r="A709" s="7">
        <v>8.9285111445528392E-2</v>
      </c>
      <c r="B709"/>
      <c r="C709"/>
      <c r="D709"/>
      <c r="E709"/>
      <c r="F709" s="27" t="s">
        <v>7</v>
      </c>
      <c r="Q709" s="27" t="s">
        <v>8</v>
      </c>
      <c r="S709" s="27" t="s">
        <v>8</v>
      </c>
      <c r="U709" s="27" t="s">
        <v>8</v>
      </c>
      <c r="AB709" s="27" t="s">
        <v>7</v>
      </c>
      <c r="AC709" s="27" t="s">
        <v>8</v>
      </c>
      <c r="AD709" s="27" t="s">
        <v>7</v>
      </c>
      <c r="AE709" s="27" t="s">
        <v>8</v>
      </c>
      <c r="AF709" s="27" t="s">
        <v>7</v>
      </c>
      <c r="AG709" s="27" t="s">
        <v>8</v>
      </c>
      <c r="AH709" s="27" t="s">
        <v>7</v>
      </c>
      <c r="AW709" s="27" t="s">
        <v>8</v>
      </c>
      <c r="AX709" s="27" t="s">
        <v>7</v>
      </c>
      <c r="AY709" s="27" t="s">
        <v>8</v>
      </c>
      <c r="AZ709" s="27" t="s">
        <v>7</v>
      </c>
      <c r="BA709" s="27" t="s">
        <v>8</v>
      </c>
      <c r="BB709" s="27" t="s">
        <v>7</v>
      </c>
      <c r="BC709" s="27" t="s">
        <v>8</v>
      </c>
      <c r="BE709" s="27" t="s">
        <v>8</v>
      </c>
      <c r="BF709" s="27" t="s">
        <v>7</v>
      </c>
      <c r="BG709" s="27" t="s">
        <v>8</v>
      </c>
      <c r="BI709" s="27" t="s">
        <v>8</v>
      </c>
      <c r="BJ709" s="27" t="s">
        <v>7</v>
      </c>
      <c r="BK709" s="27" t="s">
        <v>8</v>
      </c>
      <c r="BL709" s="27" t="s">
        <v>7</v>
      </c>
      <c r="BM709" s="27" t="s">
        <v>8</v>
      </c>
      <c r="BN709" s="27" t="s">
        <v>7</v>
      </c>
      <c r="BO709" s="27" t="s">
        <v>8</v>
      </c>
      <c r="BP709" s="27" t="s">
        <v>7</v>
      </c>
      <c r="BR709" s="27" t="s">
        <v>7</v>
      </c>
      <c r="BU709" s="27" t="s">
        <v>8</v>
      </c>
      <c r="BV709" s="27" t="s">
        <v>7</v>
      </c>
      <c r="BW709" s="27" t="s">
        <v>8</v>
      </c>
      <c r="BX709" s="27" t="s">
        <v>7</v>
      </c>
      <c r="BY709" s="27" t="s">
        <v>8</v>
      </c>
      <c r="DZ709" s="27" t="s">
        <v>7</v>
      </c>
      <c r="EA709" s="27" t="s">
        <v>8</v>
      </c>
      <c r="EB709" s="27" t="s">
        <v>7</v>
      </c>
      <c r="EC709" s="27" t="s">
        <v>8</v>
      </c>
      <c r="ED709" s="27" t="s">
        <v>7</v>
      </c>
      <c r="EE709" s="27" t="s">
        <v>8</v>
      </c>
      <c r="EF709" s="27" t="s">
        <v>7</v>
      </c>
      <c r="EG709" s="27" t="s">
        <v>8</v>
      </c>
      <c r="EH709" s="27" t="s">
        <v>7</v>
      </c>
      <c r="EI709" s="27" t="s">
        <v>8</v>
      </c>
      <c r="EJ709" s="27" t="s">
        <v>7</v>
      </c>
      <c r="EO709" s="27" t="s">
        <v>8</v>
      </c>
      <c r="EP709" s="27" t="s">
        <v>7</v>
      </c>
      <c r="EU709" s="27" t="s">
        <v>8</v>
      </c>
      <c r="EV709" s="27" t="s">
        <v>7</v>
      </c>
      <c r="EW709" s="27" t="s">
        <v>8</v>
      </c>
      <c r="EX709" s="27" t="s">
        <v>7</v>
      </c>
      <c r="FG709" s="27" t="s">
        <v>8</v>
      </c>
      <c r="FH709" s="27" t="s">
        <v>7</v>
      </c>
      <c r="FI709" s="27" t="s">
        <v>8</v>
      </c>
      <c r="FJ709" s="27" t="s">
        <v>7</v>
      </c>
      <c r="FO709" s="27" t="s">
        <v>8</v>
      </c>
      <c r="FP709" s="27" t="s">
        <v>7</v>
      </c>
      <c r="FQ709" s="27" t="s">
        <v>8</v>
      </c>
      <c r="FZ709" s="27" t="s">
        <v>7</v>
      </c>
    </row>
    <row r="710" spans="1:185" x14ac:dyDescent="0.25">
      <c r="A710" s="7">
        <v>8.7534422985812155E-2</v>
      </c>
      <c r="B710"/>
      <c r="C710"/>
      <c r="D710"/>
      <c r="E710"/>
      <c r="F710" s="27" t="s">
        <v>7</v>
      </c>
      <c r="Q710" s="27" t="s">
        <v>8</v>
      </c>
      <c r="R710" s="27" t="s">
        <v>7</v>
      </c>
      <c r="S710" s="27" t="s">
        <v>8</v>
      </c>
      <c r="T710" s="27" t="s">
        <v>7</v>
      </c>
      <c r="U710" s="27" t="s">
        <v>8</v>
      </c>
      <c r="AB710" s="27" t="s">
        <v>7</v>
      </c>
      <c r="AD710" s="27" t="s">
        <v>7</v>
      </c>
      <c r="AE710" s="27" t="s">
        <v>8</v>
      </c>
      <c r="AF710" s="27" t="s">
        <v>7</v>
      </c>
      <c r="AG710" s="27" t="s">
        <v>8</v>
      </c>
      <c r="AH710" s="27" t="s">
        <v>7</v>
      </c>
      <c r="AK710" s="27" t="s">
        <v>8</v>
      </c>
      <c r="AW710" s="27" t="s">
        <v>8</v>
      </c>
      <c r="AX710" s="27" t="s">
        <v>7</v>
      </c>
      <c r="AY710" s="27" t="s">
        <v>8</v>
      </c>
      <c r="AZ710" s="27" t="s">
        <v>7</v>
      </c>
      <c r="BA710" s="27" t="s">
        <v>8</v>
      </c>
      <c r="BB710" s="27" t="s">
        <v>7</v>
      </c>
      <c r="BC710" s="27" t="s">
        <v>8</v>
      </c>
      <c r="BD710" s="27" t="s">
        <v>7</v>
      </c>
      <c r="BE710" s="27" t="s">
        <v>8</v>
      </c>
      <c r="BF710" s="27" t="s">
        <v>7</v>
      </c>
      <c r="BG710" s="27" t="s">
        <v>8</v>
      </c>
      <c r="BH710" s="27" t="s">
        <v>7</v>
      </c>
      <c r="BI710" s="27" t="s">
        <v>8</v>
      </c>
      <c r="BJ710" s="27" t="s">
        <v>7</v>
      </c>
      <c r="BK710" s="27" t="s">
        <v>8</v>
      </c>
      <c r="BL710" s="27" t="s">
        <v>7</v>
      </c>
      <c r="BM710" s="27" t="s">
        <v>8</v>
      </c>
      <c r="BN710" s="27" t="s">
        <v>7</v>
      </c>
      <c r="BR710" s="27" t="s">
        <v>7</v>
      </c>
      <c r="BU710" s="27" t="s">
        <v>8</v>
      </c>
      <c r="BV710" s="27" t="s">
        <v>7</v>
      </c>
      <c r="BW710" s="27" t="s">
        <v>8</v>
      </c>
      <c r="BX710" s="27" t="s">
        <v>7</v>
      </c>
      <c r="DZ710" s="27" t="s">
        <v>7</v>
      </c>
      <c r="EB710" s="27" t="s">
        <v>7</v>
      </c>
      <c r="EC710" s="27" t="s">
        <v>8</v>
      </c>
      <c r="ED710" s="27" t="s">
        <v>7</v>
      </c>
      <c r="EE710" s="27" t="s">
        <v>8</v>
      </c>
      <c r="EF710" s="27" t="s">
        <v>7</v>
      </c>
      <c r="EG710" s="27" t="s">
        <v>8</v>
      </c>
      <c r="EH710" s="27" t="s">
        <v>7</v>
      </c>
      <c r="EI710" s="27" t="s">
        <v>8</v>
      </c>
      <c r="EJ710" s="27" t="s">
        <v>7</v>
      </c>
      <c r="EO710" s="27" t="s">
        <v>8</v>
      </c>
      <c r="EP710" s="27" t="s">
        <v>7</v>
      </c>
      <c r="EU710" s="27" t="s">
        <v>8</v>
      </c>
      <c r="EV710" s="27" t="s">
        <v>7</v>
      </c>
      <c r="EW710" s="27" t="s">
        <v>8</v>
      </c>
      <c r="EX710" s="27" t="s">
        <v>7</v>
      </c>
      <c r="EY710" s="27" t="s">
        <v>8</v>
      </c>
      <c r="FA710" s="27" t="s">
        <v>8</v>
      </c>
      <c r="FE710" s="27" t="s">
        <v>8</v>
      </c>
      <c r="FG710" s="27" t="s">
        <v>8</v>
      </c>
      <c r="FH710" s="27" t="s">
        <v>7</v>
      </c>
      <c r="FI710" s="27" t="s">
        <v>8</v>
      </c>
      <c r="FJ710" s="27" t="s">
        <v>7</v>
      </c>
      <c r="FM710" s="27" t="s">
        <v>8</v>
      </c>
      <c r="FO710" s="27" t="s">
        <v>8</v>
      </c>
      <c r="FP710" s="27" t="s">
        <v>7</v>
      </c>
      <c r="FQ710" s="27" t="s">
        <v>8</v>
      </c>
    </row>
    <row r="711" spans="1:185" x14ac:dyDescent="0.25">
      <c r="A711" s="7">
        <v>8.5818061750796232E-2</v>
      </c>
      <c r="B711"/>
      <c r="C711"/>
      <c r="D711"/>
      <c r="E711"/>
      <c r="F711" s="27" t="s">
        <v>7</v>
      </c>
      <c r="Q711" s="27" t="s">
        <v>8</v>
      </c>
      <c r="R711" s="27" t="s">
        <v>7</v>
      </c>
      <c r="S711" s="27" t="s">
        <v>8</v>
      </c>
      <c r="T711" s="27" t="s">
        <v>7</v>
      </c>
      <c r="U711" s="27" t="s">
        <v>8</v>
      </c>
      <c r="AD711" s="27" t="s">
        <v>7</v>
      </c>
      <c r="AE711" s="27" t="s">
        <v>8</v>
      </c>
      <c r="AF711" s="27" t="s">
        <v>7</v>
      </c>
      <c r="AH711" s="27" t="s">
        <v>7</v>
      </c>
      <c r="AK711" s="27" t="s">
        <v>8</v>
      </c>
      <c r="AL711" s="27" t="s">
        <v>7</v>
      </c>
      <c r="AW711" s="27" t="s">
        <v>8</v>
      </c>
      <c r="AX711" s="27" t="s">
        <v>7</v>
      </c>
      <c r="AY711" s="27" t="s">
        <v>8</v>
      </c>
      <c r="AZ711" s="27" t="s">
        <v>7</v>
      </c>
      <c r="BA711" s="27" t="s">
        <v>8</v>
      </c>
      <c r="BB711" s="27" t="s">
        <v>7</v>
      </c>
      <c r="BC711" s="27" t="s">
        <v>8</v>
      </c>
      <c r="BD711" s="27" t="s">
        <v>7</v>
      </c>
      <c r="BE711" s="27" t="s">
        <v>8</v>
      </c>
      <c r="BF711" s="27" t="s">
        <v>7</v>
      </c>
      <c r="BG711" s="27" t="s">
        <v>8</v>
      </c>
      <c r="BH711" s="27" t="s">
        <v>7</v>
      </c>
      <c r="BI711" s="27" t="s">
        <v>8</v>
      </c>
      <c r="BJ711" s="27" t="s">
        <v>7</v>
      </c>
      <c r="BL711" s="27" t="s">
        <v>7</v>
      </c>
      <c r="BM711" s="27" t="s">
        <v>8</v>
      </c>
      <c r="BR711" s="27" t="s">
        <v>7</v>
      </c>
      <c r="BU711" s="27" t="s">
        <v>8</v>
      </c>
      <c r="BV711" s="27" t="s">
        <v>7</v>
      </c>
      <c r="EB711" s="27" t="s">
        <v>7</v>
      </c>
      <c r="EC711" s="27" t="s">
        <v>8</v>
      </c>
      <c r="ED711" s="27" t="s">
        <v>7</v>
      </c>
      <c r="EF711" s="27" t="s">
        <v>7</v>
      </c>
      <c r="EH711" s="27" t="s">
        <v>7</v>
      </c>
      <c r="EI711" s="27" t="s">
        <v>8</v>
      </c>
      <c r="EJ711" s="27" t="s">
        <v>7</v>
      </c>
      <c r="EO711" s="27" t="s">
        <v>8</v>
      </c>
      <c r="EP711" s="27" t="s">
        <v>7</v>
      </c>
      <c r="EU711" s="27" t="s">
        <v>8</v>
      </c>
      <c r="EV711" s="27" t="s">
        <v>7</v>
      </c>
      <c r="EW711" s="27" t="s">
        <v>8</v>
      </c>
      <c r="EX711" s="27" t="s">
        <v>7</v>
      </c>
      <c r="EY711" s="27" t="s">
        <v>8</v>
      </c>
      <c r="EZ711" s="27" t="s">
        <v>7</v>
      </c>
      <c r="FA711" s="27" t="s">
        <v>8</v>
      </c>
      <c r="FB711" s="27" t="s">
        <v>7</v>
      </c>
      <c r="FC711" s="27" t="s">
        <v>8</v>
      </c>
      <c r="FE711" s="27" t="s">
        <v>8</v>
      </c>
      <c r="FF711" s="27" t="s">
        <v>7</v>
      </c>
      <c r="FG711" s="27" t="s">
        <v>8</v>
      </c>
      <c r="FH711" s="27" t="s">
        <v>7</v>
      </c>
      <c r="FI711" s="27" t="s">
        <v>8</v>
      </c>
      <c r="FJ711" s="27" t="s">
        <v>7</v>
      </c>
      <c r="FM711" s="27" t="s">
        <v>8</v>
      </c>
      <c r="FN711" s="27" t="s">
        <v>7</v>
      </c>
      <c r="FO711" s="27" t="s">
        <v>8</v>
      </c>
      <c r="FP711" s="27" t="s">
        <v>7</v>
      </c>
      <c r="FQ711" s="27" t="s">
        <v>8</v>
      </c>
    </row>
    <row r="712" spans="1:185" x14ac:dyDescent="0.25">
      <c r="A712" s="7">
        <v>8.4135354657643366E-2</v>
      </c>
      <c r="B712"/>
      <c r="C712"/>
      <c r="D712"/>
      <c r="E712"/>
      <c r="F712" s="27" t="s">
        <v>7</v>
      </c>
      <c r="Q712" s="27" t="s">
        <v>8</v>
      </c>
      <c r="R712" s="27" t="s">
        <v>7</v>
      </c>
      <c r="S712" s="27" t="s">
        <v>8</v>
      </c>
      <c r="T712" s="27" t="s">
        <v>7</v>
      </c>
      <c r="U712" s="27" t="s">
        <v>8</v>
      </c>
      <c r="AD712" s="27" t="s">
        <v>7</v>
      </c>
      <c r="AH712" s="27" t="s">
        <v>7</v>
      </c>
      <c r="AK712" s="27" t="s">
        <v>8</v>
      </c>
      <c r="AL712" s="27" t="s">
        <v>7</v>
      </c>
      <c r="AW712" s="27" t="s">
        <v>8</v>
      </c>
      <c r="AX712" s="27" t="s">
        <v>7</v>
      </c>
      <c r="AY712" s="27" t="s">
        <v>8</v>
      </c>
      <c r="AZ712" s="27" t="s">
        <v>7</v>
      </c>
      <c r="BA712" s="27" t="s">
        <v>8</v>
      </c>
      <c r="BB712" s="27" t="s">
        <v>7</v>
      </c>
      <c r="BD712" s="27" t="s">
        <v>7</v>
      </c>
      <c r="BF712" s="27" t="s">
        <v>7</v>
      </c>
      <c r="BG712" s="27" t="s">
        <v>8</v>
      </c>
      <c r="BH712" s="27" t="s">
        <v>7</v>
      </c>
      <c r="BI712" s="27" t="s">
        <v>8</v>
      </c>
      <c r="BL712" s="27" t="s">
        <v>7</v>
      </c>
      <c r="BM712" s="27" t="s">
        <v>8</v>
      </c>
      <c r="BR712" s="27" t="s">
        <v>7</v>
      </c>
      <c r="BS712" s="27" t="s">
        <v>8</v>
      </c>
      <c r="BU712" s="27" t="s">
        <v>8</v>
      </c>
      <c r="EB712" s="27" t="s">
        <v>7</v>
      </c>
      <c r="EC712" s="27" t="s">
        <v>8</v>
      </c>
      <c r="EH712" s="27" t="s">
        <v>7</v>
      </c>
      <c r="EI712" s="27" t="s">
        <v>8</v>
      </c>
      <c r="EJ712" s="27" t="s">
        <v>7</v>
      </c>
      <c r="EK712" s="27" t="s">
        <v>8</v>
      </c>
      <c r="EO712" s="27" t="s">
        <v>8</v>
      </c>
      <c r="EP712" s="27" t="s">
        <v>7</v>
      </c>
      <c r="EQ712" s="27" t="s">
        <v>8</v>
      </c>
      <c r="EU712" s="27" t="s">
        <v>8</v>
      </c>
      <c r="EV712" s="27" t="s">
        <v>7</v>
      </c>
      <c r="EW712" s="27" t="s">
        <v>8</v>
      </c>
      <c r="EX712" s="27" t="s">
        <v>7</v>
      </c>
      <c r="EY712" s="27" t="s">
        <v>8</v>
      </c>
      <c r="EZ712" s="27" t="s">
        <v>7</v>
      </c>
      <c r="FA712" s="27" t="s">
        <v>8</v>
      </c>
      <c r="FB712" s="27" t="s">
        <v>7</v>
      </c>
      <c r="FC712" s="27" t="s">
        <v>8</v>
      </c>
      <c r="FD712" s="27" t="s">
        <v>7</v>
      </c>
      <c r="FE712" s="27" t="s">
        <v>8</v>
      </c>
      <c r="FF712" s="27" t="s">
        <v>7</v>
      </c>
      <c r="FG712" s="27" t="s">
        <v>8</v>
      </c>
      <c r="FH712" s="27" t="s">
        <v>7</v>
      </c>
      <c r="FI712" s="27" t="s">
        <v>8</v>
      </c>
      <c r="FJ712" s="27" t="s">
        <v>7</v>
      </c>
      <c r="FM712" s="27" t="s">
        <v>8</v>
      </c>
      <c r="FN712" s="27" t="s">
        <v>7</v>
      </c>
      <c r="FO712" s="27" t="s">
        <v>8</v>
      </c>
      <c r="FP712" s="27" t="s">
        <v>7</v>
      </c>
      <c r="FQ712" s="27" t="s">
        <v>8</v>
      </c>
    </row>
    <row r="713" spans="1:185" x14ac:dyDescent="0.25">
      <c r="A713" s="7">
        <v>8.248564182121898E-2</v>
      </c>
      <c r="B713"/>
      <c r="C713"/>
      <c r="D713"/>
      <c r="E713"/>
      <c r="F713" s="27" t="s">
        <v>7</v>
      </c>
      <c r="Q713" s="27" t="s">
        <v>8</v>
      </c>
      <c r="R713" s="27" t="s">
        <v>7</v>
      </c>
      <c r="S713" s="27" t="s">
        <v>8</v>
      </c>
      <c r="T713" s="27" t="s">
        <v>7</v>
      </c>
      <c r="AH713" s="27" t="s">
        <v>7</v>
      </c>
      <c r="AK713" s="27" t="s">
        <v>8</v>
      </c>
      <c r="AL713" s="27" t="s">
        <v>7</v>
      </c>
      <c r="AW713" s="27" t="s">
        <v>8</v>
      </c>
      <c r="AX713" s="27" t="s">
        <v>7</v>
      </c>
      <c r="AY713" s="27" t="s">
        <v>8</v>
      </c>
      <c r="AZ713" s="27" t="s">
        <v>7</v>
      </c>
      <c r="BA713" s="27" t="s">
        <v>8</v>
      </c>
      <c r="BF713" s="27" t="s">
        <v>7</v>
      </c>
      <c r="BG713" s="27" t="s">
        <v>8</v>
      </c>
      <c r="BH713" s="27" t="s">
        <v>7</v>
      </c>
      <c r="BI713" s="27" t="s">
        <v>8</v>
      </c>
      <c r="BL713" s="27" t="s">
        <v>7</v>
      </c>
      <c r="BR713" s="27" t="s">
        <v>7</v>
      </c>
      <c r="BS713" s="27" t="s">
        <v>8</v>
      </c>
      <c r="BT713" s="27" t="s">
        <v>7</v>
      </c>
      <c r="BU713" s="27" t="s">
        <v>8</v>
      </c>
      <c r="EB713" s="27" t="s">
        <v>7</v>
      </c>
      <c r="EC713" s="27" t="s">
        <v>8</v>
      </c>
      <c r="EH713" s="27" t="s">
        <v>7</v>
      </c>
      <c r="EI713" s="27" t="s">
        <v>8</v>
      </c>
      <c r="EJ713" s="27" t="s">
        <v>7</v>
      </c>
      <c r="EK713" s="27" t="s">
        <v>8</v>
      </c>
      <c r="EL713" s="27" t="s">
        <v>7</v>
      </c>
      <c r="EM713" s="27" t="s">
        <v>8</v>
      </c>
      <c r="EO713" s="27" t="s">
        <v>8</v>
      </c>
      <c r="EP713" s="27" t="s">
        <v>7</v>
      </c>
      <c r="EQ713" s="27" t="s">
        <v>8</v>
      </c>
      <c r="ER713" s="27" t="s">
        <v>7</v>
      </c>
      <c r="ES713" s="27" t="s">
        <v>8</v>
      </c>
      <c r="EU713" s="27" t="s">
        <v>8</v>
      </c>
      <c r="EV713" s="27" t="s">
        <v>7</v>
      </c>
      <c r="EX713" s="27" t="s">
        <v>7</v>
      </c>
      <c r="EY713" s="27" t="s">
        <v>8</v>
      </c>
      <c r="EZ713" s="27" t="s">
        <v>7</v>
      </c>
      <c r="FA713" s="27" t="s">
        <v>8</v>
      </c>
      <c r="FB713" s="27" t="s">
        <v>7</v>
      </c>
      <c r="FC713" s="27" t="s">
        <v>8</v>
      </c>
      <c r="FD713" s="27" t="s">
        <v>7</v>
      </c>
      <c r="FE713" s="27" t="s">
        <v>8</v>
      </c>
      <c r="FF713" s="27" t="s">
        <v>7</v>
      </c>
      <c r="FG713" s="27" t="s">
        <v>8</v>
      </c>
      <c r="FH713" s="27" t="s">
        <v>7</v>
      </c>
      <c r="FJ713" s="27" t="s">
        <v>7</v>
      </c>
      <c r="FM713" s="27" t="s">
        <v>8</v>
      </c>
      <c r="FN713" s="27" t="s">
        <v>7</v>
      </c>
      <c r="FO713" s="27" t="s">
        <v>8</v>
      </c>
      <c r="FP713" s="27" t="s">
        <v>7</v>
      </c>
      <c r="FQ713" s="27" t="s">
        <v>8</v>
      </c>
    </row>
    <row r="714" spans="1:185" x14ac:dyDescent="0.25">
      <c r="A714" s="7">
        <v>8.0868276295312735E-2</v>
      </c>
      <c r="B714"/>
      <c r="C714"/>
      <c r="D714"/>
      <c r="E714"/>
      <c r="F714" s="27" t="s">
        <v>7</v>
      </c>
      <c r="Q714" s="27" t="s">
        <v>8</v>
      </c>
      <c r="R714" s="27" t="s">
        <v>7</v>
      </c>
      <c r="S714" s="27" t="s">
        <v>8</v>
      </c>
      <c r="AH714" s="27" t="s">
        <v>7</v>
      </c>
      <c r="AI714" s="27" t="s">
        <v>8</v>
      </c>
      <c r="AK714" s="27" t="s">
        <v>8</v>
      </c>
      <c r="AL714" s="27" t="s">
        <v>7</v>
      </c>
      <c r="AW714" s="27" t="s">
        <v>8</v>
      </c>
      <c r="AX714" s="27" t="s">
        <v>7</v>
      </c>
      <c r="AY714" s="27" t="s">
        <v>8</v>
      </c>
      <c r="AZ714" s="27" t="s">
        <v>7</v>
      </c>
      <c r="BA714" s="27" t="s">
        <v>8</v>
      </c>
      <c r="BF714" s="27" t="s">
        <v>7</v>
      </c>
      <c r="BH714" s="27" t="s">
        <v>7</v>
      </c>
      <c r="BI714" s="27" t="s">
        <v>8</v>
      </c>
      <c r="BR714" s="27" t="s">
        <v>7</v>
      </c>
      <c r="BS714" s="27" t="s">
        <v>8</v>
      </c>
      <c r="BT714" s="27" t="s">
        <v>7</v>
      </c>
      <c r="BU714" s="27" t="s">
        <v>8</v>
      </c>
      <c r="EB714" s="27" t="s">
        <v>7</v>
      </c>
      <c r="EC714" s="27" t="s">
        <v>8</v>
      </c>
      <c r="EH714" s="27" t="s">
        <v>7</v>
      </c>
      <c r="EI714" s="27" t="s">
        <v>8</v>
      </c>
      <c r="EJ714" s="27" t="s">
        <v>7</v>
      </c>
      <c r="EK714" s="27" t="s">
        <v>8</v>
      </c>
      <c r="EL714" s="27" t="s">
        <v>7</v>
      </c>
      <c r="EM714" s="27" t="s">
        <v>8</v>
      </c>
      <c r="EN714" s="27" t="s">
        <v>7</v>
      </c>
      <c r="EO714" s="27" t="s">
        <v>8</v>
      </c>
      <c r="EP714" s="27" t="s">
        <v>7</v>
      </c>
      <c r="EQ714" s="27" t="s">
        <v>8</v>
      </c>
      <c r="ER714" s="27" t="s">
        <v>7</v>
      </c>
      <c r="ES714" s="27" t="s">
        <v>8</v>
      </c>
      <c r="ET714" s="27" t="s">
        <v>7</v>
      </c>
      <c r="EU714" s="27" t="s">
        <v>8</v>
      </c>
      <c r="EX714" s="27" t="s">
        <v>7</v>
      </c>
      <c r="EY714" s="27" t="s">
        <v>8</v>
      </c>
      <c r="EZ714" s="27" t="s">
        <v>7</v>
      </c>
      <c r="FB714" s="27" t="s">
        <v>7</v>
      </c>
      <c r="FC714" s="27" t="s">
        <v>8</v>
      </c>
      <c r="FD714" s="27" t="s">
        <v>7</v>
      </c>
      <c r="FF714" s="27" t="s">
        <v>7</v>
      </c>
      <c r="FG714" s="27" t="s">
        <v>8</v>
      </c>
      <c r="FJ714" s="27" t="s">
        <v>7</v>
      </c>
      <c r="FM714" s="27" t="s">
        <v>8</v>
      </c>
      <c r="FN714" s="27" t="s">
        <v>7</v>
      </c>
      <c r="FO714" s="27" t="s">
        <v>8</v>
      </c>
      <c r="FP714" s="27" t="s">
        <v>7</v>
      </c>
      <c r="FQ714" s="27" t="s">
        <v>8</v>
      </c>
    </row>
    <row r="715" spans="1:185" x14ac:dyDescent="0.25">
      <c r="A715" s="7">
        <v>7.9282623818934056E-2</v>
      </c>
      <c r="B715"/>
      <c r="C715"/>
      <c r="D715"/>
      <c r="E715"/>
      <c r="F715" s="27" t="s">
        <v>7</v>
      </c>
      <c r="Q715" s="27" t="s">
        <v>8</v>
      </c>
      <c r="R715" s="27" t="s">
        <v>7</v>
      </c>
      <c r="AH715" s="27" t="s">
        <v>7</v>
      </c>
      <c r="AI715" s="27" t="s">
        <v>8</v>
      </c>
      <c r="AJ715" s="27" t="s">
        <v>7</v>
      </c>
      <c r="AK715" s="27" t="s">
        <v>8</v>
      </c>
      <c r="AL715" s="27" t="s">
        <v>7</v>
      </c>
      <c r="AW715" s="27" t="s">
        <v>8</v>
      </c>
      <c r="AX715" s="27" t="s">
        <v>7</v>
      </c>
      <c r="AY715" s="27" t="s">
        <v>8</v>
      </c>
      <c r="AZ715" s="27" t="s">
        <v>7</v>
      </c>
      <c r="BA715" s="27" t="s">
        <v>8</v>
      </c>
      <c r="BH715" s="27" t="s">
        <v>7</v>
      </c>
      <c r="BR715" s="27" t="s">
        <v>7</v>
      </c>
      <c r="BS715" s="27" t="s">
        <v>8</v>
      </c>
      <c r="BT715" s="27" t="s">
        <v>7</v>
      </c>
      <c r="EB715" s="27" t="s">
        <v>7</v>
      </c>
      <c r="EC715" s="27" t="s">
        <v>8</v>
      </c>
      <c r="EH715" s="27" t="s">
        <v>7</v>
      </c>
      <c r="EI715" s="27" t="s">
        <v>8</v>
      </c>
      <c r="EJ715" s="27" t="s">
        <v>7</v>
      </c>
      <c r="EK715" s="27" t="s">
        <v>8</v>
      </c>
      <c r="EL715" s="27" t="s">
        <v>7</v>
      </c>
      <c r="EM715" s="27" t="s">
        <v>8</v>
      </c>
      <c r="EN715" s="27" t="s">
        <v>7</v>
      </c>
      <c r="EO715" s="27" t="s">
        <v>8</v>
      </c>
      <c r="EP715" s="27" t="s">
        <v>7</v>
      </c>
      <c r="ER715" s="27" t="s">
        <v>7</v>
      </c>
      <c r="ES715" s="27" t="s">
        <v>8</v>
      </c>
      <c r="ET715" s="27" t="s">
        <v>7</v>
      </c>
      <c r="EU715" s="27" t="s">
        <v>8</v>
      </c>
      <c r="EX715" s="27" t="s">
        <v>7</v>
      </c>
      <c r="EY715" s="27" t="s">
        <v>8</v>
      </c>
      <c r="FB715" s="27" t="s">
        <v>7</v>
      </c>
      <c r="FC715" s="27" t="s">
        <v>8</v>
      </c>
      <c r="FF715" s="27" t="s">
        <v>7</v>
      </c>
      <c r="FG715" s="27" t="s">
        <v>8</v>
      </c>
      <c r="FJ715" s="27" t="s">
        <v>7</v>
      </c>
      <c r="FM715" s="27" t="s">
        <v>8</v>
      </c>
      <c r="FN715" s="27" t="s">
        <v>7</v>
      </c>
      <c r="FO715" s="27" t="s">
        <v>8</v>
      </c>
      <c r="FP715" s="27" t="s">
        <v>7</v>
      </c>
      <c r="FQ715" s="27" t="s">
        <v>8</v>
      </c>
    </row>
    <row r="716" spans="1:185" x14ac:dyDescent="0.25">
      <c r="A716" s="7">
        <v>7.7728062567582412E-2</v>
      </c>
      <c r="B716"/>
      <c r="C716"/>
      <c r="D716"/>
      <c r="E716"/>
      <c r="F716" s="27" t="s">
        <v>7</v>
      </c>
      <c r="K716" s="27" t="s">
        <v>8</v>
      </c>
      <c r="M716" s="27" t="s">
        <v>8</v>
      </c>
      <c r="Q716" s="27" t="s">
        <v>8</v>
      </c>
      <c r="AH716" s="27" t="s">
        <v>7</v>
      </c>
      <c r="AI716" s="27" t="s">
        <v>8</v>
      </c>
      <c r="AJ716" s="27" t="s">
        <v>7</v>
      </c>
      <c r="AK716" s="27" t="s">
        <v>8</v>
      </c>
      <c r="AL716" s="27" t="s">
        <v>7</v>
      </c>
      <c r="AW716" s="27" t="s">
        <v>8</v>
      </c>
      <c r="AX716" s="27" t="s">
        <v>7</v>
      </c>
      <c r="AY716" s="27" t="s">
        <v>8</v>
      </c>
      <c r="AZ716" s="27" t="s">
        <v>7</v>
      </c>
      <c r="BA716" s="27" t="s">
        <v>8</v>
      </c>
      <c r="BR716" s="27" t="s">
        <v>7</v>
      </c>
      <c r="BS716" s="27" t="s">
        <v>8</v>
      </c>
      <c r="EB716" s="27" t="s">
        <v>7</v>
      </c>
      <c r="EC716" s="27" t="s">
        <v>8</v>
      </c>
      <c r="EH716" s="27" t="s">
        <v>7</v>
      </c>
      <c r="EI716" s="27" t="s">
        <v>8</v>
      </c>
      <c r="EJ716" s="27" t="s">
        <v>7</v>
      </c>
      <c r="EK716" s="27" t="s">
        <v>8</v>
      </c>
      <c r="EL716" s="27" t="s">
        <v>7</v>
      </c>
      <c r="EM716" s="27" t="s">
        <v>8</v>
      </c>
      <c r="EN716" s="27" t="s">
        <v>7</v>
      </c>
      <c r="ER716" s="27" t="s">
        <v>7</v>
      </c>
      <c r="ES716" s="27" t="s">
        <v>8</v>
      </c>
      <c r="ET716" s="27" t="s">
        <v>7</v>
      </c>
      <c r="EU716" s="27" t="s">
        <v>8</v>
      </c>
      <c r="EX716" s="27" t="s">
        <v>7</v>
      </c>
      <c r="FB716" s="27" t="s">
        <v>7</v>
      </c>
      <c r="FF716" s="27" t="s">
        <v>7</v>
      </c>
      <c r="FJ716" s="27" t="s">
        <v>7</v>
      </c>
      <c r="FM716" s="27" t="s">
        <v>8</v>
      </c>
      <c r="FN716" s="27" t="s">
        <v>7</v>
      </c>
      <c r="FO716" s="27" t="s">
        <v>8</v>
      </c>
      <c r="FP716" s="27" t="s">
        <v>7</v>
      </c>
      <c r="FQ716" s="27" t="s">
        <v>8</v>
      </c>
    </row>
    <row r="717" spans="1:185" x14ac:dyDescent="0.25">
      <c r="A717" s="7">
        <v>7.6203982909394521E-2</v>
      </c>
      <c r="B717"/>
      <c r="C717"/>
      <c r="D717"/>
      <c r="E717"/>
      <c r="F717" s="27" t="s">
        <v>7</v>
      </c>
      <c r="K717" s="27" t="s">
        <v>8</v>
      </c>
      <c r="L717" s="27" t="s">
        <v>7</v>
      </c>
      <c r="M717" s="27" t="s">
        <v>8</v>
      </c>
      <c r="N717" s="27" t="s">
        <v>7</v>
      </c>
      <c r="Q717" s="27" t="s">
        <v>8</v>
      </c>
      <c r="AH717" s="27" t="s">
        <v>7</v>
      </c>
      <c r="AI717" s="27" t="s">
        <v>8</v>
      </c>
      <c r="AJ717" s="27" t="s">
        <v>7</v>
      </c>
      <c r="AK717" s="27" t="s">
        <v>8</v>
      </c>
      <c r="AL717" s="27" t="s">
        <v>7</v>
      </c>
      <c r="AW717" s="27" t="s">
        <v>8</v>
      </c>
      <c r="AX717" s="27" t="s">
        <v>7</v>
      </c>
      <c r="AY717" s="27" t="s">
        <v>8</v>
      </c>
      <c r="AZ717" s="27" t="s">
        <v>7</v>
      </c>
      <c r="BA717" s="27" t="s">
        <v>8</v>
      </c>
      <c r="BR717" s="27" t="s">
        <v>7</v>
      </c>
      <c r="EB717" s="27" t="s">
        <v>7</v>
      </c>
      <c r="EC717" s="27" t="s">
        <v>8</v>
      </c>
      <c r="EH717" s="27" t="s">
        <v>7</v>
      </c>
      <c r="EI717" s="27" t="s">
        <v>8</v>
      </c>
      <c r="EJ717" s="27" t="s">
        <v>7</v>
      </c>
      <c r="EL717" s="27" t="s">
        <v>7</v>
      </c>
      <c r="EM717" s="27" t="s">
        <v>8</v>
      </c>
      <c r="ER717" s="27" t="s">
        <v>7</v>
      </c>
      <c r="ET717" s="27" t="s">
        <v>7</v>
      </c>
      <c r="FJ717" s="27" t="s">
        <v>7</v>
      </c>
      <c r="FK717" s="27" t="s">
        <v>8</v>
      </c>
      <c r="FM717" s="27" t="s">
        <v>8</v>
      </c>
      <c r="FN717" s="27" t="s">
        <v>7</v>
      </c>
      <c r="FO717" s="27" t="s">
        <v>8</v>
      </c>
      <c r="FP717" s="27" t="s">
        <v>7</v>
      </c>
      <c r="FQ717" s="27" t="s">
        <v>8</v>
      </c>
    </row>
    <row r="718" spans="1:185" x14ac:dyDescent="0.25">
      <c r="A718" s="7">
        <v>7.4709787166073058E-2</v>
      </c>
      <c r="B718"/>
      <c r="C718"/>
      <c r="D718"/>
      <c r="E718"/>
      <c r="F718" s="27" t="s">
        <v>7</v>
      </c>
      <c r="K718" s="27" t="s">
        <v>8</v>
      </c>
      <c r="L718" s="27" t="s">
        <v>7</v>
      </c>
      <c r="M718" s="27" t="s">
        <v>8</v>
      </c>
      <c r="N718" s="27" t="s">
        <v>7</v>
      </c>
      <c r="Q718" s="27" t="s">
        <v>8</v>
      </c>
      <c r="AH718" s="27" t="s">
        <v>7</v>
      </c>
      <c r="AI718" s="27" t="s">
        <v>8</v>
      </c>
      <c r="AJ718" s="27" t="s">
        <v>7</v>
      </c>
      <c r="AK718" s="27" t="s">
        <v>8</v>
      </c>
      <c r="AL718" s="27" t="s">
        <v>7</v>
      </c>
      <c r="AW718" s="27" t="s">
        <v>8</v>
      </c>
      <c r="AX718" s="27" t="s">
        <v>7</v>
      </c>
      <c r="AY718" s="27" t="s">
        <v>8</v>
      </c>
      <c r="AZ718" s="27" t="s">
        <v>7</v>
      </c>
      <c r="BA718" s="27" t="s">
        <v>8</v>
      </c>
      <c r="EB718" s="27" t="s">
        <v>7</v>
      </c>
      <c r="EC718" s="27" t="s">
        <v>8</v>
      </c>
      <c r="EH718" s="27" t="s">
        <v>7</v>
      </c>
      <c r="EI718" s="27" t="s">
        <v>8</v>
      </c>
      <c r="EL718" s="27" t="s">
        <v>7</v>
      </c>
      <c r="EM718" s="27" t="s">
        <v>8</v>
      </c>
      <c r="FJ718" s="27" t="s">
        <v>7</v>
      </c>
      <c r="FK718" s="27" t="s">
        <v>8</v>
      </c>
      <c r="FL718" s="27" t="s">
        <v>7</v>
      </c>
      <c r="FM718" s="27" t="s">
        <v>8</v>
      </c>
      <c r="FN718" s="27" t="s">
        <v>7</v>
      </c>
      <c r="FP718" s="27" t="s">
        <v>7</v>
      </c>
      <c r="FQ718" s="27" t="s">
        <v>8</v>
      </c>
    </row>
    <row r="719" spans="1:185" x14ac:dyDescent="0.25">
      <c r="A719" s="7">
        <v>7.3244889378503E-2</v>
      </c>
      <c r="B719"/>
      <c r="C719"/>
      <c r="D719"/>
      <c r="E719"/>
      <c r="F719" s="27" t="s">
        <v>7</v>
      </c>
      <c r="I719" s="27" t="s">
        <v>8</v>
      </c>
      <c r="K719" s="27" t="s">
        <v>8</v>
      </c>
      <c r="L719" s="27" t="s">
        <v>7</v>
      </c>
      <c r="M719" s="27" t="s">
        <v>8</v>
      </c>
      <c r="N719" s="27" t="s">
        <v>7</v>
      </c>
      <c r="Q719" s="27" t="s">
        <v>8</v>
      </c>
      <c r="AH719" s="27" t="s">
        <v>7</v>
      </c>
      <c r="AI719" s="27" t="s">
        <v>8</v>
      </c>
      <c r="AJ719" s="27" t="s">
        <v>7</v>
      </c>
      <c r="AK719" s="27" t="s">
        <v>8</v>
      </c>
      <c r="AL719" s="27" t="s">
        <v>7</v>
      </c>
      <c r="AW719" s="27" t="s">
        <v>8</v>
      </c>
      <c r="AX719" s="27" t="s">
        <v>7</v>
      </c>
      <c r="AY719" s="27" t="s">
        <v>8</v>
      </c>
      <c r="AZ719" s="27" t="s">
        <v>7</v>
      </c>
      <c r="EB719" s="27" t="s">
        <v>7</v>
      </c>
      <c r="EC719" s="27" t="s">
        <v>8</v>
      </c>
      <c r="EH719" s="27" t="s">
        <v>7</v>
      </c>
      <c r="EL719" s="27" t="s">
        <v>7</v>
      </c>
      <c r="FJ719" s="27" t="s">
        <v>7</v>
      </c>
      <c r="FK719" s="27" t="s">
        <v>8</v>
      </c>
      <c r="FL719" s="27" t="s">
        <v>7</v>
      </c>
      <c r="FM719" s="27" t="s">
        <v>8</v>
      </c>
      <c r="FP719" s="27" t="s">
        <v>7</v>
      </c>
      <c r="FQ719" s="27" t="s">
        <v>8</v>
      </c>
    </row>
    <row r="720" spans="1:185" x14ac:dyDescent="0.25">
      <c r="A720" s="7">
        <v>7.1808715076963722E-2</v>
      </c>
      <c r="B720"/>
      <c r="C720"/>
      <c r="D720"/>
      <c r="E720"/>
      <c r="F720" s="27" t="s">
        <v>7</v>
      </c>
      <c r="I720" s="27" t="s">
        <v>8</v>
      </c>
      <c r="J720" s="27" t="s">
        <v>7</v>
      </c>
      <c r="K720" s="27" t="s">
        <v>8</v>
      </c>
      <c r="L720" s="27" t="s">
        <v>7</v>
      </c>
      <c r="M720" s="27" t="s">
        <v>8</v>
      </c>
      <c r="N720" s="27" t="s">
        <v>7</v>
      </c>
      <c r="O720" s="27" t="s">
        <v>8</v>
      </c>
      <c r="Q720" s="27" t="s">
        <v>8</v>
      </c>
      <c r="AH720" s="27" t="s">
        <v>7</v>
      </c>
      <c r="AJ720" s="27" t="s">
        <v>7</v>
      </c>
      <c r="AL720" s="27" t="s">
        <v>7</v>
      </c>
      <c r="AM720" s="27" t="s">
        <v>8</v>
      </c>
      <c r="AW720" s="27" t="s">
        <v>8</v>
      </c>
      <c r="AX720" s="27" t="s">
        <v>7</v>
      </c>
      <c r="EB720" s="27" t="s">
        <v>7</v>
      </c>
      <c r="EC720" s="27" t="s">
        <v>8</v>
      </c>
      <c r="FJ720" s="27" t="s">
        <v>7</v>
      </c>
      <c r="FK720" s="27" t="s">
        <v>8</v>
      </c>
      <c r="FL720" s="27" t="s">
        <v>7</v>
      </c>
      <c r="FM720" s="27" t="s">
        <v>8</v>
      </c>
      <c r="FP720" s="27" t="s">
        <v>7</v>
      </c>
    </row>
    <row r="721" spans="1:168" x14ac:dyDescent="0.25">
      <c r="A721" s="7">
        <v>7.0400701055846782E-2</v>
      </c>
      <c r="B721"/>
      <c r="C721"/>
      <c r="D721"/>
      <c r="E721"/>
      <c r="F721" s="27" t="s">
        <v>7</v>
      </c>
      <c r="G721" s="27" t="s">
        <v>8</v>
      </c>
      <c r="I721" s="27" t="s">
        <v>8</v>
      </c>
      <c r="J721" s="27" t="s">
        <v>7</v>
      </c>
      <c r="K721" s="27" t="s">
        <v>8</v>
      </c>
      <c r="L721" s="27" t="s">
        <v>7</v>
      </c>
      <c r="N721" s="27" t="s">
        <v>7</v>
      </c>
      <c r="O721" s="27" t="s">
        <v>8</v>
      </c>
      <c r="P721" s="27" t="s">
        <v>7</v>
      </c>
      <c r="Q721" s="27" t="s">
        <v>8</v>
      </c>
      <c r="AL721" s="27" t="s">
        <v>7</v>
      </c>
      <c r="AM721" s="27" t="s">
        <v>8</v>
      </c>
      <c r="AN721" s="27" t="s">
        <v>7</v>
      </c>
      <c r="AW721" s="27" t="s">
        <v>8</v>
      </c>
      <c r="EB721" s="27" t="s">
        <v>7</v>
      </c>
      <c r="FJ721" s="27" t="s">
        <v>7</v>
      </c>
      <c r="FK721" s="27" t="s">
        <v>8</v>
      </c>
      <c r="FL721" s="27" t="s">
        <v>7</v>
      </c>
    </row>
    <row r="722" spans="1:168" x14ac:dyDescent="0.25">
      <c r="A722" s="7">
        <v>6.9020295152790956E-2</v>
      </c>
      <c r="B722"/>
      <c r="C722"/>
      <c r="D722"/>
      <c r="E722"/>
      <c r="F722" s="27" t="s">
        <v>7</v>
      </c>
      <c r="G722" s="27" t="s">
        <v>8</v>
      </c>
      <c r="H722" s="27" t="s">
        <v>7</v>
      </c>
      <c r="I722" s="27" t="s">
        <v>8</v>
      </c>
      <c r="J722" s="27" t="s">
        <v>7</v>
      </c>
      <c r="K722" s="27" t="s">
        <v>8</v>
      </c>
      <c r="N722" s="27" t="s">
        <v>7</v>
      </c>
      <c r="O722" s="27" t="s">
        <v>8</v>
      </c>
      <c r="P722" s="27" t="s">
        <v>7</v>
      </c>
      <c r="Q722" s="27" t="s">
        <v>8</v>
      </c>
      <c r="AL722" s="27" t="s">
        <v>7</v>
      </c>
      <c r="AM722" s="27" t="s">
        <v>8</v>
      </c>
      <c r="AN722" s="27" t="s">
        <v>7</v>
      </c>
      <c r="AW722" s="27" t="s">
        <v>8</v>
      </c>
      <c r="FJ722" s="27" t="s">
        <v>7</v>
      </c>
      <c r="FK722" s="27" t="s">
        <v>8</v>
      </c>
    </row>
    <row r="723" spans="1:168" x14ac:dyDescent="0.25">
      <c r="A723" s="7">
        <v>6.7666956032147993E-2</v>
      </c>
      <c r="B723"/>
      <c r="C723"/>
      <c r="D723"/>
      <c r="E723"/>
      <c r="F723" s="27" t="s">
        <v>7</v>
      </c>
      <c r="G723" s="27" t="s">
        <v>8</v>
      </c>
      <c r="H723" s="27" t="s">
        <v>7</v>
      </c>
      <c r="I723" s="27" t="s">
        <v>8</v>
      </c>
      <c r="J723" s="27" t="s">
        <v>7</v>
      </c>
      <c r="K723" s="27" t="s">
        <v>8</v>
      </c>
      <c r="N723" s="27" t="s">
        <v>7</v>
      </c>
      <c r="P723" s="27" t="s">
        <v>7</v>
      </c>
      <c r="AL723" s="27" t="s">
        <v>7</v>
      </c>
      <c r="AM723" s="27" t="s">
        <v>8</v>
      </c>
      <c r="AN723" s="27" t="s">
        <v>7</v>
      </c>
      <c r="AW723" s="27" t="s">
        <v>8</v>
      </c>
      <c r="FJ723" s="27" t="s">
        <v>7</v>
      </c>
      <c r="FK723" s="27" t="s">
        <v>8</v>
      </c>
    </row>
    <row r="724" spans="1:168" x14ac:dyDescent="0.25">
      <c r="A724" s="7">
        <v>6.6340152972694105E-2</v>
      </c>
      <c r="B724"/>
      <c r="C724"/>
      <c r="D724"/>
      <c r="E724"/>
      <c r="F724" s="27" t="s">
        <v>7</v>
      </c>
      <c r="G724" s="27" t="s">
        <v>8</v>
      </c>
      <c r="H724" s="27" t="s">
        <v>7</v>
      </c>
      <c r="J724" s="27" t="s">
        <v>7</v>
      </c>
      <c r="K724" s="27" t="s">
        <v>8</v>
      </c>
      <c r="AL724" s="27" t="s">
        <v>7</v>
      </c>
      <c r="AM724" s="27" t="s">
        <v>8</v>
      </c>
      <c r="AN724" s="27" t="s">
        <v>7</v>
      </c>
      <c r="AW724" s="27" t="s">
        <v>8</v>
      </c>
      <c r="FJ724" s="27" t="s">
        <v>7</v>
      </c>
      <c r="FK724" s="27" t="s">
        <v>8</v>
      </c>
    </row>
    <row r="725" spans="1:168" x14ac:dyDescent="0.25">
      <c r="A725" s="7">
        <v>6.5039365659504023E-2</v>
      </c>
      <c r="B725"/>
      <c r="C725"/>
      <c r="D725"/>
      <c r="E725"/>
      <c r="F725" s="27" t="s">
        <v>7</v>
      </c>
      <c r="G725" s="27" t="s">
        <v>8</v>
      </c>
      <c r="J725" s="27" t="s">
        <v>7</v>
      </c>
      <c r="K725" s="27" t="s">
        <v>8</v>
      </c>
      <c r="AL725" s="27" t="s">
        <v>7</v>
      </c>
      <c r="AM725" s="27" t="s">
        <v>8</v>
      </c>
      <c r="AN725" s="27" t="s">
        <v>7</v>
      </c>
      <c r="AW725" s="27" t="s">
        <v>8</v>
      </c>
      <c r="FJ725" s="27" t="s">
        <v>7</v>
      </c>
      <c r="FK725" s="27" t="s">
        <v>8</v>
      </c>
    </row>
    <row r="726" spans="1:168" x14ac:dyDescent="0.25">
      <c r="A726" s="7">
        <v>6.3764083979905906E-2</v>
      </c>
      <c r="B726"/>
      <c r="C726"/>
      <c r="D726"/>
      <c r="E726"/>
      <c r="F726" s="27" t="s">
        <v>7</v>
      </c>
      <c r="G726" s="27" t="s">
        <v>8</v>
      </c>
      <c r="J726" s="27" t="s">
        <v>7</v>
      </c>
      <c r="AL726" s="27" t="s">
        <v>7</v>
      </c>
      <c r="AM726" s="27" t="s">
        <v>8</v>
      </c>
      <c r="AN726" s="27" t="s">
        <v>7</v>
      </c>
      <c r="AU726" s="27" t="s">
        <v>8</v>
      </c>
      <c r="AW726" s="27" t="s">
        <v>8</v>
      </c>
      <c r="FJ726" s="27" t="s">
        <v>7</v>
      </c>
      <c r="FK726" s="27" t="s">
        <v>8</v>
      </c>
    </row>
    <row r="727" spans="1:168" x14ac:dyDescent="0.25">
      <c r="A727" s="7">
        <v>6.251380782343717E-2</v>
      </c>
      <c r="B727"/>
      <c r="C727"/>
      <c r="D727"/>
      <c r="E727"/>
      <c r="F727" s="27" t="s">
        <v>7</v>
      </c>
      <c r="G727" s="27" t="s">
        <v>8</v>
      </c>
      <c r="AL727" s="27" t="s">
        <v>7</v>
      </c>
      <c r="AN727" s="27" t="s">
        <v>7</v>
      </c>
      <c r="AU727" s="27" t="s">
        <v>8</v>
      </c>
      <c r="AV727" s="27" t="s">
        <v>7</v>
      </c>
      <c r="AW727" s="27" t="s">
        <v>8</v>
      </c>
      <c r="FJ727" s="27" t="s">
        <v>7</v>
      </c>
      <c r="FK727" s="27" t="s">
        <v>8</v>
      </c>
    </row>
    <row r="728" spans="1:168" x14ac:dyDescent="0.25">
      <c r="A728" s="7">
        <v>6.1288046885722716E-2</v>
      </c>
      <c r="B728"/>
      <c r="C728"/>
      <c r="D728"/>
      <c r="E728"/>
      <c r="F728" s="27" t="s">
        <v>7</v>
      </c>
      <c r="AN728" s="27" t="s">
        <v>7</v>
      </c>
      <c r="AU728" s="27" t="s">
        <v>8</v>
      </c>
      <c r="AV728" s="27" t="s">
        <v>7</v>
      </c>
      <c r="AW728" s="27" t="s">
        <v>8</v>
      </c>
      <c r="FJ728" s="27" t="s">
        <v>7</v>
      </c>
    </row>
    <row r="729" spans="1:168" x14ac:dyDescent="0.25">
      <c r="A729" s="7">
        <v>6.0086320476198739E-2</v>
      </c>
      <c r="B729"/>
      <c r="C729"/>
      <c r="D729"/>
      <c r="E729"/>
      <c r="AN729" s="27" t="s">
        <v>7</v>
      </c>
      <c r="AU729" s="27" t="s">
        <v>8</v>
      </c>
      <c r="AV729" s="27" t="s">
        <v>7</v>
      </c>
      <c r="AW729" s="27" t="s">
        <v>8</v>
      </c>
    </row>
    <row r="730" spans="1:168" x14ac:dyDescent="0.25">
      <c r="A730" s="7">
        <v>5.8908157329606609E-2</v>
      </c>
      <c r="B730"/>
      <c r="C730"/>
      <c r="D730"/>
      <c r="E730"/>
      <c r="AN730" s="27" t="s">
        <v>7</v>
      </c>
      <c r="AS730" s="27" t="s">
        <v>8</v>
      </c>
      <c r="AU730" s="27" t="s">
        <v>8</v>
      </c>
      <c r="AV730" s="27" t="s">
        <v>7</v>
      </c>
      <c r="AW730" s="27" t="s">
        <v>8</v>
      </c>
    </row>
    <row r="731" spans="1:168" x14ac:dyDescent="0.25">
      <c r="A731" s="7">
        <v>5.7753095421182947E-2</v>
      </c>
      <c r="B731"/>
      <c r="C731"/>
      <c r="D731"/>
      <c r="E731"/>
      <c r="AN731" s="27" t="s">
        <v>7</v>
      </c>
      <c r="AS731" s="27" t="s">
        <v>8</v>
      </c>
      <c r="AT731" s="27" t="s">
        <v>7</v>
      </c>
      <c r="AU731" s="27" t="s">
        <v>8</v>
      </c>
      <c r="AV731" s="27" t="s">
        <v>7</v>
      </c>
      <c r="AW731" s="27" t="s">
        <v>8</v>
      </c>
    </row>
    <row r="732" spans="1:168" x14ac:dyDescent="0.25">
      <c r="A732" s="7">
        <v>5.6620681785473484E-2</v>
      </c>
      <c r="B732"/>
      <c r="C732"/>
      <c r="D732"/>
      <c r="E732"/>
      <c r="AN732" s="27" t="s">
        <v>7</v>
      </c>
      <c r="AS732" s="27" t="s">
        <v>8</v>
      </c>
      <c r="AT732" s="27" t="s">
        <v>7</v>
      </c>
      <c r="AU732" s="27" t="s">
        <v>8</v>
      </c>
      <c r="AV732" s="27" t="s">
        <v>7</v>
      </c>
      <c r="AW732" s="27" t="s">
        <v>8</v>
      </c>
    </row>
    <row r="733" spans="1:168" x14ac:dyDescent="0.25">
      <c r="A733" s="7">
        <v>5.5510472338699497E-2</v>
      </c>
      <c r="B733"/>
      <c r="C733"/>
      <c r="D733"/>
      <c r="E733"/>
      <c r="AN733" s="27" t="s">
        <v>7</v>
      </c>
      <c r="AS733" s="27" t="s">
        <v>8</v>
      </c>
      <c r="AT733" s="27" t="s">
        <v>7</v>
      </c>
      <c r="AU733" s="27" t="s">
        <v>8</v>
      </c>
      <c r="AV733" s="27" t="s">
        <v>7</v>
      </c>
      <c r="AW733" s="27" t="s">
        <v>8</v>
      </c>
    </row>
    <row r="734" spans="1:168" x14ac:dyDescent="0.25">
      <c r="A734" s="7">
        <v>5.4422031704607354E-2</v>
      </c>
      <c r="B734"/>
      <c r="C734"/>
      <c r="D734"/>
      <c r="E734"/>
      <c r="AN734" s="27" t="s">
        <v>7</v>
      </c>
      <c r="AS734" s="27" t="s">
        <v>8</v>
      </c>
      <c r="AT734" s="27" t="s">
        <v>7</v>
      </c>
      <c r="AU734" s="27" t="s">
        <v>8</v>
      </c>
      <c r="AV734" s="27" t="s">
        <v>7</v>
      </c>
      <c r="AW734" s="27" t="s">
        <v>8</v>
      </c>
    </row>
    <row r="735" spans="1:168" x14ac:dyDescent="0.25">
      <c r="A735" s="7">
        <v>5.3354933043732705E-2</v>
      </c>
      <c r="B735"/>
      <c r="C735"/>
      <c r="D735"/>
      <c r="E735"/>
      <c r="AN735" s="27" t="s">
        <v>7</v>
      </c>
      <c r="AS735" s="27" t="s">
        <v>8</v>
      </c>
      <c r="AT735" s="27" t="s">
        <v>7</v>
      </c>
      <c r="AU735" s="27" t="s">
        <v>8</v>
      </c>
      <c r="AV735" s="27" t="s">
        <v>7</v>
      </c>
      <c r="AW735" s="27" t="s">
        <v>8</v>
      </c>
    </row>
    <row r="736" spans="1:168" x14ac:dyDescent="0.25">
      <c r="A736" s="7">
        <v>5.2308757886012455E-2</v>
      </c>
      <c r="B736"/>
      <c r="C736"/>
      <c r="D736"/>
      <c r="E736"/>
      <c r="AN736" s="27" t="s">
        <v>7</v>
      </c>
      <c r="AS736" s="27" t="s">
        <v>8</v>
      </c>
      <c r="AT736" s="27" t="s">
        <v>7</v>
      </c>
      <c r="AU736" s="27" t="s">
        <v>8</v>
      </c>
      <c r="AV736" s="27" t="s">
        <v>7</v>
      </c>
      <c r="AW736" s="27" t="s">
        <v>8</v>
      </c>
    </row>
    <row r="737" spans="1:49" x14ac:dyDescent="0.25">
      <c r="A737" s="7">
        <v>5.1283095966678877E-2</v>
      </c>
      <c r="B737"/>
      <c r="C737"/>
      <c r="D737"/>
      <c r="E737"/>
      <c r="AN737" s="27" t="s">
        <v>7</v>
      </c>
      <c r="AS737" s="27" t="s">
        <v>8</v>
      </c>
      <c r="AT737" s="27" t="s">
        <v>7</v>
      </c>
      <c r="AU737" s="27" t="s">
        <v>8</v>
      </c>
      <c r="AV737" s="27" t="s">
        <v>7</v>
      </c>
      <c r="AW737" s="27" t="s">
        <v>8</v>
      </c>
    </row>
    <row r="738" spans="1:49" x14ac:dyDescent="0.25">
      <c r="A738" s="7">
        <v>5.0277545065371444E-2</v>
      </c>
      <c r="B738"/>
      <c r="C738"/>
      <c r="D738"/>
      <c r="E738"/>
      <c r="AN738" s="27" t="s">
        <v>7</v>
      </c>
      <c r="AS738" s="27" t="s">
        <v>8</v>
      </c>
      <c r="AT738" s="27" t="s">
        <v>7</v>
      </c>
      <c r="AU738" s="27" t="s">
        <v>8</v>
      </c>
      <c r="AV738" s="27" t="s">
        <v>7</v>
      </c>
      <c r="AW738" s="27" t="s">
        <v>8</v>
      </c>
    </row>
    <row r="739" spans="1:49" x14ac:dyDescent="0.25">
      <c r="A739" s="7">
        <v>4.9291710848403378E-2</v>
      </c>
      <c r="B739"/>
      <c r="C739"/>
      <c r="D739"/>
      <c r="E739"/>
      <c r="AN739" s="27" t="s">
        <v>7</v>
      </c>
      <c r="AS739" s="27" t="s">
        <v>8</v>
      </c>
      <c r="AT739" s="27" t="s">
        <v>7</v>
      </c>
      <c r="AU739" s="27" t="s">
        <v>8</v>
      </c>
      <c r="AV739" s="27" t="s">
        <v>7</v>
      </c>
    </row>
    <row r="740" spans="1:49" x14ac:dyDescent="0.25">
      <c r="A740" s="7">
        <v>4.8325206714120959E-2</v>
      </c>
      <c r="B740"/>
      <c r="C740"/>
      <c r="D740"/>
      <c r="E740"/>
      <c r="AN740" s="27" t="s">
        <v>7</v>
      </c>
      <c r="AO740" s="27" t="s">
        <v>8</v>
      </c>
      <c r="AS740" s="27" t="s">
        <v>8</v>
      </c>
      <c r="AT740" s="27" t="s">
        <v>7</v>
      </c>
      <c r="AU740" s="27" t="s">
        <v>8</v>
      </c>
    </row>
    <row r="741" spans="1:49" x14ac:dyDescent="0.25">
      <c r="A741" s="7">
        <v>4.7377653641295057E-2</v>
      </c>
      <c r="B741"/>
      <c r="C741"/>
      <c r="D741"/>
      <c r="E741"/>
      <c r="AN741" s="27" t="s">
        <v>7</v>
      </c>
      <c r="AO741" s="27" t="s">
        <v>8</v>
      </c>
      <c r="AP741" s="27" t="s">
        <v>7</v>
      </c>
      <c r="AS741" s="27" t="s">
        <v>8</v>
      </c>
      <c r="AT741" s="27" t="s">
        <v>7</v>
      </c>
      <c r="AU741" s="27" t="s">
        <v>8</v>
      </c>
    </row>
    <row r="742" spans="1:49" x14ac:dyDescent="0.25">
      <c r="A742" s="7">
        <v>4.644868004048535E-2</v>
      </c>
      <c r="B742"/>
      <c r="C742"/>
      <c r="D742"/>
      <c r="E742"/>
      <c r="AN742" s="27" t="s">
        <v>7</v>
      </c>
      <c r="AO742" s="27" t="s">
        <v>8</v>
      </c>
      <c r="AP742" s="27" t="s">
        <v>7</v>
      </c>
      <c r="AS742" s="27" t="s">
        <v>8</v>
      </c>
      <c r="AT742" s="27" t="s">
        <v>7</v>
      </c>
      <c r="AU742" s="27" t="s">
        <v>8</v>
      </c>
    </row>
    <row r="743" spans="1:49" x14ac:dyDescent="0.25">
      <c r="A743" s="7">
        <v>4.5537921608318974E-2</v>
      </c>
      <c r="B743"/>
      <c r="C743"/>
      <c r="D743"/>
      <c r="E743"/>
      <c r="AN743" s="27" t="s">
        <v>7</v>
      </c>
      <c r="AO743" s="27" t="s">
        <v>8</v>
      </c>
      <c r="AP743" s="27" t="s">
        <v>7</v>
      </c>
      <c r="AS743" s="27" t="s">
        <v>8</v>
      </c>
      <c r="AT743" s="27" t="s">
        <v>7</v>
      </c>
      <c r="AU743" s="27" t="s">
        <v>8</v>
      </c>
    </row>
    <row r="744" spans="1:49" x14ac:dyDescent="0.25">
      <c r="A744" s="7">
        <v>4.4645021184626446E-2</v>
      </c>
      <c r="B744"/>
      <c r="C744"/>
      <c r="D744"/>
      <c r="E744"/>
      <c r="AN744" s="27" t="s">
        <v>7</v>
      </c>
      <c r="AO744" s="27" t="s">
        <v>8</v>
      </c>
      <c r="AP744" s="27" t="s">
        <v>7</v>
      </c>
      <c r="AS744" s="27" t="s">
        <v>8</v>
      </c>
      <c r="AT744" s="27" t="s">
        <v>7</v>
      </c>
      <c r="AU744" s="27" t="s">
        <v>8</v>
      </c>
    </row>
    <row r="745" spans="1:49" x14ac:dyDescent="0.25">
      <c r="A745" s="7">
        <v>4.3769628612378868E-2</v>
      </c>
      <c r="B745"/>
      <c r="C745"/>
      <c r="D745"/>
      <c r="E745"/>
      <c r="AN745" s="27" t="s">
        <v>7</v>
      </c>
      <c r="AO745" s="27" t="s">
        <v>8</v>
      </c>
      <c r="AP745" s="27" t="s">
        <v>7</v>
      </c>
      <c r="AS745" s="27" t="s">
        <v>8</v>
      </c>
      <c r="AT745" s="27" t="s">
        <v>7</v>
      </c>
    </row>
    <row r="746" spans="1:49" x14ac:dyDescent="0.25">
      <c r="A746" s="7">
        <v>4.2911400600371442E-2</v>
      </c>
      <c r="B746"/>
      <c r="C746"/>
      <c r="D746"/>
      <c r="E746"/>
      <c r="AN746" s="27" t="s">
        <v>7</v>
      </c>
      <c r="AO746" s="27" t="s">
        <v>8</v>
      </c>
      <c r="AP746" s="27" t="s">
        <v>7</v>
      </c>
      <c r="AS746" s="27" t="s">
        <v>8</v>
      </c>
    </row>
    <row r="747" spans="1:49" x14ac:dyDescent="0.25">
      <c r="A747" s="7">
        <v>4.2070000588599457E-2</v>
      </c>
      <c r="B747"/>
      <c r="C747"/>
      <c r="D747"/>
      <c r="E747"/>
      <c r="AN747" s="27" t="s">
        <v>7</v>
      </c>
      <c r="AO747" s="27" t="s">
        <v>8</v>
      </c>
      <c r="AP747" s="27" t="s">
        <v>7</v>
      </c>
      <c r="AS747" s="27" t="s">
        <v>8</v>
      </c>
    </row>
    <row r="748" spans="1:49" x14ac:dyDescent="0.25">
      <c r="A748" s="7">
        <v>4.1245098616273977E-2</v>
      </c>
      <c r="B748"/>
      <c r="C748"/>
      <c r="D748"/>
      <c r="E748"/>
      <c r="AN748" s="27" t="s">
        <v>7</v>
      </c>
      <c r="AO748" s="27" t="s">
        <v>8</v>
      </c>
      <c r="AP748" s="27" t="s">
        <v>7</v>
      </c>
      <c r="AS748" s="27" t="s">
        <v>8</v>
      </c>
    </row>
    <row r="749" spans="1:49" x14ac:dyDescent="0.25">
      <c r="A749" s="7">
        <v>4.043637119242547E-2</v>
      </c>
      <c r="B749"/>
      <c r="C749"/>
      <c r="D749"/>
      <c r="E749"/>
      <c r="AN749" s="27" t="s">
        <v>7</v>
      </c>
      <c r="AO749" s="27" t="s">
        <v>8</v>
      </c>
      <c r="AP749" s="27" t="s">
        <v>7</v>
      </c>
      <c r="AQ749" s="27" t="s">
        <v>8</v>
      </c>
      <c r="AS749" s="27" t="s">
        <v>8</v>
      </c>
    </row>
    <row r="750" spans="1:49" x14ac:dyDescent="0.25">
      <c r="A750" s="7">
        <v>3.9643501169044582E-2</v>
      </c>
      <c r="B750"/>
      <c r="C750"/>
      <c r="D750"/>
      <c r="E750"/>
      <c r="AN750" s="27" t="s">
        <v>7</v>
      </c>
      <c r="AO750" s="27" t="s">
        <v>8</v>
      </c>
      <c r="AP750" s="27" t="s">
        <v>7</v>
      </c>
      <c r="AQ750" s="27" t="s">
        <v>8</v>
      </c>
      <c r="AR750" s="27" t="s">
        <v>7</v>
      </c>
      <c r="AS750" s="27" t="s">
        <v>8</v>
      </c>
    </row>
    <row r="751" spans="1:49" x14ac:dyDescent="0.25">
      <c r="A751" s="7">
        <v>3.8866177616710372E-2</v>
      </c>
      <c r="B751"/>
      <c r="C751"/>
      <c r="D751"/>
      <c r="E751"/>
      <c r="AN751" s="27" t="s">
        <v>7</v>
      </c>
      <c r="AO751" s="27" t="s">
        <v>8</v>
      </c>
      <c r="AP751" s="27" t="s">
        <v>7</v>
      </c>
      <c r="AQ751" s="27" t="s">
        <v>8</v>
      </c>
      <c r="AR751" s="27" t="s">
        <v>7</v>
      </c>
      <c r="AS751" s="27" t="s">
        <v>8</v>
      </c>
    </row>
    <row r="752" spans="1:49" x14ac:dyDescent="0.25">
      <c r="A752" s="7">
        <v>3.8104095702657229E-2</v>
      </c>
      <c r="B752"/>
      <c r="C752"/>
      <c r="D752"/>
      <c r="E752"/>
      <c r="AN752" s="27" t="s">
        <v>7</v>
      </c>
      <c r="AO752" s="27" t="s">
        <v>8</v>
      </c>
      <c r="AP752" s="27" t="s">
        <v>7</v>
      </c>
      <c r="AQ752" s="27" t="s">
        <v>8</v>
      </c>
      <c r="AR752" s="27" t="s">
        <v>7</v>
      </c>
      <c r="AS752" s="27" t="s">
        <v>8</v>
      </c>
    </row>
    <row r="753" spans="1:45" x14ac:dyDescent="0.25">
      <c r="A753" s="7">
        <v>3.7356956571232579E-2</v>
      </c>
      <c r="B753"/>
      <c r="C753"/>
      <c r="D753"/>
      <c r="E753"/>
      <c r="AN753" s="27" t="s">
        <v>7</v>
      </c>
      <c r="AO753" s="27" t="s">
        <v>8</v>
      </c>
      <c r="AP753" s="27" t="s">
        <v>7</v>
      </c>
      <c r="AQ753" s="27" t="s">
        <v>8</v>
      </c>
      <c r="AR753" s="27" t="s">
        <v>7</v>
      </c>
      <c r="AS753" s="27" t="s">
        <v>8</v>
      </c>
    </row>
    <row r="754" spans="1:45" x14ac:dyDescent="0.25">
      <c r="A754" s="7">
        <v>3.6624467226698605E-2</v>
      </c>
      <c r="B754"/>
      <c r="C754"/>
      <c r="D754"/>
      <c r="E754"/>
      <c r="AN754" s="27" t="s">
        <v>7</v>
      </c>
      <c r="AO754" s="27" t="s">
        <v>8</v>
      </c>
      <c r="AP754" s="27" t="s">
        <v>7</v>
      </c>
      <c r="AQ754" s="27" t="s">
        <v>8</v>
      </c>
      <c r="AR754" s="27" t="s">
        <v>7</v>
      </c>
    </row>
    <row r="755" spans="1:45" x14ac:dyDescent="0.25">
      <c r="A755" s="7">
        <v>3.5906340418331961E-2</v>
      </c>
      <c r="B755"/>
      <c r="C755"/>
      <c r="D755"/>
      <c r="E755"/>
      <c r="AN755" s="27" t="s">
        <v>7</v>
      </c>
      <c r="AO755" s="27" t="s">
        <v>8</v>
      </c>
      <c r="AP755" s="27" t="s">
        <v>7</v>
      </c>
      <c r="AQ755" s="27" t="s">
        <v>8</v>
      </c>
    </row>
    <row r="756" spans="1:45" x14ac:dyDescent="0.25">
      <c r="A756" s="7">
        <v>3.5202294527776436E-2</v>
      </c>
      <c r="B756"/>
      <c r="C756"/>
      <c r="D756"/>
      <c r="E756"/>
      <c r="AN756" s="27" t="s">
        <v>7</v>
      </c>
      <c r="AO756" s="27" t="s">
        <v>8</v>
      </c>
      <c r="AP756" s="27" t="s">
        <v>7</v>
      </c>
      <c r="AQ756" s="27" t="s">
        <v>8</v>
      </c>
    </row>
    <row r="757" spans="1:45" x14ac:dyDescent="0.25">
      <c r="A757" s="7">
        <v>3.451205345860435E-2</v>
      </c>
      <c r="B757"/>
      <c r="C757"/>
      <c r="D757"/>
      <c r="E757"/>
      <c r="AN757" s="27" t="s">
        <v>7</v>
      </c>
      <c r="AO757" s="27" t="s">
        <v>8</v>
      </c>
      <c r="AP757" s="27" t="s">
        <v>7</v>
      </c>
      <c r="AQ757" s="27" t="s">
        <v>8</v>
      </c>
    </row>
    <row r="758" spans="1:45" x14ac:dyDescent="0.25">
      <c r="A758" s="7">
        <v>3.3835346528043479E-2</v>
      </c>
      <c r="B758"/>
      <c r="C758"/>
      <c r="D758"/>
      <c r="E758"/>
      <c r="AN758" s="27" t="s">
        <v>7</v>
      </c>
      <c r="AO758" s="27" t="s">
        <v>8</v>
      </c>
      <c r="AP758" s="27" t="s">
        <v>7</v>
      </c>
      <c r="AQ758" s="27" t="s">
        <v>8</v>
      </c>
    </row>
    <row r="759" spans="1:45" x14ac:dyDescent="0.25">
      <c r="A759" s="7">
        <v>3.3171908360826938E-2</v>
      </c>
      <c r="B759"/>
      <c r="C759"/>
      <c r="D759"/>
      <c r="E759"/>
      <c r="AN759" s="27" t="s">
        <v>7</v>
      </c>
      <c r="AO759" s="27" t="s">
        <v>8</v>
      </c>
      <c r="AP759" s="27" t="s">
        <v>7</v>
      </c>
      <c r="AQ759" s="27" t="s">
        <v>8</v>
      </c>
    </row>
    <row r="760" spans="1:45" x14ac:dyDescent="0.25">
      <c r="A760" s="7">
        <v>3.2521478785124451E-2</v>
      </c>
      <c r="B760"/>
      <c r="C760"/>
      <c r="D760"/>
      <c r="E760"/>
      <c r="AN760" s="27" t="s">
        <v>7</v>
      </c>
      <c r="AO760" s="27" t="s">
        <v>8</v>
      </c>
      <c r="AP760" s="27" t="s">
        <v>7</v>
      </c>
    </row>
    <row r="761" spans="1:45" x14ac:dyDescent="0.25">
      <c r="A761" s="7">
        <v>3.1883802730514173E-2</v>
      </c>
      <c r="B761"/>
      <c r="C761"/>
      <c r="D761"/>
      <c r="E761"/>
      <c r="AN761" s="27" t="s">
        <v>7</v>
      </c>
      <c r="AO761" s="27" t="s">
        <v>8</v>
      </c>
    </row>
    <row r="762" spans="1:45" x14ac:dyDescent="0.25">
      <c r="A762" s="7">
        <v>3.1258630127955073E-2</v>
      </c>
      <c r="B762"/>
      <c r="C762"/>
      <c r="D762"/>
      <c r="E762"/>
      <c r="AN762" s="27" t="s">
        <v>7</v>
      </c>
      <c r="AO762" s="27" t="s">
        <v>8</v>
      </c>
    </row>
    <row r="763" spans="1:45" x14ac:dyDescent="0.25">
      <c r="A763" s="7">
        <v>3.064571581172066E-2</v>
      </c>
      <c r="B763"/>
      <c r="C763"/>
      <c r="D763"/>
      <c r="E763"/>
      <c r="AN763" s="27" t="s">
        <v>7</v>
      </c>
      <c r="AO763" s="27" t="s">
        <v>8</v>
      </c>
    </row>
    <row r="764" spans="1:45" x14ac:dyDescent="0.25">
      <c r="A764" s="7">
        <v>3.0044819423255549E-2</v>
      </c>
      <c r="B764"/>
      <c r="C764"/>
      <c r="D764"/>
      <c r="E764"/>
      <c r="AN764" s="27" t="s">
        <v>7</v>
      </c>
      <c r="AO764" s="27" t="s">
        <v>8</v>
      </c>
    </row>
    <row r="765" spans="1:45" x14ac:dyDescent="0.25">
      <c r="A765" s="7">
        <v>2.9455705316917203E-2</v>
      </c>
      <c r="B765"/>
      <c r="C765"/>
      <c r="D765"/>
      <c r="E765"/>
      <c r="AN765" s="27" t="s">
        <v>7</v>
      </c>
      <c r="AO765" s="27" t="s">
        <v>8</v>
      </c>
    </row>
    <row r="766" spans="1:45" x14ac:dyDescent="0.25">
      <c r="A766" s="7">
        <v>2.8878142467565884E-2</v>
      </c>
      <c r="B766"/>
      <c r="C766"/>
      <c r="D766"/>
      <c r="E766"/>
      <c r="AN766" s="27" t="s">
        <v>7</v>
      </c>
      <c r="AO766" s="27" t="s">
        <v>8</v>
      </c>
    </row>
    <row r="767" spans="1:45" x14ac:dyDescent="0.25">
      <c r="A767" s="7">
        <v>2.8311904379966554E-2</v>
      </c>
      <c r="B767"/>
      <c r="C767"/>
      <c r="D767"/>
      <c r="E767"/>
      <c r="AN767" s="27" t="s">
        <v>7</v>
      </c>
      <c r="AO767" s="27" t="s">
        <v>8</v>
      </c>
    </row>
    <row r="768" spans="1:45" x14ac:dyDescent="0.25">
      <c r="A768" s="7">
        <v>2.7756768999967207E-2</v>
      </c>
      <c r="B768"/>
      <c r="C768"/>
      <c r="D768"/>
      <c r="E768"/>
      <c r="AN768" s="27" t="s">
        <v>7</v>
      </c>
      <c r="AO768" s="27" t="s">
        <v>8</v>
      </c>
    </row>
    <row r="769" spans="1:41" x14ac:dyDescent="0.25">
      <c r="A769" s="7">
        <v>2.7212518627418834E-2</v>
      </c>
      <c r="B769"/>
      <c r="C769"/>
      <c r="D769"/>
      <c r="E769"/>
      <c r="AN769" s="27" t="s">
        <v>7</v>
      </c>
      <c r="AO769" s="27" t="s">
        <v>8</v>
      </c>
    </row>
    <row r="770" spans="1:41" x14ac:dyDescent="0.25">
      <c r="A770" s="7">
        <v>2.6678939830802779E-2</v>
      </c>
      <c r="B770"/>
      <c r="C770"/>
      <c r="D770"/>
      <c r="E770"/>
      <c r="AN770" s="27" t="s">
        <v>7</v>
      </c>
      <c r="AO770" s="27" t="s">
        <v>8</v>
      </c>
    </row>
    <row r="771" spans="1:41" x14ac:dyDescent="0.25">
      <c r="A771" s="7">
        <v>2.615582336353214E-2</v>
      </c>
      <c r="B771"/>
      <c r="C771"/>
      <c r="D771"/>
      <c r="E771"/>
      <c r="AN771" s="27" t="s">
        <v>7</v>
      </c>
      <c r="AO771" s="27" t="s">
        <v>8</v>
      </c>
    </row>
    <row r="772" spans="1:41" x14ac:dyDescent="0.25">
      <c r="A772" s="7">
        <v>2.5642964081894253E-2</v>
      </c>
      <c r="B772"/>
      <c r="C772"/>
      <c r="D772"/>
      <c r="E772"/>
      <c r="AN772" s="27" t="s">
        <v>7</v>
      </c>
      <c r="AO772" s="27" t="s">
        <v>8</v>
      </c>
    </row>
    <row r="773" spans="1:41" x14ac:dyDescent="0.25">
      <c r="A773" s="7">
        <v>2.5140160864602207E-2</v>
      </c>
      <c r="B773"/>
      <c r="C773"/>
      <c r="D773"/>
      <c r="E773"/>
      <c r="AN773" s="27" t="s">
        <v>7</v>
      </c>
    </row>
    <row r="774" spans="1:41" x14ac:dyDescent="0.25">
      <c r="A774" s="7">
        <v>2.4647216533923735E-2</v>
      </c>
      <c r="B774"/>
      <c r="C774"/>
      <c r="D774"/>
      <c r="E774"/>
    </row>
    <row r="775" spans="1:41" x14ac:dyDescent="0.25">
      <c r="A775" s="7">
        <v>2.4163937778356601E-2</v>
      </c>
      <c r="B775"/>
      <c r="C775"/>
      <c r="D775"/>
      <c r="E775"/>
    </row>
    <row r="776" spans="1:41" x14ac:dyDescent="0.25">
      <c r="A776" s="7">
        <v>2.3690135076820197E-2</v>
      </c>
      <c r="B776"/>
      <c r="C776"/>
      <c r="D776"/>
      <c r="E776"/>
    </row>
    <row r="777" spans="1:41" x14ac:dyDescent="0.25">
      <c r="A777" s="7">
        <v>2.3225622624333527E-2</v>
      </c>
      <c r="B777"/>
      <c r="C777"/>
      <c r="D777"/>
      <c r="E777"/>
    </row>
    <row r="778" spans="1:41" x14ac:dyDescent="0.25">
      <c r="A778" s="7">
        <v>2.2770218259150519E-2</v>
      </c>
      <c r="B778"/>
      <c r="C778"/>
      <c r="D778"/>
      <c r="E778"/>
    </row>
    <row r="779" spans="1:41" x14ac:dyDescent="0.25">
      <c r="A779" s="7">
        <v>2.2323743391324039E-2</v>
      </c>
      <c r="B779"/>
      <c r="C779"/>
      <c r="D779"/>
      <c r="E779"/>
    </row>
    <row r="780" spans="1:41" x14ac:dyDescent="0.25">
      <c r="A780" s="7">
        <v>2.188602293267063E-2</v>
      </c>
      <c r="B780"/>
      <c r="C780"/>
      <c r="D780"/>
      <c r="E780"/>
    </row>
    <row r="781" spans="1:41" x14ac:dyDescent="0.25">
      <c r="A781" s="7">
        <v>2.1456885228108461E-2</v>
      </c>
      <c r="B781"/>
      <c r="C781"/>
      <c r="D781"/>
      <c r="E781"/>
    </row>
    <row r="782" spans="1:41" x14ac:dyDescent="0.25">
      <c r="A782" s="7">
        <v>2.1036161988341632E-2</v>
      </c>
      <c r="B782"/>
      <c r="C782"/>
      <c r="D782"/>
      <c r="E782"/>
    </row>
    <row r="783" spans="1:41" x14ac:dyDescent="0.25">
      <c r="A783" s="7">
        <v>2.0623688223864345E-2</v>
      </c>
      <c r="B783"/>
      <c r="C783"/>
      <c r="D783"/>
      <c r="E783"/>
    </row>
    <row r="784" spans="1:41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163" operator="equal">
      <formula>$U$1</formula>
    </cfRule>
    <cfRule type="cellIs" dxfId="89" priority="1164" operator="equal">
      <formula>$S$1</formula>
    </cfRule>
  </conditionalFormatting>
  <conditionalFormatting sqref="D27">
    <cfRule type="cellIs" dxfId="88" priority="1161" operator="equal">
      <formula>$S$1</formula>
    </cfRule>
    <cfRule type="cellIs" dxfId="87" priority="1162" operator="equal">
      <formula>$U$1</formula>
    </cfRule>
  </conditionalFormatting>
  <conditionalFormatting sqref="C164">
    <cfRule type="cellIs" dxfId="86" priority="1159" operator="equal">
      <formula>$U$1</formula>
    </cfRule>
    <cfRule type="cellIs" dxfId="85" priority="1160" operator="equal">
      <formula>$S$1</formula>
    </cfRule>
  </conditionalFormatting>
  <conditionalFormatting sqref="D164">
    <cfRule type="cellIs" dxfId="84" priority="1157" operator="equal">
      <formula>$S$1</formula>
    </cfRule>
    <cfRule type="cellIs" dxfId="83" priority="1158" operator="equal">
      <formula>$U$1</formula>
    </cfRule>
  </conditionalFormatting>
  <conditionalFormatting sqref="C55">
    <cfRule type="cellIs" dxfId="82" priority="1155" operator="equal">
      <formula>$U$1</formula>
    </cfRule>
    <cfRule type="cellIs" dxfId="81" priority="1156" operator="equal">
      <formula>$S$1</formula>
    </cfRule>
  </conditionalFormatting>
  <conditionalFormatting sqref="D55">
    <cfRule type="cellIs" dxfId="80" priority="1153" operator="equal">
      <formula>$S$1</formula>
    </cfRule>
    <cfRule type="cellIs" dxfId="79" priority="1154" operator="equal">
      <formula>$U$1</formula>
    </cfRule>
  </conditionalFormatting>
  <conditionalFormatting sqref="C89">
    <cfRule type="cellIs" dxfId="78" priority="1151" operator="equal">
      <formula>$U$1</formula>
    </cfRule>
    <cfRule type="cellIs" dxfId="77" priority="1152" operator="equal">
      <formula>$S$1</formula>
    </cfRule>
  </conditionalFormatting>
  <conditionalFormatting sqref="D89">
    <cfRule type="cellIs" dxfId="76" priority="1149" operator="equal">
      <formula>$S$1</formula>
    </cfRule>
    <cfRule type="cellIs" dxfId="75" priority="1150" operator="equal">
      <formula>$U$1</formula>
    </cfRule>
  </conditionalFormatting>
  <conditionalFormatting sqref="C136">
    <cfRule type="cellIs" dxfId="74" priority="1147" operator="equal">
      <formula>$U$1</formula>
    </cfRule>
    <cfRule type="cellIs" dxfId="73" priority="1148" operator="equal">
      <formula>$S$1</formula>
    </cfRule>
  </conditionalFormatting>
  <conditionalFormatting sqref="D136">
    <cfRule type="cellIs" dxfId="72" priority="1145" operator="equal">
      <formula>$S$1</formula>
    </cfRule>
    <cfRule type="cellIs" dxfId="71" priority="1146" operator="equal">
      <formula>$U$1</formula>
    </cfRule>
  </conditionalFormatting>
  <conditionalFormatting sqref="C1">
    <cfRule type="cellIs" dxfId="70" priority="114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GG264" sqref="GG264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$A$263</v>
      </c>
      <c r="D111" s="1" t="str">
        <f>ADDRESS(C121-1,D121,1,1)</f>
        <v>$GG$263</v>
      </c>
      <c r="E111"/>
    </row>
    <row r="112" spans="1:5" x14ac:dyDescent="0.25">
      <c r="A112" s="30">
        <v>515.50191262726139</v>
      </c>
      <c r="C112" s="1" t="str">
        <f>ADDRESS(C121,1,1,1)</f>
        <v>$A$264</v>
      </c>
      <c r="D112" s="1" t="str">
        <f>ADDRESS(C121,D121-1,1,1)</f>
        <v>$GF$264</v>
      </c>
      <c r="E112"/>
    </row>
    <row r="113" spans="1:5" x14ac:dyDescent="0.25">
      <c r="A113" s="30">
        <v>490.95420250215363</v>
      </c>
      <c r="C113" s="1" t="str">
        <f>ADDRESS(C121+1,1,1,1)</f>
        <v>$A$265</v>
      </c>
      <c r="D113" s="1" t="str">
        <f>ADDRESS(C121-1,D121+1,1,1)</f>
        <v>$GH$263</v>
      </c>
    </row>
    <row r="114" spans="1:5" x14ac:dyDescent="0.25">
      <c r="A114" s="30">
        <v>467.57543095443202</v>
      </c>
      <c r="C114" s="1" t="str">
        <f>ADDRESS(C121,D121,1,1)</f>
        <v>$GG$264</v>
      </c>
      <c r="D114" s="1" t="str">
        <f>ADDRESS(C121+1,D121+1,1,1)</f>
        <v>$GH$265</v>
      </c>
    </row>
    <row r="115" spans="1:5" x14ac:dyDescent="0.25">
      <c r="A115" s="30">
        <v>445.30993424231622</v>
      </c>
      <c r="C115" s="1" t="str">
        <f>ADDRESS(C121+1,D121,1,1)</f>
        <v>$GG$265</v>
      </c>
    </row>
    <row r="116" spans="1:5" x14ac:dyDescent="0.25">
      <c r="A116" s="30">
        <v>424.10469927839637</v>
      </c>
      <c r="C116" s="1">
        <f>C117-1</f>
        <v>263</v>
      </c>
    </row>
    <row r="117" spans="1:5" x14ac:dyDescent="0.25">
      <c r="A117" s="30">
        <v>403.9092374079965</v>
      </c>
      <c r="C117" s="1">
        <f>C121</f>
        <v>264</v>
      </c>
      <c r="D117" s="1">
        <f>D121</f>
        <v>189</v>
      </c>
    </row>
    <row r="118" spans="1:5" x14ac:dyDescent="0.25">
      <c r="A118" s="30">
        <v>384.6754641980919</v>
      </c>
      <c r="C118" s="1">
        <f>C117+1</f>
        <v>265</v>
      </c>
      <c r="D118" s="1">
        <f>D117+1</f>
        <v>190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264</v>
      </c>
      <c r="D121" s="19">
        <v>189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R264</v>
      </c>
      <c r="D123" s="1" t="str">
        <f>"C"&amp;D121</f>
        <v>C189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0.3100679102826473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170" x14ac:dyDescent="0.25">
      <c r="A225" s="30">
        <v>2.0789281794113688</v>
      </c>
      <c r="E225"/>
    </row>
    <row r="226" spans="1:170" x14ac:dyDescent="0.25">
      <c r="A226" s="30">
        <v>1.9799315994393987</v>
      </c>
      <c r="E226"/>
    </row>
    <row r="227" spans="1:170" x14ac:dyDescent="0.25">
      <c r="A227" s="30">
        <v>1.8856491423232367</v>
      </c>
      <c r="E227"/>
    </row>
    <row r="228" spans="1:170" x14ac:dyDescent="0.25">
      <c r="A228" s="30">
        <v>1.7958563260221301</v>
      </c>
      <c r="C228" s="7"/>
      <c r="D228"/>
      <c r="E228"/>
    </row>
    <row r="229" spans="1:170" x14ac:dyDescent="0.25">
      <c r="A229" s="30">
        <v>1.7103393581163142</v>
      </c>
      <c r="E229"/>
    </row>
    <row r="230" spans="1:170" x14ac:dyDescent="0.25">
      <c r="A230" s="30">
        <v>1.628894626777442</v>
      </c>
      <c r="E230"/>
    </row>
    <row r="231" spans="1:170" x14ac:dyDescent="0.25">
      <c r="A231" s="30">
        <v>1.5513282159785162</v>
      </c>
      <c r="C231"/>
      <c r="D231"/>
      <c r="E231"/>
    </row>
    <row r="232" spans="1:170" x14ac:dyDescent="0.25">
      <c r="A232" s="30">
        <v>1.477455443789063</v>
      </c>
      <c r="E232"/>
    </row>
    <row r="233" spans="1:170" x14ac:dyDescent="0.25">
      <c r="A233" s="30">
        <v>1.4071004226562505</v>
      </c>
      <c r="E233"/>
    </row>
    <row r="234" spans="1:170" x14ac:dyDescent="0.25">
      <c r="A234" s="30">
        <v>1.3400956406250004</v>
      </c>
      <c r="E234"/>
      <c r="FM234" s="27" t="s">
        <v>8</v>
      </c>
    </row>
    <row r="235" spans="1:170" x14ac:dyDescent="0.25">
      <c r="A235" s="30">
        <v>1.2762815625000004</v>
      </c>
      <c r="C235"/>
      <c r="E235"/>
      <c r="FM235" s="27" t="s">
        <v>8</v>
      </c>
      <c r="FN235" s="27" t="s">
        <v>7</v>
      </c>
    </row>
    <row r="236" spans="1:170" x14ac:dyDescent="0.25">
      <c r="A236" s="30">
        <v>1.2155062500000002</v>
      </c>
      <c r="E236"/>
      <c r="FM236" s="27" t="s">
        <v>8</v>
      </c>
      <c r="FN236" s="27" t="s">
        <v>7</v>
      </c>
    </row>
    <row r="237" spans="1:170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FM237" s="27" t="s">
        <v>8</v>
      </c>
      <c r="FN237" s="27" t="s">
        <v>7</v>
      </c>
    </row>
    <row r="238" spans="1:170" x14ac:dyDescent="0.25">
      <c r="A238" s="30">
        <v>1.1025</v>
      </c>
      <c r="E238"/>
      <c r="FM238" s="27" t="s">
        <v>8</v>
      </c>
      <c r="FN238" s="27" t="s">
        <v>7</v>
      </c>
    </row>
    <row r="239" spans="1:170" x14ac:dyDescent="0.25">
      <c r="A239" s="30">
        <v>1.05</v>
      </c>
      <c r="E239"/>
      <c r="FM239" s="27" t="s">
        <v>8</v>
      </c>
      <c r="FN239" s="27" t="s">
        <v>7</v>
      </c>
    </row>
    <row r="240" spans="1:170" x14ac:dyDescent="0.25">
      <c r="A240" s="30">
        <v>1</v>
      </c>
      <c r="E240" s="29" t="s">
        <v>8</v>
      </c>
      <c r="FM240" s="27" t="s">
        <v>8</v>
      </c>
      <c r="FN240" s="27" t="s">
        <v>7</v>
      </c>
    </row>
    <row r="241" spans="1:183" x14ac:dyDescent="0.25">
      <c r="A241" s="30">
        <v>0.952380952380952</v>
      </c>
      <c r="B241"/>
      <c r="C241"/>
      <c r="D241"/>
      <c r="E241"/>
      <c r="F241" s="27" t="s">
        <v>7</v>
      </c>
      <c r="FM241" s="27" t="s">
        <v>8</v>
      </c>
      <c r="FN241" s="27" t="s">
        <v>7</v>
      </c>
    </row>
    <row r="242" spans="1:183" x14ac:dyDescent="0.25">
      <c r="A242" s="30">
        <v>0.90702947845804915</v>
      </c>
      <c r="B242"/>
      <c r="C242"/>
      <c r="D242"/>
      <c r="E242"/>
      <c r="F242" s="27" t="s">
        <v>7</v>
      </c>
      <c r="FM242" s="27" t="s">
        <v>8</v>
      </c>
      <c r="FN242" s="27" t="s">
        <v>7</v>
      </c>
    </row>
    <row r="243" spans="1:183" x14ac:dyDescent="0.25">
      <c r="A243" s="30">
        <v>0.86383759853147501</v>
      </c>
      <c r="B243"/>
      <c r="C243"/>
      <c r="D243"/>
      <c r="E243"/>
      <c r="F243" s="27" t="s">
        <v>7</v>
      </c>
      <c r="FM243" s="27" t="s">
        <v>8</v>
      </c>
      <c r="FN243" s="27" t="s">
        <v>7</v>
      </c>
    </row>
    <row r="244" spans="1:183" x14ac:dyDescent="0.25">
      <c r="A244" s="30">
        <v>0.82270247479188063</v>
      </c>
      <c r="B244"/>
      <c r="C244"/>
      <c r="D244"/>
      <c r="E244"/>
      <c r="F244" s="27" t="s">
        <v>7</v>
      </c>
      <c r="FM244" s="27" t="s">
        <v>8</v>
      </c>
      <c r="FN244" s="27" t="s">
        <v>7</v>
      </c>
    </row>
    <row r="245" spans="1:183" x14ac:dyDescent="0.25">
      <c r="A245" s="30">
        <v>0.78352616646845741</v>
      </c>
      <c r="B245"/>
      <c r="C245"/>
      <c r="D245"/>
      <c r="E245"/>
      <c r="F245" s="27" t="s">
        <v>7</v>
      </c>
      <c r="FM245" s="27" t="s">
        <v>8</v>
      </c>
      <c r="FN245" s="27" t="s">
        <v>7</v>
      </c>
      <c r="FU245" s="27" t="s">
        <v>8</v>
      </c>
    </row>
    <row r="246" spans="1:183" x14ac:dyDescent="0.25">
      <c r="A246" s="30">
        <v>0.74621539663662584</v>
      </c>
      <c r="B246"/>
      <c r="C246"/>
      <c r="D246"/>
      <c r="E246"/>
      <c r="F246" s="27" t="s">
        <v>7</v>
      </c>
      <c r="FM246" s="27" t="s">
        <v>8</v>
      </c>
      <c r="FN246" s="27" t="s">
        <v>7</v>
      </c>
      <c r="FU246" s="27" t="s">
        <v>8</v>
      </c>
      <c r="FV246" s="27" t="s">
        <v>7</v>
      </c>
    </row>
    <row r="247" spans="1:183" x14ac:dyDescent="0.25">
      <c r="A247" s="30">
        <v>0.71068133013011958</v>
      </c>
      <c r="B247"/>
      <c r="C247"/>
      <c r="D247"/>
      <c r="E247"/>
      <c r="F247" s="27" t="s">
        <v>7</v>
      </c>
      <c r="DC247" s="27" t="s">
        <v>8</v>
      </c>
      <c r="FM247" s="27" t="s">
        <v>8</v>
      </c>
      <c r="FN247" s="27" t="s">
        <v>7</v>
      </c>
      <c r="FU247" s="27" t="s">
        <v>8</v>
      </c>
      <c r="FV247" s="27" t="s">
        <v>7</v>
      </c>
    </row>
    <row r="248" spans="1:183" x14ac:dyDescent="0.25">
      <c r="A248" s="30">
        <v>0.676839362028685</v>
      </c>
      <c r="B248"/>
      <c r="C248"/>
      <c r="D248"/>
      <c r="E248"/>
      <c r="F248" s="27" t="s">
        <v>7</v>
      </c>
      <c r="DC248" s="27" t="s">
        <v>8</v>
      </c>
      <c r="DD248" s="27" t="s">
        <v>7</v>
      </c>
      <c r="FM248" s="27" t="s">
        <v>8</v>
      </c>
      <c r="FN248" s="27" t="s">
        <v>7</v>
      </c>
      <c r="FU248" s="27" t="s">
        <v>8</v>
      </c>
      <c r="FV248" s="27" t="s">
        <v>7</v>
      </c>
    </row>
    <row r="249" spans="1:183" x14ac:dyDescent="0.25">
      <c r="A249" s="30">
        <v>0.64460891621779492</v>
      </c>
      <c r="B249"/>
      <c r="C249"/>
      <c r="D249"/>
      <c r="E249"/>
      <c r="F249" s="27" t="s">
        <v>7</v>
      </c>
      <c r="DC249" s="27" t="s">
        <v>8</v>
      </c>
      <c r="DD249" s="27" t="s">
        <v>7</v>
      </c>
      <c r="FM249" s="27" t="s">
        <v>8</v>
      </c>
      <c r="FN249" s="27" t="s">
        <v>7</v>
      </c>
      <c r="FU249" s="27" t="s">
        <v>8</v>
      </c>
      <c r="FV249" s="27" t="s">
        <v>7</v>
      </c>
    </row>
    <row r="250" spans="1:183" x14ac:dyDescent="0.25">
      <c r="A250" s="30">
        <v>0.61391325354075688</v>
      </c>
      <c r="B250"/>
      <c r="C250"/>
      <c r="D250"/>
      <c r="E250"/>
      <c r="F250" s="27" t="s">
        <v>7</v>
      </c>
      <c r="DC250" s="27" t="s">
        <v>8</v>
      </c>
      <c r="DD250" s="27" t="s">
        <v>7</v>
      </c>
      <c r="FM250" s="27" t="s">
        <v>8</v>
      </c>
      <c r="FN250" s="27" t="s">
        <v>7</v>
      </c>
      <c r="FU250" s="27" t="s">
        <v>8</v>
      </c>
      <c r="FV250" s="27" t="s">
        <v>7</v>
      </c>
      <c r="FY250" s="27" t="s">
        <v>8</v>
      </c>
    </row>
    <row r="251" spans="1:183" x14ac:dyDescent="0.25">
      <c r="A251" s="30">
        <v>0.58467928908643485</v>
      </c>
      <c r="B251"/>
      <c r="C251"/>
      <c r="D251"/>
      <c r="E251"/>
      <c r="F251" s="27" t="s">
        <v>7</v>
      </c>
      <c r="DC251" s="27" t="s">
        <v>8</v>
      </c>
      <c r="DD251" s="27" t="s">
        <v>7</v>
      </c>
      <c r="DO251" s="27" t="s">
        <v>8</v>
      </c>
      <c r="FM251" s="27" t="s">
        <v>8</v>
      </c>
      <c r="FN251" s="27" t="s">
        <v>7</v>
      </c>
      <c r="FU251" s="27" t="s">
        <v>8</v>
      </c>
      <c r="FV251" s="27" t="s">
        <v>7</v>
      </c>
      <c r="FY251" s="27" t="s">
        <v>8</v>
      </c>
      <c r="FZ251" s="27" t="s">
        <v>7</v>
      </c>
    </row>
    <row r="252" spans="1:183" x14ac:dyDescent="0.25">
      <c r="A252" s="30">
        <v>0.55683741817755672</v>
      </c>
      <c r="B252"/>
      <c r="C252"/>
      <c r="D252"/>
      <c r="E252"/>
      <c r="F252" s="27" t="s">
        <v>7</v>
      </c>
      <c r="DC252" s="27" t="s">
        <v>8</v>
      </c>
      <c r="DD252" s="27" t="s">
        <v>7</v>
      </c>
      <c r="DO252" s="27" t="s">
        <v>8</v>
      </c>
      <c r="DP252" s="27" t="s">
        <v>7</v>
      </c>
      <c r="FM252" s="27" t="s">
        <v>8</v>
      </c>
      <c r="FN252" s="27" t="s">
        <v>7</v>
      </c>
      <c r="FU252" s="27" t="s">
        <v>8</v>
      </c>
      <c r="FV252" s="27" t="s">
        <v>7</v>
      </c>
      <c r="FW252" s="27" t="s">
        <v>8</v>
      </c>
      <c r="FY252" s="27" t="s">
        <v>8</v>
      </c>
      <c r="FZ252" s="27" t="s">
        <v>7</v>
      </c>
    </row>
    <row r="253" spans="1:183" x14ac:dyDescent="0.25">
      <c r="A253" s="30">
        <v>0.53032135064529184</v>
      </c>
      <c r="B253"/>
      <c r="C253"/>
      <c r="D253"/>
      <c r="E253"/>
      <c r="F253" s="27" t="s">
        <v>7</v>
      </c>
      <c r="DC253" s="27" t="s">
        <v>8</v>
      </c>
      <c r="DD253" s="27" t="s">
        <v>7</v>
      </c>
      <c r="DO253" s="27" t="s">
        <v>8</v>
      </c>
      <c r="DP253" s="27" t="s">
        <v>7</v>
      </c>
      <c r="FM253" s="27" t="s">
        <v>8</v>
      </c>
      <c r="FN253" s="27" t="s">
        <v>7</v>
      </c>
      <c r="FU253" s="27" t="s">
        <v>8</v>
      </c>
      <c r="FV253" s="27" t="s">
        <v>7</v>
      </c>
      <c r="FW253" s="27" t="s">
        <v>8</v>
      </c>
      <c r="FX253" s="27" t="s">
        <v>7</v>
      </c>
      <c r="FY253" s="27" t="s">
        <v>8</v>
      </c>
      <c r="FZ253" s="27" t="s">
        <v>7</v>
      </c>
    </row>
    <row r="254" spans="1:183" x14ac:dyDescent="0.25">
      <c r="A254" s="30">
        <v>0.50506795299551588</v>
      </c>
      <c r="B254"/>
      <c r="C254"/>
      <c r="D254"/>
      <c r="E254"/>
      <c r="F254" s="27" t="s">
        <v>7</v>
      </c>
      <c r="DC254" s="27" t="s">
        <v>8</v>
      </c>
      <c r="DD254" s="27" t="s">
        <v>7</v>
      </c>
      <c r="DE254" s="27" t="s">
        <v>8</v>
      </c>
      <c r="DO254" s="27" t="s">
        <v>8</v>
      </c>
      <c r="DP254" s="27" t="s">
        <v>7</v>
      </c>
      <c r="FM254" s="27" t="s">
        <v>8</v>
      </c>
      <c r="FN254" s="27" t="s">
        <v>7</v>
      </c>
      <c r="FO254" s="27" t="s">
        <v>8</v>
      </c>
      <c r="FU254" s="27" t="s">
        <v>8</v>
      </c>
      <c r="FV254" s="27" t="s">
        <v>7</v>
      </c>
      <c r="FW254" s="27" t="s">
        <v>8</v>
      </c>
      <c r="FX254" s="27" t="s">
        <v>7</v>
      </c>
      <c r="FY254" s="27" t="s">
        <v>8</v>
      </c>
      <c r="FZ254" s="27" t="s">
        <v>7</v>
      </c>
    </row>
    <row r="255" spans="1:183" x14ac:dyDescent="0.25">
      <c r="A255" s="30">
        <v>0.48101709809096732</v>
      </c>
      <c r="E255"/>
      <c r="F255" s="27" t="s">
        <v>7</v>
      </c>
      <c r="DC255" s="27" t="s">
        <v>8</v>
      </c>
      <c r="DD255" s="27" t="s">
        <v>7</v>
      </c>
      <c r="DE255" s="27" t="s">
        <v>8</v>
      </c>
      <c r="DF255" s="27" t="s">
        <v>7</v>
      </c>
      <c r="DO255" s="27" t="s">
        <v>8</v>
      </c>
      <c r="DP255" s="27" t="s">
        <v>7</v>
      </c>
      <c r="FM255" s="27" t="s">
        <v>8</v>
      </c>
      <c r="FN255" s="27" t="s">
        <v>7</v>
      </c>
      <c r="FO255" s="27" t="s">
        <v>8</v>
      </c>
      <c r="FP255" s="27" t="s">
        <v>7</v>
      </c>
      <c r="FU255" s="27" t="s">
        <v>8</v>
      </c>
      <c r="FV255" s="27" t="s">
        <v>7</v>
      </c>
      <c r="FW255" s="27" t="s">
        <v>8</v>
      </c>
      <c r="FX255" s="27" t="s">
        <v>7</v>
      </c>
      <c r="FY255" s="27" t="s">
        <v>8</v>
      </c>
      <c r="FZ255" s="27" t="s">
        <v>7</v>
      </c>
    </row>
    <row r="256" spans="1:183" x14ac:dyDescent="0.25">
      <c r="A256" s="30">
        <v>0.45811152199139726</v>
      </c>
      <c r="E256"/>
      <c r="F256" s="27" t="s">
        <v>7</v>
      </c>
      <c r="DC256" s="27" t="s">
        <v>8</v>
      </c>
      <c r="DD256" s="27" t="s">
        <v>7</v>
      </c>
      <c r="DE256" s="27" t="s">
        <v>8</v>
      </c>
      <c r="DF256" s="27" t="s">
        <v>7</v>
      </c>
      <c r="DO256" s="27" t="s">
        <v>8</v>
      </c>
      <c r="DP256" s="27" t="s">
        <v>7</v>
      </c>
      <c r="FM256" s="27" t="s">
        <v>8</v>
      </c>
      <c r="FN256" s="27" t="s">
        <v>7</v>
      </c>
      <c r="FO256" s="27" t="s">
        <v>8</v>
      </c>
      <c r="FP256" s="27" t="s">
        <v>7</v>
      </c>
      <c r="FU256" s="27" t="s">
        <v>8</v>
      </c>
      <c r="FV256" s="27" t="s">
        <v>7</v>
      </c>
      <c r="FW256" s="27" t="s">
        <v>8</v>
      </c>
      <c r="FX256" s="27" t="s">
        <v>7</v>
      </c>
      <c r="FY256" s="27" t="s">
        <v>8</v>
      </c>
      <c r="FZ256" s="27" t="s">
        <v>7</v>
      </c>
      <c r="GA256" s="27" t="s">
        <v>8</v>
      </c>
    </row>
    <row r="257" spans="1:189" x14ac:dyDescent="0.25">
      <c r="A257" s="30">
        <v>0.43629668761085438</v>
      </c>
      <c r="B257"/>
      <c r="C257"/>
      <c r="D257"/>
      <c r="E257"/>
      <c r="F257" s="27" t="s">
        <v>7</v>
      </c>
      <c r="CU257" s="27" t="s">
        <v>8</v>
      </c>
      <c r="DC257" s="27" t="s">
        <v>8</v>
      </c>
      <c r="DD257" s="27" t="s">
        <v>7</v>
      </c>
      <c r="DE257" s="27" t="s">
        <v>8</v>
      </c>
      <c r="DF257" s="27" t="s">
        <v>7</v>
      </c>
      <c r="DG257" s="27" t="s">
        <v>8</v>
      </c>
      <c r="DI257" s="27" t="s">
        <v>8</v>
      </c>
      <c r="DM257" s="27" t="s">
        <v>8</v>
      </c>
      <c r="DO257" s="27" t="s">
        <v>8</v>
      </c>
      <c r="DP257" s="27" t="s">
        <v>7</v>
      </c>
      <c r="FM257" s="27" t="s">
        <v>8</v>
      </c>
      <c r="FN257" s="27" t="s">
        <v>7</v>
      </c>
      <c r="FO257" s="27" t="s">
        <v>8</v>
      </c>
      <c r="FP257" s="27" t="s">
        <v>7</v>
      </c>
      <c r="FQ257" s="27" t="s">
        <v>8</v>
      </c>
      <c r="FU257" s="27" t="s">
        <v>8</v>
      </c>
      <c r="FV257" s="27" t="s">
        <v>7</v>
      </c>
      <c r="FW257" s="27" t="s">
        <v>8</v>
      </c>
      <c r="FX257" s="27" t="s">
        <v>7</v>
      </c>
      <c r="FY257" s="27" t="s">
        <v>8</v>
      </c>
      <c r="FZ257" s="27" t="s">
        <v>7</v>
      </c>
      <c r="GA257" s="27" t="s">
        <v>8</v>
      </c>
      <c r="GB257" s="27" t="s">
        <v>7</v>
      </c>
    </row>
    <row r="258" spans="1:189" x14ac:dyDescent="0.25">
      <c r="A258" s="30">
        <v>0.41552065486748019</v>
      </c>
      <c r="B258"/>
      <c r="C258"/>
      <c r="D258"/>
      <c r="E258"/>
      <c r="F258" s="27" t="s">
        <v>7</v>
      </c>
      <c r="CU258" s="27" t="s">
        <v>8</v>
      </c>
      <c r="CV258" s="27" t="s">
        <v>7</v>
      </c>
      <c r="DC258" s="27" t="s">
        <v>8</v>
      </c>
      <c r="DD258" s="27" t="s">
        <v>7</v>
      </c>
      <c r="DF258" s="27" t="s">
        <v>7</v>
      </c>
      <c r="DG258" s="27" t="s">
        <v>8</v>
      </c>
      <c r="DH258" s="27" t="s">
        <v>7</v>
      </c>
      <c r="DI258" s="27" t="s">
        <v>8</v>
      </c>
      <c r="DJ258" s="27" t="s">
        <v>7</v>
      </c>
      <c r="DM258" s="27" t="s">
        <v>8</v>
      </c>
      <c r="DN258" s="27" t="s">
        <v>7</v>
      </c>
      <c r="DO258" s="27" t="s">
        <v>8</v>
      </c>
      <c r="DP258" s="27" t="s">
        <v>7</v>
      </c>
      <c r="FM258" s="27" t="s">
        <v>8</v>
      </c>
      <c r="FN258" s="27" t="s">
        <v>7</v>
      </c>
      <c r="FP258" s="27" t="s">
        <v>7</v>
      </c>
      <c r="FQ258" s="27" t="s">
        <v>8</v>
      </c>
      <c r="FR258" s="27" t="s">
        <v>7</v>
      </c>
      <c r="FU258" s="27" t="s">
        <v>8</v>
      </c>
      <c r="FV258" s="27" t="s">
        <v>7</v>
      </c>
      <c r="FW258" s="27" t="s">
        <v>8</v>
      </c>
      <c r="FX258" s="27" t="s">
        <v>7</v>
      </c>
      <c r="FY258" s="27" t="s">
        <v>8</v>
      </c>
      <c r="FZ258" s="27" t="s">
        <v>7</v>
      </c>
      <c r="GA258" s="27" t="s">
        <v>8</v>
      </c>
      <c r="GB258" s="27" t="s">
        <v>7</v>
      </c>
    </row>
    <row r="259" spans="1:189" x14ac:dyDescent="0.25">
      <c r="A259" s="30">
        <v>0.39573395701664765</v>
      </c>
      <c r="B259"/>
      <c r="C259"/>
      <c r="D259"/>
      <c r="E259"/>
      <c r="F259" s="27" t="s">
        <v>7</v>
      </c>
      <c r="CU259" s="27" t="s">
        <v>8</v>
      </c>
      <c r="CV259" s="27" t="s">
        <v>7</v>
      </c>
      <c r="DA259" s="27" t="s">
        <v>8</v>
      </c>
      <c r="DC259" s="27" t="s">
        <v>8</v>
      </c>
      <c r="DF259" s="27" t="s">
        <v>7</v>
      </c>
      <c r="DG259" s="27" t="s">
        <v>8</v>
      </c>
      <c r="DH259" s="27" t="s">
        <v>7</v>
      </c>
      <c r="DI259" s="27" t="s">
        <v>8</v>
      </c>
      <c r="DJ259" s="27" t="s">
        <v>7</v>
      </c>
      <c r="DM259" s="27" t="s">
        <v>8</v>
      </c>
      <c r="DN259" s="27" t="s">
        <v>7</v>
      </c>
      <c r="DO259" s="27" t="s">
        <v>8</v>
      </c>
      <c r="DP259" s="27" t="s">
        <v>7</v>
      </c>
      <c r="FM259" s="27" t="s">
        <v>8</v>
      </c>
      <c r="FP259" s="27" t="s">
        <v>7</v>
      </c>
      <c r="FQ259" s="27" t="s">
        <v>8</v>
      </c>
      <c r="FR259" s="27" t="s">
        <v>7</v>
      </c>
      <c r="FU259" s="27" t="s">
        <v>8</v>
      </c>
      <c r="FV259" s="27" t="s">
        <v>7</v>
      </c>
      <c r="FW259" s="27" t="s">
        <v>8</v>
      </c>
      <c r="FX259" s="27" t="s">
        <v>7</v>
      </c>
      <c r="FZ259" s="27" t="s">
        <v>7</v>
      </c>
      <c r="GB259" s="27" t="s">
        <v>7</v>
      </c>
      <c r="GC259" s="27" t="s">
        <v>8</v>
      </c>
    </row>
    <row r="260" spans="1:189" x14ac:dyDescent="0.25">
      <c r="A260" s="30">
        <v>0.37688948287299762</v>
      </c>
      <c r="B260"/>
      <c r="C260"/>
      <c r="D260"/>
      <c r="E260"/>
      <c r="F260" s="27" t="s">
        <v>7</v>
      </c>
      <c r="CI260" s="27" t="s">
        <v>8</v>
      </c>
      <c r="CU260" s="27" t="s">
        <v>8</v>
      </c>
      <c r="CV260" s="27" t="s">
        <v>7</v>
      </c>
      <c r="CY260" s="27" t="s">
        <v>8</v>
      </c>
      <c r="DA260" s="27" t="s">
        <v>8</v>
      </c>
      <c r="DB260" s="27" t="s">
        <v>7</v>
      </c>
      <c r="DC260" s="27" t="s">
        <v>8</v>
      </c>
      <c r="DF260" s="27" t="s">
        <v>7</v>
      </c>
      <c r="DG260" s="27" t="s">
        <v>8</v>
      </c>
      <c r="DH260" s="27" t="s">
        <v>7</v>
      </c>
      <c r="DI260" s="27" t="s">
        <v>8</v>
      </c>
      <c r="DJ260" s="27" t="s">
        <v>7</v>
      </c>
      <c r="DM260" s="27" t="s">
        <v>8</v>
      </c>
      <c r="DN260" s="27" t="s">
        <v>7</v>
      </c>
      <c r="DO260" s="27" t="s">
        <v>8</v>
      </c>
      <c r="DP260" s="27" t="s">
        <v>7</v>
      </c>
      <c r="FM260" s="27" t="s">
        <v>8</v>
      </c>
      <c r="FP260" s="27" t="s">
        <v>7</v>
      </c>
      <c r="FQ260" s="27" t="s">
        <v>8</v>
      </c>
      <c r="FR260" s="27" t="s">
        <v>7</v>
      </c>
      <c r="FU260" s="27" t="s">
        <v>8</v>
      </c>
      <c r="FV260" s="27" t="s">
        <v>7</v>
      </c>
      <c r="GB260" s="27" t="s">
        <v>7</v>
      </c>
      <c r="GC260" s="27" t="s">
        <v>8</v>
      </c>
      <c r="GD260" s="27" t="s">
        <v>7</v>
      </c>
    </row>
    <row r="261" spans="1:189" x14ac:dyDescent="0.25">
      <c r="A261" s="30">
        <v>0.35894236464094997</v>
      </c>
      <c r="B261"/>
      <c r="C261"/>
      <c r="D261"/>
      <c r="E261"/>
      <c r="F261" s="27" t="s">
        <v>7</v>
      </c>
      <c r="CI261" s="27" t="s">
        <v>8</v>
      </c>
      <c r="CJ261" s="27" t="s">
        <v>7</v>
      </c>
      <c r="CU261" s="27" t="s">
        <v>8</v>
      </c>
      <c r="CV261" s="27" t="s">
        <v>7</v>
      </c>
      <c r="CY261" s="27" t="s">
        <v>8</v>
      </c>
      <c r="CZ261" s="27" t="s">
        <v>7</v>
      </c>
      <c r="DA261" s="27" t="s">
        <v>8</v>
      </c>
      <c r="DB261" s="27" t="s">
        <v>7</v>
      </c>
      <c r="DC261" s="27" t="s">
        <v>8</v>
      </c>
      <c r="DF261" s="27" t="s">
        <v>7</v>
      </c>
      <c r="DH261" s="27" t="s">
        <v>7</v>
      </c>
      <c r="DJ261" s="27" t="s">
        <v>7</v>
      </c>
      <c r="DM261" s="27" t="s">
        <v>8</v>
      </c>
      <c r="DN261" s="27" t="s">
        <v>7</v>
      </c>
      <c r="DP261" s="27" t="s">
        <v>7</v>
      </c>
      <c r="DQ261" s="27" t="s">
        <v>8</v>
      </c>
      <c r="ES261" s="27" t="s">
        <v>8</v>
      </c>
      <c r="FM261" s="27" t="s">
        <v>8</v>
      </c>
      <c r="FP261" s="27" t="s">
        <v>7</v>
      </c>
      <c r="FR261" s="27" t="s">
        <v>7</v>
      </c>
      <c r="FS261" s="27" t="s">
        <v>8</v>
      </c>
      <c r="FU261" s="27" t="s">
        <v>8</v>
      </c>
      <c r="GB261" s="27" t="s">
        <v>7</v>
      </c>
      <c r="GC261" s="27" t="s">
        <v>8</v>
      </c>
      <c r="GD261" s="27" t="s">
        <v>7</v>
      </c>
      <c r="GE261" s="27" t="s">
        <v>8</v>
      </c>
    </row>
    <row r="262" spans="1:189" x14ac:dyDescent="0.25">
      <c r="A262" s="30">
        <v>0.34184987108661891</v>
      </c>
      <c r="B262"/>
      <c r="C262"/>
      <c r="D262"/>
      <c r="E262"/>
      <c r="F262" s="27" t="s">
        <v>7</v>
      </c>
      <c r="CI262" s="27" t="s">
        <v>8</v>
      </c>
      <c r="CJ262" s="27" t="s">
        <v>7</v>
      </c>
      <c r="CU262" s="27" t="s">
        <v>8</v>
      </c>
      <c r="CV262" s="27" t="s">
        <v>7</v>
      </c>
      <c r="CY262" s="27" t="s">
        <v>8</v>
      </c>
      <c r="CZ262" s="27" t="s">
        <v>7</v>
      </c>
      <c r="DA262" s="27" t="s">
        <v>8</v>
      </c>
      <c r="DB262" s="27" t="s">
        <v>7</v>
      </c>
      <c r="DC262" s="27" t="s">
        <v>8</v>
      </c>
      <c r="DJ262" s="27" t="s">
        <v>7</v>
      </c>
      <c r="DM262" s="27" t="s">
        <v>8</v>
      </c>
      <c r="DP262" s="27" t="s">
        <v>7</v>
      </c>
      <c r="DQ262" s="27" t="s">
        <v>8</v>
      </c>
      <c r="DR262" s="27" t="s">
        <v>7</v>
      </c>
      <c r="ES262" s="27" t="s">
        <v>8</v>
      </c>
      <c r="ET262" s="27" t="s">
        <v>7</v>
      </c>
      <c r="FM262" s="27" t="s">
        <v>8</v>
      </c>
      <c r="FR262" s="27" t="s">
        <v>7</v>
      </c>
      <c r="FS262" s="27" t="s">
        <v>8</v>
      </c>
      <c r="FT262" s="27" t="s">
        <v>7</v>
      </c>
      <c r="FU262" s="27" t="s">
        <v>8</v>
      </c>
      <c r="GB262" s="27" t="s">
        <v>7</v>
      </c>
      <c r="GC262" s="27" t="s">
        <v>8</v>
      </c>
      <c r="GD262" s="27" t="s">
        <v>7</v>
      </c>
      <c r="GE262" s="27" t="s">
        <v>8</v>
      </c>
      <c r="GF262" s="27" t="s">
        <v>7</v>
      </c>
    </row>
    <row r="263" spans="1:189" x14ac:dyDescent="0.25">
      <c r="A263" s="30">
        <v>0.32557130579677979</v>
      </c>
      <c r="B263"/>
      <c r="C263"/>
      <c r="D263"/>
      <c r="E263"/>
      <c r="F263" s="27" t="s">
        <v>7</v>
      </c>
      <c r="AI263" s="27" t="s">
        <v>8</v>
      </c>
      <c r="CI263" s="27" t="s">
        <v>8</v>
      </c>
      <c r="CJ263" s="27" t="s">
        <v>7</v>
      </c>
      <c r="CU263" s="27" t="s">
        <v>8</v>
      </c>
      <c r="CV263" s="27" t="s">
        <v>7</v>
      </c>
      <c r="CW263" s="27" t="s">
        <v>8</v>
      </c>
      <c r="CY263" s="27" t="s">
        <v>8</v>
      </c>
      <c r="CZ263" s="27" t="s">
        <v>7</v>
      </c>
      <c r="DA263" s="27" t="s">
        <v>8</v>
      </c>
      <c r="DB263" s="27" t="s">
        <v>7</v>
      </c>
      <c r="DC263" s="27" t="s">
        <v>8</v>
      </c>
      <c r="DJ263" s="27" t="s">
        <v>7</v>
      </c>
      <c r="DM263" s="27" t="s">
        <v>8</v>
      </c>
      <c r="DP263" s="27" t="s">
        <v>7</v>
      </c>
      <c r="DQ263" s="27" t="s">
        <v>8</v>
      </c>
      <c r="DR263" s="27" t="s">
        <v>7</v>
      </c>
      <c r="ES263" s="27" t="s">
        <v>8</v>
      </c>
      <c r="ET263" s="27" t="s">
        <v>7</v>
      </c>
      <c r="EY263" s="27" t="s">
        <v>8</v>
      </c>
      <c r="FM263" s="27" t="s">
        <v>8</v>
      </c>
      <c r="FR263" s="27" t="s">
        <v>7</v>
      </c>
      <c r="FS263" s="27" t="s">
        <v>8</v>
      </c>
      <c r="FT263" s="27" t="s">
        <v>7</v>
      </c>
      <c r="FU263" s="27" t="s">
        <v>8</v>
      </c>
      <c r="GB263" s="27" t="s">
        <v>7</v>
      </c>
      <c r="GD263" s="27" t="s">
        <v>7</v>
      </c>
      <c r="GE263" s="27" t="s">
        <v>8</v>
      </c>
      <c r="GF263" s="27" t="s">
        <v>7</v>
      </c>
    </row>
    <row r="264" spans="1:189" x14ac:dyDescent="0.25">
      <c r="A264" s="30">
        <v>0.3100679102826473</v>
      </c>
      <c r="B264"/>
      <c r="C264"/>
      <c r="D264"/>
      <c r="E264"/>
      <c r="F264" s="27" t="s">
        <v>7</v>
      </c>
      <c r="AI264" s="27" t="s">
        <v>8</v>
      </c>
      <c r="AJ264" s="27" t="s">
        <v>7</v>
      </c>
      <c r="CI264" s="27" t="s">
        <v>8</v>
      </c>
      <c r="CJ264" s="27" t="s">
        <v>7</v>
      </c>
      <c r="CU264" s="27" t="s">
        <v>8</v>
      </c>
      <c r="CV264" s="27" t="s">
        <v>7</v>
      </c>
      <c r="CW264" s="27" t="s">
        <v>8</v>
      </c>
      <c r="CX264" s="27" t="s">
        <v>7</v>
      </c>
      <c r="CY264" s="27" t="s">
        <v>8</v>
      </c>
      <c r="CZ264" s="27" t="s">
        <v>7</v>
      </c>
      <c r="DB264" s="27" t="s">
        <v>7</v>
      </c>
      <c r="DJ264" s="27" t="s">
        <v>7</v>
      </c>
      <c r="DK264" s="27" t="s">
        <v>8</v>
      </c>
      <c r="DM264" s="27" t="s">
        <v>8</v>
      </c>
      <c r="DP264" s="27" t="s">
        <v>7</v>
      </c>
      <c r="DR264" s="27" t="s">
        <v>7</v>
      </c>
      <c r="ES264" s="27" t="s">
        <v>8</v>
      </c>
      <c r="ET264" s="27" t="s">
        <v>7</v>
      </c>
      <c r="EY264" s="27" t="s">
        <v>8</v>
      </c>
      <c r="EZ264" s="27" t="s">
        <v>7</v>
      </c>
      <c r="FM264" s="27" t="s">
        <v>8</v>
      </c>
      <c r="FR264" s="27" t="s">
        <v>7</v>
      </c>
      <c r="FS264" s="27" t="s">
        <v>8</v>
      </c>
      <c r="FT264" s="27" t="s">
        <v>7</v>
      </c>
      <c r="FU264" s="27" t="s">
        <v>8</v>
      </c>
      <c r="GD264" s="27" t="s">
        <v>7</v>
      </c>
      <c r="GE264" s="27" t="s">
        <v>8</v>
      </c>
      <c r="GF264" s="27" t="s">
        <v>7</v>
      </c>
      <c r="GG264" s="27" t="s">
        <v>8</v>
      </c>
    </row>
    <row r="265" spans="1:189" x14ac:dyDescent="0.25">
      <c r="A265" s="30">
        <v>0.2953027716977592</v>
      </c>
      <c r="B265"/>
      <c r="C265"/>
      <c r="D265"/>
      <c r="E265"/>
      <c r="F265" s="27" t="s">
        <v>7</v>
      </c>
      <c r="AI265" s="27" t="s">
        <v>8</v>
      </c>
      <c r="AJ265" s="27" t="s">
        <v>7</v>
      </c>
      <c r="BU265" s="27" t="s">
        <v>8</v>
      </c>
      <c r="CI265" s="27" t="s">
        <v>8</v>
      </c>
      <c r="CJ265" s="27" t="s">
        <v>7</v>
      </c>
      <c r="CS265" s="27" t="s">
        <v>8</v>
      </c>
      <c r="CU265" s="27" t="s">
        <v>8</v>
      </c>
      <c r="CV265" s="27" t="s">
        <v>7</v>
      </c>
      <c r="CW265" s="27" t="s">
        <v>8</v>
      </c>
      <c r="CX265" s="27" t="s">
        <v>7</v>
      </c>
      <c r="CY265" s="27" t="s">
        <v>8</v>
      </c>
      <c r="DJ265" s="27" t="s">
        <v>7</v>
      </c>
      <c r="DK265" s="27" t="s">
        <v>8</v>
      </c>
      <c r="DL265" s="27" t="s">
        <v>7</v>
      </c>
      <c r="DM265" s="27" t="s">
        <v>8</v>
      </c>
      <c r="DR265" s="27" t="s">
        <v>7</v>
      </c>
      <c r="ES265" s="27" t="s">
        <v>8</v>
      </c>
      <c r="ET265" s="27" t="s">
        <v>7</v>
      </c>
      <c r="EY265" s="27" t="s">
        <v>8</v>
      </c>
      <c r="EZ265" s="27" t="s">
        <v>7</v>
      </c>
      <c r="FM265" s="27" t="s">
        <v>8</v>
      </c>
      <c r="FR265" s="27" t="s">
        <v>7</v>
      </c>
      <c r="FT265" s="27" t="s">
        <v>7</v>
      </c>
      <c r="FU265" s="27" t="s">
        <v>8</v>
      </c>
      <c r="GD265" s="27" t="s">
        <v>7</v>
      </c>
      <c r="GE265" s="27" t="s">
        <v>8</v>
      </c>
      <c r="GF265" s="27" t="s">
        <v>7</v>
      </c>
      <c r="GG265" s="27" t="s">
        <v>8</v>
      </c>
    </row>
    <row r="266" spans="1:189" x14ac:dyDescent="0.25">
      <c r="A266" s="30">
        <v>0.28124073495024676</v>
      </c>
      <c r="B266"/>
      <c r="C266"/>
      <c r="D266"/>
      <c r="E266"/>
      <c r="F266" s="27" t="s">
        <v>7</v>
      </c>
      <c r="AI266" s="27" t="s">
        <v>8</v>
      </c>
      <c r="AJ266" s="27" t="s">
        <v>7</v>
      </c>
      <c r="BU266" s="27" t="s">
        <v>8</v>
      </c>
      <c r="BV266" s="27" t="s">
        <v>7</v>
      </c>
      <c r="CI266" s="27" t="s">
        <v>8</v>
      </c>
      <c r="CJ266" s="27" t="s">
        <v>7</v>
      </c>
      <c r="CS266" s="27" t="s">
        <v>8</v>
      </c>
      <c r="CT266" s="27" t="s">
        <v>7</v>
      </c>
      <c r="CU266" s="27" t="s">
        <v>8</v>
      </c>
      <c r="CV266" s="27" t="s">
        <v>7</v>
      </c>
      <c r="CW266" s="27" t="s">
        <v>8</v>
      </c>
      <c r="CX266" s="27" t="s">
        <v>7</v>
      </c>
      <c r="CY266" s="27" t="s">
        <v>8</v>
      </c>
      <c r="DJ266" s="27" t="s">
        <v>7</v>
      </c>
      <c r="DK266" s="27" t="s">
        <v>8</v>
      </c>
      <c r="DL266" s="27" t="s">
        <v>7</v>
      </c>
      <c r="DM266" s="27" t="s">
        <v>8</v>
      </c>
      <c r="DR266" s="27" t="s">
        <v>7</v>
      </c>
      <c r="ES266" s="27" t="s">
        <v>8</v>
      </c>
      <c r="ET266" s="27" t="s">
        <v>7</v>
      </c>
      <c r="EY266" s="27" t="s">
        <v>8</v>
      </c>
      <c r="EZ266" s="27" t="s">
        <v>7</v>
      </c>
      <c r="FI266" s="27" t="s">
        <v>8</v>
      </c>
      <c r="FM266" s="27" t="s">
        <v>8</v>
      </c>
      <c r="FT266" s="27" t="s">
        <v>7</v>
      </c>
      <c r="GD266" s="27" t="s">
        <v>7</v>
      </c>
      <c r="GE266" s="27" t="s">
        <v>8</v>
      </c>
      <c r="GF266" s="27" t="s">
        <v>7</v>
      </c>
      <c r="GG266" s="27" t="s">
        <v>8</v>
      </c>
    </row>
    <row r="267" spans="1:189" x14ac:dyDescent="0.25">
      <c r="A267" s="30">
        <v>0.26784831900023492</v>
      </c>
      <c r="B267"/>
      <c r="C267"/>
      <c r="D267"/>
      <c r="E267"/>
      <c r="F267" s="27" t="s">
        <v>7</v>
      </c>
      <c r="AI267" s="27" t="s">
        <v>8</v>
      </c>
      <c r="AJ267" s="27" t="s">
        <v>7</v>
      </c>
      <c r="BU267" s="27" t="s">
        <v>8</v>
      </c>
      <c r="BV267" s="27" t="s">
        <v>7</v>
      </c>
      <c r="CI267" s="27" t="s">
        <v>8</v>
      </c>
      <c r="CJ267" s="27" t="s">
        <v>7</v>
      </c>
      <c r="CO267" s="27" t="s">
        <v>8</v>
      </c>
      <c r="CS267" s="27" t="s">
        <v>8</v>
      </c>
      <c r="CT267" s="27" t="s">
        <v>7</v>
      </c>
      <c r="CU267" s="27" t="s">
        <v>8</v>
      </c>
      <c r="CV267" s="27" t="s">
        <v>7</v>
      </c>
      <c r="CX267" s="27" t="s">
        <v>7</v>
      </c>
      <c r="CY267" s="27" t="s">
        <v>8</v>
      </c>
      <c r="DJ267" s="27" t="s">
        <v>7</v>
      </c>
      <c r="DK267" s="27" t="s">
        <v>8</v>
      </c>
      <c r="DL267" s="27" t="s">
        <v>7</v>
      </c>
      <c r="DR267" s="27" t="s">
        <v>7</v>
      </c>
      <c r="DY267" s="27" t="s">
        <v>8</v>
      </c>
      <c r="ES267" s="27" t="s">
        <v>8</v>
      </c>
      <c r="ET267" s="27" t="s">
        <v>7</v>
      </c>
      <c r="EY267" s="27" t="s">
        <v>8</v>
      </c>
      <c r="EZ267" s="27" t="s">
        <v>7</v>
      </c>
      <c r="FI267" s="27" t="s">
        <v>8</v>
      </c>
      <c r="FJ267" s="27" t="s">
        <v>7</v>
      </c>
      <c r="FM267" s="27" t="s">
        <v>8</v>
      </c>
      <c r="GD267" s="27" t="s">
        <v>7</v>
      </c>
      <c r="GE267" s="27" t="s">
        <v>8</v>
      </c>
      <c r="GF267" s="27" t="s">
        <v>7</v>
      </c>
    </row>
    <row r="268" spans="1:189" x14ac:dyDescent="0.25">
      <c r="A268" s="30">
        <v>0.25509363714308075</v>
      </c>
      <c r="B268"/>
      <c r="C268"/>
      <c r="D268"/>
      <c r="E268"/>
      <c r="F268" s="27" t="s">
        <v>7</v>
      </c>
      <c r="AI268" s="27" t="s">
        <v>8</v>
      </c>
      <c r="AJ268" s="27" t="s">
        <v>7</v>
      </c>
      <c r="BU268" s="27" t="s">
        <v>8</v>
      </c>
      <c r="BV268" s="27" t="s">
        <v>7</v>
      </c>
      <c r="CI268" s="27" t="s">
        <v>8</v>
      </c>
      <c r="CJ268" s="27" t="s">
        <v>7</v>
      </c>
      <c r="CO268" s="27" t="s">
        <v>8</v>
      </c>
      <c r="CP268" s="27" t="s">
        <v>7</v>
      </c>
      <c r="CS268" s="27" t="s">
        <v>8</v>
      </c>
      <c r="CT268" s="27" t="s">
        <v>7</v>
      </c>
      <c r="CU268" s="27" t="s">
        <v>8</v>
      </c>
      <c r="CX268" s="27" t="s">
        <v>7</v>
      </c>
      <c r="CY268" s="27" t="s">
        <v>8</v>
      </c>
      <c r="DJ268" s="27" t="s">
        <v>7</v>
      </c>
      <c r="DR268" s="27" t="s">
        <v>7</v>
      </c>
      <c r="DY268" s="27" t="s">
        <v>8</v>
      </c>
      <c r="DZ268" s="27" t="s">
        <v>7</v>
      </c>
      <c r="ES268" s="27" t="s">
        <v>8</v>
      </c>
      <c r="ET268" s="27" t="s">
        <v>7</v>
      </c>
      <c r="EW268" s="27" t="s">
        <v>8</v>
      </c>
      <c r="EY268" s="27" t="s">
        <v>8</v>
      </c>
      <c r="EZ268" s="27" t="s">
        <v>7</v>
      </c>
      <c r="FA268" s="27" t="s">
        <v>8</v>
      </c>
      <c r="FE268" s="27" t="s">
        <v>8</v>
      </c>
      <c r="FI268" s="27" t="s">
        <v>8</v>
      </c>
      <c r="FJ268" s="27" t="s">
        <v>7</v>
      </c>
      <c r="FM268" s="27" t="s">
        <v>8</v>
      </c>
      <c r="GD268" s="27" t="s">
        <v>7</v>
      </c>
      <c r="GE268" s="27" t="s">
        <v>8</v>
      </c>
    </row>
    <row r="269" spans="1:189" x14ac:dyDescent="0.25">
      <c r="A269" s="30">
        <v>0.24294632108864825</v>
      </c>
      <c r="B269"/>
      <c r="C269"/>
      <c r="D269"/>
      <c r="E269"/>
      <c r="F269" s="27" t="s">
        <v>7</v>
      </c>
      <c r="AI269" s="27" t="s">
        <v>8</v>
      </c>
      <c r="AJ269" s="27" t="s">
        <v>7</v>
      </c>
      <c r="BU269" s="27" t="s">
        <v>8</v>
      </c>
      <c r="BV269" s="27" t="s">
        <v>7</v>
      </c>
      <c r="CI269" s="27" t="s">
        <v>8</v>
      </c>
      <c r="CJ269" s="27" t="s">
        <v>7</v>
      </c>
      <c r="CK269" s="27" t="s">
        <v>8</v>
      </c>
      <c r="CO269" s="27" t="s">
        <v>8</v>
      </c>
      <c r="CP269" s="27" t="s">
        <v>7</v>
      </c>
      <c r="CS269" s="27" t="s">
        <v>8</v>
      </c>
      <c r="CT269" s="27" t="s">
        <v>7</v>
      </c>
      <c r="CX269" s="27" t="s">
        <v>7</v>
      </c>
      <c r="DR269" s="27" t="s">
        <v>7</v>
      </c>
      <c r="DY269" s="27" t="s">
        <v>8</v>
      </c>
      <c r="DZ269" s="27" t="s">
        <v>7</v>
      </c>
      <c r="EC269" s="27" t="s">
        <v>8</v>
      </c>
      <c r="ES269" s="27" t="s">
        <v>8</v>
      </c>
      <c r="ET269" s="27" t="s">
        <v>7</v>
      </c>
      <c r="EW269" s="27" t="s">
        <v>8</v>
      </c>
      <c r="EX269" s="27" t="s">
        <v>7</v>
      </c>
      <c r="EY269" s="27" t="s">
        <v>8</v>
      </c>
      <c r="EZ269" s="27" t="s">
        <v>7</v>
      </c>
      <c r="FA269" s="27" t="s">
        <v>8</v>
      </c>
      <c r="FB269" s="27" t="s">
        <v>7</v>
      </c>
      <c r="FC269" s="27" t="s">
        <v>8</v>
      </c>
      <c r="FE269" s="27" t="s">
        <v>8</v>
      </c>
      <c r="FF269" s="27" t="s">
        <v>7</v>
      </c>
      <c r="FI269" s="27" t="s">
        <v>8</v>
      </c>
      <c r="FJ269" s="27" t="s">
        <v>7</v>
      </c>
      <c r="FK269" s="27" t="s">
        <v>8</v>
      </c>
      <c r="FM269" s="27" t="s">
        <v>8</v>
      </c>
      <c r="GD269" s="27" t="s">
        <v>7</v>
      </c>
      <c r="GE269" s="27" t="s">
        <v>8</v>
      </c>
    </row>
    <row r="270" spans="1:189" x14ac:dyDescent="0.25">
      <c r="A270" s="30">
        <v>0.23137744865585538</v>
      </c>
      <c r="B270"/>
      <c r="C270"/>
      <c r="D270"/>
      <c r="E270"/>
      <c r="F270" s="27" t="s">
        <v>7</v>
      </c>
      <c r="AI270" s="27" t="s">
        <v>8</v>
      </c>
      <c r="AJ270" s="27" t="s">
        <v>7</v>
      </c>
      <c r="BU270" s="27" t="s">
        <v>8</v>
      </c>
      <c r="BV270" s="27" t="s">
        <v>7</v>
      </c>
      <c r="CI270" s="27" t="s">
        <v>8</v>
      </c>
      <c r="CJ270" s="27" t="s">
        <v>7</v>
      </c>
      <c r="CK270" s="27" t="s">
        <v>8</v>
      </c>
      <c r="CL270" s="27" t="s">
        <v>7</v>
      </c>
      <c r="CO270" s="27" t="s">
        <v>8</v>
      </c>
      <c r="CP270" s="27" t="s">
        <v>7</v>
      </c>
      <c r="CQ270" s="27" t="s">
        <v>8</v>
      </c>
      <c r="CS270" s="27" t="s">
        <v>8</v>
      </c>
      <c r="DR270" s="27" t="s">
        <v>7</v>
      </c>
      <c r="DS270" s="27" t="s">
        <v>8</v>
      </c>
      <c r="DW270" s="27" t="s">
        <v>8</v>
      </c>
      <c r="DY270" s="27" t="s">
        <v>8</v>
      </c>
      <c r="DZ270" s="27" t="s">
        <v>7</v>
      </c>
      <c r="EC270" s="27" t="s">
        <v>8</v>
      </c>
      <c r="ED270" s="27" t="s">
        <v>7</v>
      </c>
      <c r="EO270" s="27" t="s">
        <v>8</v>
      </c>
      <c r="EQ270" s="27" t="s">
        <v>8</v>
      </c>
      <c r="ES270" s="27" t="s">
        <v>8</v>
      </c>
      <c r="ET270" s="27" t="s">
        <v>7</v>
      </c>
      <c r="EU270" s="27" t="s">
        <v>8</v>
      </c>
      <c r="EW270" s="27" t="s">
        <v>8</v>
      </c>
      <c r="EX270" s="27" t="s">
        <v>7</v>
      </c>
      <c r="EY270" s="27" t="s">
        <v>8</v>
      </c>
      <c r="EZ270" s="27" t="s">
        <v>7</v>
      </c>
      <c r="FA270" s="27" t="s">
        <v>8</v>
      </c>
      <c r="FB270" s="27" t="s">
        <v>7</v>
      </c>
      <c r="FC270" s="27" t="s">
        <v>8</v>
      </c>
      <c r="FD270" s="27" t="s">
        <v>7</v>
      </c>
      <c r="FE270" s="27" t="s">
        <v>8</v>
      </c>
      <c r="FF270" s="27" t="s">
        <v>7</v>
      </c>
      <c r="FG270" s="27" t="s">
        <v>8</v>
      </c>
      <c r="FI270" s="27" t="s">
        <v>8</v>
      </c>
      <c r="FJ270" s="27" t="s">
        <v>7</v>
      </c>
      <c r="FK270" s="27" t="s">
        <v>8</v>
      </c>
      <c r="FL270" s="27" t="s">
        <v>7</v>
      </c>
      <c r="FM270" s="27" t="s">
        <v>8</v>
      </c>
      <c r="GD270" s="27" t="s">
        <v>7</v>
      </c>
    </row>
    <row r="271" spans="1:189" x14ac:dyDescent="0.25">
      <c r="A271" s="30">
        <v>0.22035947491033836</v>
      </c>
      <c r="B271"/>
      <c r="C271"/>
      <c r="D271"/>
      <c r="E271"/>
      <c r="F271" s="27" t="s">
        <v>7</v>
      </c>
      <c r="AI271" s="27" t="s">
        <v>8</v>
      </c>
      <c r="AJ271" s="27" t="s">
        <v>7</v>
      </c>
      <c r="BU271" s="27" t="s">
        <v>8</v>
      </c>
      <c r="BV271" s="27" t="s">
        <v>7</v>
      </c>
      <c r="CI271" s="27" t="s">
        <v>8</v>
      </c>
      <c r="CJ271" s="27" t="s">
        <v>7</v>
      </c>
      <c r="CK271" s="27" t="s">
        <v>8</v>
      </c>
      <c r="CL271" s="27" t="s">
        <v>7</v>
      </c>
      <c r="CO271" s="27" t="s">
        <v>8</v>
      </c>
      <c r="CP271" s="27" t="s">
        <v>7</v>
      </c>
      <c r="CQ271" s="27" t="s">
        <v>8</v>
      </c>
      <c r="CR271" s="27" t="s">
        <v>7</v>
      </c>
      <c r="CS271" s="27" t="s">
        <v>8</v>
      </c>
      <c r="DR271" s="27" t="s">
        <v>7</v>
      </c>
      <c r="DS271" s="27" t="s">
        <v>8</v>
      </c>
      <c r="DT271" s="27" t="s">
        <v>7</v>
      </c>
      <c r="DW271" s="27" t="s">
        <v>8</v>
      </c>
      <c r="DX271" s="27" t="s">
        <v>7</v>
      </c>
      <c r="DY271" s="27" t="s">
        <v>8</v>
      </c>
      <c r="DZ271" s="27" t="s">
        <v>7</v>
      </c>
      <c r="EA271" s="27" t="s">
        <v>8</v>
      </c>
      <c r="EC271" s="27" t="s">
        <v>8</v>
      </c>
      <c r="ED271" s="27" t="s">
        <v>7</v>
      </c>
      <c r="EM271" s="27" t="s">
        <v>8</v>
      </c>
      <c r="EO271" s="27" t="s">
        <v>8</v>
      </c>
      <c r="EP271" s="27" t="s">
        <v>7</v>
      </c>
      <c r="EQ271" s="27" t="s">
        <v>8</v>
      </c>
      <c r="ER271" s="27" t="s">
        <v>7</v>
      </c>
      <c r="ES271" s="27" t="s">
        <v>8</v>
      </c>
      <c r="ET271" s="27" t="s">
        <v>7</v>
      </c>
      <c r="EU271" s="27" t="s">
        <v>8</v>
      </c>
      <c r="EV271" s="27" t="s">
        <v>7</v>
      </c>
      <c r="EW271" s="27" t="s">
        <v>8</v>
      </c>
      <c r="EX271" s="27" t="s">
        <v>7</v>
      </c>
      <c r="EZ271" s="27" t="s">
        <v>7</v>
      </c>
      <c r="FA271" s="27" t="s">
        <v>8</v>
      </c>
      <c r="FB271" s="27" t="s">
        <v>7</v>
      </c>
      <c r="FC271" s="27" t="s">
        <v>8</v>
      </c>
      <c r="FD271" s="27" t="s">
        <v>7</v>
      </c>
      <c r="FE271" s="27" t="s">
        <v>8</v>
      </c>
      <c r="FF271" s="27" t="s">
        <v>7</v>
      </c>
      <c r="FG271" s="27" t="s">
        <v>8</v>
      </c>
      <c r="FH271" s="27" t="s">
        <v>7</v>
      </c>
      <c r="FI271" s="27" t="s">
        <v>8</v>
      </c>
      <c r="FJ271" s="27" t="s">
        <v>7</v>
      </c>
      <c r="FK271" s="27" t="s">
        <v>8</v>
      </c>
      <c r="FL271" s="27" t="s">
        <v>7</v>
      </c>
      <c r="FM271" s="27" t="s">
        <v>8</v>
      </c>
    </row>
    <row r="272" spans="1:189" x14ac:dyDescent="0.25">
      <c r="A272" s="30">
        <v>0.20986616658127455</v>
      </c>
      <c r="B272"/>
      <c r="C272"/>
      <c r="D272"/>
      <c r="E272"/>
      <c r="F272" s="27" t="s">
        <v>7</v>
      </c>
      <c r="AI272" s="27" t="s">
        <v>8</v>
      </c>
      <c r="AJ272" s="27" t="s">
        <v>7</v>
      </c>
      <c r="BU272" s="27" t="s">
        <v>8</v>
      </c>
      <c r="BV272" s="27" t="s">
        <v>7</v>
      </c>
      <c r="CI272" s="27" t="s">
        <v>8</v>
      </c>
      <c r="CJ272" s="27" t="s">
        <v>7</v>
      </c>
      <c r="CL272" s="27" t="s">
        <v>7</v>
      </c>
      <c r="CO272" s="27" t="s">
        <v>8</v>
      </c>
      <c r="CP272" s="27" t="s">
        <v>7</v>
      </c>
      <c r="CQ272" s="27" t="s">
        <v>8</v>
      </c>
      <c r="CR272" s="27" t="s">
        <v>7</v>
      </c>
      <c r="CS272" s="27" t="s">
        <v>8</v>
      </c>
      <c r="DR272" s="27" t="s">
        <v>7</v>
      </c>
      <c r="DS272" s="27" t="s">
        <v>8</v>
      </c>
      <c r="DT272" s="27" t="s">
        <v>7</v>
      </c>
      <c r="DW272" s="27" t="s">
        <v>8</v>
      </c>
      <c r="DX272" s="27" t="s">
        <v>7</v>
      </c>
      <c r="DY272" s="27" t="s">
        <v>8</v>
      </c>
      <c r="DZ272" s="27" t="s">
        <v>7</v>
      </c>
      <c r="EA272" s="27" t="s">
        <v>8</v>
      </c>
      <c r="EB272" s="27" t="s">
        <v>7</v>
      </c>
      <c r="EC272" s="27" t="s">
        <v>8</v>
      </c>
      <c r="ED272" s="27" t="s">
        <v>7</v>
      </c>
      <c r="EE272" s="27" t="s">
        <v>8</v>
      </c>
      <c r="EM272" s="27" t="s">
        <v>8</v>
      </c>
      <c r="EN272" s="27" t="s">
        <v>7</v>
      </c>
      <c r="EO272" s="27" t="s">
        <v>8</v>
      </c>
      <c r="EP272" s="27" t="s">
        <v>7</v>
      </c>
      <c r="EQ272" s="27" t="s">
        <v>8</v>
      </c>
      <c r="ER272" s="27" t="s">
        <v>7</v>
      </c>
      <c r="ES272" s="27" t="s">
        <v>8</v>
      </c>
      <c r="ET272" s="27" t="s">
        <v>7</v>
      </c>
      <c r="EU272" s="27" t="s">
        <v>8</v>
      </c>
      <c r="EV272" s="27" t="s">
        <v>7</v>
      </c>
      <c r="EW272" s="27" t="s">
        <v>8</v>
      </c>
      <c r="EZ272" s="27" t="s">
        <v>7</v>
      </c>
      <c r="FB272" s="27" t="s">
        <v>7</v>
      </c>
      <c r="FC272" s="27" t="s">
        <v>8</v>
      </c>
      <c r="FD272" s="27" t="s">
        <v>7</v>
      </c>
      <c r="FF272" s="27" t="s">
        <v>7</v>
      </c>
      <c r="FG272" s="27" t="s">
        <v>8</v>
      </c>
      <c r="FH272" s="27" t="s">
        <v>7</v>
      </c>
      <c r="FI272" s="27" t="s">
        <v>8</v>
      </c>
      <c r="FJ272" s="27" t="s">
        <v>7</v>
      </c>
      <c r="FL272" s="27" t="s">
        <v>7</v>
      </c>
    </row>
    <row r="273" spans="1:165" x14ac:dyDescent="0.25">
      <c r="A273" s="30">
        <v>0.19987253960121379</v>
      </c>
      <c r="B273"/>
      <c r="C273"/>
      <c r="D273"/>
      <c r="E273"/>
      <c r="F273" s="27" t="s">
        <v>7</v>
      </c>
      <c r="AI273" s="27" t="s">
        <v>8</v>
      </c>
      <c r="AJ273" s="27" t="s">
        <v>7</v>
      </c>
      <c r="BU273" s="27" t="s">
        <v>8</v>
      </c>
      <c r="BV273" s="27" t="s">
        <v>7</v>
      </c>
      <c r="CI273" s="27" t="s">
        <v>8</v>
      </c>
      <c r="CL273" s="27" t="s">
        <v>7</v>
      </c>
      <c r="CO273" s="27" t="s">
        <v>8</v>
      </c>
      <c r="CP273" s="27" t="s">
        <v>7</v>
      </c>
      <c r="CQ273" s="27" t="s">
        <v>8</v>
      </c>
      <c r="CR273" s="27" t="s">
        <v>7</v>
      </c>
      <c r="DR273" s="27" t="s">
        <v>7</v>
      </c>
      <c r="DS273" s="27" t="s">
        <v>8</v>
      </c>
      <c r="DT273" s="27" t="s">
        <v>7</v>
      </c>
      <c r="DU273" s="27" t="s">
        <v>8</v>
      </c>
      <c r="DW273" s="27" t="s">
        <v>8</v>
      </c>
      <c r="DX273" s="27" t="s">
        <v>7</v>
      </c>
      <c r="DY273" s="27" t="s">
        <v>8</v>
      </c>
      <c r="DZ273" s="27" t="s">
        <v>7</v>
      </c>
      <c r="EA273" s="27" t="s">
        <v>8</v>
      </c>
      <c r="EB273" s="27" t="s">
        <v>7</v>
      </c>
      <c r="EC273" s="27" t="s">
        <v>8</v>
      </c>
      <c r="ED273" s="27" t="s">
        <v>7</v>
      </c>
      <c r="EE273" s="27" t="s">
        <v>8</v>
      </c>
      <c r="EF273" s="27" t="s">
        <v>7</v>
      </c>
      <c r="EM273" s="27" t="s">
        <v>8</v>
      </c>
      <c r="EN273" s="27" t="s">
        <v>7</v>
      </c>
      <c r="EO273" s="27" t="s">
        <v>8</v>
      </c>
      <c r="EP273" s="27" t="s">
        <v>7</v>
      </c>
      <c r="EQ273" s="27" t="s">
        <v>8</v>
      </c>
      <c r="ER273" s="27" t="s">
        <v>7</v>
      </c>
      <c r="ES273" s="27" t="s">
        <v>8</v>
      </c>
      <c r="ET273" s="27" t="s">
        <v>7</v>
      </c>
      <c r="EU273" s="27" t="s">
        <v>8</v>
      </c>
      <c r="EV273" s="27" t="s">
        <v>7</v>
      </c>
      <c r="FB273" s="27" t="s">
        <v>7</v>
      </c>
      <c r="FC273" s="27" t="s">
        <v>8</v>
      </c>
      <c r="FF273" s="27" t="s">
        <v>7</v>
      </c>
      <c r="FG273" s="27" t="s">
        <v>8</v>
      </c>
      <c r="FH273" s="27" t="s">
        <v>7</v>
      </c>
      <c r="FI273" s="27" t="s">
        <v>8</v>
      </c>
    </row>
    <row r="274" spans="1:165" x14ac:dyDescent="0.25">
      <c r="A274" s="30">
        <v>0.19035479962020352</v>
      </c>
      <c r="B274"/>
      <c r="C274"/>
      <c r="D274"/>
      <c r="E274"/>
      <c r="F274" s="27" t="s">
        <v>7</v>
      </c>
      <c r="AI274" s="27" t="s">
        <v>8</v>
      </c>
      <c r="AJ274" s="27" t="s">
        <v>7</v>
      </c>
      <c r="BU274" s="27" t="s">
        <v>8</v>
      </c>
      <c r="BV274" s="27" t="s">
        <v>7</v>
      </c>
      <c r="CI274" s="27" t="s">
        <v>8</v>
      </c>
      <c r="CL274" s="27" t="s">
        <v>7</v>
      </c>
      <c r="CO274" s="27" t="s">
        <v>8</v>
      </c>
      <c r="CP274" s="27" t="s">
        <v>7</v>
      </c>
      <c r="CQ274" s="27" t="s">
        <v>8</v>
      </c>
      <c r="DR274" s="27" t="s">
        <v>7</v>
      </c>
      <c r="DS274" s="27" t="s">
        <v>8</v>
      </c>
      <c r="DT274" s="27" t="s">
        <v>7</v>
      </c>
      <c r="DU274" s="27" t="s">
        <v>8</v>
      </c>
      <c r="DV274" s="27" t="s">
        <v>7</v>
      </c>
      <c r="DW274" s="27" t="s">
        <v>8</v>
      </c>
      <c r="DX274" s="27" t="s">
        <v>7</v>
      </c>
      <c r="DY274" s="27" t="s">
        <v>8</v>
      </c>
      <c r="DZ274" s="27" t="s">
        <v>7</v>
      </c>
      <c r="EA274" s="27" t="s">
        <v>8</v>
      </c>
      <c r="EB274" s="27" t="s">
        <v>7</v>
      </c>
      <c r="EC274" s="27" t="s">
        <v>8</v>
      </c>
      <c r="ED274" s="27" t="s">
        <v>7</v>
      </c>
      <c r="EE274" s="27" t="s">
        <v>8</v>
      </c>
      <c r="EF274" s="27" t="s">
        <v>7</v>
      </c>
      <c r="EK274" s="27" t="s">
        <v>8</v>
      </c>
      <c r="EM274" s="27" t="s">
        <v>8</v>
      </c>
      <c r="EN274" s="27" t="s">
        <v>7</v>
      </c>
      <c r="EO274" s="27" t="s">
        <v>8</v>
      </c>
      <c r="EP274" s="27" t="s">
        <v>7</v>
      </c>
      <c r="EQ274" s="27" t="s">
        <v>8</v>
      </c>
      <c r="ER274" s="27" t="s">
        <v>7</v>
      </c>
      <c r="ET274" s="27" t="s">
        <v>7</v>
      </c>
      <c r="FB274" s="27" t="s">
        <v>7</v>
      </c>
      <c r="FC274" s="27" t="s">
        <v>8</v>
      </c>
      <c r="FF274" s="27" t="s">
        <v>7</v>
      </c>
      <c r="FH274" s="27" t="s">
        <v>7</v>
      </c>
      <c r="FI274" s="27" t="s">
        <v>8</v>
      </c>
    </row>
    <row r="275" spans="1:165" x14ac:dyDescent="0.25">
      <c r="A275" s="30">
        <v>0.18129028535257471</v>
      </c>
      <c r="B275"/>
      <c r="C275"/>
      <c r="D275"/>
      <c r="E275"/>
      <c r="F275" s="27" t="s">
        <v>7</v>
      </c>
      <c r="AI275" s="27" t="s">
        <v>8</v>
      </c>
      <c r="AJ275" s="27" t="s">
        <v>7</v>
      </c>
      <c r="AY275" s="27" t="s">
        <v>8</v>
      </c>
      <c r="BU275" s="27" t="s">
        <v>8</v>
      </c>
      <c r="BV275" s="27" t="s">
        <v>7</v>
      </c>
      <c r="CI275" s="27" t="s">
        <v>8</v>
      </c>
      <c r="CL275" s="27" t="s">
        <v>7</v>
      </c>
      <c r="CO275" s="27" t="s">
        <v>8</v>
      </c>
      <c r="CP275" s="27" t="s">
        <v>7</v>
      </c>
      <c r="CQ275" s="27" t="s">
        <v>8</v>
      </c>
      <c r="DR275" s="27" t="s">
        <v>7</v>
      </c>
      <c r="DS275" s="27" t="s">
        <v>8</v>
      </c>
      <c r="DT275" s="27" t="s">
        <v>7</v>
      </c>
      <c r="DU275" s="27" t="s">
        <v>8</v>
      </c>
      <c r="DV275" s="27" t="s">
        <v>7</v>
      </c>
      <c r="DW275" s="27" t="s">
        <v>8</v>
      </c>
      <c r="DX275" s="27" t="s">
        <v>7</v>
      </c>
      <c r="DY275" s="27" t="s">
        <v>8</v>
      </c>
      <c r="DZ275" s="27" t="s">
        <v>7</v>
      </c>
      <c r="EA275" s="27" t="s">
        <v>8</v>
      </c>
      <c r="EB275" s="27" t="s">
        <v>7</v>
      </c>
      <c r="EC275" s="27" t="s">
        <v>8</v>
      </c>
      <c r="ED275" s="27" t="s">
        <v>7</v>
      </c>
      <c r="EF275" s="27" t="s">
        <v>7</v>
      </c>
      <c r="EK275" s="27" t="s">
        <v>8</v>
      </c>
      <c r="EL275" s="27" t="s">
        <v>7</v>
      </c>
      <c r="EM275" s="27" t="s">
        <v>8</v>
      </c>
      <c r="EN275" s="27" t="s">
        <v>7</v>
      </c>
      <c r="EP275" s="27" t="s">
        <v>7</v>
      </c>
      <c r="FB275" s="27" t="s">
        <v>7</v>
      </c>
      <c r="FH275" s="27" t="s">
        <v>7</v>
      </c>
      <c r="FI275" s="27" t="s">
        <v>8</v>
      </c>
    </row>
    <row r="276" spans="1:165" x14ac:dyDescent="0.25">
      <c r="A276" s="30">
        <v>0.17265741462149967</v>
      </c>
      <c r="B276"/>
      <c r="C276"/>
      <c r="D276"/>
      <c r="E276"/>
      <c r="F276" s="27" t="s">
        <v>7</v>
      </c>
      <c r="AI276" s="27" t="s">
        <v>8</v>
      </c>
      <c r="AJ276" s="27" t="s">
        <v>7</v>
      </c>
      <c r="AY276" s="27" t="s">
        <v>8</v>
      </c>
      <c r="AZ276" s="27" t="s">
        <v>7</v>
      </c>
      <c r="BU276" s="27" t="s">
        <v>8</v>
      </c>
      <c r="BV276" s="27" t="s">
        <v>7</v>
      </c>
      <c r="CI276" s="27" t="s">
        <v>8</v>
      </c>
      <c r="CL276" s="27" t="s">
        <v>7</v>
      </c>
      <c r="CO276" s="27" t="s">
        <v>8</v>
      </c>
      <c r="CP276" s="27" t="s">
        <v>7</v>
      </c>
      <c r="CQ276" s="27" t="s">
        <v>8</v>
      </c>
      <c r="DR276" s="27" t="s">
        <v>7</v>
      </c>
      <c r="DS276" s="27" t="s">
        <v>8</v>
      </c>
      <c r="DT276" s="27" t="s">
        <v>7</v>
      </c>
      <c r="DU276" s="27" t="s">
        <v>8</v>
      </c>
      <c r="DV276" s="27" t="s">
        <v>7</v>
      </c>
      <c r="DW276" s="27" t="s">
        <v>8</v>
      </c>
      <c r="DX276" s="27" t="s">
        <v>7</v>
      </c>
      <c r="DY276" s="27" t="s">
        <v>8</v>
      </c>
      <c r="DZ276" s="27" t="s">
        <v>7</v>
      </c>
      <c r="EB276" s="27" t="s">
        <v>7</v>
      </c>
      <c r="EF276" s="27" t="s">
        <v>7</v>
      </c>
      <c r="EI276" s="27" t="s">
        <v>8</v>
      </c>
      <c r="EK276" s="27" t="s">
        <v>8</v>
      </c>
      <c r="EL276" s="27" t="s">
        <v>7</v>
      </c>
      <c r="EM276" s="27" t="s">
        <v>8</v>
      </c>
      <c r="FH276" s="27" t="s">
        <v>7</v>
      </c>
    </row>
    <row r="277" spans="1:165" x14ac:dyDescent="0.25">
      <c r="A277" s="30">
        <v>0.16443563297285677</v>
      </c>
      <c r="B277"/>
      <c r="C277"/>
      <c r="D277"/>
      <c r="E277"/>
      <c r="F277" s="27" t="s">
        <v>7</v>
      </c>
      <c r="AI277" s="27" t="s">
        <v>8</v>
      </c>
      <c r="AJ277" s="27" t="s">
        <v>7</v>
      </c>
      <c r="AY277" s="27" t="s">
        <v>8</v>
      </c>
      <c r="AZ277" s="27" t="s">
        <v>7</v>
      </c>
      <c r="BU277" s="27" t="s">
        <v>8</v>
      </c>
      <c r="BV277" s="27" t="s">
        <v>7</v>
      </c>
      <c r="CI277" s="27" t="s">
        <v>8</v>
      </c>
      <c r="CL277" s="27" t="s">
        <v>7</v>
      </c>
      <c r="CM277" s="27" t="s">
        <v>8</v>
      </c>
      <c r="CO277" s="27" t="s">
        <v>8</v>
      </c>
      <c r="CP277" s="27" t="s">
        <v>7</v>
      </c>
      <c r="DR277" s="27" t="s">
        <v>7</v>
      </c>
      <c r="DS277" s="27" t="s">
        <v>8</v>
      </c>
      <c r="DT277" s="27" t="s">
        <v>7</v>
      </c>
      <c r="DU277" s="27" t="s">
        <v>8</v>
      </c>
      <c r="DV277" s="27" t="s">
        <v>7</v>
      </c>
      <c r="DW277" s="27" t="s">
        <v>8</v>
      </c>
      <c r="DX277" s="27" t="s">
        <v>7</v>
      </c>
      <c r="DY277" s="27" t="s">
        <v>8</v>
      </c>
      <c r="EF277" s="27" t="s">
        <v>7</v>
      </c>
      <c r="EI277" s="27" t="s">
        <v>8</v>
      </c>
      <c r="EJ277" s="27" t="s">
        <v>7</v>
      </c>
      <c r="EK277" s="27" t="s">
        <v>8</v>
      </c>
      <c r="EL277" s="27" t="s">
        <v>7</v>
      </c>
    </row>
    <row r="278" spans="1:165" x14ac:dyDescent="0.25">
      <c r="A278" s="30">
        <v>0.15660536473605399</v>
      </c>
      <c r="B278"/>
      <c r="C278"/>
      <c r="D278"/>
      <c r="E278"/>
      <c r="F278" s="27" t="s">
        <v>7</v>
      </c>
      <c r="AI278" s="27" t="s">
        <v>8</v>
      </c>
      <c r="AJ278" s="27" t="s">
        <v>7</v>
      </c>
      <c r="AW278" s="27" t="s">
        <v>8</v>
      </c>
      <c r="AY278" s="27" t="s">
        <v>8</v>
      </c>
      <c r="AZ278" s="27" t="s">
        <v>7</v>
      </c>
      <c r="BU278" s="27" t="s">
        <v>8</v>
      </c>
      <c r="BV278" s="27" t="s">
        <v>7</v>
      </c>
      <c r="CE278" s="27" t="s">
        <v>8</v>
      </c>
      <c r="CI278" s="27" t="s">
        <v>8</v>
      </c>
      <c r="CL278" s="27" t="s">
        <v>7</v>
      </c>
      <c r="CM278" s="27" t="s">
        <v>8</v>
      </c>
      <c r="CN278" s="27" t="s">
        <v>7</v>
      </c>
      <c r="CO278" s="27" t="s">
        <v>8</v>
      </c>
      <c r="DR278" s="27" t="s">
        <v>7</v>
      </c>
      <c r="DS278" s="27" t="s">
        <v>8</v>
      </c>
      <c r="DT278" s="27" t="s">
        <v>7</v>
      </c>
      <c r="DV278" s="27" t="s">
        <v>7</v>
      </c>
      <c r="DW278" s="27" t="s">
        <v>8</v>
      </c>
      <c r="DX278" s="27" t="s">
        <v>7</v>
      </c>
      <c r="EF278" s="27" t="s">
        <v>7</v>
      </c>
      <c r="EI278" s="27" t="s">
        <v>8</v>
      </c>
      <c r="EJ278" s="27" t="s">
        <v>7</v>
      </c>
      <c r="EK278" s="27" t="s">
        <v>8</v>
      </c>
    </row>
    <row r="279" spans="1:165" x14ac:dyDescent="0.25">
      <c r="A279" s="30">
        <v>0.14914796641528946</v>
      </c>
      <c r="B279"/>
      <c r="C279"/>
      <c r="D279"/>
      <c r="E279"/>
      <c r="F279" s="27" t="s">
        <v>7</v>
      </c>
      <c r="AI279" s="27" t="s">
        <v>8</v>
      </c>
      <c r="AJ279" s="27" t="s">
        <v>7</v>
      </c>
      <c r="AS279" s="27" t="s">
        <v>8</v>
      </c>
      <c r="AU279" s="27" t="s">
        <v>8</v>
      </c>
      <c r="AW279" s="27" t="s">
        <v>8</v>
      </c>
      <c r="AX279" s="27" t="s">
        <v>7</v>
      </c>
      <c r="AY279" s="27" t="s">
        <v>8</v>
      </c>
      <c r="AZ279" s="27" t="s">
        <v>7</v>
      </c>
      <c r="BU279" s="27" t="s">
        <v>8</v>
      </c>
      <c r="BV279" s="27" t="s">
        <v>7</v>
      </c>
      <c r="CE279" s="27" t="s">
        <v>8</v>
      </c>
      <c r="CF279" s="27" t="s">
        <v>7</v>
      </c>
      <c r="CG279" s="27" t="s">
        <v>8</v>
      </c>
      <c r="CI279" s="27" t="s">
        <v>8</v>
      </c>
      <c r="CL279" s="27" t="s">
        <v>7</v>
      </c>
      <c r="CM279" s="27" t="s">
        <v>8</v>
      </c>
      <c r="CN279" s="27" t="s">
        <v>7</v>
      </c>
      <c r="CO279" s="27" t="s">
        <v>8</v>
      </c>
      <c r="DR279" s="27" t="s">
        <v>7</v>
      </c>
      <c r="DV279" s="27" t="s">
        <v>7</v>
      </c>
      <c r="DW279" s="27" t="s">
        <v>8</v>
      </c>
      <c r="EF279" s="27" t="s">
        <v>7</v>
      </c>
      <c r="EG279" s="27" t="s">
        <v>8</v>
      </c>
      <c r="EI279" s="27" t="s">
        <v>8</v>
      </c>
      <c r="EJ279" s="27" t="s">
        <v>7</v>
      </c>
      <c r="EK279" s="27" t="s">
        <v>8</v>
      </c>
    </row>
    <row r="280" spans="1:165" x14ac:dyDescent="0.25">
      <c r="A280" s="30">
        <v>0.14204568230027562</v>
      </c>
      <c r="B280"/>
      <c r="C280"/>
      <c r="D280"/>
      <c r="E280"/>
      <c r="F280" s="27" t="s">
        <v>7</v>
      </c>
      <c r="AG280" s="27" t="s">
        <v>8</v>
      </c>
      <c r="AI280" s="27" t="s">
        <v>8</v>
      </c>
      <c r="AJ280" s="27" t="s">
        <v>7</v>
      </c>
      <c r="AK280" s="27" t="s">
        <v>8</v>
      </c>
      <c r="AS280" s="27" t="s">
        <v>8</v>
      </c>
      <c r="AT280" s="27" t="s">
        <v>7</v>
      </c>
      <c r="AU280" s="27" t="s">
        <v>8</v>
      </c>
      <c r="AV280" s="27" t="s">
        <v>7</v>
      </c>
      <c r="AW280" s="27" t="s">
        <v>8</v>
      </c>
      <c r="AX280" s="27" t="s">
        <v>7</v>
      </c>
      <c r="AY280" s="27" t="s">
        <v>8</v>
      </c>
      <c r="AZ280" s="27" t="s">
        <v>7</v>
      </c>
      <c r="BU280" s="27" t="s">
        <v>8</v>
      </c>
      <c r="BV280" s="27" t="s">
        <v>7</v>
      </c>
      <c r="CE280" s="27" t="s">
        <v>8</v>
      </c>
      <c r="CF280" s="27" t="s">
        <v>7</v>
      </c>
      <c r="CG280" s="27" t="s">
        <v>8</v>
      </c>
      <c r="CH280" s="27" t="s">
        <v>7</v>
      </c>
      <c r="CI280" s="27" t="s">
        <v>8</v>
      </c>
      <c r="CL280" s="27" t="s">
        <v>7</v>
      </c>
      <c r="CM280" s="27" t="s">
        <v>8</v>
      </c>
      <c r="CN280" s="27" t="s">
        <v>7</v>
      </c>
      <c r="CO280" s="27" t="s">
        <v>8</v>
      </c>
      <c r="DV280" s="27" t="s">
        <v>7</v>
      </c>
      <c r="DW280" s="27" t="s">
        <v>8</v>
      </c>
      <c r="EF280" s="27" t="s">
        <v>7</v>
      </c>
      <c r="EG280" s="27" t="s">
        <v>8</v>
      </c>
      <c r="EH280" s="27" t="s">
        <v>7</v>
      </c>
      <c r="EI280" s="27" t="s">
        <v>8</v>
      </c>
      <c r="EJ280" s="27" t="s">
        <v>7</v>
      </c>
      <c r="EK280" s="27" t="s">
        <v>8</v>
      </c>
    </row>
    <row r="281" spans="1:165" x14ac:dyDescent="0.25">
      <c r="A281" s="30">
        <v>0.13528160219073862</v>
      </c>
      <c r="B281"/>
      <c r="C281"/>
      <c r="D281"/>
      <c r="E281"/>
      <c r="F281" s="27" t="s">
        <v>7</v>
      </c>
      <c r="AG281" s="27" t="s">
        <v>8</v>
      </c>
      <c r="AH281" s="27" t="s">
        <v>7</v>
      </c>
      <c r="AI281" s="27" t="s">
        <v>8</v>
      </c>
      <c r="AJ281" s="27" t="s">
        <v>7</v>
      </c>
      <c r="AK281" s="27" t="s">
        <v>8</v>
      </c>
      <c r="AL281" s="27" t="s">
        <v>7</v>
      </c>
      <c r="AM281" s="27" t="s">
        <v>8</v>
      </c>
      <c r="AO281" s="27" t="s">
        <v>8</v>
      </c>
      <c r="AS281" s="27" t="s">
        <v>8</v>
      </c>
      <c r="AT281" s="27" t="s">
        <v>7</v>
      </c>
      <c r="AU281" s="27" t="s">
        <v>8</v>
      </c>
      <c r="AV281" s="27" t="s">
        <v>7</v>
      </c>
      <c r="AW281" s="27" t="s">
        <v>8</v>
      </c>
      <c r="AX281" s="27" t="s">
        <v>7</v>
      </c>
      <c r="AZ281" s="27" t="s">
        <v>7</v>
      </c>
      <c r="BU281" s="27" t="s">
        <v>8</v>
      </c>
      <c r="BV281" s="27" t="s">
        <v>7</v>
      </c>
      <c r="BY281" s="27" t="s">
        <v>8</v>
      </c>
      <c r="CE281" s="27" t="s">
        <v>8</v>
      </c>
      <c r="CF281" s="27" t="s">
        <v>7</v>
      </c>
      <c r="CG281" s="27" t="s">
        <v>8</v>
      </c>
      <c r="CH281" s="27" t="s">
        <v>7</v>
      </c>
      <c r="CI281" s="27" t="s">
        <v>8</v>
      </c>
      <c r="CL281" s="27" t="s">
        <v>7</v>
      </c>
      <c r="CM281" s="27" t="s">
        <v>8</v>
      </c>
      <c r="CN281" s="27" t="s">
        <v>7</v>
      </c>
      <c r="CO281" s="27" t="s">
        <v>8</v>
      </c>
      <c r="DV281" s="27" t="s">
        <v>7</v>
      </c>
      <c r="DW281" s="27" t="s">
        <v>8</v>
      </c>
      <c r="EF281" s="27" t="s">
        <v>7</v>
      </c>
      <c r="EG281" s="27" t="s">
        <v>8</v>
      </c>
      <c r="EH281" s="27" t="s">
        <v>7</v>
      </c>
      <c r="EI281" s="27" t="s">
        <v>8</v>
      </c>
      <c r="EJ281" s="27" t="s">
        <v>7</v>
      </c>
      <c r="EK281" s="27" t="s">
        <v>8</v>
      </c>
    </row>
    <row r="282" spans="1:165" x14ac:dyDescent="0.25">
      <c r="A282" s="30">
        <v>0.12883962113403674</v>
      </c>
      <c r="B282"/>
      <c r="C282"/>
      <c r="D282"/>
      <c r="E282"/>
      <c r="F282" s="27" t="s">
        <v>7</v>
      </c>
      <c r="I282" s="27" t="s">
        <v>8</v>
      </c>
      <c r="AG282" s="27" t="s">
        <v>8</v>
      </c>
      <c r="AH282" s="27" t="s">
        <v>7</v>
      </c>
      <c r="AI282" s="27" t="s">
        <v>8</v>
      </c>
      <c r="AJ282" s="27" t="s">
        <v>7</v>
      </c>
      <c r="AK282" s="27" t="s">
        <v>8</v>
      </c>
      <c r="AL282" s="27" t="s">
        <v>7</v>
      </c>
      <c r="AM282" s="27" t="s">
        <v>8</v>
      </c>
      <c r="AN282" s="27" t="s">
        <v>7</v>
      </c>
      <c r="AO282" s="27" t="s">
        <v>8</v>
      </c>
      <c r="AP282" s="27" t="s">
        <v>7</v>
      </c>
      <c r="AQ282" s="27" t="s">
        <v>8</v>
      </c>
      <c r="AS282" s="27" t="s">
        <v>8</v>
      </c>
      <c r="AT282" s="27" t="s">
        <v>7</v>
      </c>
      <c r="AV282" s="27" t="s">
        <v>7</v>
      </c>
      <c r="AZ282" s="27" t="s">
        <v>7</v>
      </c>
      <c r="BU282" s="27" t="s">
        <v>8</v>
      </c>
      <c r="BV282" s="27" t="s">
        <v>7</v>
      </c>
      <c r="BW282" s="27" t="s">
        <v>8</v>
      </c>
      <c r="BY282" s="27" t="s">
        <v>8</v>
      </c>
      <c r="BZ282" s="27" t="s">
        <v>7</v>
      </c>
      <c r="CE282" s="27" t="s">
        <v>8</v>
      </c>
      <c r="CF282" s="27" t="s">
        <v>7</v>
      </c>
      <c r="CG282" s="27" t="s">
        <v>8</v>
      </c>
      <c r="CH282" s="27" t="s">
        <v>7</v>
      </c>
      <c r="CL282" s="27" t="s">
        <v>7</v>
      </c>
      <c r="CN282" s="27" t="s">
        <v>7</v>
      </c>
      <c r="DV282" s="27" t="s">
        <v>7</v>
      </c>
      <c r="EF282" s="27" t="s">
        <v>7</v>
      </c>
      <c r="EH282" s="27" t="s">
        <v>7</v>
      </c>
      <c r="EJ282" s="18" t="s">
        <v>7</v>
      </c>
      <c r="EK282" s="27" t="s">
        <v>8</v>
      </c>
    </row>
    <row r="283" spans="1:165" x14ac:dyDescent="0.25">
      <c r="A283" s="30">
        <v>0.12270440108003494</v>
      </c>
      <c r="B283"/>
      <c r="C283"/>
      <c r="D283"/>
      <c r="E283"/>
      <c r="F283" s="27" t="s">
        <v>7</v>
      </c>
      <c r="I283" s="27" t="s">
        <v>8</v>
      </c>
      <c r="J283" s="27" t="s">
        <v>7</v>
      </c>
      <c r="AG283" s="27" t="s">
        <v>8</v>
      </c>
      <c r="AH283" s="27" t="s">
        <v>7</v>
      </c>
      <c r="AI283" s="27" t="s">
        <v>8</v>
      </c>
      <c r="AJ283" s="27" t="s">
        <v>7</v>
      </c>
      <c r="AK283" s="27" t="s">
        <v>8</v>
      </c>
      <c r="AL283" s="27" t="s">
        <v>7</v>
      </c>
      <c r="AM283" s="27" t="s">
        <v>8</v>
      </c>
      <c r="AN283" s="27" t="s">
        <v>7</v>
      </c>
      <c r="AO283" s="27" t="s">
        <v>8</v>
      </c>
      <c r="AP283" s="27" t="s">
        <v>7</v>
      </c>
      <c r="AQ283" s="27" t="s">
        <v>8</v>
      </c>
      <c r="AR283" s="27" t="s">
        <v>7</v>
      </c>
      <c r="AS283" s="27" t="s">
        <v>8</v>
      </c>
      <c r="AZ283" s="27" t="s">
        <v>7</v>
      </c>
      <c r="BU283" s="27" t="s">
        <v>8</v>
      </c>
      <c r="BV283" s="27" t="s">
        <v>7</v>
      </c>
      <c r="BW283" s="27" t="s">
        <v>8</v>
      </c>
      <c r="BX283" s="27" t="s">
        <v>7</v>
      </c>
      <c r="BY283" s="27" t="s">
        <v>8</v>
      </c>
      <c r="BZ283" s="27" t="s">
        <v>7</v>
      </c>
      <c r="CA283" s="27" t="s">
        <v>8</v>
      </c>
      <c r="CE283" s="27" t="s">
        <v>8</v>
      </c>
      <c r="CF283" s="27" t="s">
        <v>7</v>
      </c>
      <c r="EJ283" s="27" t="s">
        <v>7</v>
      </c>
      <c r="EK283" s="27" t="s">
        <v>8</v>
      </c>
    </row>
    <row r="284" spans="1:165" x14ac:dyDescent="0.25">
      <c r="A284" s="30">
        <v>0.11686133436193799</v>
      </c>
      <c r="B284"/>
      <c r="C284"/>
      <c r="D284"/>
      <c r="E284"/>
      <c r="F284" s="27" t="s">
        <v>7</v>
      </c>
      <c r="G284" s="27" t="s">
        <v>8</v>
      </c>
      <c r="I284" s="27" t="s">
        <v>8</v>
      </c>
      <c r="J284" s="27" t="s">
        <v>7</v>
      </c>
      <c r="W284" s="27" t="s">
        <v>8</v>
      </c>
      <c r="AG284" s="27" t="s">
        <v>8</v>
      </c>
      <c r="AH284" s="27" t="s">
        <v>7</v>
      </c>
      <c r="AI284" s="27" t="s">
        <v>8</v>
      </c>
      <c r="AJ284" s="27" t="s">
        <v>7</v>
      </c>
      <c r="AK284" s="27" t="s">
        <v>8</v>
      </c>
      <c r="AL284" s="27" t="s">
        <v>7</v>
      </c>
      <c r="AM284" s="27" t="s">
        <v>8</v>
      </c>
      <c r="AN284" s="27" t="s">
        <v>7</v>
      </c>
      <c r="AO284" s="27" t="s">
        <v>8</v>
      </c>
      <c r="AP284" s="27" t="s">
        <v>7</v>
      </c>
      <c r="AQ284" s="27" t="s">
        <v>8</v>
      </c>
      <c r="AR284" s="27" t="s">
        <v>7</v>
      </c>
      <c r="AS284" s="27" t="s">
        <v>8</v>
      </c>
      <c r="AZ284" s="27" t="s">
        <v>7</v>
      </c>
      <c r="BA284" s="27" t="s">
        <v>8</v>
      </c>
      <c r="BU284" s="27" t="s">
        <v>8</v>
      </c>
      <c r="BV284" s="27" t="s">
        <v>7</v>
      </c>
      <c r="BW284" s="27" t="s">
        <v>8</v>
      </c>
      <c r="BX284" s="27" t="s">
        <v>7</v>
      </c>
      <c r="BY284" s="27" t="s">
        <v>8</v>
      </c>
      <c r="BZ284" s="27" t="s">
        <v>7</v>
      </c>
      <c r="CA284" s="27" t="s">
        <v>8</v>
      </c>
      <c r="CB284" s="27" t="s">
        <v>7</v>
      </c>
      <c r="CE284" s="27" t="s">
        <v>8</v>
      </c>
      <c r="EJ284" s="27" t="s">
        <v>7</v>
      </c>
      <c r="EK284" s="27" t="s">
        <v>8</v>
      </c>
    </row>
    <row r="285" spans="1:165" x14ac:dyDescent="0.25">
      <c r="A285" s="30">
        <v>0.11129650891613138</v>
      </c>
      <c r="B285"/>
      <c r="C285"/>
      <c r="D285"/>
      <c r="E285"/>
      <c r="F285" s="27" t="s">
        <v>7</v>
      </c>
      <c r="G285" s="27" t="s">
        <v>8</v>
      </c>
      <c r="H285" s="27" t="s">
        <v>7</v>
      </c>
      <c r="I285" s="27" t="s">
        <v>8</v>
      </c>
      <c r="J285" s="27" t="s">
        <v>7</v>
      </c>
      <c r="W285" s="27" t="s">
        <v>8</v>
      </c>
      <c r="X285" s="27" t="s">
        <v>7</v>
      </c>
      <c r="AG285" s="27" t="s">
        <v>8</v>
      </c>
      <c r="AH285" s="27" t="s">
        <v>7</v>
      </c>
      <c r="AI285" s="27" t="s">
        <v>8</v>
      </c>
      <c r="AJ285" s="27" t="s">
        <v>7</v>
      </c>
      <c r="AK285" s="27" t="s">
        <v>8</v>
      </c>
      <c r="AL285" s="27" t="s">
        <v>7</v>
      </c>
      <c r="AM285" s="27" t="s">
        <v>8</v>
      </c>
      <c r="AN285" s="27" t="s">
        <v>7</v>
      </c>
      <c r="AP285" s="27" t="s">
        <v>7</v>
      </c>
      <c r="AQ285" s="27" t="s">
        <v>8</v>
      </c>
      <c r="AR285" s="27" t="s">
        <v>7</v>
      </c>
      <c r="AS285" s="27" t="s">
        <v>8</v>
      </c>
      <c r="AZ285" s="27" t="s">
        <v>7</v>
      </c>
      <c r="BA285" s="27" t="s">
        <v>8</v>
      </c>
      <c r="BB285" s="27" t="s">
        <v>7</v>
      </c>
      <c r="BC285" s="27" t="s">
        <v>8</v>
      </c>
      <c r="BU285" s="27" t="s">
        <v>8</v>
      </c>
      <c r="BV285" s="27" t="s">
        <v>7</v>
      </c>
      <c r="BW285" s="27" t="s">
        <v>8</v>
      </c>
      <c r="BX285" s="27" t="s">
        <v>7</v>
      </c>
      <c r="BY285" s="27" t="s">
        <v>8</v>
      </c>
      <c r="BZ285" s="27" t="s">
        <v>7</v>
      </c>
      <c r="CA285" s="27" t="s">
        <v>8</v>
      </c>
      <c r="CB285" s="27" t="s">
        <v>7</v>
      </c>
      <c r="CC285" s="27" t="s">
        <v>8</v>
      </c>
      <c r="CE285" s="27" t="s">
        <v>8</v>
      </c>
      <c r="EJ285" s="27" t="s">
        <v>7</v>
      </c>
    </row>
    <row r="286" spans="1:165" x14ac:dyDescent="0.25">
      <c r="A286" s="30">
        <v>0.10599667515822032</v>
      </c>
      <c r="B286"/>
      <c r="C286"/>
      <c r="D286"/>
      <c r="E286"/>
      <c r="F286" s="27" t="s">
        <v>7</v>
      </c>
      <c r="G286" s="27" t="s">
        <v>8</v>
      </c>
      <c r="H286" s="27" t="s">
        <v>7</v>
      </c>
      <c r="I286" s="27" t="s">
        <v>8</v>
      </c>
      <c r="J286" s="27" t="s">
        <v>7</v>
      </c>
      <c r="W286" s="27" t="s">
        <v>8</v>
      </c>
      <c r="X286" s="27" t="s">
        <v>7</v>
      </c>
      <c r="AA286" s="27" t="s">
        <v>8</v>
      </c>
      <c r="AG286" s="27" t="s">
        <v>8</v>
      </c>
      <c r="AH286" s="27" t="s">
        <v>7</v>
      </c>
      <c r="AI286" s="27" t="s">
        <v>8</v>
      </c>
      <c r="AJ286" s="27" t="s">
        <v>7</v>
      </c>
      <c r="AK286" s="27" t="s">
        <v>8</v>
      </c>
      <c r="AL286" s="27" t="s">
        <v>7</v>
      </c>
      <c r="AM286" s="27" t="s">
        <v>8</v>
      </c>
      <c r="AP286" s="27" t="s">
        <v>7</v>
      </c>
      <c r="AR286" s="27" t="s">
        <v>7</v>
      </c>
      <c r="AS286" s="27" t="s">
        <v>8</v>
      </c>
      <c r="AZ286" s="27" t="s">
        <v>7</v>
      </c>
      <c r="BA286" s="27" t="s">
        <v>8</v>
      </c>
      <c r="BB286" s="27" t="s">
        <v>7</v>
      </c>
      <c r="BC286" s="27" t="s">
        <v>8</v>
      </c>
      <c r="BD286" s="27" t="s">
        <v>7</v>
      </c>
      <c r="BM286" s="27" t="s">
        <v>8</v>
      </c>
      <c r="BU286" s="27" t="s">
        <v>8</v>
      </c>
      <c r="BV286" s="27" t="s">
        <v>7</v>
      </c>
      <c r="BW286" s="27" t="s">
        <v>8</v>
      </c>
      <c r="BX286" s="27" t="s">
        <v>7</v>
      </c>
      <c r="BZ286" s="27" t="s">
        <v>7</v>
      </c>
      <c r="CB286" s="27" t="s">
        <v>7</v>
      </c>
      <c r="CC286" s="27" t="s">
        <v>8</v>
      </c>
      <c r="CD286" s="27" t="s">
        <v>7</v>
      </c>
      <c r="CE286" s="27" t="s">
        <v>8</v>
      </c>
    </row>
    <row r="287" spans="1:165" x14ac:dyDescent="0.25">
      <c r="A287" s="30">
        <v>0.10094921443640027</v>
      </c>
      <c r="B287"/>
      <c r="C287"/>
      <c r="D287"/>
      <c r="E287"/>
      <c r="F287" s="27" t="s">
        <v>7</v>
      </c>
      <c r="G287" s="27" t="s">
        <v>8</v>
      </c>
      <c r="H287" s="27" t="s">
        <v>7</v>
      </c>
      <c r="I287" s="27" t="s">
        <v>8</v>
      </c>
      <c r="J287" s="27" t="s">
        <v>7</v>
      </c>
      <c r="K287" s="27" t="s">
        <v>8</v>
      </c>
      <c r="W287" s="27" t="s">
        <v>8</v>
      </c>
      <c r="X287" s="27" t="s">
        <v>7</v>
      </c>
      <c r="AA287" s="27" t="s">
        <v>8</v>
      </c>
      <c r="AB287" s="27" t="s">
        <v>7</v>
      </c>
      <c r="AC287" s="27" t="s">
        <v>8</v>
      </c>
      <c r="AG287" s="27" t="s">
        <v>8</v>
      </c>
      <c r="AH287" s="27" t="s">
        <v>7</v>
      </c>
      <c r="AJ287" s="27" t="s">
        <v>7</v>
      </c>
      <c r="AK287" s="27" t="s">
        <v>8</v>
      </c>
      <c r="AL287" s="27" t="s">
        <v>7</v>
      </c>
      <c r="AR287" s="27" t="s">
        <v>7</v>
      </c>
      <c r="AZ287" s="27" t="s">
        <v>7</v>
      </c>
      <c r="BA287" s="27" t="s">
        <v>8</v>
      </c>
      <c r="BB287" s="27" t="s">
        <v>7</v>
      </c>
      <c r="BC287" s="27" t="s">
        <v>8</v>
      </c>
      <c r="BD287" s="27" t="s">
        <v>7</v>
      </c>
      <c r="BE287" s="27" t="s">
        <v>8</v>
      </c>
      <c r="BM287" s="27" t="s">
        <v>8</v>
      </c>
      <c r="BN287" s="27" t="s">
        <v>7</v>
      </c>
      <c r="BU287" s="27" t="s">
        <v>8</v>
      </c>
      <c r="BV287" s="27" t="s">
        <v>7</v>
      </c>
      <c r="CB287" s="27" t="s">
        <v>7</v>
      </c>
      <c r="CC287" s="27" t="s">
        <v>8</v>
      </c>
      <c r="CD287" s="27" t="s">
        <v>7</v>
      </c>
      <c r="CE287" s="27" t="s">
        <v>8</v>
      </c>
    </row>
    <row r="288" spans="1:165" x14ac:dyDescent="0.25">
      <c r="A288" s="30">
        <v>9.6142108987047836E-2</v>
      </c>
      <c r="B288"/>
      <c r="C288"/>
      <c r="D288"/>
      <c r="E288"/>
      <c r="F288" s="27" t="s">
        <v>7</v>
      </c>
      <c r="G288" s="27" t="s">
        <v>8</v>
      </c>
      <c r="H288" s="27" t="s">
        <v>7</v>
      </c>
      <c r="J288" s="27" t="s">
        <v>7</v>
      </c>
      <c r="K288" s="27" t="s">
        <v>8</v>
      </c>
      <c r="L288" s="27" t="s">
        <v>7</v>
      </c>
      <c r="W288" s="27" t="s">
        <v>8</v>
      </c>
      <c r="X288" s="27" t="s">
        <v>7</v>
      </c>
      <c r="Y288" s="27" t="s">
        <v>8</v>
      </c>
      <c r="AA288" s="27" t="s">
        <v>8</v>
      </c>
      <c r="AB288" s="27" t="s">
        <v>7</v>
      </c>
      <c r="AC288" s="27" t="s">
        <v>8</v>
      </c>
      <c r="AD288" s="27" t="s">
        <v>7</v>
      </c>
      <c r="AE288" s="27" t="s">
        <v>8</v>
      </c>
      <c r="AG288" s="27" t="s">
        <v>8</v>
      </c>
      <c r="AJ288" s="27" t="s">
        <v>7</v>
      </c>
      <c r="AZ288" s="27" t="s">
        <v>7</v>
      </c>
      <c r="BB288" s="27" t="s">
        <v>7</v>
      </c>
      <c r="BD288" s="27" t="s">
        <v>7</v>
      </c>
      <c r="BE288" s="27" t="s">
        <v>8</v>
      </c>
      <c r="BF288" s="27" t="s">
        <v>7</v>
      </c>
      <c r="BG288" s="27" t="s">
        <v>8</v>
      </c>
      <c r="BK288" s="27" t="s">
        <v>8</v>
      </c>
      <c r="BM288" s="27" t="s">
        <v>8</v>
      </c>
      <c r="BN288" s="27" t="s">
        <v>7</v>
      </c>
      <c r="BO288" s="27" t="s">
        <v>8</v>
      </c>
      <c r="BU288" s="27" t="s">
        <v>8</v>
      </c>
      <c r="CB288" s="27" t="s">
        <v>7</v>
      </c>
      <c r="CC288" s="27" t="s">
        <v>8</v>
      </c>
      <c r="CD288" s="27" t="s">
        <v>7</v>
      </c>
    </row>
    <row r="289" spans="1:80" x14ac:dyDescent="0.25">
      <c r="A289" s="30">
        <v>9.1563913320997906E-2</v>
      </c>
      <c r="B289"/>
      <c r="C289"/>
      <c r="D289"/>
      <c r="E289"/>
      <c r="F289" s="27" t="s">
        <v>7</v>
      </c>
      <c r="G289" s="27" t="s">
        <v>8</v>
      </c>
      <c r="J289" s="27" t="s">
        <v>7</v>
      </c>
      <c r="K289" s="27" t="s">
        <v>8</v>
      </c>
      <c r="L289" s="27" t="s">
        <v>7</v>
      </c>
      <c r="W289" s="27" t="s">
        <v>8</v>
      </c>
      <c r="X289" s="27" t="s">
        <v>7</v>
      </c>
      <c r="Y289" s="27" t="s">
        <v>8</v>
      </c>
      <c r="Z289" s="27" t="s">
        <v>7</v>
      </c>
      <c r="AA289" s="27" t="s">
        <v>8</v>
      </c>
      <c r="AB289" s="27" t="s">
        <v>7</v>
      </c>
      <c r="AC289" s="27" t="s">
        <v>8</v>
      </c>
      <c r="AD289" s="27" t="s">
        <v>7</v>
      </c>
      <c r="AE289" s="27" t="s">
        <v>8</v>
      </c>
      <c r="AF289" s="27" t="s">
        <v>7</v>
      </c>
      <c r="AG289" s="27" t="s">
        <v>8</v>
      </c>
      <c r="BD289" s="27" t="s">
        <v>7</v>
      </c>
      <c r="BE289" s="27" t="s">
        <v>8</v>
      </c>
      <c r="BF289" s="27" t="s">
        <v>7</v>
      </c>
      <c r="BG289" s="27" t="s">
        <v>8</v>
      </c>
      <c r="BH289" s="27" t="s">
        <v>7</v>
      </c>
      <c r="BI289" s="27" t="s">
        <v>8</v>
      </c>
      <c r="BK289" s="27" t="s">
        <v>8</v>
      </c>
      <c r="BL289" s="27" t="s">
        <v>7</v>
      </c>
      <c r="BM289" s="27" t="s">
        <v>8</v>
      </c>
      <c r="BN289" s="27" t="s">
        <v>7</v>
      </c>
      <c r="BO289" s="27" t="s">
        <v>8</v>
      </c>
      <c r="BP289" s="27" t="s">
        <v>7</v>
      </c>
      <c r="BS289" s="27" t="s">
        <v>8</v>
      </c>
      <c r="BU289" s="27" t="s">
        <v>8</v>
      </c>
      <c r="CB289" s="27" t="s">
        <v>7</v>
      </c>
    </row>
    <row r="290" spans="1:80" x14ac:dyDescent="0.25">
      <c r="A290" s="30">
        <v>8.7203726972378923E-2</v>
      </c>
      <c r="B290"/>
      <c r="C290"/>
      <c r="D290"/>
      <c r="E290"/>
      <c r="F290" s="27" t="s">
        <v>7</v>
      </c>
      <c r="G290" s="27" t="s">
        <v>8</v>
      </c>
      <c r="J290" s="27" t="s">
        <v>7</v>
      </c>
      <c r="L290" s="27" t="s">
        <v>7</v>
      </c>
      <c r="M290" s="27" t="s">
        <v>8</v>
      </c>
      <c r="W290" s="27" t="s">
        <v>8</v>
      </c>
      <c r="X290" s="27" t="s">
        <v>7</v>
      </c>
      <c r="Y290" s="27" t="s">
        <v>8</v>
      </c>
      <c r="Z290" s="27" t="s">
        <v>7</v>
      </c>
      <c r="AA290" s="27" t="s">
        <v>8</v>
      </c>
      <c r="AB290" s="27" t="s">
        <v>7</v>
      </c>
      <c r="AC290" s="27" t="s">
        <v>8</v>
      </c>
      <c r="AD290" s="27" t="s">
        <v>7</v>
      </c>
      <c r="AE290" s="27" t="s">
        <v>8</v>
      </c>
      <c r="AF290" s="27" t="s">
        <v>7</v>
      </c>
      <c r="AG290" s="27" t="s">
        <v>8</v>
      </c>
      <c r="BD290" s="27" t="s">
        <v>7</v>
      </c>
      <c r="BE290" s="27" t="s">
        <v>8</v>
      </c>
      <c r="BF290" s="27" t="s">
        <v>7</v>
      </c>
      <c r="BG290" s="27" t="s">
        <v>8</v>
      </c>
      <c r="BH290" s="27" t="s">
        <v>7</v>
      </c>
      <c r="BI290" s="27" t="s">
        <v>8</v>
      </c>
      <c r="BJ290" s="27" t="s">
        <v>7</v>
      </c>
      <c r="BK290" s="27" t="s">
        <v>8</v>
      </c>
      <c r="BL290" s="27" t="s">
        <v>7</v>
      </c>
      <c r="BM290" s="27" t="s">
        <v>8</v>
      </c>
      <c r="BN290" s="27" t="s">
        <v>7</v>
      </c>
      <c r="BO290" s="27" t="s">
        <v>8</v>
      </c>
      <c r="BP290" s="27" t="s">
        <v>7</v>
      </c>
      <c r="BQ290" s="27" t="s">
        <v>8</v>
      </c>
      <c r="BS290" s="27" t="s">
        <v>8</v>
      </c>
      <c r="BT290" s="27" t="s">
        <v>7</v>
      </c>
      <c r="BU290" s="27" t="s">
        <v>8</v>
      </c>
    </row>
    <row r="291" spans="1:80" x14ac:dyDescent="0.25">
      <c r="A291" s="30">
        <v>8.3051168545122747E-2</v>
      </c>
      <c r="B291"/>
      <c r="C291"/>
      <c r="D291"/>
      <c r="E291"/>
      <c r="F291" s="27" t="s">
        <v>7</v>
      </c>
      <c r="G291" s="27" t="s">
        <v>8</v>
      </c>
      <c r="L291" s="27" t="s">
        <v>7</v>
      </c>
      <c r="M291" s="27" t="s">
        <v>8</v>
      </c>
      <c r="N291" s="27" t="s">
        <v>7</v>
      </c>
      <c r="W291" s="27" t="s">
        <v>8</v>
      </c>
      <c r="X291" s="27" t="s">
        <v>7</v>
      </c>
      <c r="Y291" s="27" t="s">
        <v>8</v>
      </c>
      <c r="Z291" s="27" t="s">
        <v>7</v>
      </c>
      <c r="AA291" s="27" t="s">
        <v>8</v>
      </c>
      <c r="AB291" s="27" t="s">
        <v>7</v>
      </c>
      <c r="AC291" s="27" t="s">
        <v>8</v>
      </c>
      <c r="AD291" s="27" t="s">
        <v>7</v>
      </c>
      <c r="AF291" s="27" t="s">
        <v>7</v>
      </c>
      <c r="AG291" s="27" t="s">
        <v>8</v>
      </c>
      <c r="BD291" s="27" t="s">
        <v>7</v>
      </c>
      <c r="BE291" s="27" t="s">
        <v>8</v>
      </c>
      <c r="BF291" s="27" t="s">
        <v>7</v>
      </c>
      <c r="BG291" s="27" t="s">
        <v>8</v>
      </c>
      <c r="BH291" s="27" t="s">
        <v>7</v>
      </c>
      <c r="BI291" s="27" t="s">
        <v>8</v>
      </c>
      <c r="BJ291" s="27" t="s">
        <v>7</v>
      </c>
      <c r="BK291" s="27" t="s">
        <v>8</v>
      </c>
      <c r="BL291" s="27" t="s">
        <v>7</v>
      </c>
      <c r="BM291" s="27" t="s">
        <v>8</v>
      </c>
      <c r="BN291" s="27" t="s">
        <v>7</v>
      </c>
      <c r="BP291" s="27" t="s">
        <v>7</v>
      </c>
      <c r="BQ291" s="27" t="s">
        <v>8</v>
      </c>
      <c r="BR291" s="27" t="s">
        <v>7</v>
      </c>
      <c r="BS291" s="27" t="s">
        <v>8</v>
      </c>
      <c r="BT291" s="27" t="s">
        <v>7</v>
      </c>
      <c r="BU291" s="27" t="s">
        <v>8</v>
      </c>
    </row>
    <row r="292" spans="1:80" x14ac:dyDescent="0.25">
      <c r="A292" s="30">
        <v>7.9096350995354961E-2</v>
      </c>
      <c r="B292"/>
      <c r="C292"/>
      <c r="D292"/>
      <c r="E292"/>
      <c r="F292" s="27" t="s">
        <v>7</v>
      </c>
      <c r="G292" s="27" t="s">
        <v>8</v>
      </c>
      <c r="L292" s="27" t="s">
        <v>7</v>
      </c>
      <c r="M292" s="27" t="s">
        <v>8</v>
      </c>
      <c r="N292" s="27" t="s">
        <v>7</v>
      </c>
      <c r="W292" s="27" t="s">
        <v>8</v>
      </c>
      <c r="X292" s="27" t="s">
        <v>7</v>
      </c>
      <c r="Y292" s="27" t="s">
        <v>8</v>
      </c>
      <c r="Z292" s="27" t="s">
        <v>7</v>
      </c>
      <c r="AA292" s="27" t="s">
        <v>8</v>
      </c>
      <c r="AB292" s="27" t="s">
        <v>7</v>
      </c>
      <c r="AF292" s="27" t="s">
        <v>7</v>
      </c>
      <c r="BD292" s="27" t="s">
        <v>7</v>
      </c>
      <c r="BE292" s="27" t="s">
        <v>8</v>
      </c>
      <c r="BF292" s="27" t="s">
        <v>7</v>
      </c>
      <c r="BG292" s="27" t="s">
        <v>8</v>
      </c>
      <c r="BH292" s="27" t="s">
        <v>7</v>
      </c>
      <c r="BI292" s="27" t="s">
        <v>8</v>
      </c>
      <c r="BJ292" s="27" t="s">
        <v>7</v>
      </c>
      <c r="BK292" s="27" t="s">
        <v>8</v>
      </c>
      <c r="BL292" s="27" t="s">
        <v>7</v>
      </c>
      <c r="BP292" s="27" t="s">
        <v>7</v>
      </c>
      <c r="BQ292" s="27" t="s">
        <v>8</v>
      </c>
      <c r="BR292" s="27" t="s">
        <v>7</v>
      </c>
      <c r="BS292" s="27" t="s">
        <v>8</v>
      </c>
      <c r="BT292" s="27" t="s">
        <v>7</v>
      </c>
      <c r="BU292" s="27" t="s">
        <v>8</v>
      </c>
    </row>
    <row r="293" spans="1:80" x14ac:dyDescent="0.25">
      <c r="A293" s="30">
        <v>7.5329858090814217E-2</v>
      </c>
      <c r="B293"/>
      <c r="C293"/>
      <c r="D293"/>
      <c r="E293"/>
      <c r="F293" s="27" t="s">
        <v>7</v>
      </c>
      <c r="G293" s="27" t="s">
        <v>8</v>
      </c>
      <c r="L293" s="27" t="s">
        <v>7</v>
      </c>
      <c r="M293" s="27" t="s">
        <v>8</v>
      </c>
      <c r="N293" s="27" t="s">
        <v>7</v>
      </c>
      <c r="W293" s="27" t="s">
        <v>8</v>
      </c>
      <c r="X293" s="27" t="s">
        <v>7</v>
      </c>
      <c r="Y293" s="27" t="s">
        <v>8</v>
      </c>
      <c r="Z293" s="27" t="s">
        <v>7</v>
      </c>
      <c r="BD293" s="27" t="s">
        <v>7</v>
      </c>
      <c r="BE293" s="27" t="s">
        <v>8</v>
      </c>
      <c r="BF293" s="27" t="s">
        <v>7</v>
      </c>
      <c r="BH293" s="27" t="s">
        <v>7</v>
      </c>
      <c r="BJ293" s="27" t="s">
        <v>7</v>
      </c>
      <c r="BP293" s="27" t="s">
        <v>7</v>
      </c>
      <c r="BQ293" s="27" t="s">
        <v>8</v>
      </c>
      <c r="BR293" s="27" t="s">
        <v>7</v>
      </c>
      <c r="BT293" s="27" t="s">
        <v>7</v>
      </c>
      <c r="BU293" s="27" t="s">
        <v>8</v>
      </c>
    </row>
    <row r="294" spans="1:80" x14ac:dyDescent="0.25">
      <c r="A294" s="30">
        <v>7.1742721991251604E-2</v>
      </c>
      <c r="B294"/>
      <c r="C294"/>
      <c r="D294"/>
      <c r="E294"/>
      <c r="F294" s="27" t="s">
        <v>7</v>
      </c>
      <c r="G294" s="27" t="s">
        <v>8</v>
      </c>
      <c r="L294" s="27" t="s">
        <v>7</v>
      </c>
      <c r="N294" s="27" t="s">
        <v>7</v>
      </c>
      <c r="O294" s="27" t="s">
        <v>8</v>
      </c>
      <c r="W294" s="27" t="s">
        <v>8</v>
      </c>
      <c r="X294" s="27" t="s">
        <v>7</v>
      </c>
      <c r="BD294" s="27" t="s">
        <v>7</v>
      </c>
      <c r="BP294" s="27" t="s">
        <v>7</v>
      </c>
      <c r="BQ294" s="27" t="s">
        <v>8</v>
      </c>
      <c r="BT294" s="27" t="s">
        <v>7</v>
      </c>
    </row>
    <row r="295" spans="1:80" x14ac:dyDescent="0.25">
      <c r="A295" s="30">
        <v>6.8326401896430078E-2</v>
      </c>
      <c r="B295"/>
      <c r="C295"/>
      <c r="D295"/>
      <c r="E295"/>
      <c r="F295" s="27" t="s">
        <v>7</v>
      </c>
      <c r="G295" s="27" t="s">
        <v>8</v>
      </c>
      <c r="N295" s="27" t="s">
        <v>7</v>
      </c>
      <c r="O295" s="27" t="s">
        <v>8</v>
      </c>
      <c r="P295" s="27" t="s">
        <v>7</v>
      </c>
      <c r="W295" s="27" t="s">
        <v>8</v>
      </c>
      <c r="BP295" s="27" t="s">
        <v>7</v>
      </c>
      <c r="BQ295" s="27" t="s">
        <v>8</v>
      </c>
    </row>
    <row r="296" spans="1:80" x14ac:dyDescent="0.25">
      <c r="A296" s="30">
        <v>6.5072763710885759E-2</v>
      </c>
      <c r="B296"/>
      <c r="C296"/>
      <c r="D296"/>
      <c r="E296"/>
      <c r="F296" s="27" t="s">
        <v>7</v>
      </c>
      <c r="G296" s="27" t="s">
        <v>8</v>
      </c>
      <c r="N296" s="27" t="s">
        <v>7</v>
      </c>
      <c r="O296" s="27" t="s">
        <v>8</v>
      </c>
      <c r="P296" s="27" t="s">
        <v>7</v>
      </c>
      <c r="W296" s="27" t="s">
        <v>8</v>
      </c>
      <c r="BP296" s="27" t="s">
        <v>7</v>
      </c>
      <c r="BQ296" s="27" t="s">
        <v>8</v>
      </c>
    </row>
    <row r="297" spans="1:80" x14ac:dyDescent="0.25">
      <c r="A297" s="30">
        <v>6.197406067703403E-2</v>
      </c>
      <c r="B297"/>
      <c r="C297"/>
      <c r="D297"/>
      <c r="E297"/>
      <c r="F297" s="27" t="s">
        <v>7</v>
      </c>
      <c r="N297" s="27" t="s">
        <v>7</v>
      </c>
      <c r="P297" s="27" t="s">
        <v>7</v>
      </c>
      <c r="U297" s="27" t="s">
        <v>8</v>
      </c>
      <c r="W297" s="27" t="s">
        <v>8</v>
      </c>
      <c r="BP297" s="27" t="s">
        <v>7</v>
      </c>
    </row>
    <row r="298" spans="1:80" x14ac:dyDescent="0.25">
      <c r="A298" s="30">
        <v>5.9022914930508576E-2</v>
      </c>
      <c r="B298"/>
      <c r="C298"/>
      <c r="D298"/>
      <c r="E298"/>
      <c r="P298" s="27" t="s">
        <v>7</v>
      </c>
      <c r="S298" s="27" t="s">
        <v>8</v>
      </c>
      <c r="U298" s="27" t="s">
        <v>8</v>
      </c>
      <c r="V298" s="27" t="s">
        <v>7</v>
      </c>
      <c r="W298" s="27" t="s">
        <v>8</v>
      </c>
    </row>
    <row r="299" spans="1:80" x14ac:dyDescent="0.25">
      <c r="A299" s="30">
        <v>5.6212299933817669E-2</v>
      </c>
      <c r="B299"/>
      <c r="C299"/>
      <c r="D299"/>
      <c r="E299"/>
      <c r="P299" s="27" t="s">
        <v>7</v>
      </c>
      <c r="S299" s="27" t="s">
        <v>8</v>
      </c>
      <c r="T299" s="27" t="s">
        <v>7</v>
      </c>
      <c r="U299" s="27" t="s">
        <v>8</v>
      </c>
      <c r="V299" s="27" t="s">
        <v>7</v>
      </c>
      <c r="W299" s="27" t="s">
        <v>8</v>
      </c>
    </row>
    <row r="300" spans="1:80" x14ac:dyDescent="0.25">
      <c r="A300" s="30">
        <v>5.3535523746492994E-2</v>
      </c>
      <c r="B300"/>
      <c r="C300"/>
      <c r="D300"/>
      <c r="E300"/>
      <c r="P300" s="27" t="s">
        <v>7</v>
      </c>
      <c r="S300" s="27" t="s">
        <v>8</v>
      </c>
      <c r="T300" s="27" t="s">
        <v>7</v>
      </c>
      <c r="U300" s="27" t="s">
        <v>8</v>
      </c>
      <c r="V300" s="27" t="s">
        <v>7</v>
      </c>
      <c r="W300" s="27" t="s">
        <v>8</v>
      </c>
    </row>
    <row r="301" spans="1:80" x14ac:dyDescent="0.25">
      <c r="A301" s="30">
        <v>5.0986213091898068E-2</v>
      </c>
      <c r="B301"/>
      <c r="C301"/>
      <c r="D301"/>
      <c r="E301"/>
      <c r="P301" s="27" t="s">
        <v>7</v>
      </c>
      <c r="S301" s="27" t="s">
        <v>8</v>
      </c>
      <c r="T301" s="27" t="s">
        <v>7</v>
      </c>
      <c r="U301" s="27" t="s">
        <v>8</v>
      </c>
      <c r="V301" s="27" t="s">
        <v>7</v>
      </c>
      <c r="W301" s="27" t="s">
        <v>8</v>
      </c>
    </row>
    <row r="302" spans="1:80" x14ac:dyDescent="0.25">
      <c r="A302" s="30">
        <v>4.8558298182760043E-2</v>
      </c>
      <c r="B302"/>
      <c r="C302"/>
      <c r="D302"/>
      <c r="E302"/>
      <c r="P302" s="27" t="s">
        <v>7</v>
      </c>
      <c r="Q302" s="27" t="s">
        <v>8</v>
      </c>
      <c r="S302" s="27" t="s">
        <v>8</v>
      </c>
      <c r="T302" s="27" t="s">
        <v>7</v>
      </c>
      <c r="U302" s="27" t="s">
        <v>8</v>
      </c>
      <c r="V302" s="27" t="s">
        <v>7</v>
      </c>
    </row>
    <row r="303" spans="1:80" x14ac:dyDescent="0.25">
      <c r="A303" s="30">
        <v>4.6245998269295263E-2</v>
      </c>
      <c r="B303"/>
      <c r="C303"/>
      <c r="D303"/>
      <c r="E303"/>
      <c r="P303" s="27" t="s">
        <v>7</v>
      </c>
      <c r="Q303" s="27" t="s">
        <v>8</v>
      </c>
      <c r="R303" s="27" t="s">
        <v>7</v>
      </c>
      <c r="S303" s="27" t="s">
        <v>8</v>
      </c>
      <c r="T303" s="27" t="s">
        <v>7</v>
      </c>
      <c r="U303" s="27" t="s">
        <v>8</v>
      </c>
    </row>
    <row r="304" spans="1:80" x14ac:dyDescent="0.25">
      <c r="A304" s="30">
        <v>4.4043807875519279E-2</v>
      </c>
      <c r="B304"/>
      <c r="C304"/>
      <c r="D304"/>
      <c r="E304"/>
      <c r="P304" s="27" t="s">
        <v>7</v>
      </c>
      <c r="Q304" s="27" t="s">
        <v>8</v>
      </c>
      <c r="R304" s="27" t="s">
        <v>7</v>
      </c>
      <c r="S304" s="27" t="s">
        <v>8</v>
      </c>
      <c r="T304" s="27" t="s">
        <v>7</v>
      </c>
    </row>
    <row r="305" spans="1:19" x14ac:dyDescent="0.25">
      <c r="A305" s="30">
        <v>4.1946483690970725E-2</v>
      </c>
      <c r="B305"/>
      <c r="C305"/>
      <c r="D305"/>
      <c r="E305"/>
      <c r="P305" s="27" t="s">
        <v>7</v>
      </c>
      <c r="Q305" s="27" t="s">
        <v>8</v>
      </c>
      <c r="R305" s="27" t="s">
        <v>7</v>
      </c>
      <c r="S305" s="27" t="s">
        <v>8</v>
      </c>
    </row>
    <row r="306" spans="1:19" x14ac:dyDescent="0.25">
      <c r="A306" s="30">
        <v>3.9949032086638768E-2</v>
      </c>
      <c r="B306"/>
      <c r="C306"/>
      <c r="D306"/>
      <c r="E306"/>
      <c r="P306" s="27" t="s">
        <v>7</v>
      </c>
      <c r="Q306" s="27" t="s">
        <v>8</v>
      </c>
      <c r="R306" s="27" t="s">
        <v>7</v>
      </c>
      <c r="S306" s="27" t="s">
        <v>8</v>
      </c>
    </row>
    <row r="307" spans="1:19" x14ac:dyDescent="0.25">
      <c r="A307" s="30">
        <v>3.8046697225370241E-2</v>
      </c>
      <c r="B307"/>
      <c r="C307"/>
      <c r="D307"/>
      <c r="E307"/>
      <c r="P307" s="27" t="s">
        <v>7</v>
      </c>
      <c r="Q307" s="27" t="s">
        <v>8</v>
      </c>
      <c r="R307" s="27" t="s">
        <v>7</v>
      </c>
      <c r="S307" s="27" t="s">
        <v>8</v>
      </c>
    </row>
    <row r="308" spans="1:19" x14ac:dyDescent="0.25">
      <c r="A308" s="30">
        <v>3.6234949738447833E-2</v>
      </c>
      <c r="B308"/>
      <c r="C308"/>
      <c r="D308"/>
      <c r="E308"/>
      <c r="P308" s="27" t="s">
        <v>7</v>
      </c>
      <c r="Q308" s="27" t="s">
        <v>8</v>
      </c>
      <c r="R308" s="27" t="s">
        <v>7</v>
      </c>
      <c r="S308" s="27" t="s">
        <v>8</v>
      </c>
    </row>
    <row r="309" spans="1:19" x14ac:dyDescent="0.25">
      <c r="A309" s="30">
        <v>3.4509475941378875E-2</v>
      </c>
      <c r="B309"/>
      <c r="C309"/>
      <c r="D309"/>
      <c r="E309"/>
      <c r="P309" s="27" t="s">
        <v>7</v>
      </c>
      <c r="Q309" s="27" t="s">
        <v>8</v>
      </c>
      <c r="R309" s="27" t="s">
        <v>7</v>
      </c>
      <c r="S309" s="27" t="s">
        <v>8</v>
      </c>
    </row>
    <row r="310" spans="1:19" x14ac:dyDescent="0.25">
      <c r="A310" s="30">
        <v>3.286616756321796E-2</v>
      </c>
      <c r="B310"/>
      <c r="C310"/>
      <c r="D310"/>
      <c r="E310"/>
      <c r="P310" s="27" t="s">
        <v>7</v>
      </c>
      <c r="Q310" s="27" t="s">
        <v>8</v>
      </c>
      <c r="R310" s="27" t="s">
        <v>7</v>
      </c>
    </row>
    <row r="311" spans="1:19" x14ac:dyDescent="0.25">
      <c r="A311" s="30">
        <v>3.1301111964969472E-2</v>
      </c>
      <c r="B311"/>
      <c r="C311"/>
      <c r="D311"/>
      <c r="E311"/>
      <c r="P311" s="27" t="s">
        <v>7</v>
      </c>
      <c r="Q311" s="27" t="s">
        <v>8</v>
      </c>
    </row>
    <row r="312" spans="1:19" x14ac:dyDescent="0.25">
      <c r="A312" s="30">
        <v>2.9810582823780438E-2</v>
      </c>
      <c r="B312"/>
      <c r="C312"/>
      <c r="D312"/>
      <c r="E312"/>
      <c r="P312" s="27" t="s">
        <v>7</v>
      </c>
      <c r="Q312" s="27" t="s">
        <v>8</v>
      </c>
    </row>
    <row r="313" spans="1:19" x14ac:dyDescent="0.25">
      <c r="A313" s="30">
        <v>2.8391031260743264E-2</v>
      </c>
      <c r="B313"/>
      <c r="C313"/>
      <c r="D313"/>
      <c r="E313"/>
      <c r="P313" s="27" t="s">
        <v>7</v>
      </c>
      <c r="Q313" s="27" t="s">
        <v>8</v>
      </c>
    </row>
    <row r="314" spans="1:19" x14ac:dyDescent="0.25">
      <c r="A314" s="30">
        <v>2.7039077391184052E-2</v>
      </c>
      <c r="B314"/>
      <c r="C314"/>
      <c r="D314"/>
      <c r="E314"/>
      <c r="P314" s="27" t="s">
        <v>7</v>
      </c>
      <c r="Q314" s="27" t="s">
        <v>8</v>
      </c>
    </row>
    <row r="315" spans="1:19" x14ac:dyDescent="0.25">
      <c r="A315" s="30">
        <v>2.5751502277318133E-2</v>
      </c>
      <c r="B315"/>
      <c r="C315"/>
      <c r="D315"/>
      <c r="E315"/>
      <c r="P315" s="27" t="s">
        <v>7</v>
      </c>
    </row>
    <row r="316" spans="1:19" x14ac:dyDescent="0.25">
      <c r="A316" s="30">
        <v>2.4525240264112496E-2</v>
      </c>
      <c r="B316"/>
      <c r="C316"/>
      <c r="D316"/>
      <c r="E316"/>
    </row>
    <row r="317" spans="1:19" x14ac:dyDescent="0.25">
      <c r="A317" s="30">
        <v>2.3357371680107129E-2</v>
      </c>
      <c r="B317"/>
      <c r="C317"/>
      <c r="D317"/>
      <c r="E317"/>
    </row>
    <row r="318" spans="1:19" x14ac:dyDescent="0.25">
      <c r="A318" s="30">
        <v>2.2245115885816305E-2</v>
      </c>
      <c r="B318"/>
      <c r="C318"/>
      <c r="D318"/>
      <c r="E318"/>
    </row>
    <row r="319" spans="1:19" x14ac:dyDescent="0.25">
      <c r="A319" s="30">
        <v>2.1185824653158377E-2</v>
      </c>
      <c r="B319"/>
      <c r="C319"/>
      <c r="D319"/>
      <c r="E319"/>
    </row>
    <row r="320" spans="1:19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178" operator="equal">
      <formula>$U$1</formula>
    </cfRule>
    <cfRule type="cellIs" dxfId="67" priority="1179" operator="equal">
      <formula>$S$1</formula>
    </cfRule>
  </conditionalFormatting>
  <conditionalFormatting sqref="D136">
    <cfRule type="cellIs" dxfId="66" priority="1176" operator="equal">
      <formula>$S$1</formula>
    </cfRule>
    <cfRule type="cellIs" dxfId="65" priority="1177" operator="equal">
      <formula>$U$1</formula>
    </cfRule>
  </conditionalFormatting>
  <conditionalFormatting sqref="C162">
    <cfRule type="cellIs" dxfId="64" priority="1174" operator="equal">
      <formula>$U$1</formula>
    </cfRule>
    <cfRule type="cellIs" dxfId="63" priority="1175" operator="equal">
      <formula>$S$1</formula>
    </cfRule>
  </conditionalFormatting>
  <conditionalFormatting sqref="D162">
    <cfRule type="cellIs" dxfId="62" priority="1172" operator="equal">
      <formula>$S$1</formula>
    </cfRule>
    <cfRule type="cellIs" dxfId="61" priority="1173" operator="equal">
      <formula>$U$1</formula>
    </cfRule>
  </conditionalFormatting>
  <conditionalFormatting sqref="C187">
    <cfRule type="cellIs" dxfId="60" priority="1170" operator="equal">
      <formula>$U$1</formula>
    </cfRule>
    <cfRule type="cellIs" dxfId="59" priority="1171" operator="equal">
      <formula>$S$1</formula>
    </cfRule>
  </conditionalFormatting>
  <conditionalFormatting sqref="D187">
    <cfRule type="cellIs" dxfId="58" priority="1168" operator="equal">
      <formula>$S$1</formula>
    </cfRule>
    <cfRule type="cellIs" dxfId="57" priority="1169" operator="equal">
      <formula>$U$1</formula>
    </cfRule>
  </conditionalFormatting>
  <conditionalFormatting sqref="C212">
    <cfRule type="cellIs" dxfId="56" priority="1166" operator="equal">
      <formula>$U$1</formula>
    </cfRule>
    <cfRule type="cellIs" dxfId="55" priority="1167" operator="equal">
      <formula>$S$1</formula>
    </cfRule>
  </conditionalFormatting>
  <conditionalFormatting sqref="D212">
    <cfRule type="cellIs" dxfId="54" priority="1164" operator="equal">
      <formula>$S$1</formula>
    </cfRule>
    <cfRule type="cellIs" dxfId="53" priority="1165" operator="equal">
      <formula>$U$1</formula>
    </cfRule>
  </conditionalFormatting>
  <conditionalFormatting sqref="C237">
    <cfRule type="cellIs" dxfId="52" priority="1162" operator="equal">
      <formula>$U$1</formula>
    </cfRule>
    <cfRule type="cellIs" dxfId="51" priority="1163" operator="equal">
      <formula>$S$1</formula>
    </cfRule>
  </conditionalFormatting>
  <conditionalFormatting sqref="D237">
    <cfRule type="cellIs" dxfId="50" priority="1160" operator="equal">
      <formula>$S$1</formula>
    </cfRule>
    <cfRule type="cellIs" dxfId="49" priority="1161" operator="equal">
      <formula>$U$1</formula>
    </cfRule>
  </conditionalFormatting>
  <conditionalFormatting sqref="C106">
    <cfRule type="cellIs" dxfId="48" priority="1158" operator="equal">
      <formula>$U$1</formula>
    </cfRule>
    <cfRule type="cellIs" dxfId="47" priority="1159" operator="equal">
      <formula>$S$1</formula>
    </cfRule>
  </conditionalFormatting>
  <conditionalFormatting sqref="D106">
    <cfRule type="cellIs" dxfId="46" priority="1156" operator="equal">
      <formula>$S$1</formula>
    </cfRule>
    <cfRule type="cellIs" dxfId="45" priority="1157" operator="equal">
      <formula>$U$1</formula>
    </cfRule>
  </conditionalFormatting>
  <conditionalFormatting sqref="C81">
    <cfRule type="cellIs" dxfId="44" priority="1154" operator="equal">
      <formula>$U$1</formula>
    </cfRule>
    <cfRule type="cellIs" dxfId="43" priority="1155" operator="equal">
      <formula>$S$1</formula>
    </cfRule>
  </conditionalFormatting>
  <conditionalFormatting sqref="D81">
    <cfRule type="cellIs" dxfId="42" priority="1152" operator="equal">
      <formula>$S$1</formula>
    </cfRule>
    <cfRule type="cellIs" dxfId="41" priority="1153" operator="equal">
      <formula>$U$1</formula>
    </cfRule>
  </conditionalFormatting>
  <conditionalFormatting sqref="C56">
    <cfRule type="cellIs" dxfId="40" priority="1150" operator="equal">
      <formula>$U$1</formula>
    </cfRule>
    <cfRule type="cellIs" dxfId="39" priority="1151" operator="equal">
      <formula>$S$1</formula>
    </cfRule>
  </conditionalFormatting>
  <conditionalFormatting sqref="D56">
    <cfRule type="cellIs" dxfId="38" priority="1148" operator="equal">
      <formula>$S$1</formula>
    </cfRule>
    <cfRule type="cellIs" dxfId="37" priority="1149" operator="equal">
      <formula>$U$1</formula>
    </cfRule>
  </conditionalFormatting>
  <conditionalFormatting sqref="C31">
    <cfRule type="cellIs" dxfId="36" priority="1146" operator="equal">
      <formula>$U$1</formula>
    </cfRule>
    <cfRule type="cellIs" dxfId="35" priority="1147" operator="equal">
      <formula>$S$1</formula>
    </cfRule>
  </conditionalFormatting>
  <conditionalFormatting sqref="D31">
    <cfRule type="cellIs" dxfId="34" priority="1144" operator="equal">
      <formula>$S$1</formula>
    </cfRule>
    <cfRule type="cellIs" dxfId="33" priority="114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R135" sqref="BR135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$A$134</v>
      </c>
      <c r="D111" s="1" t="str">
        <f>ADDRESS(C121-1,D121,1,1)</f>
        <v>$BR$134</v>
      </c>
      <c r="E111"/>
    </row>
    <row r="112" spans="1:5" x14ac:dyDescent="0.25">
      <c r="A112" s="30">
        <v>2.3579476910000019</v>
      </c>
      <c r="C112" s="1" t="str">
        <f>ADDRESS(C121,1,1,1)</f>
        <v>$A$135</v>
      </c>
      <c r="D112" s="1" t="str">
        <f>ADDRESS(C121,D121-1,1,1)</f>
        <v>$BQ$135</v>
      </c>
      <c r="E112"/>
    </row>
    <row r="113" spans="1:68" x14ac:dyDescent="0.25">
      <c r="A113" s="30">
        <v>2.1435888100000016</v>
      </c>
      <c r="C113" s="1" t="str">
        <f>ADDRESS(C121+1,1,1,1)</f>
        <v>$A$136</v>
      </c>
      <c r="D113" s="1" t="str">
        <f>ADDRESS(C121-1,D121+1,1,1)</f>
        <v>$BS$134</v>
      </c>
    </row>
    <row r="114" spans="1:68" x14ac:dyDescent="0.25">
      <c r="A114" s="30">
        <v>1.9487171000000014</v>
      </c>
      <c r="C114" s="1" t="str">
        <f>ADDRESS(C121,D121,1,1)</f>
        <v>$BR$135</v>
      </c>
      <c r="D114" s="1" t="str">
        <f>ADDRESS(C121+1,D121+1,1,1)</f>
        <v>$BS$136</v>
      </c>
    </row>
    <row r="115" spans="1:68" x14ac:dyDescent="0.25">
      <c r="A115" s="30">
        <v>1.7715610000000011</v>
      </c>
      <c r="C115" s="1" t="str">
        <f>ADDRESS(C121+1,D121,1,1)</f>
        <v>$BR$136</v>
      </c>
    </row>
    <row r="116" spans="1:68" x14ac:dyDescent="0.25">
      <c r="A116" s="30">
        <v>1.6105100000000008</v>
      </c>
      <c r="C116" s="1">
        <f>C117-1</f>
        <v>134</v>
      </c>
    </row>
    <row r="117" spans="1:68" x14ac:dyDescent="0.25">
      <c r="A117" s="30">
        <v>1.4641000000000006</v>
      </c>
      <c r="C117" s="1">
        <f>C121</f>
        <v>135</v>
      </c>
      <c r="D117" s="1">
        <f>D121</f>
        <v>70</v>
      </c>
    </row>
    <row r="118" spans="1:68" x14ac:dyDescent="0.25">
      <c r="A118" s="30">
        <v>1.3310000000000004</v>
      </c>
      <c r="C118" s="1">
        <f>C117+1</f>
        <v>136</v>
      </c>
      <c r="D118" s="1">
        <f>D117+1</f>
        <v>71</v>
      </c>
      <c r="BI118" s="27" t="s">
        <v>8</v>
      </c>
    </row>
    <row r="119" spans="1:68" x14ac:dyDescent="0.25">
      <c r="A119" s="30">
        <v>1.2100000000000002</v>
      </c>
      <c r="BI119" s="27" t="s">
        <v>8</v>
      </c>
      <c r="BJ119" s="27" t="s">
        <v>7</v>
      </c>
    </row>
    <row r="120" spans="1:68" x14ac:dyDescent="0.25">
      <c r="A120" s="30">
        <v>1.1000000000000001</v>
      </c>
      <c r="C120" s="1" t="s">
        <v>9</v>
      </c>
      <c r="BI120" s="27" t="s">
        <v>8</v>
      </c>
      <c r="BJ120" s="27" t="s">
        <v>7</v>
      </c>
    </row>
    <row r="121" spans="1:68" x14ac:dyDescent="0.25">
      <c r="A121" s="30">
        <v>1</v>
      </c>
      <c r="C121" s="18">
        <v>135</v>
      </c>
      <c r="D121" s="19">
        <v>70</v>
      </c>
      <c r="E121" s="18" t="s">
        <v>8</v>
      </c>
      <c r="BI121" s="27" t="s">
        <v>8</v>
      </c>
      <c r="BJ121" s="27" t="s">
        <v>7</v>
      </c>
    </row>
    <row r="122" spans="1:68" x14ac:dyDescent="0.25">
      <c r="A122" s="30">
        <v>0.90909090909090895</v>
      </c>
      <c r="C122" s="1" t="str">
        <f>INDEX(1:1048576,C117,D117)</f>
        <v>O</v>
      </c>
      <c r="F122" s="27" t="s">
        <v>7</v>
      </c>
      <c r="BI122" s="27" t="s">
        <v>8</v>
      </c>
      <c r="BJ122" s="27" t="s">
        <v>7</v>
      </c>
    </row>
    <row r="123" spans="1:68" x14ac:dyDescent="0.25">
      <c r="A123" s="30">
        <v>0.82644628099173523</v>
      </c>
      <c r="C123" s="1" t="str">
        <f>"R"&amp;C121</f>
        <v>R135</v>
      </c>
      <c r="D123" s="1" t="str">
        <f>"C"&amp;D121</f>
        <v>C70</v>
      </c>
      <c r="F123" s="27" t="s">
        <v>7</v>
      </c>
      <c r="BI123" s="27" t="s">
        <v>8</v>
      </c>
      <c r="BJ123" s="27" t="s">
        <v>7</v>
      </c>
    </row>
    <row r="124" spans="1:68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BI124" s="27" t="s">
        <v>8</v>
      </c>
      <c r="BJ124" s="27" t="s">
        <v>7</v>
      </c>
      <c r="BK124" s="27" t="s">
        <v>8</v>
      </c>
    </row>
    <row r="125" spans="1:68" x14ac:dyDescent="0.25">
      <c r="A125" s="30">
        <v>0.68301345536507019</v>
      </c>
      <c r="F125" s="27" t="s">
        <v>7</v>
      </c>
      <c r="AO125" s="27" t="s">
        <v>8</v>
      </c>
      <c r="BI125" s="27" t="s">
        <v>8</v>
      </c>
      <c r="BJ125" s="27" t="s">
        <v>7</v>
      </c>
      <c r="BK125" s="27" t="s">
        <v>8</v>
      </c>
      <c r="BL125" s="27" t="s">
        <v>7</v>
      </c>
    </row>
    <row r="126" spans="1:68" x14ac:dyDescent="0.25">
      <c r="A126" s="30">
        <v>0.6209213230591546</v>
      </c>
      <c r="C126" s="1" t="s">
        <v>10</v>
      </c>
      <c r="F126" s="27" t="s">
        <v>7</v>
      </c>
      <c r="AO126" s="27" t="s">
        <v>8</v>
      </c>
      <c r="AP126" s="27" t="s">
        <v>7</v>
      </c>
      <c r="BI126" s="27" t="s">
        <v>8</v>
      </c>
      <c r="BJ126" s="27" t="s">
        <v>7</v>
      </c>
      <c r="BK126" s="27" t="s">
        <v>8</v>
      </c>
      <c r="BL126" s="27" t="s">
        <v>7</v>
      </c>
    </row>
    <row r="127" spans="1:68" x14ac:dyDescent="0.25">
      <c r="A127" s="30">
        <v>0.56447393005377677</v>
      </c>
      <c r="C127" s="30">
        <v>0.2633312543060794</v>
      </c>
      <c r="D127"/>
      <c r="F127" s="27" t="s">
        <v>7</v>
      </c>
      <c r="AO127" s="27" t="s">
        <v>8</v>
      </c>
      <c r="AP127" s="27" t="s">
        <v>7</v>
      </c>
      <c r="AQ127" s="27" t="s">
        <v>8</v>
      </c>
      <c r="BI127" s="27" t="s">
        <v>8</v>
      </c>
      <c r="BJ127" s="27" t="s">
        <v>7</v>
      </c>
      <c r="BK127" s="27" t="s">
        <v>8</v>
      </c>
      <c r="BL127" s="27" t="s">
        <v>7</v>
      </c>
      <c r="BM127" s="27" t="s">
        <v>8</v>
      </c>
      <c r="BO127" s="27" t="s">
        <v>8</v>
      </c>
    </row>
    <row r="128" spans="1:68" x14ac:dyDescent="0.25">
      <c r="A128" s="30">
        <v>0.51315811823070612</v>
      </c>
      <c r="F128" s="27" t="s">
        <v>7</v>
      </c>
      <c r="AO128" s="27" t="s">
        <v>8</v>
      </c>
      <c r="AP128" s="27" t="s">
        <v>7</v>
      </c>
      <c r="AQ128" s="27" t="s">
        <v>8</v>
      </c>
      <c r="AR128" s="27" t="s">
        <v>7</v>
      </c>
      <c r="BI128" s="27" t="s">
        <v>8</v>
      </c>
      <c r="BJ128" s="27" t="s">
        <v>7</v>
      </c>
      <c r="BK128" s="27" t="s">
        <v>8</v>
      </c>
      <c r="BL128" s="27" t="s">
        <v>7</v>
      </c>
      <c r="BM128" s="27" t="s">
        <v>8</v>
      </c>
      <c r="BN128" s="27" t="s">
        <v>7</v>
      </c>
      <c r="BO128" s="27" t="s">
        <v>8</v>
      </c>
      <c r="BP128" s="27" t="s">
        <v>7</v>
      </c>
    </row>
    <row r="129" spans="1:70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AO129" s="27" t="s">
        <v>8</v>
      </c>
      <c r="AP129" s="27" t="s">
        <v>7</v>
      </c>
      <c r="AQ129" s="27" t="s">
        <v>8</v>
      </c>
      <c r="AR129" s="27" t="s">
        <v>7</v>
      </c>
      <c r="BI129" s="27" t="s">
        <v>8</v>
      </c>
      <c r="BJ129" s="27" t="s">
        <v>7</v>
      </c>
      <c r="BK129" s="27" t="s">
        <v>8</v>
      </c>
      <c r="BL129" s="27" t="s">
        <v>7</v>
      </c>
      <c r="BM129" s="27" t="s">
        <v>8</v>
      </c>
      <c r="BN129" s="27" t="s">
        <v>7</v>
      </c>
      <c r="BO129" s="27" t="s">
        <v>8</v>
      </c>
      <c r="BP129" s="27" t="s">
        <v>7</v>
      </c>
    </row>
    <row r="130" spans="1:70" x14ac:dyDescent="0.25">
      <c r="A130" s="30">
        <v>0.42409761837248428</v>
      </c>
      <c r="C130" s="6"/>
      <c r="D130" s="6"/>
      <c r="E130"/>
      <c r="F130" s="27" t="s">
        <v>7</v>
      </c>
      <c r="AM130" s="27" t="s">
        <v>8</v>
      </c>
      <c r="AO130" s="27" t="s">
        <v>8</v>
      </c>
      <c r="AP130" s="27" t="s">
        <v>7</v>
      </c>
      <c r="AQ130" s="27" t="s">
        <v>8</v>
      </c>
      <c r="AR130" s="27" t="s">
        <v>7</v>
      </c>
      <c r="BI130" s="27" t="s">
        <v>8</v>
      </c>
      <c r="BJ130" s="27" t="s">
        <v>7</v>
      </c>
      <c r="BK130" s="27" t="s">
        <v>8</v>
      </c>
      <c r="BL130" s="27" t="s">
        <v>7</v>
      </c>
      <c r="BM130" s="27" t="s">
        <v>8</v>
      </c>
      <c r="BN130" s="27" t="s">
        <v>7</v>
      </c>
      <c r="BP130" s="27" t="s">
        <v>7</v>
      </c>
    </row>
    <row r="131" spans="1:70" x14ac:dyDescent="0.25">
      <c r="A131" s="30">
        <v>0.38554328942953109</v>
      </c>
      <c r="E131"/>
      <c r="F131" s="27" t="s">
        <v>7</v>
      </c>
      <c r="AM131" s="27" t="s">
        <v>8</v>
      </c>
      <c r="AN131" s="27" t="s">
        <v>7</v>
      </c>
      <c r="AO131" s="27" t="s">
        <v>8</v>
      </c>
      <c r="AP131" s="27" t="s">
        <v>7</v>
      </c>
      <c r="AQ131" s="27" t="s">
        <v>8</v>
      </c>
      <c r="AR131" s="27" t="s">
        <v>7</v>
      </c>
      <c r="BI131" s="27" t="s">
        <v>8</v>
      </c>
      <c r="BJ131" s="27" t="s">
        <v>7</v>
      </c>
      <c r="BK131" s="27" t="s">
        <v>8</v>
      </c>
      <c r="BL131" s="27" t="s">
        <v>7</v>
      </c>
      <c r="BP131" s="27" t="s">
        <v>7</v>
      </c>
    </row>
    <row r="132" spans="1:70" x14ac:dyDescent="0.25">
      <c r="A132" s="30">
        <v>0.35049389948139187</v>
      </c>
      <c r="C132" s="1" t="s">
        <v>13</v>
      </c>
      <c r="E132"/>
      <c r="F132" s="27" t="s">
        <v>7</v>
      </c>
      <c r="AI132" s="27" t="s">
        <v>8</v>
      </c>
      <c r="AM132" s="27" t="s">
        <v>8</v>
      </c>
      <c r="AN132" s="27" t="s">
        <v>7</v>
      </c>
      <c r="AO132" s="27" t="s">
        <v>8</v>
      </c>
      <c r="AP132" s="27" t="s">
        <v>7</v>
      </c>
      <c r="AQ132" s="27" t="s">
        <v>8</v>
      </c>
      <c r="AR132" s="27" t="s">
        <v>7</v>
      </c>
      <c r="BA132" s="27" t="s">
        <v>8</v>
      </c>
      <c r="BI132" s="27" t="s">
        <v>8</v>
      </c>
      <c r="BJ132" s="27" t="s">
        <v>7</v>
      </c>
      <c r="BK132" s="27" t="s">
        <v>8</v>
      </c>
      <c r="BP132" s="27" t="s">
        <v>7</v>
      </c>
      <c r="BQ132" s="27" t="s">
        <v>8</v>
      </c>
    </row>
    <row r="133" spans="1:70" x14ac:dyDescent="0.25">
      <c r="A133" s="30">
        <v>0.31863081771035617</v>
      </c>
      <c r="C133" s="1" t="str">
        <f>C122</f>
        <v>O</v>
      </c>
      <c r="E133"/>
      <c r="F133" s="27" t="s">
        <v>7</v>
      </c>
      <c r="Q133" s="27" t="s">
        <v>8</v>
      </c>
      <c r="AI133" s="27" t="s">
        <v>8</v>
      </c>
      <c r="AJ133" s="27" t="s">
        <v>7</v>
      </c>
      <c r="AM133" s="27" t="s">
        <v>8</v>
      </c>
      <c r="AN133" s="27" t="s">
        <v>7</v>
      </c>
      <c r="AO133" s="27" t="s">
        <v>8</v>
      </c>
      <c r="AP133" s="27" t="s">
        <v>7</v>
      </c>
      <c r="AQ133" s="27" t="s">
        <v>8</v>
      </c>
      <c r="AR133" s="27" t="s">
        <v>7</v>
      </c>
      <c r="BA133" s="27" t="s">
        <v>8</v>
      </c>
      <c r="BB133" s="27" t="s">
        <v>7</v>
      </c>
      <c r="BC133" s="27" t="s">
        <v>8</v>
      </c>
      <c r="BI133" s="27" t="s">
        <v>8</v>
      </c>
      <c r="BJ133" s="27" t="s">
        <v>7</v>
      </c>
      <c r="BK133" s="27" t="s">
        <v>8</v>
      </c>
      <c r="BP133" s="27" t="s">
        <v>7</v>
      </c>
      <c r="BQ133" s="27" t="s">
        <v>8</v>
      </c>
      <c r="BR133" s="27" t="s">
        <v>7</v>
      </c>
    </row>
    <row r="134" spans="1:70" x14ac:dyDescent="0.25">
      <c r="A134" s="30">
        <v>0.28966437973668741</v>
      </c>
      <c r="C134"/>
      <c r="D134"/>
      <c r="E134"/>
      <c r="F134" s="27" t="s">
        <v>7</v>
      </c>
      <c r="Q134" s="27" t="s">
        <v>8</v>
      </c>
      <c r="R134" s="27" t="s">
        <v>7</v>
      </c>
      <c r="AC134" s="27" t="s">
        <v>8</v>
      </c>
      <c r="AI134" s="27" t="s">
        <v>8</v>
      </c>
      <c r="AJ134" s="27" t="s">
        <v>7</v>
      </c>
      <c r="AM134" s="27" t="s">
        <v>8</v>
      </c>
      <c r="AN134" s="27" t="s">
        <v>7</v>
      </c>
      <c r="AO134" s="27" t="s">
        <v>8</v>
      </c>
      <c r="AP134" s="27" t="s">
        <v>7</v>
      </c>
      <c r="AQ134" s="27" t="s">
        <v>8</v>
      </c>
      <c r="AR134" s="27" t="s">
        <v>7</v>
      </c>
      <c r="BA134" s="27" t="s">
        <v>8</v>
      </c>
      <c r="BB134" s="27" t="s">
        <v>7</v>
      </c>
      <c r="BC134" s="27" t="s">
        <v>8</v>
      </c>
      <c r="BD134" s="27" t="s">
        <v>7</v>
      </c>
      <c r="BG134" s="27" t="s">
        <v>8</v>
      </c>
      <c r="BI134" s="27" t="s">
        <v>8</v>
      </c>
      <c r="BJ134" s="27" t="s">
        <v>7</v>
      </c>
      <c r="BP134" s="27" t="s">
        <v>7</v>
      </c>
      <c r="BQ134" s="27" t="s">
        <v>8</v>
      </c>
      <c r="BR134" s="27" t="s">
        <v>7</v>
      </c>
    </row>
    <row r="135" spans="1:70" x14ac:dyDescent="0.25">
      <c r="A135" s="30">
        <v>0.2633312543060794</v>
      </c>
      <c r="C135" s="1" t="s">
        <v>14</v>
      </c>
      <c r="E135"/>
      <c r="F135" s="27" t="s">
        <v>7</v>
      </c>
      <c r="Q135" s="27" t="s">
        <v>8</v>
      </c>
      <c r="R135" s="27" t="s">
        <v>7</v>
      </c>
      <c r="AC135" s="27" t="s">
        <v>8</v>
      </c>
      <c r="AD135" s="27" t="s">
        <v>7</v>
      </c>
      <c r="AI135" s="27" t="s">
        <v>8</v>
      </c>
      <c r="AJ135" s="27" t="s">
        <v>7</v>
      </c>
      <c r="AK135" s="27" t="s">
        <v>8</v>
      </c>
      <c r="AM135" s="27" t="s">
        <v>8</v>
      </c>
      <c r="AN135" s="27" t="s">
        <v>7</v>
      </c>
      <c r="AO135" s="27" t="s">
        <v>8</v>
      </c>
      <c r="AP135" s="27" t="s">
        <v>7</v>
      </c>
      <c r="AR135" s="27" t="s">
        <v>7</v>
      </c>
      <c r="AW135" s="27" t="s">
        <v>8</v>
      </c>
      <c r="AY135" s="27" t="s">
        <v>8</v>
      </c>
      <c r="BA135" s="27" t="s">
        <v>8</v>
      </c>
      <c r="BB135" s="27" t="s">
        <v>7</v>
      </c>
      <c r="BC135" s="27" t="s">
        <v>8</v>
      </c>
      <c r="BD135" s="27" t="s">
        <v>7</v>
      </c>
      <c r="BG135" s="27" t="s">
        <v>8</v>
      </c>
      <c r="BH135" s="27" t="s">
        <v>7</v>
      </c>
      <c r="BI135" s="27" t="s">
        <v>8</v>
      </c>
      <c r="BP135" s="27" t="s">
        <v>7</v>
      </c>
      <c r="BQ135" s="27" t="s">
        <v>8</v>
      </c>
      <c r="BR135" s="27" t="s">
        <v>7</v>
      </c>
    </row>
    <row r="136" spans="1:70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Q136" s="27" t="s">
        <v>8</v>
      </c>
      <c r="R136" s="27" t="s">
        <v>7</v>
      </c>
      <c r="AC136" s="27" t="s">
        <v>8</v>
      </c>
      <c r="AD136" s="27" t="s">
        <v>7</v>
      </c>
      <c r="AI136" s="27" t="s">
        <v>8</v>
      </c>
      <c r="AJ136" s="27" t="s">
        <v>7</v>
      </c>
      <c r="AK136" s="27" t="s">
        <v>8</v>
      </c>
      <c r="AL136" s="27" t="s">
        <v>7</v>
      </c>
      <c r="AM136" s="27" t="s">
        <v>8</v>
      </c>
      <c r="AN136" s="27" t="s">
        <v>7</v>
      </c>
      <c r="AR136" s="27" t="s">
        <v>7</v>
      </c>
      <c r="AS136" s="27" t="s">
        <v>8</v>
      </c>
      <c r="AU136" s="27" t="s">
        <v>8</v>
      </c>
      <c r="AW136" s="27" t="s">
        <v>8</v>
      </c>
      <c r="AX136" s="27" t="s">
        <v>7</v>
      </c>
      <c r="AY136" s="27" t="s">
        <v>8</v>
      </c>
      <c r="AZ136" s="27" t="s">
        <v>7</v>
      </c>
      <c r="BA136" s="27" t="s">
        <v>8</v>
      </c>
      <c r="BB136" s="27" t="s">
        <v>7</v>
      </c>
      <c r="BC136" s="27" t="s">
        <v>8</v>
      </c>
      <c r="BD136" s="27" t="s">
        <v>7</v>
      </c>
      <c r="BE136" s="27" t="s">
        <v>8</v>
      </c>
      <c r="BG136" s="27" t="s">
        <v>8</v>
      </c>
      <c r="BH136" s="27" t="s">
        <v>7</v>
      </c>
      <c r="BI136" s="27" t="s">
        <v>8</v>
      </c>
      <c r="BP136" s="27" t="s">
        <v>7</v>
      </c>
    </row>
    <row r="137" spans="1:70" x14ac:dyDescent="0.25">
      <c r="A137" s="30">
        <v>0.2176291357901482</v>
      </c>
      <c r="E137"/>
      <c r="F137" s="27" t="s">
        <v>7</v>
      </c>
      <c r="Q137" s="27" t="s">
        <v>8</v>
      </c>
      <c r="R137" s="27" t="s">
        <v>7</v>
      </c>
      <c r="AC137" s="27" t="s">
        <v>8</v>
      </c>
      <c r="AD137" s="27" t="s">
        <v>7</v>
      </c>
      <c r="AI137" s="27" t="s">
        <v>8</v>
      </c>
      <c r="AJ137" s="27" t="s">
        <v>7</v>
      </c>
      <c r="AK137" s="27" t="s">
        <v>8</v>
      </c>
      <c r="AL137" s="27" t="s">
        <v>7</v>
      </c>
      <c r="AM137" s="27" t="s">
        <v>8</v>
      </c>
      <c r="AR137" s="27" t="s">
        <v>7</v>
      </c>
      <c r="AS137" s="27" t="s">
        <v>8</v>
      </c>
      <c r="AT137" s="27" t="s">
        <v>7</v>
      </c>
      <c r="AU137" s="27" t="s">
        <v>8</v>
      </c>
      <c r="AV137" s="27" t="s">
        <v>7</v>
      </c>
      <c r="AW137" s="27" t="s">
        <v>8</v>
      </c>
      <c r="AX137" s="27" t="s">
        <v>7</v>
      </c>
      <c r="AY137" s="27" t="s">
        <v>8</v>
      </c>
      <c r="AZ137" s="27" t="s">
        <v>7</v>
      </c>
      <c r="BA137" s="27" t="s">
        <v>8</v>
      </c>
      <c r="BB137" s="27" t="s">
        <v>7</v>
      </c>
      <c r="BC137" s="27" t="s">
        <v>8</v>
      </c>
      <c r="BD137" s="27" t="s">
        <v>7</v>
      </c>
      <c r="BE137" s="27" t="s">
        <v>8</v>
      </c>
      <c r="BF137" s="27" t="s">
        <v>7</v>
      </c>
      <c r="BG137" s="27" t="s">
        <v>8</v>
      </c>
      <c r="BH137" s="27" t="s">
        <v>7</v>
      </c>
    </row>
    <row r="138" spans="1:70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Q138" s="27" t="s">
        <v>8</v>
      </c>
      <c r="R138" s="27" t="s">
        <v>7</v>
      </c>
      <c r="AC138" s="27" t="s">
        <v>8</v>
      </c>
      <c r="AD138" s="27" t="s">
        <v>7</v>
      </c>
      <c r="AI138" s="27" t="s">
        <v>8</v>
      </c>
      <c r="AJ138" s="27" t="s">
        <v>7</v>
      </c>
      <c r="AK138" s="27" t="s">
        <v>8</v>
      </c>
      <c r="AL138" s="27" t="s">
        <v>7</v>
      </c>
      <c r="AM138" s="27" t="s">
        <v>8</v>
      </c>
      <c r="AR138" s="27" t="s">
        <v>7</v>
      </c>
      <c r="AS138" s="27" t="s">
        <v>8</v>
      </c>
      <c r="AT138" s="27" t="s">
        <v>7</v>
      </c>
      <c r="AU138" s="27" t="s">
        <v>8</v>
      </c>
      <c r="AV138" s="27" t="s">
        <v>7</v>
      </c>
      <c r="AW138" s="27" t="s">
        <v>8</v>
      </c>
      <c r="AX138" s="27" t="s">
        <v>7</v>
      </c>
      <c r="AY138" s="27" t="s">
        <v>8</v>
      </c>
      <c r="AZ138" s="27" t="s">
        <v>7</v>
      </c>
      <c r="BA138" s="27" t="s">
        <v>8</v>
      </c>
      <c r="BB138" s="27" t="s">
        <v>7</v>
      </c>
      <c r="BD138" s="27" t="s">
        <v>7</v>
      </c>
      <c r="BE138" s="27" t="s">
        <v>8</v>
      </c>
      <c r="BF138" s="27" t="s">
        <v>7</v>
      </c>
      <c r="BG138" s="27" t="s">
        <v>8</v>
      </c>
    </row>
    <row r="139" spans="1:70" x14ac:dyDescent="0.25">
      <c r="A139" s="30">
        <v>0.17985878990921333</v>
      </c>
      <c r="E139"/>
      <c r="F139" s="27" t="s">
        <v>7</v>
      </c>
      <c r="Q139" s="27" t="s">
        <v>8</v>
      </c>
      <c r="R139" s="27" t="s">
        <v>7</v>
      </c>
      <c r="W139" s="27" t="s">
        <v>8</v>
      </c>
      <c r="AC139" s="27" t="s">
        <v>8</v>
      </c>
      <c r="AD139" s="27" t="s">
        <v>7</v>
      </c>
      <c r="AI139" s="27" t="s">
        <v>8</v>
      </c>
      <c r="AJ139" s="27" t="s">
        <v>7</v>
      </c>
      <c r="AK139" s="27" t="s">
        <v>8</v>
      </c>
      <c r="AL139" s="27" t="s">
        <v>7</v>
      </c>
      <c r="AM139" s="27" t="s">
        <v>8</v>
      </c>
      <c r="AR139" s="27" t="s">
        <v>7</v>
      </c>
      <c r="AS139" s="27" t="s">
        <v>8</v>
      </c>
      <c r="AT139" s="27" t="s">
        <v>7</v>
      </c>
      <c r="AU139" s="27" t="s">
        <v>8</v>
      </c>
      <c r="AV139" s="27" t="s">
        <v>7</v>
      </c>
      <c r="AW139" s="27" t="s">
        <v>8</v>
      </c>
      <c r="AX139" s="27" t="s">
        <v>7</v>
      </c>
      <c r="AZ139" s="27" t="s">
        <v>7</v>
      </c>
      <c r="BA139" s="27" t="s">
        <v>8</v>
      </c>
      <c r="BD139" s="27" t="s">
        <v>7</v>
      </c>
      <c r="BF139" s="27" t="s">
        <v>7</v>
      </c>
    </row>
    <row r="140" spans="1:70" x14ac:dyDescent="0.25">
      <c r="A140" s="30">
        <v>0.16350799082655756</v>
      </c>
      <c r="C140" s="1">
        <v>0</v>
      </c>
      <c r="E140"/>
      <c r="F140" s="27" t="s">
        <v>7</v>
      </c>
      <c r="Q140" s="27" t="s">
        <v>8</v>
      </c>
      <c r="R140" s="27" t="s">
        <v>7</v>
      </c>
      <c r="W140" s="27" t="s">
        <v>8</v>
      </c>
      <c r="X140" s="27" t="s">
        <v>7</v>
      </c>
      <c r="AC140" s="27" t="s">
        <v>8</v>
      </c>
      <c r="AD140" s="27" t="s">
        <v>7</v>
      </c>
      <c r="AG140" s="27" t="s">
        <v>8</v>
      </c>
      <c r="AI140" s="27" t="s">
        <v>8</v>
      </c>
      <c r="AJ140" s="27" t="s">
        <v>7</v>
      </c>
      <c r="AK140" s="27" t="s">
        <v>8</v>
      </c>
      <c r="AL140" s="27" t="s">
        <v>7</v>
      </c>
      <c r="AR140" s="27" t="s">
        <v>7</v>
      </c>
      <c r="AT140" s="27" t="s">
        <v>7</v>
      </c>
      <c r="AU140" s="27" t="s">
        <v>8</v>
      </c>
      <c r="AV140" s="27" t="s">
        <v>7</v>
      </c>
      <c r="AZ140" s="27" t="s">
        <v>7</v>
      </c>
      <c r="BA140" s="27" t="s">
        <v>8</v>
      </c>
    </row>
    <row r="141" spans="1:70" x14ac:dyDescent="0.25">
      <c r="A141" s="30">
        <v>0.14864362802414322</v>
      </c>
      <c r="C141" s="1">
        <v>1</v>
      </c>
      <c r="E141"/>
      <c r="F141" s="27" t="s">
        <v>7</v>
      </c>
      <c r="Q141" s="27" t="s">
        <v>8</v>
      </c>
      <c r="R141" s="27" t="s">
        <v>7</v>
      </c>
      <c r="W141" s="27" t="s">
        <v>8</v>
      </c>
      <c r="X141" s="27" t="s">
        <v>7</v>
      </c>
      <c r="AC141" s="27" t="s">
        <v>8</v>
      </c>
      <c r="AD141" s="27" t="s">
        <v>7</v>
      </c>
      <c r="AG141" s="27" t="s">
        <v>8</v>
      </c>
      <c r="AH141" s="27" t="s">
        <v>7</v>
      </c>
      <c r="AI141" s="27" t="s">
        <v>8</v>
      </c>
      <c r="AJ141" s="27" t="s">
        <v>7</v>
      </c>
      <c r="AK141" s="27" t="s">
        <v>8</v>
      </c>
      <c r="AT141" s="27" t="s">
        <v>7</v>
      </c>
      <c r="AU141" s="27" t="s">
        <v>8</v>
      </c>
      <c r="AZ141" s="27" t="s">
        <v>7</v>
      </c>
      <c r="BA141" s="27" t="s">
        <v>8</v>
      </c>
    </row>
    <row r="142" spans="1:70" x14ac:dyDescent="0.25">
      <c r="A142" s="30">
        <v>0.13513057093103928</v>
      </c>
      <c r="C142" s="1">
        <v>2</v>
      </c>
      <c r="E142"/>
      <c r="F142" s="27" t="s">
        <v>7</v>
      </c>
      <c r="O142" s="27" t="s">
        <v>8</v>
      </c>
      <c r="Q142" s="27" t="s">
        <v>8</v>
      </c>
      <c r="R142" s="27" t="s">
        <v>7</v>
      </c>
      <c r="S142" s="27" t="s">
        <v>8</v>
      </c>
      <c r="U142" s="27" t="s">
        <v>8</v>
      </c>
      <c r="W142" s="27" t="s">
        <v>8</v>
      </c>
      <c r="X142" s="27" t="s">
        <v>7</v>
      </c>
      <c r="AC142" s="27" t="s">
        <v>8</v>
      </c>
      <c r="AD142" s="27" t="s">
        <v>7</v>
      </c>
      <c r="AE142" s="27" t="s">
        <v>8</v>
      </c>
      <c r="AG142" s="27" t="s">
        <v>8</v>
      </c>
      <c r="AH142" s="27" t="s">
        <v>7</v>
      </c>
      <c r="AI142" s="27" t="s">
        <v>8</v>
      </c>
      <c r="AJ142" s="27" t="s">
        <v>7</v>
      </c>
      <c r="AT142" s="27" t="s">
        <v>7</v>
      </c>
      <c r="AZ142" s="18" t="s">
        <v>7</v>
      </c>
      <c r="BA142" s="27" t="s">
        <v>8</v>
      </c>
    </row>
    <row r="143" spans="1:70" x14ac:dyDescent="0.25">
      <c r="A143" s="30">
        <v>0.12284597357367205</v>
      </c>
      <c r="C143" s="1">
        <v>3</v>
      </c>
      <c r="E143"/>
      <c r="F143" s="27" t="s">
        <v>7</v>
      </c>
      <c r="G143" s="27" t="s">
        <v>8</v>
      </c>
      <c r="O143" s="27" t="s">
        <v>8</v>
      </c>
      <c r="P143" s="27" t="s">
        <v>7</v>
      </c>
      <c r="Q143" s="27" t="s">
        <v>8</v>
      </c>
      <c r="R143" s="27" t="s">
        <v>7</v>
      </c>
      <c r="S143" s="27" t="s">
        <v>8</v>
      </c>
      <c r="T143" s="27" t="s">
        <v>7</v>
      </c>
      <c r="U143" s="27" t="s">
        <v>8</v>
      </c>
      <c r="V143" s="27" t="s">
        <v>7</v>
      </c>
      <c r="W143" s="27" t="s">
        <v>8</v>
      </c>
      <c r="X143" s="27" t="s">
        <v>7</v>
      </c>
      <c r="AC143" s="27" t="s">
        <v>8</v>
      </c>
      <c r="AD143" s="27" t="s">
        <v>7</v>
      </c>
      <c r="AE143" s="27" t="s">
        <v>8</v>
      </c>
      <c r="AF143" s="27" t="s">
        <v>7</v>
      </c>
      <c r="AG143" s="27" t="s">
        <v>8</v>
      </c>
      <c r="AH143" s="27" t="s">
        <v>7</v>
      </c>
      <c r="AZ143" s="27" t="s">
        <v>7</v>
      </c>
      <c r="BA143" s="27" t="s">
        <v>8</v>
      </c>
    </row>
    <row r="144" spans="1:70" x14ac:dyDescent="0.25">
      <c r="A144" s="30">
        <v>0.11167815779424731</v>
      </c>
      <c r="C144" s="1">
        <v>4</v>
      </c>
      <c r="E144"/>
      <c r="F144" s="27" t="s">
        <v>7</v>
      </c>
      <c r="G144" s="27" t="s">
        <v>8</v>
      </c>
      <c r="H144" s="27" t="s">
        <v>7</v>
      </c>
      <c r="K144" s="27" t="s">
        <v>8</v>
      </c>
      <c r="O144" s="27" t="s">
        <v>8</v>
      </c>
      <c r="P144" s="27" t="s">
        <v>7</v>
      </c>
      <c r="Q144" s="27" t="s">
        <v>8</v>
      </c>
      <c r="R144" s="27" t="s">
        <v>7</v>
      </c>
      <c r="S144" s="27" t="s">
        <v>8</v>
      </c>
      <c r="T144" s="27" t="s">
        <v>7</v>
      </c>
      <c r="U144" s="27" t="s">
        <v>8</v>
      </c>
      <c r="V144" s="27" t="s">
        <v>7</v>
      </c>
      <c r="W144" s="27" t="s">
        <v>8</v>
      </c>
      <c r="X144" s="27" t="s">
        <v>7</v>
      </c>
      <c r="AC144" s="27" t="s">
        <v>8</v>
      </c>
      <c r="AD144" s="27" t="s">
        <v>7</v>
      </c>
      <c r="AE144" s="27" t="s">
        <v>8</v>
      </c>
      <c r="AF144" s="27" t="s">
        <v>7</v>
      </c>
      <c r="AG144" s="27" t="s">
        <v>8</v>
      </c>
      <c r="AZ144" s="27" t="s">
        <v>7</v>
      </c>
    </row>
    <row r="145" spans="1:33" x14ac:dyDescent="0.25">
      <c r="A145" s="30">
        <v>0.10152559799477026</v>
      </c>
      <c r="B145"/>
      <c r="C145"/>
      <c r="D145"/>
      <c r="E145"/>
      <c r="F145" s="27" t="s">
        <v>7</v>
      </c>
      <c r="G145" s="27" t="s">
        <v>8</v>
      </c>
      <c r="H145" s="27" t="s">
        <v>7</v>
      </c>
      <c r="K145" s="27" t="s">
        <v>8</v>
      </c>
      <c r="L145" s="27" t="s">
        <v>7</v>
      </c>
      <c r="M145" s="27" t="s">
        <v>8</v>
      </c>
      <c r="O145" s="27" t="s">
        <v>8</v>
      </c>
      <c r="P145" s="27" t="s">
        <v>7</v>
      </c>
      <c r="R145" s="27" t="s">
        <v>7</v>
      </c>
      <c r="T145" s="27" t="s">
        <v>7</v>
      </c>
      <c r="V145" s="27" t="s">
        <v>7</v>
      </c>
      <c r="X145" s="27" t="s">
        <v>7</v>
      </c>
      <c r="Y145" s="27" t="s">
        <v>8</v>
      </c>
      <c r="AA145" s="27" t="s">
        <v>8</v>
      </c>
      <c r="AC145" s="27" t="s">
        <v>8</v>
      </c>
      <c r="AD145" s="27" t="s">
        <v>7</v>
      </c>
      <c r="AF145" s="27" t="s">
        <v>7</v>
      </c>
      <c r="AG145" s="27" t="s">
        <v>8</v>
      </c>
    </row>
    <row r="146" spans="1:33" x14ac:dyDescent="0.25">
      <c r="A146" s="30">
        <v>9.2295998177063854E-2</v>
      </c>
      <c r="B146"/>
      <c r="C146"/>
      <c r="D146"/>
      <c r="E146"/>
      <c r="F146" s="27" t="s">
        <v>7</v>
      </c>
      <c r="G146" s="27" t="s">
        <v>8</v>
      </c>
      <c r="H146" s="27" t="s">
        <v>7</v>
      </c>
      <c r="K146" s="27" t="s">
        <v>8</v>
      </c>
      <c r="L146" s="27" t="s">
        <v>7</v>
      </c>
      <c r="M146" s="27" t="s">
        <v>8</v>
      </c>
      <c r="N146" s="27" t="s">
        <v>7</v>
      </c>
      <c r="O146" s="27" t="s">
        <v>8</v>
      </c>
      <c r="X146" s="27" t="s">
        <v>7</v>
      </c>
      <c r="Y146" s="27" t="s">
        <v>8</v>
      </c>
      <c r="Z146" s="27" t="s">
        <v>7</v>
      </c>
      <c r="AA146" s="27" t="s">
        <v>8</v>
      </c>
      <c r="AB146" s="27" t="s">
        <v>7</v>
      </c>
      <c r="AC146" s="27" t="s">
        <v>8</v>
      </c>
      <c r="AF146" s="27" t="s">
        <v>7</v>
      </c>
    </row>
    <row r="147" spans="1:33" x14ac:dyDescent="0.25">
      <c r="A147" s="30">
        <v>8.3905452888239848E-2</v>
      </c>
      <c r="B147"/>
      <c r="C147"/>
      <c r="D147"/>
      <c r="E147"/>
      <c r="F147" s="27" t="s">
        <v>7</v>
      </c>
      <c r="G147" s="27" t="s">
        <v>8</v>
      </c>
      <c r="H147" s="27" t="s">
        <v>7</v>
      </c>
      <c r="K147" s="27" t="s">
        <v>8</v>
      </c>
      <c r="L147" s="27" t="s">
        <v>7</v>
      </c>
      <c r="M147" s="27" t="s">
        <v>8</v>
      </c>
      <c r="N147" s="27" t="s">
        <v>7</v>
      </c>
      <c r="O147" s="27" t="s">
        <v>8</v>
      </c>
      <c r="X147" s="27" t="s">
        <v>7</v>
      </c>
      <c r="Y147" s="27" t="s">
        <v>8</v>
      </c>
      <c r="Z147" s="27" t="s">
        <v>7</v>
      </c>
      <c r="AA147" s="27" t="s">
        <v>8</v>
      </c>
      <c r="AB147" s="27" t="s">
        <v>7</v>
      </c>
      <c r="AC147" s="27" t="s">
        <v>8</v>
      </c>
    </row>
    <row r="148" spans="1:33" x14ac:dyDescent="0.25">
      <c r="A148" s="30">
        <v>7.6277684443854396E-2</v>
      </c>
      <c r="B148"/>
      <c r="C148"/>
      <c r="D148"/>
      <c r="E148"/>
      <c r="F148" s="27" t="s">
        <v>7</v>
      </c>
      <c r="G148" s="27" t="s">
        <v>8</v>
      </c>
      <c r="H148" s="27" t="s">
        <v>7</v>
      </c>
      <c r="K148" s="27" t="s">
        <v>8</v>
      </c>
      <c r="L148" s="27" t="s">
        <v>7</v>
      </c>
      <c r="N148" s="27" t="s">
        <v>7</v>
      </c>
      <c r="X148" s="27" t="s">
        <v>7</v>
      </c>
      <c r="Z148" s="27" t="s">
        <v>7</v>
      </c>
      <c r="AB148" s="27" t="s">
        <v>7</v>
      </c>
      <c r="AC148" s="27" t="s">
        <v>8</v>
      </c>
    </row>
    <row r="149" spans="1:33" x14ac:dyDescent="0.25">
      <c r="A149" s="30">
        <v>6.9343349494413078E-2</v>
      </c>
      <c r="B149"/>
      <c r="C149"/>
      <c r="D149"/>
      <c r="E149"/>
      <c r="F149" s="27" t="s">
        <v>7</v>
      </c>
      <c r="G149" s="27" t="s">
        <v>8</v>
      </c>
      <c r="H149" s="27" t="s">
        <v>7</v>
      </c>
      <c r="K149" s="27" t="s">
        <v>8</v>
      </c>
      <c r="AB149" s="27" t="s">
        <v>7</v>
      </c>
      <c r="AC149" s="27" t="s">
        <v>8</v>
      </c>
    </row>
    <row r="150" spans="1:33" x14ac:dyDescent="0.25">
      <c r="A150" s="30">
        <v>6.3039408631284613E-2</v>
      </c>
      <c r="B150"/>
      <c r="C150"/>
      <c r="D150"/>
      <c r="E150"/>
      <c r="F150" s="27" t="s">
        <v>7</v>
      </c>
      <c r="G150" s="27" t="s">
        <v>8</v>
      </c>
      <c r="H150" s="27" t="s">
        <v>7</v>
      </c>
      <c r="K150" s="27" t="s">
        <v>8</v>
      </c>
      <c r="AB150" s="27" t="s">
        <v>7</v>
      </c>
    </row>
    <row r="151" spans="1:33" x14ac:dyDescent="0.25">
      <c r="A151" s="30">
        <v>5.7308553301167818E-2</v>
      </c>
      <c r="B151"/>
      <c r="C151"/>
      <c r="D151"/>
      <c r="E151"/>
      <c r="F151" s="27" t="s">
        <v>7</v>
      </c>
      <c r="G151" s="27" t="s">
        <v>8</v>
      </c>
      <c r="H151" s="27" t="s">
        <v>7</v>
      </c>
      <c r="K151" s="27" t="s">
        <v>8</v>
      </c>
    </row>
    <row r="152" spans="1:33" x14ac:dyDescent="0.25">
      <c r="A152" s="30">
        <v>5.2098684819243464E-2</v>
      </c>
      <c r="B152"/>
      <c r="C152"/>
      <c r="D152"/>
      <c r="E152"/>
      <c r="F152" s="27" t="s">
        <v>7</v>
      </c>
      <c r="H152" s="27" t="s">
        <v>7</v>
      </c>
      <c r="K152" s="27" t="s">
        <v>8</v>
      </c>
    </row>
    <row r="153" spans="1:33" x14ac:dyDescent="0.25">
      <c r="A153" s="30">
        <v>4.7362440744766775E-2</v>
      </c>
      <c r="B153"/>
      <c r="C153"/>
      <c r="D153"/>
      <c r="E153"/>
      <c r="H153" s="27" t="s">
        <v>7</v>
      </c>
      <c r="I153" s="27" t="s">
        <v>8</v>
      </c>
      <c r="K153" s="27" t="s">
        <v>8</v>
      </c>
    </row>
    <row r="154" spans="1:33" x14ac:dyDescent="0.25">
      <c r="A154" s="30">
        <v>4.3056764313424332E-2</v>
      </c>
      <c r="B154"/>
      <c r="C154"/>
      <c r="D154"/>
      <c r="E154"/>
      <c r="H154" s="27" t="s">
        <v>7</v>
      </c>
      <c r="I154" s="27" t="s">
        <v>8</v>
      </c>
      <c r="J154" s="27" t="s">
        <v>7</v>
      </c>
      <c r="K154" s="27" t="s">
        <v>8</v>
      </c>
    </row>
    <row r="155" spans="1:33" x14ac:dyDescent="0.25">
      <c r="A155" s="30">
        <v>3.9142513012203929E-2</v>
      </c>
      <c r="B155"/>
      <c r="C155"/>
      <c r="D155"/>
      <c r="E155"/>
      <c r="H155" s="27" t="s">
        <v>7</v>
      </c>
      <c r="I155" s="27" t="s">
        <v>8</v>
      </c>
      <c r="J155" s="27" t="s">
        <v>7</v>
      </c>
      <c r="K155" s="27" t="s">
        <v>8</v>
      </c>
    </row>
    <row r="156" spans="1:33" x14ac:dyDescent="0.25">
      <c r="A156" s="30">
        <v>3.55841027383672E-2</v>
      </c>
      <c r="B156"/>
      <c r="C156"/>
      <c r="D156"/>
      <c r="E156"/>
      <c r="H156" s="27" t="s">
        <v>7</v>
      </c>
      <c r="I156" s="27" t="s">
        <v>8</v>
      </c>
      <c r="J156" s="27" t="s">
        <v>7</v>
      </c>
    </row>
    <row r="157" spans="1:33" x14ac:dyDescent="0.25">
      <c r="A157" s="30">
        <v>3.2349184307606541E-2</v>
      </c>
      <c r="B157"/>
      <c r="C157"/>
      <c r="D157"/>
      <c r="E157"/>
      <c r="H157" s="27" t="s">
        <v>7</v>
      </c>
      <c r="I157" s="27" t="s">
        <v>8</v>
      </c>
    </row>
    <row r="158" spans="1:33" x14ac:dyDescent="0.25">
      <c r="A158" s="30">
        <v>2.9408349370551395E-2</v>
      </c>
      <c r="B158"/>
      <c r="C158"/>
      <c r="D158"/>
      <c r="E158"/>
      <c r="H158" s="27" t="s">
        <v>7</v>
      </c>
      <c r="I158" s="27" t="s">
        <v>8</v>
      </c>
    </row>
    <row r="159" spans="1:33" x14ac:dyDescent="0.25">
      <c r="A159" s="30">
        <v>2.6734863064137627E-2</v>
      </c>
      <c r="B159"/>
      <c r="C159"/>
      <c r="D159"/>
      <c r="E159"/>
      <c r="H159" s="27" t="s">
        <v>7</v>
      </c>
    </row>
    <row r="160" spans="1:33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62" operator="equal">
      <formula>$U$1</formula>
    </cfRule>
    <cfRule type="cellIs" dxfId="30" priority="1163" operator="equal">
      <formula>$S$1</formula>
    </cfRule>
  </conditionalFormatting>
  <conditionalFormatting sqref="D136">
    <cfRule type="cellIs" dxfId="29" priority="1160" operator="equal">
      <formula>$S$1</formula>
    </cfRule>
    <cfRule type="cellIs" dxfId="28" priority="1161" operator="equal">
      <formula>$U$1</formula>
    </cfRule>
  </conditionalFormatting>
  <conditionalFormatting sqref="C102">
    <cfRule type="cellIs" dxfId="27" priority="1158" operator="equal">
      <formula>$U$1</formula>
    </cfRule>
    <cfRule type="cellIs" dxfId="26" priority="1159" operator="equal">
      <formula>$S$1</formula>
    </cfRule>
  </conditionalFormatting>
  <conditionalFormatting sqref="D102">
    <cfRule type="cellIs" dxfId="25" priority="1156" operator="equal">
      <formula>$S$1</formula>
    </cfRule>
    <cfRule type="cellIs" dxfId="24" priority="1157" operator="equal">
      <formula>$U$1</formula>
    </cfRule>
  </conditionalFormatting>
  <conditionalFormatting sqref="C77">
    <cfRule type="cellIs" dxfId="23" priority="1154" operator="equal">
      <formula>$U$1</formula>
    </cfRule>
    <cfRule type="cellIs" dxfId="22" priority="1155" operator="equal">
      <formula>$S$1</formula>
    </cfRule>
  </conditionalFormatting>
  <conditionalFormatting sqref="D77">
    <cfRule type="cellIs" dxfId="21" priority="1152" operator="equal">
      <formula>$S$1</formula>
    </cfRule>
    <cfRule type="cellIs" dxfId="20" priority="1153" operator="equal">
      <formula>$U$1</formula>
    </cfRule>
  </conditionalFormatting>
  <conditionalFormatting sqref="C52">
    <cfRule type="cellIs" dxfId="19" priority="1150" operator="equal">
      <formula>$U$1</formula>
    </cfRule>
    <cfRule type="cellIs" dxfId="18" priority="1151" operator="equal">
      <formula>$S$1</formula>
    </cfRule>
  </conditionalFormatting>
  <conditionalFormatting sqref="D52">
    <cfRule type="cellIs" dxfId="17" priority="1148" operator="equal">
      <formula>$S$1</formula>
    </cfRule>
    <cfRule type="cellIs" dxfId="16" priority="1149" operator="equal">
      <formula>$U$1</formula>
    </cfRule>
  </conditionalFormatting>
  <conditionalFormatting sqref="C26">
    <cfRule type="cellIs" dxfId="15" priority="1146" operator="equal">
      <formula>$U$1</formula>
    </cfRule>
    <cfRule type="cellIs" dxfId="14" priority="1147" operator="equal">
      <formula>$S$1</formula>
    </cfRule>
  </conditionalFormatting>
  <conditionalFormatting sqref="D26">
    <cfRule type="cellIs" dxfId="13" priority="1144" operator="equal">
      <formula>$S$1</formula>
    </cfRule>
    <cfRule type="cellIs" dxfId="12" priority="114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2022-01-28T01:15:24Z</dcterms:modified>
</cp:coreProperties>
</file>