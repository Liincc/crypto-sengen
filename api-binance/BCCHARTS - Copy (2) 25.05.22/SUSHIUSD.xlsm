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9144FC5-A618-4BFE-A9AF-EFDDE4B851E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M3" i="6" a="1"/>
  <c r="M3" i="6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8" i="3"/>
  <c r="C118" i="4"/>
  <c r="C122" i="4"/>
  <c r="C133" i="4" s="1"/>
  <c r="C136" i="4" s="1"/>
  <c r="R765" i="1"/>
  <c r="C122" i="3"/>
  <c r="C133" i="3" s="1"/>
  <c r="D136" i="3" s="1"/>
  <c r="C136" i="5" l="1"/>
  <c r="C138" i="5" s="1"/>
  <c r="D136" i="4"/>
  <c r="C138" i="4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S743" i="1" l="1"/>
  <c r="T743" i="1" s="1"/>
  <c r="R742" i="1"/>
  <c r="S742" i="1" l="1"/>
  <c r="T742" i="1" s="1"/>
  <c r="R741" i="1"/>
  <c r="R740" i="1" l="1"/>
  <c r="S741" i="1"/>
  <c r="T741" i="1" s="1"/>
  <c r="S740" i="1" l="1"/>
  <c r="T740" i="1" s="1"/>
  <c r="R739" i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S722" i="1" l="1"/>
  <c r="T722" i="1" s="1"/>
  <c r="R721" i="1"/>
  <c r="S721" i="1" l="1"/>
  <c r="T721" i="1" s="1"/>
  <c r="R720" i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S704" i="1" l="1"/>
  <c r="T704" i="1" s="1"/>
  <c r="R703" i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S644" i="1" l="1"/>
  <c r="T644" i="1" s="1"/>
  <c r="R643" i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S635" i="1" l="1"/>
  <c r="T635" i="1" s="1"/>
  <c r="R634" i="1"/>
  <c r="S634" i="1" l="1"/>
  <c r="T634" i="1" s="1"/>
  <c r="R633" i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S627" i="1" l="1"/>
  <c r="T627" i="1" s="1"/>
  <c r="R626" i="1"/>
  <c r="S626" i="1" l="1"/>
  <c r="T626" i="1" s="1"/>
  <c r="R625" i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R605" i="1" l="1"/>
  <c r="S606" i="1"/>
  <c r="T606" i="1" s="1"/>
  <c r="S605" i="1" l="1"/>
  <c r="T605" i="1" s="1"/>
  <c r="R604" i="1"/>
  <c r="R603" i="1" l="1"/>
  <c r="S604" i="1"/>
  <c r="T604" i="1" s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R576" i="1" l="1"/>
  <c r="S577" i="1"/>
  <c r="T577" i="1" s="1"/>
  <c r="S576" i="1" l="1"/>
  <c r="T576" i="1" s="1"/>
  <c r="R575" i="1"/>
  <c r="S575" i="1" l="1"/>
  <c r="T575" i="1" s="1"/>
  <c r="R574" i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R542" i="1" l="1"/>
  <c r="S543" i="1"/>
  <c r="T543" i="1" s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R518" i="1" l="1"/>
  <c r="S519" i="1"/>
  <c r="T519" i="1" s="1"/>
  <c r="S518" i="1" l="1"/>
  <c r="T518" i="1" s="1"/>
  <c r="R517" i="1"/>
  <c r="S517" i="1" l="1"/>
  <c r="T517" i="1" s="1"/>
  <c r="R516" i="1"/>
  <c r="R515" i="1" l="1"/>
  <c r="S516" i="1"/>
  <c r="T516" i="1" s="1"/>
  <c r="S515" i="1" l="1"/>
  <c r="T515" i="1" s="1"/>
  <c r="R514" i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R504" i="1" l="1"/>
  <c r="S505" i="1"/>
  <c r="T505" i="1" s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R494" i="1" l="1"/>
  <c r="S495" i="1"/>
  <c r="T495" i="1" s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S486" i="1" l="1"/>
  <c r="T486" i="1" s="1"/>
  <c r="R485" i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S470" i="1" l="1"/>
  <c r="T470" i="1" s="1"/>
  <c r="R469" i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S408" i="1" l="1"/>
  <c r="T408" i="1" s="1"/>
  <c r="R407" i="1"/>
  <c r="R406" i="1" l="1"/>
  <c r="S407" i="1"/>
  <c r="T407" i="1" s="1"/>
  <c r="R405" i="1" l="1"/>
  <c r="S406" i="1"/>
  <c r="T406" i="1" s="1"/>
  <c r="S405" i="1" l="1"/>
  <c r="T405" i="1" s="1"/>
  <c r="R404" i="1"/>
  <c r="R403" i="1" l="1"/>
  <c r="S404" i="1"/>
  <c r="T404" i="1" s="1"/>
  <c r="S403" i="1" l="1"/>
  <c r="T403" i="1" s="1"/>
  <c r="R402" i="1"/>
  <c r="S402" i="1" l="1"/>
  <c r="T402" i="1" s="1"/>
  <c r="R401" i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S395" i="1" l="1"/>
  <c r="T395" i="1" s="1"/>
  <c r="R394" i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S387" i="1" l="1"/>
  <c r="T387" i="1" s="1"/>
  <c r="R386" i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R354" i="1" l="1"/>
  <c r="S355" i="1"/>
  <c r="T355" i="1" s="1"/>
  <c r="R353" i="1" l="1"/>
  <c r="S354" i="1"/>
  <c r="T354" i="1" s="1"/>
  <c r="S353" i="1" l="1"/>
  <c r="T353" i="1" s="1"/>
  <c r="R352" i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S338" i="1" l="1"/>
  <c r="T338" i="1" s="1"/>
  <c r="R337" i="1"/>
  <c r="R336" i="1" l="1"/>
  <c r="S337" i="1"/>
  <c r="T337" i="1" s="1"/>
  <c r="R335" i="1" l="1"/>
  <c r="S336" i="1"/>
  <c r="T336" i="1" s="1"/>
  <c r="S335" i="1" l="1"/>
  <c r="T335" i="1" s="1"/>
  <c r="R334" i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S322" i="1" l="1"/>
  <c r="T322" i="1" s="1"/>
  <c r="R321" i="1"/>
  <c r="S321" i="1" l="1"/>
  <c r="T321" i="1" s="1"/>
  <c r="R320" i="1"/>
  <c r="S320" i="1" l="1"/>
  <c r="T320" i="1" s="1"/>
  <c r="R319" i="1"/>
  <c r="S319" i="1" l="1"/>
  <c r="T319" i="1" s="1"/>
  <c r="R318" i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S289" i="1" l="1"/>
  <c r="T289" i="1" s="1"/>
  <c r="R288" i="1"/>
  <c r="R287" i="1" l="1"/>
  <c r="S288" i="1"/>
  <c r="T288" i="1" s="1"/>
  <c r="S287" i="1" l="1"/>
  <c r="T287" i="1" s="1"/>
  <c r="R286" i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S230" i="1" l="1"/>
  <c r="T230" i="1" s="1"/>
  <c r="R229" i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S225" i="1" l="1"/>
  <c r="T225" i="1" s="1"/>
  <c r="R224" i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R219" i="1" l="1"/>
  <c r="S220" i="1"/>
  <c r="T220" i="1" s="1"/>
  <c r="S219" i="1" l="1"/>
  <c r="T219" i="1" s="1"/>
  <c r="R218" i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S213" i="1" l="1"/>
  <c r="T213" i="1" s="1"/>
  <c r="R212" i="1"/>
  <c r="R211" i="1" l="1"/>
  <c r="S212" i="1"/>
  <c r="T212" i="1" s="1"/>
  <c r="S211" i="1" l="1"/>
  <c r="T211" i="1" s="1"/>
  <c r="R210" i="1"/>
  <c r="S210" i="1" l="1"/>
  <c r="T210" i="1" s="1"/>
  <c r="R209" i="1"/>
  <c r="S209" i="1" l="1"/>
  <c r="T209" i="1" s="1"/>
  <c r="R208" i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S198" i="1" l="1"/>
  <c r="T198" i="1" s="1"/>
  <c r="R197" i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S138" i="1" l="1"/>
  <c r="T138" i="1" s="1"/>
  <c r="R137" i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S73" i="1" l="1"/>
  <c r="T73" i="1" s="1"/>
  <c r="R72" i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S66" i="1" l="1"/>
  <c r="T66" i="1" s="1"/>
  <c r="R65" i="1"/>
  <c r="S65" i="1" l="1"/>
  <c r="T65" i="1" s="1"/>
  <c r="R64" i="1"/>
  <c r="R63" i="1" l="1"/>
  <c r="S64" i="1"/>
  <c r="T64" i="1" s="1"/>
  <c r="S63" i="1" l="1"/>
  <c r="T63" i="1" s="1"/>
  <c r="R62" i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<sst xmlns="http://schemas.openxmlformats.org/spreadsheetml/2006/main" count="6319" uniqueCount="34">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</sst>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4.08</c:v>
                </c:pt>
                <c:pt idx="1">
                  <c:v>4.2640000000000002</c:v>
                </c:pt>
                <c:pt idx="2">
                  <c:v>4.54</c:v>
                </c:pt>
                <c:pt idx="3">
                  <c:v>4.3979999999999997</c:v>
                </c:pt>
                <c:pt idx="4">
                  <c:v>4.6550000000000002</c:v>
                </c:pt>
                <c:pt idx="5">
                  <c:v>4.4089999999999998</c:v>
                </c:pt>
                <c:pt idx="6">
                  <c:v>4.9509999999999996</c:v>
                </c:pt>
                <c:pt idx="7">
                  <c:v>5.8070000000000004</c:v>
                </c:pt>
                <c:pt idx="8">
                  <c:v>6.0439999999999996</c:v>
                </c:pt>
                <c:pt idx="9">
                  <c:v>6.2089999999999996</c:v>
                </c:pt>
                <c:pt idx="10">
                  <c:v>6.4359999999999999</c:v>
                </c:pt>
                <c:pt idx="11">
                  <c:v>6.9710000000000001</c:v>
                </c:pt>
                <c:pt idx="12">
                  <c:v>7.016</c:v>
                </c:pt>
                <c:pt idx="13">
                  <c:v>7.0229999999999997</c:v>
                </c:pt>
                <c:pt idx="14">
                  <c:v>7.03</c:v>
                </c:pt>
                <c:pt idx="15">
                  <c:v>7.1120000000000001</c:v>
                </c:pt>
                <c:pt idx="16">
                  <c:v>6.9989999999999997</c:v>
                </c:pt>
                <c:pt idx="17">
                  <c:v>6.57</c:v>
                </c:pt>
                <c:pt idx="18">
                  <c:v>6.9290000000000003</c:v>
                </c:pt>
                <c:pt idx="19">
                  <c:v>6.5629999999999997</c:v>
                </c:pt>
                <c:pt idx="20">
                  <c:v>7.1779999999999999</c:v>
                </c:pt>
                <c:pt idx="21">
                  <c:v>7.4370000000000003</c:v>
                </c:pt>
                <c:pt idx="22">
                  <c:v>7.6470000000000002</c:v>
                </c:pt>
                <c:pt idx="23">
                  <c:v>8.0749999999999993</c:v>
                </c:pt>
                <c:pt idx="24">
                  <c:v>8.5180000000000007</c:v>
                </c:pt>
                <c:pt idx="25">
                  <c:v>8.9290000000000003</c:v>
                </c:pt>
                <c:pt idx="26">
                  <c:v>9.1359999999999992</c:v>
                </c:pt>
                <c:pt idx="27">
                  <c:v>9.4250000000000007</c:v>
                </c:pt>
                <c:pt idx="28">
                  <c:v>10.244</c:v>
                </c:pt>
                <c:pt idx="29">
                  <c:v>9.2620000000000005</c:v>
                </c:pt>
                <c:pt idx="30">
                  <c:v>9.0570000000000004</c:v>
                </c:pt>
                <c:pt idx="31">
                  <c:v>9.14</c:v>
                </c:pt>
                <c:pt idx="32">
                  <c:v>7.9160000000000004</c:v>
                </c:pt>
                <c:pt idx="33">
                  <c:v>7.6470000000000002</c:v>
                </c:pt>
                <c:pt idx="34">
                  <c:v>7.9420000000000002</c:v>
                </c:pt>
                <c:pt idx="35">
                  <c:v>7.3070000000000004</c:v>
                </c:pt>
                <c:pt idx="36">
                  <c:v>6.3650000000000002</c:v>
                </c:pt>
                <c:pt idx="37">
                  <c:v>5.84</c:v>
                </c:pt>
                <c:pt idx="38">
                  <c:v>5.48</c:v>
                </c:pt>
                <c:pt idx="39">
                  <c:v>5.3369999999999997</c:v>
                </c:pt>
                <c:pt idx="40">
                  <c:v>5.6040000000000001</c:v>
                </c:pt>
                <c:pt idx="41">
                  <c:v>5.5110000000000001</c:v>
                </c:pt>
                <c:pt idx="42">
                  <c:v>5.694</c:v>
                </c:pt>
                <c:pt idx="43">
                  <c:v>5.9459999999999997</c:v>
                </c:pt>
                <c:pt idx="44">
                  <c:v>5.74</c:v>
                </c:pt>
                <c:pt idx="45">
                  <c:v>5.6390000000000002</c:v>
                </c:pt>
                <c:pt idx="46">
                  <c:v>5.5789999999999997</c:v>
                </c:pt>
                <c:pt idx="47">
                  <c:v>5.194</c:v>
                </c:pt>
                <c:pt idx="48">
                  <c:v>5.0830000000000002</c:v>
                </c:pt>
                <c:pt idx="49">
                  <c:v>5.4870000000000001</c:v>
                </c:pt>
                <c:pt idx="50">
                  <c:v>6.6269999999999998</c:v>
                </c:pt>
                <c:pt idx="51">
                  <c:v>5.8659999999999997</c:v>
                </c:pt>
                <c:pt idx="52">
                  <c:v>6.3090000000000002</c:v>
                </c:pt>
                <c:pt idx="53">
                  <c:v>5.2759999999999998</c:v>
                </c:pt>
                <c:pt idx="54">
                  <c:v>5.8319999999999999</c:v>
                </c:pt>
                <c:pt idx="55">
                  <c:v>6.8209999999999997</c:v>
                </c:pt>
                <c:pt idx="56">
                  <c:v>7.37</c:v>
                </c:pt>
                <c:pt idx="57">
                  <c:v>7.5510000000000002</c:v>
                </c:pt>
                <c:pt idx="58">
                  <c:v>8.0009999999999994</c:v>
                </c:pt>
                <c:pt idx="59">
                  <c:v>7.4649999999999999</c:v>
                </c:pt>
                <c:pt idx="60">
                  <c:v>7.9409999999999998</c:v>
                </c:pt>
                <c:pt idx="61">
                  <c:v>7.0490000000000004</c:v>
                </c:pt>
                <c:pt idx="62">
                  <c:v>7.0289999999999999</c:v>
                </c:pt>
                <c:pt idx="63">
                  <c:v>8.2059999999999995</c:v>
                </c:pt>
                <c:pt idx="64">
                  <c:v>8.1929999999999996</c:v>
                </c:pt>
                <c:pt idx="65">
                  <c:v>8.3650000000000002</c:v>
                </c:pt>
                <c:pt idx="66">
                  <c:v>8.23</c:v>
                </c:pt>
                <c:pt idx="67">
                  <c:v>8.7330000000000005</c:v>
                </c:pt>
                <c:pt idx="68">
                  <c:v>9.0449999999999999</c:v>
                </c:pt>
                <c:pt idx="69">
                  <c:v>9</c:v>
                </c:pt>
                <c:pt idx="70">
                  <c:v>8.798</c:v>
                </c:pt>
                <c:pt idx="71">
                  <c:v>9.7409999999999997</c:v>
                </c:pt>
                <c:pt idx="72">
                  <c:v>9.6509999999999998</c:v>
                </c:pt>
                <c:pt idx="73">
                  <c:v>10.348000000000001</c:v>
                </c:pt>
                <c:pt idx="74">
                  <c:v>11.048999999999999</c:v>
                </c:pt>
                <c:pt idx="75">
                  <c:v>11.183</c:v>
                </c:pt>
                <c:pt idx="76">
                  <c:v>10.978</c:v>
                </c:pt>
                <c:pt idx="77">
                  <c:v>11.141</c:v>
                </c:pt>
                <c:pt idx="78">
                  <c:v>11.086</c:v>
                </c:pt>
                <c:pt idx="79">
                  <c:v>11.971</c:v>
                </c:pt>
                <c:pt idx="80">
                  <c:v>12.301</c:v>
                </c:pt>
                <c:pt idx="81">
                  <c:v>12.097</c:v>
                </c:pt>
                <c:pt idx="82">
                  <c:v>11.845000000000001</c:v>
                </c:pt>
                <c:pt idx="83">
                  <c:v>12.141999999999999</c:v>
                </c:pt>
                <c:pt idx="84">
                  <c:v>12.939</c:v>
                </c:pt>
                <c:pt idx="85">
                  <c:v>13.441000000000001</c:v>
                </c:pt>
                <c:pt idx="86">
                  <c:v>12.122999999999999</c:v>
                </c:pt>
                <c:pt idx="87">
                  <c:v>12.742000000000001</c:v>
                </c:pt>
                <c:pt idx="88">
                  <c:v>10.901</c:v>
                </c:pt>
                <c:pt idx="89">
                  <c:v>11.074</c:v>
                </c:pt>
                <c:pt idx="90">
                  <c:v>11.462</c:v>
                </c:pt>
                <c:pt idx="91">
                  <c:v>10.974</c:v>
                </c:pt>
                <c:pt idx="92">
                  <c:v>10.148999999999999</c:v>
                </c:pt>
                <c:pt idx="93">
                  <c:v>11.377000000000001</c:v>
                </c:pt>
                <c:pt idx="94">
                  <c:v>10.765000000000001</c:v>
                </c:pt>
                <c:pt idx="95">
                  <c:v>10.534000000000001</c:v>
                </c:pt>
                <c:pt idx="96">
                  <c:v>10.987</c:v>
                </c:pt>
                <c:pt idx="97">
                  <c:v>10.69</c:v>
                </c:pt>
                <c:pt idx="98">
                  <c:v>10.895</c:v>
                </c:pt>
                <c:pt idx="99">
                  <c:v>11.537000000000001</c:v>
                </c:pt>
                <c:pt idx="100">
                  <c:v>10.721</c:v>
                </c:pt>
                <c:pt idx="101">
                  <c:v>10.801</c:v>
                </c:pt>
                <c:pt idx="102">
                  <c:v>11.135999999999999</c:v>
                </c:pt>
                <c:pt idx="103">
                  <c:v>11.398</c:v>
                </c:pt>
                <c:pt idx="104">
                  <c:v>11.089</c:v>
                </c:pt>
                <c:pt idx="105">
                  <c:v>10.772</c:v>
                </c:pt>
                <c:pt idx="106">
                  <c:v>10.260999999999999</c:v>
                </c:pt>
                <c:pt idx="107">
                  <c:v>10.044</c:v>
                </c:pt>
                <c:pt idx="108">
                  <c:v>10.33</c:v>
                </c:pt>
                <c:pt idx="109">
                  <c:v>10.254</c:v>
                </c:pt>
                <c:pt idx="110">
                  <c:v>10.948</c:v>
                </c:pt>
                <c:pt idx="111">
                  <c:v>10.743</c:v>
                </c:pt>
                <c:pt idx="112">
                  <c:v>10.784000000000001</c:v>
                </c:pt>
                <c:pt idx="113">
                  <c:v>10.53</c:v>
                </c:pt>
                <c:pt idx="114">
                  <c:v>10.83</c:v>
                </c:pt>
                <c:pt idx="115">
                  <c:v>10.35</c:v>
                </c:pt>
                <c:pt idx="116">
                  <c:v>10.804</c:v>
                </c:pt>
                <c:pt idx="117">
                  <c:v>10.89</c:v>
                </c:pt>
                <c:pt idx="118">
                  <c:v>10.827</c:v>
                </c:pt>
                <c:pt idx="119">
                  <c:v>10.156000000000001</c:v>
                </c:pt>
                <c:pt idx="120">
                  <c:v>9.5079999999999991</c:v>
                </c:pt>
                <c:pt idx="121">
                  <c:v>9.6750000000000007</c:v>
                </c:pt>
                <c:pt idx="122">
                  <c:v>10.009</c:v>
                </c:pt>
                <c:pt idx="123">
                  <c:v>11.391</c:v>
                </c:pt>
                <c:pt idx="124">
                  <c:v>9.5109999999999992</c:v>
                </c:pt>
                <c:pt idx="125">
                  <c:v>9.6709999999999994</c:v>
                </c:pt>
                <c:pt idx="126">
                  <c:v>10.635999999999999</c:v>
                </c:pt>
                <c:pt idx="127">
                  <c:v>10.513999999999999</c:v>
                </c:pt>
                <c:pt idx="128">
                  <c:v>9.2289999999999992</c:v>
                </c:pt>
                <c:pt idx="129">
                  <c:v>11.058</c:v>
                </c:pt>
                <c:pt idx="130">
                  <c:v>12.052</c:v>
                </c:pt>
                <c:pt idx="131">
                  <c:v>12.705</c:v>
                </c:pt>
                <c:pt idx="132">
                  <c:v>12.518000000000001</c:v>
                </c:pt>
                <c:pt idx="133">
                  <c:v>14.91</c:v>
                </c:pt>
                <c:pt idx="134">
                  <c:v>15.164</c:v>
                </c:pt>
                <c:pt idx="135">
                  <c:v>13.208</c:v>
                </c:pt>
                <c:pt idx="136">
                  <c:v>11.074999999999999</c:v>
                </c:pt>
                <c:pt idx="137">
                  <c:v>11.865</c:v>
                </c:pt>
                <c:pt idx="138">
                  <c:v>10.574</c:v>
                </c:pt>
                <c:pt idx="139">
                  <c:v>10.131</c:v>
                </c:pt>
                <c:pt idx="140">
                  <c:v>11.007999999999999</c:v>
                </c:pt>
                <c:pt idx="141">
                  <c:v>11.349</c:v>
                </c:pt>
                <c:pt idx="142">
                  <c:v>10.913</c:v>
                </c:pt>
                <c:pt idx="143">
                  <c:v>13.618</c:v>
                </c:pt>
                <c:pt idx="144">
                  <c:v>14.276</c:v>
                </c:pt>
                <c:pt idx="145">
                  <c:v>13.096</c:v>
                </c:pt>
                <c:pt idx="146">
                  <c:v>13.074999999999999</c:v>
                </c:pt>
                <c:pt idx="147">
                  <c:v>13.099</c:v>
                </c:pt>
                <c:pt idx="148">
                  <c:v>13.849</c:v>
                </c:pt>
                <c:pt idx="149">
                  <c:v>12.053000000000001</c:v>
                </c:pt>
                <c:pt idx="150">
                  <c:v>11.529</c:v>
                </c:pt>
                <c:pt idx="151">
                  <c:v>11.595000000000001</c:v>
                </c:pt>
                <c:pt idx="152">
                  <c:v>11.782</c:v>
                </c:pt>
                <c:pt idx="153">
                  <c:v>12.22</c:v>
                </c:pt>
                <c:pt idx="154">
                  <c:v>11.625</c:v>
                </c:pt>
                <c:pt idx="155">
                  <c:v>12.257</c:v>
                </c:pt>
                <c:pt idx="156">
                  <c:v>12.329000000000001</c:v>
                </c:pt>
                <c:pt idx="157">
                  <c:v>13.798</c:v>
                </c:pt>
                <c:pt idx="158">
                  <c:v>13.87</c:v>
                </c:pt>
                <c:pt idx="159">
                  <c:v>13.664</c:v>
                </c:pt>
                <c:pt idx="160">
                  <c:v>14.670999999999999</c:v>
                </c:pt>
                <c:pt idx="161">
                  <c:v>14.007</c:v>
                </c:pt>
                <c:pt idx="162">
                  <c:v>12.558999999999999</c:v>
                </c:pt>
                <c:pt idx="163">
                  <c:v>12.583</c:v>
                </c:pt>
                <c:pt idx="164">
                  <c:v>12.56</c:v>
                </c:pt>
                <c:pt idx="165">
                  <c:v>12.613</c:v>
                </c:pt>
                <c:pt idx="166">
                  <c:v>12.206</c:v>
                </c:pt>
                <c:pt idx="167">
                  <c:v>12.57</c:v>
                </c:pt>
                <c:pt idx="168">
                  <c:v>12.141999999999999</c:v>
                </c:pt>
                <c:pt idx="169">
                  <c:v>11.208</c:v>
                </c:pt>
                <c:pt idx="170">
                  <c:v>10.377000000000001</c:v>
                </c:pt>
                <c:pt idx="171">
                  <c:v>9.8049999999999997</c:v>
                </c:pt>
                <c:pt idx="172">
                  <c:v>9.391</c:v>
                </c:pt>
                <c:pt idx="173">
                  <c:v>10.346</c:v>
                </c:pt>
                <c:pt idx="174">
                  <c:v>9.8149999999999995</c:v>
                </c:pt>
                <c:pt idx="175">
                  <c:v>9.6319999999999997</c:v>
                </c:pt>
                <c:pt idx="176">
                  <c:v>8.76</c:v>
                </c:pt>
                <c:pt idx="177">
                  <c:v>8.0890000000000004</c:v>
                </c:pt>
                <c:pt idx="178">
                  <c:v>8.3450000000000006</c:v>
                </c:pt>
                <c:pt idx="179">
                  <c:v>8.4849999999999994</c:v>
                </c:pt>
                <c:pt idx="180">
                  <c:v>8.8629999999999995</c:v>
                </c:pt>
                <c:pt idx="181">
                  <c:v>8.468</c:v>
                </c:pt>
                <c:pt idx="182">
                  <c:v>8.1760000000000002</c:v>
                </c:pt>
                <c:pt idx="183">
                  <c:v>8.1660000000000004</c:v>
                </c:pt>
                <c:pt idx="184">
                  <c:v>8.19</c:v>
                </c:pt>
                <c:pt idx="185">
                  <c:v>8.2769999999999992</c:v>
                </c:pt>
                <c:pt idx="186">
                  <c:v>8.3309999999999995</c:v>
                </c:pt>
                <c:pt idx="187">
                  <c:v>8.0310000000000006</c:v>
                </c:pt>
                <c:pt idx="188">
                  <c:v>8.5939999999999994</c:v>
                </c:pt>
                <c:pt idx="189">
                  <c:v>8.2360000000000007</c:v>
                </c:pt>
                <c:pt idx="190">
                  <c:v>7.093</c:v>
                </c:pt>
                <c:pt idx="191">
                  <c:v>6.2910000000000004</c:v>
                </c:pt>
                <c:pt idx="192">
                  <c:v>6.6459999999999999</c:v>
                </c:pt>
                <c:pt idx="193">
                  <c:v>7.0819999999999999</c:v>
                </c:pt>
                <c:pt idx="194">
                  <c:v>7.4989999999999997</c:v>
                </c:pt>
                <c:pt idx="195">
                  <c:v>6.3470000000000004</c:v>
                </c:pt>
                <c:pt idx="196">
                  <c:v>6.7240000000000002</c:v>
                </c:pt>
                <c:pt idx="197">
                  <c:v>7.1230000000000002</c:v>
                </c:pt>
                <c:pt idx="198">
                  <c:v>7.1349999999999998</c:v>
                </c:pt>
                <c:pt idx="199">
                  <c:v>7.6349999999999998</c:v>
                </c:pt>
                <c:pt idx="200">
                  <c:v>8.15</c:v>
                </c:pt>
                <c:pt idx="201">
                  <c:v>7.99</c:v>
                </c:pt>
                <c:pt idx="202">
                  <c:v>8.4090000000000007</c:v>
                </c:pt>
                <c:pt idx="203">
                  <c:v>7.8929999999999998</c:v>
                </c:pt>
                <c:pt idx="204">
                  <c:v>8.7780000000000005</c:v>
                </c:pt>
                <c:pt idx="205">
                  <c:v>8.9809999999999999</c:v>
                </c:pt>
                <c:pt idx="206">
                  <c:v>8.0779999999999994</c:v>
                </c:pt>
                <c:pt idx="207">
                  <c:v>7.9340000000000002</c:v>
                </c:pt>
                <c:pt idx="208">
                  <c:v>7.62</c:v>
                </c:pt>
                <c:pt idx="209">
                  <c:v>7.423</c:v>
                </c:pt>
                <c:pt idx="210">
                  <c:v>7.4249999999999998</c:v>
                </c:pt>
                <c:pt idx="211">
                  <c:v>8.1579999999999995</c:v>
                </c:pt>
                <c:pt idx="212">
                  <c:v>7.9390000000000001</c:v>
                </c:pt>
                <c:pt idx="213">
                  <c:v>7.6</c:v>
                </c:pt>
                <c:pt idx="214">
                  <c:v>7.141</c:v>
                </c:pt>
                <c:pt idx="215">
                  <c:v>6.8259999999999996</c:v>
                </c:pt>
                <c:pt idx="216">
                  <c:v>6.2939999999999996</c:v>
                </c:pt>
                <c:pt idx="217">
                  <c:v>7.0620000000000003</c:v>
                </c:pt>
                <c:pt idx="218">
                  <c:v>7.048</c:v>
                </c:pt>
                <c:pt idx="219">
                  <c:v>6.8040000000000003</c:v>
                </c:pt>
                <c:pt idx="220">
                  <c:v>6.6440000000000001</c:v>
                </c:pt>
                <c:pt idx="221">
                  <c:v>8.4160000000000004</c:v>
                </c:pt>
                <c:pt idx="222">
                  <c:v>7.47</c:v>
                </c:pt>
                <c:pt idx="223">
                  <c:v>7.8339999999999996</c:v>
                </c:pt>
                <c:pt idx="224">
                  <c:v>8.468</c:v>
                </c:pt>
                <c:pt idx="225">
                  <c:v>8.4939999999999998</c:v>
                </c:pt>
                <c:pt idx="226">
                  <c:v>9.109</c:v>
                </c:pt>
                <c:pt idx="227">
                  <c:v>9.2539999999999996</c:v>
                </c:pt>
                <c:pt idx="228">
                  <c:v>8.6319999999999997</c:v>
                </c:pt>
                <c:pt idx="229">
                  <c:v>7.8419999999999996</c:v>
                </c:pt>
                <c:pt idx="230">
                  <c:v>8.56</c:v>
                </c:pt>
                <c:pt idx="231">
                  <c:v>9.4049999999999994</c:v>
                </c:pt>
                <c:pt idx="232">
                  <c:v>10.542999999999999</c:v>
                </c:pt>
                <c:pt idx="233">
                  <c:v>10.071</c:v>
                </c:pt>
                <c:pt idx="234">
                  <c:v>10.275</c:v>
                </c:pt>
                <c:pt idx="235">
                  <c:v>11.537000000000001</c:v>
                </c:pt>
                <c:pt idx="236">
                  <c:v>11.568</c:v>
                </c:pt>
                <c:pt idx="237">
                  <c:v>11.843</c:v>
                </c:pt>
                <c:pt idx="238">
                  <c:v>13.239000000000001</c:v>
                </c:pt>
                <c:pt idx="239">
                  <c:v>12.528</c:v>
                </c:pt>
                <c:pt idx="240">
                  <c:v>12.051</c:v>
                </c:pt>
                <c:pt idx="241">
                  <c:v>12.474</c:v>
                </c:pt>
                <c:pt idx="242">
                  <c:v>10.837</c:v>
                </c:pt>
                <c:pt idx="243">
                  <c:v>10.037000000000001</c:v>
                </c:pt>
                <c:pt idx="244">
                  <c:v>10.596</c:v>
                </c:pt>
                <c:pt idx="245">
                  <c:v>12.116</c:v>
                </c:pt>
                <c:pt idx="246">
                  <c:v>13.423</c:v>
                </c:pt>
                <c:pt idx="247">
                  <c:v>12.228999999999999</c:v>
                </c:pt>
                <c:pt idx="248">
                  <c:v>11.973000000000001</c:v>
                </c:pt>
                <c:pt idx="249">
                  <c:v>9.0129999999999999</c:v>
                </c:pt>
                <c:pt idx="250">
                  <c:v>11.069000000000001</c:v>
                </c:pt>
                <c:pt idx="251">
                  <c:v>12.754</c:v>
                </c:pt>
                <c:pt idx="252">
                  <c:v>15.128</c:v>
                </c:pt>
                <c:pt idx="253">
                  <c:v>13.132</c:v>
                </c:pt>
                <c:pt idx="254">
                  <c:v>21.436</c:v>
                </c:pt>
                <c:pt idx="255">
                  <c:v>16.187000000000001</c:v>
                </c:pt>
                <c:pt idx="256">
                  <c:v>16.564</c:v>
                </c:pt>
                <c:pt idx="257">
                  <c:v>16.181000000000001</c:v>
                </c:pt>
                <c:pt idx="258">
                  <c:v>18.591000000000001</c:v>
                </c:pt>
                <c:pt idx="259">
                  <c:v>14.773999999999999</c:v>
                </c:pt>
                <c:pt idx="260">
                  <c:v>14.881</c:v>
                </c:pt>
                <c:pt idx="261">
                  <c:v>15.244</c:v>
                </c:pt>
                <c:pt idx="262">
                  <c:v>13.823</c:v>
                </c:pt>
                <c:pt idx="263">
                  <c:v>15.506</c:v>
                </c:pt>
                <c:pt idx="264">
                  <c:v>16.32</c:v>
                </c:pt>
                <c:pt idx="265">
                  <c:v>15.805</c:v>
                </c:pt>
                <c:pt idx="266">
                  <c:v>16.512</c:v>
                </c:pt>
                <c:pt idx="267">
                  <c:v>14.356999999999999</c:v>
                </c:pt>
                <c:pt idx="268">
                  <c:v>12.65</c:v>
                </c:pt>
                <c:pt idx="269">
                  <c:v>14.382</c:v>
                </c:pt>
                <c:pt idx="270">
                  <c:v>13.898</c:v>
                </c:pt>
                <c:pt idx="271">
                  <c:v>14.766999999999999</c:v>
                </c:pt>
                <c:pt idx="272">
                  <c:v>14.332000000000001</c:v>
                </c:pt>
                <c:pt idx="273">
                  <c:v>14.045999999999999</c:v>
                </c:pt>
                <c:pt idx="274">
                  <c:v>14.292</c:v>
                </c:pt>
                <c:pt idx="275">
                  <c:v>14.282999999999999</c:v>
                </c:pt>
                <c:pt idx="276">
                  <c:v>12.151999999999999</c:v>
                </c:pt>
                <c:pt idx="277">
                  <c:v>10.964</c:v>
                </c:pt>
                <c:pt idx="278">
                  <c:v>10.702999999999999</c:v>
                </c:pt>
                <c:pt idx="279">
                  <c:v>11.808</c:v>
                </c:pt>
                <c:pt idx="280">
                  <c:v>12.305</c:v>
                </c:pt>
                <c:pt idx="281">
                  <c:v>12.471</c:v>
                </c:pt>
                <c:pt idx="282">
                  <c:v>12.696</c:v>
                </c:pt>
                <c:pt idx="283">
                  <c:v>12.162000000000001</c:v>
                </c:pt>
                <c:pt idx="284">
                  <c:v>14.015000000000001</c:v>
                </c:pt>
                <c:pt idx="285">
                  <c:v>15.831</c:v>
                </c:pt>
                <c:pt idx="286">
                  <c:v>16.239999999999998</c:v>
                </c:pt>
                <c:pt idx="287">
                  <c:v>17.552</c:v>
                </c:pt>
                <c:pt idx="288">
                  <c:v>17.495999999999999</c:v>
                </c:pt>
                <c:pt idx="289">
                  <c:v>15.842000000000001</c:v>
                </c:pt>
                <c:pt idx="290">
                  <c:v>16.056000000000001</c:v>
                </c:pt>
                <c:pt idx="291">
                  <c:v>14.176</c:v>
                </c:pt>
                <c:pt idx="292">
                  <c:v>14.497999999999999</c:v>
                </c:pt>
                <c:pt idx="293">
                  <c:v>14.535</c:v>
                </c:pt>
                <c:pt idx="294">
                  <c:v>14.426</c:v>
                </c:pt>
                <c:pt idx="295">
                  <c:v>13.868</c:v>
                </c:pt>
                <c:pt idx="296">
                  <c:v>15.327</c:v>
                </c:pt>
                <c:pt idx="297">
                  <c:v>15.061999999999999</c:v>
                </c:pt>
                <c:pt idx="298">
                  <c:v>15.243</c:v>
                </c:pt>
                <c:pt idx="299">
                  <c:v>14.824</c:v>
                </c:pt>
                <c:pt idx="300">
                  <c:v>16.43</c:v>
                </c:pt>
                <c:pt idx="301">
                  <c:v>14.868</c:v>
                </c:pt>
                <c:pt idx="302">
                  <c:v>14.704000000000001</c:v>
                </c:pt>
                <c:pt idx="303">
                  <c:v>15.403</c:v>
                </c:pt>
                <c:pt idx="304">
                  <c:v>15.821999999999999</c:v>
                </c:pt>
                <c:pt idx="305">
                  <c:v>15.272</c:v>
                </c:pt>
                <c:pt idx="306">
                  <c:v>16.181000000000001</c:v>
                </c:pt>
                <c:pt idx="307">
                  <c:v>16.815000000000001</c:v>
                </c:pt>
                <c:pt idx="308">
                  <c:v>14.826000000000001</c:v>
                </c:pt>
                <c:pt idx="309">
                  <c:v>14.917999999999999</c:v>
                </c:pt>
                <c:pt idx="310">
                  <c:v>16.428000000000001</c:v>
                </c:pt>
                <c:pt idx="311">
                  <c:v>17.311</c:v>
                </c:pt>
                <c:pt idx="312">
                  <c:v>18.847999999999999</c:v>
                </c:pt>
                <c:pt idx="313">
                  <c:v>19.472000000000001</c:v>
                </c:pt>
                <c:pt idx="314">
                  <c:v>20.277999999999999</c:v>
                </c:pt>
                <c:pt idx="315">
                  <c:v>19.7</c:v>
                </c:pt>
                <c:pt idx="316">
                  <c:v>19.914999999999999</c:v>
                </c:pt>
                <c:pt idx="317">
                  <c:v>20.212</c:v>
                </c:pt>
                <c:pt idx="318">
                  <c:v>19.849</c:v>
                </c:pt>
                <c:pt idx="319">
                  <c:v>20.641999999999999</c:v>
                </c:pt>
                <c:pt idx="320">
                  <c:v>22.823</c:v>
                </c:pt>
                <c:pt idx="321">
                  <c:v>19.405999999999999</c:v>
                </c:pt>
                <c:pt idx="322">
                  <c:v>18.61</c:v>
                </c:pt>
                <c:pt idx="323">
                  <c:v>17.931000000000001</c:v>
                </c:pt>
                <c:pt idx="324">
                  <c:v>19.670000000000002</c:v>
                </c:pt>
                <c:pt idx="325">
                  <c:v>17.23</c:v>
                </c:pt>
                <c:pt idx="326">
                  <c:v>17.956</c:v>
                </c:pt>
                <c:pt idx="327">
                  <c:v>16.576000000000001</c:v>
                </c:pt>
                <c:pt idx="328">
                  <c:v>16.613</c:v>
                </c:pt>
                <c:pt idx="329">
                  <c:v>17.344999999999999</c:v>
                </c:pt>
                <c:pt idx="330">
                  <c:v>17.433</c:v>
                </c:pt>
                <c:pt idx="331">
                  <c:v>17.838000000000001</c:v>
                </c:pt>
                <c:pt idx="332">
                  <c:v>18.829000000000001</c:v>
                </c:pt>
                <c:pt idx="333">
                  <c:v>15.082000000000001</c:v>
                </c:pt>
                <c:pt idx="334">
                  <c:v>16.288</c:v>
                </c:pt>
                <c:pt idx="335">
                  <c:v>15.332000000000001</c:v>
                </c:pt>
                <c:pt idx="336">
                  <c:v>14.378</c:v>
                </c:pt>
                <c:pt idx="337">
                  <c:v>14.698</c:v>
                </c:pt>
                <c:pt idx="338">
                  <c:v>14.82</c:v>
                </c:pt>
                <c:pt idx="339">
                  <c:v>16.57</c:v>
                </c:pt>
                <c:pt idx="340">
                  <c:v>17.327000000000002</c:v>
                </c:pt>
                <c:pt idx="341">
                  <c:v>18.341999999999999</c:v>
                </c:pt>
                <c:pt idx="342">
                  <c:v>14.545999999999999</c:v>
                </c:pt>
                <c:pt idx="343">
                  <c:v>15.8</c:v>
                </c:pt>
                <c:pt idx="344">
                  <c:v>16.166</c:v>
                </c:pt>
                <c:pt idx="345">
                  <c:v>16.454999999999998</c:v>
                </c:pt>
                <c:pt idx="346">
                  <c:v>17.265000000000001</c:v>
                </c:pt>
                <c:pt idx="347">
                  <c:v>14.923</c:v>
                </c:pt>
                <c:pt idx="348">
                  <c:v>15.996</c:v>
                </c:pt>
                <c:pt idx="349">
                  <c:v>16.559000000000001</c:v>
                </c:pt>
                <c:pt idx="350">
                  <c:v>16.771999999999998</c:v>
                </c:pt>
                <c:pt idx="351">
                  <c:v>14.863</c:v>
                </c:pt>
                <c:pt idx="352">
                  <c:v>14.247999999999999</c:v>
                </c:pt>
                <c:pt idx="353">
                  <c:v>14.090999999999999</c:v>
                </c:pt>
                <c:pt idx="354">
                  <c:v>13.156000000000001</c:v>
                </c:pt>
                <c:pt idx="355">
                  <c:v>13.779</c:v>
                </c:pt>
                <c:pt idx="356">
                  <c:v>14.955</c:v>
                </c:pt>
                <c:pt idx="357">
                  <c:v>15.342000000000001</c:v>
                </c:pt>
                <c:pt idx="358">
                  <c:v>14.21</c:v>
                </c:pt>
                <c:pt idx="359">
                  <c:v>12.627000000000001</c:v>
                </c:pt>
                <c:pt idx="360">
                  <c:v>13.007999999999999</c:v>
                </c:pt>
                <c:pt idx="361">
                  <c:v>10.121</c:v>
                </c:pt>
                <c:pt idx="362">
                  <c:v>10.375</c:v>
                </c:pt>
                <c:pt idx="363">
                  <c:v>8.9740000000000002</c:v>
                </c:pt>
                <c:pt idx="364">
                  <c:v>8.25</c:v>
                </c:pt>
                <c:pt idx="365">
                  <c:v>7.0590000000000002</c:v>
                </c:pt>
                <c:pt idx="366">
                  <c:v>8.1669999999999998</c:v>
                </c:pt>
                <c:pt idx="367">
                  <c:v>7.63</c:v>
                </c:pt>
                <c:pt idx="368">
                  <c:v>8.3209999999999997</c:v>
                </c:pt>
                <c:pt idx="369">
                  <c:v>7.0759999999999996</c:v>
                </c:pt>
                <c:pt idx="370">
                  <c:v>6.7270000000000003</c:v>
                </c:pt>
                <c:pt idx="371">
                  <c:v>5.6040000000000001</c:v>
                </c:pt>
                <c:pt idx="372">
                  <c:v>7.2949999999999999</c:v>
                </c:pt>
                <c:pt idx="373">
                  <c:v>6.5259999999999998</c:v>
                </c:pt>
                <c:pt idx="374">
                  <c:v>7.4880000000000004</c:v>
                </c:pt>
                <c:pt idx="375">
                  <c:v>7.0430000000000001</c:v>
                </c:pt>
                <c:pt idx="376">
                  <c:v>7.15</c:v>
                </c:pt>
                <c:pt idx="377">
                  <c:v>6.3940000000000001</c:v>
                </c:pt>
                <c:pt idx="378">
                  <c:v>5.681</c:v>
                </c:pt>
                <c:pt idx="379">
                  <c:v>5.1180000000000003</c:v>
                </c:pt>
                <c:pt idx="380">
                  <c:v>4.2789999999999999</c:v>
                </c:pt>
                <c:pt idx="381">
                  <c:v>3.88</c:v>
                </c:pt>
                <c:pt idx="382">
                  <c:v>4.391</c:v>
                </c:pt>
                <c:pt idx="383">
                  <c:v>4.6660000000000004</c:v>
                </c:pt>
                <c:pt idx="384">
                  <c:v>4.2910000000000004</c:v>
                </c:pt>
                <c:pt idx="385">
                  <c:v>3.9510000000000001</c:v>
                </c:pt>
                <c:pt idx="386">
                  <c:v>3.8820000000000001</c:v>
                </c:pt>
                <c:pt idx="387">
                  <c:v>3.8530000000000002</c:v>
                </c:pt>
                <c:pt idx="388">
                  <c:v>3.5630000000000002</c:v>
                </c:pt>
                <c:pt idx="389">
                  <c:v>3.4449999999999998</c:v>
                </c:pt>
                <c:pt idx="390">
                  <c:v>3.2029999999999998</c:v>
                </c:pt>
                <c:pt idx="391">
                  <c:v>3.3330000000000002</c:v>
                </c:pt>
                <c:pt idx="392">
                  <c:v>2.8679999999999999</c:v>
                </c:pt>
                <c:pt idx="393">
                  <c:v>2.5830000000000002</c:v>
                </c:pt>
                <c:pt idx="394">
                  <c:v>2.508</c:v>
                </c:pt>
                <c:pt idx="395">
                  <c:v>2.62</c:v>
                </c:pt>
                <c:pt idx="396">
                  <c:v>2.629</c:v>
                </c:pt>
                <c:pt idx="397">
                  <c:v>2.3919999999999999</c:v>
                </c:pt>
                <c:pt idx="398">
                  <c:v>2.5289999999999999</c:v>
                </c:pt>
                <c:pt idx="399">
                  <c:v>2.5859999999999999</c:v>
                </c:pt>
                <c:pt idx="400">
                  <c:v>2.218</c:v>
                </c:pt>
                <c:pt idx="401">
                  <c:v>2.718</c:v>
                </c:pt>
                <c:pt idx="402">
                  <c:v>2.508</c:v>
                </c:pt>
                <c:pt idx="403">
                  <c:v>2.7029999999999998</c:v>
                </c:pt>
                <c:pt idx="404">
                  <c:v>2.8650000000000002</c:v>
                </c:pt>
                <c:pt idx="405">
                  <c:v>2.8239999999999998</c:v>
                </c:pt>
                <c:pt idx="406">
                  <c:v>2.6829999999999998</c:v>
                </c:pt>
                <c:pt idx="407">
                  <c:v>2.847</c:v>
                </c:pt>
                <c:pt idx="408">
                  <c:v>2.7149999999999999</c:v>
                </c:pt>
                <c:pt idx="409">
                  <c:v>2.5640000000000001</c:v>
                </c:pt>
                <c:pt idx="410">
                  <c:v>2.391</c:v>
                </c:pt>
                <c:pt idx="411">
                  <c:v>2.1520000000000001</c:v>
                </c:pt>
                <c:pt idx="412">
                  <c:v>1.931</c:v>
                </c:pt>
                <c:pt idx="413">
                  <c:v>2.1539999999999999</c:v>
                </c:pt>
                <c:pt idx="414">
                  <c:v>2.2160000000000002</c:v>
                </c:pt>
                <c:pt idx="415">
                  <c:v>2.121</c:v>
                </c:pt>
                <c:pt idx="416">
                  <c:v>2.403</c:v>
                </c:pt>
                <c:pt idx="417">
                  <c:v>2.1850000000000001</c:v>
                </c:pt>
                <c:pt idx="418">
                  <c:v>2.3159999999999998</c:v>
                </c:pt>
                <c:pt idx="419">
                  <c:v>1.903</c:v>
                </c:pt>
                <c:pt idx="420">
                  <c:v>2.1280000000000001</c:v>
                </c:pt>
                <c:pt idx="421">
                  <c:v>2.1720000000000002</c:v>
                </c:pt>
                <c:pt idx="422">
                  <c:v>1.921</c:v>
                </c:pt>
                <c:pt idx="423">
                  <c:v>1.5780000000000001</c:v>
                </c:pt>
                <c:pt idx="424">
                  <c:v>1.4279999999999999</c:v>
                </c:pt>
                <c:pt idx="425">
                  <c:v>1.363</c:v>
                </c:pt>
                <c:pt idx="426">
                  <c:v>1.4490000000000001</c:v>
                </c:pt>
                <c:pt idx="427">
                  <c:v>1.417</c:v>
                </c:pt>
                <c:pt idx="428">
                  <c:v>1.222</c:v>
                </c:pt>
                <c:pt idx="429">
                  <c:v>1.34</c:v>
                </c:pt>
                <c:pt idx="430">
                  <c:v>1.526</c:v>
                </c:pt>
                <c:pt idx="431">
                  <c:v>1.6220000000000001</c:v>
                </c:pt>
                <c:pt idx="432">
                  <c:v>1.657</c:v>
                </c:pt>
                <c:pt idx="433">
                  <c:v>1.577</c:v>
                </c:pt>
                <c:pt idx="434">
                  <c:v>1.5740000000000001</c:v>
                </c:pt>
                <c:pt idx="435">
                  <c:v>1.145</c:v>
                </c:pt>
                <c:pt idx="436">
                  <c:v>1.333</c:v>
                </c:pt>
                <c:pt idx="437">
                  <c:v>1.325</c:v>
                </c:pt>
                <c:pt idx="438">
                  <c:v>1.2549999999999999</c:v>
                </c:pt>
                <c:pt idx="439">
                  <c:v>1.048</c:v>
                </c:pt>
                <c:pt idx="440">
                  <c:v>0.96399999999999997</c:v>
                </c:pt>
                <c:pt idx="441">
                  <c:v>0.69199999999999995</c:v>
                </c:pt>
                <c:pt idx="442">
                  <c:v>0.68100000000000005</c:v>
                </c:pt>
                <c:pt idx="443">
                  <c:v>0.67300000000000004</c:v>
                </c:pt>
                <c:pt idx="444">
                  <c:v>0.60299999999999998</c:v>
                </c:pt>
                <c:pt idx="445">
                  <c:v>0.64200000000000002</c:v>
                </c:pt>
                <c:pt idx="446">
                  <c:v>0.60399999999999998</c:v>
                </c:pt>
                <c:pt idx="447">
                  <c:v>0.61699999999999999</c:v>
                </c:pt>
                <c:pt idx="448">
                  <c:v>0.51500000000000001</c:v>
                </c:pt>
                <c:pt idx="449">
                  <c:v>0.49</c:v>
                </c:pt>
                <c:pt idx="450">
                  <c:v>0.52500000000000002</c:v>
                </c:pt>
                <c:pt idx="451">
                  <c:v>0.58299999999999996</c:v>
                </c:pt>
                <c:pt idx="452">
                  <c:v>0.60699999999999998</c:v>
                </c:pt>
                <c:pt idx="453">
                  <c:v>0.60599999999999998</c:v>
                </c:pt>
                <c:pt idx="454">
                  <c:v>0.59799999999999998</c:v>
                </c:pt>
                <c:pt idx="455">
                  <c:v>0.64400000000000002</c:v>
                </c:pt>
                <c:pt idx="456">
                  <c:v>0.63800000000000001</c:v>
                </c:pt>
                <c:pt idx="457">
                  <c:v>0.69799999999999995</c:v>
                </c:pt>
                <c:pt idx="458">
                  <c:v>0.625</c:v>
                </c:pt>
                <c:pt idx="459">
                  <c:v>0.623</c:v>
                </c:pt>
                <c:pt idx="460">
                  <c:v>0.65700000000000003</c:v>
                </c:pt>
                <c:pt idx="461">
                  <c:v>0.66400000000000003</c:v>
                </c:pt>
                <c:pt idx="462">
                  <c:v>0.66700000000000004</c:v>
                </c:pt>
                <c:pt idx="463">
                  <c:v>0.66500000000000004</c:v>
                </c:pt>
                <c:pt idx="464">
                  <c:v>0.627</c:v>
                </c:pt>
                <c:pt idx="465">
                  <c:v>0.67500000000000004</c:v>
                </c:pt>
                <c:pt idx="466">
                  <c:v>0.71399999999999997</c:v>
                </c:pt>
                <c:pt idx="467">
                  <c:v>0.66300000000000003</c:v>
                </c:pt>
                <c:pt idx="468">
                  <c:v>0.65700000000000003</c:v>
                </c:pt>
                <c:pt idx="469">
                  <c:v>0.70399999999999996</c:v>
                </c:pt>
                <c:pt idx="470">
                  <c:v>0.71899999999999997</c:v>
                </c:pt>
                <c:pt idx="471">
                  <c:v>0.73599999999999999</c:v>
                </c:pt>
                <c:pt idx="472">
                  <c:v>0.76100000000000001</c:v>
                </c:pt>
                <c:pt idx="473">
                  <c:v>0.76</c:v>
                </c:pt>
                <c:pt idx="474">
                  <c:v>0.748</c:v>
                </c:pt>
                <c:pt idx="475">
                  <c:v>0.82699999999999996</c:v>
                </c:pt>
                <c:pt idx="476">
                  <c:v>0.77600000000000002</c:v>
                </c:pt>
                <c:pt idx="477">
                  <c:v>0.67700000000000005</c:v>
                </c:pt>
                <c:pt idx="478">
                  <c:v>0.63900000000000001</c:v>
                </c:pt>
                <c:pt idx="479">
                  <c:v>0.84499999999999997</c:v>
                </c:pt>
                <c:pt idx="480">
                  <c:v>0.877</c:v>
                </c:pt>
                <c:pt idx="481">
                  <c:v>1.0569999999999999</c:v>
                </c:pt>
                <c:pt idx="482">
                  <c:v>1.117</c:v>
                </c:pt>
                <c:pt idx="483">
                  <c:v>1.2509999999999999</c:v>
                </c:pt>
                <c:pt idx="484">
                  <c:v>1.2829999999999999</c:v>
                </c:pt>
                <c:pt idx="485">
                  <c:v>1.254</c:v>
                </c:pt>
                <c:pt idx="486">
                  <c:v>1.2709999999999999</c:v>
                </c:pt>
                <c:pt idx="487">
                  <c:v>1.369</c:v>
                </c:pt>
                <c:pt idx="488">
                  <c:v>1.395</c:v>
                </c:pt>
                <c:pt idx="489">
                  <c:v>1.403</c:v>
                </c:pt>
                <c:pt idx="490">
                  <c:v>1.411</c:v>
                </c:pt>
                <c:pt idx="491">
                  <c:v>1.2689999999999999</c:v>
                </c:pt>
                <c:pt idx="492">
                  <c:v>1.391</c:v>
                </c:pt>
                <c:pt idx="493">
                  <c:v>1.411</c:v>
                </c:pt>
                <c:pt idx="494">
                  <c:v>1.6419999999999999</c:v>
                </c:pt>
                <c:pt idx="495">
                  <c:v>1.7749999999999999</c:v>
                </c:pt>
                <c:pt idx="496">
                  <c:v>1.694</c:v>
                </c:pt>
                <c:pt idx="497">
                  <c:v>1.534</c:v>
                </c:pt>
                <c:pt idx="498">
                  <c:v>1.518</c:v>
                </c:pt>
                <c:pt idx="499">
                  <c:v>1.7569999999999999</c:v>
                </c:pt>
                <c:pt idx="500">
                  <c:v>2.4620000000000002</c:v>
                </c:pt>
                <c:pt idx="501">
                  <c:v>2.3290000000000002</c:v>
                </c:pt>
                <c:pt idx="502">
                  <c:v>2.629</c:v>
                </c:pt>
                <c:pt idx="503">
                  <c:v>2.7109999999999999</c:v>
                </c:pt>
                <c:pt idx="504">
                  <c:v>2.3809999999999998</c:v>
                </c:pt>
                <c:pt idx="505">
                  <c:v>2.88</c:v>
                </c:pt>
                <c:pt idx="506">
                  <c:v>2.3740000000000001</c:v>
                </c:pt>
                <c:pt idx="507">
                  <c:v>2.85</c:v>
                </c:pt>
                <c:pt idx="508">
                  <c:v>3.1709999999999998</c:v>
                </c:pt>
                <c:pt idx="509">
                  <c:v>1.8839999999999999</c:v>
                </c:pt>
                <c:pt idx="510">
                  <c:v>4.5620000000000003</c:v>
                </c:pt>
                <c:pt idx="511">
                  <c:v>4.8600000000000003</c:v>
                </c:pt>
                <c:pt idx="512">
                  <c:v>7.2450000000000001</c:v>
                </c:pt>
                <c:pt idx="513">
                  <c:v>8.8040000000000003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C-481D-834E-49AEAC61574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2.272237316335449</c:v>
                </c:pt>
                <c:pt idx="1">
                  <c:v>2.2786759456482453</c:v>
                </c:pt>
                <c:pt idx="2">
                  <c:v>2.344212864292313</c:v>
                </c:pt>
                <c:pt idx="3">
                  <c:v>2.3217826393126177</c:v>
                </c:pt>
                <c:pt idx="4">
                  <c:v>2.2820521400182958</c:v>
                </c:pt>
                <c:pt idx="5">
                  <c:v>2.2477126202257645</c:v>
                </c:pt>
                <c:pt idx="6">
                  <c:v>2.2807455565223083</c:v>
                </c:pt>
                <c:pt idx="7">
                  <c:v>2.357318264328252</c:v>
                </c:pt>
                <c:pt idx="8">
                  <c:v>2.416831708825236</c:v>
                </c:pt>
                <c:pt idx="9">
                  <c:v>2.4261743017246444</c:v>
                </c:pt>
                <c:pt idx="10">
                  <c:v>2.4377298864054957</c:v>
                </c:pt>
                <c:pt idx="11">
                  <c:v>2.4686017629918053</c:v>
                </c:pt>
                <c:pt idx="12">
                  <c:v>2.4683112421668052</c:v>
                </c:pt>
                <c:pt idx="13">
                  <c:v>2.4892383413940773</c:v>
                </c:pt>
                <c:pt idx="14">
                  <c:v>2.4937823782763386</c:v>
                </c:pt>
                <c:pt idx="15">
                  <c:v>2.5385839991243162</c:v>
                </c:pt>
                <c:pt idx="16">
                  <c:v>2.5361968296755624</c:v>
                </c:pt>
                <c:pt idx="17">
                  <c:v>2.4943484766975064</c:v>
                </c:pt>
                <c:pt idx="18">
                  <c:v>2.5163647004622121</c:v>
                </c:pt>
                <c:pt idx="19">
                  <c:v>2.5043830645642529</c:v>
                </c:pt>
                <c:pt idx="20">
                  <c:v>2.5408157713636688</c:v>
                </c:pt>
                <c:pt idx="21">
                  <c:v>2.4737582728930807</c:v>
                </c:pt>
                <c:pt idx="22">
                  <c:v>2.4837413516016369</c:v>
                </c:pt>
                <c:pt idx="23">
                  <c:v>2.5734289893098552</c:v>
                </c:pt>
                <c:pt idx="24">
                  <c:v>2.6758688657542997</c:v>
                </c:pt>
                <c:pt idx="25">
                  <c:v>2.7592678854370583</c:v>
                </c:pt>
                <c:pt idx="26">
                  <c:v>2.7987633774370577</c:v>
                </c:pt>
                <c:pt idx="27">
                  <c:v>2.8423008290550125</c:v>
                </c:pt>
                <c:pt idx="28">
                  <c:v>2.9505000680162312</c:v>
                </c:pt>
                <c:pt idx="29">
                  <c:v>2.8505136104010895</c:v>
                </c:pt>
                <c:pt idx="30">
                  <c:v>2.8775657985676273</c:v>
                </c:pt>
                <c:pt idx="31">
                  <c:v>2.8969226511488544</c:v>
                </c:pt>
                <c:pt idx="32">
                  <c:v>2.8017269754987781</c:v>
                </c:pt>
                <c:pt idx="33">
                  <c:v>2.7341337179945766</c:v>
                </c:pt>
                <c:pt idx="34">
                  <c:v>2.7451154812081078</c:v>
                </c:pt>
                <c:pt idx="35">
                  <c:v>2.6238751310323889</c:v>
                </c:pt>
                <c:pt idx="36">
                  <c:v>2.4925520818181588</c:v>
                </c:pt>
                <c:pt idx="37">
                  <c:v>2.4292198067128958</c:v>
                </c:pt>
                <c:pt idx="38">
                  <c:v>2.3728448345404818</c:v>
                </c:pt>
                <c:pt idx="39">
                  <c:v>2.3359136185404816</c:v>
                </c:pt>
                <c:pt idx="40">
                  <c:v>2.3830917080015599</c:v>
                </c:pt>
                <c:pt idx="41">
                  <c:v>2.4171728480941188</c:v>
                </c:pt>
                <c:pt idx="42">
                  <c:v>2.4446270809627015</c:v>
                </c:pt>
                <c:pt idx="43">
                  <c:v>2.5209757707059692</c:v>
                </c:pt>
                <c:pt idx="44">
                  <c:v>2.4910708758462894</c:v>
                </c:pt>
                <c:pt idx="45">
                  <c:v>2.442788861626735</c:v>
                </c:pt>
                <c:pt idx="46">
                  <c:v>2.5424456904582562</c:v>
                </c:pt>
                <c:pt idx="47">
                  <c:v>2.533484743575305</c:v>
                </c:pt>
                <c:pt idx="48">
                  <c:v>2.5271278357887437</c:v>
                </c:pt>
                <c:pt idx="49">
                  <c:v>2.6016284185225564</c:v>
                </c:pt>
                <c:pt idx="50">
                  <c:v>2.6826949921316401</c:v>
                </c:pt>
                <c:pt idx="51">
                  <c:v>2.6041825882976539</c:v>
                </c:pt>
                <c:pt idx="52">
                  <c:v>2.6685424742297803</c:v>
                </c:pt>
                <c:pt idx="53">
                  <c:v>2.5501271219387318</c:v>
                </c:pt>
                <c:pt idx="54">
                  <c:v>2.5898096251973715</c:v>
                </c:pt>
                <c:pt idx="55">
                  <c:v>2.553231524140994</c:v>
                </c:pt>
                <c:pt idx="56">
                  <c:v>2.5789786582915069</c:v>
                </c:pt>
                <c:pt idx="57">
                  <c:v>2.5873254130804977</c:v>
                </c:pt>
                <c:pt idx="58">
                  <c:v>2.6456958930228844</c:v>
                </c:pt>
                <c:pt idx="59">
                  <c:v>2.5757798270906811</c:v>
                </c:pt>
                <c:pt idx="60">
                  <c:v>2.6589481766630954</c:v>
                </c:pt>
                <c:pt idx="61">
                  <c:v>2.5705198142930952</c:v>
                </c:pt>
                <c:pt idx="62">
                  <c:v>2.5916754711768157</c:v>
                </c:pt>
                <c:pt idx="63">
                  <c:v>2.6782827553579649</c:v>
                </c:pt>
                <c:pt idx="64">
                  <c:v>2.6462588779875622</c:v>
                </c:pt>
                <c:pt idx="65">
                  <c:v>2.6563278094279292</c:v>
                </c:pt>
                <c:pt idx="66">
                  <c:v>2.6619872945840628</c:v>
                </c:pt>
                <c:pt idx="67">
                  <c:v>2.6910279969579904</c:v>
                </c:pt>
                <c:pt idx="68">
                  <c:v>2.7224868596019904</c:v>
                </c:pt>
                <c:pt idx="69">
                  <c:v>2.7114743430791393</c:v>
                </c:pt>
                <c:pt idx="70">
                  <c:v>2.7078568640440981</c:v>
                </c:pt>
                <c:pt idx="71">
                  <c:v>2.7745505497516705</c:v>
                </c:pt>
                <c:pt idx="72">
                  <c:v>2.781378107718337</c:v>
                </c:pt>
                <c:pt idx="73">
                  <c:v>2.7877599497503884</c:v>
                </c:pt>
                <c:pt idx="74">
                  <c:v>2.820630924739302</c:v>
                </c:pt>
                <c:pt idx="75">
                  <c:v>2.8198825793683038</c:v>
                </c:pt>
                <c:pt idx="76">
                  <c:v>2.8035757558372687</c:v>
                </c:pt>
                <c:pt idx="77">
                  <c:v>2.8031616645804314</c:v>
                </c:pt>
                <c:pt idx="78">
                  <c:v>2.8056925283812051</c:v>
                </c:pt>
                <c:pt idx="79">
                  <c:v>2.8210019029587312</c:v>
                </c:pt>
                <c:pt idx="80">
                  <c:v>2.8482747630197069</c:v>
                </c:pt>
                <c:pt idx="81">
                  <c:v>2.8243116911769555</c:v>
                </c:pt>
                <c:pt idx="82">
                  <c:v>2.8065224658463999</c:v>
                </c:pt>
                <c:pt idx="83">
                  <c:v>2.7989160944778066</c:v>
                </c:pt>
                <c:pt idx="84">
                  <c:v>2.8279835641607547</c:v>
                </c:pt>
                <c:pt idx="85">
                  <c:v>2.8139568376292359</c:v>
                </c:pt>
                <c:pt idx="86">
                  <c:v>2.7393307226634134</c:v>
                </c:pt>
                <c:pt idx="87">
                  <c:v>2.7882139132668247</c:v>
                </c:pt>
                <c:pt idx="88">
                  <c:v>2.7042430196506677</c:v>
                </c:pt>
                <c:pt idx="89">
                  <c:v>2.7069122385349069</c:v>
                </c:pt>
                <c:pt idx="90">
                  <c:v>2.7118436468308711</c:v>
                </c:pt>
                <c:pt idx="91">
                  <c:v>2.700626296161682</c:v>
                </c:pt>
                <c:pt idx="92">
                  <c:v>2.6566772964615786</c:v>
                </c:pt>
                <c:pt idx="93">
                  <c:v>2.737158103632606</c:v>
                </c:pt>
                <c:pt idx="94">
                  <c:v>2.7489988182745817</c:v>
                </c:pt>
                <c:pt idx="95">
                  <c:v>2.7244961860110677</c:v>
                </c:pt>
                <c:pt idx="96">
                  <c:v>2.7389997737586085</c:v>
                </c:pt>
                <c:pt idx="97">
                  <c:v>2.7143243912446944</c:v>
                </c:pt>
                <c:pt idx="98">
                  <c:v>2.7393295363996941</c:v>
                </c:pt>
                <c:pt idx="99">
                  <c:v>2.7750153387771341</c:v>
                </c:pt>
                <c:pt idx="100">
                  <c:v>2.7378501555031134</c:v>
                </c:pt>
                <c:pt idx="101">
                  <c:v>2.7405600172134101</c:v>
                </c:pt>
                <c:pt idx="102">
                  <c:v>2.7582657983490568</c:v>
                </c:pt>
                <c:pt idx="103">
                  <c:v>2.766093120977783</c:v>
                </c:pt>
                <c:pt idx="104">
                  <c:v>2.7704258860527831</c:v>
                </c:pt>
                <c:pt idx="105">
                  <c:v>2.7450155513664889</c:v>
                </c:pt>
                <c:pt idx="106">
                  <c:v>2.7348468665895171</c:v>
                </c:pt>
                <c:pt idx="107">
                  <c:v>2.7456742856830938</c:v>
                </c:pt>
                <c:pt idx="108">
                  <c:v>2.742045129508166</c:v>
                </c:pt>
                <c:pt idx="109">
                  <c:v>2.7478080910144813</c:v>
                </c:pt>
                <c:pt idx="110">
                  <c:v>2.7729866478566962</c:v>
                </c:pt>
                <c:pt idx="111">
                  <c:v>2.7563725312852676</c:v>
                </c:pt>
                <c:pt idx="112">
                  <c:v>2.7957850861324895</c:v>
                </c:pt>
                <c:pt idx="113">
                  <c:v>2.7846066764631625</c:v>
                </c:pt>
                <c:pt idx="114">
                  <c:v>2.7742968355872497</c:v>
                </c:pt>
                <c:pt idx="115">
                  <c:v>2.7402615642550407</c:v>
                </c:pt>
                <c:pt idx="116">
                  <c:v>2.7495022096858501</c:v>
                </c:pt>
                <c:pt idx="117">
                  <c:v>2.7619076418408595</c:v>
                </c:pt>
                <c:pt idx="118">
                  <c:v>2.7622778988667536</c:v>
                </c:pt>
                <c:pt idx="119">
                  <c:v>2.7256926489228483</c:v>
                </c:pt>
                <c:pt idx="120">
                  <c:v>2.6904243885747818</c:v>
                </c:pt>
                <c:pt idx="121">
                  <c:v>2.7070618969663904</c:v>
                </c:pt>
                <c:pt idx="122">
                  <c:v>2.7703942373236203</c:v>
                </c:pt>
                <c:pt idx="123">
                  <c:v>2.8788761937386678</c:v>
                </c:pt>
                <c:pt idx="124">
                  <c:v>2.7210323191205568</c:v>
                </c:pt>
                <c:pt idx="125">
                  <c:v>2.7160030573444187</c:v>
                </c:pt>
                <c:pt idx="126">
                  <c:v>2.7258092389591875</c:v>
                </c:pt>
                <c:pt idx="127">
                  <c:v>2.708172034304015</c:v>
                </c:pt>
                <c:pt idx="128">
                  <c:v>2.6590182434449297</c:v>
                </c:pt>
                <c:pt idx="129">
                  <c:v>2.7128194243752706</c:v>
                </c:pt>
                <c:pt idx="130">
                  <c:v>2.7289226602406811</c:v>
                </c:pt>
                <c:pt idx="131">
                  <c:v>2.7484682830925333</c:v>
                </c:pt>
                <c:pt idx="132">
                  <c:v>2.7479131988471246</c:v>
                </c:pt>
                <c:pt idx="133">
                  <c:v>2.9050461355277792</c:v>
                </c:pt>
                <c:pt idx="134">
                  <c:v>2.9673120491860399</c:v>
                </c:pt>
                <c:pt idx="135">
                  <c:v>2.8768329266965758</c:v>
                </c:pt>
                <c:pt idx="136">
                  <c:v>2.7983064737965755</c:v>
                </c:pt>
                <c:pt idx="137">
                  <c:v>2.7962427828582799</c:v>
                </c:pt>
                <c:pt idx="138">
                  <c:v>2.7471187322826158</c:v>
                </c:pt>
                <c:pt idx="139">
                  <c:v>2.7400873617428569</c:v>
                </c:pt>
                <c:pt idx="140">
                  <c:v>2.7662402384887894</c:v>
                </c:pt>
                <c:pt idx="141">
                  <c:v>2.8183045675230298</c:v>
                </c:pt>
                <c:pt idx="142">
                  <c:v>2.7820318317430672</c:v>
                </c:pt>
                <c:pt idx="143">
                  <c:v>2.8142297894530404</c:v>
                </c:pt>
                <c:pt idx="144">
                  <c:v>2.8238368511360554</c:v>
                </c:pt>
                <c:pt idx="145">
                  <c:v>2.7615276582043049</c:v>
                </c:pt>
                <c:pt idx="146">
                  <c:v>2.7588457086518292</c:v>
                </c:pt>
                <c:pt idx="147">
                  <c:v>2.7678064702392087</c:v>
                </c:pt>
                <c:pt idx="148">
                  <c:v>2.7951864317029762</c:v>
                </c:pt>
                <c:pt idx="149">
                  <c:v>2.7147080094944127</c:v>
                </c:pt>
                <c:pt idx="150">
                  <c:v>2.6781410624834456</c:v>
                </c:pt>
                <c:pt idx="151">
                  <c:v>2.6828438288582932</c:v>
                </c:pt>
                <c:pt idx="152">
                  <c:v>2.6828438288582932</c:v>
                </c:pt>
                <c:pt idx="153">
                  <c:v>2.6944017380374827</c:v>
                </c:pt>
                <c:pt idx="154">
                  <c:v>2.6568674528877234</c:v>
                </c:pt>
                <c:pt idx="155">
                  <c:v>2.6679372787941347</c:v>
                </c:pt>
                <c:pt idx="156">
                  <c:v>2.6516359977456947</c:v>
                </c:pt>
                <c:pt idx="157">
                  <c:v>2.7040221438068874</c:v>
                </c:pt>
                <c:pt idx="158">
                  <c:v>2.712092950054144</c:v>
                </c:pt>
                <c:pt idx="159">
                  <c:v>2.7044355910094695</c:v>
                </c:pt>
                <c:pt idx="160">
                  <c:v>2.7441141720699274</c:v>
                </c:pt>
                <c:pt idx="161">
                  <c:v>2.6928249135024513</c:v>
                </c:pt>
                <c:pt idx="162">
                  <c:v>2.626588494036358</c:v>
                </c:pt>
                <c:pt idx="163">
                  <c:v>2.6388115337188345</c:v>
                </c:pt>
                <c:pt idx="164">
                  <c:v>2.7018632413180144</c:v>
                </c:pt>
                <c:pt idx="165">
                  <c:v>2.7171685472767755</c:v>
                </c:pt>
                <c:pt idx="166">
                  <c:v>2.6835621132198746</c:v>
                </c:pt>
                <c:pt idx="167">
                  <c:v>2.6934806102595004</c:v>
                </c:pt>
                <c:pt idx="168">
                  <c:v>2.6453028983252111</c:v>
                </c:pt>
                <c:pt idx="169">
                  <c:v>2.5761994083161608</c:v>
                </c:pt>
                <c:pt idx="170">
                  <c:v>2.5803581683292749</c:v>
                </c:pt>
                <c:pt idx="171">
                  <c:v>2.5431564206960551</c:v>
                </c:pt>
                <c:pt idx="172">
                  <c:v>2.5235889010691315</c:v>
                </c:pt>
                <c:pt idx="173">
                  <c:v>2.5528204092527216</c:v>
                </c:pt>
                <c:pt idx="174">
                  <c:v>2.5350369476027219</c:v>
                </c:pt>
                <c:pt idx="175">
                  <c:v>2.5058068770636024</c:v>
                </c:pt>
                <c:pt idx="176">
                  <c:v>2.4385867286964622</c:v>
                </c:pt>
                <c:pt idx="177">
                  <c:v>2.4131418599456929</c:v>
                </c:pt>
                <c:pt idx="178">
                  <c:v>2.4221349445687452</c:v>
                </c:pt>
                <c:pt idx="179">
                  <c:v>2.4414605663693574</c:v>
                </c:pt>
                <c:pt idx="180">
                  <c:v>2.4765710952543927</c:v>
                </c:pt>
                <c:pt idx="181">
                  <c:v>2.4456447147701819</c:v>
                </c:pt>
                <c:pt idx="182">
                  <c:v>2.4055511148800393</c:v>
                </c:pt>
                <c:pt idx="183">
                  <c:v>2.3926784191086812</c:v>
                </c:pt>
                <c:pt idx="184">
                  <c:v>2.416859830743455</c:v>
                </c:pt>
                <c:pt idx="185">
                  <c:v>2.4152969132043323</c:v>
                </c:pt>
                <c:pt idx="186">
                  <c:v>2.5132473214630839</c:v>
                </c:pt>
                <c:pt idx="187">
                  <c:v>2.475529849167994</c:v>
                </c:pt>
                <c:pt idx="188">
                  <c:v>2.5012962880394225</c:v>
                </c:pt>
                <c:pt idx="189">
                  <c:v>2.4170569258422856</c:v>
                </c:pt>
                <c:pt idx="190">
                  <c:v>2.3126893862173441</c:v>
                </c:pt>
                <c:pt idx="191">
                  <c:v>2.2651176723294646</c:v>
                </c:pt>
                <c:pt idx="192">
                  <c:v>2.2776392439259863</c:v>
                </c:pt>
                <c:pt idx="193">
                  <c:v>2.3060195489374906</c:v>
                </c:pt>
                <c:pt idx="194">
                  <c:v>2.3610787860276981</c:v>
                </c:pt>
                <c:pt idx="195">
                  <c:v>2.2564202083876981</c:v>
                </c:pt>
                <c:pt idx="196">
                  <c:v>2.286012428625996</c:v>
                </c:pt>
                <c:pt idx="197">
                  <c:v>2.3204276914702571</c:v>
                </c:pt>
                <c:pt idx="198">
                  <c:v>2.3117110808560484</c:v>
                </c:pt>
                <c:pt idx="199">
                  <c:v>2.3255386941913674</c:v>
                </c:pt>
                <c:pt idx="200">
                  <c:v>2.3402678585537022</c:v>
                </c:pt>
                <c:pt idx="201">
                  <c:v>2.3363750359205993</c:v>
                </c:pt>
                <c:pt idx="202">
                  <c:v>2.3523512464191323</c:v>
                </c:pt>
                <c:pt idx="203">
                  <c:v>2.3278419533747381</c:v>
                </c:pt>
                <c:pt idx="204">
                  <c:v>2.3679240924340319</c:v>
                </c:pt>
                <c:pt idx="205">
                  <c:v>2.4264202016496283</c:v>
                </c:pt>
                <c:pt idx="206">
                  <c:v>2.3930465429647727</c:v>
                </c:pt>
                <c:pt idx="207">
                  <c:v>2.3636590734332454</c:v>
                </c:pt>
                <c:pt idx="208">
                  <c:v>2.3537689156148618</c:v>
                </c:pt>
                <c:pt idx="209">
                  <c:v>2.3441482204143562</c:v>
                </c:pt>
                <c:pt idx="210">
                  <c:v>2.3289413258229277</c:v>
                </c:pt>
                <c:pt idx="211">
                  <c:v>2.3468227861697089</c:v>
                </c:pt>
                <c:pt idx="212">
                  <c:v>2.2997375503743935</c:v>
                </c:pt>
                <c:pt idx="213">
                  <c:v>2.3073247593099451</c:v>
                </c:pt>
                <c:pt idx="214">
                  <c:v>2.2866441412567711</c:v>
                </c:pt>
                <c:pt idx="215">
                  <c:v>2.2515432096211621</c:v>
                </c:pt>
                <c:pt idx="216">
                  <c:v>2.2086550609677258</c:v>
                </c:pt>
                <c:pt idx="217">
                  <c:v>2.2475924467099233</c:v>
                </c:pt>
                <c:pt idx="218">
                  <c:v>2.2375940144133928</c:v>
                </c:pt>
                <c:pt idx="219">
                  <c:v>2.2343710224385731</c:v>
                </c:pt>
                <c:pt idx="220">
                  <c:v>2.2265479008304472</c:v>
                </c:pt>
                <c:pt idx="221">
                  <c:v>2.3326454034990731</c:v>
                </c:pt>
                <c:pt idx="222">
                  <c:v>2.2725035846073434</c:v>
                </c:pt>
                <c:pt idx="223">
                  <c:v>2.2962237061355957</c:v>
                </c:pt>
                <c:pt idx="224">
                  <c:v>2.3101179988177201</c:v>
                </c:pt>
                <c:pt idx="225">
                  <c:v>2.3269516380271456</c:v>
                </c:pt>
                <c:pt idx="226">
                  <c:v>2.3459363948829992</c:v>
                </c:pt>
                <c:pt idx="227">
                  <c:v>2.3621928577514955</c:v>
                </c:pt>
                <c:pt idx="228">
                  <c:v>2.3316417849998228</c:v>
                </c:pt>
                <c:pt idx="229">
                  <c:v>2.3083529183265359</c:v>
                </c:pt>
                <c:pt idx="230">
                  <c:v>2.3354244999155069</c:v>
                </c:pt>
                <c:pt idx="231">
                  <c:v>2.3556010699514753</c:v>
                </c:pt>
                <c:pt idx="232">
                  <c:v>2.3815990040805226</c:v>
                </c:pt>
                <c:pt idx="233">
                  <c:v>2.3267098563348134</c:v>
                </c:pt>
                <c:pt idx="234">
                  <c:v>2.3013982695585238</c:v>
                </c:pt>
                <c:pt idx="235">
                  <c:v>2.3355486948105946</c:v>
                </c:pt>
                <c:pt idx="236">
                  <c:v>2.3435492004188543</c:v>
                </c:pt>
                <c:pt idx="237">
                  <c:v>2.3596343354627964</c:v>
                </c:pt>
                <c:pt idx="238">
                  <c:v>2.3804974320260985</c:v>
                </c:pt>
                <c:pt idx="239">
                  <c:v>2.3575220414959652</c:v>
                </c:pt>
                <c:pt idx="240">
                  <c:v>2.3409254673478395</c:v>
                </c:pt>
                <c:pt idx="241">
                  <c:v>2.3381023281836182</c:v>
                </c:pt>
                <c:pt idx="242">
                  <c:v>2.2749720541629399</c:v>
                </c:pt>
                <c:pt idx="243">
                  <c:v>2.2407950913356847</c:v>
                </c:pt>
                <c:pt idx="244">
                  <c:v>2.271454992955817</c:v>
                </c:pt>
                <c:pt idx="245">
                  <c:v>2.3156017727506266</c:v>
                </c:pt>
                <c:pt idx="246">
                  <c:v>2.3455612375289285</c:v>
                </c:pt>
                <c:pt idx="247">
                  <c:v>2.2341205266980189</c:v>
                </c:pt>
                <c:pt idx="248">
                  <c:v>2.1161368111902941</c:v>
                </c:pt>
                <c:pt idx="249">
                  <c:v>1.9844340651456915</c:v>
                </c:pt>
                <c:pt idx="250">
                  <c:v>1.966594521864526</c:v>
                </c:pt>
                <c:pt idx="251">
                  <c:v>2.0190986778347635</c:v>
                </c:pt>
                <c:pt idx="252">
                  <c:v>2.0522406098751249</c:v>
                </c:pt>
                <c:pt idx="253">
                  <c:v>1.9884672485485049</c:v>
                </c:pt>
                <c:pt idx="254">
                  <c:v>2.1654638007751283</c:v>
                </c:pt>
                <c:pt idx="255">
                  <c:v>2.0369167104478803</c:v>
                </c:pt>
                <c:pt idx="256">
                  <c:v>2.043819876402774</c:v>
                </c:pt>
                <c:pt idx="257">
                  <c:v>2.0287486325540636</c:v>
                </c:pt>
                <c:pt idx="258">
                  <c:v>2.1179247842173381</c:v>
                </c:pt>
                <c:pt idx="259">
                  <c:v>2.0362126492583994</c:v>
                </c:pt>
                <c:pt idx="260">
                  <c:v>2.077817893933132</c:v>
                </c:pt>
                <c:pt idx="261">
                  <c:v>2.2230747591980147</c:v>
                </c:pt>
                <c:pt idx="262">
                  <c:v>2.1725910901458674</c:v>
                </c:pt>
                <c:pt idx="263">
                  <c:v>2.2173897107433791</c:v>
                </c:pt>
                <c:pt idx="264">
                  <c:v>2.243274450003987</c:v>
                </c:pt>
                <c:pt idx="265">
                  <c:v>2.2295897874647839</c:v>
                </c:pt>
                <c:pt idx="266">
                  <c:v>2.2993011839407922</c:v>
                </c:pt>
                <c:pt idx="267">
                  <c:v>2.1924648466197136</c:v>
                </c:pt>
                <c:pt idx="268">
                  <c:v>2.1536093656604214</c:v>
                </c:pt>
                <c:pt idx="269">
                  <c:v>2.2046293062432456</c:v>
                </c:pt>
                <c:pt idx="270">
                  <c:v>2.2040310783411026</c:v>
                </c:pt>
                <c:pt idx="271">
                  <c:v>2.2248728891087848</c:v>
                </c:pt>
                <c:pt idx="272">
                  <c:v>2.2204953853824834</c:v>
                </c:pt>
                <c:pt idx="273">
                  <c:v>2.2147680201978885</c:v>
                </c:pt>
                <c:pt idx="274">
                  <c:v>2.2283689602265353</c:v>
                </c:pt>
                <c:pt idx="275">
                  <c:v>2.1892232829346803</c:v>
                </c:pt>
                <c:pt idx="276">
                  <c:v>2.1374850842713529</c:v>
                </c:pt>
                <c:pt idx="277">
                  <c:v>2.1116537003829499</c:v>
                </c:pt>
                <c:pt idx="278">
                  <c:v>2.1123443200754375</c:v>
                </c:pt>
                <c:pt idx="279">
                  <c:v>2.1369846580655874</c:v>
                </c:pt>
                <c:pt idx="280">
                  <c:v>2.1036441117667386</c:v>
                </c:pt>
                <c:pt idx="281">
                  <c:v>2.1723238616249891</c:v>
                </c:pt>
                <c:pt idx="282">
                  <c:v>2.1910924787831765</c:v>
                </c:pt>
                <c:pt idx="283">
                  <c:v>2.1389764055338993</c:v>
                </c:pt>
                <c:pt idx="284">
                  <c:v>2.2037937797922735</c:v>
                </c:pt>
                <c:pt idx="285">
                  <c:v>2.1548296878352411</c:v>
                </c:pt>
                <c:pt idx="286">
                  <c:v>2.1700180292137725</c:v>
                </c:pt>
                <c:pt idx="287">
                  <c:v>2.1888595880842847</c:v>
                </c:pt>
                <c:pt idx="288">
                  <c:v>2.2062077904728619</c:v>
                </c:pt>
                <c:pt idx="289">
                  <c:v>2.1444553944705045</c:v>
                </c:pt>
                <c:pt idx="290">
                  <c:v>2.1488833005588974</c:v>
                </c:pt>
                <c:pt idx="291">
                  <c:v>2.0702728042393499</c:v>
                </c:pt>
                <c:pt idx="292">
                  <c:v>2.0783786708492484</c:v>
                </c:pt>
                <c:pt idx="293">
                  <c:v>2.0840943327535486</c:v>
                </c:pt>
                <c:pt idx="294">
                  <c:v>2.1031335184983888</c:v>
                </c:pt>
                <c:pt idx="295">
                  <c:v>2.0936348640977163</c:v>
                </c:pt>
                <c:pt idx="296">
                  <c:v>2.1209562954835475</c:v>
                </c:pt>
                <c:pt idx="297">
                  <c:v>2.1236722769766776</c:v>
                </c:pt>
                <c:pt idx="298">
                  <c:v>2.1311187633047601</c:v>
                </c:pt>
                <c:pt idx="299">
                  <c:v>2.1171690506094345</c:v>
                </c:pt>
                <c:pt idx="300">
                  <c:v>2.1512075656964891</c:v>
                </c:pt>
                <c:pt idx="301">
                  <c:v>2.1094118650545037</c:v>
                </c:pt>
                <c:pt idx="302">
                  <c:v>2.1093665352421858</c:v>
                </c:pt>
                <c:pt idx="303">
                  <c:v>2.1189471853135431</c:v>
                </c:pt>
                <c:pt idx="304">
                  <c:v>2.1352091877778578</c:v>
                </c:pt>
                <c:pt idx="305">
                  <c:v>2.1208904469359986</c:v>
                </c:pt>
                <c:pt idx="306">
                  <c:v>2.1345458266300179</c:v>
                </c:pt>
                <c:pt idx="307">
                  <c:v>2.1407804256870886</c:v>
                </c:pt>
                <c:pt idx="308">
                  <c:v>2.1177423123701793</c:v>
                </c:pt>
                <c:pt idx="309">
                  <c:v>2.1105344261078334</c:v>
                </c:pt>
                <c:pt idx="310">
                  <c:v>2.1340810790814109</c:v>
                </c:pt>
                <c:pt idx="311">
                  <c:v>2.1578453083514515</c:v>
                </c:pt>
                <c:pt idx="312">
                  <c:v>2.1833573800924917</c:v>
                </c:pt>
                <c:pt idx="313">
                  <c:v>2.1895596941778486</c:v>
                </c:pt>
                <c:pt idx="314">
                  <c:v>2.207059626037696</c:v>
                </c:pt>
                <c:pt idx="315">
                  <c:v>2.1926480911661628</c:v>
                </c:pt>
                <c:pt idx="316">
                  <c:v>2.2073385144112132</c:v>
                </c:pt>
                <c:pt idx="317">
                  <c:v>2.2014061016887263</c:v>
                </c:pt>
                <c:pt idx="318">
                  <c:v>2.1812093931436292</c:v>
                </c:pt>
                <c:pt idx="319">
                  <c:v>2.214633919823783</c:v>
                </c:pt>
                <c:pt idx="320">
                  <c:v>2.2539690564924268</c:v>
                </c:pt>
                <c:pt idx="321">
                  <c:v>2.1724191169159606</c:v>
                </c:pt>
                <c:pt idx="322">
                  <c:v>2.1244924346603935</c:v>
                </c:pt>
                <c:pt idx="323">
                  <c:v>2.1013919340415015</c:v>
                </c:pt>
                <c:pt idx="324">
                  <c:v>2.1333668032456212</c:v>
                </c:pt>
                <c:pt idx="325">
                  <c:v>2.0828196964047825</c:v>
                </c:pt>
                <c:pt idx="326">
                  <c:v>2.094994809238754</c:v>
                </c:pt>
                <c:pt idx="327">
                  <c:v>2.0601068367533295</c:v>
                </c:pt>
                <c:pt idx="328">
                  <c:v>2.0523837544069234</c:v>
                </c:pt>
                <c:pt idx="329">
                  <c:v>2.0437818508161061</c:v>
                </c:pt>
                <c:pt idx="330">
                  <c:v>2.0834216194563755</c:v>
                </c:pt>
                <c:pt idx="331">
                  <c:v>2.142140418925496</c:v>
                </c:pt>
                <c:pt idx="332">
                  <c:v>2.2176400620380168</c:v>
                </c:pt>
                <c:pt idx="333">
                  <c:v>2.1534835325102324</c:v>
                </c:pt>
                <c:pt idx="334">
                  <c:v>2.1485263651066933</c:v>
                </c:pt>
                <c:pt idx="335">
                  <c:v>2.160566816858096</c:v>
                </c:pt>
                <c:pt idx="336">
                  <c:v>2.1331148226633854</c:v>
                </c:pt>
                <c:pt idx="337">
                  <c:v>2.2127008732564808</c:v>
                </c:pt>
                <c:pt idx="338">
                  <c:v>2.212299157264598</c:v>
                </c:pt>
                <c:pt idx="339">
                  <c:v>2.1974265344521231</c:v>
                </c:pt>
                <c:pt idx="340">
                  <c:v>2.1295086610564513</c:v>
                </c:pt>
                <c:pt idx="341">
                  <c:v>2.1655364208818866</c:v>
                </c:pt>
                <c:pt idx="342">
                  <c:v>2.0732136077908638</c:v>
                </c:pt>
                <c:pt idx="343">
                  <c:v>2.1043685655259186</c:v>
                </c:pt>
                <c:pt idx="344">
                  <c:v>2.1272037294421047</c:v>
                </c:pt>
                <c:pt idx="345">
                  <c:v>2.1122207779600588</c:v>
                </c:pt>
                <c:pt idx="346">
                  <c:v>2.1244723283382103</c:v>
                </c:pt>
                <c:pt idx="347">
                  <c:v>2.0587241141328643</c:v>
                </c:pt>
                <c:pt idx="348">
                  <c:v>2.0862408350831485</c:v>
                </c:pt>
                <c:pt idx="349">
                  <c:v>2.1066572274118487</c:v>
                </c:pt>
                <c:pt idx="350">
                  <c:v>2.0995449958984187</c:v>
                </c:pt>
                <c:pt idx="351">
                  <c:v>2.0555289012424494</c:v>
                </c:pt>
                <c:pt idx="352">
                  <c:v>2.0450230964049392</c:v>
                </c:pt>
                <c:pt idx="353">
                  <c:v>2.0435094035011674</c:v>
                </c:pt>
                <c:pt idx="354">
                  <c:v>2.0114400076740422</c:v>
                </c:pt>
                <c:pt idx="355">
                  <c:v>1.9788059923784858</c:v>
                </c:pt>
                <c:pt idx="356">
                  <c:v>2.0168629369499107</c:v>
                </c:pt>
                <c:pt idx="357">
                  <c:v>2.0548499237480384</c:v>
                </c:pt>
                <c:pt idx="358">
                  <c:v>2.0491494794471121</c:v>
                </c:pt>
                <c:pt idx="359">
                  <c:v>2.0069425841920685</c:v>
                </c:pt>
                <c:pt idx="360">
                  <c:v>2.0566676848452548</c:v>
                </c:pt>
                <c:pt idx="361">
                  <c:v>1.9277970200143064</c:v>
                </c:pt>
                <c:pt idx="362">
                  <c:v>2.0050397777016515</c:v>
                </c:pt>
                <c:pt idx="363">
                  <c:v>1.8824036007164302</c:v>
                </c:pt>
                <c:pt idx="364">
                  <c:v>1.7760288280723364</c:v>
                </c:pt>
                <c:pt idx="365">
                  <c:v>1.7163258313364667</c:v>
                </c:pt>
                <c:pt idx="366">
                  <c:v>1.8129210622589025</c:v>
                </c:pt>
                <c:pt idx="367">
                  <c:v>1.6878671733353932</c:v>
                </c:pt>
                <c:pt idx="368">
                  <c:v>1.8332245405679513</c:v>
                </c:pt>
                <c:pt idx="369">
                  <c:v>1.7516760197935055</c:v>
                </c:pt>
                <c:pt idx="370">
                  <c:v>1.7418968932846901</c:v>
                </c:pt>
                <c:pt idx="371">
                  <c:v>1.6720413559054761</c:v>
                </c:pt>
                <c:pt idx="372">
                  <c:v>1.7738786483150182</c:v>
                </c:pt>
                <c:pt idx="373">
                  <c:v>1.6743089744839308</c:v>
                </c:pt>
                <c:pt idx="374">
                  <c:v>1.7297432584882204</c:v>
                </c:pt>
                <c:pt idx="375">
                  <c:v>1.6841911922495361</c:v>
                </c:pt>
                <c:pt idx="376">
                  <c:v>1.7428724433759908</c:v>
                </c:pt>
                <c:pt idx="377">
                  <c:v>1.6693913277941399</c:v>
                </c:pt>
                <c:pt idx="378">
                  <c:v>1.5935112662985647</c:v>
                </c:pt>
                <c:pt idx="379">
                  <c:v>1.4965978857154849</c:v>
                </c:pt>
                <c:pt idx="380">
                  <c:v>1.3750683173562348</c:v>
                </c:pt>
                <c:pt idx="381">
                  <c:v>1.3399435039809304</c:v>
                </c:pt>
                <c:pt idx="382">
                  <c:v>1.3173898592776079</c:v>
                </c:pt>
                <c:pt idx="383">
                  <c:v>1.3302864320472654</c:v>
                </c:pt>
                <c:pt idx="384">
                  <c:v>1.3082808452859676</c:v>
                </c:pt>
                <c:pt idx="385">
                  <c:v>1.1882241190375793</c:v>
                </c:pt>
                <c:pt idx="386">
                  <c:v>1.1878841209501374</c:v>
                </c:pt>
                <c:pt idx="387">
                  <c:v>1.1694281001231142</c:v>
                </c:pt>
                <c:pt idx="388">
                  <c:v>1.0491289616715187</c:v>
                </c:pt>
                <c:pt idx="389">
                  <c:v>1.0934830835136031</c:v>
                </c:pt>
                <c:pt idx="390">
                  <c:v>1.0032724371043396</c:v>
                </c:pt>
                <c:pt idx="391">
                  <c:v>0.99178434143595506</c:v>
                </c:pt>
                <c:pt idx="392">
                  <c:v>0.82527906425751463</c:v>
                </c:pt>
                <c:pt idx="393">
                  <c:v>0.7417845719475965</c:v>
                </c:pt>
                <c:pt idx="394">
                  <c:v>0.73234007079577812</c:v>
                </c:pt>
                <c:pt idx="395">
                  <c:v>0.74192195824884988</c:v>
                </c:pt>
                <c:pt idx="396">
                  <c:v>0.82975553097125676</c:v>
                </c:pt>
                <c:pt idx="397">
                  <c:v>0.74225630784377428</c:v>
                </c:pt>
                <c:pt idx="398">
                  <c:v>0.76775460971942633</c:v>
                </c:pt>
                <c:pt idx="399">
                  <c:v>0.76742380329368987</c:v>
                </c:pt>
                <c:pt idx="400">
                  <c:v>0.56845468789055087</c:v>
                </c:pt>
                <c:pt idx="401">
                  <c:v>0.48327654377117663</c:v>
                </c:pt>
                <c:pt idx="402">
                  <c:v>0.36034949882635936</c:v>
                </c:pt>
                <c:pt idx="403">
                  <c:v>0.42326147275817755</c:v>
                </c:pt>
                <c:pt idx="404">
                  <c:v>0.47164323170981742</c:v>
                </c:pt>
                <c:pt idx="405">
                  <c:v>0.49318340867045568</c:v>
                </c:pt>
                <c:pt idx="406">
                  <c:v>0.43240474901950843</c:v>
                </c:pt>
                <c:pt idx="407">
                  <c:v>0.51723139790215822</c:v>
                </c:pt>
                <c:pt idx="408">
                  <c:v>0.41669420958342923</c:v>
                </c:pt>
                <c:pt idx="409">
                  <c:v>0.34727404928440825</c:v>
                </c:pt>
                <c:pt idx="410">
                  <c:v>0.23645319498352521</c:v>
                </c:pt>
                <c:pt idx="411">
                  <c:v>0.14117674234021516</c:v>
                </c:pt>
                <c:pt idx="412">
                  <c:v>8.108566085241499E-2</c:v>
                </c:pt>
                <c:pt idx="413">
                  <c:v>0.17361610474641495</c:v>
                </c:pt>
                <c:pt idx="414">
                  <c:v>0.18662616766682608</c:v>
                </c:pt>
                <c:pt idx="415">
                  <c:v>0.11291061088774285</c:v>
                </c:pt>
                <c:pt idx="416">
                  <c:v>0.23920294226894107</c:v>
                </c:pt>
                <c:pt idx="417">
                  <c:v>0.14745285893863494</c:v>
                </c:pt>
                <c:pt idx="418">
                  <c:v>0.15700144987191902</c:v>
                </c:pt>
                <c:pt idx="419">
                  <c:v>-2.067639713735929E-2</c:v>
                </c:pt>
                <c:pt idx="420">
                  <c:v>6.2311334517536218E-2</c:v>
                </c:pt>
                <c:pt idx="421">
                  <c:v>2.4422280019826097E-2</c:v>
                </c:pt>
                <c:pt idx="422">
                  <c:v>-5.1112207478228616E-2</c:v>
                </c:pt>
                <c:pt idx="423">
                  <c:v>-0.32486236562587972</c:v>
                </c:pt>
                <c:pt idx="424">
                  <c:v>-0.45925768841389142</c:v>
                </c:pt>
                <c:pt idx="425">
                  <c:v>-0.50433663202352641</c:v>
                </c:pt>
                <c:pt idx="426">
                  <c:v>-0.44814241959392637</c:v>
                </c:pt>
                <c:pt idx="427">
                  <c:v>-0.54706670204008034</c:v>
                </c:pt>
                <c:pt idx="428">
                  <c:v>-0.83742802065225874</c:v>
                </c:pt>
                <c:pt idx="429">
                  <c:v>-0.73408638553350891</c:v>
                </c:pt>
                <c:pt idx="430">
                  <c:v>-0.57926946270344082</c:v>
                </c:pt>
                <c:pt idx="431">
                  <c:v>-0.54220563828096091</c:v>
                </c:pt>
                <c:pt idx="432">
                  <c:v>-0.58629492810309403</c:v>
                </c:pt>
                <c:pt idx="433">
                  <c:v>-0.63746512493216279</c:v>
                </c:pt>
                <c:pt idx="434">
                  <c:v>-0.53448499903682301</c:v>
                </c:pt>
                <c:pt idx="435">
                  <c:v>-0.77068194444173521</c:v>
                </c:pt>
                <c:pt idx="436">
                  <c:v>-0.69511548531214484</c:v>
                </c:pt>
                <c:pt idx="437">
                  <c:v>-0.69063195036869507</c:v>
                </c:pt>
                <c:pt idx="438">
                  <c:v>-0.71311103666728648</c:v>
                </c:pt>
                <c:pt idx="439">
                  <c:v>-0.72425689180071906</c:v>
                </c:pt>
                <c:pt idx="440">
                  <c:v>-0.87121691904799548</c:v>
                </c:pt>
                <c:pt idx="441">
                  <c:v>-1.0607236231143322</c:v>
                </c:pt>
                <c:pt idx="442">
                  <c:v>-1.0775979649126652</c:v>
                </c:pt>
                <c:pt idx="443">
                  <c:v>-0.9845574684258569</c:v>
                </c:pt>
                <c:pt idx="444">
                  <c:v>-1.0312722575095605</c:v>
                </c:pt>
                <c:pt idx="445">
                  <c:v>-1.0033631257011395</c:v>
                </c:pt>
                <c:pt idx="446">
                  <c:v>-1.0276801427548383</c:v>
                </c:pt>
                <c:pt idx="447">
                  <c:v>-0.92791539400949985</c:v>
                </c:pt>
                <c:pt idx="448">
                  <c:v>-0.98889139423030636</c:v>
                </c:pt>
                <c:pt idx="449">
                  <c:v>-0.99445408589799866</c:v>
                </c:pt>
                <c:pt idx="450">
                  <c:v>-0.97416511358460889</c:v>
                </c:pt>
                <c:pt idx="451">
                  <c:v>-0.94071293610153206</c:v>
                </c:pt>
                <c:pt idx="452">
                  <c:v>-0.88807526313083429</c:v>
                </c:pt>
                <c:pt idx="453">
                  <c:v>-0.89318777186996479</c:v>
                </c:pt>
                <c:pt idx="454">
                  <c:v>-0.88102616232170383</c:v>
                </c:pt>
                <c:pt idx="455">
                  <c:v>-0.84001342605988583</c:v>
                </c:pt>
                <c:pt idx="456">
                  <c:v>-0.82806075361802134</c:v>
                </c:pt>
                <c:pt idx="457">
                  <c:v>-0.7807870447815265</c:v>
                </c:pt>
                <c:pt idx="458">
                  <c:v>-0.86040671878475228</c:v>
                </c:pt>
                <c:pt idx="459">
                  <c:v>-0.88059741675618075</c:v>
                </c:pt>
                <c:pt idx="460">
                  <c:v>-0.86469657693799895</c:v>
                </c:pt>
                <c:pt idx="461">
                  <c:v>-0.8639362364500679</c:v>
                </c:pt>
                <c:pt idx="462">
                  <c:v>-0.852298723870068</c:v>
                </c:pt>
                <c:pt idx="463">
                  <c:v>-0.80449262048219916</c:v>
                </c:pt>
                <c:pt idx="464">
                  <c:v>-0.81509208850114667</c:v>
                </c:pt>
                <c:pt idx="465">
                  <c:v>-0.78485095103614677</c:v>
                </c:pt>
                <c:pt idx="466">
                  <c:v>-0.75294003384076214</c:v>
                </c:pt>
                <c:pt idx="467">
                  <c:v>-0.80257701726672692</c:v>
                </c:pt>
                <c:pt idx="468">
                  <c:v>-0.80798427005725326</c:v>
                </c:pt>
                <c:pt idx="469">
                  <c:v>-0.76396422370650718</c:v>
                </c:pt>
                <c:pt idx="470">
                  <c:v>-0.79373875843159791</c:v>
                </c:pt>
                <c:pt idx="471">
                  <c:v>-0.77614886985133491</c:v>
                </c:pt>
                <c:pt idx="472">
                  <c:v>-0.76668095010066828</c:v>
                </c:pt>
                <c:pt idx="473">
                  <c:v>-0.75664813236511264</c:v>
                </c:pt>
                <c:pt idx="474">
                  <c:v>-0.82192255314082685</c:v>
                </c:pt>
                <c:pt idx="475">
                  <c:v>-0.67294586078654106</c:v>
                </c:pt>
                <c:pt idx="476">
                  <c:v>-0.7560246794514266</c:v>
                </c:pt>
                <c:pt idx="477">
                  <c:v>-0.98820060439925905</c:v>
                </c:pt>
                <c:pt idx="478">
                  <c:v>-1.2912748537834382</c:v>
                </c:pt>
                <c:pt idx="479">
                  <c:v>-0.9410443653763586</c:v>
                </c:pt>
                <c:pt idx="480">
                  <c:v>-0.82171974259876468</c:v>
                </c:pt>
                <c:pt idx="481">
                  <c:v>-0.71043311201527426</c:v>
                </c:pt>
                <c:pt idx="482">
                  <c:v>-0.67681335689322297</c:v>
                </c:pt>
                <c:pt idx="483">
                  <c:v>-0.65127748878697833</c:v>
                </c:pt>
                <c:pt idx="484">
                  <c:v>-0.62431485231410155</c:v>
                </c:pt>
                <c:pt idx="485">
                  <c:v>-0.62715133300758441</c:v>
                </c:pt>
                <c:pt idx="486">
                  <c:v>-0.65224070309801918</c:v>
                </c:pt>
                <c:pt idx="487">
                  <c:v>-0.59469423140801903</c:v>
                </c:pt>
                <c:pt idx="488">
                  <c:v>-0.5732633659994476</c:v>
                </c:pt>
                <c:pt idx="489">
                  <c:v>-0.5692476844533606</c:v>
                </c:pt>
                <c:pt idx="490">
                  <c:v>-0.59427123236771984</c:v>
                </c:pt>
                <c:pt idx="491">
                  <c:v>-0.67375673790261248</c:v>
                </c:pt>
                <c:pt idx="492">
                  <c:v>-0.53740876163615658</c:v>
                </c:pt>
                <c:pt idx="493">
                  <c:v>-0.53557181507094542</c:v>
                </c:pt>
                <c:pt idx="494">
                  <c:v>-0.41153299767992296</c:v>
                </c:pt>
                <c:pt idx="495">
                  <c:v>-0.26840051975815488</c:v>
                </c:pt>
                <c:pt idx="496">
                  <c:v>-0.26697357785803849</c:v>
                </c:pt>
                <c:pt idx="497">
                  <c:v>-0.24971397868740067</c:v>
                </c:pt>
                <c:pt idx="498">
                  <c:v>-0.3225968227292999</c:v>
                </c:pt>
                <c:pt idx="499">
                  <c:v>-0.14740282633556939</c:v>
                </c:pt>
                <c:pt idx="500">
                  <c:v>0.24590221910693852</c:v>
                </c:pt>
                <c:pt idx="501">
                  <c:v>0.18311064847638395</c:v>
                </c:pt>
                <c:pt idx="502">
                  <c:v>0.25354313890251295</c:v>
                </c:pt>
                <c:pt idx="503">
                  <c:v>7.485113632732425E-2</c:v>
                </c:pt>
                <c:pt idx="504">
                  <c:v>-0.14475802309440963</c:v>
                </c:pt>
                <c:pt idx="505">
                  <c:v>0.10212476211228329</c:v>
                </c:pt>
                <c:pt idx="506">
                  <c:v>-5.3433244830557107E-2</c:v>
                </c:pt>
                <c:pt idx="507">
                  <c:v>0.14545906355080504</c:v>
                </c:pt>
                <c:pt idx="508">
                  <c:v>8.6101605512138302E-2</c:v>
                </c:pt>
                <c:pt idx="509">
                  <c:v>-0.60323061108823284</c:v>
                </c:pt>
                <c:pt idx="510">
                  <c:v>-0.26619623449445479</c:v>
                </c:pt>
                <c:pt idx="511">
                  <c:v>-0.19440793877326684</c:v>
                </c:pt>
                <c:pt idx="512">
                  <c:v>-6.7003130370142591E-2</c:v>
                </c:pt>
                <c:pt idx="513">
                  <c:v>-3.6705042052212332E-2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CC-481D-834E-49AEAC615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336928"/>
        <c:axId val="673337760"/>
      </c:lineChart>
      <c:dateAx>
        <c:axId val="673336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7760"/>
        <c:crosses val="autoZero"/>
        <c:auto val="1"/>
        <c:lblOffset val="100"/>
        <c:baseTimeUnit val="days"/>
      </c:dateAx>
      <c:valAx>
        <c:axId val="6733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15F4F4-DBC4-47C9-810A-FD35C0DCEF70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B63F1C-CC03-47B8-9AE4-E99613BDF4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23.43</v>
      </c>
      <c r="D2" s="4">
        <f>MIN(D3:D1912)</f>
        <v>0.47199999999999998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4.2640000000000002</v>
      </c>
      <c r="C5">
        <v>4.2880000000000003</v>
      </c>
      <c r="D5">
        <v>4.077</v>
      </c>
      <c r="E5">
        <v>4.08</v>
      </c>
      <c r="F5">
        <v>662707.69999999995</v>
      </c>
      <c r="G5">
        <v>4.08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-0.97156398104265296</v>
      </c>
      <c r="Q5">
        <f t="shared" ref="Q5" si="1">F5*P5</f>
        <v>-643862.93127962016</v>
      </c>
      <c r="R5">
        <f t="shared" ref="R5" si="2">R6+Q5</f>
        <v>227223731.63354492</v>
      </c>
      <c r="S5">
        <f t="shared" ref="S5" si="3">R5/100000</f>
        <v>2272.2373163354491</v>
      </c>
      <c r="T5">
        <f t="shared" ref="T5" si="4">S5/1000</f>
        <v>2.272237316335449</v>
      </c>
    </row>
    <row r="6" spans="1:20" x14ac:dyDescent="0.25">
      <c r="A6" s="5">
        <v>44587</v>
      </c>
      <c r="B6">
        <v>4.54</v>
      </c>
      <c r="C6">
        <v>4.8179999999999996</v>
      </c>
      <c r="D6">
        <v>4.1100000000000003</v>
      </c>
      <c r="E6">
        <v>4.2640000000000002</v>
      </c>
      <c r="F6">
        <v>11600034.6</v>
      </c>
      <c r="G6">
        <v>4.2640000000000002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-0.56497175141242917</v>
      </c>
      <c r="Q6">
        <f t="shared" ref="Q6" si="6">F6*P6</f>
        <v>-6553691.8644067766</v>
      </c>
      <c r="R6">
        <f t="shared" ref="R6" si="7">R7+Q6</f>
        <v>227867594.56482455</v>
      </c>
      <c r="S6">
        <f t="shared" ref="S6" si="8">R6/100000</f>
        <v>2278.6759456482455</v>
      </c>
      <c r="T6">
        <f t="shared" ref="T6" si="9">S6/1000</f>
        <v>2.2786759456482453</v>
      </c>
    </row>
    <row r="7" spans="1:20" x14ac:dyDescent="0.25">
      <c r="A7" s="5">
        <v>44586</v>
      </c>
      <c r="B7">
        <v>4.4000000000000004</v>
      </c>
      <c r="C7">
        <v>4.6580000000000004</v>
      </c>
      <c r="D7">
        <v>4.2640000000000002</v>
      </c>
      <c r="E7">
        <v>4.54</v>
      </c>
      <c r="F7">
        <v>5593359.9000000004</v>
      </c>
      <c r="G7">
        <v>4.54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0.40101522842639448</v>
      </c>
      <c r="Q7">
        <f t="shared" ref="Q7" si="11">F7*P7</f>
        <v>2243022.4979695352</v>
      </c>
      <c r="R7">
        <f t="shared" ref="R7" si="12">R8+Q7</f>
        <v>234421286.42923132</v>
      </c>
      <c r="S7">
        <f t="shared" ref="S7" si="13">R7/100000</f>
        <v>2344.212864292313</v>
      </c>
      <c r="T7">
        <f t="shared" ref="T7" si="14">S7/1000</f>
        <v>2.344212864292313</v>
      </c>
    </row>
    <row r="8" spans="1:20" x14ac:dyDescent="0.25">
      <c r="A8" s="5">
        <v>44585</v>
      </c>
      <c r="B8">
        <v>4.6539999999999999</v>
      </c>
      <c r="C8">
        <v>4.6550000000000002</v>
      </c>
      <c r="D8">
        <v>3.7919999999999998</v>
      </c>
      <c r="E8">
        <v>4.3979999999999997</v>
      </c>
      <c r="F8">
        <v>9824475.9000000004</v>
      </c>
      <c r="G8">
        <v>4.3979999999999997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0.40440324449594339</v>
      </c>
      <c r="Q8">
        <f t="shared" ref="Q8" si="16">F8*P8</f>
        <v>3973049.9294322035</v>
      </c>
      <c r="R8">
        <f t="shared" ref="R8" si="17">R9+Q8</f>
        <v>232178263.93126178</v>
      </c>
      <c r="S8">
        <f t="shared" ref="S8" si="18">R8/100000</f>
        <v>2321.7826393126179</v>
      </c>
      <c r="T8">
        <f t="shared" ref="T8" si="19">S8/1000</f>
        <v>2.3217826393126177</v>
      </c>
    </row>
    <row r="9" spans="1:20" x14ac:dyDescent="0.25">
      <c r="A9" s="5">
        <v>44584</v>
      </c>
      <c r="B9">
        <v>4.4130000000000003</v>
      </c>
      <c r="C9">
        <v>4.7910000000000004</v>
      </c>
      <c r="D9">
        <v>4.3090000000000002</v>
      </c>
      <c r="E9">
        <v>4.6550000000000002</v>
      </c>
      <c r="F9">
        <v>7881737.4000000004</v>
      </c>
      <c r="G9">
        <v>4.6550000000000002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0.43568464730290429</v>
      </c>
      <c r="Q9">
        <f t="shared" ref="Q9" si="21">F9*P9</f>
        <v>3433951.97925311</v>
      </c>
      <c r="R9">
        <f t="shared" ref="R9" si="22">R10+Q9</f>
        <v>228205214.00182956</v>
      </c>
      <c r="S9">
        <f t="shared" ref="S9" si="23">R9/100000</f>
        <v>2282.0521400182956</v>
      </c>
      <c r="T9">
        <f t="shared" ref="T9" si="24">S9/1000</f>
        <v>2.2820521400182958</v>
      </c>
    </row>
    <row r="10" spans="1:20" x14ac:dyDescent="0.25">
      <c r="A10" s="5">
        <v>44583</v>
      </c>
      <c r="B10">
        <v>4.9459999999999997</v>
      </c>
      <c r="C10">
        <v>5.117</v>
      </c>
      <c r="D10">
        <v>3.98</v>
      </c>
      <c r="E10">
        <v>4.4089999999999998</v>
      </c>
      <c r="F10">
        <v>13461809.523</v>
      </c>
      <c r="G10">
        <v>4.4089999999999998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-0.24538258575197922</v>
      </c>
      <c r="Q10">
        <f t="shared" ref="Q10" si="26">F10*P10</f>
        <v>-3303293.6296543581</v>
      </c>
      <c r="R10">
        <f t="shared" ref="R10" si="27">R11+Q10</f>
        <v>224771262.02257645</v>
      </c>
      <c r="S10">
        <f t="shared" ref="S10" si="28">R10/100000</f>
        <v>2247.7126202257646</v>
      </c>
      <c r="T10">
        <f t="shared" ref="T10" si="29">S10/1000</f>
        <v>2.2477126202257645</v>
      </c>
    </row>
    <row r="11" spans="1:20" x14ac:dyDescent="0.25">
      <c r="A11" s="5">
        <v>44582</v>
      </c>
      <c r="B11">
        <v>5.8070000000000004</v>
      </c>
      <c r="C11">
        <v>5.9279999999999999</v>
      </c>
      <c r="D11">
        <v>4.7839999999999998</v>
      </c>
      <c r="E11">
        <v>4.9509999999999996</v>
      </c>
      <c r="F11">
        <v>10814713.300000001</v>
      </c>
      <c r="G11">
        <v>4.9509999999999996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-0.70804195804195835</v>
      </c>
      <c r="Q11">
        <f t="shared" ref="Q11" si="31">F11*P11</f>
        <v>-7657270.7805944094</v>
      </c>
      <c r="R11">
        <f t="shared" ref="R11" si="32">R12+Q11</f>
        <v>228074555.6522308</v>
      </c>
      <c r="S11">
        <f t="shared" ref="S11" si="33">R11/100000</f>
        <v>2280.7455565223081</v>
      </c>
      <c r="T11">
        <f t="shared" ref="T11" si="34">S11/1000</f>
        <v>2.2807455565223083</v>
      </c>
    </row>
    <row r="12" spans="1:20" x14ac:dyDescent="0.25">
      <c r="A12" s="5">
        <v>44581</v>
      </c>
      <c r="B12">
        <v>6.0469999999999997</v>
      </c>
      <c r="C12">
        <v>6.5919999999999996</v>
      </c>
      <c r="D12">
        <v>5.7629999999999999</v>
      </c>
      <c r="E12">
        <v>5.8070000000000004</v>
      </c>
      <c r="F12">
        <v>6658116.7999999998</v>
      </c>
      <c r="G12">
        <v>5.8070000000000004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-0.89384800965017974</v>
      </c>
      <c r="Q12">
        <f t="shared" ref="Q12" si="36">F12*P12</f>
        <v>-5951344.449698424</v>
      </c>
      <c r="R12">
        <f t="shared" ref="R12" si="37">R13+Q12</f>
        <v>235731826.43282521</v>
      </c>
      <c r="S12">
        <f t="shared" ref="S12" si="38">R12/100000</f>
        <v>2357.3182643282521</v>
      </c>
      <c r="T12">
        <f t="shared" ref="T12" si="39">S12/1000</f>
        <v>2.357318264328252</v>
      </c>
    </row>
    <row r="13" spans="1:20" x14ac:dyDescent="0.25">
      <c r="A13" s="5">
        <v>44580</v>
      </c>
      <c r="B13">
        <v>6.2069999999999999</v>
      </c>
      <c r="C13">
        <v>6.2439999999999998</v>
      </c>
      <c r="D13">
        <v>5.9059999999999997</v>
      </c>
      <c r="E13">
        <v>6.0439999999999996</v>
      </c>
      <c r="F13">
        <v>5093220</v>
      </c>
      <c r="G13">
        <v>6.0439999999999996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-0.18343195266272266</v>
      </c>
      <c r="Q13">
        <f t="shared" ref="Q13" si="41">F13*P13</f>
        <v>-934259.2899408323</v>
      </c>
      <c r="R13">
        <f t="shared" ref="R13" si="42">R14+Q13</f>
        <v>241683170.88252363</v>
      </c>
      <c r="S13">
        <f t="shared" ref="S13" si="43">R13/100000</f>
        <v>2416.8317088252361</v>
      </c>
      <c r="T13">
        <f t="shared" ref="T13" si="44">S13/1000</f>
        <v>2.416831708825236</v>
      </c>
    </row>
    <row r="14" spans="1:20" x14ac:dyDescent="0.25">
      <c r="A14" s="5">
        <v>44579</v>
      </c>
      <c r="B14">
        <v>6.4340000000000002</v>
      </c>
      <c r="C14">
        <v>6.5709999999999997</v>
      </c>
      <c r="D14">
        <v>6.0069999999999997</v>
      </c>
      <c r="E14">
        <v>6.2089999999999996</v>
      </c>
      <c r="F14">
        <v>4073343.6</v>
      </c>
      <c r="G14">
        <v>6.2089999999999996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-0.28368794326241159</v>
      </c>
      <c r="Q14">
        <f t="shared" ref="Q14" si="46">F14*P14</f>
        <v>-1155558.4680851074</v>
      </c>
      <c r="R14">
        <f t="shared" ref="R14" si="47">R15+Q14</f>
        <v>242617430.17246446</v>
      </c>
      <c r="S14">
        <f t="shared" ref="S14" si="48">R14/100000</f>
        <v>2426.1743017246445</v>
      </c>
      <c r="T14">
        <f t="shared" ref="T14" si="49">S14/1000</f>
        <v>2.4261743017246444</v>
      </c>
    </row>
    <row r="15" spans="1:20" x14ac:dyDescent="0.25">
      <c r="A15" s="5">
        <v>44578</v>
      </c>
      <c r="B15">
        <v>6.9720000000000004</v>
      </c>
      <c r="C15">
        <v>6.9829999999999997</v>
      </c>
      <c r="D15">
        <v>6.3109999999999999</v>
      </c>
      <c r="E15">
        <v>6.4359999999999999</v>
      </c>
      <c r="F15">
        <v>4916090.3</v>
      </c>
      <c r="G15">
        <v>6.4359999999999999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-0.62797619047619035</v>
      </c>
      <c r="Q15">
        <f t="shared" ref="Q15" si="51">F15*P15</f>
        <v>-3087187.6586309518</v>
      </c>
      <c r="R15">
        <f t="shared" ref="R15" si="52">R16+Q15</f>
        <v>243772988.64054957</v>
      </c>
      <c r="S15">
        <f t="shared" ref="S15" si="53">R15/100000</f>
        <v>2437.7298864054956</v>
      </c>
      <c r="T15">
        <f t="shared" ref="T15" si="54">S15/1000</f>
        <v>2.4377298864054957</v>
      </c>
    </row>
    <row r="16" spans="1:20" x14ac:dyDescent="0.25">
      <c r="A16" s="5">
        <v>44577</v>
      </c>
      <c r="B16">
        <v>7.016</v>
      </c>
      <c r="C16">
        <v>7.09</v>
      </c>
      <c r="D16">
        <v>6.85</v>
      </c>
      <c r="E16">
        <v>6.9710000000000001</v>
      </c>
      <c r="F16">
        <v>3486249.9</v>
      </c>
      <c r="G16">
        <v>6.9710000000000001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8.3333333333361088E-3</v>
      </c>
      <c r="Q16">
        <f t="shared" ref="Q16" si="56">F16*P16</f>
        <v>29052.082500009674</v>
      </c>
      <c r="R16">
        <f t="shared" ref="R16" si="57">R17+Q16</f>
        <v>246860176.29918051</v>
      </c>
      <c r="S16">
        <f t="shared" ref="S16" si="58">R16/100000</f>
        <v>2468.6017629918051</v>
      </c>
      <c r="T16">
        <f t="shared" ref="T16" si="59">S16/1000</f>
        <v>2.4686017629918053</v>
      </c>
    </row>
    <row r="17" spans="1:20" x14ac:dyDescent="0.25">
      <c r="A17" s="5">
        <v>44576</v>
      </c>
      <c r="B17">
        <v>7.0220000000000002</v>
      </c>
      <c r="C17">
        <v>7.226</v>
      </c>
      <c r="D17">
        <v>6.9619999999999997</v>
      </c>
      <c r="E17">
        <v>7.016</v>
      </c>
      <c r="F17">
        <v>3541509.1</v>
      </c>
      <c r="G17">
        <v>7.016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-0.59090909090908927</v>
      </c>
      <c r="Q17">
        <f t="shared" ref="Q17" si="61">F17*P17</f>
        <v>-2092709.922727267</v>
      </c>
      <c r="R17">
        <f t="shared" ref="R17" si="62">R18+Q17</f>
        <v>246831124.2166805</v>
      </c>
      <c r="S17">
        <f t="shared" ref="S17" si="63">R17/100000</f>
        <v>2468.3112421668052</v>
      </c>
      <c r="T17">
        <f t="shared" ref="T17" si="64">S17/1000</f>
        <v>2.4683112421668052</v>
      </c>
    </row>
    <row r="18" spans="1:20" x14ac:dyDescent="0.25">
      <c r="A18" s="5">
        <v>44575</v>
      </c>
      <c r="B18">
        <v>7.0289999999999999</v>
      </c>
      <c r="C18">
        <v>7.3650000000000002</v>
      </c>
      <c r="D18">
        <v>6.7279999999999998</v>
      </c>
      <c r="E18">
        <v>7.0229999999999997</v>
      </c>
      <c r="F18">
        <v>6158620.2000000002</v>
      </c>
      <c r="G18">
        <v>7.0229999999999997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-7.3783359497646098E-2</v>
      </c>
      <c r="Q18">
        <f t="shared" ref="Q18" si="66">F18*P18</f>
        <v>-454403.68822606513</v>
      </c>
      <c r="R18">
        <f t="shared" ref="R18" si="67">R19+Q18</f>
        <v>248923834.13940775</v>
      </c>
      <c r="S18">
        <f t="shared" ref="S18" si="68">R18/100000</f>
        <v>2489.2383413940775</v>
      </c>
      <c r="T18">
        <f t="shared" ref="T18" si="69">S18/1000</f>
        <v>2.4892383413940773</v>
      </c>
    </row>
    <row r="19" spans="1:20" x14ac:dyDescent="0.25">
      <c r="A19" s="5">
        <v>44574</v>
      </c>
      <c r="B19">
        <v>7.11</v>
      </c>
      <c r="C19">
        <v>7.55</v>
      </c>
      <c r="D19">
        <v>6.8330000000000002</v>
      </c>
      <c r="E19">
        <v>7.03</v>
      </c>
      <c r="F19">
        <v>9945127.5999999996</v>
      </c>
      <c r="G19">
        <v>7.03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-0.45048814504881407</v>
      </c>
      <c r="Q19">
        <f t="shared" ref="Q19" si="71">F19*P19</f>
        <v>-4480162.0847977642</v>
      </c>
      <c r="R19">
        <f t="shared" ref="R19" si="72">R20+Q19</f>
        <v>249378237.82763383</v>
      </c>
      <c r="S19">
        <f t="shared" ref="S19" si="73">R19/100000</f>
        <v>2493.7823782763385</v>
      </c>
      <c r="T19">
        <f t="shared" ref="T19" si="74">S19/1000</f>
        <v>2.4937823782763386</v>
      </c>
    </row>
    <row r="20" spans="1:20" x14ac:dyDescent="0.25">
      <c r="A20" s="5">
        <v>44573</v>
      </c>
      <c r="B20">
        <v>6.9930000000000003</v>
      </c>
      <c r="C20">
        <v>7.2869999999999999</v>
      </c>
      <c r="D20">
        <v>6.9260000000000002</v>
      </c>
      <c r="E20">
        <v>7.1120000000000001</v>
      </c>
      <c r="F20">
        <v>7834256.0999999996</v>
      </c>
      <c r="G20">
        <v>7.1120000000000001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3.0470914127424177E-2</v>
      </c>
      <c r="Q20">
        <f t="shared" ref="Q20" si="76">F20*P20</f>
        <v>238716.94487534903</v>
      </c>
      <c r="R20">
        <f t="shared" ref="R20" si="77">R21+Q20</f>
        <v>253858399.9124316</v>
      </c>
      <c r="S20">
        <f t="shared" ref="S20" si="78">R20/100000</f>
        <v>2538.5839991243161</v>
      </c>
      <c r="T20">
        <f t="shared" ref="T20" si="79">S20/1000</f>
        <v>2.5385839991243162</v>
      </c>
    </row>
    <row r="21" spans="1:20" x14ac:dyDescent="0.25">
      <c r="A21" s="5">
        <v>44572</v>
      </c>
      <c r="B21">
        <v>6.5709999999999997</v>
      </c>
      <c r="C21">
        <v>7.1130000000000004</v>
      </c>
      <c r="D21">
        <v>6.4749999999999996</v>
      </c>
      <c r="E21">
        <v>6.9989999999999997</v>
      </c>
      <c r="F21">
        <v>6512012</v>
      </c>
      <c r="G21">
        <v>6.9989999999999997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0.64263322884012342</v>
      </c>
      <c r="Q21">
        <f t="shared" ref="Q21" si="81">F21*P21</f>
        <v>4184835.2978056297</v>
      </c>
      <c r="R21">
        <f t="shared" ref="R21" si="82">R22+Q21</f>
        <v>253619682.96755624</v>
      </c>
      <c r="S21">
        <f t="shared" ref="S21" si="83">R21/100000</f>
        <v>2536.1968296755622</v>
      </c>
      <c r="T21">
        <f t="shared" ref="T21" si="84">S21/1000</f>
        <v>2.5361968296755624</v>
      </c>
    </row>
    <row r="22" spans="1:20" x14ac:dyDescent="0.25">
      <c r="A22" s="5">
        <v>44571</v>
      </c>
      <c r="B22">
        <v>6.9290000000000003</v>
      </c>
      <c r="C22">
        <v>7.22</v>
      </c>
      <c r="D22">
        <v>6.2</v>
      </c>
      <c r="E22">
        <v>6.57</v>
      </c>
      <c r="F22">
        <v>8020195.7999999998</v>
      </c>
      <c r="G22">
        <v>6.57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-0.2745098039215681</v>
      </c>
      <c r="Q22">
        <f t="shared" ref="Q22" si="86">F22*P22</f>
        <v>-2201622.376470584</v>
      </c>
      <c r="R22">
        <f t="shared" ref="R22" si="87">R23+Q22</f>
        <v>249434847.6697506</v>
      </c>
      <c r="S22">
        <f t="shared" ref="S22" si="88">R22/100000</f>
        <v>2494.3484766975062</v>
      </c>
      <c r="T22">
        <f t="shared" ref="T22" si="89">S22/1000</f>
        <v>2.4943484766975064</v>
      </c>
    </row>
    <row r="23" spans="1:20" x14ac:dyDescent="0.25">
      <c r="A23" s="5">
        <v>44570</v>
      </c>
      <c r="B23">
        <v>6.5609999999999999</v>
      </c>
      <c r="C23">
        <v>7.2089999999999996</v>
      </c>
      <c r="D23">
        <v>6.5229999999999997</v>
      </c>
      <c r="E23">
        <v>6.9290000000000003</v>
      </c>
      <c r="F23">
        <v>6523335.0999999996</v>
      </c>
      <c r="G23">
        <v>6.9290000000000003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0.18367346938775689</v>
      </c>
      <c r="Q23">
        <f t="shared" ref="Q23" si="91">F23*P23</f>
        <v>1198163.5897959298</v>
      </c>
      <c r="R23">
        <f t="shared" ref="R23" si="92">R24+Q23</f>
        <v>251636470.0462212</v>
      </c>
      <c r="S23">
        <f t="shared" ref="S23" si="93">R23/100000</f>
        <v>2516.3647004622121</v>
      </c>
      <c r="T23">
        <f t="shared" ref="T23" si="94">S23/1000</f>
        <v>2.5163647004622121</v>
      </c>
    </row>
    <row r="24" spans="1:20" x14ac:dyDescent="0.25">
      <c r="A24" s="5">
        <v>44569</v>
      </c>
      <c r="B24">
        <v>7.1769999999999996</v>
      </c>
      <c r="C24">
        <v>7.3280000000000003</v>
      </c>
      <c r="D24">
        <v>6.3010000000000002</v>
      </c>
      <c r="E24">
        <v>6.5629999999999997</v>
      </c>
      <c r="F24">
        <v>7438646.0999999996</v>
      </c>
      <c r="G24">
        <v>6.5629999999999997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-0.48977604673807296</v>
      </c>
      <c r="Q24">
        <f t="shared" ref="Q24" si="96">F24*P24</f>
        <v>-3643270.6799415839</v>
      </c>
      <c r="R24">
        <f t="shared" ref="R24" si="97">R25+Q24</f>
        <v>250438306.45642528</v>
      </c>
      <c r="S24">
        <f t="shared" ref="S24" si="98">R24/100000</f>
        <v>2504.3830645642529</v>
      </c>
      <c r="T24">
        <f t="shared" ref="T24" si="99">S24/1000</f>
        <v>2.5043830645642529</v>
      </c>
    </row>
    <row r="25" spans="1:20" x14ac:dyDescent="0.25">
      <c r="A25" s="5">
        <v>44568</v>
      </c>
      <c r="B25">
        <v>7.4379999999999997</v>
      </c>
      <c r="C25">
        <v>7.4720000000000004</v>
      </c>
      <c r="D25">
        <v>6.4009999999999998</v>
      </c>
      <c r="E25">
        <v>7.1779999999999999</v>
      </c>
      <c r="F25">
        <v>14869271.4</v>
      </c>
      <c r="G25">
        <v>7.1779999999999999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0.45098039215686214</v>
      </c>
      <c r="Q25">
        <f t="shared" ref="Q25" si="101">F25*P25</f>
        <v>6705749.847058815</v>
      </c>
      <c r="R25">
        <f t="shared" ref="R25" si="102">R26+Q25</f>
        <v>254081577.13636687</v>
      </c>
      <c r="S25">
        <f t="shared" ref="S25" si="103">R25/100000</f>
        <v>2540.8157713636688</v>
      </c>
      <c r="T25">
        <f t="shared" ref="T25" si="104">S25/1000</f>
        <v>2.5408157713636688</v>
      </c>
    </row>
    <row r="26" spans="1:20" x14ac:dyDescent="0.25">
      <c r="A26" s="5">
        <v>44567</v>
      </c>
      <c r="B26">
        <v>7.6470000000000002</v>
      </c>
      <c r="C26">
        <v>7.8520000000000003</v>
      </c>
      <c r="D26">
        <v>7.1040000000000001</v>
      </c>
      <c r="E26">
        <v>7.4370000000000003</v>
      </c>
      <c r="F26">
        <v>9106515.6999999993</v>
      </c>
      <c r="G26">
        <v>7.4370000000000003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-0.10962566844919763</v>
      </c>
      <c r="Q26">
        <f t="shared" ref="Q26" si="106">F26*P26</f>
        <v>-998307.8708556128</v>
      </c>
      <c r="R26">
        <f t="shared" ref="R26" si="107">R27+Q26</f>
        <v>247375827.28930807</v>
      </c>
      <c r="S26">
        <f t="shared" ref="S26" si="108">R26/100000</f>
        <v>2473.7582728930806</v>
      </c>
      <c r="T26">
        <f t="shared" ref="T26" si="109">S26/1000</f>
        <v>2.4737582728930807</v>
      </c>
    </row>
    <row r="27" spans="1:20" x14ac:dyDescent="0.25">
      <c r="A27" s="5">
        <v>44566</v>
      </c>
      <c r="B27">
        <v>8.077</v>
      </c>
      <c r="C27">
        <v>9.0449999999999999</v>
      </c>
      <c r="D27">
        <v>7.2320000000000002</v>
      </c>
      <c r="E27">
        <v>7.6470000000000002</v>
      </c>
      <c r="F27">
        <v>16541575.5</v>
      </c>
      <c r="G27">
        <v>7.6470000000000002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-0.54219525648097067</v>
      </c>
      <c r="Q27">
        <f t="shared" ref="Q27" si="111">F27*P27</f>
        <v>-8968763.7708218414</v>
      </c>
      <c r="R27">
        <f t="shared" ref="R27" si="112">R28+Q27</f>
        <v>248374135.16016367</v>
      </c>
      <c r="S27">
        <f t="shared" ref="S27" si="113">R27/100000</f>
        <v>2483.7413516016368</v>
      </c>
      <c r="T27">
        <f t="shared" ref="T27" si="114">S27/1000</f>
        <v>2.4837413516016369</v>
      </c>
    </row>
    <row r="28" spans="1:20" x14ac:dyDescent="0.25">
      <c r="A28" s="5">
        <v>44565</v>
      </c>
      <c r="B28">
        <v>8.5180000000000007</v>
      </c>
      <c r="C28">
        <v>8.8000000000000007</v>
      </c>
      <c r="D28">
        <v>7.9539999999999997</v>
      </c>
      <c r="E28">
        <v>8.0749999999999993</v>
      </c>
      <c r="F28">
        <v>14348366.800000001</v>
      </c>
      <c r="G28">
        <v>8.0749999999999993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-0.71394799054373659</v>
      </c>
      <c r="Q28">
        <f t="shared" ref="Q28" si="116">F28*P28</f>
        <v>-10243987.644444464</v>
      </c>
      <c r="R28">
        <f t="shared" ref="R28" si="117">R29+Q28</f>
        <v>257342898.93098551</v>
      </c>
      <c r="S28">
        <f t="shared" ref="S28" si="118">R28/100000</f>
        <v>2573.4289893098553</v>
      </c>
      <c r="T28">
        <f t="shared" ref="T28" si="119">S28/1000</f>
        <v>2.5734289893098552</v>
      </c>
    </row>
    <row r="29" spans="1:20" x14ac:dyDescent="0.25">
      <c r="A29" s="5">
        <v>44564</v>
      </c>
      <c r="B29">
        <v>8.9290000000000003</v>
      </c>
      <c r="C29">
        <v>9.4489999999999998</v>
      </c>
      <c r="D29">
        <v>8.4339999999999993</v>
      </c>
      <c r="E29">
        <v>8.5180000000000007</v>
      </c>
      <c r="F29">
        <v>9994097.4000000004</v>
      </c>
      <c r="G29">
        <v>8.5180000000000007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-0.83448275862068699</v>
      </c>
      <c r="Q29">
        <f t="shared" ref="Q29" si="121">F29*P29</f>
        <v>-8339901.9682758357</v>
      </c>
      <c r="R29">
        <f t="shared" ref="R29" si="122">R30+Q29</f>
        <v>267586886.57542998</v>
      </c>
      <c r="S29">
        <f t="shared" ref="S29" si="123">R29/100000</f>
        <v>2675.8688657542998</v>
      </c>
      <c r="T29">
        <f t="shared" ref="T29" si="124">S29/1000</f>
        <v>2.6758688657542997</v>
      </c>
    </row>
    <row r="30" spans="1:20" x14ac:dyDescent="0.25">
      <c r="A30" s="5">
        <v>44563</v>
      </c>
      <c r="B30">
        <v>9.1340000000000003</v>
      </c>
      <c r="C30">
        <v>9.3729999999999993</v>
      </c>
      <c r="D30">
        <v>8.8179999999999996</v>
      </c>
      <c r="E30">
        <v>8.9290000000000003</v>
      </c>
      <c r="F30">
        <v>6582582</v>
      </c>
      <c r="G30">
        <v>8.9290000000000003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-0.59999999999999742</v>
      </c>
      <c r="Q30">
        <f t="shared" ref="Q30" si="126">F30*P30</f>
        <v>-3949549.199999983</v>
      </c>
      <c r="R30">
        <f t="shared" ref="R30" si="127">R31+Q30</f>
        <v>275926788.54370582</v>
      </c>
      <c r="S30">
        <f t="shared" ref="S30" si="128">R30/100000</f>
        <v>2759.2678854370583</v>
      </c>
      <c r="T30">
        <f t="shared" ref="T30" si="129">S30/1000</f>
        <v>2.7592678854370583</v>
      </c>
    </row>
    <row r="31" spans="1:20" x14ac:dyDescent="0.25">
      <c r="A31" s="5">
        <v>44562</v>
      </c>
      <c r="B31">
        <v>9.4250000000000007</v>
      </c>
      <c r="C31">
        <v>9.5030000000000001</v>
      </c>
      <c r="D31">
        <v>9.0239999999999991</v>
      </c>
      <c r="E31">
        <v>9.1359999999999992</v>
      </c>
      <c r="F31">
        <v>8178211.5</v>
      </c>
      <c r="G31">
        <v>9.1359999999999992</v>
      </c>
      <c r="L31" t="s">
        <v>7</v>
      </c>
      <c r="M31" t="s">
        <v>8</v>
      </c>
      <c r="N31" t="s">
        <v>8</v>
      </c>
      <c r="P31">
        <f t="shared" ref="P31" si="130">IF(C31=D31,0,((E31-D31)-(C31-E31))/(C31-D31))</f>
        <v>-0.53235908141962474</v>
      </c>
      <c r="Q31">
        <f t="shared" ref="Q31" si="131">F31*P31</f>
        <v>-4353745.1617954113</v>
      </c>
      <c r="R31">
        <f t="shared" ref="R31" si="132">R32+Q31</f>
        <v>279876337.74370581</v>
      </c>
      <c r="S31">
        <f t="shared" ref="S31" si="133">R31/100000</f>
        <v>2798.7633774370579</v>
      </c>
      <c r="T31">
        <f t="shared" ref="T31" si="134">S31/1000</f>
        <v>2.7987633774370577</v>
      </c>
    </row>
    <row r="32" spans="1:20" x14ac:dyDescent="0.25">
      <c r="A32" s="5">
        <v>44561</v>
      </c>
      <c r="B32">
        <v>10.244999999999999</v>
      </c>
      <c r="C32">
        <v>10.433</v>
      </c>
      <c r="D32">
        <v>9.35</v>
      </c>
      <c r="E32">
        <v>9.4250000000000007</v>
      </c>
      <c r="F32">
        <v>12559461.5</v>
      </c>
      <c r="G32">
        <v>9.4250000000000007</v>
      </c>
      <c r="L32" t="s">
        <v>7</v>
      </c>
      <c r="M32" t="s">
        <v>8</v>
      </c>
      <c r="N32" t="s">
        <v>8</v>
      </c>
      <c r="P32">
        <f t="shared" ref="P32" si="135">IF(C32=D32,0,((E32-D32)-(C32-E32))/(C32-D32))</f>
        <v>-0.86149584487534436</v>
      </c>
      <c r="Q32">
        <f t="shared" ref="Q32" si="136">F32*P32</f>
        <v>-10819923.89612186</v>
      </c>
      <c r="R32">
        <f t="shared" ref="R32" si="137">R33+Q32</f>
        <v>284230082.90550125</v>
      </c>
      <c r="S32">
        <f t="shared" ref="S32" si="138">R32/100000</f>
        <v>2842.3008290550124</v>
      </c>
      <c r="T32">
        <f t="shared" ref="T32" si="139">S32/1000</f>
        <v>2.8423008290550125</v>
      </c>
    </row>
    <row r="33" spans="1:20" x14ac:dyDescent="0.25">
      <c r="A33" s="5">
        <v>44560</v>
      </c>
      <c r="B33">
        <v>9.2609999999999992</v>
      </c>
      <c r="C33">
        <v>10.683999999999999</v>
      </c>
      <c r="D33">
        <v>8.782</v>
      </c>
      <c r="E33">
        <v>10.244</v>
      </c>
      <c r="F33">
        <v>18608047.199999999</v>
      </c>
      <c r="G33">
        <v>10.244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0.53732912723449033</v>
      </c>
      <c r="Q33">
        <f t="shared" ref="Q33" si="141">F33*P33</f>
        <v>9998645.7615142018</v>
      </c>
      <c r="R33">
        <f t="shared" ref="R33" si="142">R34+Q33</f>
        <v>295050006.80162311</v>
      </c>
      <c r="S33">
        <f t="shared" ref="S33" si="143">R33/100000</f>
        <v>2950.5000680162311</v>
      </c>
      <c r="T33">
        <f t="shared" ref="T33" si="144">S33/1000</f>
        <v>2.9505000680162312</v>
      </c>
    </row>
    <row r="34" spans="1:20" x14ac:dyDescent="0.25">
      <c r="A34" s="5">
        <v>44559</v>
      </c>
      <c r="B34">
        <v>9.0559999999999992</v>
      </c>
      <c r="C34">
        <v>9.9990000000000006</v>
      </c>
      <c r="D34">
        <v>8.702</v>
      </c>
      <c r="E34">
        <v>9.2620000000000005</v>
      </c>
      <c r="F34">
        <v>19822987.600000001</v>
      </c>
      <c r="G34">
        <v>9.2620000000000005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-0.13646877409406286</v>
      </c>
      <c r="Q34">
        <f t="shared" ref="Q34" si="146">F34*P34</f>
        <v>-2705218.8166538095</v>
      </c>
      <c r="R34">
        <f t="shared" ref="R34" si="147">R35+Q34</f>
        <v>285051361.04010892</v>
      </c>
      <c r="S34">
        <f t="shared" ref="S34" si="148">R34/100000</f>
        <v>2850.5136104010894</v>
      </c>
      <c r="T34">
        <f t="shared" ref="T34" si="149">S34/1000</f>
        <v>2.8505136104010895</v>
      </c>
    </row>
    <row r="35" spans="1:20" x14ac:dyDescent="0.25">
      <c r="A35" s="5">
        <v>44558</v>
      </c>
      <c r="B35">
        <v>9.14</v>
      </c>
      <c r="C35">
        <v>9.7940000000000005</v>
      </c>
      <c r="D35">
        <v>8.4090000000000007</v>
      </c>
      <c r="E35">
        <v>9.0570000000000004</v>
      </c>
      <c r="F35">
        <v>30122742.5</v>
      </c>
      <c r="G35">
        <v>9.0570000000000004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-6.4259927797834238E-2</v>
      </c>
      <c r="Q35">
        <f t="shared" ref="Q35" si="151">F35*P35</f>
        <v>-1935685.2581227529</v>
      </c>
      <c r="R35">
        <f t="shared" ref="R35" si="152">R36+Q35</f>
        <v>287756579.85676271</v>
      </c>
      <c r="S35">
        <f t="shared" ref="S35" si="153">R35/100000</f>
        <v>2877.5657985676271</v>
      </c>
      <c r="T35">
        <f t="shared" ref="T35" si="154">S35/1000</f>
        <v>2.8775657985676273</v>
      </c>
    </row>
    <row r="36" spans="1:20" x14ac:dyDescent="0.25">
      <c r="A36" s="5">
        <v>44557</v>
      </c>
      <c r="B36">
        <v>7.9260000000000002</v>
      </c>
      <c r="C36">
        <v>9.5809999999999995</v>
      </c>
      <c r="D36">
        <v>7.6120000000000001</v>
      </c>
      <c r="E36">
        <v>9.14</v>
      </c>
      <c r="F36">
        <v>17243816.5</v>
      </c>
      <c r="G36">
        <v>9.14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0.55205688166582112</v>
      </c>
      <c r="Q36">
        <f t="shared" ref="Q36" si="156">F36*P36</f>
        <v>9519567.5650076345</v>
      </c>
      <c r="R36">
        <f t="shared" ref="R36" si="157">R37+Q36</f>
        <v>289692265.11488545</v>
      </c>
      <c r="S36">
        <f t="shared" ref="S36" si="158">R36/100000</f>
        <v>2896.9226511488546</v>
      </c>
      <c r="T36">
        <f t="shared" ref="T36" si="159">S36/1000</f>
        <v>2.8969226511488544</v>
      </c>
    </row>
    <row r="37" spans="1:20" x14ac:dyDescent="0.25">
      <c r="A37" s="5">
        <v>44556</v>
      </c>
      <c r="B37">
        <v>7.6459999999999999</v>
      </c>
      <c r="C37">
        <v>7.9720000000000004</v>
      </c>
      <c r="D37">
        <v>7.1390000000000002</v>
      </c>
      <c r="E37">
        <v>7.9160000000000004</v>
      </c>
      <c r="F37">
        <v>7809318.0999999996</v>
      </c>
      <c r="G37">
        <v>7.9160000000000004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0.86554621848739488</v>
      </c>
      <c r="Q37">
        <f t="shared" ref="Q37" si="161">F37*P37</f>
        <v>6759325.7504201671</v>
      </c>
      <c r="R37">
        <f t="shared" ref="R37" si="162">R38+Q37</f>
        <v>280172697.54987782</v>
      </c>
      <c r="S37">
        <f t="shared" ref="S37" si="163">R37/100000</f>
        <v>2801.7269754987783</v>
      </c>
      <c r="T37">
        <f t="shared" ref="T37" si="164">S37/1000</f>
        <v>2.8017269754987781</v>
      </c>
    </row>
    <row r="38" spans="1:20" x14ac:dyDescent="0.25">
      <c r="A38" s="5">
        <v>44555</v>
      </c>
      <c r="B38">
        <v>7.9470000000000001</v>
      </c>
      <c r="C38">
        <v>8.17</v>
      </c>
      <c r="D38">
        <v>7.2240000000000002</v>
      </c>
      <c r="E38">
        <v>7.6470000000000002</v>
      </c>
      <c r="F38">
        <v>10388748</v>
      </c>
      <c r="G38">
        <v>7.6470000000000002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-0.10570824524312862</v>
      </c>
      <c r="Q38">
        <f t="shared" ref="Q38" si="166">F38*P38</f>
        <v>-1098176.3213530621</v>
      </c>
      <c r="R38">
        <f t="shared" ref="R38" si="167">R39+Q38</f>
        <v>273413371.79945767</v>
      </c>
      <c r="S38">
        <f t="shared" ref="S38" si="168">R38/100000</f>
        <v>2734.1337179945767</v>
      </c>
      <c r="T38">
        <f t="shared" ref="T38" si="169">S38/1000</f>
        <v>2.7341337179945766</v>
      </c>
    </row>
    <row r="39" spans="1:20" x14ac:dyDescent="0.25">
      <c r="A39" s="5">
        <v>44554</v>
      </c>
      <c r="B39">
        <v>7.3090000000000002</v>
      </c>
      <c r="C39">
        <v>8</v>
      </c>
      <c r="D39">
        <v>7.0609999999999999</v>
      </c>
      <c r="E39">
        <v>7.9420000000000002</v>
      </c>
      <c r="F39">
        <v>13832890.5</v>
      </c>
      <c r="G39">
        <v>7.9420000000000002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0.87646432374866912</v>
      </c>
      <c r="Q39">
        <f t="shared" ref="Q39" si="171">F39*P39</f>
        <v>12124035.017571889</v>
      </c>
      <c r="R39">
        <f t="shared" ref="R39" si="172">R40+Q39</f>
        <v>274511548.12081075</v>
      </c>
      <c r="S39">
        <f t="shared" ref="S39" si="173">R39/100000</f>
        <v>2745.1154812081077</v>
      </c>
      <c r="T39">
        <f t="shared" ref="T39" si="174">S39/1000</f>
        <v>2.7451154812081078</v>
      </c>
    </row>
    <row r="40" spans="1:20" x14ac:dyDescent="0.25">
      <c r="A40" s="5">
        <v>44553</v>
      </c>
      <c r="B40">
        <v>6.3630000000000004</v>
      </c>
      <c r="C40">
        <v>7.4939999999999998</v>
      </c>
      <c r="D40">
        <v>6.2149999999999999</v>
      </c>
      <c r="E40">
        <v>7.3070000000000004</v>
      </c>
      <c r="F40">
        <v>18559356.899999999</v>
      </c>
      <c r="G40">
        <v>7.3070000000000004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0.70758405003909397</v>
      </c>
      <c r="Q40">
        <f t="shared" ref="Q40" si="176">F40*P40</f>
        <v>13132304.921423003</v>
      </c>
      <c r="R40">
        <f t="shared" ref="R40" si="177">R41+Q40</f>
        <v>262387513.10323888</v>
      </c>
      <c r="S40">
        <f t="shared" ref="S40" si="178">R40/100000</f>
        <v>2623.8751310323887</v>
      </c>
      <c r="T40">
        <f t="shared" ref="T40" si="179">S40/1000</f>
        <v>2.6238751310323889</v>
      </c>
    </row>
    <row r="41" spans="1:20" x14ac:dyDescent="0.25">
      <c r="A41" s="5">
        <v>44552</v>
      </c>
      <c r="B41">
        <v>5.843</v>
      </c>
      <c r="C41">
        <v>6.5149999999999997</v>
      </c>
      <c r="D41">
        <v>5.6029999999999998</v>
      </c>
      <c r="E41">
        <v>6.3650000000000002</v>
      </c>
      <c r="F41">
        <v>9437750.8000000007</v>
      </c>
      <c r="G41">
        <v>6.3650000000000002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0.67105263157894846</v>
      </c>
      <c r="Q41">
        <f t="shared" ref="Q41" si="181">F41*P41</f>
        <v>6333227.5105263265</v>
      </c>
      <c r="R41">
        <f t="shared" ref="R41" si="182">R42+Q41</f>
        <v>249255208.18181589</v>
      </c>
      <c r="S41">
        <f t="shared" ref="S41" si="183">R41/100000</f>
        <v>2492.552081818159</v>
      </c>
      <c r="T41">
        <f t="shared" ref="T41" si="184">S41/1000</f>
        <v>2.4925520818181588</v>
      </c>
    </row>
    <row r="42" spans="1:20" x14ac:dyDescent="0.25">
      <c r="A42" s="5">
        <v>44551</v>
      </c>
      <c r="B42">
        <v>5.4749999999999996</v>
      </c>
      <c r="C42">
        <v>5.85</v>
      </c>
      <c r="D42">
        <v>5.3280000000000003</v>
      </c>
      <c r="E42">
        <v>5.84</v>
      </c>
      <c r="F42">
        <v>5862098.7000000002</v>
      </c>
      <c r="G42">
        <v>5.84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0.96168582375479006</v>
      </c>
      <c r="Q42">
        <f t="shared" ref="Q42" si="186">F42*P42</f>
        <v>5637497.2172413841</v>
      </c>
      <c r="R42">
        <f t="shared" ref="R42" si="187">R43+Q42</f>
        <v>242921980.67128956</v>
      </c>
      <c r="S42">
        <f t="shared" ref="S42" si="188">R42/100000</f>
        <v>2429.2198067128957</v>
      </c>
      <c r="T42">
        <f t="shared" ref="T42" si="189">S42/1000</f>
        <v>2.4292198067128958</v>
      </c>
    </row>
    <row r="43" spans="1:20" x14ac:dyDescent="0.25">
      <c r="A43" s="5">
        <v>44550</v>
      </c>
      <c r="B43">
        <v>5.3369999999999997</v>
      </c>
      <c r="C43">
        <v>5.53</v>
      </c>
      <c r="D43">
        <v>5.08</v>
      </c>
      <c r="E43">
        <v>5.48</v>
      </c>
      <c r="F43">
        <v>4748299.2</v>
      </c>
      <c r="G43">
        <v>5.48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0.77777777777777868</v>
      </c>
      <c r="Q43">
        <f t="shared" ref="Q43" si="191">F43*P43</f>
        <v>3693121.6000000043</v>
      </c>
      <c r="R43">
        <f t="shared" ref="R43" si="192">R44+Q43</f>
        <v>237284483.45404819</v>
      </c>
      <c r="S43">
        <f t="shared" ref="S43" si="193">R43/100000</f>
        <v>2372.8448345404818</v>
      </c>
      <c r="T43">
        <f t="shared" ref="T43" si="194">S43/1000</f>
        <v>2.3728448345404818</v>
      </c>
    </row>
    <row r="44" spans="1:20" x14ac:dyDescent="0.25">
      <c r="A44" s="5">
        <v>44549</v>
      </c>
      <c r="B44">
        <v>5.6050000000000004</v>
      </c>
      <c r="C44">
        <v>5.6390000000000002</v>
      </c>
      <c r="D44">
        <v>5.3049999999999997</v>
      </c>
      <c r="E44">
        <v>5.3369999999999997</v>
      </c>
      <c r="F44">
        <v>5836104.4000000004</v>
      </c>
      <c r="G44">
        <v>5.3369999999999997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-0.80838323353293429</v>
      </c>
      <c r="Q44">
        <f t="shared" ref="Q44" si="196">F44*P44</f>
        <v>-4717808.9461077852</v>
      </c>
      <c r="R44">
        <f t="shared" ref="R44" si="197">R45+Q44</f>
        <v>233591361.85404819</v>
      </c>
      <c r="S44">
        <f t="shared" ref="S44" si="198">R44/100000</f>
        <v>2335.9136185404818</v>
      </c>
      <c r="T44">
        <f t="shared" ref="T44" si="199">S44/1000</f>
        <v>2.3359136185404816</v>
      </c>
    </row>
    <row r="45" spans="1:20" x14ac:dyDescent="0.25">
      <c r="A45" s="5">
        <v>44548</v>
      </c>
      <c r="B45">
        <v>5.508</v>
      </c>
      <c r="C45">
        <v>6</v>
      </c>
      <c r="D45">
        <v>5.4489999999999998</v>
      </c>
      <c r="E45">
        <v>5.6040000000000001</v>
      </c>
      <c r="F45">
        <v>7791995.0999999996</v>
      </c>
      <c r="G45">
        <v>5.6040000000000001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-0.43738656987295749</v>
      </c>
      <c r="Q45">
        <f t="shared" ref="Q45" si="201">F45*P45</f>
        <v>-3408114.0092558921</v>
      </c>
      <c r="R45">
        <f t="shared" ref="R45" si="202">R46+Q45</f>
        <v>238309170.80015597</v>
      </c>
      <c r="S45">
        <f t="shared" ref="S45" si="203">R45/100000</f>
        <v>2383.0917080015597</v>
      </c>
      <c r="T45">
        <f t="shared" ref="T45" si="204">S45/1000</f>
        <v>2.3830917080015599</v>
      </c>
    </row>
    <row r="46" spans="1:20" x14ac:dyDescent="0.25">
      <c r="A46" s="5">
        <v>44547</v>
      </c>
      <c r="B46">
        <v>5.6929999999999996</v>
      </c>
      <c r="C46">
        <v>5.8410000000000002</v>
      </c>
      <c r="D46">
        <v>5.3540000000000001</v>
      </c>
      <c r="E46">
        <v>5.5110000000000001</v>
      </c>
      <c r="F46">
        <v>7728445.9000000004</v>
      </c>
      <c r="G46">
        <v>5.5110000000000001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-0.35523613963039014</v>
      </c>
      <c r="Q46">
        <f t="shared" ref="Q46" si="206">F46*P46</f>
        <v>-2745423.2868583165</v>
      </c>
      <c r="R46">
        <f t="shared" ref="R46" si="207">R47+Q46</f>
        <v>241717284.80941185</v>
      </c>
      <c r="S46">
        <f t="shared" ref="S46" si="208">R46/100000</f>
        <v>2417.1728480941188</v>
      </c>
      <c r="T46">
        <f t="shared" ref="T46" si="209">S46/1000</f>
        <v>2.4171728480941188</v>
      </c>
    </row>
    <row r="47" spans="1:20" x14ac:dyDescent="0.25">
      <c r="A47" s="5">
        <v>44546</v>
      </c>
      <c r="B47">
        <v>5.9450000000000003</v>
      </c>
      <c r="C47">
        <v>6.2119999999999997</v>
      </c>
      <c r="D47">
        <v>5.6550000000000002</v>
      </c>
      <c r="E47">
        <v>5.694</v>
      </c>
      <c r="F47">
        <v>8878125.3000000007</v>
      </c>
      <c r="G47">
        <v>5.694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-0.85996409335727209</v>
      </c>
      <c r="Q47">
        <f t="shared" ref="Q47" si="211">F47*P47</f>
        <v>-7634868.9743267596</v>
      </c>
      <c r="R47">
        <f t="shared" ref="R47" si="212">R48+Q47</f>
        <v>244462708.09627017</v>
      </c>
      <c r="S47">
        <f t="shared" ref="S47" si="213">R47/100000</f>
        <v>2444.6270809627017</v>
      </c>
      <c r="T47">
        <f t="shared" ref="T47" si="214">S47/1000</f>
        <v>2.4446270809627015</v>
      </c>
    </row>
    <row r="48" spans="1:20" x14ac:dyDescent="0.25">
      <c r="A48" s="5">
        <v>44545</v>
      </c>
      <c r="B48">
        <v>5.74</v>
      </c>
      <c r="C48">
        <v>6.1589999999999998</v>
      </c>
      <c r="D48">
        <v>5.5960000000000001</v>
      </c>
      <c r="E48">
        <v>5.9459999999999997</v>
      </c>
      <c r="F48">
        <v>12289383.800000001</v>
      </c>
      <c r="G48">
        <v>5.9459999999999997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0.24333925399644696</v>
      </c>
      <c r="Q48">
        <f t="shared" ref="Q48" si="216">F48*P48</f>
        <v>2990489.4859680207</v>
      </c>
      <c r="R48">
        <f t="shared" ref="R48" si="217">R49+Q48</f>
        <v>252097577.07059693</v>
      </c>
      <c r="S48">
        <f t="shared" ref="S48" si="218">R48/100000</f>
        <v>2520.9757707059694</v>
      </c>
      <c r="T48">
        <f t="shared" ref="T48" si="219">S48/1000</f>
        <v>2.5209757707059692</v>
      </c>
    </row>
    <row r="49" spans="1:20" x14ac:dyDescent="0.25">
      <c r="A49" s="5">
        <v>44544</v>
      </c>
      <c r="B49">
        <v>5.6369999999999996</v>
      </c>
      <c r="C49">
        <v>5.9290000000000003</v>
      </c>
      <c r="D49">
        <v>5.3460000000000001</v>
      </c>
      <c r="E49">
        <v>5.74</v>
      </c>
      <c r="F49">
        <v>13730933.800000001</v>
      </c>
      <c r="G49">
        <v>5.74</v>
      </c>
      <c r="L49" t="s">
        <v>7</v>
      </c>
      <c r="M49" t="s">
        <v>8</v>
      </c>
      <c r="N49" t="s">
        <v>7</v>
      </c>
      <c r="P49">
        <f t="shared" ref="P49" si="220">IF(C49=D49,0,((E49-D49)-(C49-E49))/(C49-D49))</f>
        <v>0.35162950257289882</v>
      </c>
      <c r="Q49">
        <f t="shared" ref="Q49" si="221">F49*P49</f>
        <v>4828201.4219554039</v>
      </c>
      <c r="R49">
        <f t="shared" ref="R49" si="222">R50+Q49</f>
        <v>249107087.58462891</v>
      </c>
      <c r="S49">
        <f t="shared" ref="S49" si="223">R49/100000</f>
        <v>2491.0708758462893</v>
      </c>
      <c r="T49">
        <f t="shared" ref="T49" si="224">S49/1000</f>
        <v>2.4910708758462894</v>
      </c>
    </row>
    <row r="50" spans="1:20" x14ac:dyDescent="0.25">
      <c r="A50" s="5">
        <v>44543</v>
      </c>
      <c r="B50">
        <v>5.58</v>
      </c>
      <c r="C50">
        <v>6.3739999999999997</v>
      </c>
      <c r="D50">
        <v>5.27</v>
      </c>
      <c r="E50">
        <v>5.6390000000000002</v>
      </c>
      <c r="F50">
        <v>30060420.5</v>
      </c>
      <c r="G50">
        <v>5.6390000000000002</v>
      </c>
      <c r="L50" t="s">
        <v>8</v>
      </c>
      <c r="M50" t="s">
        <v>8</v>
      </c>
      <c r="N50" t="s">
        <v>7</v>
      </c>
      <c r="P50">
        <f t="shared" ref="P50" si="225">IF(C50=D50,0,((E50-D50)-(C50-E50))/(C50-D50))</f>
        <v>-0.33152173913043365</v>
      </c>
      <c r="Q50">
        <f t="shared" ref="Q50" si="226">F50*P50</f>
        <v>-9965682.8831521403</v>
      </c>
      <c r="R50">
        <f t="shared" ref="R50" si="227">R51+Q50</f>
        <v>244278886.1626735</v>
      </c>
      <c r="S50">
        <f t="shared" ref="S50" si="228">R50/100000</f>
        <v>2442.7888616267351</v>
      </c>
      <c r="T50">
        <f t="shared" ref="T50" si="229">S50/1000</f>
        <v>2.442788861626735</v>
      </c>
    </row>
    <row r="51" spans="1:20" x14ac:dyDescent="0.25">
      <c r="A51" s="5">
        <v>44542</v>
      </c>
      <c r="B51">
        <v>5.7320000000000002</v>
      </c>
      <c r="C51">
        <v>5.7359999999999998</v>
      </c>
      <c r="D51">
        <v>5.343</v>
      </c>
      <c r="E51">
        <v>5.5789999999999997</v>
      </c>
      <c r="F51">
        <v>4457787.5</v>
      </c>
      <c r="G51">
        <v>5.5789999999999997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0.20101781170483404</v>
      </c>
      <c r="Q51">
        <f t="shared" ref="Q51" si="231">F51*P51</f>
        <v>896094.68829516286</v>
      </c>
      <c r="R51">
        <f t="shared" ref="R51" si="232">R52+Q51</f>
        <v>254244569.04582563</v>
      </c>
      <c r="S51">
        <f t="shared" ref="S51" si="233">R51/100000</f>
        <v>2542.4456904582562</v>
      </c>
      <c r="T51">
        <f t="shared" ref="T51" si="234">S51/1000</f>
        <v>2.5424456904582562</v>
      </c>
    </row>
    <row r="52" spans="1:20" x14ac:dyDescent="0.25">
      <c r="A52" s="5">
        <v>44541</v>
      </c>
      <c r="B52">
        <v>5.0830000000000002</v>
      </c>
      <c r="C52">
        <v>5.2119999999999997</v>
      </c>
      <c r="D52">
        <v>4.9589999999999996</v>
      </c>
      <c r="E52">
        <v>5.194</v>
      </c>
      <c r="F52">
        <v>741151</v>
      </c>
      <c r="G52">
        <v>5.194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0.85770750988142463</v>
      </c>
      <c r="Q52">
        <f t="shared" ref="Q52" si="236">F52*P52</f>
        <v>635690.77865612775</v>
      </c>
      <c r="R52">
        <f t="shared" ref="R52" si="237">R53+Q52</f>
        <v>253348474.35753047</v>
      </c>
      <c r="S52">
        <f t="shared" ref="S52" si="238">R52/100000</f>
        <v>2533.4847435753049</v>
      </c>
      <c r="T52">
        <f t="shared" ref="T52" si="239">S52/1000</f>
        <v>2.533484743575305</v>
      </c>
    </row>
    <row r="53" spans="1:20" x14ac:dyDescent="0.25">
      <c r="A53" s="5">
        <v>44540</v>
      </c>
      <c r="B53">
        <v>5.4909999999999997</v>
      </c>
      <c r="C53">
        <v>5.7430000000000003</v>
      </c>
      <c r="D53">
        <v>5.048</v>
      </c>
      <c r="E53">
        <v>5.0830000000000002</v>
      </c>
      <c r="F53">
        <v>8284464.7999999998</v>
      </c>
      <c r="G53">
        <v>5.0830000000000002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-0.89928057553956797</v>
      </c>
      <c r="Q53">
        <f t="shared" ref="Q53" si="241">F53*P53</f>
        <v>-7450058.2733812919</v>
      </c>
      <c r="R53">
        <f t="shared" ref="R53" si="242">R54+Q53</f>
        <v>252712783.57887435</v>
      </c>
      <c r="S53">
        <f t="shared" ref="S53" si="243">R53/100000</f>
        <v>2527.1278357887436</v>
      </c>
      <c r="T53">
        <f t="shared" ref="T53" si="244">S53/1000</f>
        <v>2.5271278357887437</v>
      </c>
    </row>
    <row r="54" spans="1:20" x14ac:dyDescent="0.25">
      <c r="A54" s="5">
        <v>44539</v>
      </c>
      <c r="B54">
        <v>6.6269999999999998</v>
      </c>
      <c r="C54">
        <v>6.649</v>
      </c>
      <c r="D54">
        <v>5.4160000000000004</v>
      </c>
      <c r="E54">
        <v>5.4870000000000001</v>
      </c>
      <c r="F54">
        <v>9161786</v>
      </c>
      <c r="G54">
        <v>5.4870000000000001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-0.88483373884833783</v>
      </c>
      <c r="Q54">
        <f t="shared" ref="Q54" si="246">F54*P54</f>
        <v>-8106657.3609083574</v>
      </c>
      <c r="R54">
        <f t="shared" ref="R54" si="247">R55+Q54</f>
        <v>260162841.85225564</v>
      </c>
      <c r="S54">
        <f t="shared" ref="S54" si="248">R54/100000</f>
        <v>2601.6284185225563</v>
      </c>
      <c r="T54">
        <f t="shared" ref="T54" si="249">S54/1000</f>
        <v>2.6016284185225564</v>
      </c>
    </row>
    <row r="55" spans="1:20" x14ac:dyDescent="0.25">
      <c r="A55" s="5">
        <v>44538</v>
      </c>
      <c r="B55">
        <v>5.8639999999999999</v>
      </c>
      <c r="C55">
        <v>6.91</v>
      </c>
      <c r="D55">
        <v>5.633</v>
      </c>
      <c r="E55">
        <v>6.6269999999999998</v>
      </c>
      <c r="F55">
        <v>14101313.6</v>
      </c>
      <c r="G55">
        <v>6.6269999999999998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0.55677368833202767</v>
      </c>
      <c r="Q55">
        <f t="shared" ref="Q55" si="251">F55*P55</f>
        <v>7851240.3833985832</v>
      </c>
      <c r="R55">
        <f t="shared" ref="R55" si="252">R56+Q55</f>
        <v>268269499.213164</v>
      </c>
      <c r="S55">
        <f t="shared" ref="S55" si="253">R55/100000</f>
        <v>2682.69499213164</v>
      </c>
      <c r="T55">
        <f t="shared" ref="T55" si="254">S55/1000</f>
        <v>2.6826949921316401</v>
      </c>
    </row>
    <row r="56" spans="1:20" x14ac:dyDescent="0.25">
      <c r="A56" s="5">
        <v>44537</v>
      </c>
      <c r="B56">
        <v>6.3019999999999996</v>
      </c>
      <c r="C56">
        <v>6.4329999999999998</v>
      </c>
      <c r="D56">
        <v>5.77</v>
      </c>
      <c r="E56">
        <v>5.8659999999999997</v>
      </c>
      <c r="F56">
        <v>9059576.3000000007</v>
      </c>
      <c r="G56">
        <v>5.8659999999999997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-0.71040723981900433</v>
      </c>
      <c r="Q56">
        <f t="shared" ref="Q56" si="256">F56*P56</f>
        <v>-6435988.5932126688</v>
      </c>
      <c r="R56">
        <f t="shared" ref="R56" si="257">R57+Q56</f>
        <v>260418258.82976541</v>
      </c>
      <c r="S56">
        <f t="shared" ref="S56" si="258">R56/100000</f>
        <v>2604.1825882976541</v>
      </c>
      <c r="T56">
        <f t="shared" ref="T56" si="259">S56/1000</f>
        <v>2.6041825882976539</v>
      </c>
    </row>
    <row r="57" spans="1:20" x14ac:dyDescent="0.25">
      <c r="A57" s="5">
        <v>44536</v>
      </c>
      <c r="B57">
        <v>5.2759999999999998</v>
      </c>
      <c r="C57">
        <v>6.48</v>
      </c>
      <c r="D57">
        <v>4.7930000000000001</v>
      </c>
      <c r="E57">
        <v>6.3090000000000002</v>
      </c>
      <c r="F57">
        <v>14852542.699999999</v>
      </c>
      <c r="G57">
        <v>6.3090000000000002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0.79727326615293392</v>
      </c>
      <c r="Q57">
        <f t="shared" ref="Q57" si="261">F57*P57</f>
        <v>11841535.229104916</v>
      </c>
      <c r="R57">
        <f t="shared" ref="R57" si="262">R58+Q57</f>
        <v>266854247.42297807</v>
      </c>
      <c r="S57">
        <f t="shared" ref="S57" si="263">R57/100000</f>
        <v>2668.5424742297805</v>
      </c>
      <c r="T57">
        <f t="shared" ref="T57" si="264">S57/1000</f>
        <v>2.6685424742297803</v>
      </c>
    </row>
    <row r="58" spans="1:20" x14ac:dyDescent="0.25">
      <c r="A58" s="5">
        <v>44535</v>
      </c>
      <c r="B58">
        <v>5.827</v>
      </c>
      <c r="C58">
        <v>5.9740000000000002</v>
      </c>
      <c r="D58">
        <v>5.077</v>
      </c>
      <c r="E58">
        <v>5.2759999999999998</v>
      </c>
      <c r="F58">
        <v>7133307.7000000002</v>
      </c>
      <c r="G58">
        <v>5.2759999999999998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-0.55629877369007852</v>
      </c>
      <c r="Q58">
        <f t="shared" ref="Q58" si="266">F58*P58</f>
        <v>-3968250.3258639947</v>
      </c>
      <c r="R58">
        <f t="shared" ref="R58" si="267">R59+Q58</f>
        <v>255012712.19387317</v>
      </c>
      <c r="S58">
        <f t="shared" ref="S58" si="268">R58/100000</f>
        <v>2550.1271219387318</v>
      </c>
      <c r="T58">
        <f t="shared" ref="T58" si="269">S58/1000</f>
        <v>2.5501271219387318</v>
      </c>
    </row>
    <row r="59" spans="1:20" x14ac:dyDescent="0.25">
      <c r="A59" s="5">
        <v>44534</v>
      </c>
      <c r="B59">
        <v>6.8230000000000004</v>
      </c>
      <c r="C59">
        <v>6.8719999999999999</v>
      </c>
      <c r="D59">
        <v>4.3319999999999999</v>
      </c>
      <c r="E59">
        <v>5.8319999999999999</v>
      </c>
      <c r="F59">
        <v>20197473.192000002</v>
      </c>
      <c r="G59">
        <v>5.8319999999999999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0.18110236220472439</v>
      </c>
      <c r="Q59">
        <f t="shared" ref="Q59" si="271">F59*P59</f>
        <v>3657810.1056377953</v>
      </c>
      <c r="R59">
        <f t="shared" ref="R59" si="272">R60+Q59</f>
        <v>258980962.51973715</v>
      </c>
      <c r="S59">
        <f t="shared" ref="S59" si="273">R59/100000</f>
        <v>2589.8096251973716</v>
      </c>
      <c r="T59">
        <f t="shared" ref="T59" si="274">S59/1000</f>
        <v>2.5898096251973715</v>
      </c>
    </row>
    <row r="60" spans="1:20" x14ac:dyDescent="0.25">
      <c r="A60" s="5">
        <v>44533</v>
      </c>
      <c r="B60">
        <v>7.3710000000000004</v>
      </c>
      <c r="C60">
        <v>7.4770000000000003</v>
      </c>
      <c r="D60">
        <v>6.6</v>
      </c>
      <c r="E60">
        <v>6.8209999999999997</v>
      </c>
      <c r="F60">
        <v>5190859</v>
      </c>
      <c r="G60">
        <v>6.8209999999999997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-0.49600912200684172</v>
      </c>
      <c r="Q60">
        <f t="shared" ref="Q60" si="276">F60*P60</f>
        <v>-2574713.4150513122</v>
      </c>
      <c r="R60">
        <f t="shared" ref="R60" si="277">R61+Q60</f>
        <v>255323152.41409937</v>
      </c>
      <c r="S60">
        <f t="shared" ref="S60" si="278">R60/100000</f>
        <v>2553.2315241409938</v>
      </c>
      <c r="T60">
        <f t="shared" ref="T60" si="279">S60/1000</f>
        <v>2.553231524140994</v>
      </c>
    </row>
    <row r="61" spans="1:20" x14ac:dyDescent="0.25">
      <c r="A61" s="5">
        <v>44532</v>
      </c>
      <c r="B61">
        <v>7.5519999999999996</v>
      </c>
      <c r="C61">
        <v>7.6210000000000004</v>
      </c>
      <c r="D61">
        <v>7.1849999999999996</v>
      </c>
      <c r="E61">
        <v>7.37</v>
      </c>
      <c r="F61">
        <v>5513916.7999999998</v>
      </c>
      <c r="G61">
        <v>7.37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-0.15137614678899017</v>
      </c>
      <c r="Q61">
        <f t="shared" ref="Q61" si="281">F61*P61</f>
        <v>-834675.47889907891</v>
      </c>
      <c r="R61">
        <f t="shared" ref="R61" si="282">R62+Q61</f>
        <v>257897865.82915068</v>
      </c>
      <c r="S61">
        <f t="shared" ref="S61" si="283">R61/100000</f>
        <v>2578.9786582915067</v>
      </c>
      <c r="T61">
        <f t="shared" ref="T61" si="284">S61/1000</f>
        <v>2.5789786582915069</v>
      </c>
    </row>
    <row r="62" spans="1:20" x14ac:dyDescent="0.25">
      <c r="A62" s="5">
        <v>44531</v>
      </c>
      <c r="B62">
        <v>8.0009999999999994</v>
      </c>
      <c r="C62">
        <v>8.2409999999999997</v>
      </c>
      <c r="D62">
        <v>7.5119999999999996</v>
      </c>
      <c r="E62">
        <v>7.5510000000000002</v>
      </c>
      <c r="F62">
        <v>6536417.7999999998</v>
      </c>
      <c r="G62">
        <v>7.5510000000000002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-0.89300411522633583</v>
      </c>
      <c r="Q62">
        <f t="shared" ref="Q62" si="286">F62*P62</f>
        <v>-5837047.9942386728</v>
      </c>
      <c r="R62">
        <f t="shared" ref="R62" si="287">R63+Q62</f>
        <v>258732541.30804977</v>
      </c>
      <c r="S62">
        <f t="shared" ref="S62" si="288">R62/100000</f>
        <v>2587.3254130804976</v>
      </c>
      <c r="T62">
        <f t="shared" ref="T62" si="289">S62/1000</f>
        <v>2.5873254130804977</v>
      </c>
    </row>
    <row r="63" spans="1:20" x14ac:dyDescent="0.25">
      <c r="A63" s="5">
        <v>44530</v>
      </c>
      <c r="B63">
        <v>7.4649999999999999</v>
      </c>
      <c r="C63">
        <v>8.0579999999999998</v>
      </c>
      <c r="D63">
        <v>7.173</v>
      </c>
      <c r="E63">
        <v>8.0009999999999994</v>
      </c>
      <c r="F63">
        <v>8025385</v>
      </c>
      <c r="G63">
        <v>8.0009999999999994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0.87118644067796525</v>
      </c>
      <c r="Q63">
        <f t="shared" ref="Q63" si="291">F63*P63</f>
        <v>6991606.5932203317</v>
      </c>
      <c r="R63">
        <f t="shared" ref="R63" si="292">R64+Q63</f>
        <v>264569589.30228844</v>
      </c>
      <c r="S63">
        <f t="shared" ref="S63" si="293">R63/100000</f>
        <v>2645.6958930228843</v>
      </c>
      <c r="T63">
        <f t="shared" ref="T63" si="294">S63/1000</f>
        <v>2.6456958930228844</v>
      </c>
    </row>
    <row r="64" spans="1:20" x14ac:dyDescent="0.25">
      <c r="A64" s="5">
        <v>44529</v>
      </c>
      <c r="B64">
        <v>7.9450000000000003</v>
      </c>
      <c r="C64">
        <v>8.3160000000000007</v>
      </c>
      <c r="D64">
        <v>7.4459999999999997</v>
      </c>
      <c r="E64">
        <v>7.4649999999999999</v>
      </c>
      <c r="F64">
        <v>8696690.4000000004</v>
      </c>
      <c r="G64">
        <v>7.4649999999999999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-0.95632183908045953</v>
      </c>
      <c r="Q64">
        <f t="shared" ref="Q64" si="296">F64*P64</f>
        <v>-8316834.9572413778</v>
      </c>
      <c r="R64">
        <f t="shared" ref="R64" si="297">R65+Q64</f>
        <v>257577982.70906812</v>
      </c>
      <c r="S64">
        <f t="shared" ref="S64" si="298">R64/100000</f>
        <v>2575.779827090681</v>
      </c>
      <c r="T64">
        <f t="shared" ref="T64" si="299">S64/1000</f>
        <v>2.5757798270906811</v>
      </c>
    </row>
    <row r="65" spans="1:20" x14ac:dyDescent="0.25">
      <c r="A65" s="5">
        <v>44528</v>
      </c>
      <c r="B65">
        <v>7.05</v>
      </c>
      <c r="C65">
        <v>8.0440000000000005</v>
      </c>
      <c r="D65">
        <v>6.6440000000000001</v>
      </c>
      <c r="E65">
        <v>7.9409999999999998</v>
      </c>
      <c r="F65">
        <v>10368484.699999999</v>
      </c>
      <c r="G65">
        <v>7.9409999999999998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0.85285714285714198</v>
      </c>
      <c r="Q65">
        <f t="shared" ref="Q65" si="301">F65*P65</f>
        <v>8842836.2369999904</v>
      </c>
      <c r="R65">
        <f t="shared" ref="R65" si="302">R66+Q65</f>
        <v>265894817.66630951</v>
      </c>
      <c r="S65">
        <f t="shared" ref="S65" si="303">R65/100000</f>
        <v>2658.9481766630952</v>
      </c>
      <c r="T65">
        <f t="shared" ref="T65" si="304">S65/1000</f>
        <v>2.6589481766630954</v>
      </c>
    </row>
    <row r="66" spans="1:20" x14ac:dyDescent="0.25">
      <c r="A66" s="5">
        <v>44527</v>
      </c>
      <c r="B66">
        <v>7.0359999999999996</v>
      </c>
      <c r="C66">
        <v>7.3369999999999997</v>
      </c>
      <c r="D66">
        <v>6.95</v>
      </c>
      <c r="E66">
        <v>7.0490000000000004</v>
      </c>
      <c r="F66">
        <v>4331872.5999999996</v>
      </c>
      <c r="G66">
        <v>7.0490000000000004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-0.48837209302325424</v>
      </c>
      <c r="Q66">
        <f t="shared" ref="Q66" si="306">F66*P66</f>
        <v>-2115565.6883720858</v>
      </c>
      <c r="R66">
        <f t="shared" ref="R66" si="307">R67+Q66</f>
        <v>257051981.42930952</v>
      </c>
      <c r="S66">
        <f t="shared" ref="S66" si="308">R66/100000</f>
        <v>2570.5198142930954</v>
      </c>
      <c r="T66">
        <f t="shared" ref="T66" si="309">S66/1000</f>
        <v>2.5705198142930952</v>
      </c>
    </row>
    <row r="67" spans="1:20" x14ac:dyDescent="0.25">
      <c r="A67" s="5">
        <v>44526</v>
      </c>
      <c r="B67">
        <v>8.202</v>
      </c>
      <c r="C67">
        <v>8.423</v>
      </c>
      <c r="D67">
        <v>6.8479999999999999</v>
      </c>
      <c r="E67">
        <v>7.0289999999999999</v>
      </c>
      <c r="F67">
        <v>11245381.086999999</v>
      </c>
      <c r="G67">
        <v>7.0289999999999999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-0.77015873015873015</v>
      </c>
      <c r="Q67">
        <f t="shared" ref="Q67" si="311">F67*P67</f>
        <v>-8660728.4181149192</v>
      </c>
      <c r="R67">
        <f t="shared" ref="R67" si="312">R68+Q67</f>
        <v>259167547.11768159</v>
      </c>
      <c r="S67">
        <f t="shared" ref="S67" si="313">R67/100000</f>
        <v>2591.6754711768158</v>
      </c>
      <c r="T67">
        <f t="shared" ref="T67" si="314">S67/1000</f>
        <v>2.5916754711768157</v>
      </c>
    </row>
    <row r="68" spans="1:20" x14ac:dyDescent="0.25">
      <c r="A68" s="5">
        <v>44525</v>
      </c>
      <c r="B68">
        <v>7.9459999999999997</v>
      </c>
      <c r="C68">
        <v>8.4190000000000005</v>
      </c>
      <c r="D68">
        <v>7.65</v>
      </c>
      <c r="E68">
        <v>8.2059999999999995</v>
      </c>
      <c r="F68">
        <v>7179697.2879999997</v>
      </c>
      <c r="G68">
        <v>8.2059999999999995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0.4460338101430405</v>
      </c>
      <c r="Q68">
        <f t="shared" ref="Q68" si="316">F68*P68</f>
        <v>3202387.7370402948</v>
      </c>
      <c r="R68">
        <f t="shared" ref="R68" si="317">R69+Q68</f>
        <v>267828275.53579652</v>
      </c>
      <c r="S68">
        <f t="shared" ref="S68" si="318">R68/100000</f>
        <v>2678.282755357965</v>
      </c>
      <c r="T68">
        <f t="shared" ref="T68" si="319">S68/1000</f>
        <v>2.6782827553579649</v>
      </c>
    </row>
    <row r="69" spans="1:20" x14ac:dyDescent="0.25">
      <c r="A69" s="5">
        <v>44524</v>
      </c>
      <c r="B69">
        <v>8.3710000000000004</v>
      </c>
      <c r="C69">
        <v>8.4629999999999992</v>
      </c>
      <c r="D69">
        <v>8.1359999999999992</v>
      </c>
      <c r="E69">
        <v>8.1929999999999996</v>
      </c>
      <c r="F69">
        <v>1545793.7</v>
      </c>
      <c r="G69">
        <v>8.1929999999999996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-0.65137614678898847</v>
      </c>
      <c r="Q69">
        <f t="shared" ref="Q69" si="321">F69*P69</f>
        <v>-1006893.1440366936</v>
      </c>
      <c r="R69">
        <f t="shared" ref="R69" si="322">R70+Q69</f>
        <v>264625887.79875624</v>
      </c>
      <c r="S69">
        <f t="shared" ref="S69" si="323">R69/100000</f>
        <v>2646.2588779875623</v>
      </c>
      <c r="T69">
        <f t="shared" ref="T69" si="324">S69/1000</f>
        <v>2.6462588779875622</v>
      </c>
    </row>
    <row r="70" spans="1:20" x14ac:dyDescent="0.25">
      <c r="A70" s="5">
        <v>44523</v>
      </c>
      <c r="B70">
        <v>8.2249999999999996</v>
      </c>
      <c r="C70">
        <v>8.6669999999999998</v>
      </c>
      <c r="D70">
        <v>8.1289999999999996</v>
      </c>
      <c r="E70">
        <v>8.3650000000000002</v>
      </c>
      <c r="F70">
        <v>4613337.9000000004</v>
      </c>
      <c r="G70">
        <v>8.3650000000000002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-0.12267657992564854</v>
      </c>
      <c r="Q70">
        <f t="shared" ref="Q70" si="326">F70*P70</f>
        <v>-565948.5156133736</v>
      </c>
      <c r="R70">
        <f t="shared" ref="R70" si="327">R71+Q70</f>
        <v>265632780.94279292</v>
      </c>
      <c r="S70">
        <f t="shared" ref="S70" si="328">R70/100000</f>
        <v>2656.3278094279294</v>
      </c>
      <c r="T70">
        <f t="shared" ref="T70" si="329">S70/1000</f>
        <v>2.6563278094279292</v>
      </c>
    </row>
    <row r="71" spans="1:20" x14ac:dyDescent="0.25">
      <c r="A71" s="5">
        <v>44522</v>
      </c>
      <c r="B71">
        <v>8.7379999999999995</v>
      </c>
      <c r="C71">
        <v>8.7729999999999997</v>
      </c>
      <c r="D71">
        <v>8.0549999999999997</v>
      </c>
      <c r="E71">
        <v>8.23</v>
      </c>
      <c r="F71">
        <v>5666093.5609999998</v>
      </c>
      <c r="G71">
        <v>8.23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-0.51253481894150221</v>
      </c>
      <c r="Q71">
        <f t="shared" ref="Q71" si="331">F71*P71</f>
        <v>-2904070.2373927464</v>
      </c>
      <c r="R71">
        <f t="shared" ref="R71" si="332">R72+Q71</f>
        <v>266198729.4584063</v>
      </c>
      <c r="S71">
        <f t="shared" ref="S71" si="333">R71/100000</f>
        <v>2661.987294584063</v>
      </c>
      <c r="T71">
        <f t="shared" ref="T71" si="334">S71/1000</f>
        <v>2.6619872945840628</v>
      </c>
    </row>
    <row r="72" spans="1:20" x14ac:dyDescent="0.25">
      <c r="A72" s="5">
        <v>44521</v>
      </c>
      <c r="B72">
        <v>9.0459999999999994</v>
      </c>
      <c r="C72">
        <v>9.17</v>
      </c>
      <c r="D72">
        <v>8.67</v>
      </c>
      <c r="E72">
        <v>8.7330000000000005</v>
      </c>
      <c r="F72">
        <v>4205730.3</v>
      </c>
      <c r="G72">
        <v>8.7330000000000005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-0.74799999999999756</v>
      </c>
      <c r="Q72">
        <f t="shared" ref="Q72" si="336">F72*P72</f>
        <v>-3145886.2643999895</v>
      </c>
      <c r="R72">
        <f t="shared" ref="R72" si="337">R73+Q72</f>
        <v>269102799.69579905</v>
      </c>
      <c r="S72">
        <f t="shared" ref="S72" si="338">R72/100000</f>
        <v>2691.0279969579906</v>
      </c>
      <c r="T72">
        <f t="shared" ref="T72" si="339">S72/1000</f>
        <v>2.6910279969579904</v>
      </c>
    </row>
    <row r="73" spans="1:20" x14ac:dyDescent="0.25">
      <c r="A73" s="5">
        <v>44520</v>
      </c>
      <c r="B73">
        <v>9.0020000000000007</v>
      </c>
      <c r="C73">
        <v>9.2420000000000009</v>
      </c>
      <c r="D73">
        <v>8.6950000000000003</v>
      </c>
      <c r="E73">
        <v>9.0449999999999999</v>
      </c>
      <c r="F73">
        <v>3937154.6</v>
      </c>
      <c r="G73">
        <v>9.0449999999999999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0.27970749542961337</v>
      </c>
      <c r="Q73">
        <f t="shared" ref="Q73" si="341">F73*P73</f>
        <v>1101251.6522851812</v>
      </c>
      <c r="R73">
        <f t="shared" ref="R73" si="342">R74+Q73</f>
        <v>272248685.96019906</v>
      </c>
      <c r="S73">
        <f t="shared" ref="S73" si="343">R73/100000</f>
        <v>2722.4868596019905</v>
      </c>
      <c r="T73">
        <f t="shared" ref="T73" si="344">S73/1000</f>
        <v>2.7224868596019904</v>
      </c>
    </row>
    <row r="74" spans="1:20" x14ac:dyDescent="0.25">
      <c r="A74" s="5">
        <v>44519</v>
      </c>
      <c r="B74">
        <v>8.7899999999999991</v>
      </c>
      <c r="C74">
        <v>9.3379999999999992</v>
      </c>
      <c r="D74">
        <v>8.5960000000000001</v>
      </c>
      <c r="E74">
        <v>9</v>
      </c>
      <c r="F74">
        <v>4066923.4</v>
      </c>
      <c r="G74">
        <v>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8.8948787061995688E-2</v>
      </c>
      <c r="Q74">
        <f t="shared" ref="Q74" si="346">F74*P74</f>
        <v>361747.90350404748</v>
      </c>
      <c r="R74">
        <f t="shared" ref="R74" si="347">R75+Q74</f>
        <v>271147434.3079139</v>
      </c>
      <c r="S74">
        <f t="shared" ref="S74" si="348">R74/100000</f>
        <v>2711.4743430791391</v>
      </c>
      <c r="T74">
        <f t="shared" ref="T74" si="349">S74/1000</f>
        <v>2.7114743430791393</v>
      </c>
    </row>
    <row r="75" spans="1:20" x14ac:dyDescent="0.25">
      <c r="A75" s="5">
        <v>44518</v>
      </c>
      <c r="B75">
        <v>9.7430000000000003</v>
      </c>
      <c r="C75">
        <v>10.143000000000001</v>
      </c>
      <c r="D75">
        <v>8.6110000000000007</v>
      </c>
      <c r="E75">
        <v>8.798</v>
      </c>
      <c r="F75">
        <v>8823378.8000000007</v>
      </c>
      <c r="G75">
        <v>8.798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-0.75587467362924365</v>
      </c>
      <c r="Q75">
        <f t="shared" ref="Q75" si="351">F75*P75</f>
        <v>-6669368.5707571879</v>
      </c>
      <c r="R75">
        <f t="shared" ref="R75" si="352">R76+Q75</f>
        <v>270785686.40440983</v>
      </c>
      <c r="S75">
        <f t="shared" ref="S75" si="353">R75/100000</f>
        <v>2707.8568640440981</v>
      </c>
      <c r="T75">
        <f t="shared" ref="T75" si="354">S75/1000</f>
        <v>2.7078568640440981</v>
      </c>
    </row>
    <row r="76" spans="1:20" x14ac:dyDescent="0.25">
      <c r="A76" s="5">
        <v>44517</v>
      </c>
      <c r="B76">
        <v>9.6579999999999995</v>
      </c>
      <c r="C76">
        <v>10.106</v>
      </c>
      <c r="D76">
        <v>9.5060000000000002</v>
      </c>
      <c r="E76">
        <v>9.7409999999999997</v>
      </c>
      <c r="F76">
        <v>3151180.6</v>
      </c>
      <c r="G76">
        <v>9.7409999999999997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-0.21666666666666809</v>
      </c>
      <c r="Q76">
        <f t="shared" ref="Q76" si="356">F76*P76</f>
        <v>-682755.79666667117</v>
      </c>
      <c r="R76">
        <f t="shared" ref="R76" si="357">R77+Q76</f>
        <v>277455054.97516704</v>
      </c>
      <c r="S76">
        <f t="shared" ref="S76" si="358">R76/100000</f>
        <v>2774.5505497516706</v>
      </c>
      <c r="T76">
        <f t="shared" ref="T76" si="359">S76/1000</f>
        <v>2.7745505497516705</v>
      </c>
    </row>
    <row r="77" spans="1:20" x14ac:dyDescent="0.25">
      <c r="A77" s="5">
        <v>44516</v>
      </c>
      <c r="B77">
        <v>10.348000000000001</v>
      </c>
      <c r="C77">
        <v>10.348000000000001</v>
      </c>
      <c r="D77">
        <v>9.1</v>
      </c>
      <c r="E77">
        <v>9.6509999999999998</v>
      </c>
      <c r="F77">
        <v>5455163.5999999996</v>
      </c>
      <c r="G77">
        <v>9.6509999999999998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-0.11698717948718002</v>
      </c>
      <c r="Q77">
        <f t="shared" ref="Q77" si="361">F77*P77</f>
        <v>-638184.20320513099</v>
      </c>
      <c r="R77">
        <f t="shared" ref="R77" si="362">R78+Q77</f>
        <v>278137810.77183372</v>
      </c>
      <c r="S77">
        <f t="shared" ref="S77" si="363">R77/100000</f>
        <v>2781.3781077183371</v>
      </c>
      <c r="T77">
        <f t="shared" ref="T77" si="364">S77/1000</f>
        <v>2.781378107718337</v>
      </c>
    </row>
    <row r="78" spans="1:20" x14ac:dyDescent="0.25">
      <c r="A78" s="5">
        <v>44515</v>
      </c>
      <c r="B78">
        <v>11.048999999999999</v>
      </c>
      <c r="C78">
        <v>11.218999999999999</v>
      </c>
      <c r="D78">
        <v>10.317</v>
      </c>
      <c r="E78">
        <v>10.348000000000001</v>
      </c>
      <c r="F78">
        <v>3529716.6</v>
      </c>
      <c r="G78">
        <v>10.348000000000001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-0.93126385809312506</v>
      </c>
      <c r="Q78">
        <f t="shared" ref="Q78" si="366">F78*P78</f>
        <v>-3287097.498891348</v>
      </c>
      <c r="R78">
        <f t="shared" ref="R78" si="367">R79+Q78</f>
        <v>278775994.97503883</v>
      </c>
      <c r="S78">
        <f t="shared" ref="S78" si="368">R78/100000</f>
        <v>2787.7599497503884</v>
      </c>
      <c r="T78">
        <f t="shared" ref="T78" si="369">S78/1000</f>
        <v>2.7877599497503884</v>
      </c>
    </row>
    <row r="79" spans="1:20" x14ac:dyDescent="0.25">
      <c r="A79" s="5">
        <v>44514</v>
      </c>
      <c r="B79">
        <v>11.183999999999999</v>
      </c>
      <c r="C79">
        <v>11.298999999999999</v>
      </c>
      <c r="D79">
        <v>10.768000000000001</v>
      </c>
      <c r="E79">
        <v>11.048999999999999</v>
      </c>
      <c r="F79">
        <v>1281843.2</v>
      </c>
      <c r="G79">
        <v>11.048999999999999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5.8380414312615585E-2</v>
      </c>
      <c r="Q79">
        <f t="shared" ref="Q79" si="371">F79*P79</f>
        <v>74834.537099808964</v>
      </c>
      <c r="R79">
        <f t="shared" ref="R79" si="372">R80+Q79</f>
        <v>282063092.47393018</v>
      </c>
      <c r="S79">
        <f t="shared" ref="S79" si="373">R79/100000</f>
        <v>2820.6309247393019</v>
      </c>
      <c r="T79">
        <f t="shared" ref="T79" si="374">S79/1000</f>
        <v>2.820630924739302</v>
      </c>
    </row>
    <row r="80" spans="1:20" x14ac:dyDescent="0.25">
      <c r="A80" s="5">
        <v>44513</v>
      </c>
      <c r="B80">
        <v>10.978</v>
      </c>
      <c r="C80">
        <v>11.225</v>
      </c>
      <c r="D80">
        <v>10.645</v>
      </c>
      <c r="E80">
        <v>11.183</v>
      </c>
      <c r="F80">
        <v>1906846.3</v>
      </c>
      <c r="G80">
        <v>11.183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0.85517241379310416</v>
      </c>
      <c r="Q80">
        <f t="shared" ref="Q80" si="376">F80*P80</f>
        <v>1630682.3531034496</v>
      </c>
      <c r="R80">
        <f t="shared" ref="R80" si="377">R81+Q80</f>
        <v>281988257.93683034</v>
      </c>
      <c r="S80">
        <f t="shared" ref="S80" si="378">R80/100000</f>
        <v>2819.8825793683036</v>
      </c>
      <c r="T80">
        <f t="shared" ref="T80" si="379">S80/1000</f>
        <v>2.8198825793683038</v>
      </c>
    </row>
    <row r="81" spans="1:20" x14ac:dyDescent="0.25">
      <c r="A81" s="5">
        <v>44512</v>
      </c>
      <c r="B81">
        <v>11.138999999999999</v>
      </c>
      <c r="C81">
        <v>11.391999999999999</v>
      </c>
      <c r="D81">
        <v>10.551</v>
      </c>
      <c r="E81">
        <v>10.978</v>
      </c>
      <c r="F81">
        <v>2678851.9</v>
      </c>
      <c r="G81">
        <v>10.978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1.5457788347205601E-2</v>
      </c>
      <c r="Q81">
        <f t="shared" ref="Q81" si="381">F81*P81</f>
        <v>41409.125683709586</v>
      </c>
      <c r="R81">
        <f t="shared" ref="R81" si="382">R82+Q81</f>
        <v>280357575.58372688</v>
      </c>
      <c r="S81">
        <f t="shared" ref="S81" si="383">R81/100000</f>
        <v>2803.5757558372688</v>
      </c>
      <c r="T81">
        <f t="shared" ref="T81" si="384">S81/1000</f>
        <v>2.8035757558372687</v>
      </c>
    </row>
    <row r="82" spans="1:20" x14ac:dyDescent="0.25">
      <c r="A82" s="5">
        <v>44511</v>
      </c>
      <c r="B82">
        <v>11.087</v>
      </c>
      <c r="C82">
        <v>11.422000000000001</v>
      </c>
      <c r="D82">
        <v>10.904999999999999</v>
      </c>
      <c r="E82">
        <v>11.141</v>
      </c>
      <c r="F82">
        <v>2907681.3</v>
      </c>
      <c r="G82">
        <v>11.141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-8.7040618955512225E-2</v>
      </c>
      <c r="Q82">
        <f t="shared" ref="Q82" si="386">F82*P82</f>
        <v>-253086.38007736841</v>
      </c>
      <c r="R82">
        <f t="shared" ref="R82" si="387">R83+Q82</f>
        <v>280316166.45804316</v>
      </c>
      <c r="S82">
        <f t="shared" ref="S82" si="388">R82/100000</f>
        <v>2803.1616645804315</v>
      </c>
      <c r="T82">
        <f t="shared" ref="T82" si="389">S82/1000</f>
        <v>2.8031616645804314</v>
      </c>
    </row>
    <row r="83" spans="1:20" x14ac:dyDescent="0.25">
      <c r="A83" s="5">
        <v>44510</v>
      </c>
      <c r="B83">
        <v>11.976000000000001</v>
      </c>
      <c r="C83">
        <v>12.263</v>
      </c>
      <c r="D83">
        <v>10.412000000000001</v>
      </c>
      <c r="E83">
        <v>11.086</v>
      </c>
      <c r="F83">
        <v>5633728.0999999996</v>
      </c>
      <c r="G83">
        <v>11.086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-0.27174500270124274</v>
      </c>
      <c r="Q83">
        <f t="shared" ref="Q83" si="391">F83*P83</f>
        <v>-1530937.457752567</v>
      </c>
      <c r="R83">
        <f t="shared" ref="R83" si="392">R84+Q83</f>
        <v>280569252.83812052</v>
      </c>
      <c r="S83">
        <f t="shared" ref="S83" si="393">R83/100000</f>
        <v>2805.6925283812052</v>
      </c>
      <c r="T83">
        <f t="shared" ref="T83" si="394">S83/1000</f>
        <v>2.8056925283812051</v>
      </c>
    </row>
    <row r="84" spans="1:20" x14ac:dyDescent="0.25">
      <c r="A84" s="5">
        <v>44509</v>
      </c>
      <c r="B84">
        <v>12.302</v>
      </c>
      <c r="C84">
        <v>12.442</v>
      </c>
      <c r="D84">
        <v>11.95</v>
      </c>
      <c r="E84">
        <v>11.971</v>
      </c>
      <c r="F84">
        <v>2981832.7</v>
      </c>
      <c r="G84">
        <v>11.971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-0.91463414634146034</v>
      </c>
      <c r="Q84">
        <f t="shared" ref="Q84" si="396">F84*P84</f>
        <v>-2727286.0060975519</v>
      </c>
      <c r="R84">
        <f t="shared" ref="R84" si="397">R85+Q84</f>
        <v>282100190.29587311</v>
      </c>
      <c r="S84">
        <f t="shared" ref="S84" si="398">R84/100000</f>
        <v>2821.0019029587311</v>
      </c>
      <c r="T84">
        <f t="shared" ref="T84" si="399">S84/1000</f>
        <v>2.8210019029587312</v>
      </c>
    </row>
    <row r="85" spans="1:20" x14ac:dyDescent="0.25">
      <c r="A85" s="5">
        <v>44508</v>
      </c>
      <c r="B85">
        <v>12.093</v>
      </c>
      <c r="C85">
        <v>12.329000000000001</v>
      </c>
      <c r="D85">
        <v>11.922000000000001</v>
      </c>
      <c r="E85">
        <v>12.301</v>
      </c>
      <c r="F85">
        <v>2778624</v>
      </c>
      <c r="G85">
        <v>12.301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0.86240786240786016</v>
      </c>
      <c r="Q85">
        <f t="shared" ref="Q85" si="401">F85*P85</f>
        <v>2396307.1842751782</v>
      </c>
      <c r="R85">
        <f t="shared" ref="R85" si="402">R86+Q85</f>
        <v>284827476.30197066</v>
      </c>
      <c r="S85">
        <f t="shared" ref="S85" si="403">R85/100000</f>
        <v>2848.2747630197068</v>
      </c>
      <c r="T85">
        <f t="shared" ref="T85" si="404">S85/1000</f>
        <v>2.8482747630197069</v>
      </c>
    </row>
    <row r="86" spans="1:20" x14ac:dyDescent="0.25">
      <c r="A86" s="5">
        <v>44507</v>
      </c>
      <c r="B86">
        <v>11.843</v>
      </c>
      <c r="C86">
        <v>12.27</v>
      </c>
      <c r="D86">
        <v>11.55</v>
      </c>
      <c r="E86">
        <v>12.097</v>
      </c>
      <c r="F86">
        <v>3424663.7</v>
      </c>
      <c r="G86">
        <v>12.097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0.5194444444444436</v>
      </c>
      <c r="Q86">
        <f t="shared" ref="Q86" si="406">F86*P86</f>
        <v>1778922.5330555527</v>
      </c>
      <c r="R86">
        <f t="shared" ref="R86" si="407">R87+Q86</f>
        <v>282431169.11769551</v>
      </c>
      <c r="S86">
        <f t="shared" ref="S86" si="408">R86/100000</f>
        <v>2824.3116911769553</v>
      </c>
      <c r="T86">
        <f t="shared" ref="T86" si="409">S86/1000</f>
        <v>2.8243116911769555</v>
      </c>
    </row>
    <row r="87" spans="1:20" x14ac:dyDescent="0.25">
      <c r="A87" s="5">
        <v>44506</v>
      </c>
      <c r="B87">
        <v>12.141999999999999</v>
      </c>
      <c r="C87">
        <v>12.217000000000001</v>
      </c>
      <c r="D87">
        <v>11.3</v>
      </c>
      <c r="E87">
        <v>11.845000000000001</v>
      </c>
      <c r="F87">
        <v>4031816.5</v>
      </c>
      <c r="G87">
        <v>11.845000000000001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0.18865866957470021</v>
      </c>
      <c r="Q87">
        <f t="shared" ref="Q87" si="411">F87*P87</f>
        <v>760637.1368593243</v>
      </c>
      <c r="R87">
        <f t="shared" ref="R87" si="412">R88+Q87</f>
        <v>280652246.58463997</v>
      </c>
      <c r="S87">
        <f t="shared" ref="S87" si="413">R87/100000</f>
        <v>2806.5224658463999</v>
      </c>
      <c r="T87">
        <f t="shared" ref="T87" si="414">S87/1000</f>
        <v>2.8065224658463999</v>
      </c>
    </row>
    <row r="88" spans="1:20" x14ac:dyDescent="0.25">
      <c r="A88" s="5">
        <v>44505</v>
      </c>
      <c r="B88">
        <v>12.936999999999999</v>
      </c>
      <c r="C88">
        <v>13.28</v>
      </c>
      <c r="D88">
        <v>12.113</v>
      </c>
      <c r="E88">
        <v>12.141999999999999</v>
      </c>
      <c r="F88">
        <v>3058768</v>
      </c>
      <c r="G88">
        <v>12.141999999999999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-0.95029991431019722</v>
      </c>
      <c r="Q88">
        <f t="shared" ref="Q88" si="416">F88*P88</f>
        <v>-2906746.9682947733</v>
      </c>
      <c r="R88">
        <f t="shared" ref="R88" si="417">R89+Q88</f>
        <v>279891609.44778067</v>
      </c>
      <c r="S88">
        <f t="shared" ref="S88" si="418">R88/100000</f>
        <v>2798.9160944778068</v>
      </c>
      <c r="T88">
        <f t="shared" ref="T88" si="419">S88/1000</f>
        <v>2.7989160944778066</v>
      </c>
    </row>
    <row r="89" spans="1:20" x14ac:dyDescent="0.25">
      <c r="A89" s="5">
        <v>44504</v>
      </c>
      <c r="B89">
        <v>13.44</v>
      </c>
      <c r="C89">
        <v>13.444000000000001</v>
      </c>
      <c r="D89">
        <v>12.048</v>
      </c>
      <c r="E89">
        <v>12.939</v>
      </c>
      <c r="F89">
        <v>5072878.3</v>
      </c>
      <c r="G89">
        <v>12.939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0.27650429799426862</v>
      </c>
      <c r="Q89">
        <f t="shared" ref="Q89" si="421">F89*P89</f>
        <v>1402672.6531518588</v>
      </c>
      <c r="R89">
        <f t="shared" ref="R89" si="422">R90+Q89</f>
        <v>282798356.41607547</v>
      </c>
      <c r="S89">
        <f t="shared" ref="S89" si="423">R89/100000</f>
        <v>2827.9835641607547</v>
      </c>
      <c r="T89">
        <f t="shared" ref="T89" si="424">S89/1000</f>
        <v>2.8279835641607547</v>
      </c>
    </row>
    <row r="90" spans="1:20" x14ac:dyDescent="0.25">
      <c r="A90" s="5">
        <v>44503</v>
      </c>
      <c r="B90">
        <v>12.122999999999999</v>
      </c>
      <c r="C90">
        <v>13.45</v>
      </c>
      <c r="D90">
        <v>11.87</v>
      </c>
      <c r="E90">
        <v>13.441000000000001</v>
      </c>
      <c r="F90">
        <v>7548608.2999999998</v>
      </c>
      <c r="G90">
        <v>13.441000000000001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0.98860759493671069</v>
      </c>
      <c r="Q90">
        <f t="shared" ref="Q90" si="426">F90*P90</f>
        <v>7462611.496582292</v>
      </c>
      <c r="R90">
        <f t="shared" ref="R90" si="427">R91+Q90</f>
        <v>281395683.7629236</v>
      </c>
      <c r="S90">
        <f t="shared" ref="S90" si="428">R90/100000</f>
        <v>2813.9568376292359</v>
      </c>
      <c r="T90">
        <f t="shared" ref="T90" si="429">S90/1000</f>
        <v>2.8139568376292359</v>
      </c>
    </row>
    <row r="91" spans="1:20" x14ac:dyDescent="0.25">
      <c r="A91" s="5">
        <v>44502</v>
      </c>
      <c r="B91">
        <v>12.731999999999999</v>
      </c>
      <c r="C91">
        <v>13.48</v>
      </c>
      <c r="D91">
        <v>12.073</v>
      </c>
      <c r="E91">
        <v>12.122999999999999</v>
      </c>
      <c r="F91">
        <v>5262329.7</v>
      </c>
      <c r="G91">
        <v>12.122999999999999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-0.92892679459843785</v>
      </c>
      <c r="Q91">
        <f t="shared" ref="Q91" si="431">F91*P91</f>
        <v>-4888319.0603411589</v>
      </c>
      <c r="R91">
        <f t="shared" ref="R91" si="432">R92+Q91</f>
        <v>273933072.26634133</v>
      </c>
      <c r="S91">
        <f t="shared" ref="S91" si="433">R91/100000</f>
        <v>2739.3307226634133</v>
      </c>
      <c r="T91">
        <f t="shared" ref="T91" si="434">S91/1000</f>
        <v>2.7393307226634134</v>
      </c>
    </row>
    <row r="92" spans="1:20" x14ac:dyDescent="0.25">
      <c r="A92" s="5">
        <v>44501</v>
      </c>
      <c r="B92">
        <v>10.885</v>
      </c>
      <c r="C92">
        <v>13.128</v>
      </c>
      <c r="D92">
        <v>10.541</v>
      </c>
      <c r="E92">
        <v>12.742000000000001</v>
      </c>
      <c r="F92">
        <v>11968743.9</v>
      </c>
      <c r="G92">
        <v>12.742000000000001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0.70158484731349113</v>
      </c>
      <c r="Q92">
        <f t="shared" ref="Q92" si="436">F92*P92</f>
        <v>8397089.3616157789</v>
      </c>
      <c r="R92">
        <f t="shared" ref="R92" si="437">R93+Q92</f>
        <v>278821391.32668251</v>
      </c>
      <c r="S92">
        <f t="shared" ref="S92" si="438">R92/100000</f>
        <v>2788.2139132668249</v>
      </c>
      <c r="T92">
        <f t="shared" ref="T92" si="439">S92/1000</f>
        <v>2.7882139132668247</v>
      </c>
    </row>
    <row r="93" spans="1:20" x14ac:dyDescent="0.25">
      <c r="A93" s="5">
        <v>44500</v>
      </c>
      <c r="B93">
        <v>11.087999999999999</v>
      </c>
      <c r="C93">
        <v>11.287000000000001</v>
      </c>
      <c r="D93">
        <v>10.57</v>
      </c>
      <c r="E93">
        <v>10.901</v>
      </c>
      <c r="F93">
        <v>3479690.8</v>
      </c>
      <c r="G93">
        <v>10.901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-7.6708507670852785E-2</v>
      </c>
      <c r="Q93">
        <f t="shared" ref="Q93" si="441">F93*P93</f>
        <v>-266921.88842399587</v>
      </c>
      <c r="R93">
        <f t="shared" ref="R93" si="442">R94+Q93</f>
        <v>270424301.96506673</v>
      </c>
      <c r="S93">
        <f t="shared" ref="S93" si="443">R93/100000</f>
        <v>2704.2430196506675</v>
      </c>
      <c r="T93">
        <f t="shared" ref="T93" si="444">S93/1000</f>
        <v>2.7042430196506677</v>
      </c>
    </row>
    <row r="94" spans="1:20" x14ac:dyDescent="0.25">
      <c r="A94" s="5">
        <v>44499</v>
      </c>
      <c r="B94">
        <v>11.462999999999999</v>
      </c>
      <c r="C94">
        <v>11.47</v>
      </c>
      <c r="D94">
        <v>10.801</v>
      </c>
      <c r="E94">
        <v>11.074</v>
      </c>
      <c r="F94">
        <v>2682205</v>
      </c>
      <c r="G94">
        <v>11.074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-0.183856502242154</v>
      </c>
      <c r="Q94">
        <f t="shared" ref="Q94" si="446">F94*P94</f>
        <v>-493140.82959641668</v>
      </c>
      <c r="R94">
        <f t="shared" ref="R94" si="447">R95+Q94</f>
        <v>270691223.85349071</v>
      </c>
      <c r="S94">
        <f t="shared" ref="S94" si="448">R94/100000</f>
        <v>2706.9122385349069</v>
      </c>
      <c r="T94">
        <f t="shared" ref="T94" si="449">S94/1000</f>
        <v>2.7069122385349069</v>
      </c>
    </row>
    <row r="95" spans="1:20" x14ac:dyDescent="0.25">
      <c r="A95" s="5">
        <v>44498</v>
      </c>
      <c r="B95">
        <v>10.975</v>
      </c>
      <c r="C95">
        <v>11.8</v>
      </c>
      <c r="D95">
        <v>10.875</v>
      </c>
      <c r="E95">
        <v>11.462</v>
      </c>
      <c r="F95">
        <v>4167088.1</v>
      </c>
      <c r="G95">
        <v>11.462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0.26918918918918766</v>
      </c>
      <c r="Q95">
        <f t="shared" ref="Q95" si="451">F95*P95</f>
        <v>1121735.0669189126</v>
      </c>
      <c r="R95">
        <f t="shared" ref="R95" si="452">R96+Q95</f>
        <v>271184364.68308711</v>
      </c>
      <c r="S95">
        <f t="shared" ref="S95" si="453">R95/100000</f>
        <v>2711.843646830871</v>
      </c>
      <c r="T95">
        <f t="shared" ref="T95" si="454">S95/1000</f>
        <v>2.7118436468308711</v>
      </c>
    </row>
    <row r="96" spans="1:20" x14ac:dyDescent="0.25">
      <c r="A96" s="5">
        <v>44497</v>
      </c>
      <c r="B96">
        <v>10.148999999999999</v>
      </c>
      <c r="C96">
        <v>11.04</v>
      </c>
      <c r="D96">
        <v>10.073</v>
      </c>
      <c r="E96">
        <v>10.974</v>
      </c>
      <c r="F96">
        <v>5089662.5999999996</v>
      </c>
      <c r="G96">
        <v>10.974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0.86349534643226677</v>
      </c>
      <c r="Q96">
        <f t="shared" ref="Q96" si="456">F96*P96</f>
        <v>4394899.9700103514</v>
      </c>
      <c r="R96">
        <f t="shared" ref="R96" si="457">R97+Q96</f>
        <v>270062629.6161682</v>
      </c>
      <c r="S96">
        <f t="shared" ref="S96" si="458">R96/100000</f>
        <v>2700.6262961616821</v>
      </c>
      <c r="T96">
        <f t="shared" ref="T96" si="459">S96/1000</f>
        <v>2.700626296161682</v>
      </c>
    </row>
    <row r="97" spans="1:20" x14ac:dyDescent="0.25">
      <c r="A97" s="5">
        <v>44496</v>
      </c>
      <c r="B97">
        <v>11.378</v>
      </c>
      <c r="C97">
        <v>12.25</v>
      </c>
      <c r="D97">
        <v>10.11</v>
      </c>
      <c r="E97">
        <v>10.148999999999999</v>
      </c>
      <c r="F97">
        <v>8352518.2999999998</v>
      </c>
      <c r="G97">
        <v>10.148999999999999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-0.96355140186915922</v>
      </c>
      <c r="Q97">
        <f t="shared" ref="Q97" si="461">F97*P97</f>
        <v>-8048080.7171028061</v>
      </c>
      <c r="R97">
        <f t="shared" ref="R97" si="462">R98+Q97</f>
        <v>265667729.64615783</v>
      </c>
      <c r="S97">
        <f t="shared" ref="S97" si="463">R97/100000</f>
        <v>2656.6772964615784</v>
      </c>
      <c r="T97">
        <f t="shared" ref="T97" si="464">S97/1000</f>
        <v>2.6566772964615786</v>
      </c>
    </row>
    <row r="98" spans="1:20" x14ac:dyDescent="0.25">
      <c r="A98" s="5">
        <v>44495</v>
      </c>
      <c r="B98">
        <v>10.766999999999999</v>
      </c>
      <c r="C98">
        <v>12.2</v>
      </c>
      <c r="D98">
        <v>10.742000000000001</v>
      </c>
      <c r="E98">
        <v>11.377000000000001</v>
      </c>
      <c r="F98">
        <v>9182852.0999999996</v>
      </c>
      <c r="G98">
        <v>11.377000000000001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-0.12894375857338755</v>
      </c>
      <c r="Q98">
        <f t="shared" ref="Q98" si="466">F98*P98</f>
        <v>-1184071.4641975248</v>
      </c>
      <c r="R98">
        <f t="shared" ref="R98" si="467">R99+Q98</f>
        <v>273715810.36326063</v>
      </c>
      <c r="S98">
        <f t="shared" ref="S98" si="468">R98/100000</f>
        <v>2737.1581036326061</v>
      </c>
      <c r="T98">
        <f t="shared" ref="T98" si="469">S98/1000</f>
        <v>2.737158103632606</v>
      </c>
    </row>
    <row r="99" spans="1:20" x14ac:dyDescent="0.25">
      <c r="A99" s="5">
        <v>44494</v>
      </c>
      <c r="B99">
        <v>10.532999999999999</v>
      </c>
      <c r="C99">
        <v>10.778</v>
      </c>
      <c r="D99">
        <v>10.481999999999999</v>
      </c>
      <c r="E99">
        <v>10.765000000000001</v>
      </c>
      <c r="F99">
        <v>2686214.5</v>
      </c>
      <c r="G99">
        <v>10.765000000000001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0.91216216216216317</v>
      </c>
      <c r="Q99">
        <f t="shared" ref="Q99" si="471">F99*P99</f>
        <v>2450263.2263513543</v>
      </c>
      <c r="R99">
        <f t="shared" ref="R99" si="472">R100+Q99</f>
        <v>274899881.82745814</v>
      </c>
      <c r="S99">
        <f t="shared" ref="S99" si="473">R99/100000</f>
        <v>2748.9988182745815</v>
      </c>
      <c r="T99">
        <f t="shared" ref="T99" si="474">S99/1000</f>
        <v>2.7489988182745817</v>
      </c>
    </row>
    <row r="100" spans="1:20" x14ac:dyDescent="0.25">
      <c r="A100" s="5">
        <v>44493</v>
      </c>
      <c r="B100">
        <v>10.988</v>
      </c>
      <c r="C100">
        <v>11.143000000000001</v>
      </c>
      <c r="D100">
        <v>10.228</v>
      </c>
      <c r="E100">
        <v>10.534000000000001</v>
      </c>
      <c r="F100">
        <v>4379796.3</v>
      </c>
      <c r="G100">
        <v>10.534000000000001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-0.33114754098360516</v>
      </c>
      <c r="Q100">
        <f t="shared" ref="Q100" si="476">F100*P100</f>
        <v>-1450358.7747540921</v>
      </c>
      <c r="R100">
        <f t="shared" ref="R100" si="477">R101+Q100</f>
        <v>272449618.60110676</v>
      </c>
      <c r="S100">
        <f t="shared" ref="S100" si="478">R100/100000</f>
        <v>2724.4961860110675</v>
      </c>
      <c r="T100">
        <f t="shared" ref="T100" si="479">S100/1000</f>
        <v>2.7244961860110677</v>
      </c>
    </row>
    <row r="101" spans="1:20" x14ac:dyDescent="0.25">
      <c r="A101" s="5">
        <v>44492</v>
      </c>
      <c r="B101">
        <v>10.693</v>
      </c>
      <c r="C101">
        <v>11.058999999999999</v>
      </c>
      <c r="D101">
        <v>10.52</v>
      </c>
      <c r="E101">
        <v>10.987</v>
      </c>
      <c r="F101">
        <v>3367096.5</v>
      </c>
      <c r="G101">
        <v>10.987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0.73283858998145002</v>
      </c>
      <c r="Q101">
        <f t="shared" ref="Q101" si="481">F101*P101</f>
        <v>2467538.2513914756</v>
      </c>
      <c r="R101">
        <f t="shared" ref="R101" si="482">R102+Q101</f>
        <v>273899977.37586087</v>
      </c>
      <c r="S101">
        <f t="shared" ref="S101" si="483">R101/100000</f>
        <v>2738.9997737586086</v>
      </c>
      <c r="T101">
        <f t="shared" ref="T101" si="484">S101/1000</f>
        <v>2.7389997737586085</v>
      </c>
    </row>
    <row r="102" spans="1:20" x14ac:dyDescent="0.25">
      <c r="A102" s="5">
        <v>44491</v>
      </c>
      <c r="B102">
        <v>10.898999999999999</v>
      </c>
      <c r="C102">
        <v>11.372</v>
      </c>
      <c r="D102">
        <v>10.571999999999999</v>
      </c>
      <c r="E102">
        <v>10.69</v>
      </c>
      <c r="F102">
        <v>3546829.1</v>
      </c>
      <c r="G102">
        <v>10.69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-0.7049999999999994</v>
      </c>
      <c r="Q102">
        <f t="shared" ref="Q102" si="486">F102*P102</f>
        <v>-2500514.5154999979</v>
      </c>
      <c r="R102">
        <f t="shared" ref="R102" si="487">R103+Q102</f>
        <v>271432439.1244694</v>
      </c>
      <c r="S102">
        <f t="shared" ref="S102" si="488">R102/100000</f>
        <v>2714.3243912446942</v>
      </c>
      <c r="T102">
        <f t="shared" ref="T102" si="489">S102/1000</f>
        <v>2.7143243912446944</v>
      </c>
    </row>
    <row r="103" spans="1:20" x14ac:dyDescent="0.25">
      <c r="A103" s="5">
        <v>44490</v>
      </c>
      <c r="B103">
        <v>11.532999999999999</v>
      </c>
      <c r="C103">
        <v>11.715</v>
      </c>
      <c r="D103">
        <v>10.792999999999999</v>
      </c>
      <c r="E103">
        <v>10.895</v>
      </c>
      <c r="F103">
        <v>4582494.4000000004</v>
      </c>
      <c r="G103">
        <v>10.895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-0.77874186550976088</v>
      </c>
      <c r="Q103">
        <f t="shared" ref="Q103" si="491">F103*P103</f>
        <v>-3568580.2377440329</v>
      </c>
      <c r="R103">
        <f t="shared" ref="R103" si="492">R104+Q103</f>
        <v>273932953.63996941</v>
      </c>
      <c r="S103">
        <f t="shared" ref="S103" si="493">R103/100000</f>
        <v>2739.329536399694</v>
      </c>
      <c r="T103">
        <f t="shared" ref="T103" si="494">S103/1000</f>
        <v>2.7393295363996941</v>
      </c>
    </row>
    <row r="104" spans="1:20" x14ac:dyDescent="0.25">
      <c r="A104" s="5">
        <v>44489</v>
      </c>
      <c r="B104">
        <v>10.722</v>
      </c>
      <c r="C104">
        <v>11.599</v>
      </c>
      <c r="D104">
        <v>10.475</v>
      </c>
      <c r="E104">
        <v>11.537000000000001</v>
      </c>
      <c r="F104">
        <v>4177366.6</v>
      </c>
      <c r="G104">
        <v>11.537000000000001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0.88967971530249224</v>
      </c>
      <c r="Q104">
        <f t="shared" ref="Q104" si="496">F104*P104</f>
        <v>3716518.32740214</v>
      </c>
      <c r="R104">
        <f t="shared" ref="R104" si="497">R105+Q104</f>
        <v>277501533.87771344</v>
      </c>
      <c r="S104">
        <f t="shared" ref="S104" si="498">R104/100000</f>
        <v>2775.0153387771343</v>
      </c>
      <c r="T104">
        <f t="shared" ref="T104" si="499">S104/1000</f>
        <v>2.7750153387771341</v>
      </c>
    </row>
    <row r="105" spans="1:20" x14ac:dyDescent="0.25">
      <c r="A105" s="5">
        <v>44488</v>
      </c>
      <c r="B105">
        <v>10.8</v>
      </c>
      <c r="C105">
        <v>11.035</v>
      </c>
      <c r="D105">
        <v>10.462</v>
      </c>
      <c r="E105">
        <v>10.721</v>
      </c>
      <c r="F105">
        <v>2823183.2</v>
      </c>
      <c r="G105">
        <v>10.721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-9.5986038394414788E-2</v>
      </c>
      <c r="Q105">
        <f t="shared" ref="Q105" si="501">F105*P105</f>
        <v>-270986.17102966685</v>
      </c>
      <c r="R105">
        <f t="shared" ref="R105" si="502">R106+Q105</f>
        <v>273785015.55031133</v>
      </c>
      <c r="S105">
        <f t="shared" ref="S105" si="503">R105/100000</f>
        <v>2737.8501555031135</v>
      </c>
      <c r="T105">
        <f t="shared" ref="T105" si="504">S105/1000</f>
        <v>2.7378501555031134</v>
      </c>
    </row>
    <row r="106" spans="1:20" x14ac:dyDescent="0.25">
      <c r="A106" s="5">
        <v>44487</v>
      </c>
      <c r="B106">
        <v>11.138999999999999</v>
      </c>
      <c r="C106">
        <v>11.337999999999999</v>
      </c>
      <c r="D106">
        <v>10.704000000000001</v>
      </c>
      <c r="E106">
        <v>10.801</v>
      </c>
      <c r="F106">
        <v>2551242.1</v>
      </c>
      <c r="G106">
        <v>10.801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-0.69400630914826578</v>
      </c>
      <c r="Q106">
        <f t="shared" ref="Q106" si="506">F106*P106</f>
        <v>-1770578.1135646708</v>
      </c>
      <c r="R106">
        <f t="shared" ref="R106" si="507">R107+Q106</f>
        <v>274056001.72134101</v>
      </c>
      <c r="S106">
        <f t="shared" ref="S106" si="508">R106/100000</f>
        <v>2740.56001721341</v>
      </c>
      <c r="T106">
        <f t="shared" ref="T106" si="509">S106/1000</f>
        <v>2.7405600172134101</v>
      </c>
    </row>
    <row r="107" spans="1:20" x14ac:dyDescent="0.25">
      <c r="A107" s="5">
        <v>44486</v>
      </c>
      <c r="B107">
        <v>11.398</v>
      </c>
      <c r="C107">
        <v>11.797000000000001</v>
      </c>
      <c r="D107">
        <v>10.69</v>
      </c>
      <c r="E107">
        <v>11.135999999999999</v>
      </c>
      <c r="F107">
        <v>4030161</v>
      </c>
      <c r="G107">
        <v>11.135999999999999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-0.19421860885275649</v>
      </c>
      <c r="Q107">
        <f t="shared" ref="Q107" si="511">F107*P107</f>
        <v>-782732.26287263399</v>
      </c>
      <c r="R107">
        <f t="shared" ref="R107" si="512">R108+Q107</f>
        <v>275826579.83490568</v>
      </c>
      <c r="S107">
        <f t="shared" ref="S107" si="513">R107/100000</f>
        <v>2758.2657983490567</v>
      </c>
      <c r="T107">
        <f t="shared" ref="T107" si="514">S107/1000</f>
        <v>2.7582657983490568</v>
      </c>
    </row>
    <row r="108" spans="1:20" x14ac:dyDescent="0.25">
      <c r="A108" s="5">
        <v>44485</v>
      </c>
      <c r="B108">
        <v>11.089</v>
      </c>
      <c r="C108">
        <v>12</v>
      </c>
      <c r="D108">
        <v>10.88</v>
      </c>
      <c r="E108">
        <v>11.398</v>
      </c>
      <c r="F108">
        <v>5777020.0999999996</v>
      </c>
      <c r="G108">
        <v>11.398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-7.5000000000001302E-2</v>
      </c>
      <c r="Q108">
        <f t="shared" ref="Q108" si="516">F108*P108</f>
        <v>-433276.50750000752</v>
      </c>
      <c r="R108">
        <f t="shared" ref="R108" si="517">R109+Q108</f>
        <v>276609312.09777832</v>
      </c>
      <c r="S108">
        <f t="shared" ref="S108" si="518">R108/100000</f>
        <v>2766.0931209777832</v>
      </c>
      <c r="T108">
        <f t="shared" ref="T108" si="519">S108/1000</f>
        <v>2.766093120977783</v>
      </c>
    </row>
    <row r="109" spans="1:20" x14ac:dyDescent="0.25">
      <c r="A109" s="5">
        <v>44484</v>
      </c>
      <c r="B109">
        <v>10.765000000000001</v>
      </c>
      <c r="C109">
        <v>11.336</v>
      </c>
      <c r="D109">
        <v>10.351000000000001</v>
      </c>
      <c r="E109">
        <v>11.089</v>
      </c>
      <c r="F109">
        <v>5097592.5999999996</v>
      </c>
      <c r="G109">
        <v>11.089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0.49847715736040604</v>
      </c>
      <c r="Q109">
        <f t="shared" ref="Q109" si="521">F109*P109</f>
        <v>2541033.4686294412</v>
      </c>
      <c r="R109">
        <f t="shared" ref="R109" si="522">R110+Q109</f>
        <v>277042588.60527831</v>
      </c>
      <c r="S109">
        <f t="shared" ref="S109" si="523">R109/100000</f>
        <v>2770.425886052783</v>
      </c>
      <c r="T109">
        <f t="shared" ref="T109" si="524">S109/1000</f>
        <v>2.7704258860527831</v>
      </c>
    </row>
    <row r="110" spans="1:20" x14ac:dyDescent="0.25">
      <c r="A110" s="5">
        <v>44483</v>
      </c>
      <c r="B110">
        <v>10.263999999999999</v>
      </c>
      <c r="C110">
        <v>11.2</v>
      </c>
      <c r="D110">
        <v>10.097</v>
      </c>
      <c r="E110">
        <v>10.772</v>
      </c>
      <c r="F110">
        <v>4540914.7</v>
      </c>
      <c r="G110">
        <v>10.772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0.22393472348141588</v>
      </c>
      <c r="Q110">
        <f t="shared" ref="Q110" si="526">F110*P110</f>
        <v>1016868.4776971966</v>
      </c>
      <c r="R110">
        <f t="shared" ref="R110" si="527">R111+Q110</f>
        <v>274501555.13664889</v>
      </c>
      <c r="S110">
        <f t="shared" ref="S110" si="528">R110/100000</f>
        <v>2745.015551366489</v>
      </c>
      <c r="T110">
        <f t="shared" ref="T110" si="529">S110/1000</f>
        <v>2.7450155513664889</v>
      </c>
    </row>
    <row r="111" spans="1:20" x14ac:dyDescent="0.25">
      <c r="A111" s="5">
        <v>44482</v>
      </c>
      <c r="B111">
        <v>10.052</v>
      </c>
      <c r="C111">
        <v>11</v>
      </c>
      <c r="D111">
        <v>9.7390000000000008</v>
      </c>
      <c r="E111">
        <v>10.260999999999999</v>
      </c>
      <c r="F111">
        <v>6291878.0999999996</v>
      </c>
      <c r="G111">
        <v>10.260999999999999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-0.17208564631245238</v>
      </c>
      <c r="Q111">
        <f t="shared" ref="Q111" si="531">F111*P111</f>
        <v>-1082741.9093576649</v>
      </c>
      <c r="R111">
        <f t="shared" ref="R111" si="532">R112+Q111</f>
        <v>273484686.6589517</v>
      </c>
      <c r="S111">
        <f t="shared" ref="S111" si="533">R111/100000</f>
        <v>2734.846866589517</v>
      </c>
      <c r="T111">
        <f t="shared" ref="T111" si="534">S111/1000</f>
        <v>2.7348468665895171</v>
      </c>
    </row>
    <row r="112" spans="1:20" x14ac:dyDescent="0.25">
      <c r="A112" s="5">
        <v>44481</v>
      </c>
      <c r="B112">
        <v>10.331</v>
      </c>
      <c r="C112">
        <v>10.343</v>
      </c>
      <c r="D112">
        <v>9.657</v>
      </c>
      <c r="E112">
        <v>10.044</v>
      </c>
      <c r="F112">
        <v>2829092.2</v>
      </c>
      <c r="G112">
        <v>10.044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0.12827988338192561</v>
      </c>
      <c r="Q112">
        <f t="shared" ref="Q112" si="536">F112*P112</f>
        <v>362915.61749271542</v>
      </c>
      <c r="R112">
        <f t="shared" ref="R112" si="537">R113+Q112</f>
        <v>274567428.56830937</v>
      </c>
      <c r="S112">
        <f t="shared" ref="S112" si="538">R112/100000</f>
        <v>2745.6742856830938</v>
      </c>
      <c r="T112">
        <f t="shared" ref="T112" si="539">S112/1000</f>
        <v>2.7456742856830938</v>
      </c>
    </row>
    <row r="113" spans="1:20" x14ac:dyDescent="0.25">
      <c r="A113" s="5">
        <v>44480</v>
      </c>
      <c r="B113">
        <v>10.25</v>
      </c>
      <c r="C113">
        <v>10.851000000000001</v>
      </c>
      <c r="D113">
        <v>9.98</v>
      </c>
      <c r="E113">
        <v>10.33</v>
      </c>
      <c r="F113">
        <v>2935403.2</v>
      </c>
      <c r="G113">
        <v>10.33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-0.196326061997705</v>
      </c>
      <c r="Q113">
        <f t="shared" ref="Q113" si="541">F113*P113</f>
        <v>-576296.15063146164</v>
      </c>
      <c r="R113">
        <f t="shared" ref="R113" si="542">R114+Q113</f>
        <v>274204512.95081663</v>
      </c>
      <c r="S113">
        <f t="shared" ref="S113" si="543">R113/100000</f>
        <v>2742.0451295081662</v>
      </c>
      <c r="T113">
        <f t="shared" ref="T113" si="544">S113/1000</f>
        <v>2.742045129508166</v>
      </c>
    </row>
    <row r="114" spans="1:20" x14ac:dyDescent="0.25">
      <c r="A114" s="5">
        <v>44479</v>
      </c>
      <c r="B114">
        <v>10.944000000000001</v>
      </c>
      <c r="C114">
        <v>11.138</v>
      </c>
      <c r="D114">
        <v>10.180999999999999</v>
      </c>
      <c r="E114">
        <v>10.254</v>
      </c>
      <c r="F114">
        <v>2971131.8</v>
      </c>
      <c r="G114">
        <v>10.254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-0.84743991640543292</v>
      </c>
      <c r="Q114">
        <f t="shared" ref="Q114" si="546">F114*P114</f>
        <v>-2517855.6842215233</v>
      </c>
      <c r="R114">
        <f t="shared" ref="R114" si="547">R115+Q114</f>
        <v>274780809.10144812</v>
      </c>
      <c r="S114">
        <f t="shared" ref="S114" si="548">R114/100000</f>
        <v>2747.8080910144813</v>
      </c>
      <c r="T114">
        <f t="shared" ref="T114" si="549">S114/1000</f>
        <v>2.7478080910144813</v>
      </c>
    </row>
    <row r="115" spans="1:20" x14ac:dyDescent="0.25">
      <c r="A115" s="5">
        <v>44478</v>
      </c>
      <c r="B115">
        <v>10.743</v>
      </c>
      <c r="C115">
        <v>10.977</v>
      </c>
      <c r="D115">
        <v>10.571</v>
      </c>
      <c r="E115">
        <v>10.948</v>
      </c>
      <c r="F115">
        <v>1938313.6</v>
      </c>
      <c r="G115">
        <v>10.948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0.85714285714285776</v>
      </c>
      <c r="Q115">
        <f t="shared" ref="Q115" si="551">F115*P115</f>
        <v>1661411.6571428585</v>
      </c>
      <c r="R115">
        <f t="shared" ref="R115" si="552">R116+Q115</f>
        <v>277298664.78566962</v>
      </c>
      <c r="S115">
        <f t="shared" ref="S115" si="553">R115/100000</f>
        <v>2772.9866478566964</v>
      </c>
      <c r="T115">
        <f t="shared" ref="T115" si="554">S115/1000</f>
        <v>2.7729866478566962</v>
      </c>
    </row>
    <row r="116" spans="1:20" x14ac:dyDescent="0.25">
      <c r="A116" s="5">
        <v>44477</v>
      </c>
      <c r="B116">
        <v>10.785</v>
      </c>
      <c r="C116">
        <v>11.521000000000001</v>
      </c>
      <c r="D116">
        <v>10.657</v>
      </c>
      <c r="E116">
        <v>10.743</v>
      </c>
      <c r="F116">
        <v>4920873.9000000004</v>
      </c>
      <c r="G116">
        <v>10.743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-0.80092592592592537</v>
      </c>
      <c r="Q116">
        <f t="shared" ref="Q116" si="556">F116*P116</f>
        <v>-3941255.4847222199</v>
      </c>
      <c r="R116">
        <f t="shared" ref="R116" si="557">R117+Q116</f>
        <v>275637253.12852675</v>
      </c>
      <c r="S116">
        <f t="shared" ref="S116" si="558">R116/100000</f>
        <v>2756.3725312852675</v>
      </c>
      <c r="T116">
        <f t="shared" ref="T116" si="559">S116/1000</f>
        <v>2.7563725312852676</v>
      </c>
    </row>
    <row r="117" spans="1:20" x14ac:dyDescent="0.25">
      <c r="A117" s="5">
        <v>44476</v>
      </c>
      <c r="B117">
        <v>10.526999999999999</v>
      </c>
      <c r="C117">
        <v>11.1</v>
      </c>
      <c r="D117">
        <v>10.223000000000001</v>
      </c>
      <c r="E117">
        <v>10.784000000000001</v>
      </c>
      <c r="F117">
        <v>4001414.4</v>
      </c>
      <c r="G117">
        <v>10.784000000000001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0.27936145952109614</v>
      </c>
      <c r="Q117">
        <f t="shared" ref="Q117" si="561">F117*P117</f>
        <v>1117840.9669327312</v>
      </c>
      <c r="R117">
        <f t="shared" ref="R117" si="562">R118+Q117</f>
        <v>279578508.61324894</v>
      </c>
      <c r="S117">
        <f t="shared" ref="S117" si="563">R117/100000</f>
        <v>2795.7850861324896</v>
      </c>
      <c r="T117">
        <f t="shared" ref="T117" si="564">S117/1000</f>
        <v>2.7957850861324895</v>
      </c>
    </row>
    <row r="118" spans="1:20" x14ac:dyDescent="0.25">
      <c r="A118" s="5">
        <v>44475</v>
      </c>
      <c r="B118">
        <v>10.835000000000001</v>
      </c>
      <c r="C118">
        <v>10.978</v>
      </c>
      <c r="D118">
        <v>9.8819999999999997</v>
      </c>
      <c r="E118">
        <v>10.53</v>
      </c>
      <c r="F118">
        <v>5649792.7999999998</v>
      </c>
      <c r="G118">
        <v>10.53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0.18248175182481685</v>
      </c>
      <c r="Q118">
        <f t="shared" ref="Q118" si="566">F118*P118</f>
        <v>1030984.087591237</v>
      </c>
      <c r="R118">
        <f t="shared" ref="R118" si="567">R119+Q118</f>
        <v>278460667.64631623</v>
      </c>
      <c r="S118">
        <f t="shared" ref="S118" si="568">R118/100000</f>
        <v>2784.6066764631623</v>
      </c>
      <c r="T118">
        <f t="shared" ref="T118" si="569">S118/1000</f>
        <v>2.7846066764631625</v>
      </c>
    </row>
    <row r="119" spans="1:20" x14ac:dyDescent="0.25">
      <c r="A119" s="5">
        <v>44474</v>
      </c>
      <c r="B119">
        <v>10.372999999999999</v>
      </c>
      <c r="C119">
        <v>10.871</v>
      </c>
      <c r="D119">
        <v>10.278</v>
      </c>
      <c r="E119">
        <v>10.83</v>
      </c>
      <c r="F119">
        <v>3949690</v>
      </c>
      <c r="G119">
        <v>10.83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0.86172006745362439</v>
      </c>
      <c r="Q119">
        <f t="shared" ref="Q119" si="571">F119*P119</f>
        <v>3403527.1332209059</v>
      </c>
      <c r="R119">
        <f t="shared" ref="R119" si="572">R120+Q119</f>
        <v>277429683.558725</v>
      </c>
      <c r="S119">
        <f t="shared" ref="S119" si="573">R119/100000</f>
        <v>2774.2968355872499</v>
      </c>
      <c r="T119">
        <f t="shared" ref="T119" si="574">S119/1000</f>
        <v>2.7742968355872497</v>
      </c>
    </row>
    <row r="120" spans="1:20" x14ac:dyDescent="0.25">
      <c r="A120" s="5">
        <v>44473</v>
      </c>
      <c r="B120">
        <v>10.823</v>
      </c>
      <c r="C120">
        <v>10.823</v>
      </c>
      <c r="D120">
        <v>10.057</v>
      </c>
      <c r="E120">
        <v>10.35</v>
      </c>
      <c r="F120">
        <v>3932408</v>
      </c>
      <c r="G120">
        <v>10.35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-0.23498694516971474</v>
      </c>
      <c r="Q120">
        <f t="shared" ref="Q120" si="576">F120*P120</f>
        <v>-924064.54308094759</v>
      </c>
      <c r="R120">
        <f t="shared" ref="R120" si="577">R121+Q120</f>
        <v>274026156.42550409</v>
      </c>
      <c r="S120">
        <f t="shared" ref="S120" si="578">R120/100000</f>
        <v>2740.2615642550409</v>
      </c>
      <c r="T120">
        <f t="shared" ref="T120" si="579">S120/1000</f>
        <v>2.7402615642550407</v>
      </c>
    </row>
    <row r="121" spans="1:20" x14ac:dyDescent="0.25">
      <c r="A121" s="5">
        <v>44472</v>
      </c>
      <c r="B121">
        <v>10.89</v>
      </c>
      <c r="C121">
        <v>11.183</v>
      </c>
      <c r="D121">
        <v>10.654</v>
      </c>
      <c r="E121">
        <v>10.804</v>
      </c>
      <c r="F121">
        <v>2865709</v>
      </c>
      <c r="G121">
        <v>10.804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-0.43289224952740879</v>
      </c>
      <c r="Q121">
        <f t="shared" ref="Q121" si="581">F121*P121</f>
        <v>-1240543.215500941</v>
      </c>
      <c r="R121">
        <f t="shared" ref="R121" si="582">R122+Q121</f>
        <v>274950220.96858501</v>
      </c>
      <c r="S121">
        <f t="shared" ref="S121" si="583">R121/100000</f>
        <v>2749.5022096858502</v>
      </c>
      <c r="T121">
        <f t="shared" ref="T121" si="584">S121/1000</f>
        <v>2.7495022096858501</v>
      </c>
    </row>
    <row r="122" spans="1:20" x14ac:dyDescent="0.25">
      <c r="A122" s="5">
        <v>44471</v>
      </c>
      <c r="B122">
        <v>10.827</v>
      </c>
      <c r="C122">
        <v>11.3</v>
      </c>
      <c r="D122">
        <v>10.489000000000001</v>
      </c>
      <c r="E122">
        <v>10.89</v>
      </c>
      <c r="F122">
        <v>3336427.2</v>
      </c>
      <c r="G122">
        <v>10.89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-1.1097410604192776E-2</v>
      </c>
      <c r="Q122">
        <f t="shared" ref="Q122" si="586">F122*P122</f>
        <v>-37025.702589397217</v>
      </c>
      <c r="R122">
        <f t="shared" ref="R122" si="587">R123+Q122</f>
        <v>276190764.18408597</v>
      </c>
      <c r="S122">
        <f t="shared" ref="S122" si="588">R122/100000</f>
        <v>2761.9076418408595</v>
      </c>
      <c r="T122">
        <f t="shared" ref="T122" si="589">S122/1000</f>
        <v>2.7619076418408595</v>
      </c>
    </row>
    <row r="123" spans="1:20" x14ac:dyDescent="0.25">
      <c r="A123" s="5">
        <v>44470</v>
      </c>
      <c r="B123">
        <v>10.157</v>
      </c>
      <c r="C123">
        <v>10.97</v>
      </c>
      <c r="D123">
        <v>10.042999999999999</v>
      </c>
      <c r="E123">
        <v>10.827</v>
      </c>
      <c r="F123">
        <v>5290877.8</v>
      </c>
      <c r="G123">
        <v>10.827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0.6914778856526419</v>
      </c>
      <c r="Q123">
        <f t="shared" ref="Q123" si="591">F123*P123</f>
        <v>3658524.9943905012</v>
      </c>
      <c r="R123">
        <f t="shared" ref="R123" si="592">R124+Q123</f>
        <v>276227789.88667536</v>
      </c>
      <c r="S123">
        <f t="shared" ref="S123" si="593">R123/100000</f>
        <v>2762.2778988667537</v>
      </c>
      <c r="T123">
        <f t="shared" ref="T123" si="594">S123/1000</f>
        <v>2.7622778988667536</v>
      </c>
    </row>
    <row r="124" spans="1:20" x14ac:dyDescent="0.25">
      <c r="A124" s="5">
        <v>44469</v>
      </c>
      <c r="B124">
        <v>9.5079999999999991</v>
      </c>
      <c r="C124">
        <v>10.177</v>
      </c>
      <c r="D124">
        <v>9.4529999999999994</v>
      </c>
      <c r="E124">
        <v>10.156000000000001</v>
      </c>
      <c r="F124">
        <v>3744020.6</v>
      </c>
      <c r="G124">
        <v>10.156000000000001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0.94198895027624585</v>
      </c>
      <c r="Q124">
        <f t="shared" ref="Q124" si="596">F124*P124</f>
        <v>3526826.0348066404</v>
      </c>
      <c r="R124">
        <f t="shared" ref="R124" si="597">R125+Q124</f>
        <v>272569264.89228487</v>
      </c>
      <c r="S124">
        <f t="shared" ref="S124" si="598">R124/100000</f>
        <v>2725.6926489228485</v>
      </c>
      <c r="T124">
        <f t="shared" ref="T124" si="599">S124/1000</f>
        <v>2.7256926489228483</v>
      </c>
    </row>
    <row r="125" spans="1:20" x14ac:dyDescent="0.25">
      <c r="A125" s="5">
        <v>44468</v>
      </c>
      <c r="B125">
        <v>9.6750000000000007</v>
      </c>
      <c r="C125">
        <v>10.087</v>
      </c>
      <c r="D125">
        <v>9.2289999999999992</v>
      </c>
      <c r="E125">
        <v>9.5079999999999991</v>
      </c>
      <c r="F125">
        <v>4758327.4000000004</v>
      </c>
      <c r="G125">
        <v>9.5079999999999991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-0.34965034965035025</v>
      </c>
      <c r="Q125">
        <f t="shared" ref="Q125" si="601">F125*P125</f>
        <v>-1663750.8391608421</v>
      </c>
      <c r="R125">
        <f t="shared" ref="R125" si="602">R126+Q125</f>
        <v>269042438.8574782</v>
      </c>
      <c r="S125">
        <f t="shared" ref="S125" si="603">R125/100000</f>
        <v>2690.4243885747819</v>
      </c>
      <c r="T125">
        <f t="shared" ref="T125" si="604">S125/1000</f>
        <v>2.6904243885747818</v>
      </c>
    </row>
    <row r="126" spans="1:20" x14ac:dyDescent="0.25">
      <c r="A126" s="5">
        <v>44467</v>
      </c>
      <c r="B126">
        <v>10.004</v>
      </c>
      <c r="C126">
        <v>10.423</v>
      </c>
      <c r="D126">
        <v>9.6</v>
      </c>
      <c r="E126">
        <v>9.6750000000000007</v>
      </c>
      <c r="F126">
        <v>7744801.7999999998</v>
      </c>
      <c r="G126">
        <v>9.6750000000000007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-0.81773997569866097</v>
      </c>
      <c r="Q126">
        <f t="shared" ref="Q126" si="606">F126*P126</f>
        <v>-6333234.0357229458</v>
      </c>
      <c r="R126">
        <f t="shared" ref="R126" si="607">R127+Q126</f>
        <v>270706189.69663906</v>
      </c>
      <c r="S126">
        <f t="shared" ref="S126" si="608">R126/100000</f>
        <v>2707.0618969663906</v>
      </c>
      <c r="T126">
        <f t="shared" ref="T126" si="609">S126/1000</f>
        <v>2.7070618969663904</v>
      </c>
    </row>
    <row r="127" spans="1:20" x14ac:dyDescent="0.25">
      <c r="A127" s="5">
        <v>44466</v>
      </c>
      <c r="B127">
        <v>11.395</v>
      </c>
      <c r="C127">
        <v>11.965999999999999</v>
      </c>
      <c r="D127">
        <v>9.9589999999999996</v>
      </c>
      <c r="E127">
        <v>10.009</v>
      </c>
      <c r="F127">
        <v>11417057.5</v>
      </c>
      <c r="G127">
        <v>10.009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-0.95017438963627232</v>
      </c>
      <c r="Q127">
        <f t="shared" ref="Q127" si="611">F127*P127</f>
        <v>-10848195.641504725</v>
      </c>
      <c r="R127">
        <f t="shared" ref="R127" si="612">R128+Q127</f>
        <v>277039423.73236203</v>
      </c>
      <c r="S127">
        <f t="shared" ref="S127" si="613">R127/100000</f>
        <v>2770.3942373236205</v>
      </c>
      <c r="T127">
        <f t="shared" ref="T127" si="614">S127/1000</f>
        <v>2.7703942373236203</v>
      </c>
    </row>
    <row r="128" spans="1:20" x14ac:dyDescent="0.25">
      <c r="A128" s="5">
        <v>44465</v>
      </c>
      <c r="B128">
        <v>9.5050000000000008</v>
      </c>
      <c r="C128">
        <v>11.57</v>
      </c>
      <c r="D128">
        <v>8.5</v>
      </c>
      <c r="E128">
        <v>11.391</v>
      </c>
      <c r="F128">
        <v>17868019.73</v>
      </c>
      <c r="G128">
        <v>11.391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0.88338762214983702</v>
      </c>
      <c r="Q128">
        <f t="shared" ref="Q128" si="616">F128*P128</f>
        <v>15784387.461811073</v>
      </c>
      <c r="R128">
        <f t="shared" ref="R128" si="617">R129+Q128</f>
        <v>287887619.37386674</v>
      </c>
      <c r="S128">
        <f t="shared" ref="S128" si="618">R128/100000</f>
        <v>2878.8761937386676</v>
      </c>
      <c r="T128">
        <f t="shared" ref="T128" si="619">S128/1000</f>
        <v>2.8788761937386678</v>
      </c>
    </row>
    <row r="129" spans="1:20" x14ac:dyDescent="0.25">
      <c r="A129" s="5">
        <v>44464</v>
      </c>
      <c r="B129">
        <v>9.67</v>
      </c>
      <c r="C129">
        <v>9.8759999999999994</v>
      </c>
      <c r="D129">
        <v>9.0630000000000006</v>
      </c>
      <c r="E129">
        <v>9.5109999999999992</v>
      </c>
      <c r="F129">
        <v>4926252.8</v>
      </c>
      <c r="G129">
        <v>9.5109999999999992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0.10209102091020729</v>
      </c>
      <c r="Q129">
        <f t="shared" ref="Q129" si="621">F129*P129</f>
        <v>502926.17761376721</v>
      </c>
      <c r="R129">
        <f t="shared" ref="R129" si="622">R130+Q129</f>
        <v>272103231.91205567</v>
      </c>
      <c r="S129">
        <f t="shared" ref="S129" si="623">R129/100000</f>
        <v>2721.0323191205566</v>
      </c>
      <c r="T129">
        <f t="shared" ref="T129" si="624">S129/1000</f>
        <v>2.7210323191205568</v>
      </c>
    </row>
    <row r="130" spans="1:20" x14ac:dyDescent="0.25">
      <c r="A130" s="5">
        <v>44463</v>
      </c>
      <c r="B130">
        <v>10.63</v>
      </c>
      <c r="C130">
        <v>10.648</v>
      </c>
      <c r="D130">
        <v>8.9009999999999998</v>
      </c>
      <c r="E130">
        <v>9.6709999999999994</v>
      </c>
      <c r="F130">
        <v>8276038.2999999998</v>
      </c>
      <c r="G130">
        <v>9.6709999999999994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-0.11848883800801417</v>
      </c>
      <c r="Q130">
        <f t="shared" ref="Q130" si="626">F130*P130</f>
        <v>-980618.16147682094</v>
      </c>
      <c r="R130">
        <f t="shared" ref="R130" si="627">R131+Q130</f>
        <v>271600305.73444188</v>
      </c>
      <c r="S130">
        <f t="shared" ref="S130" si="628">R130/100000</f>
        <v>2716.0030573444187</v>
      </c>
      <c r="T130">
        <f t="shared" ref="T130" si="629">S130/1000</f>
        <v>2.7160030573444187</v>
      </c>
    </row>
    <row r="131" spans="1:20" x14ac:dyDescent="0.25">
      <c r="A131" s="5">
        <v>44462</v>
      </c>
      <c r="B131">
        <v>10.506</v>
      </c>
      <c r="C131">
        <v>10.932</v>
      </c>
      <c r="D131">
        <v>10.119999999999999</v>
      </c>
      <c r="E131">
        <v>10.635999999999999</v>
      </c>
      <c r="F131">
        <v>6509731.9000000004</v>
      </c>
      <c r="G131">
        <v>10.635999999999999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0.27093596059113123</v>
      </c>
      <c r="Q131">
        <f t="shared" ref="Q131" si="631">F131*P131</f>
        <v>1763720.4655172299</v>
      </c>
      <c r="R131">
        <f t="shared" ref="R131" si="632">R132+Q131</f>
        <v>272580923.89591873</v>
      </c>
      <c r="S131">
        <f t="shared" ref="S131" si="633">R131/100000</f>
        <v>2725.8092389591875</v>
      </c>
      <c r="T131">
        <f t="shared" ref="T131" si="634">S131/1000</f>
        <v>2.7258092389591875</v>
      </c>
    </row>
    <row r="132" spans="1:20" x14ac:dyDescent="0.25">
      <c r="A132" s="5">
        <v>44461</v>
      </c>
      <c r="B132">
        <v>9.2270000000000003</v>
      </c>
      <c r="C132">
        <v>10.678000000000001</v>
      </c>
      <c r="D132">
        <v>9.06</v>
      </c>
      <c r="E132">
        <v>10.513999999999999</v>
      </c>
      <c r="F132">
        <v>6165180.9000000004</v>
      </c>
      <c r="G132">
        <v>10.513999999999999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0.79728059332509094</v>
      </c>
      <c r="Q132">
        <f t="shared" ref="Q132" si="636">F132*P132</f>
        <v>4915379.0859085182</v>
      </c>
      <c r="R132">
        <f t="shared" ref="R132" si="637">R133+Q132</f>
        <v>270817203.4304015</v>
      </c>
      <c r="S132">
        <f t="shared" ref="S132" si="638">R132/100000</f>
        <v>2708.1720343040151</v>
      </c>
      <c r="T132">
        <f t="shared" ref="T132" si="639">S132/1000</f>
        <v>2.708172034304015</v>
      </c>
    </row>
    <row r="133" spans="1:20" x14ac:dyDescent="0.25">
      <c r="A133" s="5">
        <v>44460</v>
      </c>
      <c r="B133">
        <v>10.307</v>
      </c>
      <c r="C133">
        <v>10.882999999999999</v>
      </c>
      <c r="D133">
        <v>8.8870000000000005</v>
      </c>
      <c r="E133">
        <v>9.2289999999999992</v>
      </c>
      <c r="F133">
        <v>8184996.733</v>
      </c>
      <c r="G133">
        <v>9.2289999999999992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-0.65731462925851802</v>
      </c>
      <c r="Q133">
        <f t="shared" ref="Q133" si="641">F133*P133</f>
        <v>-5380118.0930340765</v>
      </c>
      <c r="R133">
        <f t="shared" ref="R133" si="642">R134+Q133</f>
        <v>265901824.34449297</v>
      </c>
      <c r="S133">
        <f t="shared" ref="S133" si="643">R133/100000</f>
        <v>2659.0182434449298</v>
      </c>
      <c r="T133">
        <f t="shared" ref="T133" si="644">S133/1000</f>
        <v>2.6590182434449297</v>
      </c>
    </row>
    <row r="134" spans="1:20" x14ac:dyDescent="0.25">
      <c r="A134" s="5">
        <v>44459</v>
      </c>
      <c r="B134">
        <v>12.044</v>
      </c>
      <c r="C134">
        <v>12.102</v>
      </c>
      <c r="D134">
        <v>10.616</v>
      </c>
      <c r="E134">
        <v>11.058</v>
      </c>
      <c r="F134">
        <v>3974984.8</v>
      </c>
      <c r="G134">
        <v>11.058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-0.40511440107671604</v>
      </c>
      <c r="Q134">
        <f t="shared" ref="Q134" si="646">F134*P134</f>
        <v>-1610323.5865410499</v>
      </c>
      <c r="R134">
        <f t="shared" ref="R134" si="647">R135+Q134</f>
        <v>271281942.43752706</v>
      </c>
      <c r="S134">
        <f t="shared" ref="S134" si="648">R134/100000</f>
        <v>2712.8194243752705</v>
      </c>
      <c r="T134">
        <f t="shared" ref="T134" si="649">S134/1000</f>
        <v>2.7128194243752706</v>
      </c>
    </row>
    <row r="135" spans="1:20" x14ac:dyDescent="0.25">
      <c r="A135" s="5">
        <v>44458</v>
      </c>
      <c r="B135">
        <v>12.696</v>
      </c>
      <c r="C135">
        <v>12.724</v>
      </c>
      <c r="D135">
        <v>11.752000000000001</v>
      </c>
      <c r="E135">
        <v>12.052</v>
      </c>
      <c r="F135">
        <v>5107082.0999999996</v>
      </c>
      <c r="G135">
        <v>12.052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-0.38271604938271797</v>
      </c>
      <c r="Q135">
        <f t="shared" ref="Q135" si="651">F135*P135</f>
        <v>-1954562.2851851948</v>
      </c>
      <c r="R135">
        <f t="shared" ref="R135" si="652">R136+Q135</f>
        <v>272892266.02406812</v>
      </c>
      <c r="S135">
        <f t="shared" ref="S135" si="653">R135/100000</f>
        <v>2728.9226602406811</v>
      </c>
      <c r="T135">
        <f t="shared" ref="T135" si="654">S135/1000</f>
        <v>2.7289226602406811</v>
      </c>
    </row>
    <row r="136" spans="1:20" x14ac:dyDescent="0.25">
      <c r="A136" s="5">
        <v>44457</v>
      </c>
      <c r="B136">
        <v>12.516</v>
      </c>
      <c r="C136">
        <v>13.301</v>
      </c>
      <c r="D136">
        <v>12.103</v>
      </c>
      <c r="E136">
        <v>12.705</v>
      </c>
      <c r="F136">
        <v>11083182.1</v>
      </c>
      <c r="G136">
        <v>12.705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5.0083472454092032E-3</v>
      </c>
      <c r="Q136">
        <f t="shared" ref="Q136" si="656">F136*P136</f>
        <v>55508.424540903587</v>
      </c>
      <c r="R136">
        <f t="shared" ref="R136" si="657">R137+Q136</f>
        <v>274846828.30925333</v>
      </c>
      <c r="S136">
        <f t="shared" ref="S136" si="658">R136/100000</f>
        <v>2748.4682830925335</v>
      </c>
      <c r="T136">
        <f t="shared" ref="T136" si="659">S136/1000</f>
        <v>2.7484682830925333</v>
      </c>
    </row>
    <row r="137" spans="1:20" x14ac:dyDescent="0.25">
      <c r="A137" s="5">
        <v>44456</v>
      </c>
      <c r="B137">
        <v>14.923</v>
      </c>
      <c r="C137">
        <v>15.244999999999999</v>
      </c>
      <c r="D137">
        <v>12.314</v>
      </c>
      <c r="E137">
        <v>12.518000000000001</v>
      </c>
      <c r="F137">
        <v>18254325.699999999</v>
      </c>
      <c r="G137">
        <v>12.518000000000001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-0.86079836233367402</v>
      </c>
      <c r="Q137">
        <f t="shared" ref="Q137" si="661">F137*P137</f>
        <v>-15713293.668065498</v>
      </c>
      <c r="R137">
        <f t="shared" ref="R137" si="662">R138+Q137</f>
        <v>274791319.88471246</v>
      </c>
      <c r="S137">
        <f t="shared" ref="S137" si="663">R137/100000</f>
        <v>2747.9131988471245</v>
      </c>
      <c r="T137">
        <f t="shared" ref="T137" si="664">S137/1000</f>
        <v>2.7479131988471246</v>
      </c>
    </row>
    <row r="138" spans="1:20" x14ac:dyDescent="0.25">
      <c r="A138" s="5">
        <v>44455</v>
      </c>
      <c r="B138">
        <v>15.16</v>
      </c>
      <c r="C138">
        <v>16.2</v>
      </c>
      <c r="D138">
        <v>14.36</v>
      </c>
      <c r="E138">
        <v>14.91</v>
      </c>
      <c r="F138">
        <v>15482335.288000001</v>
      </c>
      <c r="G138">
        <v>14.91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-0.40217391304347744</v>
      </c>
      <c r="Q138">
        <f t="shared" ref="Q138" si="666">F138*P138</f>
        <v>-6226591.365826074</v>
      </c>
      <c r="R138">
        <f t="shared" ref="R138" si="667">R139+Q138</f>
        <v>290504613.55277795</v>
      </c>
      <c r="S138">
        <f t="shared" ref="S138" si="668">R138/100000</f>
        <v>2905.0461355277794</v>
      </c>
      <c r="T138">
        <f t="shared" ref="T138" si="669">S138/1000</f>
        <v>2.9050461355277792</v>
      </c>
    </row>
    <row r="139" spans="1:20" x14ac:dyDescent="0.25">
      <c r="A139" s="5">
        <v>44454</v>
      </c>
      <c r="B139">
        <v>13.207000000000001</v>
      </c>
      <c r="C139">
        <v>15.55</v>
      </c>
      <c r="D139">
        <v>12.6</v>
      </c>
      <c r="E139">
        <v>15.164</v>
      </c>
      <c r="F139">
        <v>12254977.563999999</v>
      </c>
      <c r="G139">
        <v>15.164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0.73830508474576217</v>
      </c>
      <c r="Q139">
        <f t="shared" ref="Q139" si="671">F139*P139</f>
        <v>9047912.2489464339</v>
      </c>
      <c r="R139">
        <f t="shared" ref="R139" si="672">R140+Q139</f>
        <v>296731204.91860402</v>
      </c>
      <c r="S139">
        <f t="shared" ref="S139" si="673">R139/100000</f>
        <v>2967.31204918604</v>
      </c>
      <c r="T139">
        <f t="shared" ref="T139" si="674">S139/1000</f>
        <v>2.9673120491860399</v>
      </c>
    </row>
    <row r="140" spans="1:20" x14ac:dyDescent="0.25">
      <c r="A140" s="5">
        <v>44453</v>
      </c>
      <c r="B140">
        <v>11.074999999999999</v>
      </c>
      <c r="C140">
        <v>13.25</v>
      </c>
      <c r="D140">
        <v>10.97</v>
      </c>
      <c r="E140">
        <v>13.208</v>
      </c>
      <c r="F140">
        <v>8153019.7000000002</v>
      </c>
      <c r="G140">
        <v>13.208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0.96315789473684221</v>
      </c>
      <c r="Q140">
        <f t="shared" ref="Q140" si="676">F140*P140</f>
        <v>7852645.290000001</v>
      </c>
      <c r="R140">
        <f t="shared" ref="R140" si="677">R141+Q140</f>
        <v>287683292.66965759</v>
      </c>
      <c r="S140">
        <f t="shared" ref="S140" si="678">R140/100000</f>
        <v>2876.8329266965757</v>
      </c>
      <c r="T140">
        <f t="shared" ref="T140" si="679">S140/1000</f>
        <v>2.8768329266965758</v>
      </c>
    </row>
    <row r="141" spans="1:20" x14ac:dyDescent="0.25">
      <c r="A141" s="5">
        <v>44452</v>
      </c>
      <c r="B141">
        <v>11.872</v>
      </c>
      <c r="C141">
        <v>12.068</v>
      </c>
      <c r="D141">
        <v>10.026</v>
      </c>
      <c r="E141">
        <v>11.074999999999999</v>
      </c>
      <c r="F141">
        <v>7525101.5999999996</v>
      </c>
      <c r="G141">
        <v>11.074999999999999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2.7424094025464821E-2</v>
      </c>
      <c r="Q141">
        <f t="shared" ref="Q141" si="681">F141*P141</f>
        <v>206369.09382957575</v>
      </c>
      <c r="R141">
        <f t="shared" ref="R141" si="682">R142+Q141</f>
        <v>279830647.37965757</v>
      </c>
      <c r="S141">
        <f t="shared" ref="S141" si="683">R141/100000</f>
        <v>2798.3064737965756</v>
      </c>
      <c r="T141">
        <f t="shared" ref="T141" si="684">S141/1000</f>
        <v>2.7983064737965755</v>
      </c>
    </row>
    <row r="142" spans="1:20" x14ac:dyDescent="0.25">
      <c r="A142" s="5">
        <v>44451</v>
      </c>
      <c r="B142">
        <v>10.577</v>
      </c>
      <c r="C142">
        <v>11.945</v>
      </c>
      <c r="D142">
        <v>10.326000000000001</v>
      </c>
      <c r="E142">
        <v>11.865</v>
      </c>
      <c r="F142">
        <v>5451119.7999999998</v>
      </c>
      <c r="G142">
        <v>11.865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0.90117356392835068</v>
      </c>
      <c r="Q142">
        <f t="shared" ref="Q142" si="686">F142*P142</f>
        <v>4912405.0575663978</v>
      </c>
      <c r="R142">
        <f t="shared" ref="R142" si="687">R143+Q142</f>
        <v>279624278.28582799</v>
      </c>
      <c r="S142">
        <f t="shared" ref="S142" si="688">R142/100000</f>
        <v>2796.24278285828</v>
      </c>
      <c r="T142">
        <f t="shared" ref="T142" si="689">S142/1000</f>
        <v>2.7962427828582799</v>
      </c>
    </row>
    <row r="143" spans="1:20" x14ac:dyDescent="0.25">
      <c r="A143" s="5">
        <v>44450</v>
      </c>
      <c r="B143">
        <v>10.132</v>
      </c>
      <c r="C143">
        <v>10.882999999999999</v>
      </c>
      <c r="D143">
        <v>10.053000000000001</v>
      </c>
      <c r="E143">
        <v>10.574</v>
      </c>
      <c r="F143">
        <v>2752847.9</v>
      </c>
      <c r="G143">
        <v>10.574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0.25542168674698817</v>
      </c>
      <c r="Q143">
        <f t="shared" ref="Q143" si="691">F143*P143</f>
        <v>703137.05397590424</v>
      </c>
      <c r="R143">
        <f t="shared" ref="R143" si="692">R144+Q143</f>
        <v>274711873.22826159</v>
      </c>
      <c r="S143">
        <f t="shared" ref="S143" si="693">R143/100000</f>
        <v>2747.1187322826158</v>
      </c>
      <c r="T143">
        <f t="shared" ref="T143" si="694">S143/1000</f>
        <v>2.7471187322826158</v>
      </c>
    </row>
    <row r="144" spans="1:20" x14ac:dyDescent="0.25">
      <c r="A144" s="5">
        <v>44449</v>
      </c>
      <c r="B144">
        <v>11.000999999999999</v>
      </c>
      <c r="C144">
        <v>11.398</v>
      </c>
      <c r="D144">
        <v>9.8000000000000007</v>
      </c>
      <c r="E144">
        <v>10.131</v>
      </c>
      <c r="F144">
        <v>4464989</v>
      </c>
      <c r="G144">
        <v>10.131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-0.5857321652065085</v>
      </c>
      <c r="Q144">
        <f t="shared" ref="Q144" si="696">F144*P144</f>
        <v>-2615287.6745932433</v>
      </c>
      <c r="R144">
        <f t="shared" ref="R144" si="697">R145+Q144</f>
        <v>274008736.17428571</v>
      </c>
      <c r="S144">
        <f t="shared" ref="S144" si="698">R144/100000</f>
        <v>2740.087361742857</v>
      </c>
      <c r="T144">
        <f t="shared" ref="T144" si="699">S144/1000</f>
        <v>2.7400873617428569</v>
      </c>
    </row>
    <row r="145" spans="1:20" x14ac:dyDescent="0.25">
      <c r="A145" s="5">
        <v>44448</v>
      </c>
      <c r="B145">
        <v>11.349</v>
      </c>
      <c r="C145">
        <v>11.925000000000001</v>
      </c>
      <c r="D145">
        <v>10.932</v>
      </c>
      <c r="E145">
        <v>11.007999999999999</v>
      </c>
      <c r="F145">
        <v>6147429.0999999996</v>
      </c>
      <c r="G145">
        <v>11.007999999999999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-0.84692849949647797</v>
      </c>
      <c r="Q145">
        <f t="shared" ref="Q145" si="701">F145*P145</f>
        <v>-5206432.9034239836</v>
      </c>
      <c r="R145">
        <f t="shared" ref="R145" si="702">R146+Q145</f>
        <v>276624023.84887898</v>
      </c>
      <c r="S145">
        <f t="shared" ref="S145" si="703">R145/100000</f>
        <v>2766.2402384887896</v>
      </c>
      <c r="T145">
        <f t="shared" ref="T145" si="704">S145/1000</f>
        <v>2.7662402384887894</v>
      </c>
    </row>
    <row r="146" spans="1:20" x14ac:dyDescent="0.25">
      <c r="A146" s="5">
        <v>44447</v>
      </c>
      <c r="B146">
        <v>10.913</v>
      </c>
      <c r="C146">
        <v>11.648999999999999</v>
      </c>
      <c r="D146">
        <v>10.071999999999999</v>
      </c>
      <c r="E146">
        <v>11.349</v>
      </c>
      <c r="F146">
        <v>5854872.5</v>
      </c>
      <c r="G146">
        <v>11.349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0.61953075459733808</v>
      </c>
      <c r="Q146">
        <f t="shared" ref="Q146" si="706">F146*P146</f>
        <v>3627273.5779962032</v>
      </c>
      <c r="R146">
        <f t="shared" ref="R146" si="707">R147+Q146</f>
        <v>281830456.75230294</v>
      </c>
      <c r="S146">
        <f t="shared" ref="S146" si="708">R146/100000</f>
        <v>2818.3045675230296</v>
      </c>
      <c r="T146">
        <f t="shared" ref="T146" si="709">S146/1000</f>
        <v>2.8183045675230298</v>
      </c>
    </row>
    <row r="147" spans="1:20" x14ac:dyDescent="0.25">
      <c r="A147" s="5">
        <v>44446</v>
      </c>
      <c r="B147">
        <v>13.615</v>
      </c>
      <c r="C147">
        <v>13.811</v>
      </c>
      <c r="D147">
        <v>9.343</v>
      </c>
      <c r="E147">
        <v>10.913</v>
      </c>
      <c r="F147">
        <v>10832867.096999999</v>
      </c>
      <c r="G147">
        <v>10.913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-0.29722470904207687</v>
      </c>
      <c r="Q147">
        <f t="shared" ref="Q147" si="711">F147*P147</f>
        <v>-3219795.7709973129</v>
      </c>
      <c r="R147">
        <f t="shared" ref="R147" si="712">R148+Q147</f>
        <v>278203183.17430675</v>
      </c>
      <c r="S147">
        <f t="shared" ref="S147" si="713">R147/100000</f>
        <v>2782.0318317430674</v>
      </c>
      <c r="T147">
        <f t="shared" ref="T147" si="714">S147/1000</f>
        <v>2.7820318317430672</v>
      </c>
    </row>
    <row r="148" spans="1:20" x14ac:dyDescent="0.25">
      <c r="A148" s="5">
        <v>44445</v>
      </c>
      <c r="B148">
        <v>14.278</v>
      </c>
      <c r="C148">
        <v>14.307</v>
      </c>
      <c r="D148">
        <v>13.206</v>
      </c>
      <c r="E148">
        <v>13.618</v>
      </c>
      <c r="F148">
        <v>3818546.9</v>
      </c>
      <c r="G148">
        <v>13.618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-0.25158946412352318</v>
      </c>
      <c r="Q148">
        <f t="shared" ref="Q148" si="716">F148*P148</f>
        <v>-960706.16830154066</v>
      </c>
      <c r="R148">
        <f t="shared" ref="R148" si="717">R149+Q148</f>
        <v>281422978.94530404</v>
      </c>
      <c r="S148">
        <f t="shared" ref="S148" si="718">R148/100000</f>
        <v>2814.2297894530402</v>
      </c>
      <c r="T148">
        <f t="shared" ref="T148" si="719">S148/1000</f>
        <v>2.8142297894530404</v>
      </c>
    </row>
    <row r="149" spans="1:20" x14ac:dyDescent="0.25">
      <c r="A149" s="5">
        <v>44444</v>
      </c>
      <c r="B149">
        <v>13.099</v>
      </c>
      <c r="C149">
        <v>14.294</v>
      </c>
      <c r="D149">
        <v>12.968999999999999</v>
      </c>
      <c r="E149">
        <v>14.276</v>
      </c>
      <c r="F149">
        <v>6404940.3130000001</v>
      </c>
      <c r="G149">
        <v>14.276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0.97283018867924431</v>
      </c>
      <c r="Q149">
        <f t="shared" ref="Q149" si="721">F149*P149</f>
        <v>6230919.2931750882</v>
      </c>
      <c r="R149">
        <f t="shared" ref="R149" si="722">R150+Q149</f>
        <v>282383685.11360556</v>
      </c>
      <c r="S149">
        <f t="shared" ref="S149" si="723">R149/100000</f>
        <v>2823.8368511360554</v>
      </c>
      <c r="T149">
        <f t="shared" ref="T149" si="724">S149/1000</f>
        <v>2.8238368511360554</v>
      </c>
    </row>
    <row r="150" spans="1:20" x14ac:dyDescent="0.25">
      <c r="A150" s="5">
        <v>44443</v>
      </c>
      <c r="B150">
        <v>13.079000000000001</v>
      </c>
      <c r="C150">
        <v>13.324999999999999</v>
      </c>
      <c r="D150">
        <v>12.82</v>
      </c>
      <c r="E150">
        <v>13.096</v>
      </c>
      <c r="F150">
        <v>2881669.2</v>
      </c>
      <c r="G150">
        <v>13.096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9.3069306930694429E-2</v>
      </c>
      <c r="Q150">
        <f t="shared" ref="Q150" si="726">F150*P150</f>
        <v>268194.95524752868</v>
      </c>
      <c r="R150">
        <f t="shared" ref="R150" si="727">R151+Q150</f>
        <v>276152765.82043046</v>
      </c>
      <c r="S150">
        <f t="shared" ref="S150" si="728">R150/100000</f>
        <v>2761.5276582043048</v>
      </c>
      <c r="T150">
        <f t="shared" ref="T150" si="729">S150/1000</f>
        <v>2.7615276582043049</v>
      </c>
    </row>
    <row r="151" spans="1:20" x14ac:dyDescent="0.25">
      <c r="A151" s="5">
        <v>44442</v>
      </c>
      <c r="B151">
        <v>13.109</v>
      </c>
      <c r="C151">
        <v>13.584</v>
      </c>
      <c r="D151">
        <v>12.76</v>
      </c>
      <c r="E151">
        <v>13.074999999999999</v>
      </c>
      <c r="F151">
        <v>3806014.2</v>
      </c>
      <c r="G151">
        <v>13.074999999999999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-0.23543689320388456</v>
      </c>
      <c r="Q151">
        <f t="shared" ref="Q151" si="731">F151*P151</f>
        <v>-896076.15873786819</v>
      </c>
      <c r="R151">
        <f t="shared" ref="R151" si="732">R152+Q151</f>
        <v>275884570.86518294</v>
      </c>
      <c r="S151">
        <f t="shared" ref="S151" si="733">R151/100000</f>
        <v>2758.8457086518292</v>
      </c>
      <c r="T151">
        <f t="shared" ref="T151" si="734">S151/1000</f>
        <v>2.7588457086518292</v>
      </c>
    </row>
    <row r="152" spans="1:20" x14ac:dyDescent="0.25">
      <c r="A152" s="5">
        <v>44441</v>
      </c>
      <c r="B152">
        <v>13.85</v>
      </c>
      <c r="C152">
        <v>13.939</v>
      </c>
      <c r="D152">
        <v>12.904</v>
      </c>
      <c r="E152">
        <v>13.099</v>
      </c>
      <c r="F152">
        <v>4393528.7</v>
      </c>
      <c r="G152">
        <v>13.099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-0.623188405797101</v>
      </c>
      <c r="Q152">
        <f t="shared" ref="Q152" si="736">F152*P152</f>
        <v>-2737996.1463768096</v>
      </c>
      <c r="R152">
        <f t="shared" ref="R152" si="737">R153+Q152</f>
        <v>276780647.02392083</v>
      </c>
      <c r="S152">
        <f t="shared" ref="S152" si="738">R152/100000</f>
        <v>2767.8064702392085</v>
      </c>
      <c r="T152">
        <f t="shared" ref="T152" si="739">S152/1000</f>
        <v>2.7678064702392087</v>
      </c>
    </row>
    <row r="153" spans="1:20" x14ac:dyDescent="0.25">
      <c r="A153" s="5">
        <v>44440</v>
      </c>
      <c r="B153">
        <v>12.055999999999999</v>
      </c>
      <c r="C153">
        <v>13.94</v>
      </c>
      <c r="D153">
        <v>11.683999999999999</v>
      </c>
      <c r="E153">
        <v>13.849</v>
      </c>
      <c r="F153">
        <v>8754065.5979999993</v>
      </c>
      <c r="G153">
        <v>13.849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0.91932624113475236</v>
      </c>
      <c r="Q153">
        <f t="shared" ref="Q153" si="741">F153*P153</f>
        <v>8047842.2208563872</v>
      </c>
      <c r="R153">
        <f t="shared" ref="R153" si="742">R154+Q153</f>
        <v>279518643.17029762</v>
      </c>
      <c r="S153">
        <f t="shared" ref="S153" si="743">R153/100000</f>
        <v>2795.1864317029763</v>
      </c>
      <c r="T153">
        <f t="shared" ref="T153" si="744">S153/1000</f>
        <v>2.7951864317029762</v>
      </c>
    </row>
    <row r="154" spans="1:20" x14ac:dyDescent="0.25">
      <c r="A154" s="5">
        <v>44439</v>
      </c>
      <c r="B154">
        <v>11.523999999999999</v>
      </c>
      <c r="C154">
        <v>12.311</v>
      </c>
      <c r="D154">
        <v>11.141999999999999</v>
      </c>
      <c r="E154">
        <v>12.053000000000001</v>
      </c>
      <c r="F154">
        <v>6546211.4939999999</v>
      </c>
      <c r="G154">
        <v>12.053000000000001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0.55859709153122494</v>
      </c>
      <c r="Q154">
        <f t="shared" ref="Q154" si="746">F154*P154</f>
        <v>3656694.7010966749</v>
      </c>
      <c r="R154">
        <f t="shared" ref="R154" si="747">R155+Q154</f>
        <v>271470800.94944125</v>
      </c>
      <c r="S154">
        <f t="shared" ref="S154" si="748">R154/100000</f>
        <v>2714.7080094944126</v>
      </c>
      <c r="T154">
        <f t="shared" ref="T154" si="749">S154/1000</f>
        <v>2.7147080094944127</v>
      </c>
    </row>
    <row r="155" spans="1:20" x14ac:dyDescent="0.25">
      <c r="A155" s="5">
        <v>44438</v>
      </c>
      <c r="B155">
        <v>11.6</v>
      </c>
      <c r="C155">
        <v>12.193</v>
      </c>
      <c r="D155">
        <v>10.978</v>
      </c>
      <c r="E155">
        <v>11.529</v>
      </c>
      <c r="F155">
        <v>5056514.2879999997</v>
      </c>
      <c r="G155">
        <v>11.529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-9.3004115226337086E-2</v>
      </c>
      <c r="Q155">
        <f t="shared" ref="Q155" si="751">F155*P155</f>
        <v>-470276.63748477178</v>
      </c>
      <c r="R155">
        <f t="shared" ref="R155" si="752">R156+Q155</f>
        <v>267814106.24834457</v>
      </c>
      <c r="S155">
        <f t="shared" ref="S155" si="753">R155/100000</f>
        <v>2678.1410624834457</v>
      </c>
      <c r="T155">
        <f t="shared" ref="T155" si="754">S155/1000</f>
        <v>2.6781410624834456</v>
      </c>
    </row>
    <row r="156" spans="1:20" x14ac:dyDescent="0.25">
      <c r="A156" s="5">
        <v>44437</v>
      </c>
      <c r="B156">
        <v>11.785</v>
      </c>
      <c r="C156">
        <v>12.054</v>
      </c>
      <c r="D156">
        <v>11.135999999999999</v>
      </c>
      <c r="E156">
        <v>11.595000000000001</v>
      </c>
      <c r="F156">
        <v>3384023.0210000002</v>
      </c>
      <c r="G156">
        <v>11.595000000000001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1.9350292368194429E-15</v>
      </c>
      <c r="Q156">
        <f t="shared" ref="Q156" si="756">F156*P156</f>
        <v>6.5481834837050563E-9</v>
      </c>
      <c r="R156">
        <f t="shared" ref="R156" si="757">R157+Q156</f>
        <v>268284382.88582933</v>
      </c>
      <c r="S156">
        <f t="shared" ref="S156" si="758">R156/100000</f>
        <v>2682.8438288582934</v>
      </c>
      <c r="T156">
        <f t="shared" ref="T156" si="759">S156/1000</f>
        <v>2.6828438288582932</v>
      </c>
    </row>
    <row r="157" spans="1:20" x14ac:dyDescent="0.25">
      <c r="A157" s="5">
        <v>44436</v>
      </c>
      <c r="B157">
        <v>12.22</v>
      </c>
      <c r="C157">
        <v>12.295</v>
      </c>
      <c r="D157">
        <v>11.592000000000001</v>
      </c>
      <c r="E157">
        <v>11.782</v>
      </c>
      <c r="F157">
        <v>2515544.9389999998</v>
      </c>
      <c r="G157">
        <v>11.782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-0.45945945945946043</v>
      </c>
      <c r="Q157">
        <f t="shared" ref="Q157" si="761">F157*P157</f>
        <v>-1155790.9179189212</v>
      </c>
      <c r="R157">
        <f t="shared" ref="R157" si="762">R158+Q157</f>
        <v>268284382.88582933</v>
      </c>
      <c r="S157">
        <f t="shared" ref="S157" si="763">R157/100000</f>
        <v>2682.8438288582934</v>
      </c>
      <c r="T157">
        <f t="shared" ref="T157" si="764">S157/1000</f>
        <v>2.6828438288582932</v>
      </c>
    </row>
    <row r="158" spans="1:20" x14ac:dyDescent="0.25">
      <c r="A158" s="5">
        <v>44435</v>
      </c>
      <c r="B158">
        <v>11.61</v>
      </c>
      <c r="C158">
        <v>12.273</v>
      </c>
      <c r="D158">
        <v>11.236000000000001</v>
      </c>
      <c r="E158">
        <v>12.22</v>
      </c>
      <c r="F158">
        <v>4180779.13</v>
      </c>
      <c r="G158">
        <v>12.22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0.89778206364513191</v>
      </c>
      <c r="Q158">
        <f t="shared" ref="Q158" si="766">F158*P158</f>
        <v>3753428.5149758989</v>
      </c>
      <c r="R158">
        <f t="shared" ref="R158" si="767">R159+Q158</f>
        <v>269440173.80374825</v>
      </c>
      <c r="S158">
        <f t="shared" ref="S158" si="768">R158/100000</f>
        <v>2694.4017380374826</v>
      </c>
      <c r="T158">
        <f t="shared" ref="T158" si="769">S158/1000</f>
        <v>2.6944017380374827</v>
      </c>
    </row>
    <row r="159" spans="1:20" x14ac:dyDescent="0.25">
      <c r="A159" s="5">
        <v>44434</v>
      </c>
      <c r="B159">
        <v>12.254</v>
      </c>
      <c r="C159">
        <v>12.510999999999999</v>
      </c>
      <c r="D159">
        <v>11.154</v>
      </c>
      <c r="E159">
        <v>11.625</v>
      </c>
      <c r="F159">
        <v>3619699.7</v>
      </c>
      <c r="G159">
        <v>11.625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-0.30582166543846673</v>
      </c>
      <c r="Q159">
        <f t="shared" ref="Q159" si="771">F159*P159</f>
        <v>-1106982.5906411184</v>
      </c>
      <c r="R159">
        <f t="shared" ref="R159" si="772">R160+Q159</f>
        <v>265686745.28877237</v>
      </c>
      <c r="S159">
        <f t="shared" ref="S159" si="773">R159/100000</f>
        <v>2656.8674528877236</v>
      </c>
      <c r="T159">
        <f t="shared" ref="T159" si="774">S159/1000</f>
        <v>2.6568674528877234</v>
      </c>
    </row>
    <row r="160" spans="1:20" x14ac:dyDescent="0.25">
      <c r="A160" s="5">
        <v>44433</v>
      </c>
      <c r="B160">
        <v>12.311999999999999</v>
      </c>
      <c r="C160">
        <v>12.63</v>
      </c>
      <c r="D160">
        <v>11.54</v>
      </c>
      <c r="E160">
        <v>12.257</v>
      </c>
      <c r="F160">
        <v>5165231.4950000001</v>
      </c>
      <c r="G160">
        <v>12.257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0.31559633027522838</v>
      </c>
      <c r="Q160">
        <f t="shared" ref="Q160" si="776">F160*P160</f>
        <v>1630128.1048440316</v>
      </c>
      <c r="R160">
        <f t="shared" ref="R160" si="777">R161+Q160</f>
        <v>266793727.87941349</v>
      </c>
      <c r="S160">
        <f t="shared" ref="S160" si="778">R160/100000</f>
        <v>2667.9372787941347</v>
      </c>
      <c r="T160">
        <f t="shared" ref="T160" si="779">S160/1000</f>
        <v>2.6679372787941347</v>
      </c>
    </row>
    <row r="161" spans="1:20" x14ac:dyDescent="0.25">
      <c r="A161" s="5">
        <v>44432</v>
      </c>
      <c r="B161">
        <v>13.784000000000001</v>
      </c>
      <c r="C161">
        <v>13.939</v>
      </c>
      <c r="D161">
        <v>12.195</v>
      </c>
      <c r="E161">
        <v>12.329000000000001</v>
      </c>
      <c r="F161">
        <v>6189799.3720000004</v>
      </c>
      <c r="G161">
        <v>12.329000000000001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-0.84633027522935733</v>
      </c>
      <c r="Q161">
        <f t="shared" ref="Q161" si="781">F161*P161</f>
        <v>-5238614.6061192639</v>
      </c>
      <c r="R161">
        <f t="shared" ref="R161" si="782">R162+Q161</f>
        <v>265163599.77456945</v>
      </c>
      <c r="S161">
        <f t="shared" ref="S161" si="783">R161/100000</f>
        <v>2651.6359977456946</v>
      </c>
      <c r="T161">
        <f t="shared" ref="T161" si="784">S161/1000</f>
        <v>2.6516359977456947</v>
      </c>
    </row>
    <row r="162" spans="1:20" x14ac:dyDescent="0.25">
      <c r="A162" s="5">
        <v>44431</v>
      </c>
      <c r="B162">
        <v>13.766</v>
      </c>
      <c r="C162">
        <v>14.202999999999999</v>
      </c>
      <c r="D162">
        <v>13.547000000000001</v>
      </c>
      <c r="E162">
        <v>13.798</v>
      </c>
      <c r="F162">
        <v>3437953.83</v>
      </c>
      <c r="G162">
        <v>13.798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-0.2347560975609759</v>
      </c>
      <c r="Q162">
        <f t="shared" ref="Q162" si="786">F162*P162</f>
        <v>-807080.62472561083</v>
      </c>
      <c r="R162">
        <f t="shared" ref="R162" si="787">R163+Q162</f>
        <v>270402214.38068873</v>
      </c>
      <c r="S162">
        <f t="shared" ref="S162" si="788">R162/100000</f>
        <v>2704.0221438068875</v>
      </c>
      <c r="T162">
        <f t="shared" ref="T162" si="789">S162/1000</f>
        <v>2.7040221438068874</v>
      </c>
    </row>
    <row r="163" spans="1:20" x14ac:dyDescent="0.25">
      <c r="A163" s="5">
        <v>44430</v>
      </c>
      <c r="B163">
        <v>13.673999999999999</v>
      </c>
      <c r="C163">
        <v>13.891999999999999</v>
      </c>
      <c r="D163">
        <v>13.523999999999999</v>
      </c>
      <c r="E163">
        <v>13.87</v>
      </c>
      <c r="F163">
        <v>869724.73100000003</v>
      </c>
      <c r="G163">
        <v>13.87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0.88043478260869446</v>
      </c>
      <c r="Q163">
        <f t="shared" ref="Q163" si="791">F163*P163</f>
        <v>765735.90446739027</v>
      </c>
      <c r="R163">
        <f t="shared" ref="R163" si="792">R164+Q163</f>
        <v>271209295.00541437</v>
      </c>
      <c r="S163">
        <f t="shared" ref="S163" si="793">R163/100000</f>
        <v>2712.0929500541438</v>
      </c>
      <c r="T163">
        <f t="shared" ref="T163" si="794">S163/1000</f>
        <v>2.712092950054144</v>
      </c>
    </row>
    <row r="164" spans="1:20" x14ac:dyDescent="0.25">
      <c r="A164" s="5">
        <v>44429</v>
      </c>
      <c r="B164">
        <v>14.667999999999999</v>
      </c>
      <c r="C164">
        <v>14.85</v>
      </c>
      <c r="D164">
        <v>13.473000000000001</v>
      </c>
      <c r="E164">
        <v>13.664</v>
      </c>
      <c r="F164">
        <v>5491196.5949999997</v>
      </c>
      <c r="G164">
        <v>13.664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-0.72258533042846895</v>
      </c>
      <c r="Q164">
        <f t="shared" ref="Q164" si="796">F164*P164</f>
        <v>-3967858.1060457584</v>
      </c>
      <c r="R164">
        <f t="shared" ref="R164" si="797">R165+Q164</f>
        <v>270443559.10094696</v>
      </c>
      <c r="S164">
        <f t="shared" ref="S164" si="798">R164/100000</f>
        <v>2704.4355910094696</v>
      </c>
      <c r="T164">
        <f t="shared" ref="T164" si="799">S164/1000</f>
        <v>2.7044355910094695</v>
      </c>
    </row>
    <row r="165" spans="1:20" x14ac:dyDescent="0.25">
      <c r="A165" s="5">
        <v>44428</v>
      </c>
      <c r="B165">
        <v>14.004</v>
      </c>
      <c r="C165">
        <v>14.711</v>
      </c>
      <c r="D165">
        <v>13.534000000000001</v>
      </c>
      <c r="E165">
        <v>14.670999999999999</v>
      </c>
      <c r="F165">
        <v>5502958.7359999996</v>
      </c>
      <c r="G165">
        <v>14.670999999999999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0.93203058623619217</v>
      </c>
      <c r="Q165">
        <f t="shared" ref="Q165" si="801">F165*P165</f>
        <v>5128925.8567476543</v>
      </c>
      <c r="R165">
        <f t="shared" ref="R165" si="802">R166+Q165</f>
        <v>274411417.20699275</v>
      </c>
      <c r="S165">
        <f t="shared" ref="S165" si="803">R165/100000</f>
        <v>2744.1141720699275</v>
      </c>
      <c r="T165">
        <f t="shared" ref="T165" si="804">S165/1000</f>
        <v>2.7441141720699274</v>
      </c>
    </row>
    <row r="166" spans="1:20" x14ac:dyDescent="0.25">
      <c r="A166" s="5">
        <v>44427</v>
      </c>
      <c r="B166">
        <v>12.545</v>
      </c>
      <c r="C166">
        <v>14.25</v>
      </c>
      <c r="D166">
        <v>12.041</v>
      </c>
      <c r="E166">
        <v>14.007</v>
      </c>
      <c r="F166">
        <v>8491947.2200000007</v>
      </c>
      <c r="G166">
        <v>14.007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0.77999094612947006</v>
      </c>
      <c r="Q166">
        <f t="shared" ref="Q166" si="806">F166*P166</f>
        <v>6623641.9466093238</v>
      </c>
      <c r="R166">
        <f t="shared" ref="R166" si="807">R167+Q166</f>
        <v>269282491.35024512</v>
      </c>
      <c r="S166">
        <f t="shared" ref="S166" si="808">R166/100000</f>
        <v>2692.8249135024512</v>
      </c>
      <c r="T166">
        <f t="shared" ref="T166" si="809">S166/1000</f>
        <v>2.6928249135024513</v>
      </c>
    </row>
    <row r="167" spans="1:20" x14ac:dyDescent="0.25">
      <c r="A167" s="5">
        <v>44426</v>
      </c>
      <c r="B167">
        <v>12.585000000000001</v>
      </c>
      <c r="C167">
        <v>13.362</v>
      </c>
      <c r="D167">
        <v>11.981</v>
      </c>
      <c r="E167">
        <v>12.558999999999999</v>
      </c>
      <c r="F167">
        <v>7502230.1339999996</v>
      </c>
      <c r="G167">
        <v>12.558999999999999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-0.16292541636495395</v>
      </c>
      <c r="Q167">
        <f t="shared" ref="Q167" si="811">F167*P167</f>
        <v>-1222303.9682476541</v>
      </c>
      <c r="R167">
        <f t="shared" ref="R167" si="812">R168+Q167</f>
        <v>262658849.4036358</v>
      </c>
      <c r="S167">
        <f t="shared" ref="S167" si="813">R167/100000</f>
        <v>2626.588494036358</v>
      </c>
      <c r="T167">
        <f t="shared" ref="T167" si="814">S167/1000</f>
        <v>2.626588494036358</v>
      </c>
    </row>
    <row r="168" spans="1:20" x14ac:dyDescent="0.25">
      <c r="A168" s="5">
        <v>44425</v>
      </c>
      <c r="B168">
        <v>12.555999999999999</v>
      </c>
      <c r="C168">
        <v>14.472</v>
      </c>
      <c r="D168">
        <v>12.034000000000001</v>
      </c>
      <c r="E168">
        <v>12.583</v>
      </c>
      <c r="F168">
        <v>11471646.502</v>
      </c>
      <c r="G168">
        <v>12.583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-0.54963084495488124</v>
      </c>
      <c r="Q168">
        <f t="shared" ref="Q168" si="816">F168*P168</f>
        <v>-6305170.759917968</v>
      </c>
      <c r="R168">
        <f t="shared" ref="R168" si="817">R169+Q168</f>
        <v>263881153.37188345</v>
      </c>
      <c r="S168">
        <f t="shared" ref="S168" si="818">R168/100000</f>
        <v>2638.8115337188347</v>
      </c>
      <c r="T168">
        <f t="shared" ref="T168" si="819">S168/1000</f>
        <v>2.6388115337188345</v>
      </c>
    </row>
    <row r="169" spans="1:20" x14ac:dyDescent="0.25">
      <c r="A169" s="5">
        <v>44424</v>
      </c>
      <c r="B169">
        <v>12.609</v>
      </c>
      <c r="C169">
        <v>13.504</v>
      </c>
      <c r="D169">
        <v>11.922000000000001</v>
      </c>
      <c r="E169">
        <v>12.56</v>
      </c>
      <c r="F169">
        <v>7912743.1459999997</v>
      </c>
      <c r="G169">
        <v>12.56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-0.19342604298356469</v>
      </c>
      <c r="Q169">
        <f t="shared" ref="Q169" si="821">F169*P169</f>
        <v>-1530530.5958761028</v>
      </c>
      <c r="R169">
        <f t="shared" ref="R169" si="822">R170+Q169</f>
        <v>270186324.13180143</v>
      </c>
      <c r="S169">
        <f t="shared" ref="S169" si="823">R169/100000</f>
        <v>2701.8632413180144</v>
      </c>
      <c r="T169">
        <f t="shared" ref="T169" si="824">S169/1000</f>
        <v>2.7018632413180144</v>
      </c>
    </row>
    <row r="170" spans="1:20" x14ac:dyDescent="0.25">
      <c r="A170" s="5">
        <v>44423</v>
      </c>
      <c r="B170">
        <v>12.208</v>
      </c>
      <c r="C170">
        <v>12.73</v>
      </c>
      <c r="D170">
        <v>11.478</v>
      </c>
      <c r="E170">
        <v>12.613</v>
      </c>
      <c r="F170">
        <v>4133129.2179999999</v>
      </c>
      <c r="G170">
        <v>12.613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0.81309904153354506</v>
      </c>
      <c r="Q170">
        <f t="shared" ref="Q170" si="826">F170*P170</f>
        <v>3360643.4056900907</v>
      </c>
      <c r="R170">
        <f t="shared" ref="R170" si="827">R171+Q170</f>
        <v>271716854.72767752</v>
      </c>
      <c r="S170">
        <f t="shared" ref="S170" si="828">R170/100000</f>
        <v>2717.1685472767754</v>
      </c>
      <c r="T170">
        <f t="shared" ref="T170" si="829">S170/1000</f>
        <v>2.7171685472767755</v>
      </c>
    </row>
    <row r="171" spans="1:20" x14ac:dyDescent="0.25">
      <c r="A171" s="5">
        <v>44422</v>
      </c>
      <c r="B171">
        <v>12.57</v>
      </c>
      <c r="C171">
        <v>12.869</v>
      </c>
      <c r="D171">
        <v>11.8</v>
      </c>
      <c r="E171">
        <v>12.206</v>
      </c>
      <c r="F171">
        <v>4125631.648</v>
      </c>
      <c r="G171">
        <v>12.206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-0.24041159962582009</v>
      </c>
      <c r="Q171">
        <f t="shared" ref="Q171" si="831">F171*P171</f>
        <v>-991849.70396258833</v>
      </c>
      <c r="R171">
        <f t="shared" ref="R171" si="832">R172+Q171</f>
        <v>268356211.32198742</v>
      </c>
      <c r="S171">
        <f t="shared" ref="S171" si="833">R171/100000</f>
        <v>2683.5621132198744</v>
      </c>
      <c r="T171">
        <f t="shared" ref="T171" si="834">S171/1000</f>
        <v>2.6835621132198746</v>
      </c>
    </row>
    <row r="172" spans="1:20" x14ac:dyDescent="0.25">
      <c r="A172" s="5">
        <v>44421</v>
      </c>
      <c r="B172">
        <v>12.141999999999999</v>
      </c>
      <c r="C172">
        <v>12.592000000000001</v>
      </c>
      <c r="D172">
        <v>11.79</v>
      </c>
      <c r="E172">
        <v>12.57</v>
      </c>
      <c r="F172">
        <v>5097430.7350000003</v>
      </c>
      <c r="G172">
        <v>12.57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0.94513715710723145</v>
      </c>
      <c r="Q172">
        <f t="shared" ref="Q172" si="836">F172*P172</f>
        <v>4817771.1934289252</v>
      </c>
      <c r="R172">
        <f t="shared" ref="R172" si="837">R173+Q172</f>
        <v>269348061.02595001</v>
      </c>
      <c r="S172">
        <f t="shared" ref="S172" si="838">R172/100000</f>
        <v>2693.4806102595003</v>
      </c>
      <c r="T172">
        <f t="shared" ref="T172" si="839">S172/1000</f>
        <v>2.6934806102595004</v>
      </c>
    </row>
    <row r="173" spans="1:20" x14ac:dyDescent="0.25">
      <c r="A173" s="5">
        <v>44420</v>
      </c>
      <c r="B173">
        <v>11.207000000000001</v>
      </c>
      <c r="C173">
        <v>12.192</v>
      </c>
      <c r="D173">
        <v>10.507</v>
      </c>
      <c r="E173">
        <v>12.141999999999999</v>
      </c>
      <c r="F173">
        <v>7346333.165</v>
      </c>
      <c r="G173">
        <v>12.141999999999999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0.94065281899109709</v>
      </c>
      <c r="Q173">
        <f t="shared" ref="Q173" si="841">F173*P173</f>
        <v>6910349.0009050388</v>
      </c>
      <c r="R173">
        <f t="shared" ref="R173" si="842">R174+Q173</f>
        <v>264530289.83252111</v>
      </c>
      <c r="S173">
        <f t="shared" ref="S173" si="843">R173/100000</f>
        <v>2645.3028983252111</v>
      </c>
      <c r="T173">
        <f t="shared" ref="T173" si="844">S173/1000</f>
        <v>2.6453028983252111</v>
      </c>
    </row>
    <row r="174" spans="1:20" x14ac:dyDescent="0.25">
      <c r="A174" s="5">
        <v>44419</v>
      </c>
      <c r="B174">
        <v>10.378</v>
      </c>
      <c r="C174">
        <v>12.148999999999999</v>
      </c>
      <c r="D174">
        <v>10.353999999999999</v>
      </c>
      <c r="E174">
        <v>11.208</v>
      </c>
      <c r="F174">
        <v>8580430.1420000009</v>
      </c>
      <c r="G174">
        <v>11.208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-4.8467966573815024E-2</v>
      </c>
      <c r="Q174">
        <f t="shared" ref="Q174" si="846">F174*P174</f>
        <v>-415876.00131141098</v>
      </c>
      <c r="R174">
        <f t="shared" ref="R174" si="847">R175+Q174</f>
        <v>257619940.83161607</v>
      </c>
      <c r="S174">
        <f t="shared" ref="S174" si="848">R174/100000</f>
        <v>2576.1994083161608</v>
      </c>
      <c r="T174">
        <f t="shared" ref="T174" si="849">S174/1000</f>
        <v>2.5761994083161608</v>
      </c>
    </row>
    <row r="175" spans="1:20" x14ac:dyDescent="0.25">
      <c r="A175" s="5">
        <v>44418</v>
      </c>
      <c r="B175">
        <v>9.8049999999999997</v>
      </c>
      <c r="C175">
        <v>10.638999999999999</v>
      </c>
      <c r="D175">
        <v>9.5830000000000002</v>
      </c>
      <c r="E175">
        <v>10.377000000000001</v>
      </c>
      <c r="F175">
        <v>7384407.0489999996</v>
      </c>
      <c r="G175">
        <v>10.377000000000001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0.50378787878788089</v>
      </c>
      <c r="Q175">
        <f t="shared" ref="Q175" si="851">F175*P175</f>
        <v>3720174.763321985</v>
      </c>
      <c r="R175">
        <f t="shared" ref="R175" si="852">R176+Q175</f>
        <v>258035816.8329275</v>
      </c>
      <c r="S175">
        <f t="shared" ref="S175" si="853">R175/100000</f>
        <v>2580.358168329275</v>
      </c>
      <c r="T175">
        <f t="shared" ref="T175" si="854">S175/1000</f>
        <v>2.5803581683292749</v>
      </c>
    </row>
    <row r="176" spans="1:20" x14ac:dyDescent="0.25">
      <c r="A176" s="5">
        <v>44417</v>
      </c>
      <c r="B176">
        <v>9.3879999999999999</v>
      </c>
      <c r="C176">
        <v>10.145</v>
      </c>
      <c r="D176">
        <v>9.0399999999999991</v>
      </c>
      <c r="E176">
        <v>9.8049999999999997</v>
      </c>
      <c r="F176">
        <v>5087555.1030000001</v>
      </c>
      <c r="G176">
        <v>9.8049999999999997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0.38461538461538514</v>
      </c>
      <c r="Q176">
        <f t="shared" ref="Q176" si="856">F176*P176</f>
        <v>1956751.9626923103</v>
      </c>
      <c r="R176">
        <f t="shared" ref="R176" si="857">R177+Q176</f>
        <v>254315642.0696055</v>
      </c>
      <c r="S176">
        <f t="shared" ref="S176" si="858">R176/100000</f>
        <v>2543.1564206960552</v>
      </c>
      <c r="T176">
        <f t="shared" ref="T176" si="859">S176/1000</f>
        <v>2.5431564206960551</v>
      </c>
    </row>
    <row r="177" spans="1:20" x14ac:dyDescent="0.25">
      <c r="A177" s="5">
        <v>44416</v>
      </c>
      <c r="B177">
        <v>10.347</v>
      </c>
      <c r="C177">
        <v>10.486000000000001</v>
      </c>
      <c r="D177">
        <v>9.1989999999999998</v>
      </c>
      <c r="E177">
        <v>9.391</v>
      </c>
      <c r="F177">
        <v>4166218.2760000001</v>
      </c>
      <c r="G177">
        <v>9.391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-0.70163170163170152</v>
      </c>
      <c r="Q177">
        <f t="shared" ref="Q177" si="861">F177*P177</f>
        <v>-2923150.8183589741</v>
      </c>
      <c r="R177">
        <f t="shared" ref="R177" si="862">R178+Q177</f>
        <v>252358890.10691318</v>
      </c>
      <c r="S177">
        <f t="shared" ref="S177" si="863">R177/100000</f>
        <v>2523.5889010691317</v>
      </c>
      <c r="T177">
        <f t="shared" ref="T177" si="864">S177/1000</f>
        <v>2.5235889010691315</v>
      </c>
    </row>
    <row r="178" spans="1:20" x14ac:dyDescent="0.25">
      <c r="A178" s="5">
        <v>44415</v>
      </c>
      <c r="B178">
        <v>9.8149999999999995</v>
      </c>
      <c r="C178">
        <v>10.689</v>
      </c>
      <c r="D178">
        <v>9.7089999999999996</v>
      </c>
      <c r="E178">
        <v>10.346</v>
      </c>
      <c r="F178">
        <v>5927820.5499999998</v>
      </c>
      <c r="G178">
        <v>10.346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0.30000000000000038</v>
      </c>
      <c r="Q178">
        <f t="shared" ref="Q178" si="866">F178*P178</f>
        <v>1778346.1650000021</v>
      </c>
      <c r="R178">
        <f t="shared" ref="R178" si="867">R179+Q178</f>
        <v>255282040.92527217</v>
      </c>
      <c r="S178">
        <f t="shared" ref="S178" si="868">R178/100000</f>
        <v>2552.8204092527217</v>
      </c>
      <c r="T178">
        <f t="shared" ref="T178" si="869">S178/1000</f>
        <v>2.5528204092527216</v>
      </c>
    </row>
    <row r="179" spans="1:20" x14ac:dyDescent="0.25">
      <c r="A179" s="5">
        <v>44414</v>
      </c>
      <c r="B179">
        <v>9.6310000000000002</v>
      </c>
      <c r="C179">
        <v>10.122</v>
      </c>
      <c r="D179">
        <v>8.9860000000000007</v>
      </c>
      <c r="E179">
        <v>9.8149999999999995</v>
      </c>
      <c r="F179">
        <v>6361180.102</v>
      </c>
      <c r="G179">
        <v>9.8149999999999995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0.45950704225352007</v>
      </c>
      <c r="Q179">
        <f t="shared" ref="Q179" si="871">F179*P179</f>
        <v>2923007.0539119649</v>
      </c>
      <c r="R179">
        <f t="shared" ref="R179" si="872">R180+Q179</f>
        <v>253503694.76027218</v>
      </c>
      <c r="S179">
        <f t="shared" ref="S179" si="873">R179/100000</f>
        <v>2535.0369476027217</v>
      </c>
      <c r="T179">
        <f t="shared" ref="T179" si="874">S179/1000</f>
        <v>2.5350369476027219</v>
      </c>
    </row>
    <row r="180" spans="1:20" x14ac:dyDescent="0.25">
      <c r="A180" s="5">
        <v>44413</v>
      </c>
      <c r="B180">
        <v>8.7569999999999997</v>
      </c>
      <c r="C180">
        <v>9.6590000000000007</v>
      </c>
      <c r="D180">
        <v>8.18</v>
      </c>
      <c r="E180">
        <v>9.6319999999999997</v>
      </c>
      <c r="F180">
        <v>6976743.8200000003</v>
      </c>
      <c r="G180">
        <v>9.6319999999999997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0.96348884381338606</v>
      </c>
      <c r="Q180">
        <f t="shared" ref="Q180" si="876">F180*P180</f>
        <v>6722014.8367139865</v>
      </c>
      <c r="R180">
        <f t="shared" ref="R180" si="877">R181+Q180</f>
        <v>250580687.70636022</v>
      </c>
      <c r="S180">
        <f t="shared" ref="S180" si="878">R180/100000</f>
        <v>2505.8068770636023</v>
      </c>
      <c r="T180">
        <f t="shared" ref="T180" si="879">S180/1000</f>
        <v>2.5058068770636024</v>
      </c>
    </row>
    <row r="181" spans="1:20" x14ac:dyDescent="0.25">
      <c r="A181" s="5">
        <v>44412</v>
      </c>
      <c r="B181">
        <v>8.09</v>
      </c>
      <c r="C181">
        <v>8.8859999999999992</v>
      </c>
      <c r="D181">
        <v>7.95</v>
      </c>
      <c r="E181">
        <v>8.76</v>
      </c>
      <c r="F181">
        <v>3481929.4079999998</v>
      </c>
      <c r="G181">
        <v>8.76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0.73076923076923173</v>
      </c>
      <c r="Q181">
        <f t="shared" ref="Q181" si="881">F181*P181</f>
        <v>2544486.8750769263</v>
      </c>
      <c r="R181">
        <f t="shared" ref="R181" si="882">R182+Q181</f>
        <v>243858672.86964622</v>
      </c>
      <c r="S181">
        <f t="shared" ref="S181" si="883">R181/100000</f>
        <v>2438.5867286964622</v>
      </c>
      <c r="T181">
        <f t="shared" ref="T181" si="884">S181/1000</f>
        <v>2.4385867286964622</v>
      </c>
    </row>
    <row r="182" spans="1:20" x14ac:dyDescent="0.25">
      <c r="A182" s="5">
        <v>44411</v>
      </c>
      <c r="B182">
        <v>8.3460000000000001</v>
      </c>
      <c r="C182">
        <v>8.4640000000000004</v>
      </c>
      <c r="D182">
        <v>7.8710000000000004</v>
      </c>
      <c r="E182">
        <v>8.0890000000000004</v>
      </c>
      <c r="F182">
        <v>3396751.071</v>
      </c>
      <c r="G182">
        <v>8.0890000000000004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-0.2647554806070827</v>
      </c>
      <c r="Q182">
        <f t="shared" ref="Q182" si="886">F182*P182</f>
        <v>-899308.46230522788</v>
      </c>
      <c r="R182">
        <f t="shared" ref="R182" si="887">R183+Q182</f>
        <v>241314185.9945693</v>
      </c>
      <c r="S182">
        <f t="shared" ref="S182" si="888">R182/100000</f>
        <v>2413.1418599456929</v>
      </c>
      <c r="T182">
        <f t="shared" ref="T182" si="889">S182/1000</f>
        <v>2.4131418599456929</v>
      </c>
    </row>
    <row r="183" spans="1:20" x14ac:dyDescent="0.25">
      <c r="A183" s="5">
        <v>44410</v>
      </c>
      <c r="B183">
        <v>8.4849999999999994</v>
      </c>
      <c r="C183">
        <v>8.7200000000000006</v>
      </c>
      <c r="D183">
        <v>8.2789999999999999</v>
      </c>
      <c r="E183">
        <v>8.3450000000000006</v>
      </c>
      <c r="F183">
        <v>2758122.7230000002</v>
      </c>
      <c r="G183">
        <v>8.3450000000000006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-0.70068027210884076</v>
      </c>
      <c r="Q183">
        <f t="shared" ref="Q183" si="891">F183*P183</f>
        <v>-1932562.1800612169</v>
      </c>
      <c r="R183">
        <f t="shared" ref="R183" si="892">R184+Q183</f>
        <v>242213494.45687452</v>
      </c>
      <c r="S183">
        <f t="shared" ref="S183" si="893">R183/100000</f>
        <v>2422.1349445687451</v>
      </c>
      <c r="T183">
        <f t="shared" ref="T183" si="894">S183/1000</f>
        <v>2.4221349445687452</v>
      </c>
    </row>
    <row r="184" spans="1:20" x14ac:dyDescent="0.25">
      <c r="A184" s="5">
        <v>44409</v>
      </c>
      <c r="B184">
        <v>8.8670000000000009</v>
      </c>
      <c r="C184">
        <v>9.2050000000000001</v>
      </c>
      <c r="D184">
        <v>8.3510000000000009</v>
      </c>
      <c r="E184">
        <v>8.4849999999999994</v>
      </c>
      <c r="F184">
        <v>5116790.3870000001</v>
      </c>
      <c r="G184">
        <v>8.4849999999999994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-0.68618266978923026</v>
      </c>
      <c r="Q184">
        <f t="shared" ref="Q184" si="896">F184*P184</f>
        <v>-3511052.8885035287</v>
      </c>
      <c r="R184">
        <f t="shared" ref="R184" si="897">R185+Q184</f>
        <v>244146056.63693574</v>
      </c>
      <c r="S184">
        <f t="shared" ref="S184" si="898">R184/100000</f>
        <v>2441.4605663693574</v>
      </c>
      <c r="T184">
        <f t="shared" ref="T184" si="899">S184/1000</f>
        <v>2.4414605663693574</v>
      </c>
    </row>
    <row r="185" spans="1:20" x14ac:dyDescent="0.25">
      <c r="A185" s="5">
        <v>44408</v>
      </c>
      <c r="B185">
        <v>8.4610000000000003</v>
      </c>
      <c r="C185">
        <v>9.01</v>
      </c>
      <c r="D185">
        <v>8.2119999999999997</v>
      </c>
      <c r="E185">
        <v>8.8629999999999995</v>
      </c>
      <c r="F185">
        <v>4896676.91</v>
      </c>
      <c r="G185">
        <v>8.8629999999999995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0.63157894736842046</v>
      </c>
      <c r="Q185">
        <f t="shared" ref="Q185" si="901">F185*P185</f>
        <v>3092638.04842105</v>
      </c>
      <c r="R185">
        <f t="shared" ref="R185" si="902">R186+Q185</f>
        <v>247657109.52543926</v>
      </c>
      <c r="S185">
        <f t="shared" ref="S185" si="903">R185/100000</f>
        <v>2476.5710952543927</v>
      </c>
      <c r="T185">
        <f t="shared" ref="T185" si="904">S185/1000</f>
        <v>2.4765710952543927</v>
      </c>
    </row>
    <row r="186" spans="1:20" x14ac:dyDescent="0.25">
      <c r="A186" s="5">
        <v>44407</v>
      </c>
      <c r="B186">
        <v>8.1760000000000002</v>
      </c>
      <c r="C186">
        <v>8.5370000000000008</v>
      </c>
      <c r="D186">
        <v>7.8369999999999997</v>
      </c>
      <c r="E186">
        <v>8.468</v>
      </c>
      <c r="F186">
        <v>4993864.7549999999</v>
      </c>
      <c r="G186">
        <v>8.468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0.80285714285714072</v>
      </c>
      <c r="Q186">
        <f t="shared" ref="Q186" si="906">F186*P186</f>
        <v>4009359.9890142749</v>
      </c>
      <c r="R186">
        <f t="shared" ref="R186" si="907">R187+Q186</f>
        <v>244564471.47701821</v>
      </c>
      <c r="S186">
        <f t="shared" ref="S186" si="908">R186/100000</f>
        <v>2445.644714770182</v>
      </c>
      <c r="T186">
        <f t="shared" ref="T186" si="909">S186/1000</f>
        <v>2.4456447147701819</v>
      </c>
    </row>
    <row r="187" spans="1:20" x14ac:dyDescent="0.25">
      <c r="A187" s="5">
        <v>44406</v>
      </c>
      <c r="B187">
        <v>8.1649999999999991</v>
      </c>
      <c r="C187">
        <v>8.2940000000000005</v>
      </c>
      <c r="D187">
        <v>7.97</v>
      </c>
      <c r="E187">
        <v>8.1760000000000002</v>
      </c>
      <c r="F187">
        <v>4739492.534</v>
      </c>
      <c r="G187">
        <v>8.1760000000000002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0.27160493827160459</v>
      </c>
      <c r="Q187">
        <f t="shared" ref="Q187" si="911">F187*P187</f>
        <v>1287269.5771358008</v>
      </c>
      <c r="R187">
        <f t="shared" ref="R187" si="912">R188+Q187</f>
        <v>240555111.48800394</v>
      </c>
      <c r="S187">
        <f t="shared" ref="S187" si="913">R187/100000</f>
        <v>2405.5511148800392</v>
      </c>
      <c r="T187">
        <f t="shared" ref="T187" si="914">S187/1000</f>
        <v>2.4055511148800393</v>
      </c>
    </row>
    <row r="188" spans="1:20" x14ac:dyDescent="0.25">
      <c r="A188" s="5">
        <v>44405</v>
      </c>
      <c r="B188">
        <v>8.1829999999999998</v>
      </c>
      <c r="C188">
        <v>8.5039999999999996</v>
      </c>
      <c r="D188">
        <v>8.0180000000000007</v>
      </c>
      <c r="E188">
        <v>8.1660000000000004</v>
      </c>
      <c r="F188">
        <v>6185350.5549999997</v>
      </c>
      <c r="G188">
        <v>8.1660000000000004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-0.39094650205761305</v>
      </c>
      <c r="Q188">
        <f t="shared" ref="Q188" si="916">F188*P188</f>
        <v>-2418141.1634773654</v>
      </c>
      <c r="R188">
        <f t="shared" ref="R188" si="917">R189+Q188</f>
        <v>239267841.91086814</v>
      </c>
      <c r="S188">
        <f t="shared" ref="S188" si="918">R188/100000</f>
        <v>2392.6784191086813</v>
      </c>
      <c r="T188">
        <f t="shared" ref="T188" si="919">S188/1000</f>
        <v>2.3926784191086812</v>
      </c>
    </row>
    <row r="189" spans="1:20" x14ac:dyDescent="0.25">
      <c r="A189" s="5">
        <v>44404</v>
      </c>
      <c r="B189">
        <v>8.27</v>
      </c>
      <c r="C189">
        <v>8.5540000000000003</v>
      </c>
      <c r="D189">
        <v>7.8129999999999997</v>
      </c>
      <c r="E189">
        <v>8.19</v>
      </c>
      <c r="F189">
        <v>8908629.9729999993</v>
      </c>
      <c r="G189">
        <v>8.19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1.754385964912146E-2</v>
      </c>
      <c r="Q189">
        <f t="shared" ref="Q189" si="921">F189*P189</f>
        <v>156291.7539122687</v>
      </c>
      <c r="R189">
        <f t="shared" ref="R189" si="922">R190+Q189</f>
        <v>241685983.0743455</v>
      </c>
      <c r="S189">
        <f t="shared" ref="S189" si="923">R189/100000</f>
        <v>2416.8598307434549</v>
      </c>
      <c r="T189">
        <f t="shared" ref="T189" si="924">S189/1000</f>
        <v>2.416859830743455</v>
      </c>
    </row>
    <row r="190" spans="1:20" x14ac:dyDescent="0.25">
      <c r="A190" s="5">
        <v>44403</v>
      </c>
      <c r="B190">
        <v>8.3249999999999993</v>
      </c>
      <c r="C190">
        <v>9.6270000000000007</v>
      </c>
      <c r="D190">
        <v>8.2490000000000006</v>
      </c>
      <c r="E190">
        <v>8.2769999999999992</v>
      </c>
      <c r="F190">
        <v>10209959.347999999</v>
      </c>
      <c r="G190">
        <v>8.2769999999999992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-0.95936139332365933</v>
      </c>
      <c r="Q190">
        <f t="shared" ref="Q190" si="926">F190*P190</f>
        <v>-9795040.8258752003</v>
      </c>
      <c r="R190">
        <f t="shared" ref="R190" si="927">R191+Q190</f>
        <v>241529691.32043323</v>
      </c>
      <c r="S190">
        <f t="shared" ref="S190" si="928">R190/100000</f>
        <v>2415.2969132043322</v>
      </c>
      <c r="T190">
        <f t="shared" ref="T190" si="929">S190/1000</f>
        <v>2.4152969132043323</v>
      </c>
    </row>
    <row r="191" spans="1:20" x14ac:dyDescent="0.25">
      <c r="A191" s="5">
        <v>44402</v>
      </c>
      <c r="B191">
        <v>8.0350000000000001</v>
      </c>
      <c r="C191">
        <v>8.3360000000000003</v>
      </c>
      <c r="D191">
        <v>7.7270000000000003</v>
      </c>
      <c r="E191">
        <v>8.3309999999999995</v>
      </c>
      <c r="F191">
        <v>3834714.6290000002</v>
      </c>
      <c r="G191">
        <v>8.3309999999999995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0.98357963875205001</v>
      </c>
      <c r="Q191">
        <f t="shared" ref="Q191" si="931">F191*P191</f>
        <v>3771747.2295090216</v>
      </c>
      <c r="R191">
        <f t="shared" ref="R191" si="932">R192+Q191</f>
        <v>251324732.14630842</v>
      </c>
      <c r="S191">
        <f t="shared" ref="S191" si="933">R191/100000</f>
        <v>2513.2473214630841</v>
      </c>
      <c r="T191">
        <f t="shared" ref="T191:T197" si="934">S191/1000</f>
        <v>2.5132473214630839</v>
      </c>
    </row>
    <row r="192" spans="1:20" x14ac:dyDescent="0.25">
      <c r="A192" s="5">
        <v>44401</v>
      </c>
      <c r="B192">
        <v>8.6</v>
      </c>
      <c r="C192">
        <v>8.6</v>
      </c>
      <c r="D192">
        <v>7.8719999999999999</v>
      </c>
      <c r="E192">
        <v>8.0310000000000006</v>
      </c>
      <c r="F192">
        <v>4575114.0240000002</v>
      </c>
      <c r="G192">
        <v>8.0310000000000006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-0.56318681318681107</v>
      </c>
      <c r="Q192">
        <f t="shared" ref="Q192" si="936">F192*P192</f>
        <v>-2576643.8871428478</v>
      </c>
      <c r="R192">
        <f t="shared" ref="R192" si="937">R193+Q192</f>
        <v>247552984.9167994</v>
      </c>
      <c r="S192">
        <f t="shared" ref="S192" si="938">R192/100000</f>
        <v>2475.5298491679941</v>
      </c>
      <c r="T192">
        <f t="shared" si="934"/>
        <v>2.475529849167994</v>
      </c>
    </row>
    <row r="193" spans="1:20" x14ac:dyDescent="0.25">
      <c r="A193" s="5">
        <v>44400</v>
      </c>
      <c r="B193">
        <v>8.2330000000000005</v>
      </c>
      <c r="C193">
        <v>8.6280000000000001</v>
      </c>
      <c r="D193">
        <v>7.65</v>
      </c>
      <c r="E193">
        <v>8.5939999999999994</v>
      </c>
      <c r="F193">
        <v>9053417.1679999996</v>
      </c>
      <c r="G193">
        <v>8.5939999999999994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0.93047034764826031</v>
      </c>
      <c r="Q193">
        <f t="shared" ref="Q193" si="940">F193*P193</f>
        <v>8423936.2197136879</v>
      </c>
      <c r="R193">
        <f t="shared" ref="R193" si="941">R194+Q193</f>
        <v>250129628.80394223</v>
      </c>
      <c r="S193">
        <f t="shared" ref="S193" si="942">R193/100000</f>
        <v>2501.2962880394225</v>
      </c>
      <c r="T193">
        <f t="shared" si="934"/>
        <v>2.5012962880394225</v>
      </c>
    </row>
    <row r="194" spans="1:20" x14ac:dyDescent="0.25">
      <c r="A194" s="5">
        <v>44399</v>
      </c>
      <c r="B194">
        <v>7.0940000000000003</v>
      </c>
      <c r="C194">
        <v>8.3000000000000007</v>
      </c>
      <c r="D194">
        <v>7.0289999999999999</v>
      </c>
      <c r="E194">
        <v>8.2360000000000007</v>
      </c>
      <c r="F194">
        <v>11605524.310000001</v>
      </c>
      <c r="G194">
        <v>8.2360000000000007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0.8992918961447679</v>
      </c>
      <c r="Q194">
        <f t="shared" ref="Q194" si="944">F194*P194</f>
        <v>10436753.9624941</v>
      </c>
      <c r="R194">
        <f t="shared" ref="R194" si="945">R195+Q194</f>
        <v>241705692.58422855</v>
      </c>
      <c r="S194">
        <f t="shared" ref="S194" si="946">R194/100000</f>
        <v>2417.0569258422856</v>
      </c>
      <c r="T194">
        <f t="shared" si="934"/>
        <v>2.4170569258422856</v>
      </c>
    </row>
    <row r="195" spans="1:20" x14ac:dyDescent="0.25">
      <c r="A195" s="5">
        <v>44398</v>
      </c>
      <c r="B195">
        <v>6.29</v>
      </c>
      <c r="C195">
        <v>7.1769999999999996</v>
      </c>
      <c r="D195">
        <v>6.13</v>
      </c>
      <c r="E195">
        <v>7.093</v>
      </c>
      <c r="F195">
        <v>5666391.8590000002</v>
      </c>
      <c r="G195">
        <v>7.093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0.83954154727793762</v>
      </c>
      <c r="Q195">
        <f t="shared" ref="Q195" si="948">F195*P195</f>
        <v>4757171.388787969</v>
      </c>
      <c r="R195">
        <f t="shared" ref="R195" si="949">R196+Q195</f>
        <v>231268938.62173444</v>
      </c>
      <c r="S195">
        <f t="shared" ref="S195" si="950">R195/100000</f>
        <v>2312.6893862173442</v>
      </c>
      <c r="T195">
        <f t="shared" si="934"/>
        <v>2.3126893862173441</v>
      </c>
    </row>
    <row r="196" spans="1:20" x14ac:dyDescent="0.25">
      <c r="A196" s="5">
        <v>44397</v>
      </c>
      <c r="B196">
        <v>6.6470000000000002</v>
      </c>
      <c r="C196">
        <v>6.7519999999999998</v>
      </c>
      <c r="D196">
        <v>6.0190000000000001</v>
      </c>
      <c r="E196">
        <v>6.2910000000000004</v>
      </c>
      <c r="F196">
        <v>4856249.7249999996</v>
      </c>
      <c r="G196">
        <v>6.2910000000000004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-0.25784447476125411</v>
      </c>
      <c r="Q196">
        <f t="shared" ref="Q196" si="952">F196*P196</f>
        <v>-1252157.1596521095</v>
      </c>
      <c r="R196">
        <f t="shared" ref="R196" si="953">R197+Q196</f>
        <v>226511767.23294649</v>
      </c>
      <c r="S196">
        <f t="shared" ref="S196" si="954">R196/100000</f>
        <v>2265.1176723294648</v>
      </c>
      <c r="T196">
        <f t="shared" si="934"/>
        <v>2.2651176723294646</v>
      </c>
    </row>
    <row r="197" spans="1:20" x14ac:dyDescent="0.25">
      <c r="A197" s="5">
        <v>44396</v>
      </c>
      <c r="B197">
        <v>7.085</v>
      </c>
      <c r="C197">
        <v>7.15</v>
      </c>
      <c r="D197">
        <v>6.4720000000000004</v>
      </c>
      <c r="E197">
        <v>6.6459999999999999</v>
      </c>
      <c r="F197">
        <v>5830862.6660000002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-0.48672566371681564</v>
      </c>
      <c r="Q197">
        <f t="shared" ref="Q197" si="956">F197*P197</f>
        <v>-2838030.5011504511</v>
      </c>
      <c r="R197">
        <f t="shared" ref="R197" si="957">R198+Q197</f>
        <v>227763924.3925986</v>
      </c>
      <c r="S197">
        <f t="shared" ref="S197" si="958">R197/100000</f>
        <v>2277.6392439259862</v>
      </c>
      <c r="T197">
        <f t="shared" si="934"/>
        <v>2.2776392439259863</v>
      </c>
    </row>
    <row r="198" spans="1:20" x14ac:dyDescent="0.25">
      <c r="A198" s="5">
        <v>44395</v>
      </c>
      <c r="B198">
        <v>7.4980000000000002</v>
      </c>
      <c r="C198">
        <v>8.0299999999999994</v>
      </c>
      <c r="D198">
        <v>7.0190000000000001</v>
      </c>
      <c r="E198">
        <v>7.0819999999999999</v>
      </c>
      <c r="F198">
        <v>6289817.932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-0.87537091988130611</v>
      </c>
      <c r="Q198">
        <f t="shared" ref="Q198:Q261" si="960">F198*P198</f>
        <v>-5505923.7090207748</v>
      </c>
      <c r="R198">
        <f t="shared" ref="R198:R261" si="961">R199+Q198</f>
        <v>230601954.89374906</v>
      </c>
      <c r="S198">
        <f t="shared" ref="S198:S261" si="962">R198/100000</f>
        <v>2306.0195489374905</v>
      </c>
      <c r="T198">
        <f t="shared" ref="T198:T261" si="963">S198/1000</f>
        <v>2.3060195489374906</v>
      </c>
    </row>
    <row r="199" spans="1:20" x14ac:dyDescent="0.25">
      <c r="A199" s="5">
        <v>44394</v>
      </c>
      <c r="B199">
        <v>6.3440000000000003</v>
      </c>
      <c r="C199">
        <v>7.4989999999999997</v>
      </c>
      <c r="D199">
        <v>6.2960000000000003</v>
      </c>
      <c r="E199">
        <v>7.4989999999999997</v>
      </c>
      <c r="F199">
        <v>10465857.764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1</v>
      </c>
      <c r="Q199">
        <f t="shared" si="960"/>
        <v>10465857.764</v>
      </c>
      <c r="R199">
        <f t="shared" si="961"/>
        <v>236107878.60276982</v>
      </c>
      <c r="S199">
        <f t="shared" si="962"/>
        <v>2361.0787860276982</v>
      </c>
      <c r="T199">
        <f t="shared" si="963"/>
        <v>2.3610787860276981</v>
      </c>
    </row>
    <row r="200" spans="1:20" x14ac:dyDescent="0.25">
      <c r="A200" s="5">
        <v>44393</v>
      </c>
      <c r="B200">
        <v>6.7190000000000003</v>
      </c>
      <c r="C200">
        <v>6.8879999999999999</v>
      </c>
      <c r="D200">
        <v>6.3239999999999998</v>
      </c>
      <c r="E200">
        <v>6.3470000000000004</v>
      </c>
      <c r="F200">
        <v>3222010.08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-0.91843971631205468</v>
      </c>
      <c r="Q200">
        <f t="shared" si="960"/>
        <v>-2959222.0238297805</v>
      </c>
      <c r="R200">
        <f t="shared" si="961"/>
        <v>225642020.83876982</v>
      </c>
      <c r="S200">
        <f t="shared" si="962"/>
        <v>2256.420208387698</v>
      </c>
      <c r="T200">
        <f t="shared" si="963"/>
        <v>2.2564202083876981</v>
      </c>
    </row>
    <row r="201" spans="1:20" x14ac:dyDescent="0.25">
      <c r="A201" s="5">
        <v>44392</v>
      </c>
      <c r="B201">
        <v>7.1230000000000002</v>
      </c>
      <c r="C201">
        <v>7.4279999999999999</v>
      </c>
      <c r="D201">
        <v>6.609</v>
      </c>
      <c r="E201">
        <v>6.7240000000000002</v>
      </c>
      <c r="F201">
        <v>4785416.0049999999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-0.71916971916971861</v>
      </c>
      <c r="Q201">
        <f t="shared" si="960"/>
        <v>-3441526.2844261266</v>
      </c>
      <c r="R201">
        <f t="shared" si="961"/>
        <v>228601242.86259961</v>
      </c>
      <c r="S201">
        <f t="shared" si="962"/>
        <v>2286.0124286259961</v>
      </c>
      <c r="T201">
        <f t="shared" si="963"/>
        <v>2.286012428625996</v>
      </c>
    </row>
    <row r="202" spans="1:20" x14ac:dyDescent="0.25">
      <c r="A202" s="5">
        <v>44391</v>
      </c>
      <c r="B202">
        <v>7.1349999999999998</v>
      </c>
      <c r="C202">
        <v>7.3760000000000003</v>
      </c>
      <c r="D202">
        <v>6.7249999999999996</v>
      </c>
      <c r="E202">
        <v>7.1230000000000002</v>
      </c>
      <c r="F202">
        <v>3913457.5929999999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0.22273425499231997</v>
      </c>
      <c r="Q202">
        <f t="shared" si="960"/>
        <v>871661.06142089271</v>
      </c>
      <c r="R202">
        <f t="shared" si="961"/>
        <v>232042769.14702573</v>
      </c>
      <c r="S202">
        <f t="shared" si="962"/>
        <v>2320.4276914702573</v>
      </c>
      <c r="T202">
        <f t="shared" si="963"/>
        <v>2.3204276914702571</v>
      </c>
    </row>
    <row r="203" spans="1:20" x14ac:dyDescent="0.25">
      <c r="A203" s="5">
        <v>44390</v>
      </c>
      <c r="B203">
        <v>7.6349999999999998</v>
      </c>
      <c r="C203">
        <v>7.673</v>
      </c>
      <c r="D203">
        <v>6.9210000000000003</v>
      </c>
      <c r="E203">
        <v>7.1349999999999998</v>
      </c>
      <c r="F203">
        <v>3209371.9840000002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-0.43085106382978833</v>
      </c>
      <c r="Q203">
        <f t="shared" si="960"/>
        <v>-1382761.3335319185</v>
      </c>
      <c r="R203">
        <f t="shared" si="961"/>
        <v>231171108.08560485</v>
      </c>
      <c r="S203">
        <f t="shared" si="962"/>
        <v>2311.7110808560483</v>
      </c>
      <c r="T203">
        <f t="shared" si="963"/>
        <v>2.3117110808560484</v>
      </c>
    </row>
    <row r="204" spans="1:20" x14ac:dyDescent="0.25">
      <c r="A204" s="5">
        <v>44389</v>
      </c>
      <c r="B204">
        <v>8.1549999999999994</v>
      </c>
      <c r="C204">
        <v>8.2759999999999998</v>
      </c>
      <c r="D204">
        <v>7.4279999999999999</v>
      </c>
      <c r="E204">
        <v>7.6349999999999998</v>
      </c>
      <c r="F204">
        <v>2877956.5389999999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-0.51179245283018893</v>
      </c>
      <c r="Q204">
        <f t="shared" si="960"/>
        <v>-1472916.4362334912</v>
      </c>
      <c r="R204">
        <f t="shared" si="961"/>
        <v>232553869.41913676</v>
      </c>
      <c r="S204">
        <f t="shared" si="962"/>
        <v>2325.5386941913675</v>
      </c>
      <c r="T204">
        <f t="shared" si="963"/>
        <v>2.3255386941913674</v>
      </c>
    </row>
    <row r="205" spans="1:20" x14ac:dyDescent="0.25">
      <c r="A205" s="5">
        <v>44388</v>
      </c>
      <c r="B205">
        <v>7.9880000000000004</v>
      </c>
      <c r="C205">
        <v>8.4</v>
      </c>
      <c r="D205">
        <v>7.82</v>
      </c>
      <c r="E205">
        <v>8.15</v>
      </c>
      <c r="F205">
        <v>2822296.409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0.13793103448275873</v>
      </c>
      <c r="Q205">
        <f t="shared" si="960"/>
        <v>389282.26331034512</v>
      </c>
      <c r="R205">
        <f t="shared" si="961"/>
        <v>234026785.85537025</v>
      </c>
      <c r="S205">
        <f t="shared" si="962"/>
        <v>2340.2678585537024</v>
      </c>
      <c r="T205">
        <f t="shared" si="963"/>
        <v>2.3402678585537022</v>
      </c>
    </row>
    <row r="206" spans="1:20" x14ac:dyDescent="0.25">
      <c r="A206" s="5">
        <v>44387</v>
      </c>
      <c r="B206">
        <v>8.4120000000000008</v>
      </c>
      <c r="C206">
        <v>8.61</v>
      </c>
      <c r="D206">
        <v>7.8330000000000002</v>
      </c>
      <c r="E206">
        <v>7.99</v>
      </c>
      <c r="F206">
        <v>2681104.872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-0.59588159588159539</v>
      </c>
      <c r="Q206">
        <f t="shared" si="960"/>
        <v>-1597621.0498532804</v>
      </c>
      <c r="R206">
        <f t="shared" si="961"/>
        <v>233637503.59205991</v>
      </c>
      <c r="S206">
        <f t="shared" si="962"/>
        <v>2336.3750359205992</v>
      </c>
      <c r="T206">
        <f t="shared" si="963"/>
        <v>2.3363750359205993</v>
      </c>
    </row>
    <row r="207" spans="1:20" x14ac:dyDescent="0.25">
      <c r="A207" s="5">
        <v>44386</v>
      </c>
      <c r="B207">
        <v>7.899</v>
      </c>
      <c r="C207">
        <v>8.6</v>
      </c>
      <c r="D207">
        <v>7.6189999999999998</v>
      </c>
      <c r="E207">
        <v>8.4090000000000007</v>
      </c>
      <c r="F207">
        <v>4013959.3450000002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0.61060142711519072</v>
      </c>
      <c r="Q207">
        <f t="shared" si="960"/>
        <v>2450929.3044393561</v>
      </c>
      <c r="R207">
        <f t="shared" si="961"/>
        <v>235235124.64191321</v>
      </c>
      <c r="S207">
        <f t="shared" si="962"/>
        <v>2352.3512464191322</v>
      </c>
      <c r="T207">
        <f t="shared" si="963"/>
        <v>2.3523512464191323</v>
      </c>
    </row>
    <row r="208" spans="1:20" x14ac:dyDescent="0.25">
      <c r="A208" s="5">
        <v>44385</v>
      </c>
      <c r="B208">
        <v>8.7759999999999998</v>
      </c>
      <c r="C208">
        <v>8.7940000000000005</v>
      </c>
      <c r="D208">
        <v>7.8029999999999999</v>
      </c>
      <c r="E208">
        <v>7.8929999999999998</v>
      </c>
      <c r="F208">
        <v>4897829.8159999996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-0.81836528758829508</v>
      </c>
      <c r="Q208">
        <f t="shared" si="960"/>
        <v>-4008213.9059293661</v>
      </c>
      <c r="R208">
        <f t="shared" si="961"/>
        <v>232784195.33747384</v>
      </c>
      <c r="S208">
        <f t="shared" si="962"/>
        <v>2327.8419533747383</v>
      </c>
      <c r="T208">
        <f t="shared" si="963"/>
        <v>2.3278419533747381</v>
      </c>
    </row>
    <row r="209" spans="1:20" x14ac:dyDescent="0.25">
      <c r="A209" s="5">
        <v>44384</v>
      </c>
      <c r="B209">
        <v>8.9819999999999993</v>
      </c>
      <c r="C209">
        <v>9.7260000000000009</v>
      </c>
      <c r="D209">
        <v>8.7449999999999992</v>
      </c>
      <c r="E209">
        <v>8.7780000000000005</v>
      </c>
      <c r="F209">
        <v>6271550.0700000003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-0.93272171253822389</v>
      </c>
      <c r="Q209">
        <f t="shared" si="960"/>
        <v>-5849610.9215596179</v>
      </c>
      <c r="R209">
        <f t="shared" si="961"/>
        <v>236792409.2434032</v>
      </c>
      <c r="S209">
        <f t="shared" si="962"/>
        <v>2367.924092434032</v>
      </c>
      <c r="T209">
        <f t="shared" si="963"/>
        <v>2.3679240924340319</v>
      </c>
    </row>
    <row r="210" spans="1:20" x14ac:dyDescent="0.25">
      <c r="A210" s="5">
        <v>44383</v>
      </c>
      <c r="B210">
        <v>8.0779999999999994</v>
      </c>
      <c r="C210">
        <v>9.5150000000000006</v>
      </c>
      <c r="D210">
        <v>8.0609999999999999</v>
      </c>
      <c r="E210">
        <v>8.9809999999999999</v>
      </c>
      <c r="F210">
        <v>12571321.173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0.26547455295735839</v>
      </c>
      <c r="Q210">
        <f t="shared" si="960"/>
        <v>3337365.8684855495</v>
      </c>
      <c r="R210">
        <f t="shared" si="961"/>
        <v>242642020.16496283</v>
      </c>
      <c r="S210">
        <f t="shared" si="962"/>
        <v>2426.4202016496283</v>
      </c>
      <c r="T210">
        <f t="shared" si="963"/>
        <v>2.4264202016496283</v>
      </c>
    </row>
    <row r="211" spans="1:20" x14ac:dyDescent="0.25">
      <c r="A211" s="5">
        <v>44382</v>
      </c>
      <c r="B211">
        <v>7.9329999999999998</v>
      </c>
      <c r="C211">
        <v>8.24</v>
      </c>
      <c r="D211">
        <v>7.2190000000000003</v>
      </c>
      <c r="E211">
        <v>8.0779999999999994</v>
      </c>
      <c r="F211">
        <v>4304821.5769999996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0.68266405484818649</v>
      </c>
      <c r="Q211">
        <f t="shared" si="960"/>
        <v>2938746.9531527841</v>
      </c>
      <c r="R211">
        <f t="shared" si="961"/>
        <v>239304654.29647729</v>
      </c>
      <c r="S211">
        <f t="shared" si="962"/>
        <v>2393.0465429647729</v>
      </c>
      <c r="T211">
        <f t="shared" si="963"/>
        <v>2.3930465429647727</v>
      </c>
    </row>
    <row r="212" spans="1:20" x14ac:dyDescent="0.25">
      <c r="A212" s="5">
        <v>44381</v>
      </c>
      <c r="B212">
        <v>7.617</v>
      </c>
      <c r="C212">
        <v>8.2330000000000005</v>
      </c>
      <c r="D212">
        <v>7.367</v>
      </c>
      <c r="E212">
        <v>7.9340000000000002</v>
      </c>
      <c r="F212">
        <v>3195849.5040000002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0.30946882217090027</v>
      </c>
      <c r="Q212">
        <f t="shared" si="960"/>
        <v>989015.78183833591</v>
      </c>
      <c r="R212">
        <f t="shared" si="961"/>
        <v>236365907.34332451</v>
      </c>
      <c r="S212">
        <f t="shared" si="962"/>
        <v>2363.6590734332453</v>
      </c>
      <c r="T212">
        <f t="shared" si="963"/>
        <v>2.3636590734332454</v>
      </c>
    </row>
    <row r="213" spans="1:20" x14ac:dyDescent="0.25">
      <c r="A213" s="5">
        <v>44380</v>
      </c>
      <c r="B213">
        <v>7.4279999999999999</v>
      </c>
      <c r="C213">
        <v>7.7089999999999996</v>
      </c>
      <c r="D213">
        <v>7.2539999999999996</v>
      </c>
      <c r="E213">
        <v>7.62</v>
      </c>
      <c r="F213">
        <v>1580294.699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0.60879120879121096</v>
      </c>
      <c r="Q213">
        <f t="shared" si="960"/>
        <v>962069.52005055291</v>
      </c>
      <c r="R213">
        <f t="shared" si="961"/>
        <v>235376891.56148618</v>
      </c>
      <c r="S213">
        <f t="shared" si="962"/>
        <v>2353.7689156148617</v>
      </c>
      <c r="T213">
        <f t="shared" si="963"/>
        <v>2.3537689156148618</v>
      </c>
    </row>
    <row r="214" spans="1:20" x14ac:dyDescent="0.25">
      <c r="A214" s="5">
        <v>44379</v>
      </c>
      <c r="B214">
        <v>7.4089999999999998</v>
      </c>
      <c r="C214">
        <v>7.5309999999999997</v>
      </c>
      <c r="D214">
        <v>6.9710000000000001</v>
      </c>
      <c r="E214">
        <v>7.423</v>
      </c>
      <c r="F214">
        <v>2475540.98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0.61428571428571521</v>
      </c>
      <c r="Q214">
        <f t="shared" si="960"/>
        <v>1520689.4591428593</v>
      </c>
      <c r="R214">
        <f t="shared" si="961"/>
        <v>234414822.04143563</v>
      </c>
      <c r="S214">
        <f t="shared" si="962"/>
        <v>2344.1482204143563</v>
      </c>
      <c r="T214">
        <f t="shared" si="963"/>
        <v>2.3441482204143562</v>
      </c>
    </row>
    <row r="215" spans="1:20" x14ac:dyDescent="0.25">
      <c r="A215" s="5">
        <v>44378</v>
      </c>
      <c r="B215">
        <v>8.1590000000000007</v>
      </c>
      <c r="C215">
        <v>8.1649999999999991</v>
      </c>
      <c r="D215">
        <v>7.1740000000000004</v>
      </c>
      <c r="E215">
        <v>7.4249999999999998</v>
      </c>
      <c r="F215">
        <v>3623829.6940000001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-0.49344096871846671</v>
      </c>
      <c r="Q215">
        <f t="shared" si="960"/>
        <v>-1788146.0346781048</v>
      </c>
      <c r="R215">
        <f t="shared" si="961"/>
        <v>232894132.58229277</v>
      </c>
      <c r="S215">
        <f t="shared" si="962"/>
        <v>2328.9413258229279</v>
      </c>
      <c r="T215">
        <f t="shared" si="963"/>
        <v>2.3289413258229277</v>
      </c>
    </row>
    <row r="216" spans="1:20" x14ac:dyDescent="0.25">
      <c r="A216" s="5">
        <v>44377</v>
      </c>
      <c r="B216">
        <v>7.9359999999999999</v>
      </c>
      <c r="C216">
        <v>8.1859999999999999</v>
      </c>
      <c r="D216">
        <v>7.2510000000000003</v>
      </c>
      <c r="E216">
        <v>8.1579999999999995</v>
      </c>
      <c r="F216">
        <v>5008497.7779999999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0.94010695187165672</v>
      </c>
      <c r="Q216">
        <f t="shared" si="960"/>
        <v>4708523.5795315458</v>
      </c>
      <c r="R216">
        <f t="shared" si="961"/>
        <v>234682278.61697087</v>
      </c>
      <c r="S216">
        <f t="shared" si="962"/>
        <v>2346.8227861697087</v>
      </c>
      <c r="T216">
        <f t="shared" si="963"/>
        <v>2.3468227861697089</v>
      </c>
    </row>
    <row r="217" spans="1:20" x14ac:dyDescent="0.25">
      <c r="A217" s="5">
        <v>44376</v>
      </c>
      <c r="B217">
        <v>7.6040000000000001</v>
      </c>
      <c r="C217">
        <v>8.4510000000000005</v>
      </c>
      <c r="D217">
        <v>7.5540000000000003</v>
      </c>
      <c r="E217">
        <v>7.9390000000000001</v>
      </c>
      <c r="F217">
        <v>5358839.6969999997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-0.14158305462653359</v>
      </c>
      <c r="Q217">
        <f t="shared" si="960"/>
        <v>-758720.89355518762</v>
      </c>
      <c r="R217">
        <f t="shared" si="961"/>
        <v>229973755.03743932</v>
      </c>
      <c r="S217">
        <f t="shared" si="962"/>
        <v>2299.7375503743933</v>
      </c>
      <c r="T217">
        <f t="shared" si="963"/>
        <v>2.2997375503743935</v>
      </c>
    </row>
    <row r="218" spans="1:20" x14ac:dyDescent="0.25">
      <c r="A218" s="5">
        <v>44375</v>
      </c>
      <c r="B218">
        <v>7.141</v>
      </c>
      <c r="C218">
        <v>7.7759999999999998</v>
      </c>
      <c r="D218">
        <v>7.0229999999999997</v>
      </c>
      <c r="E218">
        <v>7.6</v>
      </c>
      <c r="F218">
        <v>3883417.804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0.53253652058432899</v>
      </c>
      <c r="Q218">
        <f t="shared" si="960"/>
        <v>2068061.8053173956</v>
      </c>
      <c r="R218">
        <f t="shared" si="961"/>
        <v>230732475.93099451</v>
      </c>
      <c r="S218">
        <f t="shared" si="962"/>
        <v>2307.324759309945</v>
      </c>
      <c r="T218">
        <f t="shared" si="963"/>
        <v>2.3073247593099451</v>
      </c>
    </row>
    <row r="219" spans="1:20" x14ac:dyDescent="0.25">
      <c r="A219" s="5">
        <v>44374</v>
      </c>
      <c r="B219">
        <v>6.827</v>
      </c>
      <c r="C219">
        <v>7.1449999999999996</v>
      </c>
      <c r="D219">
        <v>6.48</v>
      </c>
      <c r="E219">
        <v>7.141</v>
      </c>
      <c r="F219">
        <v>3552834.0240000002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0.98796992481203139</v>
      </c>
      <c r="Q219">
        <f t="shared" si="960"/>
        <v>3510093.1635609069</v>
      </c>
      <c r="R219">
        <f t="shared" si="961"/>
        <v>228664414.12567711</v>
      </c>
      <c r="S219">
        <f t="shared" si="962"/>
        <v>2286.644141256771</v>
      </c>
      <c r="T219">
        <f t="shared" si="963"/>
        <v>2.2866441412567711</v>
      </c>
    </row>
    <row r="220" spans="1:20" x14ac:dyDescent="0.25">
      <c r="A220" s="5">
        <v>44373</v>
      </c>
      <c r="B220">
        <v>6.2969999999999997</v>
      </c>
      <c r="C220">
        <v>6.8369999999999997</v>
      </c>
      <c r="D220">
        <v>6.0629999999999997</v>
      </c>
      <c r="E220">
        <v>6.8259999999999996</v>
      </c>
      <c r="F220">
        <v>4414285.5130000003</v>
      </c>
      <c r="G220">
        <v>0</v>
      </c>
      <c r="L220" t="s">
        <v>8</v>
      </c>
      <c r="M220" t="s">
        <v>7</v>
      </c>
      <c r="N220" t="s">
        <v>7</v>
      </c>
      <c r="P220">
        <f t="shared" si="959"/>
        <v>0.97157622739018057</v>
      </c>
      <c r="Q220">
        <f t="shared" si="960"/>
        <v>4288814.8653436685</v>
      </c>
      <c r="R220">
        <f t="shared" si="961"/>
        <v>225154320.96211621</v>
      </c>
      <c r="S220">
        <f t="shared" si="962"/>
        <v>2251.5432096211621</v>
      </c>
      <c r="T220">
        <f t="shared" si="963"/>
        <v>2.2515432096211621</v>
      </c>
    </row>
    <row r="221" spans="1:20" x14ac:dyDescent="0.25">
      <c r="A221" s="5">
        <v>44372</v>
      </c>
      <c r="B221">
        <v>7.0609999999999999</v>
      </c>
      <c r="C221">
        <v>7.202</v>
      </c>
      <c r="D221">
        <v>6.1509999999999998</v>
      </c>
      <c r="E221">
        <v>6.2939999999999996</v>
      </c>
      <c r="F221">
        <v>5349436.9170000004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-0.72787821122740293</v>
      </c>
      <c r="Q221">
        <f t="shared" si="960"/>
        <v>-3893738.5742197935</v>
      </c>
      <c r="R221">
        <f t="shared" si="961"/>
        <v>220865506.09677255</v>
      </c>
      <c r="S221">
        <f t="shared" si="962"/>
        <v>2208.6550609677256</v>
      </c>
      <c r="T221">
        <f t="shared" si="963"/>
        <v>2.2086550609677258</v>
      </c>
    </row>
    <row r="222" spans="1:20" x14ac:dyDescent="0.25">
      <c r="A222" s="5">
        <v>44371</v>
      </c>
      <c r="B222">
        <v>7.0490000000000004</v>
      </c>
      <c r="C222">
        <v>7.3520000000000003</v>
      </c>
      <c r="D222">
        <v>6.617</v>
      </c>
      <c r="E222">
        <v>7.0620000000000003</v>
      </c>
      <c r="F222">
        <v>4741192.0889999997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0.21088435374149683</v>
      </c>
      <c r="Q222">
        <f t="shared" si="960"/>
        <v>999843.2296530623</v>
      </c>
      <c r="R222">
        <f t="shared" si="961"/>
        <v>224759244.67099234</v>
      </c>
      <c r="S222">
        <f t="shared" si="962"/>
        <v>2247.5924467099235</v>
      </c>
      <c r="T222">
        <f t="shared" si="963"/>
        <v>2.2475924467099233</v>
      </c>
    </row>
    <row r="223" spans="1:20" x14ac:dyDescent="0.25">
      <c r="A223" s="5">
        <v>44370</v>
      </c>
      <c r="B223">
        <v>6.806</v>
      </c>
      <c r="C223">
        <v>7.5369999999999999</v>
      </c>
      <c r="D223">
        <v>6.5119999999999996</v>
      </c>
      <c r="E223">
        <v>7.048</v>
      </c>
      <c r="F223">
        <v>7028865.477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4.5853658536585934E-2</v>
      </c>
      <c r="Q223">
        <f t="shared" si="960"/>
        <v>322299.19748195523</v>
      </c>
      <c r="R223">
        <f t="shared" si="961"/>
        <v>223759401.44133928</v>
      </c>
      <c r="S223">
        <f t="shared" si="962"/>
        <v>2237.5940144133929</v>
      </c>
      <c r="T223">
        <f t="shared" si="963"/>
        <v>2.2375940144133928</v>
      </c>
    </row>
    <row r="224" spans="1:20" x14ac:dyDescent="0.25">
      <c r="A224" s="5">
        <v>44369</v>
      </c>
      <c r="B224">
        <v>6.6369999999999996</v>
      </c>
      <c r="C224">
        <v>7.556</v>
      </c>
      <c r="D224">
        <v>5.9660000000000002</v>
      </c>
      <c r="E224">
        <v>6.8040000000000003</v>
      </c>
      <c r="F224">
        <v>14463678.322000001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5.4088050314465598E-2</v>
      </c>
      <c r="Q224">
        <f t="shared" si="960"/>
        <v>782312.16081258142</v>
      </c>
      <c r="R224">
        <f t="shared" si="961"/>
        <v>223437102.24385732</v>
      </c>
      <c r="S224">
        <f t="shared" si="962"/>
        <v>2234.3710224385732</v>
      </c>
      <c r="T224">
        <f t="shared" si="963"/>
        <v>2.2343710224385731</v>
      </c>
    </row>
    <row r="225" spans="1:20" x14ac:dyDescent="0.25">
      <c r="A225" s="5">
        <v>44368</v>
      </c>
      <c r="B225">
        <v>8.4209999999999994</v>
      </c>
      <c r="C225">
        <v>8.5169999999999995</v>
      </c>
      <c r="D225">
        <v>6.6109999999999998</v>
      </c>
      <c r="E225">
        <v>6.6440000000000001</v>
      </c>
      <c r="F225">
        <v>10990317.396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-0.96537250786988416</v>
      </c>
      <c r="Q225">
        <f t="shared" si="960"/>
        <v>-10609750.266862534</v>
      </c>
      <c r="R225">
        <f t="shared" si="961"/>
        <v>222654790.08304474</v>
      </c>
      <c r="S225">
        <f t="shared" si="962"/>
        <v>2226.5479008304474</v>
      </c>
      <c r="T225">
        <f t="shared" si="963"/>
        <v>2.2265479008304472</v>
      </c>
    </row>
    <row r="226" spans="1:20" x14ac:dyDescent="0.25">
      <c r="A226" s="5">
        <v>44367</v>
      </c>
      <c r="B226">
        <v>7.4690000000000003</v>
      </c>
      <c r="C226">
        <v>8.6479999999999997</v>
      </c>
      <c r="D226">
        <v>7.3179999999999996</v>
      </c>
      <c r="E226">
        <v>8.4160000000000004</v>
      </c>
      <c r="F226">
        <v>9236561.0999999996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0.65112781954887322</v>
      </c>
      <c r="Q226">
        <f t="shared" si="960"/>
        <v>6014181.8891729414</v>
      </c>
      <c r="R226">
        <f t="shared" si="961"/>
        <v>233264540.34990728</v>
      </c>
      <c r="S226">
        <f t="shared" si="962"/>
        <v>2332.6454034990729</v>
      </c>
      <c r="T226">
        <f t="shared" si="963"/>
        <v>2.3326454034990731</v>
      </c>
    </row>
    <row r="227" spans="1:20" x14ac:dyDescent="0.25">
      <c r="A227" s="5">
        <v>44366</v>
      </c>
      <c r="B227">
        <v>7.8339999999999996</v>
      </c>
      <c r="C227">
        <v>7.99</v>
      </c>
      <c r="D227">
        <v>7.452</v>
      </c>
      <c r="E227">
        <v>7.47</v>
      </c>
      <c r="F227">
        <v>2542116.61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-0.93308550185873684</v>
      </c>
      <c r="Q227">
        <f t="shared" si="960"/>
        <v>-2372012.1528252806</v>
      </c>
      <c r="R227">
        <f t="shared" si="961"/>
        <v>227250358.46073434</v>
      </c>
      <c r="S227">
        <f t="shared" si="962"/>
        <v>2272.5035846073433</v>
      </c>
      <c r="T227">
        <f t="shared" si="963"/>
        <v>2.2725035846073434</v>
      </c>
    </row>
    <row r="228" spans="1:20" x14ac:dyDescent="0.25">
      <c r="A228" s="5">
        <v>44365</v>
      </c>
      <c r="B228">
        <v>8.4670000000000005</v>
      </c>
      <c r="C228">
        <v>8.4849999999999994</v>
      </c>
      <c r="D228">
        <v>7.548</v>
      </c>
      <c r="E228">
        <v>7.8339999999999996</v>
      </c>
      <c r="F228">
        <v>3566836.2310000001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-0.38954108858057679</v>
      </c>
      <c r="Q228">
        <f t="shared" si="960"/>
        <v>-1389429.2682123818</v>
      </c>
      <c r="R228">
        <f t="shared" si="961"/>
        <v>229622370.6135596</v>
      </c>
      <c r="S228">
        <f t="shared" si="962"/>
        <v>2296.2237061355959</v>
      </c>
      <c r="T228">
        <f t="shared" si="963"/>
        <v>2.2962237061355957</v>
      </c>
    </row>
    <row r="229" spans="1:20" x14ac:dyDescent="0.25">
      <c r="A229" s="5">
        <v>44364</v>
      </c>
      <c r="B229">
        <v>8.4949999999999992</v>
      </c>
      <c r="C229">
        <v>9.2479999999999993</v>
      </c>
      <c r="D229">
        <v>8.2029999999999994</v>
      </c>
      <c r="E229">
        <v>8.468</v>
      </c>
      <c r="F229">
        <v>3415757.8590000002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-0.49282296650717589</v>
      </c>
      <c r="Q229">
        <f t="shared" si="960"/>
        <v>-1683363.9209425799</v>
      </c>
      <c r="R229">
        <f t="shared" si="961"/>
        <v>231011799.88177198</v>
      </c>
      <c r="S229">
        <f t="shared" si="962"/>
        <v>2310.11799881772</v>
      </c>
      <c r="T229">
        <f t="shared" si="963"/>
        <v>2.3101179988177201</v>
      </c>
    </row>
    <row r="230" spans="1:20" x14ac:dyDescent="0.25">
      <c r="A230" s="5">
        <v>44363</v>
      </c>
      <c r="B230">
        <v>9.1080000000000005</v>
      </c>
      <c r="C230">
        <v>9.1110000000000007</v>
      </c>
      <c r="D230">
        <v>8.25</v>
      </c>
      <c r="E230">
        <v>8.4939999999999998</v>
      </c>
      <c r="F230">
        <v>4382272.2929999996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-0.43321718931475123</v>
      </c>
      <c r="Q230">
        <f t="shared" si="960"/>
        <v>-1898475.6855853698</v>
      </c>
      <c r="R230">
        <f t="shared" si="961"/>
        <v>232695163.80271456</v>
      </c>
      <c r="S230">
        <f t="shared" si="962"/>
        <v>2326.9516380271457</v>
      </c>
      <c r="T230">
        <f t="shared" si="963"/>
        <v>2.3269516380271456</v>
      </c>
    </row>
    <row r="231" spans="1:20" x14ac:dyDescent="0.25">
      <c r="A231" s="5">
        <v>44362</v>
      </c>
      <c r="B231">
        <v>9.25</v>
      </c>
      <c r="C231">
        <v>9.6519999999999992</v>
      </c>
      <c r="D231">
        <v>8.8940000000000001</v>
      </c>
      <c r="E231">
        <v>9.109</v>
      </c>
      <c r="F231">
        <v>3756828.9190000002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-0.43271767810026357</v>
      </c>
      <c r="Q231">
        <f t="shared" si="960"/>
        <v>-1625646.2868496033</v>
      </c>
      <c r="R231">
        <f t="shared" si="961"/>
        <v>234593639.48829994</v>
      </c>
      <c r="S231">
        <f t="shared" si="962"/>
        <v>2345.9363948829991</v>
      </c>
      <c r="T231">
        <f t="shared" si="963"/>
        <v>2.3459363948829992</v>
      </c>
    </row>
    <row r="232" spans="1:20" x14ac:dyDescent="0.25">
      <c r="A232" s="5">
        <v>44361</v>
      </c>
      <c r="B232">
        <v>8.6319999999999997</v>
      </c>
      <c r="C232">
        <v>9.4459999999999997</v>
      </c>
      <c r="D232">
        <v>8.3940000000000001</v>
      </c>
      <c r="E232">
        <v>9.2539999999999996</v>
      </c>
      <c r="F232">
        <v>4811336.6069999998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0.63498098859315544</v>
      </c>
      <c r="Q232">
        <f t="shared" si="960"/>
        <v>3055107.275167298</v>
      </c>
      <c r="R232">
        <f t="shared" si="961"/>
        <v>236219285.77514955</v>
      </c>
      <c r="S232">
        <f t="shared" si="962"/>
        <v>2362.1928577514955</v>
      </c>
      <c r="T232">
        <f t="shared" si="963"/>
        <v>2.3621928577514955</v>
      </c>
    </row>
    <row r="233" spans="1:20" x14ac:dyDescent="0.25">
      <c r="A233" s="5">
        <v>44360</v>
      </c>
      <c r="B233">
        <v>7.8449999999999998</v>
      </c>
      <c r="C233">
        <v>8.89</v>
      </c>
      <c r="D233">
        <v>7.74</v>
      </c>
      <c r="E233">
        <v>8.6319999999999997</v>
      </c>
      <c r="F233">
        <v>4224321.2419999996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0.55130434782608551</v>
      </c>
      <c r="Q233">
        <f t="shared" si="960"/>
        <v>2328886.6673286892</v>
      </c>
      <c r="R233">
        <f t="shared" si="961"/>
        <v>233164178.49998227</v>
      </c>
      <c r="S233">
        <f t="shared" si="962"/>
        <v>2331.6417849998229</v>
      </c>
      <c r="T233">
        <f t="shared" si="963"/>
        <v>2.3316417849998228</v>
      </c>
    </row>
    <row r="234" spans="1:20" x14ac:dyDescent="0.25">
      <c r="A234" s="5">
        <v>44359</v>
      </c>
      <c r="B234">
        <v>8.5619999999999994</v>
      </c>
      <c r="C234">
        <v>8.577</v>
      </c>
      <c r="D234">
        <v>7.6340000000000003</v>
      </c>
      <c r="E234">
        <v>7.8419999999999996</v>
      </c>
      <c r="F234">
        <v>4844117.92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-0.5588547189819737</v>
      </c>
      <c r="Q234">
        <f t="shared" si="960"/>
        <v>-2707158.1588971429</v>
      </c>
      <c r="R234">
        <f t="shared" si="961"/>
        <v>230835291.83265358</v>
      </c>
      <c r="S234">
        <f t="shared" si="962"/>
        <v>2308.3529183265359</v>
      </c>
      <c r="T234">
        <f t="shared" si="963"/>
        <v>2.3083529183265359</v>
      </c>
    </row>
    <row r="235" spans="1:20" x14ac:dyDescent="0.25">
      <c r="A235" s="5">
        <v>44358</v>
      </c>
      <c r="B235">
        <v>9.4120000000000008</v>
      </c>
      <c r="C235">
        <v>9.5609999999999999</v>
      </c>
      <c r="D235">
        <v>8.2910000000000004</v>
      </c>
      <c r="E235">
        <v>8.56</v>
      </c>
      <c r="F235">
        <v>3500579.7740000002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-0.5763779527559052</v>
      </c>
      <c r="Q235">
        <f t="shared" si="960"/>
        <v>-2017657.0035968495</v>
      </c>
      <c r="R235">
        <f t="shared" si="961"/>
        <v>233542449.99155071</v>
      </c>
      <c r="S235">
        <f t="shared" si="962"/>
        <v>2335.4244999155071</v>
      </c>
      <c r="T235">
        <f t="shared" si="963"/>
        <v>2.3354244999155069</v>
      </c>
    </row>
    <row r="236" spans="1:20" x14ac:dyDescent="0.25">
      <c r="A236" s="5">
        <v>44357</v>
      </c>
      <c r="B236">
        <v>10.54</v>
      </c>
      <c r="C236">
        <v>10.6</v>
      </c>
      <c r="D236">
        <v>9.1940000000000008</v>
      </c>
      <c r="E236">
        <v>9.4049999999999994</v>
      </c>
      <c r="F236">
        <v>3714745.466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-0.69985775248933324</v>
      </c>
      <c r="Q236">
        <f t="shared" si="960"/>
        <v>-2599793.4129047007</v>
      </c>
      <c r="R236">
        <f t="shared" si="961"/>
        <v>235560106.99514756</v>
      </c>
      <c r="S236">
        <f t="shared" si="962"/>
        <v>2355.6010699514754</v>
      </c>
      <c r="T236">
        <f t="shared" si="963"/>
        <v>2.3556010699514753</v>
      </c>
    </row>
    <row r="237" spans="1:20" x14ac:dyDescent="0.25">
      <c r="A237" s="5">
        <v>44356</v>
      </c>
      <c r="B237">
        <v>10.071999999999999</v>
      </c>
      <c r="C237">
        <v>10.558999999999999</v>
      </c>
      <c r="D237">
        <v>9.452</v>
      </c>
      <c r="E237">
        <v>10.542999999999999</v>
      </c>
      <c r="F237">
        <v>5652305.7259999998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0.97109304426377596</v>
      </c>
      <c r="Q237">
        <f t="shared" si="960"/>
        <v>5488914.7745709121</v>
      </c>
      <c r="R237">
        <f t="shared" si="961"/>
        <v>238159900.40805227</v>
      </c>
      <c r="S237">
        <f t="shared" si="962"/>
        <v>2381.5990040805227</v>
      </c>
      <c r="T237">
        <f t="shared" si="963"/>
        <v>2.3815990040805226</v>
      </c>
    </row>
    <row r="238" spans="1:20" x14ac:dyDescent="0.25">
      <c r="A238" s="5">
        <v>44355</v>
      </c>
      <c r="B238">
        <v>10.255000000000001</v>
      </c>
      <c r="C238">
        <v>10.510999999999999</v>
      </c>
      <c r="D238">
        <v>9.0960000000000001</v>
      </c>
      <c r="E238">
        <v>10.071</v>
      </c>
      <c r="F238">
        <v>6694559.8669999996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0.37809187279151979</v>
      </c>
      <c r="Q238">
        <f t="shared" si="960"/>
        <v>2531158.6776289777</v>
      </c>
      <c r="R238">
        <f t="shared" si="961"/>
        <v>232670985.63348135</v>
      </c>
      <c r="S238">
        <f t="shared" si="962"/>
        <v>2326.7098563348136</v>
      </c>
      <c r="T238">
        <f t="shared" si="963"/>
        <v>2.3267098563348134</v>
      </c>
    </row>
    <row r="239" spans="1:20" x14ac:dyDescent="0.25">
      <c r="A239" s="5">
        <v>44354</v>
      </c>
      <c r="B239">
        <v>11.541</v>
      </c>
      <c r="C239">
        <v>11.833</v>
      </c>
      <c r="D239">
        <v>10.138</v>
      </c>
      <c r="E239">
        <v>10.275</v>
      </c>
      <c r="F239">
        <v>4073537.7059999998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-0.83834808259586968</v>
      </c>
      <c r="Q239">
        <f t="shared" si="960"/>
        <v>-3415042.5252070772</v>
      </c>
      <c r="R239">
        <f t="shared" si="961"/>
        <v>230139826.95585239</v>
      </c>
      <c r="S239">
        <f t="shared" si="962"/>
        <v>2301.3982695585237</v>
      </c>
      <c r="T239">
        <f t="shared" si="963"/>
        <v>2.3013982695585238</v>
      </c>
    </row>
    <row r="240" spans="1:20" x14ac:dyDescent="0.25">
      <c r="A240" s="5">
        <v>44353</v>
      </c>
      <c r="B240">
        <v>11.557</v>
      </c>
      <c r="C240">
        <v>11.994</v>
      </c>
      <c r="D240">
        <v>11.316000000000001</v>
      </c>
      <c r="E240">
        <v>11.537000000000001</v>
      </c>
      <c r="F240">
        <v>2298450.34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-0.34808259587020535</v>
      </c>
      <c r="Q240">
        <f t="shared" si="960"/>
        <v>-800050.56082595605</v>
      </c>
      <c r="R240">
        <f t="shared" si="961"/>
        <v>233554869.48105946</v>
      </c>
      <c r="S240">
        <f t="shared" si="962"/>
        <v>2335.5486948105945</v>
      </c>
      <c r="T240">
        <f t="shared" si="963"/>
        <v>2.3355486948105946</v>
      </c>
    </row>
    <row r="241" spans="1:20" x14ac:dyDescent="0.25">
      <c r="A241" s="5">
        <v>44352</v>
      </c>
      <c r="B241">
        <v>11.845000000000001</v>
      </c>
      <c r="C241">
        <v>12.567</v>
      </c>
      <c r="D241">
        <v>11.045</v>
      </c>
      <c r="E241">
        <v>11.568</v>
      </c>
      <c r="F241">
        <v>5143188.1380000003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-0.31274638633377189</v>
      </c>
      <c r="Q241">
        <f t="shared" si="960"/>
        <v>-1608513.5043942209</v>
      </c>
      <c r="R241">
        <f t="shared" si="961"/>
        <v>234354920.04188541</v>
      </c>
      <c r="S241">
        <f t="shared" si="962"/>
        <v>2343.5492004188541</v>
      </c>
      <c r="T241">
        <f t="shared" si="963"/>
        <v>2.3435492004188543</v>
      </c>
    </row>
    <row r="242" spans="1:20" x14ac:dyDescent="0.25">
      <c r="A242" s="5">
        <v>44351</v>
      </c>
      <c r="B242">
        <v>13.239000000000001</v>
      </c>
      <c r="C242">
        <v>13.243</v>
      </c>
      <c r="D242">
        <v>11.302</v>
      </c>
      <c r="E242">
        <v>11.843</v>
      </c>
      <c r="F242">
        <v>4714234.0429999996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-0.4425553838227716</v>
      </c>
      <c r="Q242">
        <f t="shared" si="960"/>
        <v>-2086309.6563302411</v>
      </c>
      <c r="R242">
        <f t="shared" si="961"/>
        <v>235963433.54627964</v>
      </c>
      <c r="S242">
        <f t="shared" si="962"/>
        <v>2359.6343354627966</v>
      </c>
      <c r="T242">
        <f t="shared" si="963"/>
        <v>2.3596343354627964</v>
      </c>
    </row>
    <row r="243" spans="1:20" x14ac:dyDescent="0.25">
      <c r="A243" s="5">
        <v>44350</v>
      </c>
      <c r="B243">
        <v>12.541</v>
      </c>
      <c r="C243">
        <v>13.513999999999999</v>
      </c>
      <c r="D243">
        <v>12.237</v>
      </c>
      <c r="E243">
        <v>13.239000000000001</v>
      </c>
      <c r="F243">
        <v>4035704.7740000002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0.56930305403289161</v>
      </c>
      <c r="Q243">
        <f t="shared" si="960"/>
        <v>2297539.0530133205</v>
      </c>
      <c r="R243">
        <f t="shared" si="961"/>
        <v>238049743.20260987</v>
      </c>
      <c r="S243">
        <f t="shared" si="962"/>
        <v>2380.4974320260985</v>
      </c>
      <c r="T243">
        <f t="shared" si="963"/>
        <v>2.3804974320260985</v>
      </c>
    </row>
    <row r="244" spans="1:20" x14ac:dyDescent="0.25">
      <c r="A244" s="5">
        <v>44349</v>
      </c>
      <c r="B244">
        <v>12.058999999999999</v>
      </c>
      <c r="C244">
        <v>12.971</v>
      </c>
      <c r="D244">
        <v>11.637</v>
      </c>
      <c r="E244">
        <v>12.528</v>
      </c>
      <c r="F244">
        <v>4941926.32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0.33583208395802139</v>
      </c>
      <c r="Q244">
        <f t="shared" si="960"/>
        <v>1659657.4148125958</v>
      </c>
      <c r="R244">
        <f t="shared" si="961"/>
        <v>235752204.14959654</v>
      </c>
      <c r="S244">
        <f t="shared" si="962"/>
        <v>2357.5220414959654</v>
      </c>
      <c r="T244">
        <f t="shared" si="963"/>
        <v>2.3575220414959652</v>
      </c>
    </row>
    <row r="245" spans="1:20" x14ac:dyDescent="0.25">
      <c r="A245" s="5">
        <v>44348</v>
      </c>
      <c r="B245">
        <v>12.468</v>
      </c>
      <c r="C245">
        <v>12.678000000000001</v>
      </c>
      <c r="D245">
        <v>11.349</v>
      </c>
      <c r="E245">
        <v>12.051</v>
      </c>
      <c r="F245">
        <v>5002602.5990000004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5.6433408577877542E-2</v>
      </c>
      <c r="Q245">
        <f t="shared" si="960"/>
        <v>282313.91642211913</v>
      </c>
      <c r="R245">
        <f t="shared" si="961"/>
        <v>234092546.73478395</v>
      </c>
      <c r="S245">
        <f t="shared" si="962"/>
        <v>2340.9254673478395</v>
      </c>
      <c r="T245">
        <f t="shared" si="963"/>
        <v>2.3409254673478395</v>
      </c>
    </row>
    <row r="246" spans="1:20" x14ac:dyDescent="0.25">
      <c r="A246" s="5">
        <v>44347</v>
      </c>
      <c r="B246">
        <v>10.834</v>
      </c>
      <c r="C246">
        <v>12.542</v>
      </c>
      <c r="D246">
        <v>9.9909999999999997</v>
      </c>
      <c r="E246">
        <v>12.474</v>
      </c>
      <c r="F246">
        <v>6668543.6449999996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0.9466875735005883</v>
      </c>
      <c r="Q246">
        <f t="shared" si="960"/>
        <v>6313027.4020678177</v>
      </c>
      <c r="R246">
        <f t="shared" si="961"/>
        <v>233810232.81836182</v>
      </c>
      <c r="S246">
        <f t="shared" si="962"/>
        <v>2338.1023281836183</v>
      </c>
      <c r="T246">
        <f t="shared" si="963"/>
        <v>2.3381023281836182</v>
      </c>
    </row>
    <row r="247" spans="1:20" x14ac:dyDescent="0.25">
      <c r="A247" s="5">
        <v>44346</v>
      </c>
      <c r="B247">
        <v>10.042999999999999</v>
      </c>
      <c r="C247">
        <v>11.185</v>
      </c>
      <c r="D247">
        <v>9.5670000000000002</v>
      </c>
      <c r="E247">
        <v>10.837</v>
      </c>
      <c r="F247">
        <v>5997649.2249999996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0.569839307787391</v>
      </c>
      <c r="Q247">
        <f t="shared" si="960"/>
        <v>3417696.2827255819</v>
      </c>
      <c r="R247">
        <f t="shared" si="961"/>
        <v>227497205.41629401</v>
      </c>
      <c r="S247">
        <f t="shared" si="962"/>
        <v>2274.9720541629399</v>
      </c>
      <c r="T247">
        <f t="shared" si="963"/>
        <v>2.2749720541629399</v>
      </c>
    </row>
    <row r="248" spans="1:20" x14ac:dyDescent="0.25">
      <c r="A248" s="5">
        <v>44345</v>
      </c>
      <c r="B248">
        <v>10.596</v>
      </c>
      <c r="C248">
        <v>11.497</v>
      </c>
      <c r="D248">
        <v>9.6120000000000001</v>
      </c>
      <c r="E248">
        <v>10.037000000000001</v>
      </c>
      <c r="F248">
        <v>5583953.0970000001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-0.54907161803713445</v>
      </c>
      <c r="Q248">
        <f t="shared" si="960"/>
        <v>-3065990.1620132579</v>
      </c>
      <c r="R248">
        <f t="shared" si="961"/>
        <v>224079509.13356844</v>
      </c>
      <c r="S248">
        <f t="shared" si="962"/>
        <v>2240.7950913356844</v>
      </c>
      <c r="T248">
        <f t="shared" si="963"/>
        <v>2.2407950913356847</v>
      </c>
    </row>
    <row r="249" spans="1:20" x14ac:dyDescent="0.25">
      <c r="A249" s="5">
        <v>44344</v>
      </c>
      <c r="B249">
        <v>12.119</v>
      </c>
      <c r="C249">
        <v>12.387</v>
      </c>
      <c r="D249">
        <v>10.029</v>
      </c>
      <c r="E249">
        <v>10.596</v>
      </c>
      <c r="F249">
        <v>8504747.284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-0.51908396946564883</v>
      </c>
      <c r="Q249">
        <f t="shared" si="960"/>
        <v>-4414677.9794809157</v>
      </c>
      <c r="R249">
        <f t="shared" si="961"/>
        <v>227145499.2955817</v>
      </c>
      <c r="S249">
        <f t="shared" si="962"/>
        <v>2271.454992955817</v>
      </c>
      <c r="T249">
        <f t="shared" si="963"/>
        <v>2.271454992955817</v>
      </c>
    </row>
    <row r="250" spans="1:20" x14ac:dyDescent="0.25">
      <c r="A250" s="5">
        <v>44343</v>
      </c>
      <c r="B250">
        <v>13.426</v>
      </c>
      <c r="C250">
        <v>13.446999999999999</v>
      </c>
      <c r="D250">
        <v>11.574</v>
      </c>
      <c r="E250">
        <v>12.116</v>
      </c>
      <c r="F250">
        <v>7112050.3839999996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-0.42124933262146286</v>
      </c>
      <c r="Q250">
        <f t="shared" si="960"/>
        <v>-2995946.4778302186</v>
      </c>
      <c r="R250">
        <f t="shared" si="961"/>
        <v>231560177.27506262</v>
      </c>
      <c r="S250">
        <f t="shared" si="962"/>
        <v>2315.6017727506264</v>
      </c>
      <c r="T250">
        <f t="shared" si="963"/>
        <v>2.3156017727506266</v>
      </c>
    </row>
    <row r="251" spans="1:20" x14ac:dyDescent="0.25">
      <c r="A251" s="5">
        <v>44342</v>
      </c>
      <c r="B251">
        <v>12.231999999999999</v>
      </c>
      <c r="C251">
        <v>13.599</v>
      </c>
      <c r="D251">
        <v>11.554</v>
      </c>
      <c r="E251">
        <v>13.423</v>
      </c>
      <c r="F251">
        <v>13461089.997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0.82787286063569665</v>
      </c>
      <c r="Q251">
        <f t="shared" si="960"/>
        <v>11144071.083090952</v>
      </c>
      <c r="R251">
        <f t="shared" si="961"/>
        <v>234556123.75289285</v>
      </c>
      <c r="S251">
        <f t="shared" si="962"/>
        <v>2345.5612375289284</v>
      </c>
      <c r="T251">
        <f t="shared" si="963"/>
        <v>2.3455612375289285</v>
      </c>
    </row>
    <row r="252" spans="1:20" x14ac:dyDescent="0.25">
      <c r="A252" s="5">
        <v>44341</v>
      </c>
      <c r="B252">
        <v>11.989000000000001</v>
      </c>
      <c r="C252">
        <v>12.7</v>
      </c>
      <c r="D252">
        <v>9.5790000000000006</v>
      </c>
      <c r="E252">
        <v>12.228999999999999</v>
      </c>
      <c r="F252">
        <v>16898906.659000002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0.69817366228772815</v>
      </c>
      <c r="Q252">
        <f t="shared" si="960"/>
        <v>11798371.550772507</v>
      </c>
      <c r="R252">
        <f t="shared" si="961"/>
        <v>223412052.66980189</v>
      </c>
      <c r="S252">
        <f t="shared" si="962"/>
        <v>2234.1205266980187</v>
      </c>
      <c r="T252">
        <f t="shared" si="963"/>
        <v>2.2341205266980189</v>
      </c>
    </row>
    <row r="253" spans="1:20" x14ac:dyDescent="0.25">
      <c r="A253" s="5">
        <v>44340</v>
      </c>
      <c r="B253">
        <v>9.0129999999999999</v>
      </c>
      <c r="C253">
        <v>12.44</v>
      </c>
      <c r="D253">
        <v>8.9109999999999996</v>
      </c>
      <c r="E253">
        <v>11.973000000000001</v>
      </c>
      <c r="F253">
        <v>17910558.412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0.73533578917540454</v>
      </c>
      <c r="Q253">
        <f t="shared" si="960"/>
        <v>13170274.6044602</v>
      </c>
      <c r="R253">
        <f t="shared" si="961"/>
        <v>211613681.11902937</v>
      </c>
      <c r="S253">
        <f t="shared" si="962"/>
        <v>2116.1368111902939</v>
      </c>
      <c r="T253">
        <f t="shared" si="963"/>
        <v>2.1161368111902941</v>
      </c>
    </row>
    <row r="254" spans="1:20" x14ac:dyDescent="0.25">
      <c r="A254" s="5">
        <v>44339</v>
      </c>
      <c r="B254">
        <v>11.069000000000001</v>
      </c>
      <c r="C254">
        <v>11.458</v>
      </c>
      <c r="D254">
        <v>6.2939999999999996</v>
      </c>
      <c r="E254">
        <v>9.0129999999999999</v>
      </c>
      <c r="F254">
        <v>33621679.380999997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5.3059643687064291E-2</v>
      </c>
      <c r="Q254">
        <f t="shared" si="960"/>
        <v>1783954.3281165762</v>
      </c>
      <c r="R254">
        <f t="shared" si="961"/>
        <v>198443406.51456916</v>
      </c>
      <c r="S254">
        <f t="shared" si="962"/>
        <v>1984.4340651456916</v>
      </c>
      <c r="T254">
        <f t="shared" si="963"/>
        <v>1.9844340651456915</v>
      </c>
    </row>
    <row r="255" spans="1:20" x14ac:dyDescent="0.25">
      <c r="A255" s="5">
        <v>44338</v>
      </c>
      <c r="B255">
        <v>12.78</v>
      </c>
      <c r="C255">
        <v>13.3</v>
      </c>
      <c r="D255">
        <v>9.9770000000000003</v>
      </c>
      <c r="E255">
        <v>11.069000000000001</v>
      </c>
      <c r="F255">
        <v>15317937.689999999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-0.34276256394823928</v>
      </c>
      <c r="Q255">
        <f t="shared" si="960"/>
        <v>-5250415.5970237693</v>
      </c>
      <c r="R255">
        <f t="shared" si="961"/>
        <v>196659452.1864526</v>
      </c>
      <c r="S255">
        <f t="shared" si="962"/>
        <v>1966.5945218645261</v>
      </c>
      <c r="T255">
        <f t="shared" si="963"/>
        <v>1.966594521864526</v>
      </c>
    </row>
    <row r="256" spans="1:20" x14ac:dyDescent="0.25">
      <c r="A256" s="5">
        <v>44337</v>
      </c>
      <c r="B256">
        <v>15.11</v>
      </c>
      <c r="C256">
        <v>16.388999999999999</v>
      </c>
      <c r="D256">
        <v>10.38</v>
      </c>
      <c r="E256">
        <v>12.754</v>
      </c>
      <c r="F256">
        <v>15793011.073000001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-0.20985188883341677</v>
      </c>
      <c r="Q256">
        <f t="shared" si="960"/>
        <v>-3314193.2040361161</v>
      </c>
      <c r="R256">
        <f t="shared" si="961"/>
        <v>201909867.78347635</v>
      </c>
      <c r="S256">
        <f t="shared" si="962"/>
        <v>2019.0986778347635</v>
      </c>
      <c r="T256">
        <f t="shared" si="963"/>
        <v>2.0190986778347635</v>
      </c>
    </row>
    <row r="257" spans="1:20" x14ac:dyDescent="0.25">
      <c r="A257" s="5">
        <v>44336</v>
      </c>
      <c r="B257">
        <v>13.145</v>
      </c>
      <c r="C257">
        <v>17.010000000000002</v>
      </c>
      <c r="D257">
        <v>11.500999999999999</v>
      </c>
      <c r="E257">
        <v>15.128</v>
      </c>
      <c r="F257">
        <v>20133378.083000001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0.31675440188781967</v>
      </c>
      <c r="Q257">
        <f t="shared" si="960"/>
        <v>6377336.1326620029</v>
      </c>
      <c r="R257">
        <f t="shared" si="961"/>
        <v>205224060.98751247</v>
      </c>
      <c r="S257">
        <f t="shared" si="962"/>
        <v>2052.2406098751248</v>
      </c>
      <c r="T257">
        <f t="shared" si="963"/>
        <v>2.0522406098751249</v>
      </c>
    </row>
    <row r="258" spans="1:20" x14ac:dyDescent="0.25">
      <c r="A258" s="5">
        <v>44335</v>
      </c>
      <c r="B258">
        <v>21.443999999999999</v>
      </c>
      <c r="C258">
        <v>21.977</v>
      </c>
      <c r="D258">
        <v>10.25</v>
      </c>
      <c r="E258">
        <v>13.132</v>
      </c>
      <c r="F258">
        <v>34808629.347000003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-0.50848469344248326</v>
      </c>
      <c r="Q258">
        <f t="shared" si="960"/>
        <v>-17699655.222662322</v>
      </c>
      <c r="R258">
        <f t="shared" si="961"/>
        <v>198846724.85485047</v>
      </c>
      <c r="S258">
        <f t="shared" si="962"/>
        <v>1988.4672485485048</v>
      </c>
      <c r="T258">
        <f t="shared" si="963"/>
        <v>1.9884672485485049</v>
      </c>
    </row>
    <row r="259" spans="1:20" x14ac:dyDescent="0.25">
      <c r="A259" s="5">
        <v>44334</v>
      </c>
      <c r="B259">
        <v>16.175000000000001</v>
      </c>
      <c r="C259">
        <v>22.536999999999999</v>
      </c>
      <c r="D259">
        <v>16.03</v>
      </c>
      <c r="E259">
        <v>21.436</v>
      </c>
      <c r="F259">
        <v>19429870.307999998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0.6615952051636701</v>
      </c>
      <c r="Q259">
        <f t="shared" si="960"/>
        <v>12854709.03272476</v>
      </c>
      <c r="R259">
        <f t="shared" si="961"/>
        <v>216546380.0775128</v>
      </c>
      <c r="S259">
        <f t="shared" si="962"/>
        <v>2165.4638007751282</v>
      </c>
      <c r="T259">
        <f t="shared" si="963"/>
        <v>2.1654638007751283</v>
      </c>
    </row>
    <row r="260" spans="1:20" x14ac:dyDescent="0.25">
      <c r="A260" s="5">
        <v>44333</v>
      </c>
      <c r="B260">
        <v>16.552</v>
      </c>
      <c r="C260">
        <v>18.282</v>
      </c>
      <c r="D260">
        <v>14.33</v>
      </c>
      <c r="E260">
        <v>16.187000000000001</v>
      </c>
      <c r="F260">
        <v>11462736.073000001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-6.0222672064776765E-2</v>
      </c>
      <c r="Q260">
        <f t="shared" si="960"/>
        <v>-690316.5954893661</v>
      </c>
      <c r="R260">
        <f t="shared" si="961"/>
        <v>203691671.04478803</v>
      </c>
      <c r="S260">
        <f t="shared" si="962"/>
        <v>2036.9167104478804</v>
      </c>
      <c r="T260">
        <f t="shared" si="963"/>
        <v>2.0369167104478803</v>
      </c>
    </row>
    <row r="261" spans="1:20" x14ac:dyDescent="0.25">
      <c r="A261" s="5">
        <v>44332</v>
      </c>
      <c r="B261">
        <v>16.186</v>
      </c>
      <c r="C261">
        <v>17.670999999999999</v>
      </c>
      <c r="D261">
        <v>14.95</v>
      </c>
      <c r="E261">
        <v>16.564</v>
      </c>
      <c r="F261">
        <v>8088531.4620000003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0.18632855567806006</v>
      </c>
      <c r="Q261">
        <f t="shared" si="960"/>
        <v>1507124.3848710076</v>
      </c>
      <c r="R261">
        <f t="shared" si="961"/>
        <v>204381987.64027739</v>
      </c>
      <c r="S261">
        <f t="shared" si="962"/>
        <v>2043.8198764027738</v>
      </c>
      <c r="T261">
        <f t="shared" si="963"/>
        <v>2.043819876402774</v>
      </c>
    </row>
    <row r="262" spans="1:20" x14ac:dyDescent="0.25">
      <c r="A262" s="5">
        <v>44331</v>
      </c>
      <c r="B262">
        <v>18.582000000000001</v>
      </c>
      <c r="C262">
        <v>18.965</v>
      </c>
      <c r="D262">
        <v>16.088000000000001</v>
      </c>
      <c r="E262">
        <v>16.181000000000001</v>
      </c>
      <c r="F262">
        <v>9533994.3640000001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-0.93534932221063605</v>
      </c>
      <c r="Q262">
        <f t="shared" ref="Q262:Q325" si="965">F262*P262</f>
        <v>-8917615.1663274243</v>
      </c>
      <c r="R262">
        <f t="shared" ref="R262:R325" si="966">R263+Q262</f>
        <v>202874863.25540638</v>
      </c>
      <c r="S262">
        <f t="shared" ref="S262:S325" si="967">R262/100000</f>
        <v>2028.7486325540638</v>
      </c>
      <c r="T262">
        <f t="shared" ref="T262:T325" si="968">S262/1000</f>
        <v>2.0287486325540636</v>
      </c>
    </row>
    <row r="263" spans="1:20" x14ac:dyDescent="0.25">
      <c r="A263" s="5">
        <v>44330</v>
      </c>
      <c r="B263">
        <v>14.776</v>
      </c>
      <c r="C263">
        <v>19.04</v>
      </c>
      <c r="D263">
        <v>14.659000000000001</v>
      </c>
      <c r="E263">
        <v>18.591000000000001</v>
      </c>
      <c r="F263">
        <v>10277946.117000001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0.79502396713079282</v>
      </c>
      <c r="Q263">
        <f t="shared" si="965"/>
        <v>8171213.4958938677</v>
      </c>
      <c r="R263">
        <f t="shared" si="966"/>
        <v>211792478.4217338</v>
      </c>
      <c r="S263">
        <f t="shared" si="967"/>
        <v>2117.9247842173381</v>
      </c>
      <c r="T263">
        <f t="shared" si="968"/>
        <v>2.1179247842173381</v>
      </c>
    </row>
    <row r="264" spans="1:20" x14ac:dyDescent="0.25">
      <c r="A264" s="5">
        <v>44329</v>
      </c>
      <c r="B264">
        <v>14.87</v>
      </c>
      <c r="C264">
        <v>16.835999999999999</v>
      </c>
      <c r="D264">
        <v>13.768000000000001</v>
      </c>
      <c r="E264">
        <v>14.773999999999999</v>
      </c>
      <c r="F264">
        <v>12087584.343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-0.34419817470664982</v>
      </c>
      <c r="Q264">
        <f t="shared" si="965"/>
        <v>-4160524.4674732792</v>
      </c>
      <c r="R264">
        <f t="shared" si="966"/>
        <v>203621264.92583993</v>
      </c>
      <c r="S264">
        <f t="shared" si="967"/>
        <v>2036.2126492583993</v>
      </c>
      <c r="T264">
        <f t="shared" si="968"/>
        <v>2.0362126492583994</v>
      </c>
    </row>
    <row r="265" spans="1:20" x14ac:dyDescent="0.25">
      <c r="A265" s="5">
        <v>44328</v>
      </c>
      <c r="B265">
        <v>15.243</v>
      </c>
      <c r="C265">
        <v>18.393000000000001</v>
      </c>
      <c r="D265">
        <v>14.346</v>
      </c>
      <c r="E265">
        <v>14.881</v>
      </c>
      <c r="F265">
        <v>19746541.274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-0.73560662218927597</v>
      </c>
      <c r="Q265">
        <f t="shared" si="965"/>
        <v>-14525686.526488263</v>
      </c>
      <c r="R265">
        <f t="shared" si="966"/>
        <v>207781789.3933132</v>
      </c>
      <c r="S265">
        <f t="shared" si="967"/>
        <v>2077.8178939331319</v>
      </c>
      <c r="T265">
        <f t="shared" si="968"/>
        <v>2.077817893933132</v>
      </c>
    </row>
    <row r="266" spans="1:20" x14ac:dyDescent="0.25">
      <c r="A266" s="5">
        <v>44327</v>
      </c>
      <c r="B266">
        <v>13.827</v>
      </c>
      <c r="C266">
        <v>15.321999999999999</v>
      </c>
      <c r="D266">
        <v>13.366</v>
      </c>
      <c r="E266">
        <v>15.244</v>
      </c>
      <c r="F266">
        <v>5485892.0369999995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0.92024539877300671</v>
      </c>
      <c r="Q266">
        <f t="shared" si="965"/>
        <v>5048366.9052147269</v>
      </c>
      <c r="R266">
        <f t="shared" si="966"/>
        <v>222307475.91980147</v>
      </c>
      <c r="S266">
        <f t="shared" si="967"/>
        <v>2223.0747591980148</v>
      </c>
      <c r="T266">
        <f t="shared" si="968"/>
        <v>2.2230747591980147</v>
      </c>
    </row>
    <row r="267" spans="1:20" x14ac:dyDescent="0.25">
      <c r="A267" s="5">
        <v>44326</v>
      </c>
      <c r="B267">
        <v>15.526999999999999</v>
      </c>
      <c r="C267">
        <v>16.690000000000001</v>
      </c>
      <c r="D267">
        <v>12.8</v>
      </c>
      <c r="E267">
        <v>13.823</v>
      </c>
      <c r="F267">
        <v>9450468.2280000001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-0.47403598971722388</v>
      </c>
      <c r="Q267">
        <f t="shared" si="965"/>
        <v>-4479862.0597511595</v>
      </c>
      <c r="R267">
        <f t="shared" si="966"/>
        <v>217259109.01458675</v>
      </c>
      <c r="S267">
        <f t="shared" si="967"/>
        <v>2172.5910901458674</v>
      </c>
      <c r="T267">
        <f t="shared" si="968"/>
        <v>2.1725910901458674</v>
      </c>
    </row>
    <row r="268" spans="1:20" x14ac:dyDescent="0.25">
      <c r="A268" s="5">
        <v>44325</v>
      </c>
      <c r="B268">
        <v>16.321999999999999</v>
      </c>
      <c r="C268">
        <v>16.521000000000001</v>
      </c>
      <c r="D268">
        <v>15.206</v>
      </c>
      <c r="E268">
        <v>15.506</v>
      </c>
      <c r="F268">
        <v>4760619.8779999996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-0.54372623574144419</v>
      </c>
      <c r="Q268">
        <f t="shared" si="965"/>
        <v>-2588473.926060833</v>
      </c>
      <c r="R268">
        <f t="shared" si="966"/>
        <v>221738971.0743379</v>
      </c>
      <c r="S268">
        <f t="shared" si="967"/>
        <v>2217.3897107433791</v>
      </c>
      <c r="T268">
        <f t="shared" si="968"/>
        <v>2.2173897107433791</v>
      </c>
    </row>
    <row r="269" spans="1:20" x14ac:dyDescent="0.25">
      <c r="A269" s="5">
        <v>44324</v>
      </c>
      <c r="B269">
        <v>15.802</v>
      </c>
      <c r="C269">
        <v>16.8</v>
      </c>
      <c r="D269">
        <v>15.468999999999999</v>
      </c>
      <c r="E269">
        <v>16.32</v>
      </c>
      <c r="F269">
        <v>4909511.0080000004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0.27873779113448544</v>
      </c>
      <c r="Q269">
        <f t="shared" si="965"/>
        <v>1368466.2539203612</v>
      </c>
      <c r="R269">
        <f t="shared" si="966"/>
        <v>224327445.00039873</v>
      </c>
      <c r="S269">
        <f t="shared" si="967"/>
        <v>2243.2744500039871</v>
      </c>
      <c r="T269">
        <f t="shared" si="968"/>
        <v>2.243274450003987</v>
      </c>
    </row>
    <row r="270" spans="1:20" x14ac:dyDescent="0.25">
      <c r="A270" s="5">
        <v>44323</v>
      </c>
      <c r="B270">
        <v>16.518999999999998</v>
      </c>
      <c r="C270">
        <v>17.809999999999999</v>
      </c>
      <c r="D270">
        <v>15.355</v>
      </c>
      <c r="E270">
        <v>15.805</v>
      </c>
      <c r="F270">
        <v>11005882.852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-0.63340122199592697</v>
      </c>
      <c r="Q270">
        <f t="shared" si="965"/>
        <v>-6971139.6476008175</v>
      </c>
      <c r="R270">
        <f t="shared" si="966"/>
        <v>222958978.74647838</v>
      </c>
      <c r="S270">
        <f t="shared" si="967"/>
        <v>2229.589787464784</v>
      </c>
      <c r="T270">
        <f t="shared" si="968"/>
        <v>2.2295897874647839</v>
      </c>
    </row>
    <row r="271" spans="1:20" x14ac:dyDescent="0.25">
      <c r="A271" s="5">
        <v>44322</v>
      </c>
      <c r="B271">
        <v>14.369</v>
      </c>
      <c r="C271">
        <v>17.004999999999999</v>
      </c>
      <c r="D271">
        <v>13.962999999999999</v>
      </c>
      <c r="E271">
        <v>16.512</v>
      </c>
      <c r="F271">
        <v>15807205.162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0.67587113740959992</v>
      </c>
      <c r="Q271">
        <f t="shared" si="965"/>
        <v>10683633.732107839</v>
      </c>
      <c r="R271">
        <f t="shared" si="966"/>
        <v>229930118.39407921</v>
      </c>
      <c r="S271">
        <f t="shared" si="967"/>
        <v>2299.3011839407923</v>
      </c>
      <c r="T271">
        <f t="shared" si="968"/>
        <v>2.2993011839407922</v>
      </c>
    </row>
    <row r="272" spans="1:20" x14ac:dyDescent="0.25">
      <c r="A272" s="5">
        <v>44321</v>
      </c>
      <c r="B272">
        <v>12.648999999999999</v>
      </c>
      <c r="C272">
        <v>14.478999999999999</v>
      </c>
      <c r="D272">
        <v>12.500999999999999</v>
      </c>
      <c r="E272">
        <v>14.356999999999999</v>
      </c>
      <c r="F272">
        <v>4432303.4220000003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0.87664307381193129</v>
      </c>
      <c r="Q272">
        <f t="shared" si="965"/>
        <v>3885548.0959292217</v>
      </c>
      <c r="R272">
        <f t="shared" si="966"/>
        <v>219246484.66197136</v>
      </c>
      <c r="S272">
        <f t="shared" si="967"/>
        <v>2192.4648466197136</v>
      </c>
      <c r="T272">
        <f t="shared" si="968"/>
        <v>2.1924648466197136</v>
      </c>
    </row>
    <row r="273" spans="1:20" x14ac:dyDescent="0.25">
      <c r="A273" s="5">
        <v>44320</v>
      </c>
      <c r="B273">
        <v>14.382</v>
      </c>
      <c r="C273">
        <v>14.487</v>
      </c>
      <c r="D273">
        <v>12.561</v>
      </c>
      <c r="E273">
        <v>12.65</v>
      </c>
      <c r="F273">
        <v>5621533.4989999998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-0.90758047767393524</v>
      </c>
      <c r="Q273">
        <f t="shared" si="965"/>
        <v>-5101994.058282448</v>
      </c>
      <c r="R273">
        <f t="shared" si="966"/>
        <v>215360936.56604213</v>
      </c>
      <c r="S273">
        <f t="shared" si="967"/>
        <v>2153.6093656604212</v>
      </c>
      <c r="T273">
        <f t="shared" si="968"/>
        <v>2.1536093656604214</v>
      </c>
    </row>
    <row r="274" spans="1:20" x14ac:dyDescent="0.25">
      <c r="A274" s="5">
        <v>44319</v>
      </c>
      <c r="B274">
        <v>13.893000000000001</v>
      </c>
      <c r="C274">
        <v>14.865</v>
      </c>
      <c r="D274">
        <v>13.885</v>
      </c>
      <c r="E274">
        <v>14.382</v>
      </c>
      <c r="F274">
        <v>4187595.3149999999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1.4285714285713612E-2</v>
      </c>
      <c r="Q274">
        <f t="shared" si="965"/>
        <v>59822.79021428289</v>
      </c>
      <c r="R274">
        <f t="shared" si="966"/>
        <v>220462930.62432456</v>
      </c>
      <c r="S274">
        <f t="shared" si="967"/>
        <v>2204.6293062432455</v>
      </c>
      <c r="T274">
        <f t="shared" si="968"/>
        <v>2.2046293062432456</v>
      </c>
    </row>
    <row r="275" spans="1:20" x14ac:dyDescent="0.25">
      <c r="A275" s="5">
        <v>44318</v>
      </c>
      <c r="B275">
        <v>14.791</v>
      </c>
      <c r="C275">
        <v>14.859</v>
      </c>
      <c r="D275">
        <v>13.677</v>
      </c>
      <c r="E275">
        <v>13.898</v>
      </c>
      <c r="F275">
        <v>3329056.801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-0.62605752961082906</v>
      </c>
      <c r="Q275">
        <f t="shared" si="965"/>
        <v>-2084181.0767681894</v>
      </c>
      <c r="R275">
        <f t="shared" si="966"/>
        <v>220403107.83411029</v>
      </c>
      <c r="S275">
        <f t="shared" si="967"/>
        <v>2204.0310783411028</v>
      </c>
      <c r="T275">
        <f t="shared" si="968"/>
        <v>2.2040310783411026</v>
      </c>
    </row>
    <row r="276" spans="1:20" x14ac:dyDescent="0.25">
      <c r="A276" s="5">
        <v>44317</v>
      </c>
      <c r="B276">
        <v>14.349</v>
      </c>
      <c r="C276">
        <v>15.17</v>
      </c>
      <c r="D276">
        <v>14.228999999999999</v>
      </c>
      <c r="E276">
        <v>14.766999999999999</v>
      </c>
      <c r="F276">
        <v>3051282.227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0.14346439957491997</v>
      </c>
      <c r="Q276">
        <f t="shared" si="965"/>
        <v>437750.37263017963</v>
      </c>
      <c r="R276">
        <f t="shared" si="966"/>
        <v>222487288.91087848</v>
      </c>
      <c r="S276">
        <f t="shared" si="967"/>
        <v>2224.8728891087849</v>
      </c>
      <c r="T276">
        <f t="shared" si="968"/>
        <v>2.2248728891087848</v>
      </c>
    </row>
    <row r="277" spans="1:20" x14ac:dyDescent="0.25">
      <c r="A277" s="5">
        <v>44316</v>
      </c>
      <c r="B277">
        <v>14.048999999999999</v>
      </c>
      <c r="C277">
        <v>14.699</v>
      </c>
      <c r="D277">
        <v>13.8</v>
      </c>
      <c r="E277">
        <v>14.332000000000001</v>
      </c>
      <c r="F277">
        <v>3120546.2429999998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0.18353726362625258</v>
      </c>
      <c r="Q277">
        <f t="shared" si="965"/>
        <v>572736.51845940307</v>
      </c>
      <c r="R277">
        <f t="shared" si="966"/>
        <v>222049538.5382483</v>
      </c>
      <c r="S277">
        <f t="shared" si="967"/>
        <v>2220.4953853824832</v>
      </c>
      <c r="T277">
        <f t="shared" si="968"/>
        <v>2.2204953853824834</v>
      </c>
    </row>
    <row r="278" spans="1:20" x14ac:dyDescent="0.25">
      <c r="A278" s="5">
        <v>44315</v>
      </c>
      <c r="B278">
        <v>14.295999999999999</v>
      </c>
      <c r="C278">
        <v>14.89</v>
      </c>
      <c r="D278">
        <v>13.56</v>
      </c>
      <c r="E278">
        <v>14.045999999999999</v>
      </c>
      <c r="F278">
        <v>5052863.1950000003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-0.26917293233082878</v>
      </c>
      <c r="Q278">
        <f t="shared" si="965"/>
        <v>-1360094.0028646705</v>
      </c>
      <c r="R278">
        <f t="shared" si="966"/>
        <v>221476802.01978889</v>
      </c>
      <c r="S278">
        <f t="shared" si="967"/>
        <v>2214.7680201978887</v>
      </c>
      <c r="T278">
        <f t="shared" si="968"/>
        <v>2.2147680201978885</v>
      </c>
    </row>
    <row r="279" spans="1:20" x14ac:dyDescent="0.25">
      <c r="A279" s="5">
        <v>44314</v>
      </c>
      <c r="B279">
        <v>14.29</v>
      </c>
      <c r="C279">
        <v>14.544</v>
      </c>
      <c r="D279">
        <v>12.943</v>
      </c>
      <c r="E279">
        <v>14.292</v>
      </c>
      <c r="F279">
        <v>5713056.4579999996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0.68519675202998065</v>
      </c>
      <c r="Q279">
        <f t="shared" si="965"/>
        <v>3914567.7291855053</v>
      </c>
      <c r="R279">
        <f t="shared" si="966"/>
        <v>222836896.02265355</v>
      </c>
      <c r="S279">
        <f t="shared" si="967"/>
        <v>2228.3689602265354</v>
      </c>
      <c r="T279">
        <f t="shared" si="968"/>
        <v>2.2283689602265353</v>
      </c>
    </row>
    <row r="280" spans="1:20" x14ac:dyDescent="0.25">
      <c r="A280" s="5">
        <v>44313</v>
      </c>
      <c r="B280">
        <v>12.141</v>
      </c>
      <c r="C280">
        <v>14.456</v>
      </c>
      <c r="D280">
        <v>11.941000000000001</v>
      </c>
      <c r="E280">
        <v>14.282999999999999</v>
      </c>
      <c r="F280">
        <v>5999150.2829999998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0.86242544731610327</v>
      </c>
      <c r="Q280">
        <f t="shared" si="965"/>
        <v>5173819.866332802</v>
      </c>
      <c r="R280">
        <f t="shared" si="966"/>
        <v>218922328.29346806</v>
      </c>
      <c r="S280">
        <f t="shared" si="967"/>
        <v>2189.2232829346804</v>
      </c>
      <c r="T280">
        <f t="shared" si="968"/>
        <v>2.1892232829346803</v>
      </c>
    </row>
    <row r="281" spans="1:20" x14ac:dyDescent="0.25">
      <c r="A281" s="5">
        <v>44312</v>
      </c>
      <c r="B281">
        <v>10.975</v>
      </c>
      <c r="C281">
        <v>12.486000000000001</v>
      </c>
      <c r="D281">
        <v>10.877000000000001</v>
      </c>
      <c r="E281">
        <v>12.151999999999999</v>
      </c>
      <c r="F281">
        <v>4416864.6840000004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0.5848353014294575</v>
      </c>
      <c r="Q281">
        <f t="shared" si="965"/>
        <v>2583138.3888402656</v>
      </c>
      <c r="R281">
        <f t="shared" si="966"/>
        <v>213748508.42713526</v>
      </c>
      <c r="S281">
        <f t="shared" si="967"/>
        <v>2137.4850842713527</v>
      </c>
      <c r="T281">
        <f t="shared" si="968"/>
        <v>2.1374850842713529</v>
      </c>
    </row>
    <row r="282" spans="1:20" x14ac:dyDescent="0.25">
      <c r="A282" s="5">
        <v>44311</v>
      </c>
      <c r="B282">
        <v>10.707000000000001</v>
      </c>
      <c r="C282">
        <v>11.67</v>
      </c>
      <c r="D282">
        <v>10.287000000000001</v>
      </c>
      <c r="E282">
        <v>10.964</v>
      </c>
      <c r="F282">
        <v>3293541.4989999998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-2.096890817064348E-2</v>
      </c>
      <c r="Q282">
        <f t="shared" si="965"/>
        <v>-69061.969248734473</v>
      </c>
      <c r="R282">
        <f t="shared" si="966"/>
        <v>211165370.038295</v>
      </c>
      <c r="S282">
        <f t="shared" si="967"/>
        <v>2111.6537003829499</v>
      </c>
      <c r="T282">
        <f t="shared" si="968"/>
        <v>2.1116537003829499</v>
      </c>
    </row>
    <row r="283" spans="1:20" x14ac:dyDescent="0.25">
      <c r="A283" s="5">
        <v>44310</v>
      </c>
      <c r="B283">
        <v>11.817</v>
      </c>
      <c r="C283">
        <v>11.837</v>
      </c>
      <c r="D283">
        <v>10.500999999999999</v>
      </c>
      <c r="E283">
        <v>10.702999999999999</v>
      </c>
      <c r="F283">
        <v>3532134.287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-0.69760479041916179</v>
      </c>
      <c r="Q283">
        <f t="shared" si="965"/>
        <v>-2464033.7990149707</v>
      </c>
      <c r="R283">
        <f t="shared" si="966"/>
        <v>211234432.00754374</v>
      </c>
      <c r="S283">
        <f t="shared" si="967"/>
        <v>2112.3443200754373</v>
      </c>
      <c r="T283">
        <f t="shared" si="968"/>
        <v>2.1123443200754375</v>
      </c>
    </row>
    <row r="284" spans="1:20" x14ac:dyDescent="0.25">
      <c r="A284" s="5">
        <v>44309</v>
      </c>
      <c r="B284">
        <v>12.304</v>
      </c>
      <c r="C284">
        <v>12.605</v>
      </c>
      <c r="D284">
        <v>10.138999999999999</v>
      </c>
      <c r="E284">
        <v>11.808</v>
      </c>
      <c r="F284">
        <v>9428645.318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0.35360908353609061</v>
      </c>
      <c r="Q284">
        <f t="shared" si="965"/>
        <v>3334054.6298848316</v>
      </c>
      <c r="R284">
        <f t="shared" si="966"/>
        <v>213698465.8065587</v>
      </c>
      <c r="S284">
        <f t="shared" si="967"/>
        <v>2136.9846580655872</v>
      </c>
      <c r="T284">
        <f t="shared" si="968"/>
        <v>2.1369846580655874</v>
      </c>
    </row>
    <row r="285" spans="1:20" x14ac:dyDescent="0.25">
      <c r="A285" s="5">
        <v>44308</v>
      </c>
      <c r="B285">
        <v>12.458</v>
      </c>
      <c r="C285">
        <v>14.315</v>
      </c>
      <c r="D285">
        <v>12</v>
      </c>
      <c r="E285">
        <v>12.305</v>
      </c>
      <c r="F285">
        <v>9325139.057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-0.73650107991360714</v>
      </c>
      <c r="Q285">
        <f t="shared" si="965"/>
        <v>-6867974.9858250562</v>
      </c>
      <c r="R285">
        <f t="shared" si="966"/>
        <v>210364411.17667386</v>
      </c>
      <c r="S285">
        <f t="shared" si="967"/>
        <v>2103.6441117667387</v>
      </c>
      <c r="T285">
        <f t="shared" si="968"/>
        <v>2.1036441117667386</v>
      </c>
    </row>
    <row r="286" spans="1:20" x14ac:dyDescent="0.25">
      <c r="A286" s="5">
        <v>44307</v>
      </c>
      <c r="B286">
        <v>12.694000000000001</v>
      </c>
      <c r="C286">
        <v>13.8</v>
      </c>
      <c r="D286">
        <v>11.814</v>
      </c>
      <c r="E286">
        <v>12.471</v>
      </c>
      <c r="F286">
        <v>5546796.6780000003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-0.33836858006042314</v>
      </c>
      <c r="Q286">
        <f t="shared" si="965"/>
        <v>-1876861.7158187323</v>
      </c>
      <c r="R286">
        <f t="shared" si="966"/>
        <v>217232386.16249892</v>
      </c>
      <c r="S286">
        <f t="shared" si="967"/>
        <v>2172.3238616249891</v>
      </c>
      <c r="T286">
        <f t="shared" si="968"/>
        <v>2.1723238616249891</v>
      </c>
    </row>
    <row r="287" spans="1:20" x14ac:dyDescent="0.25">
      <c r="A287" s="5">
        <v>44306</v>
      </c>
      <c r="B287">
        <v>12.157</v>
      </c>
      <c r="C287">
        <v>12.813000000000001</v>
      </c>
      <c r="D287">
        <v>11</v>
      </c>
      <c r="E287">
        <v>12.696</v>
      </c>
      <c r="F287">
        <v>5983941.7860000003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0.87093215664644141</v>
      </c>
      <c r="Q287">
        <f t="shared" si="965"/>
        <v>5211607.3249277389</v>
      </c>
      <c r="R287">
        <f t="shared" si="966"/>
        <v>219109247.87831765</v>
      </c>
      <c r="S287">
        <f t="shared" si="967"/>
        <v>2191.0924787831764</v>
      </c>
      <c r="T287">
        <f t="shared" si="968"/>
        <v>2.1910924787831765</v>
      </c>
    </row>
    <row r="288" spans="1:20" x14ac:dyDescent="0.25">
      <c r="A288" s="5">
        <v>44305</v>
      </c>
      <c r="B288">
        <v>14.004</v>
      </c>
      <c r="C288">
        <v>14.428000000000001</v>
      </c>
      <c r="D288">
        <v>11.843999999999999</v>
      </c>
      <c r="E288">
        <v>12.162000000000001</v>
      </c>
      <c r="F288">
        <v>8597951.4930000007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-0.75386996904024672</v>
      </c>
      <c r="Q288">
        <f t="shared" si="965"/>
        <v>-6481737.4258374535</v>
      </c>
      <c r="R288">
        <f t="shared" si="966"/>
        <v>213897640.55338991</v>
      </c>
      <c r="S288">
        <f t="shared" si="967"/>
        <v>2138.9764055338992</v>
      </c>
      <c r="T288">
        <f t="shared" si="968"/>
        <v>2.1389764055338993</v>
      </c>
    </row>
    <row r="289" spans="1:20" x14ac:dyDescent="0.25">
      <c r="A289" s="5">
        <v>44304</v>
      </c>
      <c r="B289">
        <v>15.843</v>
      </c>
      <c r="C289">
        <v>16.042999999999999</v>
      </c>
      <c r="D289">
        <v>9.9979999999999993</v>
      </c>
      <c r="E289">
        <v>14.015000000000001</v>
      </c>
      <c r="F289">
        <v>14881243.634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0.32903225806451658</v>
      </c>
      <c r="Q289">
        <f t="shared" si="965"/>
        <v>4896409.1957032327</v>
      </c>
      <c r="R289">
        <f t="shared" si="966"/>
        <v>220379377.97922736</v>
      </c>
      <c r="S289">
        <f t="shared" si="967"/>
        <v>2203.7937797922737</v>
      </c>
      <c r="T289">
        <f t="shared" si="968"/>
        <v>2.2037937797922735</v>
      </c>
    </row>
    <row r="290" spans="1:20" x14ac:dyDescent="0.25">
      <c r="A290" s="5">
        <v>44303</v>
      </c>
      <c r="B290">
        <v>16.239999999999998</v>
      </c>
      <c r="C290">
        <v>16.859000000000002</v>
      </c>
      <c r="D290">
        <v>15.443</v>
      </c>
      <c r="E290">
        <v>15.831</v>
      </c>
      <c r="F290">
        <v>3360420.53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-0.4519774011299445</v>
      </c>
      <c r="Q290">
        <f t="shared" si="965"/>
        <v>-1518834.1378531107</v>
      </c>
      <c r="R290">
        <f t="shared" si="966"/>
        <v>215482968.78352413</v>
      </c>
      <c r="S290">
        <f t="shared" si="967"/>
        <v>2154.8296878352412</v>
      </c>
      <c r="T290">
        <f t="shared" si="968"/>
        <v>2.1548296878352411</v>
      </c>
    </row>
    <row r="291" spans="1:20" x14ac:dyDescent="0.25">
      <c r="A291" s="5">
        <v>44302</v>
      </c>
      <c r="B291">
        <v>17.553999999999998</v>
      </c>
      <c r="C291">
        <v>17.654</v>
      </c>
      <c r="D291">
        <v>15.622</v>
      </c>
      <c r="E291">
        <v>16.239999999999998</v>
      </c>
      <c r="F291">
        <v>4809804.9780000001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-0.39173228346456834</v>
      </c>
      <c r="Q291">
        <f t="shared" si="965"/>
        <v>-1884155.8870511879</v>
      </c>
      <c r="R291">
        <f t="shared" si="966"/>
        <v>217001802.92137724</v>
      </c>
      <c r="S291">
        <f t="shared" si="967"/>
        <v>2170.0180292137725</v>
      </c>
      <c r="T291">
        <f t="shared" si="968"/>
        <v>2.1700180292137725</v>
      </c>
    </row>
    <row r="292" spans="1:20" x14ac:dyDescent="0.25">
      <c r="A292" s="5">
        <v>44301</v>
      </c>
      <c r="B292">
        <v>17.498000000000001</v>
      </c>
      <c r="C292">
        <v>18.346</v>
      </c>
      <c r="D292">
        <v>17.164999999999999</v>
      </c>
      <c r="E292">
        <v>17.552</v>
      </c>
      <c r="F292">
        <v>5033962.4129999997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-0.34462320067739177</v>
      </c>
      <c r="Q292">
        <f t="shared" si="965"/>
        <v>-1734820.2388577461</v>
      </c>
      <c r="R292">
        <f t="shared" si="966"/>
        <v>218885958.80842844</v>
      </c>
      <c r="S292">
        <f t="shared" si="967"/>
        <v>2188.8595880842845</v>
      </c>
      <c r="T292">
        <f t="shared" si="968"/>
        <v>2.1888595880842847</v>
      </c>
    </row>
    <row r="293" spans="1:20" x14ac:dyDescent="0.25">
      <c r="A293" s="5">
        <v>44300</v>
      </c>
      <c r="B293">
        <v>15.853999999999999</v>
      </c>
      <c r="C293">
        <v>17.686</v>
      </c>
      <c r="D293">
        <v>15.65</v>
      </c>
      <c r="E293">
        <v>17.495999999999999</v>
      </c>
      <c r="F293">
        <v>7592263.1799999997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0.81335952848722859</v>
      </c>
      <c r="Q293">
        <f t="shared" si="965"/>
        <v>6175239.6002357462</v>
      </c>
      <c r="R293">
        <f t="shared" si="966"/>
        <v>220620779.04728618</v>
      </c>
      <c r="S293">
        <f t="shared" si="967"/>
        <v>2206.2077904728617</v>
      </c>
      <c r="T293">
        <f t="shared" si="968"/>
        <v>2.2062077904728619</v>
      </c>
    </row>
    <row r="294" spans="1:20" x14ac:dyDescent="0.25">
      <c r="A294" s="5">
        <v>44299</v>
      </c>
      <c r="B294">
        <v>16.055</v>
      </c>
      <c r="C294">
        <v>16.5</v>
      </c>
      <c r="D294">
        <v>15.28</v>
      </c>
      <c r="E294">
        <v>15.842000000000001</v>
      </c>
      <c r="F294">
        <v>5627130.6540000001</v>
      </c>
      <c r="G294">
        <v>0</v>
      </c>
      <c r="L294" t="s">
        <v>8</v>
      </c>
      <c r="M294" t="s">
        <v>8</v>
      </c>
      <c r="N294" t="s">
        <v>7</v>
      </c>
      <c r="P294">
        <f t="shared" si="964"/>
        <v>-7.8688524590162512E-2</v>
      </c>
      <c r="Q294">
        <f t="shared" si="965"/>
        <v>-442790.60883933626</v>
      </c>
      <c r="R294">
        <f t="shared" si="966"/>
        <v>214445539.44705042</v>
      </c>
      <c r="S294">
        <f t="shared" si="967"/>
        <v>2144.4553944705044</v>
      </c>
      <c r="T294">
        <f t="shared" si="968"/>
        <v>2.1444553944705045</v>
      </c>
    </row>
    <row r="295" spans="1:20" x14ac:dyDescent="0.25">
      <c r="A295" s="5">
        <v>44298</v>
      </c>
      <c r="B295">
        <v>14.180999999999999</v>
      </c>
      <c r="C295">
        <v>16.405999999999999</v>
      </c>
      <c r="D295">
        <v>13.887</v>
      </c>
      <c r="E295">
        <v>16.056000000000001</v>
      </c>
      <c r="F295">
        <v>10886192.426000001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0.72211194918618649</v>
      </c>
      <c r="Q295">
        <f t="shared" si="965"/>
        <v>7861049.6319547612</v>
      </c>
      <c r="R295">
        <f t="shared" si="966"/>
        <v>214888330.05588976</v>
      </c>
      <c r="S295">
        <f t="shared" si="967"/>
        <v>2148.8833005588976</v>
      </c>
      <c r="T295">
        <f t="shared" si="968"/>
        <v>2.1488833005588974</v>
      </c>
    </row>
    <row r="296" spans="1:20" x14ac:dyDescent="0.25">
      <c r="A296" s="5">
        <v>44297</v>
      </c>
      <c r="B296">
        <v>14.5</v>
      </c>
      <c r="C296">
        <v>14.569000000000001</v>
      </c>
      <c r="D296">
        <v>13.978</v>
      </c>
      <c r="E296">
        <v>14.176</v>
      </c>
      <c r="F296">
        <v>2456701.111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-0.32994923857868008</v>
      </c>
      <c r="Q296">
        <f t="shared" si="965"/>
        <v>-810586.66098984738</v>
      </c>
      <c r="R296">
        <f t="shared" si="966"/>
        <v>207027280.423935</v>
      </c>
      <c r="S296">
        <f t="shared" si="967"/>
        <v>2070.2728042393501</v>
      </c>
      <c r="T296">
        <f t="shared" si="968"/>
        <v>2.0702728042393499</v>
      </c>
    </row>
    <row r="297" spans="1:20" x14ac:dyDescent="0.25">
      <c r="A297" s="5">
        <v>44296</v>
      </c>
      <c r="B297">
        <v>14.532</v>
      </c>
      <c r="C297">
        <v>15.173999999999999</v>
      </c>
      <c r="D297">
        <v>14.081</v>
      </c>
      <c r="E297">
        <v>14.497999999999999</v>
      </c>
      <c r="F297">
        <v>2412053.46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-0.23696248856358679</v>
      </c>
      <c r="Q297">
        <f t="shared" si="965"/>
        <v>-571566.19043000997</v>
      </c>
      <c r="R297">
        <f t="shared" si="966"/>
        <v>207837867.08492485</v>
      </c>
      <c r="S297">
        <f t="shared" si="967"/>
        <v>2078.3786708492485</v>
      </c>
      <c r="T297">
        <f t="shared" si="968"/>
        <v>2.0783786708492484</v>
      </c>
    </row>
    <row r="298" spans="1:20" x14ac:dyDescent="0.25">
      <c r="A298" s="5">
        <v>44295</v>
      </c>
      <c r="B298">
        <v>14.433</v>
      </c>
      <c r="C298">
        <v>15.44</v>
      </c>
      <c r="D298">
        <v>14.347</v>
      </c>
      <c r="E298">
        <v>14.535</v>
      </c>
      <c r="F298">
        <v>2902347.2829999998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-0.65599268069533279</v>
      </c>
      <c r="Q298">
        <f t="shared" si="965"/>
        <v>-1903918.5744839855</v>
      </c>
      <c r="R298">
        <f t="shared" si="966"/>
        <v>208409433.27535486</v>
      </c>
      <c r="S298">
        <f t="shared" si="967"/>
        <v>2084.0943327535488</v>
      </c>
      <c r="T298">
        <f t="shared" si="968"/>
        <v>2.0840943327535486</v>
      </c>
    </row>
    <row r="299" spans="1:20" x14ac:dyDescent="0.25">
      <c r="A299" s="5">
        <v>44294</v>
      </c>
      <c r="B299">
        <v>13.867000000000001</v>
      </c>
      <c r="C299">
        <v>14.669</v>
      </c>
      <c r="D299">
        <v>13.731999999999999</v>
      </c>
      <c r="E299">
        <v>14.426</v>
      </c>
      <c r="F299">
        <v>1973445.493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0.48132337246531476</v>
      </c>
      <c r="Q299">
        <f t="shared" si="965"/>
        <v>949865.44006723573</v>
      </c>
      <c r="R299">
        <f t="shared" si="966"/>
        <v>210313351.84983885</v>
      </c>
      <c r="S299">
        <f t="shared" si="967"/>
        <v>2103.1335184983886</v>
      </c>
      <c r="T299">
        <f t="shared" si="968"/>
        <v>2.1031335184983888</v>
      </c>
    </row>
    <row r="300" spans="1:20" x14ac:dyDescent="0.25">
      <c r="A300" s="5">
        <v>44293</v>
      </c>
      <c r="B300">
        <v>15.33</v>
      </c>
      <c r="C300">
        <v>15.478999999999999</v>
      </c>
      <c r="D300">
        <v>13.5</v>
      </c>
      <c r="E300">
        <v>13.868</v>
      </c>
      <c r="F300">
        <v>4349888.392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-0.62809499747347097</v>
      </c>
      <c r="Q300">
        <f t="shared" si="965"/>
        <v>-2732143.1385831209</v>
      </c>
      <c r="R300">
        <f t="shared" si="966"/>
        <v>209363486.40977162</v>
      </c>
      <c r="S300">
        <f t="shared" si="967"/>
        <v>2093.6348640977162</v>
      </c>
      <c r="T300">
        <f t="shared" si="968"/>
        <v>2.0936348640977163</v>
      </c>
    </row>
    <row r="301" spans="1:20" x14ac:dyDescent="0.25">
      <c r="A301" s="5">
        <v>44292</v>
      </c>
      <c r="B301">
        <v>15.057</v>
      </c>
      <c r="C301">
        <v>15.919</v>
      </c>
      <c r="D301">
        <v>14.82</v>
      </c>
      <c r="E301">
        <v>15.327</v>
      </c>
      <c r="F301">
        <v>3511604.307</v>
      </c>
      <c r="G301">
        <v>0</v>
      </c>
      <c r="L301" t="s">
        <v>8</v>
      </c>
      <c r="M301" t="s">
        <v>7</v>
      </c>
      <c r="N301" t="s">
        <v>7</v>
      </c>
      <c r="P301">
        <f t="shared" si="964"/>
        <v>-7.7343039126479385E-2</v>
      </c>
      <c r="Q301">
        <f t="shared" si="965"/>
        <v>-271598.14931301452</v>
      </c>
      <c r="R301">
        <f t="shared" si="966"/>
        <v>212095629.54835474</v>
      </c>
      <c r="S301">
        <f t="shared" si="967"/>
        <v>2120.9562954835474</v>
      </c>
      <c r="T301">
        <f t="shared" si="968"/>
        <v>2.1209562954835475</v>
      </c>
    </row>
    <row r="302" spans="1:20" x14ac:dyDescent="0.25">
      <c r="A302" s="5">
        <v>44291</v>
      </c>
      <c r="B302">
        <v>15.244999999999999</v>
      </c>
      <c r="C302">
        <v>15.659000000000001</v>
      </c>
      <c r="D302">
        <v>14.689</v>
      </c>
      <c r="E302">
        <v>15.061999999999999</v>
      </c>
      <c r="F302">
        <v>3224594.5260000001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-0.23092783505154826</v>
      </c>
      <c r="Q302">
        <f t="shared" si="965"/>
        <v>-744648.63280825352</v>
      </c>
      <c r="R302">
        <f t="shared" si="966"/>
        <v>212367227.69766775</v>
      </c>
      <c r="S302">
        <f t="shared" si="967"/>
        <v>2123.6722769766775</v>
      </c>
      <c r="T302">
        <f t="shared" si="968"/>
        <v>2.1236722769766776</v>
      </c>
    </row>
    <row r="303" spans="1:20" x14ac:dyDescent="0.25">
      <c r="A303" s="5">
        <v>44290</v>
      </c>
      <c r="B303">
        <v>14.819000000000001</v>
      </c>
      <c r="C303">
        <v>15.462</v>
      </c>
      <c r="D303">
        <v>14.587</v>
      </c>
      <c r="E303">
        <v>15.243</v>
      </c>
      <c r="F303">
        <v>2793134.693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0.49942857142857278</v>
      </c>
      <c r="Q303">
        <f t="shared" si="965"/>
        <v>1394971.2695325753</v>
      </c>
      <c r="R303">
        <f t="shared" si="966"/>
        <v>213111876.33047602</v>
      </c>
      <c r="S303">
        <f t="shared" si="967"/>
        <v>2131.1187633047603</v>
      </c>
      <c r="T303">
        <f t="shared" si="968"/>
        <v>2.1311187633047601</v>
      </c>
    </row>
    <row r="304" spans="1:20" x14ac:dyDescent="0.25">
      <c r="A304" s="5">
        <v>44289</v>
      </c>
      <c r="B304">
        <v>16.428000000000001</v>
      </c>
      <c r="C304">
        <v>16.585000000000001</v>
      </c>
      <c r="D304">
        <v>14.582000000000001</v>
      </c>
      <c r="E304">
        <v>14.824</v>
      </c>
      <c r="F304">
        <v>4488423.023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-0.75836245631552757</v>
      </c>
      <c r="Q304">
        <f t="shared" si="965"/>
        <v>-3403851.5087054456</v>
      </c>
      <c r="R304">
        <f t="shared" si="966"/>
        <v>211716905.06094345</v>
      </c>
      <c r="S304">
        <f t="shared" si="967"/>
        <v>2117.1690506094346</v>
      </c>
      <c r="T304">
        <f t="shared" si="968"/>
        <v>2.1171690506094345</v>
      </c>
    </row>
    <row r="305" spans="1:20" x14ac:dyDescent="0.25">
      <c r="A305" s="5">
        <v>44288</v>
      </c>
      <c r="B305">
        <v>14.874000000000001</v>
      </c>
      <c r="C305">
        <v>16.5</v>
      </c>
      <c r="D305">
        <v>14.606</v>
      </c>
      <c r="E305">
        <v>16.43</v>
      </c>
      <c r="F305">
        <v>4513173.148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0.9260823653643081</v>
      </c>
      <c r="Q305">
        <f t="shared" si="965"/>
        <v>4179570.0641985205</v>
      </c>
      <c r="R305">
        <f t="shared" si="966"/>
        <v>215120756.56964889</v>
      </c>
      <c r="S305">
        <f t="shared" si="967"/>
        <v>2151.2075656964889</v>
      </c>
      <c r="T305">
        <f t="shared" si="968"/>
        <v>2.1512075656964891</v>
      </c>
    </row>
    <row r="306" spans="1:20" x14ac:dyDescent="0.25">
      <c r="A306" s="5">
        <v>44287</v>
      </c>
      <c r="B306">
        <v>14.702</v>
      </c>
      <c r="C306">
        <v>15.244999999999999</v>
      </c>
      <c r="D306">
        <v>14.49</v>
      </c>
      <c r="E306">
        <v>14.868</v>
      </c>
      <c r="F306">
        <v>3422400.83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1.3245033112598986E-3</v>
      </c>
      <c r="Q306">
        <f t="shared" si="965"/>
        <v>4532.9812317936257</v>
      </c>
      <c r="R306">
        <f t="shared" si="966"/>
        <v>210941186.50545037</v>
      </c>
      <c r="S306">
        <f t="shared" si="967"/>
        <v>2109.4118650545038</v>
      </c>
      <c r="T306">
        <f t="shared" si="968"/>
        <v>2.1094118650545037</v>
      </c>
    </row>
    <row r="307" spans="1:20" x14ac:dyDescent="0.25">
      <c r="A307" s="5">
        <v>44286</v>
      </c>
      <c r="B307">
        <v>15.412000000000001</v>
      </c>
      <c r="C307">
        <v>15.678000000000001</v>
      </c>
      <c r="D307">
        <v>14.071999999999999</v>
      </c>
      <c r="E307">
        <v>14.704000000000001</v>
      </c>
      <c r="F307">
        <v>4498983.63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-0.21295143212951331</v>
      </c>
      <c r="Q307">
        <f t="shared" si="965"/>
        <v>-958065.00713573641</v>
      </c>
      <c r="R307">
        <f t="shared" si="966"/>
        <v>210936653.52421859</v>
      </c>
      <c r="S307">
        <f t="shared" si="967"/>
        <v>2109.3665352421858</v>
      </c>
      <c r="T307">
        <f t="shared" si="968"/>
        <v>2.1093665352421858</v>
      </c>
    </row>
    <row r="308" spans="1:20" x14ac:dyDescent="0.25">
      <c r="A308" s="5">
        <v>44285</v>
      </c>
      <c r="B308">
        <v>15.811</v>
      </c>
      <c r="C308">
        <v>15.968</v>
      </c>
      <c r="D308">
        <v>15.282</v>
      </c>
      <c r="E308">
        <v>15.403</v>
      </c>
      <c r="F308">
        <v>2512552.6329999999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-0.6472303206997071</v>
      </c>
      <c r="Q308">
        <f t="shared" si="965"/>
        <v>-1626200.2464314834</v>
      </c>
      <c r="R308">
        <f t="shared" si="966"/>
        <v>211894718.53135434</v>
      </c>
      <c r="S308">
        <f t="shared" si="967"/>
        <v>2118.9471853135433</v>
      </c>
      <c r="T308">
        <f t="shared" si="968"/>
        <v>2.1189471853135431</v>
      </c>
    </row>
    <row r="309" spans="1:20" x14ac:dyDescent="0.25">
      <c r="A309" s="5">
        <v>44284</v>
      </c>
      <c r="B309">
        <v>15.272</v>
      </c>
      <c r="C309">
        <v>16.12</v>
      </c>
      <c r="D309">
        <v>15.039</v>
      </c>
      <c r="E309">
        <v>15.821999999999999</v>
      </c>
      <c r="F309">
        <v>3191455.4330000002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0.4486586493987022</v>
      </c>
      <c r="Q309">
        <f t="shared" si="965"/>
        <v>1431874.0841859304</v>
      </c>
      <c r="R309">
        <f t="shared" si="966"/>
        <v>213520918.77778581</v>
      </c>
      <c r="S309">
        <f t="shared" si="967"/>
        <v>2135.209187777858</v>
      </c>
      <c r="T309">
        <f t="shared" si="968"/>
        <v>2.1352091877778578</v>
      </c>
    </row>
    <row r="310" spans="1:20" x14ac:dyDescent="0.25">
      <c r="A310" s="5">
        <v>44283</v>
      </c>
      <c r="B310">
        <v>16.187999999999999</v>
      </c>
      <c r="C310">
        <v>16.536000000000001</v>
      </c>
      <c r="D310">
        <v>14.874000000000001</v>
      </c>
      <c r="E310">
        <v>15.272</v>
      </c>
      <c r="F310">
        <v>2620697.5809999998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-0.521058965102287</v>
      </c>
      <c r="Q310">
        <f t="shared" si="965"/>
        <v>-1365537.9694019267</v>
      </c>
      <c r="R310">
        <f t="shared" si="966"/>
        <v>212089044.69359988</v>
      </c>
      <c r="S310">
        <f t="shared" si="967"/>
        <v>2120.8904469359986</v>
      </c>
      <c r="T310">
        <f t="shared" si="968"/>
        <v>2.1208904469359986</v>
      </c>
    </row>
    <row r="311" spans="1:20" x14ac:dyDescent="0.25">
      <c r="A311" s="5">
        <v>44282</v>
      </c>
      <c r="B311">
        <v>16.829999999999998</v>
      </c>
      <c r="C311">
        <v>16.957999999999998</v>
      </c>
      <c r="D311">
        <v>15.77</v>
      </c>
      <c r="E311">
        <v>16.181000000000001</v>
      </c>
      <c r="F311">
        <v>2023689.53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-0.30808080808080512</v>
      </c>
      <c r="Q311">
        <f t="shared" si="965"/>
        <v>-623459.90570706478</v>
      </c>
      <c r="R311">
        <f t="shared" si="966"/>
        <v>213454582.66300181</v>
      </c>
      <c r="S311">
        <f t="shared" si="967"/>
        <v>2134.5458266300179</v>
      </c>
      <c r="T311">
        <f t="shared" si="968"/>
        <v>2.1345458266300179</v>
      </c>
    </row>
    <row r="312" spans="1:20" x14ac:dyDescent="0.25">
      <c r="A312" s="5">
        <v>44281</v>
      </c>
      <c r="B312">
        <v>14.826000000000001</v>
      </c>
      <c r="C312">
        <v>16.98</v>
      </c>
      <c r="D312">
        <v>14.811999999999999</v>
      </c>
      <c r="E312">
        <v>16.815000000000001</v>
      </c>
      <c r="F312">
        <v>2717444.4870000002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0.84778597785977949</v>
      </c>
      <c r="Q312">
        <f t="shared" si="965"/>
        <v>2303811.331690962</v>
      </c>
      <c r="R312">
        <f t="shared" si="966"/>
        <v>214078042.56870887</v>
      </c>
      <c r="S312">
        <f t="shared" si="967"/>
        <v>2140.7804256870886</v>
      </c>
      <c r="T312">
        <f t="shared" si="968"/>
        <v>2.1407804256870886</v>
      </c>
    </row>
    <row r="313" spans="1:20" x14ac:dyDescent="0.25">
      <c r="A313" s="5">
        <v>44280</v>
      </c>
      <c r="B313">
        <v>14.917999999999999</v>
      </c>
      <c r="C313">
        <v>15.374000000000001</v>
      </c>
      <c r="D313">
        <v>14.077999999999999</v>
      </c>
      <c r="E313">
        <v>14.826000000000001</v>
      </c>
      <c r="F313">
        <v>4670710.2980000004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0.15432098765432167</v>
      </c>
      <c r="Q313">
        <f t="shared" si="965"/>
        <v>720788.62623457122</v>
      </c>
      <c r="R313">
        <f t="shared" si="966"/>
        <v>211774231.2370179</v>
      </c>
      <c r="S313">
        <f t="shared" si="967"/>
        <v>2117.7423123701792</v>
      </c>
      <c r="T313">
        <f t="shared" si="968"/>
        <v>2.1177423123701793</v>
      </c>
    </row>
    <row r="314" spans="1:20" x14ac:dyDescent="0.25">
      <c r="A314" s="5">
        <v>44279</v>
      </c>
      <c r="B314">
        <v>16.422000000000001</v>
      </c>
      <c r="C314">
        <v>17.452999999999999</v>
      </c>
      <c r="D314">
        <v>14.448</v>
      </c>
      <c r="E314">
        <v>14.917999999999999</v>
      </c>
      <c r="F314">
        <v>3426522.6239999998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-0.68718801996672274</v>
      </c>
      <c r="Q314">
        <f t="shared" si="965"/>
        <v>-2354665.2973577389</v>
      </c>
      <c r="R314">
        <f t="shared" si="966"/>
        <v>211053442.61078334</v>
      </c>
      <c r="S314">
        <f t="shared" si="967"/>
        <v>2110.5344261078335</v>
      </c>
      <c r="T314">
        <f t="shared" si="968"/>
        <v>2.1105344261078334</v>
      </c>
    </row>
    <row r="315" spans="1:20" x14ac:dyDescent="0.25">
      <c r="A315" s="5">
        <v>44278</v>
      </c>
      <c r="B315">
        <v>17.315000000000001</v>
      </c>
      <c r="C315">
        <v>17.809000000000001</v>
      </c>
      <c r="D315">
        <v>16.332999999999998</v>
      </c>
      <c r="E315">
        <v>16.428000000000001</v>
      </c>
      <c r="F315">
        <v>2727527.4029999999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-0.87127371273712428</v>
      </c>
      <c r="Q315">
        <f t="shared" si="965"/>
        <v>-2376422.9270040565</v>
      </c>
      <c r="R315">
        <f t="shared" si="966"/>
        <v>213408107.90814108</v>
      </c>
      <c r="S315">
        <f t="shared" si="967"/>
        <v>2134.0810790814107</v>
      </c>
      <c r="T315">
        <f t="shared" si="968"/>
        <v>2.1340810790814109</v>
      </c>
    </row>
    <row r="316" spans="1:20" x14ac:dyDescent="0.25">
      <c r="A316" s="5">
        <v>44277</v>
      </c>
      <c r="B316">
        <v>18.838000000000001</v>
      </c>
      <c r="C316">
        <v>19.975000000000001</v>
      </c>
      <c r="D316">
        <v>17.207000000000001</v>
      </c>
      <c r="E316">
        <v>17.311</v>
      </c>
      <c r="F316">
        <v>2758492.7570000002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-0.92485549132948042</v>
      </c>
      <c r="Q316">
        <f t="shared" si="965"/>
        <v>-2551207.1741040484</v>
      </c>
      <c r="R316">
        <f t="shared" si="966"/>
        <v>215784530.83514515</v>
      </c>
      <c r="S316">
        <f t="shared" si="967"/>
        <v>2157.8453083514514</v>
      </c>
      <c r="T316">
        <f t="shared" si="968"/>
        <v>2.1578453083514515</v>
      </c>
    </row>
    <row r="317" spans="1:20" x14ac:dyDescent="0.25">
      <c r="A317" s="5">
        <v>44276</v>
      </c>
      <c r="B317">
        <v>19.446999999999999</v>
      </c>
      <c r="C317">
        <v>19.713999999999999</v>
      </c>
      <c r="D317">
        <v>18.34</v>
      </c>
      <c r="E317">
        <v>18.847999999999999</v>
      </c>
      <c r="F317">
        <v>2380441.216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-0.26055312954876336</v>
      </c>
      <c r="Q317">
        <f t="shared" si="965"/>
        <v>-620231.40853566374</v>
      </c>
      <c r="R317">
        <f t="shared" si="966"/>
        <v>218335738.00924918</v>
      </c>
      <c r="S317">
        <f t="shared" si="967"/>
        <v>2183.3573800924919</v>
      </c>
      <c r="T317">
        <f t="shared" si="968"/>
        <v>2.1833573800924917</v>
      </c>
    </row>
    <row r="318" spans="1:20" x14ac:dyDescent="0.25">
      <c r="A318" s="5">
        <v>44275</v>
      </c>
      <c r="B318">
        <v>20.286999999999999</v>
      </c>
      <c r="C318">
        <v>21</v>
      </c>
      <c r="D318">
        <v>19.422999999999998</v>
      </c>
      <c r="E318">
        <v>19.472000000000001</v>
      </c>
      <c r="F318">
        <v>1865949.4620000001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-0.93785668991756121</v>
      </c>
      <c r="Q318">
        <f t="shared" si="965"/>
        <v>-1749993.1859847743</v>
      </c>
      <c r="R318">
        <f t="shared" si="966"/>
        <v>218955969.41778484</v>
      </c>
      <c r="S318">
        <f t="shared" si="967"/>
        <v>2189.5596941778485</v>
      </c>
      <c r="T318">
        <f t="shared" si="968"/>
        <v>2.1895596941778486</v>
      </c>
    </row>
    <row r="319" spans="1:20" x14ac:dyDescent="0.25">
      <c r="A319" s="5">
        <v>44274</v>
      </c>
      <c r="B319">
        <v>19.721</v>
      </c>
      <c r="C319">
        <v>20.61</v>
      </c>
      <c r="D319">
        <v>18.940000000000001</v>
      </c>
      <c r="E319">
        <v>20.277999999999999</v>
      </c>
      <c r="F319">
        <v>2392372.091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0.60239520958083703</v>
      </c>
      <c r="Q319">
        <f t="shared" si="965"/>
        <v>1441153.4871532903</v>
      </c>
      <c r="R319">
        <f t="shared" si="966"/>
        <v>220705962.6037696</v>
      </c>
      <c r="S319">
        <f t="shared" si="967"/>
        <v>2207.059626037696</v>
      </c>
      <c r="T319">
        <f t="shared" si="968"/>
        <v>2.207059626037696</v>
      </c>
    </row>
    <row r="320" spans="1:20" x14ac:dyDescent="0.25">
      <c r="A320" s="5">
        <v>44273</v>
      </c>
      <c r="B320">
        <v>19.920000000000002</v>
      </c>
      <c r="C320">
        <v>20.341000000000001</v>
      </c>
      <c r="D320">
        <v>19.541</v>
      </c>
      <c r="E320">
        <v>19.7</v>
      </c>
      <c r="F320">
        <v>2438244.5219999999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-0.60250000000000303</v>
      </c>
      <c r="Q320">
        <f t="shared" si="965"/>
        <v>-1469042.3245050074</v>
      </c>
      <c r="R320">
        <f t="shared" si="966"/>
        <v>219264809.11661631</v>
      </c>
      <c r="S320">
        <f t="shared" si="967"/>
        <v>2192.6480911661629</v>
      </c>
      <c r="T320">
        <f t="shared" si="968"/>
        <v>2.1926480911661628</v>
      </c>
    </row>
    <row r="321" spans="1:20" x14ac:dyDescent="0.25">
      <c r="A321" s="5">
        <v>44272</v>
      </c>
      <c r="B321">
        <v>20.228999999999999</v>
      </c>
      <c r="C321">
        <v>20.393999999999998</v>
      </c>
      <c r="D321">
        <v>19.074999999999999</v>
      </c>
      <c r="E321">
        <v>19.914999999999999</v>
      </c>
      <c r="F321">
        <v>2167549.1359999999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0.27369219105382936</v>
      </c>
      <c r="Q321">
        <f t="shared" si="965"/>
        <v>593241.27224867477</v>
      </c>
      <c r="R321">
        <f t="shared" si="966"/>
        <v>220733851.44112131</v>
      </c>
      <c r="S321">
        <f t="shared" si="967"/>
        <v>2207.3385144112131</v>
      </c>
      <c r="T321">
        <f t="shared" si="968"/>
        <v>2.2073385144112132</v>
      </c>
    </row>
    <row r="322" spans="1:20" x14ac:dyDescent="0.25">
      <c r="A322" s="5">
        <v>44271</v>
      </c>
      <c r="B322">
        <v>19.827999999999999</v>
      </c>
      <c r="C322">
        <v>20.652999999999999</v>
      </c>
      <c r="D322">
        <v>18.64</v>
      </c>
      <c r="E322">
        <v>20.212</v>
      </c>
      <c r="F322">
        <v>3594692.6880000001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0.56184798807749692</v>
      </c>
      <c r="Q322">
        <f t="shared" si="965"/>
        <v>2019670.8545096894</v>
      </c>
      <c r="R322">
        <f t="shared" si="966"/>
        <v>220140610.16887262</v>
      </c>
      <c r="S322">
        <f t="shared" si="967"/>
        <v>2201.4061016887263</v>
      </c>
      <c r="T322">
        <f t="shared" si="968"/>
        <v>2.2014061016887263</v>
      </c>
    </row>
    <row r="323" spans="1:20" x14ac:dyDescent="0.25">
      <c r="A323" s="5">
        <v>44270</v>
      </c>
      <c r="B323">
        <v>20.643000000000001</v>
      </c>
      <c r="C323">
        <v>21.898</v>
      </c>
      <c r="D323">
        <v>19.55</v>
      </c>
      <c r="E323">
        <v>19.849</v>
      </c>
      <c r="F323">
        <v>4484616.4939999999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-0.74531516183986402</v>
      </c>
      <c r="Q323">
        <f t="shared" si="965"/>
        <v>-3342452.6680153334</v>
      </c>
      <c r="R323">
        <f t="shared" si="966"/>
        <v>218120939.31436294</v>
      </c>
      <c r="S323">
        <f t="shared" si="967"/>
        <v>2181.2093931436293</v>
      </c>
      <c r="T323">
        <f t="shared" si="968"/>
        <v>2.1812093931436292</v>
      </c>
    </row>
    <row r="324" spans="1:20" x14ac:dyDescent="0.25">
      <c r="A324" s="5">
        <v>44269</v>
      </c>
      <c r="B324">
        <v>22.805</v>
      </c>
      <c r="C324">
        <v>23.035</v>
      </c>
      <c r="D324">
        <v>20.152000000000001</v>
      </c>
      <c r="E324">
        <v>20.641999999999999</v>
      </c>
      <c r="F324">
        <v>5959180.1900000004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-0.66007630939993156</v>
      </c>
      <c r="Q324">
        <f t="shared" si="965"/>
        <v>-3933513.666864383</v>
      </c>
      <c r="R324">
        <f t="shared" si="966"/>
        <v>221463391.98237827</v>
      </c>
      <c r="S324">
        <f t="shared" si="967"/>
        <v>2214.6339198237829</v>
      </c>
      <c r="T324">
        <f t="shared" si="968"/>
        <v>2.214633919823783</v>
      </c>
    </row>
    <row r="325" spans="1:20" x14ac:dyDescent="0.25">
      <c r="A325" s="5">
        <v>44268</v>
      </c>
      <c r="B325">
        <v>19.381</v>
      </c>
      <c r="C325">
        <v>23.43</v>
      </c>
      <c r="D325">
        <v>18.925000000000001</v>
      </c>
      <c r="E325">
        <v>22.823</v>
      </c>
      <c r="F325">
        <v>11163247.578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0.73052164261931207</v>
      </c>
      <c r="Q325">
        <f t="shared" si="965"/>
        <v>8154993.9576466167</v>
      </c>
      <c r="R325">
        <f t="shared" si="966"/>
        <v>225396905.64924267</v>
      </c>
      <c r="S325">
        <f t="shared" si="967"/>
        <v>2253.9690564924267</v>
      </c>
      <c r="T325">
        <f t="shared" si="968"/>
        <v>2.2539690564924268</v>
      </c>
    </row>
    <row r="326" spans="1:20" x14ac:dyDescent="0.25">
      <c r="A326" s="5">
        <v>44267</v>
      </c>
      <c r="B326">
        <v>18.619</v>
      </c>
      <c r="C326">
        <v>19.587</v>
      </c>
      <c r="D326">
        <v>17.992000000000001</v>
      </c>
      <c r="E326">
        <v>19.405999999999999</v>
      </c>
      <c r="F326">
        <v>6199761.4110000003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0.77304075235109582</v>
      </c>
      <c r="Q326">
        <f t="shared" ref="Q326:Q389" si="970">F326*P326</f>
        <v>4792668.2255567312</v>
      </c>
      <c r="R326">
        <f t="shared" ref="R326:R389" si="971">R327+Q326</f>
        <v>217241911.69159606</v>
      </c>
      <c r="S326">
        <f t="shared" ref="S326:S389" si="972">R326/100000</f>
        <v>2172.4191169159608</v>
      </c>
      <c r="T326">
        <f t="shared" ref="T326:T389" si="973">S326/1000</f>
        <v>2.1724191169159606</v>
      </c>
    </row>
    <row r="327" spans="1:20" x14ac:dyDescent="0.25">
      <c r="A327" s="5">
        <v>44266</v>
      </c>
      <c r="B327">
        <v>17.933</v>
      </c>
      <c r="C327">
        <v>19.265999999999998</v>
      </c>
      <c r="D327">
        <v>16.992000000000001</v>
      </c>
      <c r="E327">
        <v>18.61</v>
      </c>
      <c r="F327">
        <v>5460554.9280000003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0.42304309586631522</v>
      </c>
      <c r="Q327">
        <f t="shared" si="970"/>
        <v>2310050.0618891842</v>
      </c>
      <c r="R327">
        <f t="shared" si="971"/>
        <v>212449243.46603933</v>
      </c>
      <c r="S327">
        <f t="shared" si="972"/>
        <v>2124.4924346603934</v>
      </c>
      <c r="T327">
        <f t="shared" si="973"/>
        <v>2.1244924346603935</v>
      </c>
    </row>
    <row r="328" spans="1:20" x14ac:dyDescent="0.25">
      <c r="A328" s="5">
        <v>44265</v>
      </c>
      <c r="B328">
        <v>19.661999999999999</v>
      </c>
      <c r="C328">
        <v>19.835000000000001</v>
      </c>
      <c r="D328">
        <v>17.631</v>
      </c>
      <c r="E328">
        <v>17.931000000000001</v>
      </c>
      <c r="F328">
        <v>4393554.3470000001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-0.72776769509981798</v>
      </c>
      <c r="Q328">
        <f t="shared" si="970"/>
        <v>-3197486.9204119761</v>
      </c>
      <c r="R328">
        <f t="shared" si="971"/>
        <v>210139193.40415016</v>
      </c>
      <c r="S328">
        <f t="shared" si="972"/>
        <v>2101.3919340415014</v>
      </c>
      <c r="T328">
        <f t="shared" si="973"/>
        <v>2.1013919340415015</v>
      </c>
    </row>
    <row r="329" spans="1:20" x14ac:dyDescent="0.25">
      <c r="A329" s="5">
        <v>44264</v>
      </c>
      <c r="B329">
        <v>17.225000000000001</v>
      </c>
      <c r="C329">
        <v>20.221</v>
      </c>
      <c r="D329">
        <v>17.097999999999999</v>
      </c>
      <c r="E329">
        <v>19.670000000000002</v>
      </c>
      <c r="F329">
        <v>7810916.1140000001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0.64713416586615546</v>
      </c>
      <c r="Q329">
        <f t="shared" si="970"/>
        <v>5054710.6840839023</v>
      </c>
      <c r="R329">
        <f t="shared" si="971"/>
        <v>213336680.32456213</v>
      </c>
      <c r="S329">
        <f t="shared" si="972"/>
        <v>2133.3668032456212</v>
      </c>
      <c r="T329">
        <f t="shared" si="973"/>
        <v>2.1333668032456212</v>
      </c>
    </row>
    <row r="330" spans="1:20" x14ac:dyDescent="0.25">
      <c r="A330" s="5">
        <v>44263</v>
      </c>
      <c r="B330">
        <v>17.96</v>
      </c>
      <c r="C330">
        <v>18.231000000000002</v>
      </c>
      <c r="D330">
        <v>16.68</v>
      </c>
      <c r="E330">
        <v>17.23</v>
      </c>
      <c r="F330">
        <v>4187050.9989999998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-0.29078014184397161</v>
      </c>
      <c r="Q330">
        <f t="shared" si="970"/>
        <v>-1217511.283397163</v>
      </c>
      <c r="R330">
        <f t="shared" si="971"/>
        <v>208281969.64047822</v>
      </c>
      <c r="S330">
        <f t="shared" si="972"/>
        <v>2082.8196964047825</v>
      </c>
      <c r="T330">
        <f t="shared" si="973"/>
        <v>2.0828196964047825</v>
      </c>
    </row>
    <row r="331" spans="1:20" x14ac:dyDescent="0.25">
      <c r="A331" s="5">
        <v>44262</v>
      </c>
      <c r="B331">
        <v>16.591000000000001</v>
      </c>
      <c r="C331">
        <v>18.172999999999998</v>
      </c>
      <c r="D331">
        <v>16.3</v>
      </c>
      <c r="E331">
        <v>17.956</v>
      </c>
      <c r="F331">
        <v>4541012.68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0.76828617191671222</v>
      </c>
      <c r="Q331">
        <f t="shared" si="970"/>
        <v>3488797.2485424499</v>
      </c>
      <c r="R331">
        <f t="shared" si="971"/>
        <v>209499480.92387539</v>
      </c>
      <c r="S331">
        <f t="shared" si="972"/>
        <v>2094.994809238754</v>
      </c>
      <c r="T331">
        <f t="shared" si="973"/>
        <v>2.094994809238754</v>
      </c>
    </row>
    <row r="332" spans="1:20" x14ac:dyDescent="0.25">
      <c r="A332" s="5">
        <v>44261</v>
      </c>
      <c r="B332">
        <v>16.596</v>
      </c>
      <c r="C332">
        <v>17.047999999999998</v>
      </c>
      <c r="D332">
        <v>15.718</v>
      </c>
      <c r="E332">
        <v>16.576000000000001</v>
      </c>
      <c r="F332">
        <v>2661062.0520000001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0.29022556390977688</v>
      </c>
      <c r="Q332">
        <f t="shared" si="970"/>
        <v>772308.23464060808</v>
      </c>
      <c r="R332">
        <f t="shared" si="971"/>
        <v>206010683.67533293</v>
      </c>
      <c r="S332">
        <f t="shared" si="972"/>
        <v>2060.1068367533294</v>
      </c>
      <c r="T332">
        <f t="shared" si="973"/>
        <v>2.0601068367533295</v>
      </c>
    </row>
    <row r="333" spans="1:20" x14ac:dyDescent="0.25">
      <c r="A333" s="5">
        <v>44260</v>
      </c>
      <c r="B333">
        <v>17.343</v>
      </c>
      <c r="C333">
        <v>17.350999999999999</v>
      </c>
      <c r="D333">
        <v>15.552</v>
      </c>
      <c r="E333">
        <v>16.613</v>
      </c>
      <c r="F333">
        <v>4790967.3559999997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0.17954419121734325</v>
      </c>
      <c r="Q333">
        <f t="shared" si="970"/>
        <v>860190.35908171337</v>
      </c>
      <c r="R333">
        <f t="shared" si="971"/>
        <v>205238375.44069234</v>
      </c>
      <c r="S333">
        <f t="shared" si="972"/>
        <v>2052.3837544069233</v>
      </c>
      <c r="T333">
        <f t="shared" si="973"/>
        <v>2.0523837544069234</v>
      </c>
    </row>
    <row r="334" spans="1:20" x14ac:dyDescent="0.25">
      <c r="A334" s="5">
        <v>44259</v>
      </c>
      <c r="B334">
        <v>17.433</v>
      </c>
      <c r="C334">
        <v>18.905999999999999</v>
      </c>
      <c r="D334">
        <v>16.975000000000001</v>
      </c>
      <c r="E334">
        <v>17.344999999999999</v>
      </c>
      <c r="F334">
        <v>6426901.1960000005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-0.61677887105127094</v>
      </c>
      <c r="Q334">
        <f t="shared" si="970"/>
        <v>-3963976.8640269432</v>
      </c>
      <c r="R334">
        <f t="shared" si="971"/>
        <v>204378185.08161062</v>
      </c>
      <c r="S334">
        <f t="shared" si="972"/>
        <v>2043.7818508161063</v>
      </c>
      <c r="T334">
        <f t="shared" si="973"/>
        <v>2.0437818508161061</v>
      </c>
    </row>
    <row r="335" spans="1:20" x14ac:dyDescent="0.25">
      <c r="A335" s="5">
        <v>44258</v>
      </c>
      <c r="B335">
        <v>17.821999999999999</v>
      </c>
      <c r="C335">
        <v>19.149999999999999</v>
      </c>
      <c r="D335">
        <v>17.193999999999999</v>
      </c>
      <c r="E335">
        <v>17.433</v>
      </c>
      <c r="F335">
        <v>7770904.7199999997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-0.75562372188138971</v>
      </c>
      <c r="Q335">
        <f t="shared" si="970"/>
        <v>-5871879.9469120586</v>
      </c>
      <c r="R335">
        <f t="shared" si="971"/>
        <v>208342161.94563755</v>
      </c>
      <c r="S335">
        <f t="shared" si="972"/>
        <v>2083.4216194563755</v>
      </c>
      <c r="T335">
        <f t="shared" si="973"/>
        <v>2.0834216194563755</v>
      </c>
    </row>
    <row r="336" spans="1:20" x14ac:dyDescent="0.25">
      <c r="A336" s="5">
        <v>44257</v>
      </c>
      <c r="B336">
        <v>18.835000000000001</v>
      </c>
      <c r="C336">
        <v>20.73</v>
      </c>
      <c r="D336">
        <v>16.707999999999998</v>
      </c>
      <c r="E336">
        <v>17.838000000000001</v>
      </c>
      <c r="F336">
        <v>17233800.488000002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-0.43809050223769169</v>
      </c>
      <c r="Q336">
        <f t="shared" si="970"/>
        <v>-7549964.3112520967</v>
      </c>
      <c r="R336">
        <f t="shared" si="971"/>
        <v>214214041.8925496</v>
      </c>
      <c r="S336">
        <f t="shared" si="972"/>
        <v>2142.1404189254959</v>
      </c>
      <c r="T336">
        <f t="shared" si="973"/>
        <v>2.142140418925496</v>
      </c>
    </row>
    <row r="337" spans="1:20" x14ac:dyDescent="0.25">
      <c r="A337" s="5">
        <v>44256</v>
      </c>
      <c r="B337">
        <v>15.06</v>
      </c>
      <c r="C337">
        <v>18.861000000000001</v>
      </c>
      <c r="D337">
        <v>14.961</v>
      </c>
      <c r="E337">
        <v>18.829000000000001</v>
      </c>
      <c r="F337">
        <v>6522692.0010000002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0.9835897435897436</v>
      </c>
      <c r="Q337">
        <f t="shared" si="970"/>
        <v>6415652.9527784614</v>
      </c>
      <c r="R337">
        <f t="shared" si="971"/>
        <v>221764006.20380169</v>
      </c>
      <c r="S337">
        <f t="shared" si="972"/>
        <v>2217.6400620380168</v>
      </c>
      <c r="T337">
        <f t="shared" si="973"/>
        <v>2.2176400620380168</v>
      </c>
    </row>
    <row r="338" spans="1:20" x14ac:dyDescent="0.25">
      <c r="A338" s="5">
        <v>44255</v>
      </c>
      <c r="B338">
        <v>16.286999999999999</v>
      </c>
      <c r="C338">
        <v>16.372</v>
      </c>
      <c r="D338">
        <v>13.58</v>
      </c>
      <c r="E338">
        <v>15.082000000000001</v>
      </c>
      <c r="F338">
        <v>6528495.9390000002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7.59312320916911E-2</v>
      </c>
      <c r="Q338">
        <f t="shared" si="970"/>
        <v>495716.74035387184</v>
      </c>
      <c r="R338">
        <f t="shared" si="971"/>
        <v>215348353.25102323</v>
      </c>
      <c r="S338">
        <f t="shared" si="972"/>
        <v>2153.4835325102322</v>
      </c>
      <c r="T338">
        <f t="shared" si="973"/>
        <v>2.1534835325102324</v>
      </c>
    </row>
    <row r="339" spans="1:20" x14ac:dyDescent="0.25">
      <c r="A339" s="5">
        <v>44254</v>
      </c>
      <c r="B339">
        <v>15.334</v>
      </c>
      <c r="C339">
        <v>17.7</v>
      </c>
      <c r="D339">
        <v>15.282999999999999</v>
      </c>
      <c r="E339">
        <v>16.288</v>
      </c>
      <c r="F339">
        <v>7150312.5020000003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-0.16839056681836917</v>
      </c>
      <c r="Q339">
        <f t="shared" si="970"/>
        <v>-1204045.1751402514</v>
      </c>
      <c r="R339">
        <f t="shared" si="971"/>
        <v>214852636.51066935</v>
      </c>
      <c r="S339">
        <f t="shared" si="972"/>
        <v>2148.5263651066934</v>
      </c>
      <c r="T339">
        <f t="shared" si="973"/>
        <v>2.1485263651066933</v>
      </c>
    </row>
    <row r="340" spans="1:20" x14ac:dyDescent="0.25">
      <c r="A340" s="5">
        <v>44253</v>
      </c>
      <c r="B340">
        <v>14.355</v>
      </c>
      <c r="C340">
        <v>16.567</v>
      </c>
      <c r="D340">
        <v>13.06</v>
      </c>
      <c r="E340">
        <v>15.332000000000001</v>
      </c>
      <c r="F340">
        <v>9283909.7050000001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0.29569432563444564</v>
      </c>
      <c r="Q340">
        <f t="shared" si="970"/>
        <v>2745199.4194710604</v>
      </c>
      <c r="R340">
        <f t="shared" si="971"/>
        <v>216056681.68580961</v>
      </c>
      <c r="S340">
        <f t="shared" si="972"/>
        <v>2160.566816858096</v>
      </c>
      <c r="T340">
        <f t="shared" si="973"/>
        <v>2.160566816858096</v>
      </c>
    </row>
    <row r="341" spans="1:20" x14ac:dyDescent="0.25">
      <c r="A341" s="5">
        <v>44252</v>
      </c>
      <c r="B341">
        <v>14.7</v>
      </c>
      <c r="C341">
        <v>17.12</v>
      </c>
      <c r="D341">
        <v>14.167</v>
      </c>
      <c r="E341">
        <v>14.378</v>
      </c>
      <c r="F341">
        <v>9285563.3110000007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-0.85709448018963752</v>
      </c>
      <c r="Q341">
        <f t="shared" si="970"/>
        <v>-7958605.0593095152</v>
      </c>
      <c r="R341">
        <f t="shared" si="971"/>
        <v>213311482.26633856</v>
      </c>
      <c r="S341">
        <f t="shared" si="972"/>
        <v>2133.1148226633854</v>
      </c>
      <c r="T341">
        <f t="shared" si="973"/>
        <v>2.1331148226633854</v>
      </c>
    </row>
    <row r="342" spans="1:20" x14ac:dyDescent="0.25">
      <c r="A342" s="5">
        <v>44251</v>
      </c>
      <c r="B342">
        <v>14.835000000000001</v>
      </c>
      <c r="C342">
        <v>15.784000000000001</v>
      </c>
      <c r="D342">
        <v>13.596</v>
      </c>
      <c r="E342">
        <v>14.698</v>
      </c>
      <c r="F342">
        <v>5493466.1890000002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7.3126142595978105E-3</v>
      </c>
      <c r="Q342">
        <f t="shared" si="970"/>
        <v>40171.599188299842</v>
      </c>
      <c r="R342">
        <f t="shared" si="971"/>
        <v>221270087.32564807</v>
      </c>
      <c r="S342">
        <f t="shared" si="972"/>
        <v>2212.7008732564809</v>
      </c>
      <c r="T342">
        <f t="shared" si="973"/>
        <v>2.2127008732564808</v>
      </c>
    </row>
    <row r="343" spans="1:20" x14ac:dyDescent="0.25">
      <c r="A343" s="5">
        <v>44250</v>
      </c>
      <c r="B343">
        <v>16.609000000000002</v>
      </c>
      <c r="C343">
        <v>17.343</v>
      </c>
      <c r="D343">
        <v>11.6</v>
      </c>
      <c r="E343">
        <v>14.82</v>
      </c>
      <c r="F343">
        <v>12254443.732000001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0.12136514017064268</v>
      </c>
      <c r="Q343">
        <f t="shared" si="970"/>
        <v>1487262.2812474337</v>
      </c>
      <c r="R343">
        <f t="shared" si="971"/>
        <v>221229915.72645977</v>
      </c>
      <c r="S343">
        <f t="shared" si="972"/>
        <v>2212.2991572645979</v>
      </c>
      <c r="T343">
        <f t="shared" si="973"/>
        <v>2.212299157264598</v>
      </c>
    </row>
    <row r="344" spans="1:20" x14ac:dyDescent="0.25">
      <c r="A344" s="5">
        <v>44249</v>
      </c>
      <c r="B344">
        <v>17.315999999999999</v>
      </c>
      <c r="C344">
        <v>17.38</v>
      </c>
      <c r="D344">
        <v>13.131</v>
      </c>
      <c r="E344">
        <v>16.57</v>
      </c>
      <c r="F344">
        <v>10976913.049000001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0.61873381972228814</v>
      </c>
      <c r="Q344">
        <f t="shared" si="970"/>
        <v>6791787.3395671984</v>
      </c>
      <c r="R344">
        <f t="shared" si="971"/>
        <v>219742653.44521233</v>
      </c>
      <c r="S344">
        <f t="shared" si="972"/>
        <v>2197.4265344521232</v>
      </c>
      <c r="T344">
        <f t="shared" si="973"/>
        <v>2.1974265344521231</v>
      </c>
    </row>
    <row r="345" spans="1:20" x14ac:dyDescent="0.25">
      <c r="A345" s="5">
        <v>44248</v>
      </c>
      <c r="B345">
        <v>18.341999999999999</v>
      </c>
      <c r="C345">
        <v>19.407</v>
      </c>
      <c r="D345">
        <v>16.821999999999999</v>
      </c>
      <c r="E345">
        <v>17.327000000000002</v>
      </c>
      <c r="F345">
        <v>5913127.5650000004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-0.60928433268858617</v>
      </c>
      <c r="Q345">
        <f t="shared" si="970"/>
        <v>-3602775.9825435099</v>
      </c>
      <c r="R345">
        <f t="shared" si="971"/>
        <v>212950866.10564515</v>
      </c>
      <c r="S345">
        <f t="shared" si="972"/>
        <v>2129.5086610564513</v>
      </c>
      <c r="T345">
        <f t="shared" si="973"/>
        <v>2.1295086610564513</v>
      </c>
    </row>
    <row r="346" spans="1:20" x14ac:dyDescent="0.25">
      <c r="A346" s="5">
        <v>44247</v>
      </c>
      <c r="B346">
        <v>14.545999999999999</v>
      </c>
      <c r="C346">
        <v>19.768999999999998</v>
      </c>
      <c r="D346">
        <v>14.391</v>
      </c>
      <c r="E346">
        <v>18.341999999999999</v>
      </c>
      <c r="F346">
        <v>19671635.848000001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0.46931944960952027</v>
      </c>
      <c r="Q346">
        <f t="shared" si="970"/>
        <v>9232281.3091022689</v>
      </c>
      <c r="R346">
        <f t="shared" si="971"/>
        <v>216553642.08818865</v>
      </c>
      <c r="S346">
        <f t="shared" si="972"/>
        <v>2165.5364208818864</v>
      </c>
      <c r="T346">
        <f t="shared" si="973"/>
        <v>2.1655364208818866</v>
      </c>
    </row>
    <row r="347" spans="1:20" x14ac:dyDescent="0.25">
      <c r="A347" s="5">
        <v>44246</v>
      </c>
      <c r="B347">
        <v>15.816000000000001</v>
      </c>
      <c r="C347">
        <v>15.938000000000001</v>
      </c>
      <c r="D347">
        <v>13.923999999999999</v>
      </c>
      <c r="E347">
        <v>14.545999999999999</v>
      </c>
      <c r="F347">
        <v>8148842.1919999998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-0.38232373386295976</v>
      </c>
      <c r="Q347">
        <f t="shared" si="970"/>
        <v>-3115495.7735054656</v>
      </c>
      <c r="R347">
        <f t="shared" si="971"/>
        <v>207321360.77908638</v>
      </c>
      <c r="S347">
        <f t="shared" si="972"/>
        <v>2073.213607790864</v>
      </c>
      <c r="T347">
        <f t="shared" si="973"/>
        <v>2.0732136077908638</v>
      </c>
    </row>
    <row r="348" spans="1:20" x14ac:dyDescent="0.25">
      <c r="A348" s="5">
        <v>44245</v>
      </c>
      <c r="B348">
        <v>16.184000000000001</v>
      </c>
      <c r="C348">
        <v>16.971</v>
      </c>
      <c r="D348">
        <v>15.5</v>
      </c>
      <c r="E348">
        <v>15.8</v>
      </c>
      <c r="F348">
        <v>3856547.2009999999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-0.59211420802175296</v>
      </c>
      <c r="Q348">
        <f t="shared" si="970"/>
        <v>-2283516.3916186229</v>
      </c>
      <c r="R348">
        <f t="shared" si="971"/>
        <v>210436856.55259186</v>
      </c>
      <c r="S348">
        <f t="shared" si="972"/>
        <v>2104.3685655259187</v>
      </c>
      <c r="T348">
        <f t="shared" si="973"/>
        <v>2.1043685655259186</v>
      </c>
    </row>
    <row r="349" spans="1:20" x14ac:dyDescent="0.25">
      <c r="A349" s="5">
        <v>44244</v>
      </c>
      <c r="B349">
        <v>16.475000000000001</v>
      </c>
      <c r="C349">
        <v>17.14</v>
      </c>
      <c r="D349">
        <v>14.603</v>
      </c>
      <c r="E349">
        <v>16.166</v>
      </c>
      <c r="F349">
        <v>6453607.4550000001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0.23216397319668908</v>
      </c>
      <c r="Q349">
        <f t="shared" si="970"/>
        <v>1498295.1482045727</v>
      </c>
      <c r="R349">
        <f t="shared" si="971"/>
        <v>212720372.94421047</v>
      </c>
      <c r="S349">
        <f t="shared" si="972"/>
        <v>2127.2037294421048</v>
      </c>
      <c r="T349">
        <f t="shared" si="973"/>
        <v>2.1272037294421047</v>
      </c>
    </row>
    <row r="350" spans="1:20" x14ac:dyDescent="0.25">
      <c r="A350" s="5">
        <v>44243</v>
      </c>
      <c r="B350">
        <v>17.265000000000001</v>
      </c>
      <c r="C350">
        <v>17.948</v>
      </c>
      <c r="D350">
        <v>15.568</v>
      </c>
      <c r="E350">
        <v>16.454999999999998</v>
      </c>
      <c r="F350">
        <v>4811665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-0.25462184873949717</v>
      </c>
      <c r="Q350">
        <f t="shared" si="970"/>
        <v>-1225155.0378151326</v>
      </c>
      <c r="R350">
        <f t="shared" si="971"/>
        <v>211222077.7960059</v>
      </c>
      <c r="S350">
        <f t="shared" si="972"/>
        <v>2112.220777960059</v>
      </c>
      <c r="T350">
        <f t="shared" si="973"/>
        <v>2.1122207779600588</v>
      </c>
    </row>
    <row r="351" spans="1:20" x14ac:dyDescent="0.25">
      <c r="A351" s="5">
        <v>44242</v>
      </c>
      <c r="B351">
        <v>14.94</v>
      </c>
      <c r="C351">
        <v>18.399999999999999</v>
      </c>
      <c r="D351">
        <v>12.714</v>
      </c>
      <c r="E351">
        <v>17.265000000000001</v>
      </c>
      <c r="F351">
        <v>10943921.135</v>
      </c>
      <c r="G351">
        <v>0</v>
      </c>
      <c r="L351" t="s">
        <v>7</v>
      </c>
      <c r="M351" t="s">
        <v>8</v>
      </c>
      <c r="N351" t="s">
        <v>7</v>
      </c>
      <c r="P351">
        <f t="shared" si="969"/>
        <v>0.60077383046078148</v>
      </c>
      <c r="Q351">
        <f t="shared" si="970"/>
        <v>6574821.4205346527</v>
      </c>
      <c r="R351">
        <f t="shared" si="971"/>
        <v>212447232.83382103</v>
      </c>
      <c r="S351">
        <f t="shared" si="972"/>
        <v>2124.4723283382104</v>
      </c>
      <c r="T351">
        <f t="shared" si="973"/>
        <v>2.1244723283382103</v>
      </c>
    </row>
    <row r="352" spans="1:20" x14ac:dyDescent="0.25">
      <c r="A352" s="5">
        <v>44241</v>
      </c>
      <c r="B352">
        <v>16.010000000000002</v>
      </c>
      <c r="C352">
        <v>16.363</v>
      </c>
      <c r="D352">
        <v>14.78</v>
      </c>
      <c r="E352">
        <v>14.923</v>
      </c>
      <c r="F352">
        <v>3358440.19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-0.81933038534428215</v>
      </c>
      <c r="Q352">
        <f t="shared" si="970"/>
        <v>-2751672.0950284242</v>
      </c>
      <c r="R352">
        <f t="shared" si="971"/>
        <v>205872411.41328639</v>
      </c>
      <c r="S352">
        <f t="shared" si="972"/>
        <v>2058.7241141328641</v>
      </c>
      <c r="T352">
        <f t="shared" si="973"/>
        <v>2.0587241141328643</v>
      </c>
    </row>
    <row r="353" spans="1:20" x14ac:dyDescent="0.25">
      <c r="A353" s="5">
        <v>44240</v>
      </c>
      <c r="B353">
        <v>16.577999999999999</v>
      </c>
      <c r="C353">
        <v>17.23</v>
      </c>
      <c r="D353">
        <v>15.66</v>
      </c>
      <c r="E353">
        <v>15.996</v>
      </c>
      <c r="F353">
        <v>3569458.3470000001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-0.57197452229299328</v>
      </c>
      <c r="Q353">
        <f t="shared" si="970"/>
        <v>-2041639.2328700626</v>
      </c>
      <c r="R353">
        <f t="shared" si="971"/>
        <v>208624083.50831482</v>
      </c>
      <c r="S353">
        <f t="shared" si="972"/>
        <v>2086.2408350831483</v>
      </c>
      <c r="T353">
        <f t="shared" si="973"/>
        <v>2.0862408350831485</v>
      </c>
    </row>
    <row r="354" spans="1:20" x14ac:dyDescent="0.25">
      <c r="A354" s="5">
        <v>44239</v>
      </c>
      <c r="B354">
        <v>16.786999999999999</v>
      </c>
      <c r="C354">
        <v>17.34</v>
      </c>
      <c r="D354">
        <v>15.55</v>
      </c>
      <c r="E354">
        <v>16.559000000000001</v>
      </c>
      <c r="F354">
        <v>5583725.6179999998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0.12737430167597857</v>
      </c>
      <c r="Q354">
        <f t="shared" si="970"/>
        <v>711223.15134302189</v>
      </c>
      <c r="R354">
        <f t="shared" si="971"/>
        <v>210665722.74118489</v>
      </c>
      <c r="S354">
        <f t="shared" si="972"/>
        <v>2106.6572274118489</v>
      </c>
      <c r="T354">
        <f t="shared" si="973"/>
        <v>2.1066572274118487</v>
      </c>
    </row>
    <row r="355" spans="1:20" x14ac:dyDescent="0.25">
      <c r="A355" s="5">
        <v>44238</v>
      </c>
      <c r="B355">
        <v>14.862</v>
      </c>
      <c r="C355">
        <v>17.591999999999999</v>
      </c>
      <c r="D355">
        <v>13.91</v>
      </c>
      <c r="E355">
        <v>16.771999999999998</v>
      </c>
      <c r="F355">
        <v>7936692.4840000002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0.55458989679521964</v>
      </c>
      <c r="Q355">
        <f t="shared" si="970"/>
        <v>4401609.4655969553</v>
      </c>
      <c r="R355">
        <f t="shared" si="971"/>
        <v>209954499.58984187</v>
      </c>
      <c r="S355">
        <f t="shared" si="972"/>
        <v>2099.5449958984186</v>
      </c>
      <c r="T355">
        <f t="shared" si="973"/>
        <v>2.0995449958984187</v>
      </c>
    </row>
    <row r="356" spans="1:20" x14ac:dyDescent="0.25">
      <c r="A356" s="5">
        <v>44237</v>
      </c>
      <c r="B356">
        <v>14.263</v>
      </c>
      <c r="C356">
        <v>15.856999999999999</v>
      </c>
      <c r="D356">
        <v>13.6</v>
      </c>
      <c r="E356">
        <v>14.863</v>
      </c>
      <c r="F356">
        <v>8814721.7540000007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0.1191847585290209</v>
      </c>
      <c r="Q356">
        <f t="shared" si="970"/>
        <v>1050580.4837509976</v>
      </c>
      <c r="R356">
        <f t="shared" si="971"/>
        <v>205552890.12424493</v>
      </c>
      <c r="S356">
        <f t="shared" si="972"/>
        <v>2055.5289012424491</v>
      </c>
      <c r="T356">
        <f t="shared" si="973"/>
        <v>2.0555289012424494</v>
      </c>
    </row>
    <row r="357" spans="1:20" x14ac:dyDescent="0.25">
      <c r="A357" s="5">
        <v>44236</v>
      </c>
      <c r="B357">
        <v>14.089</v>
      </c>
      <c r="C357">
        <v>14.939</v>
      </c>
      <c r="D357">
        <v>13.526</v>
      </c>
      <c r="E357">
        <v>14.247999999999999</v>
      </c>
      <c r="F357">
        <v>6899509.9129999997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2.1939136588817267E-2</v>
      </c>
      <c r="Q357">
        <f t="shared" si="970"/>
        <v>151369.29037720573</v>
      </c>
      <c r="R357">
        <f t="shared" si="971"/>
        <v>204502309.64049393</v>
      </c>
      <c r="S357">
        <f t="shared" si="972"/>
        <v>2045.0230964049392</v>
      </c>
      <c r="T357">
        <f t="shared" si="973"/>
        <v>2.0450230964049392</v>
      </c>
    </row>
    <row r="358" spans="1:20" x14ac:dyDescent="0.25">
      <c r="A358" s="5">
        <v>44235</v>
      </c>
      <c r="B358">
        <v>13.157999999999999</v>
      </c>
      <c r="C358">
        <v>14.7</v>
      </c>
      <c r="D358">
        <v>12.62</v>
      </c>
      <c r="E358">
        <v>14.090999999999999</v>
      </c>
      <c r="F358">
        <v>7738322.8909999998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0.41442307692307695</v>
      </c>
      <c r="Q358">
        <f t="shared" si="970"/>
        <v>3206939.5827125004</v>
      </c>
      <c r="R358">
        <f t="shared" si="971"/>
        <v>204350940.35011673</v>
      </c>
      <c r="S358">
        <f t="shared" si="972"/>
        <v>2043.5094035011673</v>
      </c>
      <c r="T358">
        <f t="shared" si="973"/>
        <v>2.0435094035011674</v>
      </c>
    </row>
    <row r="359" spans="1:20" x14ac:dyDescent="0.25">
      <c r="A359" s="5">
        <v>44234</v>
      </c>
      <c r="B359">
        <v>13.779</v>
      </c>
      <c r="C359">
        <v>14.013</v>
      </c>
      <c r="D359">
        <v>11.398</v>
      </c>
      <c r="E359">
        <v>13.156000000000001</v>
      </c>
      <c r="F359">
        <v>9471470.5879999995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0.34455066921606176</v>
      </c>
      <c r="Q359">
        <f t="shared" si="970"/>
        <v>3263401.5295556458</v>
      </c>
      <c r="R359">
        <f t="shared" si="971"/>
        <v>201144000.76740423</v>
      </c>
      <c r="S359">
        <f t="shared" si="972"/>
        <v>2011.4400076740424</v>
      </c>
      <c r="T359">
        <f t="shared" si="973"/>
        <v>2.0114400076740422</v>
      </c>
    </row>
    <row r="360" spans="1:20" x14ac:dyDescent="0.25">
      <c r="A360" s="5">
        <v>44233</v>
      </c>
      <c r="B360">
        <v>14.964</v>
      </c>
      <c r="C360">
        <v>15.4</v>
      </c>
      <c r="D360">
        <v>13</v>
      </c>
      <c r="E360">
        <v>13.779</v>
      </c>
      <c r="F360">
        <v>10847585.151000001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-0.3508333333333335</v>
      </c>
      <c r="Q360">
        <f t="shared" si="970"/>
        <v>-3805694.4571425021</v>
      </c>
      <c r="R360">
        <f t="shared" si="971"/>
        <v>197880599.23784858</v>
      </c>
      <c r="S360">
        <f t="shared" si="972"/>
        <v>1978.8059923784858</v>
      </c>
      <c r="T360">
        <f t="shared" si="973"/>
        <v>1.9788059923784858</v>
      </c>
    </row>
    <row r="361" spans="1:20" x14ac:dyDescent="0.25">
      <c r="A361" s="5">
        <v>44232</v>
      </c>
      <c r="B361">
        <v>15.342000000000001</v>
      </c>
      <c r="C361">
        <v>15.839</v>
      </c>
      <c r="D361">
        <v>14.664</v>
      </c>
      <c r="E361">
        <v>14.955</v>
      </c>
      <c r="F361">
        <v>7526932.46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-0.50468085106382943</v>
      </c>
      <c r="Q361">
        <f t="shared" si="970"/>
        <v>-3798698.6798127634</v>
      </c>
      <c r="R361">
        <f t="shared" si="971"/>
        <v>201686293.69499108</v>
      </c>
      <c r="S361">
        <f t="shared" si="972"/>
        <v>2016.8629369499108</v>
      </c>
      <c r="T361">
        <f t="shared" si="973"/>
        <v>2.0168629369499107</v>
      </c>
    </row>
    <row r="362" spans="1:20" x14ac:dyDescent="0.25">
      <c r="A362" s="5">
        <v>44231</v>
      </c>
      <c r="B362">
        <v>14.211</v>
      </c>
      <c r="C362">
        <v>16.600999999999999</v>
      </c>
      <c r="D362">
        <v>13.967000000000001</v>
      </c>
      <c r="E362">
        <v>15.342000000000001</v>
      </c>
      <c r="F362">
        <v>12943939.903999999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4.4039483675019551E-2</v>
      </c>
      <c r="Q362">
        <f t="shared" si="970"/>
        <v>570044.43009264208</v>
      </c>
      <c r="R362">
        <f t="shared" si="971"/>
        <v>205484992.37480384</v>
      </c>
      <c r="S362">
        <f t="shared" si="972"/>
        <v>2054.8499237480382</v>
      </c>
      <c r="T362">
        <f t="shared" si="973"/>
        <v>2.0548499237480384</v>
      </c>
    </row>
    <row r="363" spans="1:20" x14ac:dyDescent="0.25">
      <c r="A363" s="5">
        <v>44230</v>
      </c>
      <c r="B363">
        <v>12.643000000000001</v>
      </c>
      <c r="C363">
        <v>14.868</v>
      </c>
      <c r="D363">
        <v>12.452999999999999</v>
      </c>
      <c r="E363">
        <v>14.21</v>
      </c>
      <c r="F363">
        <v>9274763.6070000008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0.45507246376811661</v>
      </c>
      <c r="Q363">
        <f t="shared" si="970"/>
        <v>4220689.5255043544</v>
      </c>
      <c r="R363">
        <f t="shared" si="971"/>
        <v>204914947.94471121</v>
      </c>
      <c r="S363">
        <f t="shared" si="972"/>
        <v>2049.1494794471123</v>
      </c>
      <c r="T363">
        <f t="shared" si="973"/>
        <v>2.0491494794471121</v>
      </c>
    </row>
    <row r="364" spans="1:20" x14ac:dyDescent="0.25">
      <c r="A364" s="5">
        <v>44229</v>
      </c>
      <c r="B364">
        <v>13.010999999999999</v>
      </c>
      <c r="C364">
        <v>13.826000000000001</v>
      </c>
      <c r="D364">
        <v>12.169</v>
      </c>
      <c r="E364">
        <v>12.627000000000001</v>
      </c>
      <c r="F364">
        <v>11119364.613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-0.4471937235968616</v>
      </c>
      <c r="Q364">
        <f t="shared" si="970"/>
        <v>-4972510.0653186459</v>
      </c>
      <c r="R364">
        <f t="shared" si="971"/>
        <v>200694258.41920686</v>
      </c>
      <c r="S364">
        <f t="shared" si="972"/>
        <v>2006.9425841920686</v>
      </c>
      <c r="T364">
        <f t="shared" si="973"/>
        <v>2.0069425841920685</v>
      </c>
    </row>
    <row r="365" spans="1:20" x14ac:dyDescent="0.25">
      <c r="A365" s="5">
        <v>44228</v>
      </c>
      <c r="B365">
        <v>10.132999999999999</v>
      </c>
      <c r="C365">
        <v>13.081</v>
      </c>
      <c r="D365">
        <v>9.74</v>
      </c>
      <c r="E365">
        <v>13.007999999999999</v>
      </c>
      <c r="F365">
        <v>13475959.036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0.95630050882969142</v>
      </c>
      <c r="Q365">
        <f t="shared" si="970"/>
        <v>12887066.483094878</v>
      </c>
      <c r="R365">
        <f t="shared" si="971"/>
        <v>205666768.4845255</v>
      </c>
      <c r="S365">
        <f t="shared" si="972"/>
        <v>2056.6676848452548</v>
      </c>
      <c r="T365">
        <f t="shared" si="973"/>
        <v>2.0566676848452548</v>
      </c>
    </row>
    <row r="366" spans="1:20" x14ac:dyDescent="0.25">
      <c r="A366" s="5">
        <v>44227</v>
      </c>
      <c r="B366">
        <v>10.38</v>
      </c>
      <c r="C366">
        <v>11.3</v>
      </c>
      <c r="D366">
        <v>9.65</v>
      </c>
      <c r="E366">
        <v>10.121</v>
      </c>
      <c r="F366">
        <v>18001490.138999999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-0.42909090909090913</v>
      </c>
      <c r="Q366">
        <f t="shared" si="970"/>
        <v>-7724275.7687345454</v>
      </c>
      <c r="R366">
        <f t="shared" si="971"/>
        <v>192779702.00143063</v>
      </c>
      <c r="S366">
        <f t="shared" si="972"/>
        <v>1927.7970200143063</v>
      </c>
      <c r="T366">
        <f t="shared" si="973"/>
        <v>1.9277970200143064</v>
      </c>
    </row>
    <row r="367" spans="1:20" x14ac:dyDescent="0.25">
      <c r="A367" s="5">
        <v>44226</v>
      </c>
      <c r="B367">
        <v>8.9730000000000008</v>
      </c>
      <c r="C367">
        <v>10.39</v>
      </c>
      <c r="D367">
        <v>8.36</v>
      </c>
      <c r="E367">
        <v>10.375</v>
      </c>
      <c r="F367">
        <v>12447571.964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0.98522167487684675</v>
      </c>
      <c r="Q367">
        <f t="shared" si="970"/>
        <v>12263617.69852216</v>
      </c>
      <c r="R367">
        <f t="shared" si="971"/>
        <v>200503977.77016518</v>
      </c>
      <c r="S367">
        <f t="shared" si="972"/>
        <v>2005.0397777016517</v>
      </c>
      <c r="T367">
        <f t="shared" si="973"/>
        <v>2.0050397777016515</v>
      </c>
    </row>
    <row r="368" spans="1:20" x14ac:dyDescent="0.25">
      <c r="A368" s="5">
        <v>44225</v>
      </c>
      <c r="B368">
        <v>8.25</v>
      </c>
      <c r="C368">
        <v>9.0389999999999997</v>
      </c>
      <c r="D368">
        <v>7.6319999999999997</v>
      </c>
      <c r="E368">
        <v>8.9740000000000002</v>
      </c>
      <c r="F368">
        <v>11720384.112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0.90760483297796801</v>
      </c>
      <c r="Q368">
        <f t="shared" si="970"/>
        <v>10637477.264409389</v>
      </c>
      <c r="R368">
        <f t="shared" si="971"/>
        <v>188240360.07164302</v>
      </c>
      <c r="S368">
        <f t="shared" si="972"/>
        <v>1882.4036007164302</v>
      </c>
      <c r="T368">
        <f t="shared" si="973"/>
        <v>1.8824036007164302</v>
      </c>
    </row>
    <row r="369" spans="1:20" x14ac:dyDescent="0.25">
      <c r="A369" s="5">
        <v>44224</v>
      </c>
      <c r="B369">
        <v>7.0640000000000001</v>
      </c>
      <c r="C369">
        <v>8.75</v>
      </c>
      <c r="D369">
        <v>6.91</v>
      </c>
      <c r="E369">
        <v>8.25</v>
      </c>
      <c r="F369">
        <v>13077799.285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0.45652173913043476</v>
      </c>
      <c r="Q369">
        <f t="shared" si="970"/>
        <v>5970299.6735869562</v>
      </c>
      <c r="R369">
        <f t="shared" si="971"/>
        <v>177602882.80723363</v>
      </c>
      <c r="S369">
        <f t="shared" si="972"/>
        <v>1776.0288280723364</v>
      </c>
      <c r="T369">
        <f t="shared" si="973"/>
        <v>1.7760288280723364</v>
      </c>
    </row>
    <row r="370" spans="1:20" x14ac:dyDescent="0.25">
      <c r="A370" s="5">
        <v>44223</v>
      </c>
      <c r="B370">
        <v>8.1679999999999993</v>
      </c>
      <c r="C370">
        <v>8.2089999999999996</v>
      </c>
      <c r="D370">
        <v>6.92</v>
      </c>
      <c r="E370">
        <v>7.0590000000000002</v>
      </c>
      <c r="F370">
        <v>12315653.082</v>
      </c>
      <c r="G370">
        <v>0</v>
      </c>
      <c r="L370" t="s">
        <v>8</v>
      </c>
      <c r="M370" t="s">
        <v>8</v>
      </c>
      <c r="N370" t="s">
        <v>7</v>
      </c>
      <c r="P370">
        <f t="shared" si="969"/>
        <v>-0.78432893716058916</v>
      </c>
      <c r="Q370">
        <f t="shared" si="970"/>
        <v>-9659523.092243595</v>
      </c>
      <c r="R370">
        <f t="shared" si="971"/>
        <v>171632583.13364667</v>
      </c>
      <c r="S370">
        <f t="shared" si="972"/>
        <v>1716.3258313364668</v>
      </c>
      <c r="T370">
        <f t="shared" si="973"/>
        <v>1.7163258313364667</v>
      </c>
    </row>
    <row r="371" spans="1:20" x14ac:dyDescent="0.25">
      <c r="A371" s="5">
        <v>44222</v>
      </c>
      <c r="B371">
        <v>7.625</v>
      </c>
      <c r="C371">
        <v>8.4130000000000003</v>
      </c>
      <c r="D371">
        <v>6.7859999999999996</v>
      </c>
      <c r="E371">
        <v>8.1669999999999998</v>
      </c>
      <c r="F371">
        <v>17926227.072999999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0.69760295021511942</v>
      </c>
      <c r="Q371">
        <f t="shared" si="970"/>
        <v>12505388.892350944</v>
      </c>
      <c r="R371">
        <f t="shared" si="971"/>
        <v>181292106.22589025</v>
      </c>
      <c r="S371">
        <f t="shared" si="972"/>
        <v>1812.9210622589026</v>
      </c>
      <c r="T371">
        <f t="shared" si="973"/>
        <v>1.8129210622589025</v>
      </c>
    </row>
    <row r="372" spans="1:20" x14ac:dyDescent="0.25">
      <c r="A372" s="5">
        <v>44221</v>
      </c>
      <c r="B372">
        <v>8.3290000000000006</v>
      </c>
      <c r="C372">
        <v>10</v>
      </c>
      <c r="D372">
        <v>7.42</v>
      </c>
      <c r="E372">
        <v>7.63</v>
      </c>
      <c r="F372">
        <v>17362129.975000001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-0.83720930232558144</v>
      </c>
      <c r="Q372">
        <f t="shared" si="970"/>
        <v>-14535736.723255817</v>
      </c>
      <c r="R372">
        <f t="shared" si="971"/>
        <v>168786717.33353931</v>
      </c>
      <c r="S372">
        <f t="shared" si="972"/>
        <v>1687.8671733353931</v>
      </c>
      <c r="T372">
        <f t="shared" si="973"/>
        <v>1.6878671733353932</v>
      </c>
    </row>
    <row r="373" spans="1:20" x14ac:dyDescent="0.25">
      <c r="A373" s="5">
        <v>44220</v>
      </c>
      <c r="B373">
        <v>7.0759999999999996</v>
      </c>
      <c r="C373">
        <v>8.4879999999999995</v>
      </c>
      <c r="D373">
        <v>6.9539999999999997</v>
      </c>
      <c r="E373">
        <v>8.3209999999999997</v>
      </c>
      <c r="F373">
        <v>10424619.239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0.78226857887874857</v>
      </c>
      <c r="Q373">
        <f t="shared" si="970"/>
        <v>8154852.0774445916</v>
      </c>
      <c r="R373">
        <f t="shared" si="971"/>
        <v>183322454.05679512</v>
      </c>
      <c r="S373">
        <f t="shared" si="972"/>
        <v>1833.2245405679512</v>
      </c>
      <c r="T373">
        <f t="shared" si="973"/>
        <v>1.8332245405679513</v>
      </c>
    </row>
    <row r="374" spans="1:20" x14ac:dyDescent="0.25">
      <c r="A374" s="5">
        <v>44219</v>
      </c>
      <c r="B374">
        <v>6.7350000000000003</v>
      </c>
      <c r="C374">
        <v>7.4429999999999996</v>
      </c>
      <c r="D374">
        <v>6.5819999999999999</v>
      </c>
      <c r="E374">
        <v>7.0759999999999996</v>
      </c>
      <c r="F374">
        <v>6629785.767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0.14750290360046436</v>
      </c>
      <c r="Q374">
        <f t="shared" si="970"/>
        <v>977912.65088153165</v>
      </c>
      <c r="R374">
        <f t="shared" si="971"/>
        <v>175167601.97935054</v>
      </c>
      <c r="S374">
        <f t="shared" si="972"/>
        <v>1751.6760197935055</v>
      </c>
      <c r="T374">
        <f t="shared" si="973"/>
        <v>1.7516760197935055</v>
      </c>
    </row>
    <row r="375" spans="1:20" x14ac:dyDescent="0.25">
      <c r="A375" s="5">
        <v>44218</v>
      </c>
      <c r="B375">
        <v>5.61</v>
      </c>
      <c r="C375">
        <v>6.9989999999999997</v>
      </c>
      <c r="D375">
        <v>5.218</v>
      </c>
      <c r="E375">
        <v>6.7270000000000003</v>
      </c>
      <c r="F375">
        <v>10057616.174000001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0.69455362156092149</v>
      </c>
      <c r="Q375">
        <f t="shared" si="970"/>
        <v>6985553.7379213991</v>
      </c>
      <c r="R375">
        <f t="shared" si="971"/>
        <v>174189689.32846901</v>
      </c>
      <c r="S375">
        <f t="shared" si="972"/>
        <v>1741.8968932846901</v>
      </c>
      <c r="T375">
        <f t="shared" si="973"/>
        <v>1.7418968932846901</v>
      </c>
    </row>
    <row r="376" spans="1:20" x14ac:dyDescent="0.25">
      <c r="A376" s="5">
        <v>44217</v>
      </c>
      <c r="B376">
        <v>7.2939999999999996</v>
      </c>
      <c r="C376">
        <v>7.35</v>
      </c>
      <c r="D376">
        <v>5.3849999999999998</v>
      </c>
      <c r="E376">
        <v>5.6040000000000001</v>
      </c>
      <c r="F376">
        <v>13104798.925000001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-0.77709923664122105</v>
      </c>
      <c r="Q376">
        <f t="shared" si="970"/>
        <v>-10183729.240954194</v>
      </c>
      <c r="R376">
        <f t="shared" si="971"/>
        <v>167204135.59054762</v>
      </c>
      <c r="S376">
        <f t="shared" si="972"/>
        <v>1672.0413559054762</v>
      </c>
      <c r="T376">
        <f t="shared" si="973"/>
        <v>1.6720413559054761</v>
      </c>
    </row>
    <row r="377" spans="1:20" x14ac:dyDescent="0.25">
      <c r="A377" s="5">
        <v>44216</v>
      </c>
      <c r="B377">
        <v>6.5270000000000001</v>
      </c>
      <c r="C377">
        <v>7.3250000000000002</v>
      </c>
      <c r="D377">
        <v>6.056</v>
      </c>
      <c r="E377">
        <v>7.2949999999999999</v>
      </c>
      <c r="F377">
        <v>10451109.685000001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0.95271867612293104</v>
      </c>
      <c r="Q377">
        <f t="shared" si="970"/>
        <v>9956967.3831087425</v>
      </c>
      <c r="R377">
        <f t="shared" si="971"/>
        <v>177387864.83150181</v>
      </c>
      <c r="S377">
        <f t="shared" si="972"/>
        <v>1773.8786483150182</v>
      </c>
      <c r="T377">
        <f t="shared" si="973"/>
        <v>1.7738786483150182</v>
      </c>
    </row>
    <row r="378" spans="1:20" x14ac:dyDescent="0.25">
      <c r="A378" s="5">
        <v>44215</v>
      </c>
      <c r="B378">
        <v>7.4880000000000004</v>
      </c>
      <c r="C378">
        <v>7.72</v>
      </c>
      <c r="D378">
        <v>6.2</v>
      </c>
      <c r="E378">
        <v>6.5259999999999998</v>
      </c>
      <c r="F378">
        <v>9707386.1390000004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-0.5710526315789477</v>
      </c>
      <c r="Q378">
        <f t="shared" si="970"/>
        <v>-5543428.4004289508</v>
      </c>
      <c r="R378">
        <f t="shared" si="971"/>
        <v>167430897.44839308</v>
      </c>
      <c r="S378">
        <f t="shared" si="972"/>
        <v>1674.3089744839308</v>
      </c>
      <c r="T378">
        <f t="shared" si="973"/>
        <v>1.6743089744839308</v>
      </c>
    </row>
    <row r="379" spans="1:20" x14ac:dyDescent="0.25">
      <c r="A379" s="5">
        <v>44214</v>
      </c>
      <c r="B379">
        <v>7.0549999999999997</v>
      </c>
      <c r="C379">
        <v>7.74</v>
      </c>
      <c r="D379">
        <v>6.8280000000000003</v>
      </c>
      <c r="E379">
        <v>7.4880000000000004</v>
      </c>
      <c r="F379">
        <v>10182226.571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0.44736842105263203</v>
      </c>
      <c r="Q379">
        <f t="shared" si="970"/>
        <v>4555206.6238684254</v>
      </c>
      <c r="R379">
        <f t="shared" si="971"/>
        <v>172974325.84882203</v>
      </c>
      <c r="S379">
        <f t="shared" si="972"/>
        <v>1729.7432584882204</v>
      </c>
      <c r="T379">
        <f t="shared" si="973"/>
        <v>1.7297432584882204</v>
      </c>
    </row>
    <row r="380" spans="1:20" x14ac:dyDescent="0.25">
      <c r="A380" s="5">
        <v>44213</v>
      </c>
      <c r="B380">
        <v>7.1520000000000001</v>
      </c>
      <c r="C380">
        <v>7.798</v>
      </c>
      <c r="D380">
        <v>6.7910000000000004</v>
      </c>
      <c r="E380">
        <v>7.0430000000000001</v>
      </c>
      <c r="F380">
        <v>11747916.478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-0.49950347567030812</v>
      </c>
      <c r="Q380">
        <f t="shared" si="970"/>
        <v>-5868125.1126454845</v>
      </c>
      <c r="R380">
        <f t="shared" si="971"/>
        <v>168419119.22495359</v>
      </c>
      <c r="S380">
        <f t="shared" si="972"/>
        <v>1684.191192249536</v>
      </c>
      <c r="T380">
        <f t="shared" si="973"/>
        <v>1.6841911922495361</v>
      </c>
    </row>
    <row r="381" spans="1:20" x14ac:dyDescent="0.25">
      <c r="A381" s="5">
        <v>44212</v>
      </c>
      <c r="B381">
        <v>6.3959999999999999</v>
      </c>
      <c r="C381">
        <v>7.5</v>
      </c>
      <c r="D381">
        <v>6.0949999999999998</v>
      </c>
      <c r="E381">
        <v>7.15</v>
      </c>
      <c r="F381">
        <v>14644108.85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0.50177935943060559</v>
      </c>
      <c r="Q381">
        <f t="shared" si="970"/>
        <v>7348111.5581850624</v>
      </c>
      <c r="R381">
        <f t="shared" si="971"/>
        <v>174287244.33759907</v>
      </c>
      <c r="S381">
        <f t="shared" si="972"/>
        <v>1742.8724433759908</v>
      </c>
      <c r="T381">
        <f t="shared" si="973"/>
        <v>1.7428724433759908</v>
      </c>
    </row>
    <row r="382" spans="1:20" x14ac:dyDescent="0.25">
      <c r="A382" s="5">
        <v>44211</v>
      </c>
      <c r="B382">
        <v>5.6820000000000004</v>
      </c>
      <c r="C382">
        <v>6.8840000000000003</v>
      </c>
      <c r="D382">
        <v>5.3019999999999996</v>
      </c>
      <c r="E382">
        <v>6.3940000000000001</v>
      </c>
      <c r="F382">
        <v>19940574.300000001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0.38053097345132747</v>
      </c>
      <c r="Q382">
        <f t="shared" si="970"/>
        <v>7588006.1495575234</v>
      </c>
      <c r="R382">
        <f t="shared" si="971"/>
        <v>166939132.779414</v>
      </c>
      <c r="S382">
        <f t="shared" si="972"/>
        <v>1669.3913277941399</v>
      </c>
      <c r="T382">
        <f t="shared" si="973"/>
        <v>1.6693913277941399</v>
      </c>
    </row>
    <row r="383" spans="1:20" x14ac:dyDescent="0.25">
      <c r="A383" s="5">
        <v>44210</v>
      </c>
      <c r="B383">
        <v>5.1189999999999998</v>
      </c>
      <c r="C383">
        <v>5.7939999999999996</v>
      </c>
      <c r="D383">
        <v>4.9790000000000001</v>
      </c>
      <c r="E383">
        <v>5.681</v>
      </c>
      <c r="F383">
        <v>13409915.989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0.72269938650306842</v>
      </c>
      <c r="Q383">
        <f t="shared" si="970"/>
        <v>9691338.0583079886</v>
      </c>
      <c r="R383">
        <f t="shared" si="971"/>
        <v>159351126.62985647</v>
      </c>
      <c r="S383">
        <f t="shared" si="972"/>
        <v>1593.5112662985646</v>
      </c>
      <c r="T383">
        <f t="shared" si="973"/>
        <v>1.5935112662985647</v>
      </c>
    </row>
    <row r="384" spans="1:20" x14ac:dyDescent="0.25">
      <c r="A384" s="5">
        <v>44209</v>
      </c>
      <c r="B384">
        <v>4.2809999999999997</v>
      </c>
      <c r="C384">
        <v>5.2</v>
      </c>
      <c r="D384">
        <v>3.92</v>
      </c>
      <c r="E384">
        <v>5.1180000000000003</v>
      </c>
      <c r="F384">
        <v>13938875.223999999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0.87187500000000029</v>
      </c>
      <c r="Q384">
        <f t="shared" si="970"/>
        <v>12152956.835925004</v>
      </c>
      <c r="R384">
        <f t="shared" si="971"/>
        <v>149659788.57154849</v>
      </c>
      <c r="S384">
        <f t="shared" si="972"/>
        <v>1496.5978857154848</v>
      </c>
      <c r="T384">
        <f t="shared" si="973"/>
        <v>1.4965978857154849</v>
      </c>
    </row>
    <row r="385" spans="1:20" x14ac:dyDescent="0.25">
      <c r="A385" s="5">
        <v>44208</v>
      </c>
      <c r="B385">
        <v>3.879</v>
      </c>
      <c r="C385">
        <v>4.6660000000000004</v>
      </c>
      <c r="D385">
        <v>3.6309999999999998</v>
      </c>
      <c r="E385">
        <v>4.2789999999999999</v>
      </c>
      <c r="F385">
        <v>13928805.304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0.2521739130434778</v>
      </c>
      <c r="Q385">
        <f t="shared" si="970"/>
        <v>3512481.3375304281</v>
      </c>
      <c r="R385">
        <f t="shared" si="971"/>
        <v>137506831.73562348</v>
      </c>
      <c r="S385">
        <f t="shared" si="972"/>
        <v>1375.0683173562347</v>
      </c>
      <c r="T385">
        <f t="shared" si="973"/>
        <v>1.3750683173562348</v>
      </c>
    </row>
    <row r="386" spans="1:20" x14ac:dyDescent="0.25">
      <c r="A386" s="5">
        <v>44207</v>
      </c>
      <c r="B386">
        <v>4.391</v>
      </c>
      <c r="C386">
        <v>4.4139999999999997</v>
      </c>
      <c r="D386">
        <v>3.18</v>
      </c>
      <c r="E386">
        <v>3.88</v>
      </c>
      <c r="F386">
        <v>16765781.664999999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0.13452188006482982</v>
      </c>
      <c r="Q386">
        <f t="shared" si="970"/>
        <v>2255364.4703322528</v>
      </c>
      <c r="R386">
        <f t="shared" si="971"/>
        <v>133994350.39809304</v>
      </c>
      <c r="S386">
        <f t="shared" si="972"/>
        <v>1339.9435039809305</v>
      </c>
      <c r="T386">
        <f t="shared" si="973"/>
        <v>1.3399435039809304</v>
      </c>
    </row>
    <row r="387" spans="1:20" x14ac:dyDescent="0.25">
      <c r="A387" s="5">
        <v>44206</v>
      </c>
      <c r="B387">
        <v>4.6660000000000004</v>
      </c>
      <c r="C387">
        <v>4.8860000000000001</v>
      </c>
      <c r="D387">
        <v>4.01</v>
      </c>
      <c r="E387">
        <v>4.391</v>
      </c>
      <c r="F387">
        <v>9909998.023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-0.13013698630136969</v>
      </c>
      <c r="Q387">
        <f t="shared" si="970"/>
        <v>-1289657.2769657518</v>
      </c>
      <c r="R387">
        <f t="shared" si="971"/>
        <v>131738985.92776079</v>
      </c>
      <c r="S387">
        <f t="shared" si="972"/>
        <v>1317.3898592776079</v>
      </c>
      <c r="T387">
        <f t="shared" si="973"/>
        <v>1.3173898592776079</v>
      </c>
    </row>
    <row r="388" spans="1:20" x14ac:dyDescent="0.25">
      <c r="A388" s="5">
        <v>44205</v>
      </c>
      <c r="B388">
        <v>4.2930000000000001</v>
      </c>
      <c r="C388">
        <v>5.0350000000000001</v>
      </c>
      <c r="D388">
        <v>4.1719999999999997</v>
      </c>
      <c r="E388">
        <v>4.6660000000000004</v>
      </c>
      <c r="F388">
        <v>15192657.1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0.14484356894553976</v>
      </c>
      <c r="Q388">
        <f t="shared" si="970"/>
        <v>2200558.6761297942</v>
      </c>
      <c r="R388">
        <f t="shared" si="971"/>
        <v>133028643.20472655</v>
      </c>
      <c r="S388">
        <f t="shared" si="972"/>
        <v>1330.2864320472654</v>
      </c>
      <c r="T388">
        <f t="shared" si="973"/>
        <v>1.3302864320472654</v>
      </c>
    </row>
    <row r="389" spans="1:20" x14ac:dyDescent="0.25">
      <c r="A389" s="5">
        <v>44204</v>
      </c>
      <c r="B389">
        <v>3.948</v>
      </c>
      <c r="C389">
        <v>4.4880000000000004</v>
      </c>
      <c r="D389">
        <v>3.2410000000000001</v>
      </c>
      <c r="E389">
        <v>4.2910000000000004</v>
      </c>
      <c r="F389">
        <v>17551082.958000001</v>
      </c>
      <c r="G389">
        <v>0</v>
      </c>
      <c r="L389" t="s">
        <v>8</v>
      </c>
      <c r="M389" t="s">
        <v>7</v>
      </c>
      <c r="N389" t="s">
        <v>8</v>
      </c>
      <c r="P389">
        <f t="shared" si="969"/>
        <v>0.68404170008019249</v>
      </c>
      <c r="Q389">
        <f t="shared" si="970"/>
        <v>12005672.624838814</v>
      </c>
      <c r="R389">
        <f t="shared" si="971"/>
        <v>130828084.52859676</v>
      </c>
      <c r="S389">
        <f t="shared" si="972"/>
        <v>1308.2808452859676</v>
      </c>
      <c r="T389">
        <f t="shared" si="973"/>
        <v>1.3082808452859676</v>
      </c>
    </row>
    <row r="390" spans="1:20" x14ac:dyDescent="0.25">
      <c r="A390" s="5">
        <v>44203</v>
      </c>
      <c r="B390">
        <v>3.8809999999999998</v>
      </c>
      <c r="C390">
        <v>4.38</v>
      </c>
      <c r="D390">
        <v>3.52</v>
      </c>
      <c r="E390">
        <v>3.9510000000000001</v>
      </c>
      <c r="F390">
        <v>14619917.76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2.3255813953490978E-3</v>
      </c>
      <c r="Q390">
        <f t="shared" ref="Q390:Q453" si="975">F390*P390</f>
        <v>33999.808744189853</v>
      </c>
      <c r="R390">
        <f t="shared" ref="R390:R453" si="976">R391+Q390</f>
        <v>118822411.90375794</v>
      </c>
      <c r="S390">
        <f t="shared" ref="S390:S453" si="977">R390/100000</f>
        <v>1188.2241190375794</v>
      </c>
      <c r="T390">
        <f t="shared" ref="T390:T453" si="978">S390/1000</f>
        <v>1.1882241190375793</v>
      </c>
    </row>
    <row r="391" spans="1:20" x14ac:dyDescent="0.25">
      <c r="A391" s="5">
        <v>44202</v>
      </c>
      <c r="B391">
        <v>3.859</v>
      </c>
      <c r="C391">
        <v>4.1369999999999996</v>
      </c>
      <c r="D391">
        <v>3.5390000000000001</v>
      </c>
      <c r="E391">
        <v>3.8820000000000001</v>
      </c>
      <c r="F391">
        <v>12541705.062000001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0.14715719063545252</v>
      </c>
      <c r="Q391">
        <f t="shared" si="975"/>
        <v>1845602.0827023541</v>
      </c>
      <c r="R391">
        <f t="shared" si="976"/>
        <v>118788412.09501375</v>
      </c>
      <c r="S391">
        <f t="shared" si="977"/>
        <v>1187.8841209501375</v>
      </c>
      <c r="T391">
        <f t="shared" si="978"/>
        <v>1.1878841209501374</v>
      </c>
    </row>
    <row r="392" spans="1:20" x14ac:dyDescent="0.25">
      <c r="A392" s="5">
        <v>44201</v>
      </c>
      <c r="B392">
        <v>3.5649999999999999</v>
      </c>
      <c r="C392">
        <v>4.0199999999999996</v>
      </c>
      <c r="D392">
        <v>3.1110000000000002</v>
      </c>
      <c r="E392">
        <v>3.8530000000000002</v>
      </c>
      <c r="F392">
        <v>19017724.670000002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0.6325632563256337</v>
      </c>
      <c r="Q392">
        <f t="shared" si="975"/>
        <v>12029913.845159538</v>
      </c>
      <c r="R392">
        <f t="shared" si="976"/>
        <v>116942810.0123114</v>
      </c>
      <c r="S392">
        <f t="shared" si="977"/>
        <v>1169.4281001231141</v>
      </c>
      <c r="T392">
        <f t="shared" si="978"/>
        <v>1.1694281001231142</v>
      </c>
    </row>
    <row r="393" spans="1:20" x14ac:dyDescent="0.25">
      <c r="A393" s="5">
        <v>44200</v>
      </c>
      <c r="B393">
        <v>3.448</v>
      </c>
      <c r="C393">
        <v>4.1630000000000003</v>
      </c>
      <c r="D393">
        <v>3.17</v>
      </c>
      <c r="E393">
        <v>3.5630000000000002</v>
      </c>
      <c r="F393">
        <v>21277122.217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-0.20845921450151036</v>
      </c>
      <c r="Q393">
        <f t="shared" si="975"/>
        <v>-4435412.1842084546</v>
      </c>
      <c r="R393">
        <f t="shared" si="976"/>
        <v>104912896.16715187</v>
      </c>
      <c r="S393">
        <f t="shared" si="977"/>
        <v>1049.1289616715187</v>
      </c>
      <c r="T393">
        <f t="shared" si="978"/>
        <v>1.0491289616715187</v>
      </c>
    </row>
    <row r="394" spans="1:20" x14ac:dyDescent="0.25">
      <c r="A394" s="5">
        <v>44199</v>
      </c>
      <c r="B394">
        <v>3.2029999999999998</v>
      </c>
      <c r="C394">
        <v>3.5880000000000001</v>
      </c>
      <c r="D394">
        <v>2.9359999999999999</v>
      </c>
      <c r="E394">
        <v>3.4449999999999998</v>
      </c>
      <c r="F394">
        <v>16070311.874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0.56134969325153306</v>
      </c>
      <c r="Q394">
        <f t="shared" si="975"/>
        <v>9021064.6409263685</v>
      </c>
      <c r="R394">
        <f t="shared" si="976"/>
        <v>109348308.35136032</v>
      </c>
      <c r="S394">
        <f t="shared" si="977"/>
        <v>1093.4830835136031</v>
      </c>
      <c r="T394">
        <f t="shared" si="978"/>
        <v>1.0934830835136031</v>
      </c>
    </row>
    <row r="395" spans="1:20" x14ac:dyDescent="0.25">
      <c r="A395" s="5">
        <v>44198</v>
      </c>
      <c r="B395">
        <v>3.3319999999999999</v>
      </c>
      <c r="C395">
        <v>3.3679999999999999</v>
      </c>
      <c r="D395">
        <v>3.0089999999999999</v>
      </c>
      <c r="E395">
        <v>3.2029999999999998</v>
      </c>
      <c r="F395">
        <v>14221470.154999999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8.0779944289693359E-2</v>
      </c>
      <c r="Q395">
        <f t="shared" si="975"/>
        <v>1148809.5668384368</v>
      </c>
      <c r="R395">
        <f t="shared" si="976"/>
        <v>100327243.71043395</v>
      </c>
      <c r="S395">
        <f t="shared" si="977"/>
        <v>1003.2724371043395</v>
      </c>
      <c r="T395">
        <f t="shared" si="978"/>
        <v>1.0032724371043396</v>
      </c>
    </row>
    <row r="396" spans="1:20" x14ac:dyDescent="0.25">
      <c r="A396" s="5">
        <v>44197</v>
      </c>
      <c r="B396">
        <v>2.8690000000000002</v>
      </c>
      <c r="C396">
        <v>3.3380000000000001</v>
      </c>
      <c r="D396">
        <v>2.7930000000000001</v>
      </c>
      <c r="E396">
        <v>3.3330000000000002</v>
      </c>
      <c r="F396">
        <v>16961752.535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0.98165137614678943</v>
      </c>
      <c r="Q396">
        <f t="shared" si="975"/>
        <v>16650527.717844045</v>
      </c>
      <c r="R396">
        <f t="shared" si="976"/>
        <v>99178434.143595502</v>
      </c>
      <c r="S396">
        <f t="shared" si="977"/>
        <v>991.78434143595507</v>
      </c>
      <c r="T396">
        <f t="shared" si="978"/>
        <v>0.99178434143595506</v>
      </c>
    </row>
    <row r="397" spans="1:20" x14ac:dyDescent="0.25">
      <c r="A397" s="5">
        <v>44196</v>
      </c>
      <c r="B397">
        <v>2.5840000000000001</v>
      </c>
      <c r="C397">
        <v>2.9350000000000001</v>
      </c>
      <c r="D397">
        <v>2.4460000000000002</v>
      </c>
      <c r="E397">
        <v>2.8679999999999999</v>
      </c>
      <c r="F397">
        <v>11501072.321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0.7259713701431485</v>
      </c>
      <c r="Q397">
        <f t="shared" si="975"/>
        <v>8349449.2309918115</v>
      </c>
      <c r="R397">
        <f t="shared" si="976"/>
        <v>82527906.425751463</v>
      </c>
      <c r="S397">
        <f t="shared" si="977"/>
        <v>825.27906425751462</v>
      </c>
      <c r="T397">
        <f t="shared" si="978"/>
        <v>0.82527906425751463</v>
      </c>
    </row>
    <row r="398" spans="1:20" x14ac:dyDescent="0.25">
      <c r="A398" s="5">
        <v>44195</v>
      </c>
      <c r="B398">
        <v>2.5059999999999998</v>
      </c>
      <c r="C398">
        <v>2.7429999999999999</v>
      </c>
      <c r="D398">
        <v>2.391</v>
      </c>
      <c r="E398">
        <v>2.5830000000000002</v>
      </c>
      <c r="F398">
        <v>10388951.267000001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9.0909090909092286E-2</v>
      </c>
      <c r="Q398">
        <f t="shared" si="975"/>
        <v>944450.11518183257</v>
      </c>
      <c r="R398">
        <f t="shared" si="976"/>
        <v>74178457.194759652</v>
      </c>
      <c r="S398">
        <f t="shared" si="977"/>
        <v>741.78457194759653</v>
      </c>
      <c r="T398">
        <f t="shared" si="978"/>
        <v>0.7417845719475965</v>
      </c>
    </row>
    <row r="399" spans="1:20" x14ac:dyDescent="0.25">
      <c r="A399" s="5">
        <v>44194</v>
      </c>
      <c r="B399">
        <v>2.62</v>
      </c>
      <c r="C399">
        <v>2.6739999999999999</v>
      </c>
      <c r="D399">
        <v>2.3679999999999999</v>
      </c>
      <c r="E399">
        <v>2.508</v>
      </c>
      <c r="F399">
        <v>11277144.464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-8.4967320261437246E-2</v>
      </c>
      <c r="Q399">
        <f t="shared" si="975"/>
        <v>-958188.74530718208</v>
      </c>
      <c r="R399">
        <f t="shared" si="976"/>
        <v>73234007.079577819</v>
      </c>
      <c r="S399">
        <f t="shared" si="977"/>
        <v>732.34007079577816</v>
      </c>
      <c r="T399">
        <f t="shared" si="978"/>
        <v>0.73234007079577812</v>
      </c>
    </row>
    <row r="400" spans="1:20" x14ac:dyDescent="0.25">
      <c r="A400" s="5">
        <v>44193</v>
      </c>
      <c r="B400">
        <v>2.6240000000000001</v>
      </c>
      <c r="C400">
        <v>2.9</v>
      </c>
      <c r="D400">
        <v>2.5510000000000002</v>
      </c>
      <c r="E400">
        <v>2.62</v>
      </c>
      <c r="F400">
        <v>14527922.692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-0.60458452722063039</v>
      </c>
      <c r="Q400">
        <f t="shared" si="975"/>
        <v>-8783357.2722406872</v>
      </c>
      <c r="R400">
        <f t="shared" si="976"/>
        <v>74192195.824884996</v>
      </c>
      <c r="S400">
        <f t="shared" si="977"/>
        <v>741.92195824884993</v>
      </c>
      <c r="T400">
        <f t="shared" si="978"/>
        <v>0.74192195824884988</v>
      </c>
    </row>
    <row r="401" spans="1:20" x14ac:dyDescent="0.25">
      <c r="A401" s="5">
        <v>44192</v>
      </c>
      <c r="B401">
        <v>2.391</v>
      </c>
      <c r="C401">
        <v>2.7290000000000001</v>
      </c>
      <c r="D401">
        <v>2.2999999999999998</v>
      </c>
      <c r="E401">
        <v>2.629</v>
      </c>
      <c r="F401">
        <v>16391775.861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0.53379953379953371</v>
      </c>
      <c r="Q401">
        <f t="shared" si="975"/>
        <v>8749922.3127482496</v>
      </c>
      <c r="R401">
        <f t="shared" si="976"/>
        <v>82975553.097125679</v>
      </c>
      <c r="S401">
        <f t="shared" si="977"/>
        <v>829.7555309712568</v>
      </c>
      <c r="T401">
        <f t="shared" si="978"/>
        <v>0.82975553097125676</v>
      </c>
    </row>
    <row r="402" spans="1:20" x14ac:dyDescent="0.25">
      <c r="A402" s="5">
        <v>44191</v>
      </c>
      <c r="B402">
        <v>2.5289999999999999</v>
      </c>
      <c r="C402">
        <v>2.5379999999999998</v>
      </c>
      <c r="D402">
        <v>2.3079999999999998</v>
      </c>
      <c r="E402">
        <v>2.3919999999999999</v>
      </c>
      <c r="F402">
        <v>9459047.4700000007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-0.26956521739130362</v>
      </c>
      <c r="Q402">
        <f t="shared" si="975"/>
        <v>-2549830.1875652107</v>
      </c>
      <c r="R402">
        <f t="shared" si="976"/>
        <v>74225630.784377426</v>
      </c>
      <c r="S402">
        <f t="shared" si="977"/>
        <v>742.25630784377427</v>
      </c>
      <c r="T402">
        <f t="shared" si="978"/>
        <v>0.74225630784377428</v>
      </c>
    </row>
    <row r="403" spans="1:20" x14ac:dyDescent="0.25">
      <c r="A403" s="5">
        <v>44190</v>
      </c>
      <c r="B403">
        <v>2.59</v>
      </c>
      <c r="C403">
        <v>2.6880000000000002</v>
      </c>
      <c r="D403">
        <v>2.3690000000000002</v>
      </c>
      <c r="E403">
        <v>2.5289999999999999</v>
      </c>
      <c r="F403">
        <v>10552724.981000001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3.1347962382427771E-3</v>
      </c>
      <c r="Q403">
        <f t="shared" si="975"/>
        <v>33080.642573649384</v>
      </c>
      <c r="R403">
        <f t="shared" si="976"/>
        <v>76775460.971942633</v>
      </c>
      <c r="S403">
        <f t="shared" si="977"/>
        <v>767.7546097194263</v>
      </c>
      <c r="T403">
        <f t="shared" si="978"/>
        <v>0.76775460971942633</v>
      </c>
    </row>
    <row r="404" spans="1:20" x14ac:dyDescent="0.25">
      <c r="A404" s="5">
        <v>44189</v>
      </c>
      <c r="B404">
        <v>2.2210000000000001</v>
      </c>
      <c r="C404">
        <v>2.61</v>
      </c>
      <c r="D404">
        <v>1.9410000000000001</v>
      </c>
      <c r="E404">
        <v>2.5859999999999999</v>
      </c>
      <c r="F404">
        <v>21434837.07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0.92825112107623309</v>
      </c>
      <c r="Q404">
        <f t="shared" si="975"/>
        <v>19896911.5403139</v>
      </c>
      <c r="R404">
        <f t="shared" si="976"/>
        <v>76742380.329368979</v>
      </c>
      <c r="S404">
        <f t="shared" si="977"/>
        <v>767.42380329368984</v>
      </c>
      <c r="T404">
        <f t="shared" si="978"/>
        <v>0.76742380329368987</v>
      </c>
    </row>
    <row r="405" spans="1:20" x14ac:dyDescent="0.25">
      <c r="A405" s="5">
        <v>44188</v>
      </c>
      <c r="B405">
        <v>2.7160000000000002</v>
      </c>
      <c r="C405">
        <v>2.762</v>
      </c>
      <c r="D405">
        <v>1.1000000000000001</v>
      </c>
      <c r="E405">
        <v>2.218</v>
      </c>
      <c r="F405">
        <v>24663079.359999999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0.34536702767749694</v>
      </c>
      <c r="Q405">
        <f t="shared" si="975"/>
        <v>8517814.4119374231</v>
      </c>
      <c r="R405">
        <f t="shared" si="976"/>
        <v>56845468.789055087</v>
      </c>
      <c r="S405">
        <f t="shared" si="977"/>
        <v>568.45468789055087</v>
      </c>
      <c r="T405">
        <f t="shared" si="978"/>
        <v>0.56845468789055087</v>
      </c>
    </row>
    <row r="406" spans="1:20" x14ac:dyDescent="0.25">
      <c r="A406" s="5">
        <v>44187</v>
      </c>
      <c r="B406">
        <v>2.5059999999999998</v>
      </c>
      <c r="C406">
        <v>2.7589999999999999</v>
      </c>
      <c r="D406">
        <v>2.294</v>
      </c>
      <c r="E406">
        <v>2.718</v>
      </c>
      <c r="F406">
        <v>14924562.898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0.82365591397849491</v>
      </c>
      <c r="Q406">
        <f t="shared" si="975"/>
        <v>12292704.494481726</v>
      </c>
      <c r="R406">
        <f t="shared" si="976"/>
        <v>48327654.377117664</v>
      </c>
      <c r="S406">
        <f t="shared" si="977"/>
        <v>483.27654377117665</v>
      </c>
      <c r="T406">
        <f t="shared" si="978"/>
        <v>0.48327654377117663</v>
      </c>
    </row>
    <row r="407" spans="1:20" x14ac:dyDescent="0.25">
      <c r="A407" s="5">
        <v>44186</v>
      </c>
      <c r="B407">
        <v>2.7</v>
      </c>
      <c r="C407">
        <v>2.7839999999999998</v>
      </c>
      <c r="D407">
        <v>2.4319999999999999</v>
      </c>
      <c r="E407">
        <v>2.508</v>
      </c>
      <c r="F407">
        <v>11072507.412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-0.56818181818181768</v>
      </c>
      <c r="Q407">
        <f t="shared" si="975"/>
        <v>-6291197.3931818129</v>
      </c>
      <c r="R407">
        <f t="shared" si="976"/>
        <v>36034949.882635936</v>
      </c>
      <c r="S407">
        <f t="shared" si="977"/>
        <v>360.34949882635937</v>
      </c>
      <c r="T407">
        <f t="shared" si="978"/>
        <v>0.36034949882635936</v>
      </c>
    </row>
    <row r="408" spans="1:20" x14ac:dyDescent="0.25">
      <c r="A408" s="5">
        <v>44185</v>
      </c>
      <c r="B408">
        <v>2.8650000000000002</v>
      </c>
      <c r="C408">
        <v>2.9420000000000002</v>
      </c>
      <c r="D408">
        <v>2.6309999999999998</v>
      </c>
      <c r="E408">
        <v>2.7029999999999998</v>
      </c>
      <c r="F408">
        <v>9010016.1879999992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-0.53697749196141498</v>
      </c>
      <c r="Q408">
        <f t="shared" si="975"/>
        <v>-4838175.8951639887</v>
      </c>
      <c r="R408">
        <f t="shared" si="976"/>
        <v>42326147.275817752</v>
      </c>
      <c r="S408">
        <f t="shared" si="977"/>
        <v>423.26147275817755</v>
      </c>
      <c r="T408">
        <f t="shared" si="978"/>
        <v>0.42326147275817755</v>
      </c>
    </row>
    <row r="409" spans="1:20" x14ac:dyDescent="0.25">
      <c r="A409" s="5">
        <v>44184</v>
      </c>
      <c r="B409">
        <v>2.8250000000000002</v>
      </c>
      <c r="C409">
        <v>3.0840000000000001</v>
      </c>
      <c r="D409">
        <v>2.7080000000000002</v>
      </c>
      <c r="E409">
        <v>2.8650000000000002</v>
      </c>
      <c r="F409">
        <v>13063075.060000001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-0.1648936170212762</v>
      </c>
      <c r="Q409">
        <f t="shared" si="975"/>
        <v>-2154017.6960638245</v>
      </c>
      <c r="R409">
        <f t="shared" si="976"/>
        <v>47164323.170981742</v>
      </c>
      <c r="S409">
        <f t="shared" si="977"/>
        <v>471.64323170981743</v>
      </c>
      <c r="T409">
        <f t="shared" si="978"/>
        <v>0.47164323170981742</v>
      </c>
    </row>
    <row r="410" spans="1:20" x14ac:dyDescent="0.25">
      <c r="A410" s="5">
        <v>44183</v>
      </c>
      <c r="B410">
        <v>2.68</v>
      </c>
      <c r="C410">
        <v>2.8660000000000001</v>
      </c>
      <c r="D410">
        <v>2.581</v>
      </c>
      <c r="E410">
        <v>2.8239999999999998</v>
      </c>
      <c r="F410">
        <v>8617869.6520000007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0.70526315789473515</v>
      </c>
      <c r="Q410">
        <f t="shared" si="975"/>
        <v>6077865.9650947228</v>
      </c>
      <c r="R410">
        <f t="shared" si="976"/>
        <v>49318340.867045566</v>
      </c>
      <c r="S410">
        <f t="shared" si="977"/>
        <v>493.18340867045566</v>
      </c>
      <c r="T410">
        <f t="shared" si="978"/>
        <v>0.49318340867045568</v>
      </c>
    </row>
    <row r="411" spans="1:20" x14ac:dyDescent="0.25">
      <c r="A411" s="5">
        <v>44182</v>
      </c>
      <c r="B411">
        <v>2.8450000000000002</v>
      </c>
      <c r="C411">
        <v>2.968</v>
      </c>
      <c r="D411">
        <v>2.617</v>
      </c>
      <c r="E411">
        <v>2.6829999999999998</v>
      </c>
      <c r="F411">
        <v>13595503.999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-0.62393162393162482</v>
      </c>
      <c r="Q411">
        <f t="shared" si="975"/>
        <v>-8482664.888264969</v>
      </c>
      <c r="R411">
        <f t="shared" si="976"/>
        <v>43240474.901950844</v>
      </c>
      <c r="S411">
        <f t="shared" si="977"/>
        <v>432.40474901950842</v>
      </c>
      <c r="T411">
        <f t="shared" si="978"/>
        <v>0.43240474901950843</v>
      </c>
    </row>
    <row r="412" spans="1:20" x14ac:dyDescent="0.25">
      <c r="A412" s="5">
        <v>44181</v>
      </c>
      <c r="B412">
        <v>2.7170000000000001</v>
      </c>
      <c r="C412">
        <v>2.95</v>
      </c>
      <c r="D412">
        <v>2.5329999999999999</v>
      </c>
      <c r="E412">
        <v>2.847</v>
      </c>
      <c r="F412">
        <v>19869197.881000001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0.50599520383692975</v>
      </c>
      <c r="Q412">
        <f t="shared" si="975"/>
        <v>10053718.831872888</v>
      </c>
      <c r="R412">
        <f t="shared" si="976"/>
        <v>51723139.790215813</v>
      </c>
      <c r="S412">
        <f t="shared" si="977"/>
        <v>517.23139790215816</v>
      </c>
      <c r="T412">
        <f t="shared" si="978"/>
        <v>0.51723139790215822</v>
      </c>
    </row>
    <row r="413" spans="1:20" x14ac:dyDescent="0.25">
      <c r="A413" s="5">
        <v>44180</v>
      </c>
      <c r="B413">
        <v>2.5659999999999998</v>
      </c>
      <c r="C413">
        <v>2.8039999999999998</v>
      </c>
      <c r="D413">
        <v>2.5179999999999998</v>
      </c>
      <c r="E413">
        <v>2.7149999999999999</v>
      </c>
      <c r="F413">
        <v>18383486.894000001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0.37762237762237794</v>
      </c>
      <c r="Q413">
        <f t="shared" si="975"/>
        <v>6942016.0299021043</v>
      </c>
      <c r="R413">
        <f t="shared" si="976"/>
        <v>41669420.958342925</v>
      </c>
      <c r="S413">
        <f t="shared" si="977"/>
        <v>416.69420958342926</v>
      </c>
      <c r="T413">
        <f t="shared" si="978"/>
        <v>0.41669420958342923</v>
      </c>
    </row>
    <row r="414" spans="1:20" x14ac:dyDescent="0.25">
      <c r="A414" s="5">
        <v>44179</v>
      </c>
      <c r="B414">
        <v>2.391</v>
      </c>
      <c r="C414">
        <v>2.5990000000000002</v>
      </c>
      <c r="D414">
        <v>2.2480000000000002</v>
      </c>
      <c r="E414">
        <v>2.5640000000000001</v>
      </c>
      <c r="F414">
        <v>13842747.280999999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0.80056980056979976</v>
      </c>
      <c r="Q414">
        <f t="shared" si="975"/>
        <v>11082085.430088308</v>
      </c>
      <c r="R414">
        <f t="shared" si="976"/>
        <v>34727404.928440824</v>
      </c>
      <c r="S414">
        <f t="shared" si="977"/>
        <v>347.27404928440825</v>
      </c>
      <c r="T414">
        <f t="shared" si="978"/>
        <v>0.34727404928440825</v>
      </c>
    </row>
    <row r="415" spans="1:20" x14ac:dyDescent="0.25">
      <c r="A415" s="5">
        <v>44178</v>
      </c>
      <c r="B415">
        <v>2.1539999999999999</v>
      </c>
      <c r="C415">
        <v>2.431</v>
      </c>
      <c r="D415">
        <v>2.1440000000000001</v>
      </c>
      <c r="E415">
        <v>2.391</v>
      </c>
      <c r="F415">
        <v>13209827.009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0.72125435540069649</v>
      </c>
      <c r="Q415">
        <f t="shared" si="975"/>
        <v>9527645.2643310055</v>
      </c>
      <c r="R415">
        <f t="shared" si="976"/>
        <v>23645319.49835252</v>
      </c>
      <c r="S415">
        <f t="shared" si="977"/>
        <v>236.45319498352521</v>
      </c>
      <c r="T415">
        <f t="shared" si="978"/>
        <v>0.23645319498352521</v>
      </c>
    </row>
    <row r="416" spans="1:20" x14ac:dyDescent="0.25">
      <c r="A416" s="5">
        <v>44177</v>
      </c>
      <c r="B416">
        <v>1.931</v>
      </c>
      <c r="C416">
        <v>2.2149999999999999</v>
      </c>
      <c r="D416">
        <v>1.915</v>
      </c>
      <c r="E416">
        <v>2.1520000000000001</v>
      </c>
      <c r="F416">
        <v>10360531.290999999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0.58000000000000163</v>
      </c>
      <c r="Q416">
        <f t="shared" si="975"/>
        <v>6009108.1487800162</v>
      </c>
      <c r="R416">
        <f t="shared" si="976"/>
        <v>14117674.234021515</v>
      </c>
      <c r="S416">
        <f t="shared" si="977"/>
        <v>141.17674234021516</v>
      </c>
      <c r="T416">
        <f t="shared" si="978"/>
        <v>0.14117674234021516</v>
      </c>
    </row>
    <row r="417" spans="1:20" x14ac:dyDescent="0.25">
      <c r="A417" s="5">
        <v>44176</v>
      </c>
      <c r="B417">
        <v>2.16</v>
      </c>
      <c r="C417">
        <v>2.169</v>
      </c>
      <c r="D417">
        <v>1.889</v>
      </c>
      <c r="E417">
        <v>1.931</v>
      </c>
      <c r="F417">
        <v>13218634.842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-0.69999999999999973</v>
      </c>
      <c r="Q417">
        <f t="shared" si="975"/>
        <v>-9253044.389399996</v>
      </c>
      <c r="R417">
        <f t="shared" si="976"/>
        <v>8108566.0852414984</v>
      </c>
      <c r="S417">
        <f t="shared" si="977"/>
        <v>81.085660852414989</v>
      </c>
      <c r="T417">
        <f t="shared" si="978"/>
        <v>8.108566085241499E-2</v>
      </c>
    </row>
    <row r="418" spans="1:20" x14ac:dyDescent="0.25">
      <c r="A418" s="5">
        <v>44175</v>
      </c>
      <c r="B418">
        <v>2.2170000000000001</v>
      </c>
      <c r="C418">
        <v>2.2360000000000002</v>
      </c>
      <c r="D418">
        <v>2.09</v>
      </c>
      <c r="E418">
        <v>2.1539999999999999</v>
      </c>
      <c r="F418">
        <v>10552606.591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-0.12328767123287805</v>
      </c>
      <c r="Q418">
        <f t="shared" si="975"/>
        <v>-1301006.2920411101</v>
      </c>
      <c r="R418">
        <f t="shared" si="976"/>
        <v>17361610.474641494</v>
      </c>
      <c r="S418">
        <f t="shared" si="977"/>
        <v>173.61610474641495</v>
      </c>
      <c r="T418">
        <f t="shared" si="978"/>
        <v>0.17361610474641495</v>
      </c>
    </row>
    <row r="419" spans="1:20" x14ac:dyDescent="0.25">
      <c r="A419" s="5">
        <v>44174</v>
      </c>
      <c r="B419">
        <v>2.121</v>
      </c>
      <c r="C419">
        <v>2.3180000000000001</v>
      </c>
      <c r="D419">
        <v>1.9690000000000001</v>
      </c>
      <c r="E419">
        <v>2.2160000000000002</v>
      </c>
      <c r="F419">
        <v>17742571.942000002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0.41547277936962823</v>
      </c>
      <c r="Q419">
        <f t="shared" si="975"/>
        <v>7371555.6779083228</v>
      </c>
      <c r="R419">
        <f t="shared" si="976"/>
        <v>18662616.766682606</v>
      </c>
      <c r="S419">
        <f t="shared" si="977"/>
        <v>186.62616766682606</v>
      </c>
      <c r="T419">
        <f t="shared" si="978"/>
        <v>0.18662616766682608</v>
      </c>
    </row>
    <row r="420" spans="1:20" x14ac:dyDescent="0.25">
      <c r="A420" s="5">
        <v>44173</v>
      </c>
      <c r="B420">
        <v>2.4009999999999998</v>
      </c>
      <c r="C420">
        <v>2.4700000000000002</v>
      </c>
      <c r="D420">
        <v>2.036</v>
      </c>
      <c r="E420">
        <v>2.121</v>
      </c>
      <c r="F420">
        <v>20761693.870999999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-0.6082949308755764</v>
      </c>
      <c r="Q420">
        <f t="shared" si="975"/>
        <v>-12629233.138119822</v>
      </c>
      <c r="R420">
        <f t="shared" si="976"/>
        <v>11291061.088774284</v>
      </c>
      <c r="S420">
        <f t="shared" si="977"/>
        <v>112.91061088774285</v>
      </c>
      <c r="T420">
        <f t="shared" si="978"/>
        <v>0.11291061088774285</v>
      </c>
    </row>
    <row r="421" spans="1:20" x14ac:dyDescent="0.25">
      <c r="A421" s="5">
        <v>44172</v>
      </c>
      <c r="B421">
        <v>2.1869999999999998</v>
      </c>
      <c r="C421">
        <v>2.496</v>
      </c>
      <c r="D421">
        <v>2.1040000000000001</v>
      </c>
      <c r="E421">
        <v>2.403</v>
      </c>
      <c r="F421">
        <v>17459239.158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0.52551020408163274</v>
      </c>
      <c r="Q421">
        <f t="shared" si="975"/>
        <v>9175008.3330306131</v>
      </c>
      <c r="R421">
        <f t="shared" si="976"/>
        <v>23920294.226894107</v>
      </c>
      <c r="S421">
        <f t="shared" si="977"/>
        <v>239.20294226894106</v>
      </c>
      <c r="T421">
        <f t="shared" si="978"/>
        <v>0.23920294226894107</v>
      </c>
    </row>
    <row r="422" spans="1:20" x14ac:dyDescent="0.25">
      <c r="A422" s="5">
        <v>44171</v>
      </c>
      <c r="B422">
        <v>2.3159999999999998</v>
      </c>
      <c r="C422">
        <v>2.331</v>
      </c>
      <c r="D422">
        <v>2.06</v>
      </c>
      <c r="E422">
        <v>2.1850000000000001</v>
      </c>
      <c r="F422">
        <v>12322229.252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-7.7490774907748763E-2</v>
      </c>
      <c r="Q422">
        <f t="shared" si="975"/>
        <v>-954859.09332840948</v>
      </c>
      <c r="R422">
        <f t="shared" si="976"/>
        <v>14745285.893863494</v>
      </c>
      <c r="S422">
        <f t="shared" si="977"/>
        <v>147.45285893863493</v>
      </c>
      <c r="T422">
        <f t="shared" si="978"/>
        <v>0.14745285893863494</v>
      </c>
    </row>
    <row r="423" spans="1:20" x14ac:dyDescent="0.25">
      <c r="A423" s="5">
        <v>44170</v>
      </c>
      <c r="B423">
        <v>1.9019999999999999</v>
      </c>
      <c r="C423">
        <v>2.3319999999999999</v>
      </c>
      <c r="D423">
        <v>1.847</v>
      </c>
      <c r="E423">
        <v>2.3159999999999998</v>
      </c>
      <c r="F423">
        <v>19022904.149999999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0.93402061855670093</v>
      </c>
      <c r="Q423">
        <f t="shared" si="975"/>
        <v>17767784.700927831</v>
      </c>
      <c r="R423">
        <f t="shared" si="976"/>
        <v>15700144.987191902</v>
      </c>
      <c r="S423">
        <f t="shared" si="977"/>
        <v>157.00144987191902</v>
      </c>
      <c r="T423">
        <f t="shared" si="978"/>
        <v>0.15700144987191902</v>
      </c>
    </row>
    <row r="424" spans="1:20" x14ac:dyDescent="0.25">
      <c r="A424" s="5">
        <v>44169</v>
      </c>
      <c r="B424">
        <v>2.1269999999999998</v>
      </c>
      <c r="C424">
        <v>2.1549999999999998</v>
      </c>
      <c r="D424">
        <v>1.82</v>
      </c>
      <c r="E424">
        <v>1.903</v>
      </c>
      <c r="F424">
        <v>16450230.831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-0.50447761194029839</v>
      </c>
      <c r="Q424">
        <f t="shared" si="975"/>
        <v>-8298773.1654895507</v>
      </c>
      <c r="R424">
        <f t="shared" si="976"/>
        <v>-2067639.7137359288</v>
      </c>
      <c r="S424">
        <f t="shared" si="977"/>
        <v>-20.676397137359288</v>
      </c>
      <c r="T424">
        <f t="shared" si="978"/>
        <v>-2.067639713735929E-2</v>
      </c>
    </row>
    <row r="425" spans="1:20" x14ac:dyDescent="0.25">
      <c r="A425" s="5">
        <v>44168</v>
      </c>
      <c r="B425">
        <v>2.1709999999999998</v>
      </c>
      <c r="C425">
        <v>2.2269999999999999</v>
      </c>
      <c r="D425">
        <v>1.9650000000000001</v>
      </c>
      <c r="E425">
        <v>2.1280000000000001</v>
      </c>
      <c r="F425">
        <v>15510831.685000001</v>
      </c>
      <c r="G425">
        <v>0</v>
      </c>
      <c r="L425" t="s">
        <v>7</v>
      </c>
      <c r="M425" t="s">
        <v>7</v>
      </c>
      <c r="N425" t="s">
        <v>8</v>
      </c>
      <c r="P425">
        <f t="shared" si="974"/>
        <v>0.24427480916030661</v>
      </c>
      <c r="Q425">
        <f t="shared" si="975"/>
        <v>3788905.4497710122</v>
      </c>
      <c r="R425">
        <f t="shared" si="976"/>
        <v>6231133.4517536219</v>
      </c>
      <c r="S425">
        <f t="shared" si="977"/>
        <v>62.311334517536217</v>
      </c>
      <c r="T425">
        <f t="shared" si="978"/>
        <v>6.2311334517536218E-2</v>
      </c>
    </row>
    <row r="426" spans="1:20" x14ac:dyDescent="0.25">
      <c r="A426" s="5">
        <v>44167</v>
      </c>
      <c r="B426">
        <v>1.92</v>
      </c>
      <c r="C426">
        <v>2.379</v>
      </c>
      <c r="D426">
        <v>1.865</v>
      </c>
      <c r="E426">
        <v>2.1720000000000002</v>
      </c>
      <c r="F426">
        <v>38824726.574000001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0.19455252918287999</v>
      </c>
      <c r="Q426">
        <f t="shared" si="975"/>
        <v>7553448.7498054719</v>
      </c>
      <c r="R426">
        <f t="shared" si="976"/>
        <v>2442228.0019826097</v>
      </c>
      <c r="S426">
        <f t="shared" si="977"/>
        <v>24.422280019826097</v>
      </c>
      <c r="T426">
        <f t="shared" si="978"/>
        <v>2.4422280019826097E-2</v>
      </c>
    </row>
    <row r="427" spans="1:20" x14ac:dyDescent="0.25">
      <c r="A427" s="5">
        <v>44166</v>
      </c>
      <c r="B427">
        <v>1.5780000000000001</v>
      </c>
      <c r="C427">
        <v>2.0219999999999998</v>
      </c>
      <c r="D427">
        <v>1.5409999999999999</v>
      </c>
      <c r="E427">
        <v>1.921</v>
      </c>
      <c r="F427">
        <v>47194919.737999998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0.58004158004158091</v>
      </c>
      <c r="Q427">
        <f t="shared" si="975"/>
        <v>27375015.814765111</v>
      </c>
      <c r="R427">
        <f t="shared" si="976"/>
        <v>-5111220.7478228621</v>
      </c>
      <c r="S427">
        <f t="shared" si="977"/>
        <v>-51.112207478228619</v>
      </c>
      <c r="T427">
        <f t="shared" si="978"/>
        <v>-5.1112207478228616E-2</v>
      </c>
    </row>
    <row r="428" spans="1:20" x14ac:dyDescent="0.25">
      <c r="A428" s="5">
        <v>44165</v>
      </c>
      <c r="B428">
        <v>1.429</v>
      </c>
      <c r="C428">
        <v>1.5820000000000001</v>
      </c>
      <c r="D428">
        <v>1.411</v>
      </c>
      <c r="E428">
        <v>1.5780000000000001</v>
      </c>
      <c r="F428">
        <v>14099141.225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0.95321637426900585</v>
      </c>
      <c r="Q428">
        <f t="shared" si="975"/>
        <v>13439532.278801169</v>
      </c>
      <c r="R428">
        <f t="shared" si="976"/>
        <v>-32486236.562587973</v>
      </c>
      <c r="S428">
        <f t="shared" si="977"/>
        <v>-324.8623656258797</v>
      </c>
      <c r="T428">
        <f t="shared" si="978"/>
        <v>-0.32486236562587972</v>
      </c>
    </row>
    <row r="429" spans="1:20" x14ac:dyDescent="0.25">
      <c r="A429" s="5">
        <v>44164</v>
      </c>
      <c r="B429">
        <v>1.3620000000000001</v>
      </c>
      <c r="C429">
        <v>1.46</v>
      </c>
      <c r="D429">
        <v>1.323</v>
      </c>
      <c r="E429">
        <v>1.4279999999999999</v>
      </c>
      <c r="F429">
        <v>8460020.9240000006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0.53284671532846672</v>
      </c>
      <c r="Q429">
        <f t="shared" si="975"/>
        <v>4507894.3609635001</v>
      </c>
      <c r="R429">
        <f t="shared" si="976"/>
        <v>-45925768.841389142</v>
      </c>
      <c r="S429">
        <f t="shared" si="977"/>
        <v>-459.2576884138914</v>
      </c>
      <c r="T429">
        <f t="shared" si="978"/>
        <v>-0.45925768841389142</v>
      </c>
    </row>
    <row r="430" spans="1:20" x14ac:dyDescent="0.25">
      <c r="A430" s="5">
        <v>44163</v>
      </c>
      <c r="B430">
        <v>1.452</v>
      </c>
      <c r="C430">
        <v>1.48</v>
      </c>
      <c r="D430">
        <v>1.33</v>
      </c>
      <c r="E430">
        <v>1.363</v>
      </c>
      <c r="F430">
        <v>10034680.790999999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-0.56000000000000083</v>
      </c>
      <c r="Q430">
        <f t="shared" si="975"/>
        <v>-5619421.2429600079</v>
      </c>
      <c r="R430">
        <f t="shared" si="976"/>
        <v>-50433663.202352643</v>
      </c>
      <c r="S430">
        <f t="shared" si="977"/>
        <v>-504.33663202352642</v>
      </c>
      <c r="T430">
        <f t="shared" si="978"/>
        <v>-0.50433663202352641</v>
      </c>
    </row>
    <row r="431" spans="1:20" x14ac:dyDescent="0.25">
      <c r="A431" s="5">
        <v>44162</v>
      </c>
      <c r="B431">
        <v>1.419</v>
      </c>
      <c r="C431">
        <v>1.508</v>
      </c>
      <c r="D431">
        <v>1.3</v>
      </c>
      <c r="E431">
        <v>1.4490000000000001</v>
      </c>
      <c r="F431">
        <v>22862500.831999999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0.43269230769230815</v>
      </c>
      <c r="Q431">
        <f t="shared" si="975"/>
        <v>9892428.2446153946</v>
      </c>
      <c r="R431">
        <f t="shared" si="976"/>
        <v>-44814241.959392637</v>
      </c>
      <c r="S431">
        <f t="shared" si="977"/>
        <v>-448.14241959392638</v>
      </c>
      <c r="T431">
        <f t="shared" si="978"/>
        <v>-0.44814241959392637</v>
      </c>
    </row>
    <row r="432" spans="1:20" x14ac:dyDescent="0.25">
      <c r="A432" s="5">
        <v>44161</v>
      </c>
      <c r="B432">
        <v>1.222</v>
      </c>
      <c r="C432">
        <v>1.4339999999999999</v>
      </c>
      <c r="D432">
        <v>0.92900000000000005</v>
      </c>
      <c r="E432">
        <v>1.417</v>
      </c>
      <c r="F432">
        <v>31132158.364999998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0.93267326732673306</v>
      </c>
      <c r="Q432">
        <f t="shared" si="975"/>
        <v>29036131.861217834</v>
      </c>
      <c r="R432">
        <f t="shared" si="976"/>
        <v>-54706670.204008035</v>
      </c>
      <c r="S432">
        <f t="shared" si="977"/>
        <v>-547.06670204008037</v>
      </c>
      <c r="T432">
        <f t="shared" si="978"/>
        <v>-0.54706670204008034</v>
      </c>
    </row>
    <row r="433" spans="1:20" x14ac:dyDescent="0.25">
      <c r="A433" s="5">
        <v>44160</v>
      </c>
      <c r="B433">
        <v>1.343</v>
      </c>
      <c r="C433">
        <v>1.508</v>
      </c>
      <c r="D433">
        <v>1.1559999999999999</v>
      </c>
      <c r="E433">
        <v>1.222</v>
      </c>
      <c r="F433">
        <v>16534661.619000001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-0.62499999999999978</v>
      </c>
      <c r="Q433">
        <f t="shared" si="975"/>
        <v>-10334163.511874996</v>
      </c>
      <c r="R433">
        <f t="shared" si="976"/>
        <v>-83742802.065225869</v>
      </c>
      <c r="S433">
        <f t="shared" si="977"/>
        <v>-837.42802065225874</v>
      </c>
      <c r="T433">
        <f t="shared" si="978"/>
        <v>-0.83742802065225874</v>
      </c>
    </row>
    <row r="434" spans="1:20" x14ac:dyDescent="0.25">
      <c r="A434" s="5">
        <v>44159</v>
      </c>
      <c r="B434">
        <v>1.526</v>
      </c>
      <c r="C434">
        <v>1.59</v>
      </c>
      <c r="D434">
        <v>1.296</v>
      </c>
      <c r="E434">
        <v>1.34</v>
      </c>
      <c r="F434">
        <v>22095230.734000001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-0.70068027210884332</v>
      </c>
      <c r="Q434">
        <f t="shared" si="975"/>
        <v>-15481692.283006798</v>
      </c>
      <c r="R434">
        <f t="shared" si="976"/>
        <v>-73408638.553350881</v>
      </c>
      <c r="S434">
        <f t="shared" si="977"/>
        <v>-734.08638553350886</v>
      </c>
      <c r="T434">
        <f t="shared" si="978"/>
        <v>-0.73408638553350891</v>
      </c>
    </row>
    <row r="435" spans="1:20" x14ac:dyDescent="0.25">
      <c r="A435" s="5">
        <v>44158</v>
      </c>
      <c r="B435">
        <v>1.621</v>
      </c>
      <c r="C435">
        <v>1.68</v>
      </c>
      <c r="D435">
        <v>1.43</v>
      </c>
      <c r="E435">
        <v>1.526</v>
      </c>
      <c r="F435">
        <v>15975786.389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-0.23199999999999932</v>
      </c>
      <c r="Q435">
        <f t="shared" si="975"/>
        <v>-3706382.4422479891</v>
      </c>
      <c r="R435">
        <f t="shared" si="976"/>
        <v>-57926946.270344079</v>
      </c>
      <c r="S435">
        <f t="shared" si="977"/>
        <v>-579.26946270344081</v>
      </c>
      <c r="T435">
        <f t="shared" si="978"/>
        <v>-0.57926946270344082</v>
      </c>
    </row>
    <row r="436" spans="1:20" x14ac:dyDescent="0.25">
      <c r="A436" s="5">
        <v>44157</v>
      </c>
      <c r="B436">
        <v>1.657</v>
      </c>
      <c r="C436">
        <v>1.7490000000000001</v>
      </c>
      <c r="D436">
        <v>1.3879999999999999</v>
      </c>
      <c r="E436">
        <v>1.6220000000000001</v>
      </c>
      <c r="F436">
        <v>14874984.697000001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0.29639889196675939</v>
      </c>
      <c r="Q436">
        <f t="shared" si="975"/>
        <v>4408928.9822133025</v>
      </c>
      <c r="R436">
        <f t="shared" si="976"/>
        <v>-54220563.828096092</v>
      </c>
      <c r="S436">
        <f t="shared" si="977"/>
        <v>-542.2056382809609</v>
      </c>
      <c r="T436">
        <f t="shared" si="978"/>
        <v>-0.54220563828096091</v>
      </c>
    </row>
    <row r="437" spans="1:20" x14ac:dyDescent="0.25">
      <c r="A437" s="5">
        <v>44156</v>
      </c>
      <c r="B437">
        <v>1.579</v>
      </c>
      <c r="C437">
        <v>1.7370000000000001</v>
      </c>
      <c r="D437">
        <v>1.49</v>
      </c>
      <c r="E437">
        <v>1.657</v>
      </c>
      <c r="F437">
        <v>14527630.594000001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0.352226720647773</v>
      </c>
      <c r="Q437">
        <f t="shared" si="975"/>
        <v>5117019.6829068782</v>
      </c>
      <c r="R437">
        <f t="shared" si="976"/>
        <v>-58629492.810309395</v>
      </c>
      <c r="S437">
        <f t="shared" si="977"/>
        <v>-586.29492810309398</v>
      </c>
      <c r="T437">
        <f t="shared" si="978"/>
        <v>-0.58629492810309403</v>
      </c>
    </row>
    <row r="438" spans="1:20" x14ac:dyDescent="0.25">
      <c r="A438" s="5">
        <v>44155</v>
      </c>
      <c r="B438">
        <v>1.5720000000000001</v>
      </c>
      <c r="C438">
        <v>1.7969999999999999</v>
      </c>
      <c r="D438">
        <v>1.488</v>
      </c>
      <c r="E438">
        <v>1.577</v>
      </c>
      <c r="F438">
        <v>24290731.986000001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-0.42394822006472499</v>
      </c>
      <c r="Q438">
        <f t="shared" si="975"/>
        <v>-10298012.589533983</v>
      </c>
      <c r="R438">
        <f t="shared" si="976"/>
        <v>-63746512.493216276</v>
      </c>
      <c r="S438">
        <f t="shared" si="977"/>
        <v>-637.46512493216278</v>
      </c>
      <c r="T438">
        <f t="shared" si="978"/>
        <v>-0.63746512493216279</v>
      </c>
    </row>
    <row r="439" spans="1:20" x14ac:dyDescent="0.25">
      <c r="A439" s="5">
        <v>44154</v>
      </c>
      <c r="B439">
        <v>1.145</v>
      </c>
      <c r="C439">
        <v>1.6859999999999999</v>
      </c>
      <c r="D439">
        <v>1.1160000000000001</v>
      </c>
      <c r="E439">
        <v>1.5740000000000001</v>
      </c>
      <c r="F439">
        <v>38911057.479999997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0.60701754385964946</v>
      </c>
      <c r="Q439">
        <f t="shared" si="975"/>
        <v>23619694.540491238</v>
      </c>
      <c r="R439">
        <f t="shared" si="976"/>
        <v>-53448499.903682292</v>
      </c>
      <c r="S439">
        <f t="shared" si="977"/>
        <v>-534.48499903682296</v>
      </c>
      <c r="T439">
        <f t="shared" si="978"/>
        <v>-0.53448499903682301</v>
      </c>
    </row>
    <row r="440" spans="1:20" x14ac:dyDescent="0.25">
      <c r="A440" s="5">
        <v>44153</v>
      </c>
      <c r="B440">
        <v>1.3340000000000001</v>
      </c>
      <c r="C440">
        <v>1.3560000000000001</v>
      </c>
      <c r="D440">
        <v>1.0629999999999999</v>
      </c>
      <c r="E440">
        <v>1.145</v>
      </c>
      <c r="F440">
        <v>17163544.592999998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-0.44027303754266189</v>
      </c>
      <c r="Q440">
        <f t="shared" si="975"/>
        <v>-7556645.9129590401</v>
      </c>
      <c r="R440">
        <f t="shared" si="976"/>
        <v>-77068194.44417353</v>
      </c>
      <c r="S440">
        <f t="shared" si="977"/>
        <v>-770.68194444173525</v>
      </c>
      <c r="T440">
        <f t="shared" si="978"/>
        <v>-0.77068194444173521</v>
      </c>
    </row>
    <row r="441" spans="1:20" x14ac:dyDescent="0.25">
      <c r="A441" s="5">
        <v>44152</v>
      </c>
      <c r="B441">
        <v>1.323</v>
      </c>
      <c r="C441">
        <v>1.45</v>
      </c>
      <c r="D441">
        <v>1.2210000000000001</v>
      </c>
      <c r="E441">
        <v>1.333</v>
      </c>
      <c r="F441">
        <v>20534590.041000001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-2.1834061135371695E-2</v>
      </c>
      <c r="Q441">
        <f t="shared" si="975"/>
        <v>-448353.49434498878</v>
      </c>
      <c r="R441">
        <f t="shared" si="976"/>
        <v>-69511548.531214491</v>
      </c>
      <c r="S441">
        <f t="shared" si="977"/>
        <v>-695.11548531214487</v>
      </c>
      <c r="T441">
        <f t="shared" si="978"/>
        <v>-0.69511548531214484</v>
      </c>
    </row>
    <row r="442" spans="1:20" x14ac:dyDescent="0.25">
      <c r="A442" s="5">
        <v>44151</v>
      </c>
      <c r="B442">
        <v>1.2549999999999999</v>
      </c>
      <c r="C442">
        <v>1.49</v>
      </c>
      <c r="D442">
        <v>1.135</v>
      </c>
      <c r="E442">
        <v>1.325</v>
      </c>
      <c r="F442">
        <v>31920302.544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7.0422535211267359E-2</v>
      </c>
      <c r="Q442">
        <f t="shared" si="975"/>
        <v>2247908.6298591471</v>
      </c>
      <c r="R442">
        <f t="shared" si="976"/>
        <v>-69063195.036869496</v>
      </c>
      <c r="S442">
        <f t="shared" si="977"/>
        <v>-690.63195036869502</v>
      </c>
      <c r="T442">
        <f t="shared" si="978"/>
        <v>-0.69063195036869507</v>
      </c>
    </row>
    <row r="443" spans="1:20" x14ac:dyDescent="0.25">
      <c r="A443" s="5">
        <v>44150</v>
      </c>
      <c r="B443">
        <v>1.05</v>
      </c>
      <c r="C443">
        <v>1.45</v>
      </c>
      <c r="D443">
        <v>1.048</v>
      </c>
      <c r="E443">
        <v>1.2549999999999999</v>
      </c>
      <c r="F443">
        <v>37338614.696999997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2.9850746268656195E-2</v>
      </c>
      <c r="Q443">
        <f t="shared" si="975"/>
        <v>1114585.5133432641</v>
      </c>
      <c r="R443">
        <f t="shared" si="976"/>
        <v>-71311103.666728646</v>
      </c>
      <c r="S443">
        <f t="shared" si="977"/>
        <v>-713.1110366672865</v>
      </c>
      <c r="T443">
        <f t="shared" si="978"/>
        <v>-0.71311103666728648</v>
      </c>
    </row>
    <row r="444" spans="1:20" x14ac:dyDescent="0.25">
      <c r="A444" s="5">
        <v>44149</v>
      </c>
      <c r="B444">
        <v>0.96199999999999997</v>
      </c>
      <c r="C444">
        <v>1.107</v>
      </c>
      <c r="D444">
        <v>0.85</v>
      </c>
      <c r="E444">
        <v>1.048</v>
      </c>
      <c r="F444">
        <v>27171746.045000002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0.54085603112840519</v>
      </c>
      <c r="Q444">
        <f t="shared" si="975"/>
        <v>14696002.724727642</v>
      </c>
      <c r="R444">
        <f t="shared" si="976"/>
        <v>-72425689.180071905</v>
      </c>
      <c r="S444">
        <f t="shared" si="977"/>
        <v>-724.25689180071902</v>
      </c>
      <c r="T444">
        <f t="shared" si="978"/>
        <v>-0.72425689180071906</v>
      </c>
    </row>
    <row r="445" spans="1:20" x14ac:dyDescent="0.25">
      <c r="A445" s="5">
        <v>44148</v>
      </c>
      <c r="B445">
        <v>0.69099999999999995</v>
      </c>
      <c r="C445">
        <v>0.99</v>
      </c>
      <c r="D445">
        <v>0.68700000000000006</v>
      </c>
      <c r="E445">
        <v>0.96399999999999997</v>
      </c>
      <c r="F445">
        <v>22876705.710000001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0.82838283828382819</v>
      </c>
      <c r="Q445">
        <f t="shared" si="975"/>
        <v>18950670.40663366</v>
      </c>
      <c r="R445">
        <f t="shared" si="976"/>
        <v>-87121691.904799551</v>
      </c>
      <c r="S445">
        <f t="shared" si="977"/>
        <v>-871.21691904799548</v>
      </c>
      <c r="T445">
        <f t="shared" si="978"/>
        <v>-0.87121691904799548</v>
      </c>
    </row>
    <row r="446" spans="1:20" x14ac:dyDescent="0.25">
      <c r="A446" s="5">
        <v>44147</v>
      </c>
      <c r="B446">
        <v>0.68100000000000005</v>
      </c>
      <c r="C446">
        <v>0.72699999999999998</v>
      </c>
      <c r="D446">
        <v>0.64300000000000002</v>
      </c>
      <c r="E446">
        <v>0.69199999999999995</v>
      </c>
      <c r="F446">
        <v>10124605.079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0.16666666666666557</v>
      </c>
      <c r="Q446">
        <f t="shared" si="975"/>
        <v>1687434.1798333223</v>
      </c>
      <c r="R446">
        <f t="shared" si="976"/>
        <v>-106072362.31143321</v>
      </c>
      <c r="S446">
        <f t="shared" si="977"/>
        <v>-1060.7236231143322</v>
      </c>
      <c r="T446">
        <f t="shared" si="978"/>
        <v>-1.0607236231143322</v>
      </c>
    </row>
    <row r="447" spans="1:20" x14ac:dyDescent="0.25">
      <c r="A447" s="5">
        <v>44146</v>
      </c>
      <c r="B447">
        <v>0.67300000000000004</v>
      </c>
      <c r="C447">
        <v>0.76400000000000001</v>
      </c>
      <c r="D447">
        <v>0.67</v>
      </c>
      <c r="E447">
        <v>0.68100000000000005</v>
      </c>
      <c r="F447">
        <v>12146953.708000001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-0.76595744680851041</v>
      </c>
      <c r="Q447">
        <f t="shared" si="975"/>
        <v>-9304049.648680849</v>
      </c>
      <c r="R447">
        <f t="shared" si="976"/>
        <v>-107759796.49126653</v>
      </c>
      <c r="S447">
        <f t="shared" si="977"/>
        <v>-1077.5979649126652</v>
      </c>
      <c r="T447">
        <f t="shared" si="978"/>
        <v>-1.0775979649126652</v>
      </c>
    </row>
    <row r="448" spans="1:20" x14ac:dyDescent="0.25">
      <c r="A448" s="5">
        <v>44145</v>
      </c>
      <c r="B448">
        <v>0.60299999999999998</v>
      </c>
      <c r="C448">
        <v>0.69299999999999995</v>
      </c>
      <c r="D448">
        <v>0.58499999999999996</v>
      </c>
      <c r="E448">
        <v>0.67300000000000004</v>
      </c>
      <c r="F448">
        <v>7419407.6780000003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0.62962962962963132</v>
      </c>
      <c r="Q448">
        <f t="shared" si="975"/>
        <v>4671478.9083703831</v>
      </c>
      <c r="R448">
        <f t="shared" si="976"/>
        <v>-98455746.842585683</v>
      </c>
      <c r="S448">
        <f t="shared" si="977"/>
        <v>-984.55746842585688</v>
      </c>
      <c r="T448">
        <f t="shared" si="978"/>
        <v>-0.9845574684258569</v>
      </c>
    </row>
    <row r="449" spans="1:20" x14ac:dyDescent="0.25">
      <c r="A449" s="5">
        <v>44144</v>
      </c>
      <c r="B449">
        <v>0.64100000000000001</v>
      </c>
      <c r="C449">
        <v>0.65800000000000003</v>
      </c>
      <c r="D449">
        <v>0.58199999999999996</v>
      </c>
      <c r="E449">
        <v>0.60299999999999998</v>
      </c>
      <c r="F449">
        <v>6238511.8159999996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-0.44736842105263158</v>
      </c>
      <c r="Q449">
        <f t="shared" si="975"/>
        <v>-2790913.1808421053</v>
      </c>
      <c r="R449">
        <f t="shared" si="976"/>
        <v>-103127225.75095606</v>
      </c>
      <c r="S449">
        <f t="shared" si="977"/>
        <v>-1031.2722575095606</v>
      </c>
      <c r="T449">
        <f t="shared" si="978"/>
        <v>-1.0312722575095605</v>
      </c>
    </row>
    <row r="450" spans="1:20" x14ac:dyDescent="0.25">
      <c r="A450" s="5">
        <v>44143</v>
      </c>
      <c r="B450">
        <v>0.60399999999999998</v>
      </c>
      <c r="C450">
        <v>0.66200000000000003</v>
      </c>
      <c r="D450">
        <v>0.58899999999999997</v>
      </c>
      <c r="E450">
        <v>0.64200000000000002</v>
      </c>
      <c r="F450">
        <v>5379218.9239999996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0.45205479452054792</v>
      </c>
      <c r="Q450">
        <f t="shared" si="975"/>
        <v>2431701.7053698627</v>
      </c>
      <c r="R450">
        <f t="shared" si="976"/>
        <v>-100336312.57011396</v>
      </c>
      <c r="S450">
        <f t="shared" si="977"/>
        <v>-1003.3631257011396</v>
      </c>
      <c r="T450">
        <f t="shared" si="978"/>
        <v>-1.0033631257011395</v>
      </c>
    </row>
    <row r="451" spans="1:20" x14ac:dyDescent="0.25">
      <c r="A451" s="5">
        <v>44142</v>
      </c>
      <c r="B451">
        <v>0.61699999999999999</v>
      </c>
      <c r="C451">
        <v>0.71</v>
      </c>
      <c r="D451">
        <v>0.57699999999999996</v>
      </c>
      <c r="E451">
        <v>0.60399999999999998</v>
      </c>
      <c r="F451">
        <v>16795837.447000001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-0.59398496240601473</v>
      </c>
      <c r="Q451">
        <f t="shared" si="975"/>
        <v>-9976474.8745338302</v>
      </c>
      <c r="R451">
        <f t="shared" si="976"/>
        <v>-102768014.27548382</v>
      </c>
      <c r="S451">
        <f t="shared" si="977"/>
        <v>-1027.6801427548382</v>
      </c>
      <c r="T451">
        <f t="shared" si="978"/>
        <v>-1.0276801427548383</v>
      </c>
    </row>
    <row r="452" spans="1:20" x14ac:dyDescent="0.25">
      <c r="A452" s="5">
        <v>44141</v>
      </c>
      <c r="B452">
        <v>0.51500000000000001</v>
      </c>
      <c r="C452">
        <v>0.63800000000000001</v>
      </c>
      <c r="D452">
        <v>0.51400000000000001</v>
      </c>
      <c r="E452">
        <v>0.61699999999999999</v>
      </c>
      <c r="F452">
        <v>9220761.0089999996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0.66129032258064491</v>
      </c>
      <c r="Q452">
        <f t="shared" si="975"/>
        <v>6097600.0220806422</v>
      </c>
      <c r="R452">
        <f t="shared" si="976"/>
        <v>-92791539.400949985</v>
      </c>
      <c r="S452">
        <f t="shared" si="977"/>
        <v>-927.91539400949989</v>
      </c>
      <c r="T452">
        <f t="shared" si="978"/>
        <v>-0.92791539400949985</v>
      </c>
    </row>
    <row r="453" spans="1:20" x14ac:dyDescent="0.25">
      <c r="A453" s="5">
        <v>44140</v>
      </c>
      <c r="B453">
        <v>0.49</v>
      </c>
      <c r="C453">
        <v>0.54500000000000004</v>
      </c>
      <c r="D453">
        <v>0.48</v>
      </c>
      <c r="E453">
        <v>0.51500000000000001</v>
      </c>
      <c r="F453">
        <v>7231499.1679999996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7.6923076923076927E-2</v>
      </c>
      <c r="Q453">
        <f t="shared" si="975"/>
        <v>556269.16676923074</v>
      </c>
      <c r="R453">
        <f t="shared" si="976"/>
        <v>-98889139.42303063</v>
      </c>
      <c r="S453">
        <f t="shared" si="977"/>
        <v>-988.89139423030633</v>
      </c>
      <c r="T453">
        <f t="shared" si="978"/>
        <v>-0.98889139423030636</v>
      </c>
    </row>
    <row r="454" spans="1:20" x14ac:dyDescent="0.25">
      <c r="A454" s="5">
        <v>44139</v>
      </c>
      <c r="B454">
        <v>0.52500000000000002</v>
      </c>
      <c r="C454">
        <v>0.53100000000000003</v>
      </c>
      <c r="D454">
        <v>0.47199999999999998</v>
      </c>
      <c r="E454">
        <v>0.49</v>
      </c>
      <c r="F454">
        <v>5204562.4630000005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-0.38983050847457629</v>
      </c>
      <c r="Q454">
        <f t="shared" ref="Q454:Q517" si="980">F454*P454</f>
        <v>-2028897.2313389834</v>
      </c>
      <c r="R454">
        <f t="shared" ref="R454:R517" si="981">R455+Q454</f>
        <v>-99445408.589799866</v>
      </c>
      <c r="S454">
        <f t="shared" ref="S454:S517" si="982">R454/100000</f>
        <v>-994.45408589799865</v>
      </c>
      <c r="T454">
        <f t="shared" ref="T454:T517" si="983">S454/1000</f>
        <v>-0.99445408589799866</v>
      </c>
    </row>
    <row r="455" spans="1:20" x14ac:dyDescent="0.25">
      <c r="A455" s="5">
        <v>44138</v>
      </c>
      <c r="B455">
        <v>0.58199999999999996</v>
      </c>
      <c r="C455">
        <v>0.58199999999999996</v>
      </c>
      <c r="D455">
        <v>0.504</v>
      </c>
      <c r="E455">
        <v>0.52500000000000002</v>
      </c>
      <c r="F455">
        <v>7247971.7879999997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-0.46153846153846079</v>
      </c>
      <c r="Q455">
        <f t="shared" si="980"/>
        <v>-3345217.7483076868</v>
      </c>
      <c r="R455">
        <f t="shared" si="981"/>
        <v>-97416511.358460888</v>
      </c>
      <c r="S455">
        <f t="shared" si="982"/>
        <v>-974.16511358460889</v>
      </c>
      <c r="T455">
        <f t="shared" si="983"/>
        <v>-0.97416511358460889</v>
      </c>
    </row>
    <row r="456" spans="1:20" x14ac:dyDescent="0.25">
      <c r="A456" s="5">
        <v>44137</v>
      </c>
      <c r="B456">
        <v>0.60799999999999998</v>
      </c>
      <c r="C456">
        <v>0.624</v>
      </c>
      <c r="D456">
        <v>0.58099999999999996</v>
      </c>
      <c r="E456">
        <v>0.58299999999999996</v>
      </c>
      <c r="F456">
        <v>5803640.8660000004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-0.90697674418604646</v>
      </c>
      <c r="Q456">
        <f t="shared" si="980"/>
        <v>-5263767.2970697675</v>
      </c>
      <c r="R456">
        <f t="shared" si="981"/>
        <v>-94071293.610153198</v>
      </c>
      <c r="S456">
        <f t="shared" si="982"/>
        <v>-940.71293610153202</v>
      </c>
      <c r="T456">
        <f t="shared" si="983"/>
        <v>-0.94071293610153206</v>
      </c>
    </row>
    <row r="457" spans="1:20" x14ac:dyDescent="0.25">
      <c r="A457" s="5">
        <v>44136</v>
      </c>
      <c r="B457">
        <v>0.60499999999999998</v>
      </c>
      <c r="C457">
        <v>0.61599999999999999</v>
      </c>
      <c r="D457">
        <v>0.59299999999999997</v>
      </c>
      <c r="E457">
        <v>0.60699999999999998</v>
      </c>
      <c r="F457">
        <v>2351754.02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0.21739130434782608</v>
      </c>
      <c r="Q457">
        <f t="shared" si="980"/>
        <v>511250.87391304347</v>
      </c>
      <c r="R457">
        <f t="shared" si="981"/>
        <v>-88807526.313083425</v>
      </c>
      <c r="S457">
        <f t="shared" si="982"/>
        <v>-888.07526313083429</v>
      </c>
      <c r="T457">
        <f t="shared" si="983"/>
        <v>-0.88807526313083429</v>
      </c>
    </row>
    <row r="458" spans="1:20" x14ac:dyDescent="0.25">
      <c r="A458" s="5">
        <v>44135</v>
      </c>
      <c r="B458">
        <v>0.59799999999999998</v>
      </c>
      <c r="C458">
        <v>0.63600000000000001</v>
      </c>
      <c r="D458">
        <v>0.59</v>
      </c>
      <c r="E458">
        <v>0.60599999999999998</v>
      </c>
      <c r="F458">
        <v>3995957.423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-0.30434782608695654</v>
      </c>
      <c r="Q458">
        <f t="shared" si="980"/>
        <v>-1216160.954826087</v>
      </c>
      <c r="R458">
        <f t="shared" si="981"/>
        <v>-89318777.186996475</v>
      </c>
      <c r="S458">
        <f t="shared" si="982"/>
        <v>-893.18777186996476</v>
      </c>
      <c r="T458">
        <f t="shared" si="983"/>
        <v>-0.89318777186996479</v>
      </c>
    </row>
    <row r="459" spans="1:20" x14ac:dyDescent="0.25">
      <c r="A459" s="5">
        <v>44134</v>
      </c>
      <c r="B459">
        <v>0.64300000000000002</v>
      </c>
      <c r="C459">
        <v>0.64900000000000002</v>
      </c>
      <c r="D459">
        <v>0.58299999999999996</v>
      </c>
      <c r="E459">
        <v>0.59799999999999998</v>
      </c>
      <c r="F459">
        <v>7519001.648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-0.54545454545454541</v>
      </c>
      <c r="Q459">
        <f t="shared" si="980"/>
        <v>-4101273.6261818181</v>
      </c>
      <c r="R459">
        <f t="shared" si="981"/>
        <v>-88102616.232170388</v>
      </c>
      <c r="S459">
        <f t="shared" si="982"/>
        <v>-881.02616232170385</v>
      </c>
      <c r="T459">
        <f t="shared" si="983"/>
        <v>-0.88102616232170383</v>
      </c>
    </row>
    <row r="460" spans="1:20" x14ac:dyDescent="0.25">
      <c r="A460" s="5">
        <v>44133</v>
      </c>
      <c r="B460">
        <v>0.63800000000000001</v>
      </c>
      <c r="C460">
        <v>0.67800000000000005</v>
      </c>
      <c r="D460">
        <v>0.61899999999999999</v>
      </c>
      <c r="E460">
        <v>0.64400000000000002</v>
      </c>
      <c r="F460">
        <v>7835640.8229999999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-0.15254237288135594</v>
      </c>
      <c r="Q460">
        <f t="shared" si="980"/>
        <v>-1195267.2441864407</v>
      </c>
      <c r="R460">
        <f t="shared" si="981"/>
        <v>-84001342.605988577</v>
      </c>
      <c r="S460">
        <f t="shared" si="982"/>
        <v>-840.01342605988577</v>
      </c>
      <c r="T460">
        <f t="shared" si="983"/>
        <v>-0.84001342605988583</v>
      </c>
    </row>
    <row r="461" spans="1:20" x14ac:dyDescent="0.25">
      <c r="A461" s="5">
        <v>44132</v>
      </c>
      <c r="B461">
        <v>0.69799999999999995</v>
      </c>
      <c r="C461">
        <v>0.70499999999999996</v>
      </c>
      <c r="D461">
        <v>0.60799999999999998</v>
      </c>
      <c r="E461">
        <v>0.63800000000000001</v>
      </c>
      <c r="F461">
        <v>12393377.721999999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-0.38144329896907148</v>
      </c>
      <c r="Q461">
        <f t="shared" si="980"/>
        <v>-4727370.8836494759</v>
      </c>
      <c r="R461">
        <f t="shared" si="981"/>
        <v>-82806075.361802131</v>
      </c>
      <c r="S461">
        <f t="shared" si="982"/>
        <v>-828.06075361802129</v>
      </c>
      <c r="T461">
        <f t="shared" si="983"/>
        <v>-0.82806075361802134</v>
      </c>
    </row>
    <row r="462" spans="1:20" x14ac:dyDescent="0.25">
      <c r="A462" s="5">
        <v>44131</v>
      </c>
      <c r="B462">
        <v>0.624</v>
      </c>
      <c r="C462">
        <v>0.71599999999999997</v>
      </c>
      <c r="D462">
        <v>0.623</v>
      </c>
      <c r="E462">
        <v>0.69799999999999995</v>
      </c>
      <c r="F462">
        <v>12990578.390000001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0.61290322580645118</v>
      </c>
      <c r="Q462">
        <f t="shared" si="980"/>
        <v>7961967.4003225751</v>
      </c>
      <c r="R462">
        <f t="shared" si="981"/>
        <v>-78078704.478152648</v>
      </c>
      <c r="S462">
        <f t="shared" si="982"/>
        <v>-780.78704478152645</v>
      </c>
      <c r="T462">
        <f t="shared" si="983"/>
        <v>-0.7807870447815265</v>
      </c>
    </row>
    <row r="463" spans="1:20" x14ac:dyDescent="0.25">
      <c r="A463" s="5">
        <v>44130</v>
      </c>
      <c r="B463">
        <v>0.623</v>
      </c>
      <c r="C463">
        <v>0.64400000000000002</v>
      </c>
      <c r="D463">
        <v>0.58799999999999997</v>
      </c>
      <c r="E463">
        <v>0.625</v>
      </c>
      <c r="F463">
        <v>6281550.4800000004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0.32142857142857145</v>
      </c>
      <c r="Q463">
        <f t="shared" si="980"/>
        <v>2019069.7971428575</v>
      </c>
      <c r="R463">
        <f t="shared" si="981"/>
        <v>-86040671.878475219</v>
      </c>
      <c r="S463">
        <f t="shared" si="982"/>
        <v>-860.40671878475223</v>
      </c>
      <c r="T463">
        <f t="shared" si="983"/>
        <v>-0.86040671878475228</v>
      </c>
    </row>
    <row r="464" spans="1:20" x14ac:dyDescent="0.25">
      <c r="A464" s="5">
        <v>44129</v>
      </c>
      <c r="B464">
        <v>0.65600000000000003</v>
      </c>
      <c r="C464">
        <v>0.65900000000000003</v>
      </c>
      <c r="D464">
        <v>0.61499999999999999</v>
      </c>
      <c r="E464">
        <v>0.623</v>
      </c>
      <c r="F464">
        <v>2498703.4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-0.63636363636363635</v>
      </c>
      <c r="Q464">
        <f t="shared" si="980"/>
        <v>-1590083.9818181817</v>
      </c>
      <c r="R464">
        <f t="shared" si="981"/>
        <v>-88059741.675618082</v>
      </c>
      <c r="S464">
        <f t="shared" si="982"/>
        <v>-880.59741675618079</v>
      </c>
      <c r="T464">
        <f t="shared" si="983"/>
        <v>-0.88059741675618075</v>
      </c>
    </row>
    <row r="465" spans="1:20" x14ac:dyDescent="0.25">
      <c r="A465" s="5">
        <v>44128</v>
      </c>
      <c r="B465">
        <v>0.66400000000000003</v>
      </c>
      <c r="C465">
        <v>0.67200000000000004</v>
      </c>
      <c r="D465">
        <v>0.64300000000000002</v>
      </c>
      <c r="E465">
        <v>0.65700000000000003</v>
      </c>
      <c r="F465">
        <v>2204987.415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-3.4482758620689655E-2</v>
      </c>
      <c r="Q465">
        <f t="shared" si="980"/>
        <v>-76034.048793103444</v>
      </c>
      <c r="R465">
        <f t="shared" si="981"/>
        <v>-86469657.693799898</v>
      </c>
      <c r="S465">
        <f t="shared" si="982"/>
        <v>-864.696576937999</v>
      </c>
      <c r="T465">
        <f t="shared" si="983"/>
        <v>-0.86469657693799895</v>
      </c>
    </row>
    <row r="466" spans="1:20" x14ac:dyDescent="0.25">
      <c r="A466" s="5">
        <v>44127</v>
      </c>
      <c r="B466">
        <v>0.66800000000000004</v>
      </c>
      <c r="C466">
        <v>0.69699999999999995</v>
      </c>
      <c r="D466">
        <v>0.64300000000000002</v>
      </c>
      <c r="E466">
        <v>0.66400000000000003</v>
      </c>
      <c r="F466">
        <v>5236880.6610000003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-0.22222222222222063</v>
      </c>
      <c r="Q466">
        <f t="shared" si="980"/>
        <v>-1163751.2579999918</v>
      </c>
      <c r="R466">
        <f t="shared" si="981"/>
        <v>-86393623.645006791</v>
      </c>
      <c r="S466">
        <f t="shared" si="982"/>
        <v>-863.9362364500679</v>
      </c>
      <c r="T466">
        <f t="shared" si="983"/>
        <v>-0.8639362364500679</v>
      </c>
    </row>
    <row r="467" spans="1:20" x14ac:dyDescent="0.25">
      <c r="A467" s="5">
        <v>44126</v>
      </c>
      <c r="B467">
        <v>0.66400000000000003</v>
      </c>
      <c r="C467">
        <v>0.71899999999999997</v>
      </c>
      <c r="D467">
        <v>0.65800000000000003</v>
      </c>
      <c r="E467">
        <v>0.66700000000000004</v>
      </c>
      <c r="F467">
        <v>6781796.0619999999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-0.7049180327868847</v>
      </c>
      <c r="Q467">
        <f t="shared" si="980"/>
        <v>-4780610.3387868814</v>
      </c>
      <c r="R467">
        <f t="shared" si="981"/>
        <v>-85229872.387006804</v>
      </c>
      <c r="S467">
        <f t="shared" si="982"/>
        <v>-852.29872387006799</v>
      </c>
      <c r="T467">
        <f t="shared" si="983"/>
        <v>-0.852298723870068</v>
      </c>
    </row>
    <row r="468" spans="1:20" x14ac:dyDescent="0.25">
      <c r="A468" s="5">
        <v>44125</v>
      </c>
      <c r="B468">
        <v>0.626</v>
      </c>
      <c r="C468">
        <v>0.69699999999999995</v>
      </c>
      <c r="D468">
        <v>0.621</v>
      </c>
      <c r="E468">
        <v>0.66500000000000004</v>
      </c>
      <c r="F468">
        <v>6712996.4119999995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0.15789473684210695</v>
      </c>
      <c r="Q468">
        <f t="shared" si="980"/>
        <v>1059946.8018947481</v>
      </c>
      <c r="R468">
        <f t="shared" si="981"/>
        <v>-80449262.048219919</v>
      </c>
      <c r="S468">
        <f t="shared" si="982"/>
        <v>-804.49262048219919</v>
      </c>
      <c r="T468">
        <f t="shared" si="983"/>
        <v>-0.80449262048219916</v>
      </c>
    </row>
    <row r="469" spans="1:20" x14ac:dyDescent="0.25">
      <c r="A469" s="5">
        <v>44124</v>
      </c>
      <c r="B469">
        <v>0.67500000000000004</v>
      </c>
      <c r="C469">
        <v>0.67800000000000005</v>
      </c>
      <c r="D469">
        <v>0.61</v>
      </c>
      <c r="E469">
        <v>0.627</v>
      </c>
      <c r="F469">
        <v>6048227.4929999998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</v>
      </c>
      <c r="Q469">
        <f t="shared" si="980"/>
        <v>-3024113.7464999999</v>
      </c>
      <c r="R469">
        <f t="shared" si="981"/>
        <v>-81509208.850114673</v>
      </c>
      <c r="S469">
        <f t="shared" si="982"/>
        <v>-815.09208850114669</v>
      </c>
      <c r="T469">
        <f t="shared" si="983"/>
        <v>-0.81509208850114667</v>
      </c>
    </row>
    <row r="470" spans="1:20" x14ac:dyDescent="0.25">
      <c r="A470" s="5">
        <v>44123</v>
      </c>
      <c r="B470">
        <v>0.71299999999999997</v>
      </c>
      <c r="C470">
        <v>0.73</v>
      </c>
      <c r="D470">
        <v>0.66500000000000004</v>
      </c>
      <c r="E470">
        <v>0.67500000000000004</v>
      </c>
      <c r="F470">
        <v>4609354.7060000002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-0.69230769230769174</v>
      </c>
      <c r="Q470">
        <f t="shared" si="980"/>
        <v>-3191091.7195384591</v>
      </c>
      <c r="R470">
        <f t="shared" si="981"/>
        <v>-78485095.103614673</v>
      </c>
      <c r="S470">
        <f t="shared" si="982"/>
        <v>-784.85095103614674</v>
      </c>
      <c r="T470">
        <f t="shared" si="983"/>
        <v>-0.78485095103614677</v>
      </c>
    </row>
    <row r="471" spans="1:20" x14ac:dyDescent="0.25">
      <c r="A471" s="5">
        <v>44122</v>
      </c>
      <c r="B471">
        <v>0.66400000000000003</v>
      </c>
      <c r="C471">
        <v>0.71799999999999997</v>
      </c>
      <c r="D471">
        <v>0.66100000000000003</v>
      </c>
      <c r="E471">
        <v>0.71399999999999997</v>
      </c>
      <c r="F471">
        <v>5774098.0719999997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0.85964912280701722</v>
      </c>
      <c r="Q471">
        <f t="shared" si="980"/>
        <v>4963698.342596489</v>
      </c>
      <c r="R471">
        <f t="shared" si="981"/>
        <v>-75294003.384076208</v>
      </c>
      <c r="S471">
        <f t="shared" si="982"/>
        <v>-752.94003384076211</v>
      </c>
      <c r="T471">
        <f t="shared" si="983"/>
        <v>-0.75294003384076214</v>
      </c>
    </row>
    <row r="472" spans="1:20" x14ac:dyDescent="0.25">
      <c r="A472" s="5">
        <v>44121</v>
      </c>
      <c r="B472">
        <v>0.65700000000000003</v>
      </c>
      <c r="C472">
        <v>0.68</v>
      </c>
      <c r="D472">
        <v>0.64200000000000002</v>
      </c>
      <c r="E472">
        <v>0.66300000000000003</v>
      </c>
      <c r="F472">
        <v>5136890.1509999996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0.10526315789473684</v>
      </c>
      <c r="Q472">
        <f t="shared" si="980"/>
        <v>540725.27905263146</v>
      </c>
      <c r="R472">
        <f t="shared" si="981"/>
        <v>-80257701.726672694</v>
      </c>
      <c r="S472">
        <f t="shared" si="982"/>
        <v>-802.5770172667269</v>
      </c>
      <c r="T472">
        <f t="shared" si="983"/>
        <v>-0.80257701726672692</v>
      </c>
    </row>
    <row r="473" spans="1:20" x14ac:dyDescent="0.25">
      <c r="A473" s="5">
        <v>44120</v>
      </c>
      <c r="B473">
        <v>0.70399999999999996</v>
      </c>
      <c r="C473">
        <v>0.70699999999999996</v>
      </c>
      <c r="D473">
        <v>0.64</v>
      </c>
      <c r="E473">
        <v>0.65700000000000003</v>
      </c>
      <c r="F473">
        <v>8937403.3499999996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-0.49253731343283497</v>
      </c>
      <c r="Q473">
        <f t="shared" si="980"/>
        <v>-4402004.6350746192</v>
      </c>
      <c r="R473">
        <f t="shared" si="981"/>
        <v>-80798427.005725324</v>
      </c>
      <c r="S473">
        <f t="shared" si="982"/>
        <v>-807.9842700572533</v>
      </c>
      <c r="T473">
        <f t="shared" si="983"/>
        <v>-0.80798427005725326</v>
      </c>
    </row>
    <row r="474" spans="1:20" x14ac:dyDescent="0.25">
      <c r="A474" s="5">
        <v>44119</v>
      </c>
      <c r="B474">
        <v>0.71899999999999997</v>
      </c>
      <c r="C474">
        <v>0.72099999999999997</v>
      </c>
      <c r="D474">
        <v>0.66600000000000004</v>
      </c>
      <c r="E474">
        <v>0.70399999999999996</v>
      </c>
      <c r="F474">
        <v>7798092.4280000003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0.38181818181818056</v>
      </c>
      <c r="Q474">
        <f t="shared" si="980"/>
        <v>2977453.472509081</v>
      </c>
      <c r="R474">
        <f t="shared" si="981"/>
        <v>-76396422.370650709</v>
      </c>
      <c r="S474">
        <f t="shared" si="982"/>
        <v>-763.96422370650714</v>
      </c>
      <c r="T474">
        <f t="shared" si="983"/>
        <v>-0.76396422370650718</v>
      </c>
    </row>
    <row r="475" spans="1:20" x14ac:dyDescent="0.25">
      <c r="A475" s="5">
        <v>44118</v>
      </c>
      <c r="B475">
        <v>0.73699999999999999</v>
      </c>
      <c r="C475">
        <v>0.76600000000000001</v>
      </c>
      <c r="D475">
        <v>0.69</v>
      </c>
      <c r="E475">
        <v>0.71899999999999997</v>
      </c>
      <c r="F475">
        <v>7426841.8449999997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-0.23684210526315788</v>
      </c>
      <c r="Q475">
        <f t="shared" si="980"/>
        <v>-1758988.8580263157</v>
      </c>
      <c r="R475">
        <f t="shared" si="981"/>
        <v>-79373875.843159795</v>
      </c>
      <c r="S475">
        <f t="shared" si="982"/>
        <v>-793.73875843159794</v>
      </c>
      <c r="T475">
        <f t="shared" si="983"/>
        <v>-0.79373875843159791</v>
      </c>
    </row>
    <row r="476" spans="1:20" x14ac:dyDescent="0.25">
      <c r="A476" s="5">
        <v>44117</v>
      </c>
      <c r="B476">
        <v>0.76</v>
      </c>
      <c r="C476">
        <v>0.77</v>
      </c>
      <c r="D476">
        <v>0.71</v>
      </c>
      <c r="E476">
        <v>0.73599999999999999</v>
      </c>
      <c r="F476">
        <v>7100939.8130000001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-0.13333333333333333</v>
      </c>
      <c r="Q476">
        <f t="shared" si="980"/>
        <v>-946791.97506666661</v>
      </c>
      <c r="R476">
        <f t="shared" si="981"/>
        <v>-77614886.985133484</v>
      </c>
      <c r="S476">
        <f t="shared" si="982"/>
        <v>-776.14886985133489</v>
      </c>
      <c r="T476">
        <f t="shared" si="983"/>
        <v>-0.77614886985133491</v>
      </c>
    </row>
    <row r="477" spans="1:20" x14ac:dyDescent="0.25">
      <c r="A477" s="5">
        <v>44116</v>
      </c>
      <c r="B477">
        <v>0.76</v>
      </c>
      <c r="C477">
        <v>0.80100000000000005</v>
      </c>
      <c r="D477">
        <v>0.72899999999999998</v>
      </c>
      <c r="E477">
        <v>0.76100000000000001</v>
      </c>
      <c r="F477">
        <v>9029535.9619999994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-0.1111111111111111</v>
      </c>
      <c r="Q477">
        <f t="shared" si="980"/>
        <v>-1003281.7735555554</v>
      </c>
      <c r="R477">
        <f t="shared" si="981"/>
        <v>-76668095.010066822</v>
      </c>
      <c r="S477">
        <f t="shared" si="982"/>
        <v>-766.68095010066827</v>
      </c>
      <c r="T477">
        <f t="shared" si="983"/>
        <v>-0.76668095010066828</v>
      </c>
    </row>
    <row r="478" spans="1:20" x14ac:dyDescent="0.25">
      <c r="A478" s="5">
        <v>44115</v>
      </c>
      <c r="B478">
        <v>0.748</v>
      </c>
      <c r="C478">
        <v>0.78600000000000003</v>
      </c>
      <c r="D478">
        <v>0.69499999999999995</v>
      </c>
      <c r="E478">
        <v>0.76</v>
      </c>
      <c r="F478">
        <v>15230698.181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0.42857142857142855</v>
      </c>
      <c r="Q478">
        <f t="shared" si="980"/>
        <v>6527442.0775714284</v>
      </c>
      <c r="R478">
        <f t="shared" si="981"/>
        <v>-75664813.23651126</v>
      </c>
      <c r="S478">
        <f t="shared" si="982"/>
        <v>-756.64813236511259</v>
      </c>
      <c r="T478">
        <f t="shared" si="983"/>
        <v>-0.75664813236511264</v>
      </c>
    </row>
    <row r="479" spans="1:20" x14ac:dyDescent="0.25">
      <c r="A479" s="5">
        <v>44114</v>
      </c>
      <c r="B479">
        <v>0.82599999999999996</v>
      </c>
      <c r="C479">
        <v>0.873</v>
      </c>
      <c r="D479">
        <v>0.73299999999999998</v>
      </c>
      <c r="E479">
        <v>0.748</v>
      </c>
      <c r="F479">
        <v>18960669.936000001</v>
      </c>
      <c r="G479">
        <v>0</v>
      </c>
      <c r="L479" t="s">
        <v>8</v>
      </c>
      <c r="M479" t="s">
        <v>7</v>
      </c>
      <c r="N479" t="s">
        <v>8</v>
      </c>
      <c r="P479">
        <f t="shared" si="979"/>
        <v>-0.78571428571428559</v>
      </c>
      <c r="Q479">
        <f t="shared" si="980"/>
        <v>-14897669.23542857</v>
      </c>
      <c r="R479">
        <f t="shared" si="981"/>
        <v>-82192255.314082682</v>
      </c>
      <c r="S479">
        <f t="shared" si="982"/>
        <v>-821.92255314082684</v>
      </c>
      <c r="T479">
        <f t="shared" si="983"/>
        <v>-0.82192255314082685</v>
      </c>
    </row>
    <row r="480" spans="1:20" x14ac:dyDescent="0.25">
      <c r="A480" s="5">
        <v>44113</v>
      </c>
      <c r="B480">
        <v>0.77600000000000002</v>
      </c>
      <c r="C480">
        <v>0.86499999999999999</v>
      </c>
      <c r="D480">
        <v>0.73399999999999999</v>
      </c>
      <c r="E480">
        <v>0.82699999999999996</v>
      </c>
      <c r="F480">
        <v>19787864.081999999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0.41984732824427434</v>
      </c>
      <c r="Q480">
        <f t="shared" si="980"/>
        <v>8307881.8664885396</v>
      </c>
      <c r="R480">
        <f t="shared" si="981"/>
        <v>-67294586.07865411</v>
      </c>
      <c r="S480">
        <f t="shared" si="982"/>
        <v>-672.94586078654106</v>
      </c>
      <c r="T480">
        <f t="shared" si="983"/>
        <v>-0.67294586078654106</v>
      </c>
    </row>
    <row r="481" spans="1:20" x14ac:dyDescent="0.25">
      <c r="A481" s="5">
        <v>44112</v>
      </c>
      <c r="B481">
        <v>0.67600000000000005</v>
      </c>
      <c r="C481">
        <v>0.79900000000000004</v>
      </c>
      <c r="D481">
        <v>0.59599999999999997</v>
      </c>
      <c r="E481">
        <v>0.77600000000000002</v>
      </c>
      <c r="F481">
        <v>30020199.213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0.77339901477832496</v>
      </c>
      <c r="Q481">
        <f t="shared" si="980"/>
        <v>23217592.494783245</v>
      </c>
      <c r="R481">
        <f t="shared" si="981"/>
        <v>-75602467.945142657</v>
      </c>
      <c r="S481">
        <f t="shared" si="982"/>
        <v>-756.02467945142655</v>
      </c>
      <c r="T481">
        <f t="shared" si="983"/>
        <v>-0.7560246794514266</v>
      </c>
    </row>
    <row r="482" spans="1:20" x14ac:dyDescent="0.25">
      <c r="A482" s="5">
        <v>44111</v>
      </c>
      <c r="B482">
        <v>0.63900000000000001</v>
      </c>
      <c r="C482">
        <v>0.68500000000000005</v>
      </c>
      <c r="D482">
        <v>0.55100000000000005</v>
      </c>
      <c r="E482">
        <v>0.67700000000000005</v>
      </c>
      <c r="F482">
        <v>34416906.285999998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0.88059701492537301</v>
      </c>
      <c r="Q482">
        <f t="shared" si="980"/>
        <v>30307424.938417904</v>
      </c>
      <c r="R482">
        <f t="shared" si="981"/>
        <v>-98820060.439925909</v>
      </c>
      <c r="S482">
        <f t="shared" si="982"/>
        <v>-988.20060439925908</v>
      </c>
      <c r="T482">
        <f t="shared" si="983"/>
        <v>-0.98820060439925905</v>
      </c>
    </row>
    <row r="483" spans="1:20" x14ac:dyDescent="0.25">
      <c r="A483" s="5">
        <v>44110</v>
      </c>
      <c r="B483">
        <v>0.84599999999999997</v>
      </c>
      <c r="C483">
        <v>0.85199999999999998</v>
      </c>
      <c r="D483">
        <v>0.626</v>
      </c>
      <c r="E483">
        <v>0.63900000000000001</v>
      </c>
      <c r="F483">
        <v>39576045.189999998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-0.88495575221238931</v>
      </c>
      <c r="Q483">
        <f t="shared" si="980"/>
        <v>-35023048.840707958</v>
      </c>
      <c r="R483">
        <f t="shared" si="981"/>
        <v>-129127485.37834382</v>
      </c>
      <c r="S483">
        <f t="shared" si="982"/>
        <v>-1291.2748537834382</v>
      </c>
      <c r="T483">
        <f t="shared" si="983"/>
        <v>-1.2912748537834382</v>
      </c>
    </row>
    <row r="484" spans="1:20" x14ac:dyDescent="0.25">
      <c r="A484" s="5">
        <v>44109</v>
      </c>
      <c r="B484">
        <v>0.878</v>
      </c>
      <c r="C484">
        <v>0.95099999999999996</v>
      </c>
      <c r="D484">
        <v>0.81799999999999995</v>
      </c>
      <c r="E484">
        <v>0.84499999999999997</v>
      </c>
      <c r="F484">
        <v>20088828.897999998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-0.59398496240601473</v>
      </c>
      <c r="Q484">
        <f t="shared" si="980"/>
        <v>-11932462.277759392</v>
      </c>
      <c r="R484">
        <f t="shared" si="981"/>
        <v>-94104436.537635863</v>
      </c>
      <c r="S484">
        <f t="shared" si="982"/>
        <v>-941.04436537635866</v>
      </c>
      <c r="T484">
        <f t="shared" si="983"/>
        <v>-0.9410443653763586</v>
      </c>
    </row>
    <row r="485" spans="1:20" x14ac:dyDescent="0.25">
      <c r="A485" s="5">
        <v>44108</v>
      </c>
      <c r="B485">
        <v>1.0569999999999999</v>
      </c>
      <c r="C485">
        <v>1.0680000000000001</v>
      </c>
      <c r="D485">
        <v>0.85599999999999998</v>
      </c>
      <c r="E485">
        <v>0.877</v>
      </c>
      <c r="F485">
        <v>13878097.460999999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-0.80188679245283012</v>
      </c>
      <c r="Q485">
        <f t="shared" si="980"/>
        <v>-11128663.058349054</v>
      </c>
      <c r="R485">
        <f t="shared" si="981"/>
        <v>-82171974.259876475</v>
      </c>
      <c r="S485">
        <f t="shared" si="982"/>
        <v>-821.7197425987647</v>
      </c>
      <c r="T485">
        <f t="shared" si="983"/>
        <v>-0.82171974259876468</v>
      </c>
    </row>
    <row r="486" spans="1:20" x14ac:dyDescent="0.25">
      <c r="A486" s="5">
        <v>44107</v>
      </c>
      <c r="B486">
        <v>1.1180000000000001</v>
      </c>
      <c r="C486">
        <v>1.127</v>
      </c>
      <c r="D486">
        <v>1.0489999999999999</v>
      </c>
      <c r="E486">
        <v>1.0569999999999999</v>
      </c>
      <c r="F486">
        <v>4229582.0959999999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-0.79487179487179482</v>
      </c>
      <c r="Q486">
        <f t="shared" si="980"/>
        <v>-3361975.5122051281</v>
      </c>
      <c r="R486">
        <f t="shared" si="981"/>
        <v>-71043311.201527417</v>
      </c>
      <c r="S486">
        <f t="shared" si="982"/>
        <v>-710.43311201527422</v>
      </c>
      <c r="T486">
        <f t="shared" si="983"/>
        <v>-0.71043311201527426</v>
      </c>
    </row>
    <row r="487" spans="1:20" x14ac:dyDescent="0.25">
      <c r="A487" s="5">
        <v>44106</v>
      </c>
      <c r="B487">
        <v>1.25</v>
      </c>
      <c r="C487">
        <v>1.2629999999999999</v>
      </c>
      <c r="D487">
        <v>1.034</v>
      </c>
      <c r="E487">
        <v>1.117</v>
      </c>
      <c r="F487">
        <v>9282085.3910000008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-0.27510917030567678</v>
      </c>
      <c r="Q487">
        <f t="shared" si="980"/>
        <v>-2553586.8106244537</v>
      </c>
      <c r="R487">
        <f t="shared" si="981"/>
        <v>-67681335.689322293</v>
      </c>
      <c r="S487">
        <f t="shared" si="982"/>
        <v>-676.81335689322293</v>
      </c>
      <c r="T487">
        <f t="shared" si="983"/>
        <v>-0.67681335689322297</v>
      </c>
    </row>
    <row r="488" spans="1:20" x14ac:dyDescent="0.25">
      <c r="A488" s="5">
        <v>44105</v>
      </c>
      <c r="B488">
        <v>1.2829999999999999</v>
      </c>
      <c r="C488">
        <v>1.35</v>
      </c>
      <c r="D488">
        <v>1.204</v>
      </c>
      <c r="E488">
        <v>1.2509999999999999</v>
      </c>
      <c r="F488">
        <v>7570278.7019999996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-0.35616438356164537</v>
      </c>
      <c r="Q488">
        <f t="shared" si="980"/>
        <v>-2696263.6472876826</v>
      </c>
      <c r="R488">
        <f t="shared" si="981"/>
        <v>-65127748.878697835</v>
      </c>
      <c r="S488">
        <f t="shared" si="982"/>
        <v>-651.27748878697832</v>
      </c>
      <c r="T488">
        <f t="shared" si="983"/>
        <v>-0.65127748878697833</v>
      </c>
    </row>
    <row r="489" spans="1:20" x14ac:dyDescent="0.25">
      <c r="A489" s="5">
        <v>44104</v>
      </c>
      <c r="B489">
        <v>1.2529999999999999</v>
      </c>
      <c r="C489">
        <v>1.3260000000000001</v>
      </c>
      <c r="D489">
        <v>1.2370000000000001</v>
      </c>
      <c r="E489">
        <v>1.2829999999999999</v>
      </c>
      <c r="F489">
        <v>8414892.7239999995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3.3707865168535626E-2</v>
      </c>
      <c r="Q489">
        <f t="shared" si="980"/>
        <v>283648.06934828346</v>
      </c>
      <c r="R489">
        <f t="shared" si="981"/>
        <v>-62431485.231410153</v>
      </c>
      <c r="S489">
        <f t="shared" si="982"/>
        <v>-624.31485231410159</v>
      </c>
      <c r="T489">
        <f t="shared" si="983"/>
        <v>-0.62431485231410155</v>
      </c>
    </row>
    <row r="490" spans="1:20" x14ac:dyDescent="0.25">
      <c r="A490" s="5">
        <v>44103</v>
      </c>
      <c r="B490">
        <v>1.2669999999999999</v>
      </c>
      <c r="C490">
        <v>1.288</v>
      </c>
      <c r="D490">
        <v>1.196</v>
      </c>
      <c r="E490">
        <v>1.254</v>
      </c>
      <c r="F490">
        <v>9617591.8680000007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0.2608695652173913</v>
      </c>
      <c r="Q490">
        <f t="shared" si="980"/>
        <v>2508937.0090434784</v>
      </c>
      <c r="R490">
        <f t="shared" si="981"/>
        <v>-62715133.300758436</v>
      </c>
      <c r="S490">
        <f t="shared" si="982"/>
        <v>-627.15133300758441</v>
      </c>
      <c r="T490">
        <f t="shared" si="983"/>
        <v>-0.62715133300758441</v>
      </c>
    </row>
    <row r="491" spans="1:20" x14ac:dyDescent="0.25">
      <c r="A491" s="5">
        <v>44102</v>
      </c>
      <c r="B491">
        <v>1.369</v>
      </c>
      <c r="C491">
        <v>1.3939999999999999</v>
      </c>
      <c r="D491">
        <v>1.25</v>
      </c>
      <c r="E491">
        <v>1.2709999999999999</v>
      </c>
      <c r="F491">
        <v>8124207.7680000002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-0.70833333333333448</v>
      </c>
      <c r="Q491">
        <f t="shared" si="980"/>
        <v>-5754647.1690000091</v>
      </c>
      <c r="R491">
        <f t="shared" si="981"/>
        <v>-65224070.309801914</v>
      </c>
      <c r="S491">
        <f t="shared" si="982"/>
        <v>-652.24070309801914</v>
      </c>
      <c r="T491">
        <f t="shared" si="983"/>
        <v>-0.65224070309801918</v>
      </c>
    </row>
    <row r="492" spans="1:20" x14ac:dyDescent="0.25">
      <c r="A492" s="5">
        <v>44101</v>
      </c>
      <c r="B492">
        <v>1.395</v>
      </c>
      <c r="C492">
        <v>1.45</v>
      </c>
      <c r="D492">
        <v>1.3240000000000001</v>
      </c>
      <c r="E492">
        <v>1.369</v>
      </c>
      <c r="F492">
        <v>7500802.8930000002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-0.2857142857142862</v>
      </c>
      <c r="Q492">
        <f t="shared" si="980"/>
        <v>-2143086.5408571465</v>
      </c>
      <c r="R492">
        <f t="shared" si="981"/>
        <v>-59469423.140801907</v>
      </c>
      <c r="S492">
        <f t="shared" si="982"/>
        <v>-594.69423140801905</v>
      </c>
      <c r="T492">
        <f t="shared" si="983"/>
        <v>-0.59469423140801903</v>
      </c>
    </row>
    <row r="493" spans="1:20" x14ac:dyDescent="0.25">
      <c r="A493" s="5">
        <v>44100</v>
      </c>
      <c r="B493">
        <v>1.405</v>
      </c>
      <c r="C493">
        <v>1.4430000000000001</v>
      </c>
      <c r="D493">
        <v>1.351</v>
      </c>
      <c r="E493">
        <v>1.395</v>
      </c>
      <c r="F493">
        <v>9236067.5559999999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-4.3478260869565216E-2</v>
      </c>
      <c r="Q493">
        <f t="shared" si="980"/>
        <v>-401568.15460869565</v>
      </c>
      <c r="R493">
        <f t="shared" si="981"/>
        <v>-57326336.599944763</v>
      </c>
      <c r="S493">
        <f t="shared" si="982"/>
        <v>-573.26336599944761</v>
      </c>
      <c r="T493">
        <f t="shared" si="983"/>
        <v>-0.5732633659994476</v>
      </c>
    </row>
    <row r="494" spans="1:20" x14ac:dyDescent="0.25">
      <c r="A494" s="5">
        <v>44099</v>
      </c>
      <c r="B494">
        <v>1.41</v>
      </c>
      <c r="C494">
        <v>1.45</v>
      </c>
      <c r="D494">
        <v>1.333</v>
      </c>
      <c r="E494">
        <v>1.403</v>
      </c>
      <c r="F494">
        <v>12729370.026000001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0.19658119658119771</v>
      </c>
      <c r="Q494">
        <f t="shared" si="980"/>
        <v>2502354.7914359118</v>
      </c>
      <c r="R494">
        <f t="shared" si="981"/>
        <v>-56924768.445336066</v>
      </c>
      <c r="S494">
        <f t="shared" si="982"/>
        <v>-569.24768445336065</v>
      </c>
      <c r="T494">
        <f t="shared" si="983"/>
        <v>-0.5692476844533606</v>
      </c>
    </row>
    <row r="495" spans="1:20" x14ac:dyDescent="0.25">
      <c r="A495" s="5">
        <v>44098</v>
      </c>
      <c r="B495">
        <v>1.27</v>
      </c>
      <c r="C495">
        <v>1.478</v>
      </c>
      <c r="D495">
        <v>1.2450000000000001</v>
      </c>
      <c r="E495">
        <v>1.411</v>
      </c>
      <c r="F495">
        <v>18707194.737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0.42489270386266109</v>
      </c>
      <c r="Q495">
        <f t="shared" si="980"/>
        <v>7948550.5534892734</v>
      </c>
      <c r="R495">
        <f t="shared" si="981"/>
        <v>-59427123.236771978</v>
      </c>
      <c r="S495">
        <f t="shared" si="982"/>
        <v>-594.27123236771979</v>
      </c>
      <c r="T495">
        <f t="shared" si="983"/>
        <v>-0.59427123236771984</v>
      </c>
    </row>
    <row r="496" spans="1:20" x14ac:dyDescent="0.25">
      <c r="A496" s="5">
        <v>44097</v>
      </c>
      <c r="B496">
        <v>1.39</v>
      </c>
      <c r="C496">
        <v>1.452</v>
      </c>
      <c r="D496">
        <v>1.2150000000000001</v>
      </c>
      <c r="E496">
        <v>1.2689999999999999</v>
      </c>
      <c r="F496">
        <v>25049977.035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-0.54430379746835567</v>
      </c>
      <c r="Q496">
        <f t="shared" si="980"/>
        <v>-13634797.6266456</v>
      </c>
      <c r="R496">
        <f t="shared" si="981"/>
        <v>-67375673.790261254</v>
      </c>
      <c r="S496">
        <f t="shared" si="982"/>
        <v>-673.75673790261249</v>
      </c>
      <c r="T496">
        <f t="shared" si="983"/>
        <v>-0.67375673790261248</v>
      </c>
    </row>
    <row r="497" spans="1:20" x14ac:dyDescent="0.25">
      <c r="A497" s="5">
        <v>44096</v>
      </c>
      <c r="B497">
        <v>1.4119999999999999</v>
      </c>
      <c r="C497">
        <v>1.4630000000000001</v>
      </c>
      <c r="D497">
        <v>1.321</v>
      </c>
      <c r="E497">
        <v>1.391</v>
      </c>
      <c r="F497">
        <v>13042320.613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-1.4084507042253521E-2</v>
      </c>
      <c r="Q497">
        <f t="shared" si="980"/>
        <v>-183694.65652112677</v>
      </c>
      <c r="R497">
        <f t="shared" si="981"/>
        <v>-53740876.163615659</v>
      </c>
      <c r="S497">
        <f t="shared" si="982"/>
        <v>-537.40876163615656</v>
      </c>
      <c r="T497">
        <f t="shared" si="983"/>
        <v>-0.53740876163615658</v>
      </c>
    </row>
    <row r="498" spans="1:20" x14ac:dyDescent="0.25">
      <c r="A498" s="5">
        <v>44095</v>
      </c>
      <c r="B498">
        <v>1.6439999999999999</v>
      </c>
      <c r="C498">
        <v>1.75</v>
      </c>
      <c r="D498">
        <v>1.349</v>
      </c>
      <c r="E498">
        <v>1.411</v>
      </c>
      <c r="F498">
        <v>17956521.940000001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-0.69077306733167054</v>
      </c>
      <c r="Q498">
        <f t="shared" si="980"/>
        <v>-12403881.739102241</v>
      </c>
      <c r="R498">
        <f t="shared" si="981"/>
        <v>-53557181.507094532</v>
      </c>
      <c r="S498">
        <f t="shared" si="982"/>
        <v>-535.57181507094538</v>
      </c>
      <c r="T498">
        <f t="shared" si="983"/>
        <v>-0.53557181507094542</v>
      </c>
    </row>
    <row r="499" spans="1:20" x14ac:dyDescent="0.25">
      <c r="A499" s="5">
        <v>44094</v>
      </c>
      <c r="B499">
        <v>1.7749999999999999</v>
      </c>
      <c r="C499">
        <v>1.9350000000000001</v>
      </c>
      <c r="D499">
        <v>1.573</v>
      </c>
      <c r="E499">
        <v>1.6419999999999999</v>
      </c>
      <c r="F499">
        <v>23131230.807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-0.61878453038674075</v>
      </c>
      <c r="Q499">
        <f t="shared" si="980"/>
        <v>-14313247.792176805</v>
      </c>
      <c r="R499">
        <f t="shared" si="981"/>
        <v>-41153299.767992295</v>
      </c>
      <c r="S499">
        <f t="shared" si="982"/>
        <v>-411.53299767992297</v>
      </c>
      <c r="T499">
        <f t="shared" si="983"/>
        <v>-0.41153299767992296</v>
      </c>
    </row>
    <row r="500" spans="1:20" x14ac:dyDescent="0.25">
      <c r="A500" s="5">
        <v>44093</v>
      </c>
      <c r="B500">
        <v>1.694</v>
      </c>
      <c r="C500">
        <v>1.948</v>
      </c>
      <c r="D500">
        <v>1.6040000000000001</v>
      </c>
      <c r="E500">
        <v>1.7749999999999999</v>
      </c>
      <c r="F500">
        <v>24543400.682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-5.8139534883727461E-3</v>
      </c>
      <c r="Q500">
        <f t="shared" si="980"/>
        <v>-142694.19001164392</v>
      </c>
      <c r="R500">
        <f t="shared" si="981"/>
        <v>-26840051.97581549</v>
      </c>
      <c r="S500">
        <f t="shared" si="982"/>
        <v>-268.40051975815487</v>
      </c>
      <c r="T500">
        <f t="shared" si="983"/>
        <v>-0.26840051975815488</v>
      </c>
    </row>
    <row r="501" spans="1:20" x14ac:dyDescent="0.25">
      <c r="A501" s="5">
        <v>44092</v>
      </c>
      <c r="B501">
        <v>1.5349999999999999</v>
      </c>
      <c r="C501">
        <v>1.875</v>
      </c>
      <c r="D501">
        <v>1.53</v>
      </c>
      <c r="E501">
        <v>1.694</v>
      </c>
      <c r="F501">
        <v>35026833.611000001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-4.927536231884095E-2</v>
      </c>
      <c r="Q501">
        <f t="shared" si="980"/>
        <v>-1725959.9170637811</v>
      </c>
      <c r="R501">
        <f t="shared" si="981"/>
        <v>-26697357.785803847</v>
      </c>
      <c r="S501">
        <f t="shared" si="982"/>
        <v>-266.97357785803848</v>
      </c>
      <c r="T501">
        <f t="shared" si="983"/>
        <v>-0.26697357785803849</v>
      </c>
    </row>
    <row r="502" spans="1:20" x14ac:dyDescent="0.25">
      <c r="A502" s="5">
        <v>44091</v>
      </c>
      <c r="B502">
        <v>1.5189999999999999</v>
      </c>
      <c r="C502">
        <v>1.6559999999999999</v>
      </c>
      <c r="D502">
        <v>1.319</v>
      </c>
      <c r="E502">
        <v>1.534</v>
      </c>
      <c r="F502">
        <v>26410234.884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0.27596439169139525</v>
      </c>
      <c r="Q502">
        <f t="shared" si="980"/>
        <v>7288284.4041899266</v>
      </c>
      <c r="R502">
        <f t="shared" si="981"/>
        <v>-24971397.868740067</v>
      </c>
      <c r="S502">
        <f t="shared" si="982"/>
        <v>-249.71397868740067</v>
      </c>
      <c r="T502">
        <f t="shared" si="983"/>
        <v>-0.24971397868740067</v>
      </c>
    </row>
    <row r="503" spans="1:20" x14ac:dyDescent="0.25">
      <c r="A503" s="5">
        <v>44090</v>
      </c>
      <c r="B503">
        <v>1.7569999999999999</v>
      </c>
      <c r="C503">
        <v>1.85</v>
      </c>
      <c r="D503">
        <v>1.464</v>
      </c>
      <c r="E503">
        <v>1.518</v>
      </c>
      <c r="F503">
        <v>24325497.340999998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-0.72020725388601026</v>
      </c>
      <c r="Q503">
        <f t="shared" si="980"/>
        <v>-17519399.639373053</v>
      </c>
      <c r="R503">
        <f t="shared" si="981"/>
        <v>-32259682.272929993</v>
      </c>
      <c r="S503">
        <f t="shared" si="982"/>
        <v>-322.5968227292999</v>
      </c>
      <c r="T503">
        <f t="shared" si="983"/>
        <v>-0.3225968227292999</v>
      </c>
    </row>
    <row r="504" spans="1:20" x14ac:dyDescent="0.25">
      <c r="A504" s="5">
        <v>44089</v>
      </c>
      <c r="B504">
        <v>2.4609999999999999</v>
      </c>
      <c r="C504">
        <v>2.64</v>
      </c>
      <c r="D504">
        <v>1.679</v>
      </c>
      <c r="E504">
        <v>1.7569999999999999</v>
      </c>
      <c r="F504">
        <v>46952316.604999997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-0.83766909469302842</v>
      </c>
      <c r="Q504">
        <f t="shared" si="980"/>
        <v>-39330504.544250794</v>
      </c>
      <c r="R504">
        <f t="shared" si="981"/>
        <v>-14740282.63355694</v>
      </c>
      <c r="S504">
        <f t="shared" si="982"/>
        <v>-147.40282633556939</v>
      </c>
      <c r="T504">
        <f t="shared" si="983"/>
        <v>-0.14740282633556939</v>
      </c>
    </row>
    <row r="505" spans="1:20" x14ac:dyDescent="0.25">
      <c r="A505" s="5">
        <v>44088</v>
      </c>
      <c r="B505">
        <v>2.3279999999999998</v>
      </c>
      <c r="C505">
        <v>2.6640000000000001</v>
      </c>
      <c r="D505">
        <v>2.141</v>
      </c>
      <c r="E505">
        <v>2.4620000000000002</v>
      </c>
      <c r="F505">
        <v>27596631.462000001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0.22753346080305964</v>
      </c>
      <c r="Q505">
        <f t="shared" si="980"/>
        <v>6279157.0630554594</v>
      </c>
      <c r="R505">
        <f t="shared" si="981"/>
        <v>24590221.910693854</v>
      </c>
      <c r="S505">
        <f t="shared" si="982"/>
        <v>245.90221910693853</v>
      </c>
      <c r="T505">
        <f t="shared" si="983"/>
        <v>0.24590221910693852</v>
      </c>
    </row>
    <row r="506" spans="1:20" x14ac:dyDescent="0.25">
      <c r="A506" s="5">
        <v>44087</v>
      </c>
      <c r="B506">
        <v>2.629</v>
      </c>
      <c r="C506">
        <v>2.645</v>
      </c>
      <c r="D506">
        <v>2.1800000000000002</v>
      </c>
      <c r="E506">
        <v>2.3290000000000002</v>
      </c>
      <c r="F506">
        <v>19611441.945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-0.35913978494623627</v>
      </c>
      <c r="Q506">
        <f t="shared" si="980"/>
        <v>-7043249.0426128982</v>
      </c>
      <c r="R506">
        <f t="shared" si="981"/>
        <v>18311064.847638395</v>
      </c>
      <c r="S506">
        <f t="shared" si="982"/>
        <v>183.11064847638394</v>
      </c>
      <c r="T506">
        <f t="shared" si="983"/>
        <v>0.18311064847638395</v>
      </c>
    </row>
    <row r="507" spans="1:20" x14ac:dyDescent="0.25">
      <c r="A507" s="5">
        <v>44086</v>
      </c>
      <c r="B507">
        <v>2.714</v>
      </c>
      <c r="C507">
        <v>2.73</v>
      </c>
      <c r="D507">
        <v>2.306</v>
      </c>
      <c r="E507">
        <v>2.629</v>
      </c>
      <c r="F507">
        <v>34128562.653999999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0.52358490566037741</v>
      </c>
      <c r="Q507">
        <f t="shared" si="980"/>
        <v>17869200.257518869</v>
      </c>
      <c r="R507">
        <f t="shared" si="981"/>
        <v>25354313.890251294</v>
      </c>
      <c r="S507">
        <f t="shared" si="982"/>
        <v>253.54313890251294</v>
      </c>
      <c r="T507">
        <f t="shared" si="983"/>
        <v>0.25354313890251295</v>
      </c>
    </row>
    <row r="508" spans="1:20" x14ac:dyDescent="0.25">
      <c r="A508" s="5">
        <v>44085</v>
      </c>
      <c r="B508">
        <v>2.383</v>
      </c>
      <c r="C508">
        <v>2.9449999999999998</v>
      </c>
      <c r="D508">
        <v>2.028</v>
      </c>
      <c r="E508">
        <v>2.7109999999999999</v>
      </c>
      <c r="F508">
        <v>44851135.677000001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0.48964013086150482</v>
      </c>
      <c r="Q508">
        <f t="shared" si="980"/>
        <v>21960915.942173388</v>
      </c>
      <c r="R508">
        <f t="shared" si="981"/>
        <v>7485113.6327324249</v>
      </c>
      <c r="S508">
        <f t="shared" si="982"/>
        <v>74.851136327324255</v>
      </c>
      <c r="T508">
        <f t="shared" si="983"/>
        <v>7.485113632732425E-2</v>
      </c>
    </row>
    <row r="509" spans="1:20" x14ac:dyDescent="0.25">
      <c r="A509" s="5">
        <v>44084</v>
      </c>
      <c r="B509">
        <v>2.8769999999999998</v>
      </c>
      <c r="C509">
        <v>3.145</v>
      </c>
      <c r="D509">
        <v>2.25</v>
      </c>
      <c r="E509">
        <v>2.3809999999999998</v>
      </c>
      <c r="F509">
        <v>34906807.703000002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-0.70726256983240277</v>
      </c>
      <c r="Q509">
        <f t="shared" si="980"/>
        <v>-24688278.520669293</v>
      </c>
      <c r="R509">
        <f t="shared" si="981"/>
        <v>-14475802.309440963</v>
      </c>
      <c r="S509">
        <f t="shared" si="982"/>
        <v>-144.75802309440962</v>
      </c>
      <c r="T509">
        <f t="shared" si="983"/>
        <v>-0.14475802309440963</v>
      </c>
    </row>
    <row r="510" spans="1:20" x14ac:dyDescent="0.25">
      <c r="A510" s="5">
        <v>44083</v>
      </c>
      <c r="B510">
        <v>2.375</v>
      </c>
      <c r="C510">
        <v>3.1880000000000002</v>
      </c>
      <c r="D510">
        <v>2.153</v>
      </c>
      <c r="E510">
        <v>2.88</v>
      </c>
      <c r="F510">
        <v>38425426.535999998</v>
      </c>
      <c r="G510">
        <v>0</v>
      </c>
      <c r="L510" t="s">
        <v>7</v>
      </c>
      <c r="M510" t="s">
        <v>7</v>
      </c>
      <c r="N510" t="s">
        <v>8</v>
      </c>
      <c r="P510">
        <f t="shared" si="979"/>
        <v>0.40483091787439568</v>
      </c>
      <c r="Q510">
        <f t="shared" si="980"/>
        <v>15555800.69428404</v>
      </c>
      <c r="R510">
        <f t="shared" si="981"/>
        <v>10212476.21122833</v>
      </c>
      <c r="S510">
        <f t="shared" si="982"/>
        <v>102.12476211228329</v>
      </c>
      <c r="T510">
        <f t="shared" si="983"/>
        <v>0.10212476211228329</v>
      </c>
    </row>
    <row r="511" spans="1:20" x14ac:dyDescent="0.25">
      <c r="A511" s="5">
        <v>44082</v>
      </c>
      <c r="B511">
        <v>2.851</v>
      </c>
      <c r="C511">
        <v>2.97</v>
      </c>
      <c r="D511">
        <v>2.2799999999999998</v>
      </c>
      <c r="E511">
        <v>2.3740000000000001</v>
      </c>
      <c r="F511">
        <v>27337787.407000002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-0.72753623188405725</v>
      </c>
      <c r="Q511">
        <f t="shared" si="980"/>
        <v>-19889230.838136215</v>
      </c>
      <c r="R511">
        <f t="shared" si="981"/>
        <v>-5343324.4830557108</v>
      </c>
      <c r="S511">
        <f t="shared" si="982"/>
        <v>-53.433244830557108</v>
      </c>
      <c r="T511">
        <f t="shared" si="983"/>
        <v>-5.3433244830557107E-2</v>
      </c>
    </row>
    <row r="512" spans="1:20" x14ac:dyDescent="0.25">
      <c r="A512" s="5">
        <v>44081</v>
      </c>
      <c r="B512">
        <v>3.1760000000000002</v>
      </c>
      <c r="C512">
        <v>3.38</v>
      </c>
      <c r="D512">
        <v>2.1800000000000002</v>
      </c>
      <c r="E512">
        <v>2.85</v>
      </c>
      <c r="F512">
        <v>50877821.175999999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0.11666666666666679</v>
      </c>
      <c r="Q512">
        <f t="shared" si="980"/>
        <v>5935745.8038666733</v>
      </c>
      <c r="R512">
        <f t="shared" si="981"/>
        <v>14545906.355080504</v>
      </c>
      <c r="S512">
        <f t="shared" si="982"/>
        <v>145.45906355080504</v>
      </c>
      <c r="T512">
        <f t="shared" si="983"/>
        <v>0.14545906355080504</v>
      </c>
    </row>
    <row r="513" spans="1:20" x14ac:dyDescent="0.25">
      <c r="A513" s="5">
        <v>44080</v>
      </c>
      <c r="B513">
        <v>1.885</v>
      </c>
      <c r="C513">
        <v>3.5</v>
      </c>
      <c r="D513">
        <v>1.1299999999999999</v>
      </c>
      <c r="E513">
        <v>3.1709999999999998</v>
      </c>
      <c r="F513">
        <v>95427415.498999998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0.72236286919831205</v>
      </c>
      <c r="Q513">
        <f t="shared" si="980"/>
        <v>68933221.660037115</v>
      </c>
      <c r="R513">
        <f t="shared" si="981"/>
        <v>8610160.5512138307</v>
      </c>
      <c r="S513">
        <f t="shared" si="982"/>
        <v>86.101605512138306</v>
      </c>
      <c r="T513">
        <f t="shared" si="983"/>
        <v>8.6101605512138302E-2</v>
      </c>
    </row>
    <row r="514" spans="1:20" x14ac:dyDescent="0.25">
      <c r="A514" s="5">
        <v>44079</v>
      </c>
      <c r="B514">
        <v>4.5609999999999999</v>
      </c>
      <c r="C514">
        <v>5.0590000000000002</v>
      </c>
      <c r="D514">
        <v>1.3109999999999999</v>
      </c>
      <c r="E514">
        <v>1.8839999999999999</v>
      </c>
      <c r="F514">
        <v>48547457.473999999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-0.69423692636072576</v>
      </c>
      <c r="Q514">
        <f t="shared" si="980"/>
        <v>-33703437.659377806</v>
      </c>
      <c r="R514">
        <f t="shared" si="981"/>
        <v>-60323061.108823285</v>
      </c>
      <c r="S514">
        <f t="shared" si="982"/>
        <v>-603.23061108823288</v>
      </c>
      <c r="T514">
        <f t="shared" si="983"/>
        <v>-0.60323061108823284</v>
      </c>
    </row>
    <row r="515" spans="1:20" x14ac:dyDescent="0.25">
      <c r="A515" s="5">
        <v>44078</v>
      </c>
      <c r="B515">
        <v>4.8600000000000003</v>
      </c>
      <c r="C515">
        <v>5.7729999999999997</v>
      </c>
      <c r="D515">
        <v>4.3</v>
      </c>
      <c r="E515">
        <v>4.5620000000000003</v>
      </c>
      <c r="F515">
        <v>11142693.319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-0.64426340801086157</v>
      </c>
      <c r="Q515">
        <f t="shared" si="980"/>
        <v>-7178829.5721187983</v>
      </c>
      <c r="R515">
        <f t="shared" si="981"/>
        <v>-26619623.449445479</v>
      </c>
      <c r="S515">
        <f t="shared" si="982"/>
        <v>-266.19623449445481</v>
      </c>
      <c r="T515">
        <f t="shared" si="983"/>
        <v>-0.26619623449445479</v>
      </c>
    </row>
    <row r="516" spans="1:20" x14ac:dyDescent="0.25">
      <c r="A516" s="5">
        <v>44077</v>
      </c>
      <c r="B516">
        <v>7.242</v>
      </c>
      <c r="C516">
        <v>8.9450000000000003</v>
      </c>
      <c r="D516">
        <v>4.5599999999999996</v>
      </c>
      <c r="E516">
        <v>4.8600000000000003</v>
      </c>
      <c r="F516">
        <v>14760107.922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-0.86316989737742278</v>
      </c>
      <c r="Q516">
        <f t="shared" si="980"/>
        <v>-12740480.840312425</v>
      </c>
      <c r="R516">
        <f t="shared" si="981"/>
        <v>-19440793.877326682</v>
      </c>
      <c r="S516">
        <f t="shared" si="982"/>
        <v>-194.40793877326684</v>
      </c>
      <c r="T516">
        <f t="shared" si="983"/>
        <v>-0.19440793877326684</v>
      </c>
    </row>
    <row r="517" spans="1:20" x14ac:dyDescent="0.25">
      <c r="A517" s="5">
        <v>44076</v>
      </c>
      <c r="B517">
        <v>8.8059999999999992</v>
      </c>
      <c r="C517">
        <v>9.5</v>
      </c>
      <c r="D517">
        <v>5.944</v>
      </c>
      <c r="E517">
        <v>7.2450000000000001</v>
      </c>
      <c r="F517">
        <v>11293501.264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-0.26827896512935873</v>
      </c>
      <c r="Q517">
        <f t="shared" si="980"/>
        <v>-3029808.8317930247</v>
      </c>
      <c r="R517">
        <f t="shared" si="981"/>
        <v>-6700313.0370142581</v>
      </c>
      <c r="S517">
        <f t="shared" si="982"/>
        <v>-67.003130370142586</v>
      </c>
      <c r="T517">
        <f t="shared" si="983"/>
        <v>-6.7003130370142591E-2</v>
      </c>
    </row>
    <row r="518" spans="1:20" x14ac:dyDescent="0.25">
      <c r="A518" s="5">
        <v>44075</v>
      </c>
      <c r="B518">
        <v>6.08</v>
      </c>
      <c r="C518">
        <v>15.97</v>
      </c>
      <c r="D518">
        <v>6.08</v>
      </c>
      <c r="E518">
        <v>8.8040000000000003</v>
      </c>
      <c r="F518">
        <v>8172284.2390000001</v>
      </c>
      <c r="G518">
        <v>0</v>
      </c>
      <c r="P518">
        <f t="shared" ref="P518:P581" si="984">IF(C518=D518,0,((E518-D518)-(C518-E518))/(C518-D518))</f>
        <v>-0.44914054600606673</v>
      </c>
      <c r="Q518">
        <f t="shared" ref="Q518:Q581" si="985">F518*P518</f>
        <v>-3670504.2052212334</v>
      </c>
      <c r="R518">
        <f t="shared" ref="R518:R581" si="986">R519+Q518</f>
        <v>-3670504.2052212334</v>
      </c>
      <c r="S518">
        <f t="shared" ref="S518:S581" si="987">R518/100000</f>
        <v>-36.705042052212335</v>
      </c>
      <c r="T518">
        <f t="shared" ref="T518:T581" si="988">S518/1000</f>
        <v>-3.6705042052212332E-2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R516" sqref="IR51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$A$515</v>
      </c>
      <c r="D111" s="1" t="str">
        <f>ADDRESS(C121-1,D121,1,1)</f>
        <v>$IR$515</v>
      </c>
      <c r="E111"/>
    </row>
    <row r="112" spans="1:5" x14ac:dyDescent="0.25">
      <c r="A112" s="7">
        <v>12164.144957890772</v>
      </c>
      <c r="C112" s="1" t="str">
        <f>ADDRESS(C121,1,1,1)</f>
        <v>$A$516</v>
      </c>
      <c r="D112" s="1" t="str">
        <f>ADDRESS(C121,D121-1,1,1)</f>
        <v>$IQ$516</v>
      </c>
      <c r="E112"/>
    </row>
    <row r="113" spans="1:5" x14ac:dyDescent="0.25">
      <c r="A113" s="7">
        <v>11925.63231165762</v>
      </c>
      <c r="C113" s="1" t="str">
        <f>ADDRESS(C121+1,1,1,1)</f>
        <v>$A$517</v>
      </c>
      <c r="D113" s="1" t="str">
        <f>ADDRESS(C121-1,D121+1,1,1)</f>
        <v>$IS$515</v>
      </c>
    </row>
    <row r="114" spans="1:5" x14ac:dyDescent="0.25">
      <c r="A114" s="7">
        <v>11691.796383978059</v>
      </c>
      <c r="C114" s="1" t="str">
        <f>ADDRESS(C121,D121,1,1)</f>
        <v>$IR$516</v>
      </c>
      <c r="D114" s="1" t="str">
        <f>ADDRESS(C121+1,D121+1,1,1)</f>
        <v>$IS$517</v>
      </c>
    </row>
    <row r="115" spans="1:5" x14ac:dyDescent="0.25">
      <c r="A115" s="7">
        <v>11462.545474488292</v>
      </c>
      <c r="C115" s="1" t="str">
        <f>ADDRESS(C121+1,D121,1,1)</f>
        <v>$IR$517</v>
      </c>
    </row>
    <row r="116" spans="1:5" x14ac:dyDescent="0.25">
      <c r="A116" s="7">
        <v>11237.789680870874</v>
      </c>
      <c r="C116" s="1">
        <f>C117-1</f>
        <v>515</v>
      </c>
    </row>
    <row r="117" spans="1:5" x14ac:dyDescent="0.25">
      <c r="A117" s="7">
        <v>11017.440863598895</v>
      </c>
      <c r="C117" s="1">
        <f>C121</f>
        <v>516</v>
      </c>
      <c r="D117" s="1">
        <f>D121</f>
        <v>252</v>
      </c>
    </row>
    <row r="118" spans="1:5" x14ac:dyDescent="0.25">
      <c r="A118" s="7">
        <v>10801.412611371465</v>
      </c>
      <c r="C118" s="1">
        <f>C117+1</f>
        <v>517</v>
      </c>
      <c r="D118" s="1">
        <f>D117+1</f>
        <v>253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516</v>
      </c>
      <c r="D121" s="19">
        <v>252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R516</v>
      </c>
      <c r="D123" s="1" t="str">
        <f>"C"&amp;D121</f>
        <v>C252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4.0795493873054074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134" x14ac:dyDescent="0.25">
      <c r="A417" s="7">
        <v>28.975383953883185</v>
      </c>
      <c r="B417"/>
      <c r="C417"/>
      <c r="D417"/>
      <c r="E417"/>
    </row>
    <row r="418" spans="1:134" x14ac:dyDescent="0.25">
      <c r="A418" s="7">
        <v>28.407239170473709</v>
      </c>
      <c r="B418"/>
      <c r="C418"/>
      <c r="D418"/>
      <c r="E418"/>
    </row>
    <row r="419" spans="1:134" x14ac:dyDescent="0.25">
      <c r="A419" s="7">
        <v>27.850234480856578</v>
      </c>
      <c r="B419"/>
      <c r="C419"/>
      <c r="D419"/>
      <c r="E419"/>
    </row>
    <row r="420" spans="1:134" x14ac:dyDescent="0.25">
      <c r="A420" s="7">
        <v>27.304151451820175</v>
      </c>
      <c r="B420"/>
      <c r="C420"/>
      <c r="D420"/>
      <c r="E420"/>
    </row>
    <row r="421" spans="1:134" x14ac:dyDescent="0.25">
      <c r="A421" s="7">
        <v>26.768775933157034</v>
      </c>
      <c r="B421"/>
      <c r="C421"/>
      <c r="D421"/>
      <c r="E421"/>
    </row>
    <row r="422" spans="1:134" x14ac:dyDescent="0.25">
      <c r="A422" s="7">
        <v>26.243897973683367</v>
      </c>
      <c r="B422"/>
      <c r="C422"/>
      <c r="D422"/>
      <c r="E422"/>
    </row>
    <row r="423" spans="1:134" x14ac:dyDescent="0.25">
      <c r="A423" s="7">
        <v>25.729311738905263</v>
      </c>
      <c r="B423"/>
      <c r="C423"/>
      <c r="D423"/>
      <c r="E423"/>
    </row>
    <row r="424" spans="1:134" x14ac:dyDescent="0.25">
      <c r="A424" s="7">
        <v>25.224815430299277</v>
      </c>
      <c r="B424"/>
      <c r="C424"/>
      <c r="D424"/>
      <c r="E424"/>
    </row>
    <row r="425" spans="1:134" x14ac:dyDescent="0.25">
      <c r="A425" s="7">
        <v>24.73021120617576</v>
      </c>
      <c r="B425"/>
      <c r="C425"/>
      <c r="D425"/>
      <c r="E425"/>
    </row>
    <row r="426" spans="1:134" x14ac:dyDescent="0.25">
      <c r="A426" s="7">
        <v>24.24530510409388</v>
      </c>
      <c r="B426"/>
      <c r="C426"/>
      <c r="D426"/>
      <c r="E426"/>
    </row>
    <row r="427" spans="1:134" x14ac:dyDescent="0.25">
      <c r="A427" s="7">
        <v>23.769906964797922</v>
      </c>
      <c r="B427"/>
      <c r="C427"/>
      <c r="D427"/>
      <c r="E427"/>
    </row>
    <row r="428" spans="1:134" x14ac:dyDescent="0.25">
      <c r="A428" s="7">
        <v>23.303830357645023</v>
      </c>
      <c r="B428"/>
      <c r="C428"/>
      <c r="D428"/>
      <c r="E428"/>
      <c r="CQ428" s="27" t="s">
        <v>8</v>
      </c>
    </row>
    <row r="429" spans="1:134" x14ac:dyDescent="0.25">
      <c r="A429" s="7">
        <v>22.84689250749512</v>
      </c>
      <c r="B429"/>
      <c r="C429"/>
      <c r="D429"/>
      <c r="E429"/>
      <c r="CQ429" s="27" t="s">
        <v>8</v>
      </c>
      <c r="CR429" s="27" t="s">
        <v>7</v>
      </c>
    </row>
    <row r="430" spans="1:134" x14ac:dyDescent="0.25">
      <c r="A430" s="7">
        <v>22.398914223034431</v>
      </c>
      <c r="B430"/>
      <c r="C430"/>
      <c r="D430"/>
      <c r="E430"/>
      <c r="CQ430" s="27" t="s">
        <v>8</v>
      </c>
      <c r="CR430" s="27" t="s">
        <v>7</v>
      </c>
      <c r="EC430" s="27" t="s">
        <v>8</v>
      </c>
    </row>
    <row r="431" spans="1:134" x14ac:dyDescent="0.25">
      <c r="A431" s="7">
        <v>21.959719826504344</v>
      </c>
      <c r="B431"/>
      <c r="C431"/>
      <c r="D431"/>
      <c r="E431"/>
      <c r="CQ431" s="27" t="s">
        <v>8</v>
      </c>
      <c r="CR431" s="27" t="s">
        <v>7</v>
      </c>
      <c r="EC431" s="27" t="s">
        <v>8</v>
      </c>
      <c r="ED431" s="27" t="s">
        <v>7</v>
      </c>
    </row>
    <row r="432" spans="1:134" x14ac:dyDescent="0.25">
      <c r="A432" s="7">
        <v>21.52913708480818</v>
      </c>
      <c r="B432"/>
      <c r="C432"/>
      <c r="D432"/>
      <c r="E432"/>
      <c r="CQ432" s="27" t="s">
        <v>8</v>
      </c>
      <c r="CR432" s="27" t="s">
        <v>7</v>
      </c>
      <c r="EC432" s="27" t="s">
        <v>8</v>
      </c>
      <c r="ED432" s="27" t="s">
        <v>7</v>
      </c>
    </row>
    <row r="433" spans="1:190" x14ac:dyDescent="0.25">
      <c r="A433" s="7">
        <v>21.106997141968804</v>
      </c>
      <c r="B433"/>
      <c r="C433"/>
      <c r="D433"/>
      <c r="E433"/>
      <c r="CQ433" s="27" t="s">
        <v>8</v>
      </c>
      <c r="CR433" s="27" t="s">
        <v>7</v>
      </c>
      <c r="EC433" s="27" t="s">
        <v>8</v>
      </c>
      <c r="ED433" s="27" t="s">
        <v>7</v>
      </c>
    </row>
    <row r="434" spans="1:190" x14ac:dyDescent="0.25">
      <c r="A434" s="7">
        <v>20.693134452910591</v>
      </c>
      <c r="B434"/>
      <c r="C434"/>
      <c r="D434"/>
      <c r="E434"/>
      <c r="CK434" s="27" t="s">
        <v>8</v>
      </c>
      <c r="CQ434" s="27" t="s">
        <v>8</v>
      </c>
      <c r="CR434" s="27" t="s">
        <v>7</v>
      </c>
      <c r="CU434" s="27" t="s">
        <v>8</v>
      </c>
      <c r="EC434" s="27" t="s">
        <v>8</v>
      </c>
      <c r="ED434" s="27" t="s">
        <v>7</v>
      </c>
    </row>
    <row r="435" spans="1:190" x14ac:dyDescent="0.25">
      <c r="A435" s="7">
        <v>20.287386718539796</v>
      </c>
      <c r="B435"/>
      <c r="C435"/>
      <c r="D435"/>
      <c r="E435"/>
      <c r="CK435" s="27" t="s">
        <v>8</v>
      </c>
      <c r="CL435" s="27" t="s">
        <v>7</v>
      </c>
      <c r="CQ435" s="27" t="s">
        <v>8</v>
      </c>
      <c r="CR435" s="27" t="s">
        <v>7</v>
      </c>
      <c r="CS435" s="27" t="s">
        <v>8</v>
      </c>
      <c r="CU435" s="27" t="s">
        <v>8</v>
      </c>
      <c r="CV435" s="27" t="s">
        <v>7</v>
      </c>
      <c r="EC435" s="27" t="s">
        <v>8</v>
      </c>
      <c r="ED435" s="27" t="s">
        <v>7</v>
      </c>
    </row>
    <row r="436" spans="1:190" x14ac:dyDescent="0.25">
      <c r="A436" s="7">
        <v>19.889594822097838</v>
      </c>
      <c r="B436"/>
      <c r="C436"/>
      <c r="D436"/>
      <c r="E436"/>
      <c r="CK436" s="27" t="s">
        <v>8</v>
      </c>
      <c r="CL436" s="27" t="s">
        <v>7</v>
      </c>
      <c r="CO436" s="27" t="s">
        <v>8</v>
      </c>
      <c r="CQ436" s="27" t="s">
        <v>8</v>
      </c>
      <c r="CR436" s="27" t="s">
        <v>7</v>
      </c>
      <c r="CS436" s="27" t="s">
        <v>8</v>
      </c>
      <c r="CT436" s="27" t="s">
        <v>7</v>
      </c>
      <c r="CU436" s="27" t="s">
        <v>8</v>
      </c>
      <c r="CV436" s="27" t="s">
        <v>7</v>
      </c>
      <c r="EC436" s="27" t="s">
        <v>8</v>
      </c>
      <c r="ED436" s="27" t="s">
        <v>7</v>
      </c>
    </row>
    <row r="437" spans="1:190" x14ac:dyDescent="0.25">
      <c r="A437" s="7">
        <v>19.499602766762585</v>
      </c>
      <c r="B437"/>
      <c r="C437"/>
      <c r="D437"/>
      <c r="E437"/>
      <c r="CE437" s="27" t="s">
        <v>8</v>
      </c>
      <c r="CK437" s="27" t="s">
        <v>8</v>
      </c>
      <c r="CL437" s="27" t="s">
        <v>7</v>
      </c>
      <c r="CO437" s="27" t="s">
        <v>8</v>
      </c>
      <c r="CP437" s="27" t="s">
        <v>7</v>
      </c>
      <c r="CQ437" s="27" t="s">
        <v>8</v>
      </c>
      <c r="CR437" s="27" t="s">
        <v>7</v>
      </c>
      <c r="CS437" s="27" t="s">
        <v>8</v>
      </c>
      <c r="CT437" s="27" t="s">
        <v>7</v>
      </c>
      <c r="CU437" s="27" t="s">
        <v>8</v>
      </c>
      <c r="CV437" s="27" t="s">
        <v>7</v>
      </c>
      <c r="EC437" s="27" t="s">
        <v>8</v>
      </c>
      <c r="ED437" s="27" t="s">
        <v>7</v>
      </c>
    </row>
    <row r="438" spans="1:190" x14ac:dyDescent="0.25">
      <c r="A438" s="7">
        <v>19.117257614473122</v>
      </c>
      <c r="B438"/>
      <c r="C438"/>
      <c r="D438"/>
      <c r="E438"/>
      <c r="CE438" s="27" t="s">
        <v>8</v>
      </c>
      <c r="CF438" s="27" t="s">
        <v>7</v>
      </c>
      <c r="CK438" s="27" t="s">
        <v>8</v>
      </c>
      <c r="CL438" s="27" t="s">
        <v>7</v>
      </c>
      <c r="CO438" s="27" t="s">
        <v>8</v>
      </c>
      <c r="CP438" s="27" t="s">
        <v>7</v>
      </c>
      <c r="CQ438" s="27" t="s">
        <v>8</v>
      </c>
      <c r="CR438" s="27" t="s">
        <v>7</v>
      </c>
      <c r="CS438" s="27" t="s">
        <v>8</v>
      </c>
      <c r="CT438" s="27" t="s">
        <v>7</v>
      </c>
      <c r="CV438" s="27" t="s">
        <v>7</v>
      </c>
      <c r="EC438" s="27" t="s">
        <v>8</v>
      </c>
      <c r="ED438" s="27" t="s">
        <v>7</v>
      </c>
    </row>
    <row r="439" spans="1:190" x14ac:dyDescent="0.25">
      <c r="A439" s="7">
        <v>18.74240942595404</v>
      </c>
      <c r="B439"/>
      <c r="C439"/>
      <c r="D439"/>
      <c r="E439"/>
      <c r="CE439" s="27" t="s">
        <v>8</v>
      </c>
      <c r="CF439" s="27" t="s">
        <v>7</v>
      </c>
      <c r="CK439" s="27" t="s">
        <v>8</v>
      </c>
      <c r="CL439" s="27" t="s">
        <v>7</v>
      </c>
      <c r="CO439" s="27" t="s">
        <v>8</v>
      </c>
      <c r="CP439" s="27" t="s">
        <v>7</v>
      </c>
      <c r="CQ439" s="27" t="s">
        <v>8</v>
      </c>
      <c r="CR439" s="27" t="s">
        <v>7</v>
      </c>
      <c r="CV439" s="27" t="s">
        <v>7</v>
      </c>
      <c r="EA439" s="27" t="s">
        <v>8</v>
      </c>
      <c r="EC439" s="27" t="s">
        <v>8</v>
      </c>
      <c r="ED439" s="27" t="s">
        <v>7</v>
      </c>
    </row>
    <row r="440" spans="1:190" x14ac:dyDescent="0.25">
      <c r="A440" s="7">
        <v>18.374911201915726</v>
      </c>
      <c r="B440"/>
      <c r="C440"/>
      <c r="D440"/>
      <c r="E440"/>
      <c r="CE440" s="27" t="s">
        <v>8</v>
      </c>
      <c r="CF440" s="27" t="s">
        <v>7</v>
      </c>
      <c r="CK440" s="27" t="s">
        <v>8</v>
      </c>
      <c r="CL440" s="27" t="s">
        <v>7</v>
      </c>
      <c r="CO440" s="27" t="s">
        <v>8</v>
      </c>
      <c r="CP440" s="27" t="s">
        <v>7</v>
      </c>
      <c r="CQ440" s="27" t="s">
        <v>8</v>
      </c>
      <c r="CV440" s="27" t="s">
        <v>7</v>
      </c>
      <c r="DY440" s="27" t="s">
        <v>8</v>
      </c>
      <c r="EA440" s="27" t="s">
        <v>8</v>
      </c>
      <c r="EB440" s="27" t="s">
        <v>7</v>
      </c>
      <c r="EC440" s="27" t="s">
        <v>8</v>
      </c>
      <c r="ED440" s="27" t="s">
        <v>7</v>
      </c>
    </row>
    <row r="441" spans="1:190" x14ac:dyDescent="0.25">
      <c r="A441" s="7">
        <v>18.014618825407574</v>
      </c>
      <c r="B441"/>
      <c r="C441"/>
      <c r="D441"/>
      <c r="E441"/>
      <c r="CE441" s="27" t="s">
        <v>8</v>
      </c>
      <c r="CF441" s="27" t="s">
        <v>7</v>
      </c>
      <c r="CK441" s="27" t="s">
        <v>8</v>
      </c>
      <c r="CL441" s="27" t="s">
        <v>7</v>
      </c>
      <c r="CM441" s="27" t="s">
        <v>8</v>
      </c>
      <c r="CO441" s="27" t="s">
        <v>8</v>
      </c>
      <c r="CP441" s="27" t="s">
        <v>7</v>
      </c>
      <c r="CQ441" s="27" t="s">
        <v>8</v>
      </c>
      <c r="CV441" s="27" t="s">
        <v>7</v>
      </c>
      <c r="DG441" s="27" t="s">
        <v>8</v>
      </c>
      <c r="DY441" s="27" t="s">
        <v>8</v>
      </c>
      <c r="DZ441" s="27" t="s">
        <v>7</v>
      </c>
      <c r="EA441" s="27" t="s">
        <v>8</v>
      </c>
      <c r="EB441" s="27" t="s">
        <v>7</v>
      </c>
      <c r="EC441" s="27" t="s">
        <v>8</v>
      </c>
      <c r="ED441" s="27" t="s">
        <v>7</v>
      </c>
    </row>
    <row r="442" spans="1:190" x14ac:dyDescent="0.25">
      <c r="A442" s="7">
        <v>17.661391005301542</v>
      </c>
      <c r="B442"/>
      <c r="C442"/>
      <c r="D442"/>
      <c r="E442"/>
      <c r="CA442" s="27" t="s">
        <v>8</v>
      </c>
      <c r="CE442" s="27" t="s">
        <v>8</v>
      </c>
      <c r="CF442" s="27" t="s">
        <v>7</v>
      </c>
      <c r="CI442" s="27" t="s">
        <v>8</v>
      </c>
      <c r="CK442" s="27" t="s">
        <v>8</v>
      </c>
      <c r="CL442" s="27" t="s">
        <v>7</v>
      </c>
      <c r="CM442" s="27" t="s">
        <v>8</v>
      </c>
      <c r="CN442" s="27" t="s">
        <v>7</v>
      </c>
      <c r="CO442" s="27" t="s">
        <v>8</v>
      </c>
      <c r="CP442" s="27" t="s">
        <v>7</v>
      </c>
      <c r="CQ442" s="27" t="s">
        <v>8</v>
      </c>
      <c r="CV442" s="27" t="s">
        <v>7</v>
      </c>
      <c r="DG442" s="27" t="s">
        <v>8</v>
      </c>
      <c r="DH442" s="27" t="s">
        <v>7</v>
      </c>
      <c r="DW442" s="27" t="s">
        <v>8</v>
      </c>
      <c r="DY442" s="27" t="s">
        <v>8</v>
      </c>
      <c r="DZ442" s="27" t="s">
        <v>7</v>
      </c>
      <c r="EA442" s="27" t="s">
        <v>8</v>
      </c>
      <c r="EB442" s="27" t="s">
        <v>7</v>
      </c>
      <c r="EC442" s="27" t="s">
        <v>8</v>
      </c>
      <c r="ED442" s="27" t="s">
        <v>7</v>
      </c>
    </row>
    <row r="443" spans="1:190" x14ac:dyDescent="0.25">
      <c r="A443" s="7">
        <v>17.315089220883866</v>
      </c>
      <c r="B443"/>
      <c r="C443"/>
      <c r="D443"/>
      <c r="E443"/>
      <c r="BW443" s="27" t="s">
        <v>8</v>
      </c>
      <c r="CA443" s="27" t="s">
        <v>8</v>
      </c>
      <c r="CB443" s="27" t="s">
        <v>7</v>
      </c>
      <c r="CE443" s="27" t="s">
        <v>8</v>
      </c>
      <c r="CF443" s="27" t="s">
        <v>7</v>
      </c>
      <c r="CI443" s="27" t="s">
        <v>8</v>
      </c>
      <c r="CJ443" s="27" t="s">
        <v>7</v>
      </c>
      <c r="CK443" s="27" t="s">
        <v>8</v>
      </c>
      <c r="CL443" s="27" t="s">
        <v>7</v>
      </c>
      <c r="CM443" s="27" t="s">
        <v>8</v>
      </c>
      <c r="CN443" s="27" t="s">
        <v>7</v>
      </c>
      <c r="CO443" s="27" t="s">
        <v>8</v>
      </c>
      <c r="CP443" s="27" t="s">
        <v>7</v>
      </c>
      <c r="CV443" s="27" t="s">
        <v>7</v>
      </c>
      <c r="DG443" s="27" t="s">
        <v>8</v>
      </c>
      <c r="DH443" s="27" t="s">
        <v>7</v>
      </c>
      <c r="DW443" s="27" t="s">
        <v>8</v>
      </c>
      <c r="DX443" s="27" t="s">
        <v>7</v>
      </c>
      <c r="DY443" s="27" t="s">
        <v>8</v>
      </c>
      <c r="DZ443" s="27" t="s">
        <v>7</v>
      </c>
      <c r="EA443" s="27" t="s">
        <v>8</v>
      </c>
      <c r="EB443" s="27" t="s">
        <v>7</v>
      </c>
      <c r="EC443" s="27" t="s">
        <v>8</v>
      </c>
      <c r="ED443" s="27" t="s">
        <v>7</v>
      </c>
    </row>
    <row r="444" spans="1:190" x14ac:dyDescent="0.25">
      <c r="A444" s="7">
        <v>16.975577667533202</v>
      </c>
      <c r="B444"/>
      <c r="C444"/>
      <c r="D444"/>
      <c r="E444"/>
      <c r="BW444" s="27" t="s">
        <v>8</v>
      </c>
      <c r="BX444" s="27" t="s">
        <v>7</v>
      </c>
      <c r="BY444" s="27" t="s">
        <v>8</v>
      </c>
      <c r="CA444" s="27" t="s">
        <v>8</v>
      </c>
      <c r="CB444" s="27" t="s">
        <v>7</v>
      </c>
      <c r="CE444" s="27" t="s">
        <v>8</v>
      </c>
      <c r="CF444" s="27" t="s">
        <v>7</v>
      </c>
      <c r="CG444" s="27" t="s">
        <v>8</v>
      </c>
      <c r="CI444" s="27" t="s">
        <v>8</v>
      </c>
      <c r="CJ444" s="27" t="s">
        <v>7</v>
      </c>
      <c r="CK444" s="27" t="s">
        <v>8</v>
      </c>
      <c r="CL444" s="27" t="s">
        <v>7</v>
      </c>
      <c r="CM444" s="27" t="s">
        <v>8</v>
      </c>
      <c r="CN444" s="27" t="s">
        <v>7</v>
      </c>
      <c r="CV444" s="27" t="s">
        <v>7</v>
      </c>
      <c r="CW444" s="27" t="s">
        <v>8</v>
      </c>
      <c r="DG444" s="27" t="s">
        <v>8</v>
      </c>
      <c r="DH444" s="27" t="s">
        <v>7</v>
      </c>
      <c r="DW444" s="27" t="s">
        <v>8</v>
      </c>
      <c r="DX444" s="27" t="s">
        <v>7</v>
      </c>
      <c r="DY444" s="27" t="s">
        <v>8</v>
      </c>
      <c r="DZ444" s="27" t="s">
        <v>7</v>
      </c>
      <c r="EA444" s="27" t="s">
        <v>8</v>
      </c>
      <c r="EB444" s="27" t="s">
        <v>7</v>
      </c>
      <c r="EC444" s="27" t="s">
        <v>8</v>
      </c>
      <c r="ED444" s="27" t="s">
        <v>7</v>
      </c>
      <c r="EE444" s="27" t="s">
        <v>8</v>
      </c>
    </row>
    <row r="445" spans="1:190" x14ac:dyDescent="0.25">
      <c r="A445" s="7">
        <v>16.642723203463923</v>
      </c>
      <c r="B445"/>
      <c r="C445"/>
      <c r="D445"/>
      <c r="E445"/>
      <c r="BW445" s="27" t="s">
        <v>8</v>
      </c>
      <c r="BX445" s="27" t="s">
        <v>7</v>
      </c>
      <c r="BY445" s="27" t="s">
        <v>8</v>
      </c>
      <c r="BZ445" s="27" t="s">
        <v>7</v>
      </c>
      <c r="CA445" s="27" t="s">
        <v>8</v>
      </c>
      <c r="CB445" s="27" t="s">
        <v>7</v>
      </c>
      <c r="CC445" s="27" t="s">
        <v>8</v>
      </c>
      <c r="CE445" s="27" t="s">
        <v>8</v>
      </c>
      <c r="CF445" s="27" t="s">
        <v>7</v>
      </c>
      <c r="CG445" s="27" t="s">
        <v>8</v>
      </c>
      <c r="CH445" s="27" t="s">
        <v>7</v>
      </c>
      <c r="CI445" s="27" t="s">
        <v>8</v>
      </c>
      <c r="CJ445" s="27" t="s">
        <v>7</v>
      </c>
      <c r="CK445" s="27" t="s">
        <v>8</v>
      </c>
      <c r="CL445" s="27" t="s">
        <v>7</v>
      </c>
      <c r="CM445" s="27" t="s">
        <v>8</v>
      </c>
      <c r="CV445" s="27" t="s">
        <v>7</v>
      </c>
      <c r="CW445" s="27" t="s">
        <v>8</v>
      </c>
      <c r="CX445" s="27" t="s">
        <v>7</v>
      </c>
      <c r="DG445" s="27" t="s">
        <v>8</v>
      </c>
      <c r="DH445" s="27" t="s">
        <v>7</v>
      </c>
      <c r="DI445" s="27" t="s">
        <v>8</v>
      </c>
      <c r="DW445" s="27" t="s">
        <v>8</v>
      </c>
      <c r="DX445" s="27" t="s">
        <v>7</v>
      </c>
      <c r="DY445" s="27" t="s">
        <v>8</v>
      </c>
      <c r="DZ445" s="27" t="s">
        <v>7</v>
      </c>
      <c r="EA445" s="27" t="s">
        <v>8</v>
      </c>
      <c r="EB445" s="27" t="s">
        <v>7</v>
      </c>
      <c r="EC445" s="27" t="s">
        <v>8</v>
      </c>
      <c r="ED445" s="27" t="s">
        <v>7</v>
      </c>
      <c r="EE445" s="27" t="s">
        <v>8</v>
      </c>
      <c r="EF445" s="27" t="s">
        <v>7</v>
      </c>
    </row>
    <row r="446" spans="1:190" x14ac:dyDescent="0.25">
      <c r="A446" s="7">
        <v>16.316395297513651</v>
      </c>
      <c r="B446"/>
      <c r="C446"/>
      <c r="D446"/>
      <c r="E446"/>
      <c r="BU446" s="27" t="s">
        <v>8</v>
      </c>
      <c r="BW446" s="27" t="s">
        <v>8</v>
      </c>
      <c r="BX446" s="27" t="s">
        <v>7</v>
      </c>
      <c r="BY446" s="27" t="s">
        <v>8</v>
      </c>
      <c r="BZ446" s="27" t="s">
        <v>7</v>
      </c>
      <c r="CA446" s="27" t="s">
        <v>8</v>
      </c>
      <c r="CB446" s="27" t="s">
        <v>7</v>
      </c>
      <c r="CC446" s="27" t="s">
        <v>8</v>
      </c>
      <c r="CD446" s="27" t="s">
        <v>7</v>
      </c>
      <c r="CE446" s="27" t="s">
        <v>8</v>
      </c>
      <c r="CF446" s="27" t="s">
        <v>7</v>
      </c>
      <c r="CG446" s="27" t="s">
        <v>8</v>
      </c>
      <c r="CH446" s="27" t="s">
        <v>7</v>
      </c>
      <c r="CI446" s="27" t="s">
        <v>8</v>
      </c>
      <c r="CJ446" s="27" t="s">
        <v>7</v>
      </c>
      <c r="CK446" s="27" t="s">
        <v>8</v>
      </c>
      <c r="CL446" s="27" t="s">
        <v>7</v>
      </c>
      <c r="CM446" s="27" t="s">
        <v>8</v>
      </c>
      <c r="CV446" s="27" t="s">
        <v>7</v>
      </c>
      <c r="CW446" s="27" t="s">
        <v>8</v>
      </c>
      <c r="CX446" s="27" t="s">
        <v>7</v>
      </c>
      <c r="DA446" s="27" t="s">
        <v>8</v>
      </c>
      <c r="DG446" s="27" t="s">
        <v>8</v>
      </c>
      <c r="DH446" s="27" t="s">
        <v>7</v>
      </c>
      <c r="DI446" s="27" t="s">
        <v>8</v>
      </c>
      <c r="DJ446" s="27" t="s">
        <v>7</v>
      </c>
      <c r="DW446" s="27" t="s">
        <v>8</v>
      </c>
      <c r="DX446" s="27" t="s">
        <v>7</v>
      </c>
      <c r="DY446" s="27" t="s">
        <v>8</v>
      </c>
      <c r="DZ446" s="27" t="s">
        <v>7</v>
      </c>
      <c r="EA446" s="27" t="s">
        <v>8</v>
      </c>
      <c r="EB446" s="27" t="s">
        <v>7</v>
      </c>
      <c r="EC446" s="27" t="s">
        <v>8</v>
      </c>
      <c r="ED446" s="27" t="s">
        <v>7</v>
      </c>
      <c r="EE446" s="27" t="s">
        <v>8</v>
      </c>
      <c r="EF446" s="27" t="s">
        <v>7</v>
      </c>
    </row>
    <row r="447" spans="1:190" x14ac:dyDescent="0.25">
      <c r="A447" s="7">
        <v>15.996465977954561</v>
      </c>
      <c r="B447"/>
      <c r="C447"/>
      <c r="D447"/>
      <c r="E447"/>
      <c r="BU447" s="27" t="s">
        <v>8</v>
      </c>
      <c r="BV447" s="27" t="s">
        <v>7</v>
      </c>
      <c r="BW447" s="27" t="s">
        <v>8</v>
      </c>
      <c r="BX447" s="27" t="s">
        <v>7</v>
      </c>
      <c r="BY447" s="27" t="s">
        <v>8</v>
      </c>
      <c r="BZ447" s="27" t="s">
        <v>7</v>
      </c>
      <c r="CA447" s="27" t="s">
        <v>8</v>
      </c>
      <c r="CB447" s="27" t="s">
        <v>7</v>
      </c>
      <c r="CC447" s="27" t="s">
        <v>8</v>
      </c>
      <c r="CD447" s="27" t="s">
        <v>7</v>
      </c>
      <c r="CE447" s="27" t="s">
        <v>8</v>
      </c>
      <c r="CF447" s="27" t="s">
        <v>7</v>
      </c>
      <c r="CG447" s="27" t="s">
        <v>8</v>
      </c>
      <c r="CH447" s="27" t="s">
        <v>7</v>
      </c>
      <c r="CI447" s="27" t="s">
        <v>8</v>
      </c>
      <c r="CJ447" s="27" t="s">
        <v>7</v>
      </c>
      <c r="CK447" s="27" t="s">
        <v>8</v>
      </c>
      <c r="CL447" s="27" t="s">
        <v>7</v>
      </c>
      <c r="CM447" s="27" t="s">
        <v>8</v>
      </c>
      <c r="CV447" s="27" t="s">
        <v>7</v>
      </c>
      <c r="CW447" s="27" t="s">
        <v>8</v>
      </c>
      <c r="CX447" s="27" t="s">
        <v>7</v>
      </c>
      <c r="CY447" s="27" t="s">
        <v>8</v>
      </c>
      <c r="DA447" s="27" t="s">
        <v>8</v>
      </c>
      <c r="DB447" s="27" t="s">
        <v>7</v>
      </c>
      <c r="DG447" s="27" t="s">
        <v>8</v>
      </c>
      <c r="DH447" s="27" t="s">
        <v>7</v>
      </c>
      <c r="DI447" s="27" t="s">
        <v>8</v>
      </c>
      <c r="DJ447" s="27" t="s">
        <v>7</v>
      </c>
      <c r="DW447" s="27" t="s">
        <v>8</v>
      </c>
      <c r="DX447" s="27" t="s">
        <v>7</v>
      </c>
      <c r="DY447" s="27" t="s">
        <v>8</v>
      </c>
      <c r="DZ447" s="27" t="s">
        <v>7</v>
      </c>
      <c r="EA447" s="27" t="s">
        <v>8</v>
      </c>
      <c r="EB447" s="27" t="s">
        <v>7</v>
      </c>
      <c r="EC447" s="27" t="s">
        <v>8</v>
      </c>
      <c r="ED447" s="27" t="s">
        <v>7</v>
      </c>
      <c r="EE447" s="27" t="s">
        <v>8</v>
      </c>
      <c r="EF447" s="27" t="s">
        <v>7</v>
      </c>
      <c r="GG447" s="27" t="s">
        <v>8</v>
      </c>
    </row>
    <row r="448" spans="1:190" x14ac:dyDescent="0.25">
      <c r="A448" s="7">
        <v>15.682809782308393</v>
      </c>
      <c r="B448"/>
      <c r="C448"/>
      <c r="D448"/>
      <c r="E448"/>
      <c r="BU448" s="27" t="s">
        <v>8</v>
      </c>
      <c r="BV448" s="27" t="s">
        <v>7</v>
      </c>
      <c r="BW448" s="27" t="s">
        <v>8</v>
      </c>
      <c r="BX448" s="27" t="s">
        <v>7</v>
      </c>
      <c r="BZ448" s="27" t="s">
        <v>7</v>
      </c>
      <c r="CA448" s="27" t="s">
        <v>8</v>
      </c>
      <c r="CB448" s="27" t="s">
        <v>7</v>
      </c>
      <c r="CC448" s="27" t="s">
        <v>8</v>
      </c>
      <c r="CD448" s="27" t="s">
        <v>7</v>
      </c>
      <c r="CE448" s="27" t="s">
        <v>8</v>
      </c>
      <c r="CF448" s="27" t="s">
        <v>7</v>
      </c>
      <c r="CG448" s="27" t="s">
        <v>8</v>
      </c>
      <c r="CH448" s="27" t="s">
        <v>7</v>
      </c>
      <c r="CI448" s="27" t="s">
        <v>8</v>
      </c>
      <c r="CJ448" s="27" t="s">
        <v>7</v>
      </c>
      <c r="CK448" s="27" t="s">
        <v>8</v>
      </c>
      <c r="CL448" s="27" t="s">
        <v>7</v>
      </c>
      <c r="CV448" s="27" t="s">
        <v>7</v>
      </c>
      <c r="CW448" s="27" t="s">
        <v>8</v>
      </c>
      <c r="CX448" s="27" t="s">
        <v>7</v>
      </c>
      <c r="CY448" s="27" t="s">
        <v>8</v>
      </c>
      <c r="CZ448" s="27" t="s">
        <v>7</v>
      </c>
      <c r="DA448" s="27" t="s">
        <v>8</v>
      </c>
      <c r="DB448" s="27" t="s">
        <v>7</v>
      </c>
      <c r="DC448" s="27" t="s">
        <v>8</v>
      </c>
      <c r="DG448" s="27" t="s">
        <v>8</v>
      </c>
      <c r="DH448" s="27" t="s">
        <v>7</v>
      </c>
      <c r="DJ448" s="27" t="s">
        <v>7</v>
      </c>
      <c r="DW448" s="27" t="s">
        <v>8</v>
      </c>
      <c r="DX448" s="27" t="s">
        <v>7</v>
      </c>
      <c r="DY448" s="27" t="s">
        <v>8</v>
      </c>
      <c r="DZ448" s="27" t="s">
        <v>7</v>
      </c>
      <c r="EA448" s="27" t="s">
        <v>8</v>
      </c>
      <c r="EB448" s="27" t="s">
        <v>7</v>
      </c>
      <c r="EC448" s="27" t="s">
        <v>8</v>
      </c>
      <c r="ED448" s="27" t="s">
        <v>7</v>
      </c>
      <c r="EE448" s="27" t="s">
        <v>8</v>
      </c>
      <c r="EF448" s="27" t="s">
        <v>7</v>
      </c>
      <c r="GG448" s="27" t="s">
        <v>8</v>
      </c>
      <c r="GH448" s="27" t="s">
        <v>7</v>
      </c>
    </row>
    <row r="449" spans="1:216" x14ac:dyDescent="0.25">
      <c r="A449" s="7">
        <v>15.375303708145482</v>
      </c>
      <c r="B449"/>
      <c r="C449"/>
      <c r="D449"/>
      <c r="E449"/>
      <c r="BU449" s="27" t="s">
        <v>8</v>
      </c>
      <c r="BV449" s="27" t="s">
        <v>7</v>
      </c>
      <c r="BW449" s="27" t="s">
        <v>8</v>
      </c>
      <c r="BZ449" s="27" t="s">
        <v>7</v>
      </c>
      <c r="CA449" s="27" t="s">
        <v>8</v>
      </c>
      <c r="CB449" s="27" t="s">
        <v>7</v>
      </c>
      <c r="CC449" s="27" t="s">
        <v>8</v>
      </c>
      <c r="CD449" s="27" t="s">
        <v>7</v>
      </c>
      <c r="CE449" s="27" t="s">
        <v>8</v>
      </c>
      <c r="CF449" s="27" t="s">
        <v>7</v>
      </c>
      <c r="CG449" s="27" t="s">
        <v>8</v>
      </c>
      <c r="CH449" s="27" t="s">
        <v>7</v>
      </c>
      <c r="CI449" s="27" t="s">
        <v>8</v>
      </c>
      <c r="CJ449" s="27" t="s">
        <v>7</v>
      </c>
      <c r="CK449" s="27" t="s">
        <v>8</v>
      </c>
      <c r="CV449" s="27" t="s">
        <v>7</v>
      </c>
      <c r="CW449" s="27" t="s">
        <v>8</v>
      </c>
      <c r="CX449" s="27" t="s">
        <v>7</v>
      </c>
      <c r="CY449" s="27" t="s">
        <v>8</v>
      </c>
      <c r="CZ449" s="27" t="s">
        <v>7</v>
      </c>
      <c r="DA449" s="27" t="s">
        <v>8</v>
      </c>
      <c r="DB449" s="27" t="s">
        <v>7</v>
      </c>
      <c r="DC449" s="27" t="s">
        <v>8</v>
      </c>
      <c r="DD449" s="27" t="s">
        <v>7</v>
      </c>
      <c r="DE449" s="27" t="s">
        <v>8</v>
      </c>
      <c r="DG449" s="27" t="s">
        <v>8</v>
      </c>
      <c r="DJ449" s="27" t="s">
        <v>7</v>
      </c>
      <c r="DW449" s="27" t="s">
        <v>8</v>
      </c>
      <c r="DX449" s="27" t="s">
        <v>7</v>
      </c>
      <c r="DY449" s="27" t="s">
        <v>8</v>
      </c>
      <c r="DZ449" s="27" t="s">
        <v>7</v>
      </c>
      <c r="EA449" s="27" t="s">
        <v>8</v>
      </c>
      <c r="EB449" s="27" t="s">
        <v>7</v>
      </c>
      <c r="EC449" s="27" t="s">
        <v>8</v>
      </c>
      <c r="ED449" s="27" t="s">
        <v>7</v>
      </c>
      <c r="EE449" s="27" t="s">
        <v>8</v>
      </c>
      <c r="EF449" s="27" t="s">
        <v>7</v>
      </c>
      <c r="GG449" s="27" t="s">
        <v>8</v>
      </c>
      <c r="GH449" s="27" t="s">
        <v>7</v>
      </c>
    </row>
    <row r="450" spans="1:216" x14ac:dyDescent="0.25">
      <c r="A450" s="7">
        <v>15.073827164848511</v>
      </c>
      <c r="B450"/>
      <c r="C450"/>
      <c r="D450"/>
      <c r="E450"/>
      <c r="BU450" s="27" t="s">
        <v>8</v>
      </c>
      <c r="BV450" s="27" t="s">
        <v>7</v>
      </c>
      <c r="BW450" s="27" t="s">
        <v>8</v>
      </c>
      <c r="BZ450" s="27" t="s">
        <v>7</v>
      </c>
      <c r="CA450" s="27" t="s">
        <v>8</v>
      </c>
      <c r="CB450" s="27" t="s">
        <v>7</v>
      </c>
      <c r="CC450" s="27" t="s">
        <v>8</v>
      </c>
      <c r="CD450" s="27" t="s">
        <v>7</v>
      </c>
      <c r="CE450" s="27" t="s">
        <v>8</v>
      </c>
      <c r="CF450" s="27" t="s">
        <v>7</v>
      </c>
      <c r="CG450" s="27" t="s">
        <v>8</v>
      </c>
      <c r="CH450" s="27" t="s">
        <v>7</v>
      </c>
      <c r="CI450" s="27" t="s">
        <v>8</v>
      </c>
      <c r="CJ450" s="27" t="s">
        <v>7</v>
      </c>
      <c r="CK450" s="27" t="s">
        <v>8</v>
      </c>
      <c r="CV450" s="27" t="s">
        <v>7</v>
      </c>
      <c r="CW450" s="27" t="s">
        <v>8</v>
      </c>
      <c r="CX450" s="27" t="s">
        <v>7</v>
      </c>
      <c r="CZ450" s="27" t="s">
        <v>7</v>
      </c>
      <c r="DA450" s="27" t="s">
        <v>8</v>
      </c>
      <c r="DB450" s="27" t="s">
        <v>7</v>
      </c>
      <c r="DC450" s="27" t="s">
        <v>8</v>
      </c>
      <c r="DD450" s="27" t="s">
        <v>7</v>
      </c>
      <c r="DE450" s="27" t="s">
        <v>8</v>
      </c>
      <c r="DF450" s="27" t="s">
        <v>7</v>
      </c>
      <c r="DG450" s="27" t="s">
        <v>8</v>
      </c>
      <c r="DJ450" s="27" t="s">
        <v>7</v>
      </c>
      <c r="DS450" s="27" t="s">
        <v>8</v>
      </c>
      <c r="DW450" s="27" t="s">
        <v>8</v>
      </c>
      <c r="DX450" s="27" t="s">
        <v>7</v>
      </c>
      <c r="DY450" s="27" t="s">
        <v>8</v>
      </c>
      <c r="DZ450" s="27" t="s">
        <v>7</v>
      </c>
      <c r="EA450" s="27" t="s">
        <v>8</v>
      </c>
      <c r="EB450" s="27" t="s">
        <v>7</v>
      </c>
      <c r="EC450" s="27" t="s">
        <v>8</v>
      </c>
      <c r="ED450" s="27" t="s">
        <v>7</v>
      </c>
      <c r="EE450" s="27" t="s">
        <v>8</v>
      </c>
      <c r="EF450" s="27" t="s">
        <v>7</v>
      </c>
      <c r="GG450" s="27" t="s">
        <v>8</v>
      </c>
      <c r="GH450" s="27" t="s">
        <v>7</v>
      </c>
    </row>
    <row r="451" spans="1:216" x14ac:dyDescent="0.25">
      <c r="A451" s="7">
        <v>14.77826192632207</v>
      </c>
      <c r="B451"/>
      <c r="C451"/>
      <c r="D451"/>
      <c r="E451"/>
      <c r="BU451" s="27" t="s">
        <v>8</v>
      </c>
      <c r="BV451" s="27" t="s">
        <v>7</v>
      </c>
      <c r="BW451" s="27" t="s">
        <v>8</v>
      </c>
      <c r="BZ451" s="27" t="s">
        <v>7</v>
      </c>
      <c r="CA451" s="27" t="s">
        <v>8</v>
      </c>
      <c r="CB451" s="27" t="s">
        <v>7</v>
      </c>
      <c r="CD451" s="27" t="s">
        <v>7</v>
      </c>
      <c r="CE451" s="27" t="s">
        <v>8</v>
      </c>
      <c r="CF451" s="27" t="s">
        <v>7</v>
      </c>
      <c r="CG451" s="27" t="s">
        <v>8</v>
      </c>
      <c r="CH451" s="27" t="s">
        <v>7</v>
      </c>
      <c r="CI451" s="27" t="s">
        <v>8</v>
      </c>
      <c r="CJ451" s="27" t="s">
        <v>7</v>
      </c>
      <c r="CK451" s="27" t="s">
        <v>8</v>
      </c>
      <c r="CV451" s="27" t="s">
        <v>7</v>
      </c>
      <c r="CW451" s="27" t="s">
        <v>8</v>
      </c>
      <c r="CZ451" s="27" t="s">
        <v>7</v>
      </c>
      <c r="DA451" s="27" t="s">
        <v>8</v>
      </c>
      <c r="DB451" s="27" t="s">
        <v>7</v>
      </c>
      <c r="DD451" s="27" t="s">
        <v>7</v>
      </c>
      <c r="DE451" s="27" t="s">
        <v>8</v>
      </c>
      <c r="DF451" s="27" t="s">
        <v>7</v>
      </c>
      <c r="DG451" s="27" t="s">
        <v>8</v>
      </c>
      <c r="DJ451" s="27" t="s">
        <v>7</v>
      </c>
      <c r="DQ451" s="27" t="s">
        <v>8</v>
      </c>
      <c r="DS451" s="27" t="s">
        <v>8</v>
      </c>
      <c r="DT451" s="27" t="s">
        <v>7</v>
      </c>
      <c r="DU451" s="27" t="s">
        <v>8</v>
      </c>
      <c r="DW451" s="27" t="s">
        <v>8</v>
      </c>
      <c r="DX451" s="27" t="s">
        <v>7</v>
      </c>
      <c r="DY451" s="27" t="s">
        <v>8</v>
      </c>
      <c r="DZ451" s="27" t="s">
        <v>7</v>
      </c>
      <c r="EA451" s="27" t="s">
        <v>8</v>
      </c>
      <c r="EB451" s="27" t="s">
        <v>7</v>
      </c>
      <c r="EC451" s="27" t="s">
        <v>8</v>
      </c>
      <c r="ED451" s="27" t="s">
        <v>7</v>
      </c>
      <c r="EE451" s="27" t="s">
        <v>8</v>
      </c>
      <c r="EF451" s="27" t="s">
        <v>7</v>
      </c>
      <c r="FU451" s="27" t="s">
        <v>8</v>
      </c>
      <c r="GG451" s="27" t="s">
        <v>8</v>
      </c>
      <c r="GH451" s="27" t="s">
        <v>7</v>
      </c>
    </row>
    <row r="452" spans="1:216" x14ac:dyDescent="0.25">
      <c r="A452" s="7">
        <v>14.488492084629481</v>
      </c>
      <c r="B452"/>
      <c r="C452"/>
      <c r="D452"/>
      <c r="E452"/>
      <c r="BU452" s="27" t="s">
        <v>8</v>
      </c>
      <c r="BV452" s="27" t="s">
        <v>7</v>
      </c>
      <c r="BW452" s="27" t="s">
        <v>8</v>
      </c>
      <c r="BZ452" s="27" t="s">
        <v>7</v>
      </c>
      <c r="CA452" s="27" t="s">
        <v>8</v>
      </c>
      <c r="CD452" s="27" t="s">
        <v>7</v>
      </c>
      <c r="CE452" s="27" t="s">
        <v>8</v>
      </c>
      <c r="CF452" s="27" t="s">
        <v>7</v>
      </c>
      <c r="CG452" s="27" t="s">
        <v>8</v>
      </c>
      <c r="CH452" s="27" t="s">
        <v>7</v>
      </c>
      <c r="CI452" s="27" t="s">
        <v>8</v>
      </c>
      <c r="CJ452" s="27" t="s">
        <v>7</v>
      </c>
      <c r="CK452" s="27" t="s">
        <v>8</v>
      </c>
      <c r="CV452" s="27" t="s">
        <v>7</v>
      </c>
      <c r="CW452" s="27" t="s">
        <v>8</v>
      </c>
      <c r="CZ452" s="27" t="s">
        <v>7</v>
      </c>
      <c r="DA452" s="27" t="s">
        <v>8</v>
      </c>
      <c r="DD452" s="27" t="s">
        <v>7</v>
      </c>
      <c r="DE452" s="27" t="s">
        <v>8</v>
      </c>
      <c r="DF452" s="27" t="s">
        <v>7</v>
      </c>
      <c r="DG452" s="27" t="s">
        <v>8</v>
      </c>
      <c r="DJ452" s="27" t="s">
        <v>7</v>
      </c>
      <c r="DQ452" s="27" t="s">
        <v>8</v>
      </c>
      <c r="DR452" s="27" t="s">
        <v>7</v>
      </c>
      <c r="DS452" s="27" t="s">
        <v>8</v>
      </c>
      <c r="DT452" s="27" t="s">
        <v>7</v>
      </c>
      <c r="DU452" s="27" t="s">
        <v>8</v>
      </c>
      <c r="DV452" s="27" t="s">
        <v>7</v>
      </c>
      <c r="DW452" s="27" t="s">
        <v>8</v>
      </c>
      <c r="DX452" s="27" t="s">
        <v>7</v>
      </c>
      <c r="DY452" s="27" t="s">
        <v>8</v>
      </c>
      <c r="DZ452" s="27" t="s">
        <v>7</v>
      </c>
      <c r="EA452" s="27" t="s">
        <v>8</v>
      </c>
      <c r="EB452" s="27" t="s">
        <v>7</v>
      </c>
      <c r="ED452" s="27" t="s">
        <v>7</v>
      </c>
      <c r="EE452" s="27" t="s">
        <v>8</v>
      </c>
      <c r="EF452" s="27" t="s">
        <v>7</v>
      </c>
      <c r="FU452" s="27" t="s">
        <v>8</v>
      </c>
      <c r="FV452" s="27" t="s">
        <v>7</v>
      </c>
      <c r="GG452" s="27" t="s">
        <v>8</v>
      </c>
      <c r="GH452" s="27" t="s">
        <v>7</v>
      </c>
    </row>
    <row r="453" spans="1:216" x14ac:dyDescent="0.25">
      <c r="A453" s="7">
        <v>14.204404004538707</v>
      </c>
      <c r="B453"/>
      <c r="C453"/>
      <c r="D453"/>
      <c r="E453"/>
      <c r="BU453" s="27" t="s">
        <v>8</v>
      </c>
      <c r="BV453" s="27" t="s">
        <v>7</v>
      </c>
      <c r="BW453" s="27" t="s">
        <v>8</v>
      </c>
      <c r="BZ453" s="27" t="s">
        <v>7</v>
      </c>
      <c r="CA453" s="27" t="s">
        <v>8</v>
      </c>
      <c r="CD453" s="27" t="s">
        <v>7</v>
      </c>
      <c r="CE453" s="27" t="s">
        <v>8</v>
      </c>
      <c r="CF453" s="27" t="s">
        <v>7</v>
      </c>
      <c r="CG453" s="27" t="s">
        <v>8</v>
      </c>
      <c r="CH453" s="27" t="s">
        <v>7</v>
      </c>
      <c r="CI453" s="27" t="s">
        <v>8</v>
      </c>
      <c r="CJ453" s="27" t="s">
        <v>7</v>
      </c>
      <c r="CK453" s="27" t="s">
        <v>8</v>
      </c>
      <c r="CV453" s="27" t="s">
        <v>7</v>
      </c>
      <c r="CZ453" s="27" t="s">
        <v>7</v>
      </c>
      <c r="DD453" s="27" t="s">
        <v>7</v>
      </c>
      <c r="DE453" s="27" t="s">
        <v>8</v>
      </c>
      <c r="DF453" s="27" t="s">
        <v>7</v>
      </c>
      <c r="DG453" s="27" t="s">
        <v>8</v>
      </c>
      <c r="DJ453" s="27" t="s">
        <v>7</v>
      </c>
      <c r="DK453" s="27" t="s">
        <v>8</v>
      </c>
      <c r="DM453" s="27" t="s">
        <v>8</v>
      </c>
      <c r="DQ453" s="27" t="s">
        <v>8</v>
      </c>
      <c r="DR453" s="27" t="s">
        <v>7</v>
      </c>
      <c r="DS453" s="27" t="s">
        <v>8</v>
      </c>
      <c r="DT453" s="27" t="s">
        <v>7</v>
      </c>
      <c r="DU453" s="27" t="s">
        <v>8</v>
      </c>
      <c r="DV453" s="27" t="s">
        <v>7</v>
      </c>
      <c r="DW453" s="27" t="s">
        <v>8</v>
      </c>
      <c r="DX453" s="27" t="s">
        <v>7</v>
      </c>
      <c r="DY453" s="27" t="s">
        <v>8</v>
      </c>
      <c r="DZ453" s="27" t="s">
        <v>7</v>
      </c>
      <c r="EA453" s="27" t="s">
        <v>8</v>
      </c>
      <c r="ED453" s="27" t="s">
        <v>7</v>
      </c>
      <c r="EE453" s="27" t="s">
        <v>8</v>
      </c>
      <c r="EF453" s="27" t="s">
        <v>7</v>
      </c>
      <c r="FS453" s="27" t="s">
        <v>8</v>
      </c>
      <c r="FU453" s="27" t="s">
        <v>8</v>
      </c>
      <c r="FV453" s="27" t="s">
        <v>7</v>
      </c>
      <c r="GA453" s="27" t="s">
        <v>8</v>
      </c>
      <c r="GG453" s="27" t="s">
        <v>8</v>
      </c>
      <c r="GH453" s="27" t="s">
        <v>7</v>
      </c>
    </row>
    <row r="454" spans="1:216" x14ac:dyDescent="0.25">
      <c r="A454" s="7">
        <v>13.925886278959517</v>
      </c>
      <c r="B454"/>
      <c r="C454"/>
      <c r="D454"/>
      <c r="E454"/>
      <c r="BU454" s="27" t="s">
        <v>8</v>
      </c>
      <c r="BV454" s="27" t="s">
        <v>7</v>
      </c>
      <c r="BW454" s="27" t="s">
        <v>8</v>
      </c>
      <c r="BZ454" s="27" t="s">
        <v>7</v>
      </c>
      <c r="CA454" s="27" t="s">
        <v>8</v>
      </c>
      <c r="CD454" s="27" t="s">
        <v>7</v>
      </c>
      <c r="CF454" s="27" t="s">
        <v>7</v>
      </c>
      <c r="CG454" s="27" t="s">
        <v>8</v>
      </c>
      <c r="CH454" s="27" t="s">
        <v>7</v>
      </c>
      <c r="CI454" s="27" t="s">
        <v>8</v>
      </c>
      <c r="CJ454" s="27" t="s">
        <v>7</v>
      </c>
      <c r="CK454" s="27" t="s">
        <v>8</v>
      </c>
      <c r="DD454" s="27" t="s">
        <v>7</v>
      </c>
      <c r="DE454" s="27" t="s">
        <v>8</v>
      </c>
      <c r="DF454" s="27" t="s">
        <v>7</v>
      </c>
      <c r="DJ454" s="27" t="s">
        <v>7</v>
      </c>
      <c r="DK454" s="27" t="s">
        <v>8</v>
      </c>
      <c r="DL454" s="27" t="s">
        <v>7</v>
      </c>
      <c r="DM454" s="27" t="s">
        <v>8</v>
      </c>
      <c r="DN454" s="27" t="s">
        <v>7</v>
      </c>
      <c r="DQ454" s="27" t="s">
        <v>8</v>
      </c>
      <c r="DR454" s="27" t="s">
        <v>7</v>
      </c>
      <c r="DT454" s="27" t="s">
        <v>7</v>
      </c>
      <c r="DV454" s="27" t="s">
        <v>7</v>
      </c>
      <c r="DW454" s="27" t="s">
        <v>8</v>
      </c>
      <c r="DX454" s="27" t="s">
        <v>7</v>
      </c>
      <c r="DY454" s="27" t="s">
        <v>8</v>
      </c>
      <c r="DZ454" s="27" t="s">
        <v>7</v>
      </c>
      <c r="ED454" s="27" t="s">
        <v>7</v>
      </c>
      <c r="EE454" s="27" t="s">
        <v>8</v>
      </c>
      <c r="EF454" s="27" t="s">
        <v>7</v>
      </c>
      <c r="FS454" s="27" t="s">
        <v>8</v>
      </c>
      <c r="FT454" s="27" t="s">
        <v>7</v>
      </c>
      <c r="FU454" s="27" t="s">
        <v>8</v>
      </c>
      <c r="FV454" s="27" t="s">
        <v>7</v>
      </c>
      <c r="FY454" s="27" t="s">
        <v>8</v>
      </c>
      <c r="GA454" s="27" t="s">
        <v>8</v>
      </c>
      <c r="GB454" s="27" t="s">
        <v>7</v>
      </c>
      <c r="GG454" s="27" t="s">
        <v>8</v>
      </c>
      <c r="GH454" s="27" t="s">
        <v>7</v>
      </c>
    </row>
    <row r="455" spans="1:216" x14ac:dyDescent="0.25">
      <c r="A455" s="7">
        <v>13.652829685254428</v>
      </c>
      <c r="B455"/>
      <c r="C455"/>
      <c r="D455"/>
      <c r="E455"/>
      <c r="BU455" s="27" t="s">
        <v>8</v>
      </c>
      <c r="BV455" s="27" t="s">
        <v>7</v>
      </c>
      <c r="BW455" s="27" t="s">
        <v>8</v>
      </c>
      <c r="BZ455" s="27" t="s">
        <v>7</v>
      </c>
      <c r="CA455" s="27" t="s">
        <v>8</v>
      </c>
      <c r="CF455" s="27" t="s">
        <v>7</v>
      </c>
      <c r="CG455" s="27" t="s">
        <v>8</v>
      </c>
      <c r="CH455" s="27" t="s">
        <v>7</v>
      </c>
      <c r="CI455" s="27" t="s">
        <v>8</v>
      </c>
      <c r="CJ455" s="27" t="s">
        <v>7</v>
      </c>
      <c r="DD455" s="27" t="s">
        <v>7</v>
      </c>
      <c r="DJ455" s="27" t="s">
        <v>7</v>
      </c>
      <c r="DK455" s="27" t="s">
        <v>8</v>
      </c>
      <c r="DL455" s="27" t="s">
        <v>7</v>
      </c>
      <c r="DM455" s="27" t="s">
        <v>8</v>
      </c>
      <c r="DN455" s="27" t="s">
        <v>7</v>
      </c>
      <c r="DQ455" s="27" t="s">
        <v>8</v>
      </c>
      <c r="DV455" s="27" t="s">
        <v>7</v>
      </c>
      <c r="DW455" s="27" t="s">
        <v>8</v>
      </c>
      <c r="DX455" s="27" t="s">
        <v>7</v>
      </c>
      <c r="DY455" s="27" t="s">
        <v>8</v>
      </c>
      <c r="ED455" s="27" t="s">
        <v>7</v>
      </c>
      <c r="EE455" s="27" t="s">
        <v>8</v>
      </c>
      <c r="EF455" s="27" t="s">
        <v>7</v>
      </c>
      <c r="FS455" s="27" t="s">
        <v>8</v>
      </c>
      <c r="FT455" s="27" t="s">
        <v>7</v>
      </c>
      <c r="FU455" s="27" t="s">
        <v>8</v>
      </c>
      <c r="FV455" s="27" t="s">
        <v>7</v>
      </c>
      <c r="FY455" s="27" t="s">
        <v>8</v>
      </c>
      <c r="FZ455" s="27" t="s">
        <v>7</v>
      </c>
      <c r="GA455" s="27" t="s">
        <v>8</v>
      </c>
      <c r="GB455" s="27" t="s">
        <v>7</v>
      </c>
      <c r="GG455" s="27" t="s">
        <v>8</v>
      </c>
      <c r="GH455" s="27" t="s">
        <v>7</v>
      </c>
    </row>
    <row r="456" spans="1:216" x14ac:dyDescent="0.25">
      <c r="A456" s="7">
        <v>13.385127142406303</v>
      </c>
      <c r="B456"/>
      <c r="C456"/>
      <c r="D456"/>
      <c r="E456"/>
      <c r="BU456" s="27" t="s">
        <v>8</v>
      </c>
      <c r="BV456" s="27" t="s">
        <v>7</v>
      </c>
      <c r="BW456" s="27" t="s">
        <v>8</v>
      </c>
      <c r="BZ456" s="27" t="s">
        <v>7</v>
      </c>
      <c r="CA456" s="27" t="s">
        <v>8</v>
      </c>
      <c r="CF456" s="27" t="s">
        <v>7</v>
      </c>
      <c r="CG456" s="27" t="s">
        <v>8</v>
      </c>
      <c r="CH456" s="27" t="s">
        <v>7</v>
      </c>
      <c r="CI456" s="27" t="s">
        <v>8</v>
      </c>
      <c r="DJ456" s="27" t="s">
        <v>7</v>
      </c>
      <c r="DK456" s="27" t="s">
        <v>8</v>
      </c>
      <c r="DL456" s="27" t="s">
        <v>7</v>
      </c>
      <c r="DM456" s="27" t="s">
        <v>8</v>
      </c>
      <c r="DN456" s="27" t="s">
        <v>7</v>
      </c>
      <c r="DQ456" s="27" t="s">
        <v>8</v>
      </c>
      <c r="DV456" s="27" t="s">
        <v>7</v>
      </c>
      <c r="DW456" s="27" t="s">
        <v>8</v>
      </c>
      <c r="DX456" s="27" t="s">
        <v>7</v>
      </c>
      <c r="DY456" s="27" t="s">
        <v>8</v>
      </c>
      <c r="ED456" s="27" t="s">
        <v>7</v>
      </c>
      <c r="EE456" s="27" t="s">
        <v>8</v>
      </c>
      <c r="EF456" s="27" t="s">
        <v>7</v>
      </c>
      <c r="EG456" s="27" t="s">
        <v>8</v>
      </c>
      <c r="EI456" s="27" t="s">
        <v>8</v>
      </c>
      <c r="FS456" s="27" t="s">
        <v>8</v>
      </c>
      <c r="FT456" s="27" t="s">
        <v>7</v>
      </c>
      <c r="FU456" s="27" t="s">
        <v>8</v>
      </c>
      <c r="FV456" s="27" t="s">
        <v>7</v>
      </c>
      <c r="FY456" s="27" t="s">
        <v>8</v>
      </c>
      <c r="FZ456" s="27" t="s">
        <v>7</v>
      </c>
      <c r="GA456" s="27" t="s">
        <v>8</v>
      </c>
      <c r="GB456" s="27" t="s">
        <v>7</v>
      </c>
      <c r="GG456" s="27" t="s">
        <v>8</v>
      </c>
      <c r="GH456" s="27" t="s">
        <v>7</v>
      </c>
      <c r="HC456" s="27" t="s">
        <v>8</v>
      </c>
      <c r="HE456" s="27" t="s">
        <v>8</v>
      </c>
    </row>
    <row r="457" spans="1:216" x14ac:dyDescent="0.25">
      <c r="A457" s="7">
        <v>13.122673669025787</v>
      </c>
      <c r="B457"/>
      <c r="C457"/>
      <c r="D457"/>
      <c r="E457"/>
      <c r="BU457" s="27" t="s">
        <v>8</v>
      </c>
      <c r="BV457" s="27" t="s">
        <v>7</v>
      </c>
      <c r="BW457" s="27" t="s">
        <v>8</v>
      </c>
      <c r="BZ457" s="27" t="s">
        <v>7</v>
      </c>
      <c r="CA457" s="27" t="s">
        <v>8</v>
      </c>
      <c r="CF457" s="27" t="s">
        <v>7</v>
      </c>
      <c r="CG457" s="27" t="s">
        <v>8</v>
      </c>
      <c r="CH457" s="27" t="s">
        <v>7</v>
      </c>
      <c r="DJ457" s="27" t="s">
        <v>7</v>
      </c>
      <c r="DK457" s="27" t="s">
        <v>8</v>
      </c>
      <c r="DL457" s="27" t="s">
        <v>7</v>
      </c>
      <c r="DM457" s="27" t="s">
        <v>8</v>
      </c>
      <c r="DN457" s="27" t="s">
        <v>7</v>
      </c>
      <c r="DQ457" s="27" t="s">
        <v>8</v>
      </c>
      <c r="DV457" s="27" t="s">
        <v>7</v>
      </c>
      <c r="DW457" s="27" t="s">
        <v>8</v>
      </c>
      <c r="DX457" s="27" t="s">
        <v>7</v>
      </c>
      <c r="DY457" s="27" t="s">
        <v>8</v>
      </c>
      <c r="ED457" s="27" t="s">
        <v>7</v>
      </c>
      <c r="EE457" s="27" t="s">
        <v>8</v>
      </c>
      <c r="EF457" s="27" t="s">
        <v>7</v>
      </c>
      <c r="EG457" s="27" t="s">
        <v>8</v>
      </c>
      <c r="EH457" s="27" t="s">
        <v>7</v>
      </c>
      <c r="EI457" s="27" t="s">
        <v>8</v>
      </c>
      <c r="EJ457" s="27" t="s">
        <v>7</v>
      </c>
      <c r="FS457" s="27" t="s">
        <v>8</v>
      </c>
      <c r="FT457" s="27" t="s">
        <v>7</v>
      </c>
      <c r="FU457" s="27" t="s">
        <v>8</v>
      </c>
      <c r="FV457" s="27" t="s">
        <v>7</v>
      </c>
      <c r="FY457" s="27" t="s">
        <v>8</v>
      </c>
      <c r="FZ457" s="27" t="s">
        <v>7</v>
      </c>
      <c r="GA457" s="27" t="s">
        <v>8</v>
      </c>
      <c r="GB457" s="27" t="s">
        <v>7</v>
      </c>
      <c r="GG457" s="27" t="s">
        <v>8</v>
      </c>
      <c r="GH457" s="27" t="s">
        <v>7</v>
      </c>
      <c r="HC457" s="27" t="s">
        <v>8</v>
      </c>
      <c r="HD457" s="27" t="s">
        <v>7</v>
      </c>
      <c r="HE457" s="27" t="s">
        <v>8</v>
      </c>
      <c r="HF457" s="27" t="s">
        <v>7</v>
      </c>
    </row>
    <row r="458" spans="1:216" x14ac:dyDescent="0.25">
      <c r="A458" s="7">
        <v>12.865366342182144</v>
      </c>
      <c r="B458"/>
      <c r="C458"/>
      <c r="D458"/>
      <c r="E458"/>
      <c r="BU458" s="27" t="s">
        <v>8</v>
      </c>
      <c r="BV458" s="27" t="s">
        <v>7</v>
      </c>
      <c r="BW458" s="27" t="s">
        <v>8</v>
      </c>
      <c r="BZ458" s="27" t="s">
        <v>7</v>
      </c>
      <c r="CF458" s="27" t="s">
        <v>7</v>
      </c>
      <c r="CG458" s="27" t="s">
        <v>8</v>
      </c>
      <c r="DJ458" s="27" t="s">
        <v>7</v>
      </c>
      <c r="DK458" s="27" t="s">
        <v>8</v>
      </c>
      <c r="DL458" s="27" t="s">
        <v>7</v>
      </c>
      <c r="DM458" s="27" t="s">
        <v>8</v>
      </c>
      <c r="DN458" s="27" t="s">
        <v>7</v>
      </c>
      <c r="DQ458" s="27" t="s">
        <v>8</v>
      </c>
      <c r="DV458" s="27" t="s">
        <v>7</v>
      </c>
      <c r="DW458" s="27" t="s">
        <v>8</v>
      </c>
      <c r="DX458" s="27" t="s">
        <v>7</v>
      </c>
      <c r="ED458" s="27" t="s">
        <v>7</v>
      </c>
      <c r="EE458" s="27" t="s">
        <v>8</v>
      </c>
      <c r="EF458" s="27" t="s">
        <v>7</v>
      </c>
      <c r="EG458" s="27" t="s">
        <v>8</v>
      </c>
      <c r="EH458" s="27" t="s">
        <v>7</v>
      </c>
      <c r="EI458" s="27" t="s">
        <v>8</v>
      </c>
      <c r="EJ458" s="27" t="s">
        <v>7</v>
      </c>
      <c r="FQ458" s="27" t="s">
        <v>8</v>
      </c>
      <c r="FS458" s="27" t="s">
        <v>8</v>
      </c>
      <c r="FT458" s="27" t="s">
        <v>7</v>
      </c>
      <c r="FU458" s="27" t="s">
        <v>8</v>
      </c>
      <c r="FV458" s="27" t="s">
        <v>7</v>
      </c>
      <c r="FY458" s="27" t="s">
        <v>8</v>
      </c>
      <c r="FZ458" s="27" t="s">
        <v>7</v>
      </c>
      <c r="GB458" s="27" t="s">
        <v>7</v>
      </c>
      <c r="GG458" s="27" t="s">
        <v>8</v>
      </c>
      <c r="GH458" s="27" t="s">
        <v>7</v>
      </c>
      <c r="HC458" s="27" t="s">
        <v>8</v>
      </c>
      <c r="HD458" s="27" t="s">
        <v>7</v>
      </c>
      <c r="HE458" s="27" t="s">
        <v>8</v>
      </c>
      <c r="HF458" s="27" t="s">
        <v>7</v>
      </c>
    </row>
    <row r="459" spans="1:216" x14ac:dyDescent="0.25">
      <c r="A459" s="7">
        <v>12.613104257041318</v>
      </c>
      <c r="B459"/>
      <c r="C459"/>
      <c r="D459"/>
      <c r="E459"/>
      <c r="BU459" s="27" t="s">
        <v>8</v>
      </c>
      <c r="BV459" s="27" t="s">
        <v>7</v>
      </c>
      <c r="BW459" s="27" t="s">
        <v>8</v>
      </c>
      <c r="CF459" s="27" t="s">
        <v>7</v>
      </c>
      <c r="CG459" s="27" t="s">
        <v>8</v>
      </c>
      <c r="DJ459" s="27" t="s">
        <v>7</v>
      </c>
      <c r="DK459" s="27" t="s">
        <v>8</v>
      </c>
      <c r="DL459" s="27" t="s">
        <v>7</v>
      </c>
      <c r="DM459" s="27" t="s">
        <v>8</v>
      </c>
      <c r="DN459" s="27" t="s">
        <v>7</v>
      </c>
      <c r="DQ459" s="27" t="s">
        <v>8</v>
      </c>
      <c r="DV459" s="27" t="s">
        <v>7</v>
      </c>
      <c r="ED459" s="27" t="s">
        <v>7</v>
      </c>
      <c r="EE459" s="27" t="s">
        <v>8</v>
      </c>
      <c r="EF459" s="27" t="s">
        <v>7</v>
      </c>
      <c r="EG459" s="27" t="s">
        <v>8</v>
      </c>
      <c r="EH459" s="27" t="s">
        <v>7</v>
      </c>
      <c r="EI459" s="27" t="s">
        <v>8</v>
      </c>
      <c r="EJ459" s="27" t="s">
        <v>7</v>
      </c>
      <c r="FQ459" s="27" t="s">
        <v>8</v>
      </c>
      <c r="FR459" s="27" t="s">
        <v>7</v>
      </c>
      <c r="FS459" s="27" t="s">
        <v>8</v>
      </c>
      <c r="FT459" s="27" t="s">
        <v>7</v>
      </c>
      <c r="FU459" s="27" t="s">
        <v>8</v>
      </c>
      <c r="FV459" s="27" t="s">
        <v>7</v>
      </c>
      <c r="FY459" s="27" t="s">
        <v>8</v>
      </c>
      <c r="GB459" s="27" t="s">
        <v>7</v>
      </c>
      <c r="GG459" s="27" t="s">
        <v>8</v>
      </c>
      <c r="GH459" s="27" t="s">
        <v>7</v>
      </c>
      <c r="HC459" s="27" t="s">
        <v>8</v>
      </c>
      <c r="HD459" s="27" t="s">
        <v>7</v>
      </c>
      <c r="HE459" s="27" t="s">
        <v>8</v>
      </c>
      <c r="HF459" s="27" t="s">
        <v>7</v>
      </c>
    </row>
    <row r="460" spans="1:216" x14ac:dyDescent="0.25">
      <c r="A460" s="7">
        <v>12.36578848729541</v>
      </c>
      <c r="B460"/>
      <c r="C460"/>
      <c r="D460"/>
      <c r="E460"/>
      <c r="BU460" s="27" t="s">
        <v>8</v>
      </c>
      <c r="BV460" s="27" t="s">
        <v>7</v>
      </c>
      <c r="BW460" s="27" t="s">
        <v>8</v>
      </c>
      <c r="CF460" s="27" t="s">
        <v>7</v>
      </c>
      <c r="CG460" s="27" t="s">
        <v>8</v>
      </c>
      <c r="DJ460" s="27" t="s">
        <v>7</v>
      </c>
      <c r="DK460" s="27" t="s">
        <v>8</v>
      </c>
      <c r="DL460" s="27" t="s">
        <v>7</v>
      </c>
      <c r="DM460" s="27" t="s">
        <v>8</v>
      </c>
      <c r="DN460" s="27" t="s">
        <v>7</v>
      </c>
      <c r="DQ460" s="27" t="s">
        <v>8</v>
      </c>
      <c r="ED460" s="27" t="s">
        <v>7</v>
      </c>
      <c r="EE460" s="27" t="s">
        <v>8</v>
      </c>
      <c r="EF460" s="27" t="s">
        <v>7</v>
      </c>
      <c r="EG460" s="27" t="s">
        <v>8</v>
      </c>
      <c r="EH460" s="27" t="s">
        <v>7</v>
      </c>
      <c r="EI460" s="27" t="s">
        <v>8</v>
      </c>
      <c r="EJ460" s="27" t="s">
        <v>7</v>
      </c>
      <c r="FQ460" s="27" t="s">
        <v>8</v>
      </c>
      <c r="FR460" s="27" t="s">
        <v>7</v>
      </c>
      <c r="FS460" s="27" t="s">
        <v>8</v>
      </c>
      <c r="FT460" s="27" t="s">
        <v>7</v>
      </c>
      <c r="FU460" s="27" t="s">
        <v>8</v>
      </c>
      <c r="FV460" s="27" t="s">
        <v>7</v>
      </c>
      <c r="FY460" s="27" t="s">
        <v>8</v>
      </c>
      <c r="GB460" s="27" t="s">
        <v>7</v>
      </c>
      <c r="GG460" s="27" t="s">
        <v>8</v>
      </c>
      <c r="GH460" s="27" t="s">
        <v>7</v>
      </c>
      <c r="HC460" s="27" t="s">
        <v>8</v>
      </c>
      <c r="HD460" s="27" t="s">
        <v>7</v>
      </c>
      <c r="HE460" s="27" t="s">
        <v>8</v>
      </c>
      <c r="HF460" s="27" t="s">
        <v>7</v>
      </c>
      <c r="HG460" s="27" t="s">
        <v>8</v>
      </c>
    </row>
    <row r="461" spans="1:216" x14ac:dyDescent="0.25">
      <c r="A461" s="7">
        <v>12.123322046368049</v>
      </c>
      <c r="B461"/>
      <c r="C461"/>
      <c r="D461"/>
      <c r="E461"/>
      <c r="BU461" s="27" t="s">
        <v>8</v>
      </c>
      <c r="BV461" s="27" t="s">
        <v>7</v>
      </c>
      <c r="BW461" s="27" t="s">
        <v>8</v>
      </c>
      <c r="CF461" s="27" t="s">
        <v>7</v>
      </c>
      <c r="CG461" s="27" t="s">
        <v>8</v>
      </c>
      <c r="DJ461" s="27" t="s">
        <v>7</v>
      </c>
      <c r="DK461" s="27" t="s">
        <v>8</v>
      </c>
      <c r="DL461" s="27" t="s">
        <v>7</v>
      </c>
      <c r="DM461" s="27" t="s">
        <v>8</v>
      </c>
      <c r="DN461" s="27" t="s">
        <v>7</v>
      </c>
      <c r="DQ461" s="27" t="s">
        <v>8</v>
      </c>
      <c r="ED461" s="27" t="s">
        <v>7</v>
      </c>
      <c r="EE461" s="27" t="s">
        <v>8</v>
      </c>
      <c r="EF461" s="27" t="s">
        <v>7</v>
      </c>
      <c r="EG461" s="27" t="s">
        <v>8</v>
      </c>
      <c r="EH461" s="27" t="s">
        <v>7</v>
      </c>
      <c r="EI461" s="27" t="s">
        <v>8</v>
      </c>
      <c r="EJ461" s="27" t="s">
        <v>7</v>
      </c>
      <c r="FO461" s="27" t="s">
        <v>8</v>
      </c>
      <c r="FQ461" s="27" t="s">
        <v>8</v>
      </c>
      <c r="FR461" s="27" t="s">
        <v>7</v>
      </c>
      <c r="FS461" s="27" t="s">
        <v>8</v>
      </c>
      <c r="FT461" s="27" t="s">
        <v>7</v>
      </c>
      <c r="FV461" s="27" t="s">
        <v>7</v>
      </c>
      <c r="FW461" s="27" t="s">
        <v>8</v>
      </c>
      <c r="FY461" s="27" t="s">
        <v>8</v>
      </c>
      <c r="GB461" s="27" t="s">
        <v>7</v>
      </c>
      <c r="GG461" s="27" t="s">
        <v>8</v>
      </c>
      <c r="GH461" s="27" t="s">
        <v>7</v>
      </c>
      <c r="GY461" s="27" t="s">
        <v>8</v>
      </c>
      <c r="HC461" s="27" t="s">
        <v>8</v>
      </c>
      <c r="HD461" s="27" t="s">
        <v>7</v>
      </c>
      <c r="HE461" s="27" t="s">
        <v>8</v>
      </c>
      <c r="HF461" s="27" t="s">
        <v>7</v>
      </c>
      <c r="HG461" s="27" t="s">
        <v>8</v>
      </c>
      <c r="HH461" s="27" t="s">
        <v>7</v>
      </c>
    </row>
    <row r="462" spans="1:216" x14ac:dyDescent="0.25">
      <c r="A462" s="7">
        <v>11.88560984938044</v>
      </c>
      <c r="B462"/>
      <c r="C462"/>
      <c r="D462"/>
      <c r="E462"/>
      <c r="BU462" s="27" t="s">
        <v>8</v>
      </c>
      <c r="BV462" s="27" t="s">
        <v>7</v>
      </c>
      <c r="BW462" s="27" t="s">
        <v>8</v>
      </c>
      <c r="CF462" s="27" t="s">
        <v>7</v>
      </c>
      <c r="CG462" s="27" t="s">
        <v>8</v>
      </c>
      <c r="DJ462" s="27" t="s">
        <v>7</v>
      </c>
      <c r="DK462" s="27" t="s">
        <v>8</v>
      </c>
      <c r="DL462" s="27" t="s">
        <v>7</v>
      </c>
      <c r="DM462" s="27" t="s">
        <v>8</v>
      </c>
      <c r="DN462" s="27" t="s">
        <v>7</v>
      </c>
      <c r="DQ462" s="27" t="s">
        <v>8</v>
      </c>
      <c r="ED462" s="27" t="s">
        <v>7</v>
      </c>
      <c r="EE462" s="27" t="s">
        <v>8</v>
      </c>
      <c r="EF462" s="27" t="s">
        <v>7</v>
      </c>
      <c r="EG462" s="27" t="s">
        <v>8</v>
      </c>
      <c r="EH462" s="27" t="s">
        <v>7</v>
      </c>
      <c r="EI462" s="27" t="s">
        <v>8</v>
      </c>
      <c r="EJ462" s="27" t="s">
        <v>7</v>
      </c>
      <c r="EK462" s="27" t="s">
        <v>8</v>
      </c>
      <c r="FO462" s="27" t="s">
        <v>8</v>
      </c>
      <c r="FP462" s="27" t="s">
        <v>7</v>
      </c>
      <c r="FQ462" s="27" t="s">
        <v>8</v>
      </c>
      <c r="FR462" s="27" t="s">
        <v>7</v>
      </c>
      <c r="FS462" s="27" t="s">
        <v>8</v>
      </c>
      <c r="FV462" s="27" t="s">
        <v>7</v>
      </c>
      <c r="FW462" s="27" t="s">
        <v>8</v>
      </c>
      <c r="FX462" s="27" t="s">
        <v>7</v>
      </c>
      <c r="FY462" s="27" t="s">
        <v>8</v>
      </c>
      <c r="GB462" s="27" t="s">
        <v>7</v>
      </c>
      <c r="GC462" s="27" t="s">
        <v>8</v>
      </c>
      <c r="GE462" s="27" t="s">
        <v>8</v>
      </c>
      <c r="GG462" s="27" t="s">
        <v>8</v>
      </c>
      <c r="GH462" s="27" t="s">
        <v>7</v>
      </c>
      <c r="GK462" s="27" t="s">
        <v>8</v>
      </c>
      <c r="GU462" s="27" t="s">
        <v>8</v>
      </c>
      <c r="GY462" s="27" t="s">
        <v>8</v>
      </c>
      <c r="GZ462" s="27" t="s">
        <v>7</v>
      </c>
      <c r="HC462" s="27" t="s">
        <v>8</v>
      </c>
      <c r="HD462" s="27" t="s">
        <v>7</v>
      </c>
      <c r="HF462" s="27" t="s">
        <v>7</v>
      </c>
      <c r="HG462" s="27" t="s">
        <v>8</v>
      </c>
      <c r="HH462" s="27" t="s">
        <v>7</v>
      </c>
    </row>
    <row r="463" spans="1:216" x14ac:dyDescent="0.25">
      <c r="A463" s="7">
        <v>11.652558675863176</v>
      </c>
      <c r="B463"/>
      <c r="C463"/>
      <c r="D463"/>
      <c r="E463"/>
      <c r="BU463" s="27" t="s">
        <v>8</v>
      </c>
      <c r="BV463" s="27" t="s">
        <v>7</v>
      </c>
      <c r="BW463" s="27" t="s">
        <v>8</v>
      </c>
      <c r="CF463" s="27" t="s">
        <v>7</v>
      </c>
      <c r="DJ463" s="27" t="s">
        <v>7</v>
      </c>
      <c r="DK463" s="27" t="s">
        <v>8</v>
      </c>
      <c r="DL463" s="27" t="s">
        <v>7</v>
      </c>
      <c r="DM463" s="27" t="s">
        <v>8</v>
      </c>
      <c r="DN463" s="27" t="s">
        <v>7</v>
      </c>
      <c r="DO463" s="27" t="s">
        <v>8</v>
      </c>
      <c r="DQ463" s="27" t="s">
        <v>8</v>
      </c>
      <c r="ED463" s="27" t="s">
        <v>7</v>
      </c>
      <c r="EE463" s="27" t="s">
        <v>8</v>
      </c>
      <c r="EF463" s="27" t="s">
        <v>7</v>
      </c>
      <c r="EG463" s="27" t="s">
        <v>8</v>
      </c>
      <c r="EH463" s="27" t="s">
        <v>7</v>
      </c>
      <c r="EI463" s="27" t="s">
        <v>8</v>
      </c>
      <c r="EJ463" s="27" t="s">
        <v>7</v>
      </c>
      <c r="EK463" s="27" t="s">
        <v>8</v>
      </c>
      <c r="EL463" s="27" t="s">
        <v>7</v>
      </c>
      <c r="FO463" s="27" t="s">
        <v>8</v>
      </c>
      <c r="FP463" s="27" t="s">
        <v>7</v>
      </c>
      <c r="FQ463" s="27" t="s">
        <v>8</v>
      </c>
      <c r="FR463" s="27" t="s">
        <v>7</v>
      </c>
      <c r="FV463" s="27" t="s">
        <v>7</v>
      </c>
      <c r="FW463" s="27" t="s">
        <v>8</v>
      </c>
      <c r="FX463" s="27" t="s">
        <v>7</v>
      </c>
      <c r="FY463" s="27" t="s">
        <v>8</v>
      </c>
      <c r="GB463" s="27" t="s">
        <v>7</v>
      </c>
      <c r="GC463" s="27" t="s">
        <v>8</v>
      </c>
      <c r="GD463" s="27" t="s">
        <v>7</v>
      </c>
      <c r="GE463" s="27" t="s">
        <v>8</v>
      </c>
      <c r="GF463" s="27" t="s">
        <v>7</v>
      </c>
      <c r="GG463" s="27" t="s">
        <v>8</v>
      </c>
      <c r="GH463" s="27" t="s">
        <v>7</v>
      </c>
      <c r="GK463" s="27" t="s">
        <v>8</v>
      </c>
      <c r="GL463" s="27" t="s">
        <v>7</v>
      </c>
      <c r="GU463" s="27" t="s">
        <v>8</v>
      </c>
      <c r="GV463" s="27" t="s">
        <v>7</v>
      </c>
      <c r="GW463" s="27" t="s">
        <v>8</v>
      </c>
      <c r="GY463" s="27" t="s">
        <v>8</v>
      </c>
      <c r="GZ463" s="27" t="s">
        <v>7</v>
      </c>
      <c r="HA463" s="27" t="s">
        <v>8</v>
      </c>
      <c r="HC463" s="27" t="s">
        <v>8</v>
      </c>
      <c r="HF463" s="27" t="s">
        <v>7</v>
      </c>
      <c r="HG463" s="27" t="s">
        <v>8</v>
      </c>
      <c r="HH463" s="27" t="s">
        <v>7</v>
      </c>
    </row>
    <row r="464" spans="1:216" x14ac:dyDescent="0.25">
      <c r="A464" s="7">
        <v>11.424077133199193</v>
      </c>
      <c r="B464"/>
      <c r="C464"/>
      <c r="D464"/>
      <c r="E464"/>
      <c r="BU464" s="27" t="s">
        <v>8</v>
      </c>
      <c r="BV464" s="27" t="s">
        <v>7</v>
      </c>
      <c r="DJ464" s="27" t="s">
        <v>7</v>
      </c>
      <c r="DK464" s="27" t="s">
        <v>8</v>
      </c>
      <c r="DL464" s="27" t="s">
        <v>7</v>
      </c>
      <c r="DM464" s="27" t="s">
        <v>8</v>
      </c>
      <c r="DN464" s="27" t="s">
        <v>7</v>
      </c>
      <c r="DO464" s="27" t="s">
        <v>8</v>
      </c>
      <c r="DP464" s="27" t="s">
        <v>7</v>
      </c>
      <c r="DQ464" s="27" t="s">
        <v>8</v>
      </c>
      <c r="ED464" s="27" t="s">
        <v>7</v>
      </c>
      <c r="EE464" s="27" t="s">
        <v>8</v>
      </c>
      <c r="EF464" s="27" t="s">
        <v>7</v>
      </c>
      <c r="EG464" s="27" t="s">
        <v>8</v>
      </c>
      <c r="EH464" s="27" t="s">
        <v>7</v>
      </c>
      <c r="EI464" s="27" t="s">
        <v>8</v>
      </c>
      <c r="EJ464" s="27" t="s">
        <v>7</v>
      </c>
      <c r="EK464" s="27" t="s">
        <v>8</v>
      </c>
      <c r="EL464" s="27" t="s">
        <v>7</v>
      </c>
      <c r="FO464" s="27" t="s">
        <v>8</v>
      </c>
      <c r="FP464" s="27" t="s">
        <v>7</v>
      </c>
      <c r="FQ464" s="27" t="s">
        <v>8</v>
      </c>
      <c r="FV464" s="27" t="s">
        <v>7</v>
      </c>
      <c r="FW464" s="27" t="s">
        <v>8</v>
      </c>
      <c r="FX464" s="27" t="s">
        <v>7</v>
      </c>
      <c r="FY464" s="27" t="s">
        <v>8</v>
      </c>
      <c r="GB464" s="27" t="s">
        <v>7</v>
      </c>
      <c r="GC464" s="27" t="s">
        <v>8</v>
      </c>
      <c r="GD464" s="27" t="s">
        <v>7</v>
      </c>
      <c r="GE464" s="27" t="s">
        <v>8</v>
      </c>
      <c r="GF464" s="27" t="s">
        <v>7</v>
      </c>
      <c r="GG464" s="27" t="s">
        <v>8</v>
      </c>
      <c r="GH464" s="27" t="s">
        <v>7</v>
      </c>
      <c r="GK464" s="27" t="s">
        <v>8</v>
      </c>
      <c r="GL464" s="27" t="s">
        <v>7</v>
      </c>
      <c r="GQ464" s="27" t="s">
        <v>8</v>
      </c>
      <c r="GU464" s="27" t="s">
        <v>8</v>
      </c>
      <c r="GV464" s="27" t="s">
        <v>7</v>
      </c>
      <c r="GW464" s="27" t="s">
        <v>8</v>
      </c>
      <c r="GX464" s="27" t="s">
        <v>7</v>
      </c>
      <c r="GY464" s="27" t="s">
        <v>8</v>
      </c>
      <c r="GZ464" s="27" t="s">
        <v>7</v>
      </c>
      <c r="HA464" s="27" t="s">
        <v>8</v>
      </c>
      <c r="HB464" s="27" t="s">
        <v>7</v>
      </c>
      <c r="HC464" s="27" t="s">
        <v>8</v>
      </c>
      <c r="HF464" s="27" t="s">
        <v>7</v>
      </c>
      <c r="HH464" s="27" t="s">
        <v>7</v>
      </c>
    </row>
    <row r="465" spans="1:242" x14ac:dyDescent="0.25">
      <c r="A465" s="7">
        <v>11.200075620783522</v>
      </c>
      <c r="B465"/>
      <c r="C465"/>
      <c r="D465"/>
      <c r="E465"/>
      <c r="BU465" s="27" t="s">
        <v>8</v>
      </c>
      <c r="DJ465" s="27" t="s">
        <v>7</v>
      </c>
      <c r="DK465" s="27" t="s">
        <v>8</v>
      </c>
      <c r="DL465" s="27" t="s">
        <v>7</v>
      </c>
      <c r="DN465" s="27" t="s">
        <v>7</v>
      </c>
      <c r="DO465" s="27" t="s">
        <v>8</v>
      </c>
      <c r="DP465" s="27" t="s">
        <v>7</v>
      </c>
      <c r="DQ465" s="27" t="s">
        <v>8</v>
      </c>
      <c r="ED465" s="27" t="s">
        <v>7</v>
      </c>
      <c r="EE465" s="27" t="s">
        <v>8</v>
      </c>
      <c r="EF465" s="27" t="s">
        <v>7</v>
      </c>
      <c r="EG465" s="27" t="s">
        <v>8</v>
      </c>
      <c r="EH465" s="27" t="s">
        <v>7</v>
      </c>
      <c r="EI465" s="27" t="s">
        <v>8</v>
      </c>
      <c r="EJ465" s="27" t="s">
        <v>7</v>
      </c>
      <c r="EL465" s="27" t="s">
        <v>7</v>
      </c>
      <c r="FO465" s="27" t="s">
        <v>8</v>
      </c>
      <c r="FP465" s="27" t="s">
        <v>7</v>
      </c>
      <c r="FQ465" s="27" t="s">
        <v>8</v>
      </c>
      <c r="FV465" s="27" t="s">
        <v>7</v>
      </c>
      <c r="FX465" s="27" t="s">
        <v>7</v>
      </c>
      <c r="FY465" s="27" t="s">
        <v>8</v>
      </c>
      <c r="GB465" s="27" t="s">
        <v>7</v>
      </c>
      <c r="GC465" s="27" t="s">
        <v>8</v>
      </c>
      <c r="GD465" s="27" t="s">
        <v>7</v>
      </c>
      <c r="GE465" s="27" t="s">
        <v>8</v>
      </c>
      <c r="GF465" s="27" t="s">
        <v>7</v>
      </c>
      <c r="GG465" s="27" t="s">
        <v>8</v>
      </c>
      <c r="GH465" s="27" t="s">
        <v>7</v>
      </c>
      <c r="GK465" s="27" t="s">
        <v>8</v>
      </c>
      <c r="GL465" s="27" t="s">
        <v>7</v>
      </c>
      <c r="GM465" s="27" t="s">
        <v>8</v>
      </c>
      <c r="GQ465" s="27" t="s">
        <v>8</v>
      </c>
      <c r="GR465" s="27" t="s">
        <v>7</v>
      </c>
      <c r="GU465" s="27" t="s">
        <v>8</v>
      </c>
      <c r="GV465" s="27" t="s">
        <v>7</v>
      </c>
      <c r="GW465" s="27" t="s">
        <v>8</v>
      </c>
      <c r="GX465" s="27" t="s">
        <v>7</v>
      </c>
      <c r="GY465" s="27" t="s">
        <v>8</v>
      </c>
      <c r="GZ465" s="27" t="s">
        <v>7</v>
      </c>
      <c r="HA465" s="27" t="s">
        <v>8</v>
      </c>
      <c r="HB465" s="27" t="s">
        <v>7</v>
      </c>
      <c r="HC465" s="27" t="s">
        <v>8</v>
      </c>
      <c r="HH465" s="27" t="s">
        <v>7</v>
      </c>
      <c r="HI465" s="27" t="s">
        <v>8</v>
      </c>
      <c r="HK465" s="27" t="s">
        <v>8</v>
      </c>
    </row>
    <row r="466" spans="1:242" x14ac:dyDescent="0.25">
      <c r="A466" s="7">
        <v>10.980466294885806</v>
      </c>
      <c r="B466"/>
      <c r="C466"/>
      <c r="D466"/>
      <c r="E466"/>
      <c r="BU466" s="27" t="s">
        <v>8</v>
      </c>
      <c r="DJ466" s="27" t="s">
        <v>7</v>
      </c>
      <c r="DK466" s="27" t="s">
        <v>8</v>
      </c>
      <c r="DN466" s="27" t="s">
        <v>7</v>
      </c>
      <c r="DO466" s="27" t="s">
        <v>8</v>
      </c>
      <c r="DP466" s="27" t="s">
        <v>7</v>
      </c>
      <c r="DQ466" s="27" t="s">
        <v>8</v>
      </c>
      <c r="ED466" s="27" t="s">
        <v>7</v>
      </c>
      <c r="EE466" s="27" t="s">
        <v>8</v>
      </c>
      <c r="EF466" s="27" t="s">
        <v>7</v>
      </c>
      <c r="EG466" s="27" t="s">
        <v>8</v>
      </c>
      <c r="EH466" s="27" t="s">
        <v>7</v>
      </c>
      <c r="EI466" s="27" t="s">
        <v>8</v>
      </c>
      <c r="EL466" s="27" t="s">
        <v>7</v>
      </c>
      <c r="FO466" s="27" t="s">
        <v>8</v>
      </c>
      <c r="FP466" s="27" t="s">
        <v>7</v>
      </c>
      <c r="FQ466" s="27" t="s">
        <v>8</v>
      </c>
      <c r="FX466" s="27" t="s">
        <v>7</v>
      </c>
      <c r="GB466" s="27" t="s">
        <v>7</v>
      </c>
      <c r="GC466" s="27" t="s">
        <v>8</v>
      </c>
      <c r="GD466" s="27" t="s">
        <v>7</v>
      </c>
      <c r="GE466" s="27" t="s">
        <v>8</v>
      </c>
      <c r="GF466" s="27" t="s">
        <v>7</v>
      </c>
      <c r="GG466" s="27" t="s">
        <v>8</v>
      </c>
      <c r="GH466" s="27" t="s">
        <v>7</v>
      </c>
      <c r="GK466" s="27" t="s">
        <v>8</v>
      </c>
      <c r="GL466" s="27" t="s">
        <v>7</v>
      </c>
      <c r="GM466" s="27" t="s">
        <v>8</v>
      </c>
      <c r="GN466" s="27" t="s">
        <v>7</v>
      </c>
      <c r="GQ466" s="27" t="s">
        <v>8</v>
      </c>
      <c r="GR466" s="27" t="s">
        <v>7</v>
      </c>
      <c r="GS466" s="27" t="s">
        <v>8</v>
      </c>
      <c r="GU466" s="27" t="s">
        <v>8</v>
      </c>
      <c r="GV466" s="27" t="s">
        <v>7</v>
      </c>
      <c r="GW466" s="27" t="s">
        <v>8</v>
      </c>
      <c r="GX466" s="27" t="s">
        <v>7</v>
      </c>
      <c r="GY466" s="27" t="s">
        <v>8</v>
      </c>
      <c r="GZ466" s="27" t="s">
        <v>7</v>
      </c>
      <c r="HA466" s="27" t="s">
        <v>8</v>
      </c>
      <c r="HB466" s="27" t="s">
        <v>7</v>
      </c>
      <c r="HC466" s="27" t="s">
        <v>8</v>
      </c>
      <c r="HH466" s="27" t="s">
        <v>7</v>
      </c>
      <c r="HI466" s="27" t="s">
        <v>8</v>
      </c>
      <c r="HJ466" s="27" t="s">
        <v>7</v>
      </c>
      <c r="HK466" s="27" t="s">
        <v>8</v>
      </c>
      <c r="HL466" s="27" t="s">
        <v>7</v>
      </c>
    </row>
    <row r="467" spans="1:242" x14ac:dyDescent="0.25">
      <c r="A467" s="7">
        <v>10.765163034201771</v>
      </c>
      <c r="B467"/>
      <c r="C467"/>
      <c r="D467"/>
      <c r="E467"/>
      <c r="BU467" s="27" t="s">
        <v>8</v>
      </c>
      <c r="DJ467" s="27" t="s">
        <v>7</v>
      </c>
      <c r="DK467" s="27" t="s">
        <v>8</v>
      </c>
      <c r="DN467" s="27" t="s">
        <v>7</v>
      </c>
      <c r="DO467" s="27" t="s">
        <v>8</v>
      </c>
      <c r="DP467" s="27" t="s">
        <v>7</v>
      </c>
      <c r="DQ467" s="27" t="s">
        <v>8</v>
      </c>
      <c r="ED467" s="27" t="s">
        <v>7</v>
      </c>
      <c r="EE467" s="27" t="s">
        <v>8</v>
      </c>
      <c r="EF467" s="27" t="s">
        <v>7</v>
      </c>
      <c r="EG467" s="27" t="s">
        <v>8</v>
      </c>
      <c r="EH467" s="27" t="s">
        <v>7</v>
      </c>
      <c r="EI467" s="27" t="s">
        <v>8</v>
      </c>
      <c r="EL467" s="27" t="s">
        <v>7</v>
      </c>
      <c r="FO467" s="27" t="s">
        <v>8</v>
      </c>
      <c r="FP467" s="27" t="s">
        <v>7</v>
      </c>
      <c r="FQ467" s="27" t="s">
        <v>8</v>
      </c>
      <c r="GB467" s="27" t="s">
        <v>7</v>
      </c>
      <c r="GC467" s="27" t="s">
        <v>8</v>
      </c>
      <c r="GD467" s="27" t="s">
        <v>7</v>
      </c>
      <c r="GE467" s="27" t="s">
        <v>8</v>
      </c>
      <c r="GF467" s="27" t="s">
        <v>7</v>
      </c>
      <c r="GG467" s="27" t="s">
        <v>8</v>
      </c>
      <c r="GH467" s="27" t="s">
        <v>7</v>
      </c>
      <c r="GI467" s="27" t="s">
        <v>8</v>
      </c>
      <c r="GK467" s="27" t="s">
        <v>8</v>
      </c>
      <c r="GL467" s="27" t="s">
        <v>7</v>
      </c>
      <c r="GM467" s="27" t="s">
        <v>8</v>
      </c>
      <c r="GN467" s="27" t="s">
        <v>7</v>
      </c>
      <c r="GO467" s="27" t="s">
        <v>8</v>
      </c>
      <c r="GQ467" s="27" t="s">
        <v>8</v>
      </c>
      <c r="GR467" s="27" t="s">
        <v>7</v>
      </c>
      <c r="GS467" s="27" t="s">
        <v>8</v>
      </c>
      <c r="GT467" s="27" t="s">
        <v>7</v>
      </c>
      <c r="GU467" s="27" t="s">
        <v>8</v>
      </c>
      <c r="GV467" s="27" t="s">
        <v>7</v>
      </c>
      <c r="GW467" s="27" t="s">
        <v>8</v>
      </c>
      <c r="GX467" s="27" t="s">
        <v>7</v>
      </c>
      <c r="GY467" s="27" t="s">
        <v>8</v>
      </c>
      <c r="GZ467" s="27" t="s">
        <v>7</v>
      </c>
      <c r="HA467" s="27" t="s">
        <v>8</v>
      </c>
      <c r="HB467" s="27" t="s">
        <v>7</v>
      </c>
      <c r="HC467" s="27" t="s">
        <v>8</v>
      </c>
      <c r="HH467" s="27" t="s">
        <v>7</v>
      </c>
      <c r="HI467" s="27" t="s">
        <v>8</v>
      </c>
      <c r="HJ467" s="27" t="s">
        <v>7</v>
      </c>
      <c r="HK467" s="27" t="s">
        <v>8</v>
      </c>
      <c r="HL467" s="27" t="s">
        <v>7</v>
      </c>
    </row>
    <row r="468" spans="1:242" x14ac:dyDescent="0.25">
      <c r="A468" s="7">
        <v>10.554081406080169</v>
      </c>
      <c r="B468"/>
      <c r="C468"/>
      <c r="D468"/>
      <c r="E468"/>
      <c r="BU468" s="27" t="s">
        <v>8</v>
      </c>
      <c r="DJ468" s="27" t="s">
        <v>7</v>
      </c>
      <c r="DK468" s="27" t="s">
        <v>8</v>
      </c>
      <c r="DN468" s="27" t="s">
        <v>7</v>
      </c>
      <c r="DO468" s="27" t="s">
        <v>8</v>
      </c>
      <c r="DP468" s="27" t="s">
        <v>7</v>
      </c>
      <c r="DQ468" s="27" t="s">
        <v>8</v>
      </c>
      <c r="ED468" s="27" t="s">
        <v>7</v>
      </c>
      <c r="EE468" s="27" t="s">
        <v>8</v>
      </c>
      <c r="EF468" s="27" t="s">
        <v>7</v>
      </c>
      <c r="EG468" s="27" t="s">
        <v>8</v>
      </c>
      <c r="EH468" s="27" t="s">
        <v>7</v>
      </c>
      <c r="EI468" s="27" t="s">
        <v>8</v>
      </c>
      <c r="EL468" s="27" t="s">
        <v>7</v>
      </c>
      <c r="EM468" s="27" t="s">
        <v>8</v>
      </c>
      <c r="FM468" s="27" t="s">
        <v>8</v>
      </c>
      <c r="FO468" s="27" t="s">
        <v>8</v>
      </c>
      <c r="FP468" s="27" t="s">
        <v>7</v>
      </c>
      <c r="GB468" s="27" t="s">
        <v>7</v>
      </c>
      <c r="GC468" s="27" t="s">
        <v>8</v>
      </c>
      <c r="GD468" s="27" t="s">
        <v>7</v>
      </c>
      <c r="GE468" s="27" t="s">
        <v>8</v>
      </c>
      <c r="GF468" s="27" t="s">
        <v>7</v>
      </c>
      <c r="GG468" s="27" t="s">
        <v>8</v>
      </c>
      <c r="GH468" s="27" t="s">
        <v>7</v>
      </c>
      <c r="GI468" s="27" t="s">
        <v>8</v>
      </c>
      <c r="GJ468" s="27" t="s">
        <v>7</v>
      </c>
      <c r="GK468" s="27" t="s">
        <v>8</v>
      </c>
      <c r="GL468" s="27" t="s">
        <v>7</v>
      </c>
      <c r="GM468" s="27" t="s">
        <v>8</v>
      </c>
      <c r="GN468" s="27" t="s">
        <v>7</v>
      </c>
      <c r="GO468" s="27" t="s">
        <v>8</v>
      </c>
      <c r="GP468" s="27" t="s">
        <v>7</v>
      </c>
      <c r="GQ468" s="27" t="s">
        <v>8</v>
      </c>
      <c r="GR468" s="27" t="s">
        <v>7</v>
      </c>
      <c r="GS468" s="27" t="s">
        <v>8</v>
      </c>
      <c r="GT468" s="27" t="s">
        <v>7</v>
      </c>
      <c r="GU468" s="27" t="s">
        <v>8</v>
      </c>
      <c r="GV468" s="27" t="s">
        <v>7</v>
      </c>
      <c r="GX468" s="27" t="s">
        <v>7</v>
      </c>
      <c r="GY468" s="27" t="s">
        <v>8</v>
      </c>
      <c r="GZ468" s="27" t="s">
        <v>7</v>
      </c>
      <c r="HA468" s="27" t="s">
        <v>8</v>
      </c>
      <c r="HB468" s="27" t="s">
        <v>7</v>
      </c>
      <c r="HH468" s="27" t="s">
        <v>7</v>
      </c>
      <c r="HJ468" s="27" t="s">
        <v>7</v>
      </c>
      <c r="HL468" s="27" t="s">
        <v>7</v>
      </c>
      <c r="IG468" s="27" t="s">
        <v>8</v>
      </c>
    </row>
    <row r="469" spans="1:242" x14ac:dyDescent="0.25">
      <c r="A469" s="7">
        <v>10.34713863341193</v>
      </c>
      <c r="B469"/>
      <c r="C469"/>
      <c r="D469"/>
      <c r="E469"/>
      <c r="BU469" s="27" t="s">
        <v>8</v>
      </c>
      <c r="DJ469" s="27" t="s">
        <v>7</v>
      </c>
      <c r="DK469" s="27" t="s">
        <v>8</v>
      </c>
      <c r="DN469" s="27" t="s">
        <v>7</v>
      </c>
      <c r="DO469" s="27" t="s">
        <v>8</v>
      </c>
      <c r="DP469" s="27" t="s">
        <v>7</v>
      </c>
      <c r="ED469" s="27" t="s">
        <v>7</v>
      </c>
      <c r="EF469" s="27" t="s">
        <v>7</v>
      </c>
      <c r="EG469" s="27" t="s">
        <v>8</v>
      </c>
      <c r="EH469" s="27" t="s">
        <v>7</v>
      </c>
      <c r="EI469" s="27" t="s">
        <v>8</v>
      </c>
      <c r="EL469" s="27" t="s">
        <v>7</v>
      </c>
      <c r="EM469" s="27" t="s">
        <v>8</v>
      </c>
      <c r="EN469" s="27" t="s">
        <v>7</v>
      </c>
      <c r="FM469" s="27" t="s">
        <v>8</v>
      </c>
      <c r="FN469" s="27" t="s">
        <v>7</v>
      </c>
      <c r="FO469" s="27" t="s">
        <v>8</v>
      </c>
      <c r="GB469" s="27" t="s">
        <v>7</v>
      </c>
      <c r="GC469" s="27" t="s">
        <v>8</v>
      </c>
      <c r="GD469" s="27" t="s">
        <v>7</v>
      </c>
      <c r="GE469" s="27" t="s">
        <v>8</v>
      </c>
      <c r="GF469" s="27" t="s">
        <v>7</v>
      </c>
      <c r="GG469" s="27" t="s">
        <v>8</v>
      </c>
      <c r="GH469" s="27" t="s">
        <v>7</v>
      </c>
      <c r="GI469" s="27" t="s">
        <v>8</v>
      </c>
      <c r="GJ469" s="27" t="s">
        <v>7</v>
      </c>
      <c r="GK469" s="27" t="s">
        <v>8</v>
      </c>
      <c r="GL469" s="27" t="s">
        <v>7</v>
      </c>
      <c r="GM469" s="27" t="s">
        <v>8</v>
      </c>
      <c r="GN469" s="27" t="s">
        <v>7</v>
      </c>
      <c r="GO469" s="27" t="s">
        <v>8</v>
      </c>
      <c r="GP469" s="27" t="s">
        <v>7</v>
      </c>
      <c r="GQ469" s="27" t="s">
        <v>8</v>
      </c>
      <c r="GR469" s="27" t="s">
        <v>7</v>
      </c>
      <c r="GS469" s="27" t="s">
        <v>8</v>
      </c>
      <c r="GT469" s="27" t="s">
        <v>7</v>
      </c>
      <c r="GU469" s="27" t="s">
        <v>8</v>
      </c>
      <c r="GX469" s="27" t="s">
        <v>7</v>
      </c>
      <c r="GZ469" s="27" t="s">
        <v>7</v>
      </c>
      <c r="HA469" s="27" t="s">
        <v>8</v>
      </c>
      <c r="HL469" s="27" t="s">
        <v>7</v>
      </c>
      <c r="IG469" s="27" t="s">
        <v>8</v>
      </c>
      <c r="IH469" s="27" t="s">
        <v>7</v>
      </c>
    </row>
    <row r="470" spans="1:242" x14ac:dyDescent="0.25">
      <c r="A470" s="7">
        <v>10.14425356216856</v>
      </c>
      <c r="B470"/>
      <c r="C470"/>
      <c r="D470"/>
      <c r="E470"/>
      <c r="BU470" s="27" t="s">
        <v>8</v>
      </c>
      <c r="DJ470" s="27" t="s">
        <v>7</v>
      </c>
      <c r="DN470" s="27" t="s">
        <v>7</v>
      </c>
      <c r="EF470" s="27" t="s">
        <v>7</v>
      </c>
      <c r="EG470" s="27" t="s">
        <v>8</v>
      </c>
      <c r="EH470" s="27" t="s">
        <v>7</v>
      </c>
      <c r="EI470" s="27" t="s">
        <v>8</v>
      </c>
      <c r="EL470" s="27" t="s">
        <v>7</v>
      </c>
      <c r="EM470" s="27" t="s">
        <v>8</v>
      </c>
      <c r="EN470" s="27" t="s">
        <v>7</v>
      </c>
      <c r="FM470" s="27" t="s">
        <v>8</v>
      </c>
      <c r="FN470" s="27" t="s">
        <v>7</v>
      </c>
      <c r="FO470" s="27" t="s">
        <v>8</v>
      </c>
      <c r="GB470" s="27" t="s">
        <v>7</v>
      </c>
      <c r="GC470" s="27" t="s">
        <v>8</v>
      </c>
      <c r="GD470" s="27" t="s">
        <v>7</v>
      </c>
      <c r="GE470" s="27" t="s">
        <v>8</v>
      </c>
      <c r="GF470" s="27" t="s">
        <v>7</v>
      </c>
      <c r="GH470" s="27" t="s">
        <v>7</v>
      </c>
      <c r="GI470" s="27" t="s">
        <v>8</v>
      </c>
      <c r="GJ470" s="27" t="s">
        <v>7</v>
      </c>
      <c r="GK470" s="27" t="s">
        <v>8</v>
      </c>
      <c r="GL470" s="27" t="s">
        <v>7</v>
      </c>
      <c r="GM470" s="27" t="s">
        <v>8</v>
      </c>
      <c r="GN470" s="27" t="s">
        <v>7</v>
      </c>
      <c r="GP470" s="27" t="s">
        <v>7</v>
      </c>
      <c r="GQ470" s="27" t="s">
        <v>8</v>
      </c>
      <c r="GR470" s="27" t="s">
        <v>7</v>
      </c>
      <c r="GS470" s="27" t="s">
        <v>8</v>
      </c>
      <c r="GT470" s="27" t="s">
        <v>7</v>
      </c>
      <c r="GZ470" s="27" t="s">
        <v>7</v>
      </c>
      <c r="HL470" s="27" t="s">
        <v>7</v>
      </c>
      <c r="IG470" s="27" t="s">
        <v>8</v>
      </c>
      <c r="IH470" s="27" t="s">
        <v>7</v>
      </c>
    </row>
    <row r="471" spans="1:242" x14ac:dyDescent="0.25">
      <c r="A471" s="7">
        <v>9.9453466295770188</v>
      </c>
      <c r="B471"/>
      <c r="C471"/>
      <c r="D471"/>
      <c r="E471"/>
      <c r="BS471" s="27" t="s">
        <v>8</v>
      </c>
      <c r="BU471" s="27" t="s">
        <v>8</v>
      </c>
      <c r="EF471" s="27" t="s">
        <v>7</v>
      </c>
      <c r="EG471" s="27" t="s">
        <v>8</v>
      </c>
      <c r="EH471" s="27" t="s">
        <v>7</v>
      </c>
      <c r="EI471" s="27" t="s">
        <v>8</v>
      </c>
      <c r="EL471" s="27" t="s">
        <v>7</v>
      </c>
      <c r="EM471" s="27" t="s">
        <v>8</v>
      </c>
      <c r="EN471" s="27" t="s">
        <v>7</v>
      </c>
      <c r="FM471" s="27" t="s">
        <v>8</v>
      </c>
      <c r="FN471" s="27" t="s">
        <v>7</v>
      </c>
      <c r="FO471" s="27" t="s">
        <v>8</v>
      </c>
      <c r="GB471" s="27" t="s">
        <v>7</v>
      </c>
      <c r="GC471" s="27" t="s">
        <v>8</v>
      </c>
      <c r="GD471" s="27" t="s">
        <v>7</v>
      </c>
      <c r="GH471" s="27" t="s">
        <v>7</v>
      </c>
      <c r="GI471" s="27" t="s">
        <v>8</v>
      </c>
      <c r="GJ471" s="27" t="s">
        <v>7</v>
      </c>
      <c r="GK471" s="27" t="s">
        <v>8</v>
      </c>
      <c r="GL471" s="27" t="s">
        <v>7</v>
      </c>
      <c r="GM471" s="27" t="s">
        <v>8</v>
      </c>
      <c r="GP471" s="27" t="s">
        <v>7</v>
      </c>
      <c r="GR471" s="27" t="s">
        <v>7</v>
      </c>
      <c r="GS471" s="27" t="s">
        <v>8</v>
      </c>
      <c r="HL471" s="27" t="s">
        <v>7</v>
      </c>
      <c r="HM471" s="27" t="s">
        <v>8</v>
      </c>
      <c r="IG471" s="27" t="s">
        <v>8</v>
      </c>
      <c r="IH471" s="27" t="s">
        <v>7</v>
      </c>
    </row>
    <row r="472" spans="1:242" x14ac:dyDescent="0.25">
      <c r="A472" s="7">
        <v>9.7503398329186464</v>
      </c>
      <c r="B472"/>
      <c r="C472"/>
      <c r="D472"/>
      <c r="E472"/>
      <c r="BS472" s="27" t="s">
        <v>8</v>
      </c>
      <c r="BT472" s="27" t="s">
        <v>7</v>
      </c>
      <c r="BU472" s="27" t="s">
        <v>8</v>
      </c>
      <c r="EF472" s="27" t="s">
        <v>7</v>
      </c>
      <c r="EG472" s="27" t="s">
        <v>8</v>
      </c>
      <c r="EH472" s="27" t="s">
        <v>7</v>
      </c>
      <c r="EL472" s="27" t="s">
        <v>7</v>
      </c>
      <c r="EM472" s="27" t="s">
        <v>8</v>
      </c>
      <c r="EN472" s="27" t="s">
        <v>7</v>
      </c>
      <c r="FM472" s="27" t="s">
        <v>8</v>
      </c>
      <c r="FN472" s="27" t="s">
        <v>7</v>
      </c>
      <c r="FO472" s="27" t="s">
        <v>8</v>
      </c>
      <c r="GB472" s="27" t="s">
        <v>7</v>
      </c>
      <c r="GC472" s="27" t="s">
        <v>8</v>
      </c>
      <c r="GH472" s="27" t="s">
        <v>7</v>
      </c>
      <c r="GI472" s="27" t="s">
        <v>8</v>
      </c>
      <c r="GJ472" s="27" t="s">
        <v>7</v>
      </c>
      <c r="GK472" s="27" t="s">
        <v>8</v>
      </c>
      <c r="GL472" s="27" t="s">
        <v>7</v>
      </c>
      <c r="GM472" s="27" t="s">
        <v>8</v>
      </c>
      <c r="GR472" s="27" t="s">
        <v>7</v>
      </c>
      <c r="HL472" s="27" t="s">
        <v>7</v>
      </c>
      <c r="HM472" s="27" t="s">
        <v>8</v>
      </c>
      <c r="HN472" s="27" t="s">
        <v>7</v>
      </c>
      <c r="IG472" s="27" t="s">
        <v>8</v>
      </c>
      <c r="IH472" s="27" t="s">
        <v>7</v>
      </c>
    </row>
    <row r="473" spans="1:242" x14ac:dyDescent="0.25">
      <c r="A473" s="7">
        <v>9.5591566989398498</v>
      </c>
      <c r="B473"/>
      <c r="C473"/>
      <c r="D473"/>
      <c r="E473"/>
      <c r="BS473" s="27" t="s">
        <v>8</v>
      </c>
      <c r="BT473" s="27" t="s">
        <v>7</v>
      </c>
      <c r="BU473" s="27" t="s">
        <v>8</v>
      </c>
      <c r="EF473" s="27" t="s">
        <v>7</v>
      </c>
      <c r="EG473" s="27" t="s">
        <v>8</v>
      </c>
      <c r="EL473" s="27" t="s">
        <v>7</v>
      </c>
      <c r="EM473" s="27" t="s">
        <v>8</v>
      </c>
      <c r="EN473" s="27" t="s">
        <v>7</v>
      </c>
      <c r="EO473" s="27" t="s">
        <v>8</v>
      </c>
      <c r="EY473" s="27" t="s">
        <v>8</v>
      </c>
      <c r="FG473" s="27" t="s">
        <v>8</v>
      </c>
      <c r="FM473" s="27" t="s">
        <v>8</v>
      </c>
      <c r="FN473" s="27" t="s">
        <v>7</v>
      </c>
      <c r="FO473" s="27" t="s">
        <v>8</v>
      </c>
      <c r="GB473" s="27" t="s">
        <v>7</v>
      </c>
      <c r="GC473" s="27" t="s">
        <v>8</v>
      </c>
      <c r="GH473" s="27" t="s">
        <v>7</v>
      </c>
      <c r="GI473" s="27" t="s">
        <v>8</v>
      </c>
      <c r="GJ473" s="27" t="s">
        <v>7</v>
      </c>
      <c r="GK473" s="27" t="s">
        <v>8</v>
      </c>
      <c r="GL473" s="27" t="s">
        <v>7</v>
      </c>
      <c r="GM473" s="27" t="s">
        <v>8</v>
      </c>
      <c r="HL473" s="27" t="s">
        <v>7</v>
      </c>
      <c r="HM473" s="27" t="s">
        <v>8</v>
      </c>
      <c r="HN473" s="27" t="s">
        <v>7</v>
      </c>
      <c r="IG473" s="27" t="s">
        <v>8</v>
      </c>
      <c r="IH473" s="27" t="s">
        <v>7</v>
      </c>
    </row>
    <row r="474" spans="1:242" x14ac:dyDescent="0.25">
      <c r="A474" s="7">
        <v>9.3717222538625968</v>
      </c>
      <c r="B474"/>
      <c r="C474"/>
      <c r="D474"/>
      <c r="E474" t="s">
        <v>8</v>
      </c>
      <c r="BS474" s="27" t="s">
        <v>8</v>
      </c>
      <c r="BT474" s="27" t="s">
        <v>7</v>
      </c>
      <c r="BU474" s="27" t="s">
        <v>8</v>
      </c>
      <c r="EF474" s="27" t="s">
        <v>7</v>
      </c>
      <c r="EG474" s="27" t="s">
        <v>8</v>
      </c>
      <c r="EL474" s="27" t="s">
        <v>7</v>
      </c>
      <c r="EM474" s="27" t="s">
        <v>8</v>
      </c>
      <c r="EN474" s="27" t="s">
        <v>7</v>
      </c>
      <c r="EO474" s="27" t="s">
        <v>8</v>
      </c>
      <c r="EP474" s="27" t="s">
        <v>7</v>
      </c>
      <c r="EY474" s="27" t="s">
        <v>8</v>
      </c>
      <c r="EZ474" s="27" t="s">
        <v>7</v>
      </c>
      <c r="FG474" s="27" t="s">
        <v>8</v>
      </c>
      <c r="FH474" s="27" t="s">
        <v>7</v>
      </c>
      <c r="FM474" s="27" t="s">
        <v>8</v>
      </c>
      <c r="FN474" s="27" t="s">
        <v>7</v>
      </c>
      <c r="FO474" s="27" t="s">
        <v>8</v>
      </c>
      <c r="GB474" s="27" t="s">
        <v>7</v>
      </c>
      <c r="GH474" s="27" t="s">
        <v>7</v>
      </c>
      <c r="GI474" s="27" t="s">
        <v>8</v>
      </c>
      <c r="GJ474" s="27" t="s">
        <v>7</v>
      </c>
      <c r="GK474" s="27" t="s">
        <v>8</v>
      </c>
      <c r="GL474" s="27" t="s">
        <v>7</v>
      </c>
      <c r="HL474" s="27" t="s">
        <v>7</v>
      </c>
      <c r="HM474" s="27" t="s">
        <v>8</v>
      </c>
      <c r="HN474" s="27" t="s">
        <v>7</v>
      </c>
      <c r="IG474" s="27" t="s">
        <v>8</v>
      </c>
      <c r="IH474" s="27" t="s">
        <v>7</v>
      </c>
    </row>
    <row r="475" spans="1:242" x14ac:dyDescent="0.25">
      <c r="A475" s="7">
        <v>9.1879629939829375</v>
      </c>
      <c r="B475"/>
      <c r="C475"/>
      <c r="D475"/>
      <c r="E475" t="s">
        <v>8</v>
      </c>
      <c r="F475" s="27" t="s">
        <v>7</v>
      </c>
      <c r="BS475" s="27" t="s">
        <v>8</v>
      </c>
      <c r="BT475" s="27" t="s">
        <v>7</v>
      </c>
      <c r="BU475" s="27" t="s">
        <v>8</v>
      </c>
      <c r="EF475" s="27" t="s">
        <v>7</v>
      </c>
      <c r="EG475" s="27" t="s">
        <v>8</v>
      </c>
      <c r="EL475" s="27" t="s">
        <v>7</v>
      </c>
      <c r="EN475" s="27" t="s">
        <v>7</v>
      </c>
      <c r="EO475" s="27" t="s">
        <v>8</v>
      </c>
      <c r="EP475" s="27" t="s">
        <v>7</v>
      </c>
      <c r="EQ475" s="27" t="s">
        <v>8</v>
      </c>
      <c r="EY475" s="27" t="s">
        <v>8</v>
      </c>
      <c r="EZ475" s="27" t="s">
        <v>7</v>
      </c>
      <c r="FG475" s="27" t="s">
        <v>8</v>
      </c>
      <c r="FH475" s="27" t="s">
        <v>7</v>
      </c>
      <c r="FK475" s="27" t="s">
        <v>8</v>
      </c>
      <c r="FM475" s="27" t="s">
        <v>8</v>
      </c>
      <c r="FN475" s="27" t="s">
        <v>7</v>
      </c>
      <c r="GH475" s="27" t="s">
        <v>7</v>
      </c>
      <c r="GI475" s="27" t="s">
        <v>8</v>
      </c>
      <c r="GJ475" s="27" t="s">
        <v>7</v>
      </c>
      <c r="GK475" s="27" t="s">
        <v>8</v>
      </c>
      <c r="HL475" s="27" t="s">
        <v>7</v>
      </c>
      <c r="HN475" s="27" t="s">
        <v>7</v>
      </c>
      <c r="HO475" s="27" t="s">
        <v>8</v>
      </c>
      <c r="IG475" s="27" t="s">
        <v>8</v>
      </c>
      <c r="IH475" s="27" t="s">
        <v>7</v>
      </c>
    </row>
    <row r="476" spans="1:242" x14ac:dyDescent="0.25">
      <c r="A476" s="7">
        <v>9.0078068568460168</v>
      </c>
      <c r="B476"/>
      <c r="C476"/>
      <c r="D476"/>
      <c r="E476" t="s">
        <v>8</v>
      </c>
      <c r="F476" s="27" t="s">
        <v>7</v>
      </c>
      <c r="BS476" s="27" t="s">
        <v>8</v>
      </c>
      <c r="BT476" s="27" t="s">
        <v>7</v>
      </c>
      <c r="BU476" s="27" t="s">
        <v>8</v>
      </c>
      <c r="EF476" s="27" t="s">
        <v>7</v>
      </c>
      <c r="EG476" s="27" t="s">
        <v>8</v>
      </c>
      <c r="EN476" s="27" t="s">
        <v>7</v>
      </c>
      <c r="EO476" s="27" t="s">
        <v>8</v>
      </c>
      <c r="EP476" s="27" t="s">
        <v>7</v>
      </c>
      <c r="EQ476" s="27" t="s">
        <v>8</v>
      </c>
      <c r="ER476" s="27" t="s">
        <v>7</v>
      </c>
      <c r="EY476" s="27" t="s">
        <v>8</v>
      </c>
      <c r="EZ476" s="27" t="s">
        <v>7</v>
      </c>
      <c r="FG476" s="27" t="s">
        <v>8</v>
      </c>
      <c r="FH476" s="27" t="s">
        <v>7</v>
      </c>
      <c r="FK476" s="27" t="s">
        <v>8</v>
      </c>
      <c r="FL476" s="27" t="s">
        <v>7</v>
      </c>
      <c r="FM476" s="27" t="s">
        <v>8</v>
      </c>
      <c r="GH476" s="27" t="s">
        <v>7</v>
      </c>
      <c r="GJ476" s="27" t="s">
        <v>7</v>
      </c>
      <c r="HN476" s="27" t="s">
        <v>7</v>
      </c>
      <c r="HO476" s="27" t="s">
        <v>8</v>
      </c>
      <c r="HP476" s="27" t="s">
        <v>7</v>
      </c>
      <c r="IG476" s="27" t="s">
        <v>8</v>
      </c>
      <c r="IH476" s="27" t="s">
        <v>7</v>
      </c>
    </row>
    <row r="477" spans="1:242" x14ac:dyDescent="0.25">
      <c r="A477" s="7">
        <v>8.8311831929862912</v>
      </c>
      <c r="B477"/>
      <c r="C477"/>
      <c r="D477"/>
      <c r="E477" t="s">
        <v>8</v>
      </c>
      <c r="F477" s="27" t="s">
        <v>7</v>
      </c>
      <c r="BS477" s="27" t="s">
        <v>8</v>
      </c>
      <c r="BT477" s="27" t="s">
        <v>7</v>
      </c>
      <c r="BU477" s="27" t="s">
        <v>8</v>
      </c>
      <c r="EF477" s="27" t="s">
        <v>7</v>
      </c>
      <c r="EG477" s="27" t="s">
        <v>8</v>
      </c>
      <c r="EN477" s="27" t="s">
        <v>7</v>
      </c>
      <c r="EO477" s="27" t="s">
        <v>8</v>
      </c>
      <c r="EP477" s="27" t="s">
        <v>7</v>
      </c>
      <c r="EQ477" s="27" t="s">
        <v>8</v>
      </c>
      <c r="ER477" s="27" t="s">
        <v>7</v>
      </c>
      <c r="EY477" s="27" t="s">
        <v>8</v>
      </c>
      <c r="EZ477" s="27" t="s">
        <v>7</v>
      </c>
      <c r="FG477" s="27" t="s">
        <v>8</v>
      </c>
      <c r="FH477" s="27" t="s">
        <v>7</v>
      </c>
      <c r="FK477" s="27" t="s">
        <v>8</v>
      </c>
      <c r="FL477" s="27" t="s">
        <v>7</v>
      </c>
      <c r="FM477" s="27" t="s">
        <v>8</v>
      </c>
      <c r="HN477" s="27" t="s">
        <v>7</v>
      </c>
      <c r="HO477" s="27" t="s">
        <v>8</v>
      </c>
      <c r="HP477" s="27" t="s">
        <v>7</v>
      </c>
      <c r="IG477" s="27" t="s">
        <v>8</v>
      </c>
      <c r="IH477" s="27" t="s">
        <v>7</v>
      </c>
    </row>
    <row r="478" spans="1:242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BS478" s="27" t="s">
        <v>8</v>
      </c>
      <c r="BT478" s="27" t="s">
        <v>7</v>
      </c>
      <c r="BU478" s="27" t="s">
        <v>8</v>
      </c>
      <c r="EF478" s="27" t="s">
        <v>7</v>
      </c>
      <c r="EG478" s="27" t="s">
        <v>8</v>
      </c>
      <c r="EN478" s="27" t="s">
        <v>7</v>
      </c>
      <c r="EO478" s="27" t="s">
        <v>8</v>
      </c>
      <c r="EP478" s="27" t="s">
        <v>7</v>
      </c>
      <c r="EQ478" s="27" t="s">
        <v>8</v>
      </c>
      <c r="ER478" s="27" t="s">
        <v>7</v>
      </c>
      <c r="EY478" s="27" t="s">
        <v>8</v>
      </c>
      <c r="EZ478" s="27" t="s">
        <v>7</v>
      </c>
      <c r="FG478" s="27" t="s">
        <v>8</v>
      </c>
      <c r="FH478" s="27" t="s">
        <v>7</v>
      </c>
      <c r="FK478" s="27" t="s">
        <v>8</v>
      </c>
      <c r="FL478" s="27" t="s">
        <v>7</v>
      </c>
      <c r="FM478" s="27" t="s">
        <v>8</v>
      </c>
      <c r="HN478" s="27" t="s">
        <v>7</v>
      </c>
      <c r="HP478" s="27" t="s">
        <v>7</v>
      </c>
      <c r="HQ478" s="27" t="s">
        <v>8</v>
      </c>
      <c r="IG478" s="27" t="s">
        <v>8</v>
      </c>
      <c r="IH478" s="27" t="s">
        <v>7</v>
      </c>
    </row>
    <row r="479" spans="1:242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BS479" s="27" t="s">
        <v>8</v>
      </c>
      <c r="BT479" s="27" t="s">
        <v>7</v>
      </c>
      <c r="BU479" s="27" t="s">
        <v>8</v>
      </c>
      <c r="EF479" s="27" t="s">
        <v>7</v>
      </c>
      <c r="EG479" s="27" t="s">
        <v>8</v>
      </c>
      <c r="EN479" s="27" t="s">
        <v>7</v>
      </c>
      <c r="EO479" s="27" t="s">
        <v>8</v>
      </c>
      <c r="EP479" s="27" t="s">
        <v>7</v>
      </c>
      <c r="EQ479" s="27" t="s">
        <v>8</v>
      </c>
      <c r="ER479" s="27" t="s">
        <v>7</v>
      </c>
      <c r="EY479" s="27" t="s">
        <v>8</v>
      </c>
      <c r="EZ479" s="27" t="s">
        <v>7</v>
      </c>
      <c r="FA479" s="27" t="s">
        <v>8</v>
      </c>
      <c r="FE479" s="27" t="s">
        <v>8</v>
      </c>
      <c r="FG479" s="27" t="s">
        <v>8</v>
      </c>
      <c r="FH479" s="27" t="s">
        <v>7</v>
      </c>
      <c r="FI479" s="27" t="s">
        <v>8</v>
      </c>
      <c r="FK479" s="27" t="s">
        <v>8</v>
      </c>
      <c r="FL479" s="27" t="s">
        <v>7</v>
      </c>
      <c r="FM479" s="27" t="s">
        <v>8</v>
      </c>
      <c r="HP479" s="27" t="s">
        <v>7</v>
      </c>
      <c r="HQ479" s="27" t="s">
        <v>8</v>
      </c>
      <c r="HR479" s="27" t="s">
        <v>7</v>
      </c>
      <c r="IG479" s="27" t="s">
        <v>8</v>
      </c>
      <c r="IH479" s="27" t="s">
        <v>7</v>
      </c>
    </row>
    <row r="480" spans="1:242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BS480" s="27" t="s">
        <v>8</v>
      </c>
      <c r="BT480" s="27" t="s">
        <v>7</v>
      </c>
      <c r="BU480" s="27" t="s">
        <v>8</v>
      </c>
      <c r="EF480" s="27" t="s">
        <v>7</v>
      </c>
      <c r="EG480" s="27" t="s">
        <v>8</v>
      </c>
      <c r="EN480" s="27" t="s">
        <v>7</v>
      </c>
      <c r="EO480" s="27" t="s">
        <v>8</v>
      </c>
      <c r="EP480" s="27" t="s">
        <v>7</v>
      </c>
      <c r="ER480" s="27" t="s">
        <v>7</v>
      </c>
      <c r="EU480" s="27" t="s">
        <v>8</v>
      </c>
      <c r="EY480" s="27" t="s">
        <v>8</v>
      </c>
      <c r="EZ480" s="27" t="s">
        <v>7</v>
      </c>
      <c r="FA480" s="27" t="s">
        <v>8</v>
      </c>
      <c r="FB480" s="27" t="s">
        <v>7</v>
      </c>
      <c r="FE480" s="27" t="s">
        <v>8</v>
      </c>
      <c r="FF480" s="27" t="s">
        <v>7</v>
      </c>
      <c r="FG480" s="27" t="s">
        <v>8</v>
      </c>
      <c r="FH480" s="27" t="s">
        <v>7</v>
      </c>
      <c r="FI480" s="27" t="s">
        <v>8</v>
      </c>
      <c r="FJ480" s="27" t="s">
        <v>7</v>
      </c>
      <c r="FK480" s="27" t="s">
        <v>8</v>
      </c>
      <c r="FL480" s="27" t="s">
        <v>7</v>
      </c>
      <c r="FM480" s="27" t="s">
        <v>8</v>
      </c>
      <c r="HP480" s="27" t="s">
        <v>7</v>
      </c>
      <c r="HQ480" s="27" t="s">
        <v>8</v>
      </c>
      <c r="HR480" s="27" t="s">
        <v>7</v>
      </c>
      <c r="IG480" s="27" t="s">
        <v>8</v>
      </c>
      <c r="IH480" s="27" t="s">
        <v>7</v>
      </c>
    </row>
    <row r="481" spans="1:248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BS481" s="27" t="s">
        <v>8</v>
      </c>
      <c r="BT481" s="27" t="s">
        <v>7</v>
      </c>
      <c r="BU481" s="27" t="s">
        <v>8</v>
      </c>
      <c r="EF481" s="27" t="s">
        <v>7</v>
      </c>
      <c r="EG481" s="27" t="s">
        <v>8</v>
      </c>
      <c r="EN481" s="27" t="s">
        <v>7</v>
      </c>
      <c r="EO481" s="27" t="s">
        <v>8</v>
      </c>
      <c r="ER481" s="27" t="s">
        <v>7</v>
      </c>
      <c r="EU481" s="27" t="s">
        <v>8</v>
      </c>
      <c r="EV481" s="27" t="s">
        <v>7</v>
      </c>
      <c r="EW481" s="27" t="s">
        <v>8</v>
      </c>
      <c r="EY481" s="27" t="s">
        <v>8</v>
      </c>
      <c r="EZ481" s="27" t="s">
        <v>7</v>
      </c>
      <c r="FA481" s="27" t="s">
        <v>8</v>
      </c>
      <c r="FB481" s="27" t="s">
        <v>7</v>
      </c>
      <c r="FE481" s="27" t="s">
        <v>8</v>
      </c>
      <c r="FF481" s="27" t="s">
        <v>7</v>
      </c>
      <c r="FG481" s="27" t="s">
        <v>8</v>
      </c>
      <c r="FH481" s="27" t="s">
        <v>7</v>
      </c>
      <c r="FI481" s="27" t="s">
        <v>8</v>
      </c>
      <c r="FJ481" s="27" t="s">
        <v>7</v>
      </c>
      <c r="FK481" s="27" t="s">
        <v>8</v>
      </c>
      <c r="FL481" s="27" t="s">
        <v>7</v>
      </c>
      <c r="FM481" s="27" t="s">
        <v>8</v>
      </c>
      <c r="HP481" s="27" t="s">
        <v>7</v>
      </c>
      <c r="HR481" s="27" t="s">
        <v>7</v>
      </c>
      <c r="HS481" s="27" t="s">
        <v>8</v>
      </c>
      <c r="HU481" s="27" t="s">
        <v>8</v>
      </c>
      <c r="IE481" s="27" t="s">
        <v>8</v>
      </c>
      <c r="IG481" s="27" t="s">
        <v>8</v>
      </c>
      <c r="IH481" s="27" t="s">
        <v>7</v>
      </c>
    </row>
    <row r="482" spans="1:248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BS482" s="27" t="s">
        <v>8</v>
      </c>
      <c r="BT482" s="27" t="s">
        <v>7</v>
      </c>
      <c r="BU482" s="27" t="s">
        <v>8</v>
      </c>
      <c r="EF482" s="27" t="s">
        <v>7</v>
      </c>
      <c r="EG482" s="27" t="s">
        <v>8</v>
      </c>
      <c r="EN482" s="27" t="s">
        <v>7</v>
      </c>
      <c r="EO482" s="27" t="s">
        <v>8</v>
      </c>
      <c r="ER482" s="27" t="s">
        <v>7</v>
      </c>
      <c r="EU482" s="27" t="s">
        <v>8</v>
      </c>
      <c r="EV482" s="27" t="s">
        <v>7</v>
      </c>
      <c r="EW482" s="27" t="s">
        <v>8</v>
      </c>
      <c r="EX482" s="27" t="s">
        <v>7</v>
      </c>
      <c r="EY482" s="27" t="s">
        <v>8</v>
      </c>
      <c r="EZ482" s="27" t="s">
        <v>7</v>
      </c>
      <c r="FA482" s="27" t="s">
        <v>8</v>
      </c>
      <c r="FB482" s="27" t="s">
        <v>7</v>
      </c>
      <c r="FC482" s="27" t="s">
        <v>8</v>
      </c>
      <c r="FE482" s="27" t="s">
        <v>8</v>
      </c>
      <c r="FF482" s="27" t="s">
        <v>7</v>
      </c>
      <c r="FG482" s="27" t="s">
        <v>8</v>
      </c>
      <c r="FH482" s="27" t="s">
        <v>7</v>
      </c>
      <c r="FI482" s="27" t="s">
        <v>8</v>
      </c>
      <c r="FJ482" s="27" t="s">
        <v>7</v>
      </c>
      <c r="FK482" s="27" t="s">
        <v>8</v>
      </c>
      <c r="FL482" s="27" t="s">
        <v>7</v>
      </c>
      <c r="HR482" s="27" t="s">
        <v>7</v>
      </c>
      <c r="HS482" s="27" t="s">
        <v>8</v>
      </c>
      <c r="HT482" s="27" t="s">
        <v>7</v>
      </c>
      <c r="HU482" s="27" t="s">
        <v>8</v>
      </c>
      <c r="HV482" s="27" t="s">
        <v>7</v>
      </c>
      <c r="IE482" s="27" t="s">
        <v>8</v>
      </c>
      <c r="IF482" s="27" t="s">
        <v>7</v>
      </c>
      <c r="IG482" s="27" t="s">
        <v>8</v>
      </c>
      <c r="IH482" s="27" t="s">
        <v>7</v>
      </c>
    </row>
    <row r="483" spans="1:248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BS483" s="27" t="s">
        <v>8</v>
      </c>
      <c r="BT483" s="27" t="s">
        <v>7</v>
      </c>
      <c r="BU483" s="27" t="s">
        <v>8</v>
      </c>
      <c r="EF483" s="27" t="s">
        <v>7</v>
      </c>
      <c r="EG483" s="27" t="s">
        <v>8</v>
      </c>
      <c r="EN483" s="27" t="s">
        <v>7</v>
      </c>
      <c r="EO483" s="27" t="s">
        <v>8</v>
      </c>
      <c r="ER483" s="27" t="s">
        <v>7</v>
      </c>
      <c r="EU483" s="27" t="s">
        <v>8</v>
      </c>
      <c r="EV483" s="27" t="s">
        <v>7</v>
      </c>
      <c r="EW483" s="27" t="s">
        <v>8</v>
      </c>
      <c r="EX483" s="27" t="s">
        <v>7</v>
      </c>
      <c r="EY483" s="27" t="s">
        <v>8</v>
      </c>
      <c r="EZ483" s="27" t="s">
        <v>7</v>
      </c>
      <c r="FA483" s="27" t="s">
        <v>8</v>
      </c>
      <c r="FB483" s="27" t="s">
        <v>7</v>
      </c>
      <c r="FC483" s="27" t="s">
        <v>8</v>
      </c>
      <c r="FD483" s="27" t="s">
        <v>7</v>
      </c>
      <c r="FE483" s="27" t="s">
        <v>8</v>
      </c>
      <c r="FF483" s="27" t="s">
        <v>7</v>
      </c>
      <c r="FH483" s="27" t="s">
        <v>7</v>
      </c>
      <c r="FJ483" s="27" t="s">
        <v>7</v>
      </c>
      <c r="HR483" s="27" t="s">
        <v>7</v>
      </c>
      <c r="HS483" s="27" t="s">
        <v>8</v>
      </c>
      <c r="HT483" s="27" t="s">
        <v>7</v>
      </c>
      <c r="HU483" s="27" t="s">
        <v>8</v>
      </c>
      <c r="HV483" s="27" t="s">
        <v>7</v>
      </c>
      <c r="IE483" s="27" t="s">
        <v>8</v>
      </c>
      <c r="IF483" s="27" t="s">
        <v>7</v>
      </c>
      <c r="IG483" s="27" t="s">
        <v>8</v>
      </c>
      <c r="IH483" s="27" t="s">
        <v>7</v>
      </c>
      <c r="II483" s="27" t="s">
        <v>8</v>
      </c>
    </row>
    <row r="484" spans="1:248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BQ484" s="27" t="s">
        <v>8</v>
      </c>
      <c r="BS484" s="27" t="s">
        <v>8</v>
      </c>
      <c r="BT484" s="27" t="s">
        <v>7</v>
      </c>
      <c r="BU484" s="27" t="s">
        <v>8</v>
      </c>
      <c r="EF484" s="27" t="s">
        <v>7</v>
      </c>
      <c r="EG484" s="27" t="s">
        <v>8</v>
      </c>
      <c r="EN484" s="27" t="s">
        <v>7</v>
      </c>
      <c r="ER484" s="27" t="s">
        <v>7</v>
      </c>
      <c r="EU484" s="27" t="s">
        <v>8</v>
      </c>
      <c r="EV484" s="27" t="s">
        <v>7</v>
      </c>
      <c r="EW484" s="27" t="s">
        <v>8</v>
      </c>
      <c r="EX484" s="27" t="s">
        <v>7</v>
      </c>
      <c r="EY484" s="27" t="s">
        <v>8</v>
      </c>
      <c r="EZ484" s="27" t="s">
        <v>7</v>
      </c>
      <c r="FB484" s="27" t="s">
        <v>7</v>
      </c>
      <c r="FC484" s="27" t="s">
        <v>8</v>
      </c>
      <c r="FD484" s="27" t="s">
        <v>7</v>
      </c>
      <c r="FE484" s="27" t="s">
        <v>8</v>
      </c>
      <c r="HR484" s="27" t="s">
        <v>7</v>
      </c>
      <c r="HS484" s="27" t="s">
        <v>8</v>
      </c>
      <c r="HT484" s="27" t="s">
        <v>7</v>
      </c>
      <c r="HU484" s="27" t="s">
        <v>8</v>
      </c>
      <c r="HV484" s="27" t="s">
        <v>7</v>
      </c>
      <c r="IE484" s="27" t="s">
        <v>8</v>
      </c>
      <c r="IF484" s="27" t="s">
        <v>7</v>
      </c>
      <c r="IG484" s="27" t="s">
        <v>8</v>
      </c>
      <c r="IH484" s="27" t="s">
        <v>7</v>
      </c>
      <c r="II484" s="27" t="s">
        <v>8</v>
      </c>
      <c r="IJ484" s="27" t="s">
        <v>7</v>
      </c>
    </row>
    <row r="485" spans="1:248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BQ485" s="27" t="s">
        <v>8</v>
      </c>
      <c r="BR485" s="27" t="s">
        <v>7</v>
      </c>
      <c r="BS485" s="27" t="s">
        <v>8</v>
      </c>
      <c r="BT485" s="27" t="s">
        <v>7</v>
      </c>
      <c r="BU485" s="27" t="s">
        <v>8</v>
      </c>
      <c r="EF485" s="27" t="s">
        <v>7</v>
      </c>
      <c r="EG485" s="27" t="s">
        <v>8</v>
      </c>
      <c r="ER485" s="27" t="s">
        <v>7</v>
      </c>
      <c r="EU485" s="27" t="s">
        <v>8</v>
      </c>
      <c r="EV485" s="27" t="s">
        <v>7</v>
      </c>
      <c r="EW485" s="27" t="s">
        <v>8</v>
      </c>
      <c r="EX485" s="27" t="s">
        <v>7</v>
      </c>
      <c r="EY485" s="27" t="s">
        <v>8</v>
      </c>
      <c r="FB485" s="27" t="s">
        <v>7</v>
      </c>
      <c r="FC485" s="27" t="s">
        <v>8</v>
      </c>
      <c r="FD485" s="27" t="s">
        <v>7</v>
      </c>
      <c r="FE485" s="27" t="s">
        <v>8</v>
      </c>
      <c r="HR485" s="27" t="s">
        <v>7</v>
      </c>
      <c r="HS485" s="27" t="s">
        <v>8</v>
      </c>
      <c r="HT485" s="27" t="s">
        <v>7</v>
      </c>
      <c r="HU485" s="27" t="s">
        <v>8</v>
      </c>
      <c r="HV485" s="27" t="s">
        <v>7</v>
      </c>
      <c r="IE485" s="27" t="s">
        <v>8</v>
      </c>
      <c r="IF485" s="27" t="s">
        <v>7</v>
      </c>
      <c r="IG485" s="27" t="s">
        <v>8</v>
      </c>
      <c r="IH485" s="27" t="s">
        <v>7</v>
      </c>
      <c r="II485" s="27" t="s">
        <v>8</v>
      </c>
      <c r="IJ485" s="27" t="s">
        <v>7</v>
      </c>
      <c r="IM485" s="27" t="s">
        <v>8</v>
      </c>
    </row>
    <row r="486" spans="1:248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BQ486" s="27" t="s">
        <v>8</v>
      </c>
      <c r="BR486" s="27" t="s">
        <v>7</v>
      </c>
      <c r="BS486" s="27" t="s">
        <v>8</v>
      </c>
      <c r="BT486" s="27" t="s">
        <v>7</v>
      </c>
      <c r="BU486" s="27" t="s">
        <v>8</v>
      </c>
      <c r="EF486" s="27" t="s">
        <v>7</v>
      </c>
      <c r="EG486" s="27" t="s">
        <v>8</v>
      </c>
      <c r="ER486" s="27" t="s">
        <v>7</v>
      </c>
      <c r="ES486" s="27" t="s">
        <v>8</v>
      </c>
      <c r="EU486" s="27" t="s">
        <v>8</v>
      </c>
      <c r="EV486" s="27" t="s">
        <v>7</v>
      </c>
      <c r="EW486" s="27" t="s">
        <v>8</v>
      </c>
      <c r="EX486" s="27" t="s">
        <v>7</v>
      </c>
      <c r="EY486" s="27" t="s">
        <v>8</v>
      </c>
      <c r="FB486" s="27" t="s">
        <v>7</v>
      </c>
      <c r="FC486" s="27" t="s">
        <v>8</v>
      </c>
      <c r="FD486" s="27" t="s">
        <v>7</v>
      </c>
      <c r="FE486" s="27" t="s">
        <v>8</v>
      </c>
      <c r="HR486" s="27" t="s">
        <v>7</v>
      </c>
      <c r="HS486" s="27" t="s">
        <v>8</v>
      </c>
      <c r="HT486" s="27" t="s">
        <v>7</v>
      </c>
      <c r="HU486" s="27" t="s">
        <v>8</v>
      </c>
      <c r="HV486" s="27" t="s">
        <v>7</v>
      </c>
      <c r="IE486" s="27" t="s">
        <v>8</v>
      </c>
      <c r="IF486" s="27" t="s">
        <v>7</v>
      </c>
      <c r="IG486" s="27" t="s">
        <v>8</v>
      </c>
      <c r="IH486" s="27" t="s">
        <v>7</v>
      </c>
      <c r="II486" s="27" t="s">
        <v>8</v>
      </c>
      <c r="IJ486" s="27" t="s">
        <v>7</v>
      </c>
      <c r="IM486" s="27" t="s">
        <v>8</v>
      </c>
      <c r="IN486" s="27" t="s">
        <v>7</v>
      </c>
    </row>
    <row r="487" spans="1:248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BQ487" s="27" t="s">
        <v>8</v>
      </c>
      <c r="BR487" s="27" t="s">
        <v>7</v>
      </c>
      <c r="BS487" s="27" t="s">
        <v>8</v>
      </c>
      <c r="BT487" s="27" t="s">
        <v>7</v>
      </c>
      <c r="BU487" s="27" t="s">
        <v>8</v>
      </c>
      <c r="EF487" s="27" t="s">
        <v>7</v>
      </c>
      <c r="EG487" s="27" t="s">
        <v>8</v>
      </c>
      <c r="ER487" s="27" t="s">
        <v>7</v>
      </c>
      <c r="ES487" s="27" t="s">
        <v>8</v>
      </c>
      <c r="ET487" s="27" t="s">
        <v>7</v>
      </c>
      <c r="EU487" s="27" t="s">
        <v>8</v>
      </c>
      <c r="EV487" s="27" t="s">
        <v>7</v>
      </c>
      <c r="EW487" s="27" t="s">
        <v>8</v>
      </c>
      <c r="EX487" s="27" t="s">
        <v>7</v>
      </c>
      <c r="FB487" s="27" t="s">
        <v>7</v>
      </c>
      <c r="FC487" s="27" t="s">
        <v>8</v>
      </c>
      <c r="FD487" s="27" t="s">
        <v>7</v>
      </c>
      <c r="FE487" s="27" t="s">
        <v>8</v>
      </c>
      <c r="HR487" s="27" t="s">
        <v>7</v>
      </c>
      <c r="HS487" s="27" t="s">
        <v>8</v>
      </c>
      <c r="HT487" s="27" t="s">
        <v>7</v>
      </c>
      <c r="HV487" s="27" t="s">
        <v>7</v>
      </c>
      <c r="IE487" s="27" t="s">
        <v>8</v>
      </c>
      <c r="IF487" s="27" t="s">
        <v>7</v>
      </c>
      <c r="IH487" s="27" t="s">
        <v>7</v>
      </c>
      <c r="IJ487" s="27" t="s">
        <v>7</v>
      </c>
      <c r="IM487" s="27" t="s">
        <v>8</v>
      </c>
      <c r="IN487" s="27" t="s">
        <v>7</v>
      </c>
    </row>
    <row r="488" spans="1:248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BQ488" s="27" t="s">
        <v>8</v>
      </c>
      <c r="BR488" s="27" t="s">
        <v>7</v>
      </c>
      <c r="BS488" s="27" t="s">
        <v>8</v>
      </c>
      <c r="BT488" s="27" t="s">
        <v>7</v>
      </c>
      <c r="BU488" s="27" t="s">
        <v>8</v>
      </c>
      <c r="EF488" s="27" t="s">
        <v>7</v>
      </c>
      <c r="EG488" s="27" t="s">
        <v>8</v>
      </c>
      <c r="ER488" s="27" t="s">
        <v>7</v>
      </c>
      <c r="ES488" s="27" t="s">
        <v>8</v>
      </c>
      <c r="ET488" s="27" t="s">
        <v>7</v>
      </c>
      <c r="EU488" s="27" t="s">
        <v>8</v>
      </c>
      <c r="EV488" s="27" t="s">
        <v>7</v>
      </c>
      <c r="FB488" s="27" t="s">
        <v>7</v>
      </c>
      <c r="FC488" s="27" t="s">
        <v>8</v>
      </c>
      <c r="FD488" s="27" t="s">
        <v>7</v>
      </c>
      <c r="FE488" s="27" t="s">
        <v>8</v>
      </c>
      <c r="HR488" s="27" t="s">
        <v>7</v>
      </c>
      <c r="HS488" s="27" t="s">
        <v>8</v>
      </c>
      <c r="HV488" s="27" t="s">
        <v>7</v>
      </c>
      <c r="IE488" s="27" t="s">
        <v>8</v>
      </c>
      <c r="IJ488" s="27" t="s">
        <v>7</v>
      </c>
      <c r="IK488" s="27" t="s">
        <v>8</v>
      </c>
      <c r="IM488" s="27" t="s">
        <v>8</v>
      </c>
      <c r="IN488" s="27" t="s">
        <v>7</v>
      </c>
    </row>
    <row r="489" spans="1:248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BQ489" s="27" t="s">
        <v>8</v>
      </c>
      <c r="BR489" s="27" t="s">
        <v>7</v>
      </c>
      <c r="BS489" s="27" t="s">
        <v>8</v>
      </c>
      <c r="BT489" s="27" t="s">
        <v>7</v>
      </c>
      <c r="BU489" s="27" t="s">
        <v>8</v>
      </c>
      <c r="EF489" s="27" t="s">
        <v>7</v>
      </c>
      <c r="EG489" s="27" t="s">
        <v>8</v>
      </c>
      <c r="ER489" s="27" t="s">
        <v>7</v>
      </c>
      <c r="ES489" s="27" t="s">
        <v>8</v>
      </c>
      <c r="ET489" s="27" t="s">
        <v>7</v>
      </c>
      <c r="EU489" s="27" t="s">
        <v>8</v>
      </c>
      <c r="FB489" s="27" t="s">
        <v>7</v>
      </c>
      <c r="FC489" s="27" t="s">
        <v>8</v>
      </c>
      <c r="FD489" s="27" t="s">
        <v>7</v>
      </c>
      <c r="FE489" s="27" t="s">
        <v>8</v>
      </c>
      <c r="HR489" s="27" t="s">
        <v>7</v>
      </c>
      <c r="HS489" s="27" t="s">
        <v>8</v>
      </c>
      <c r="HV489" s="27" t="s">
        <v>7</v>
      </c>
      <c r="IE489" s="27" t="s">
        <v>8</v>
      </c>
      <c r="IJ489" s="27" t="s">
        <v>7</v>
      </c>
      <c r="IK489" s="27" t="s">
        <v>8</v>
      </c>
      <c r="IL489" s="27" t="s">
        <v>7</v>
      </c>
      <c r="IM489" s="27" t="s">
        <v>8</v>
      </c>
      <c r="IN489" s="27" t="s">
        <v>7</v>
      </c>
    </row>
    <row r="490" spans="1:248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BQ490" s="27" t="s">
        <v>8</v>
      </c>
      <c r="BR490" s="27" t="s">
        <v>7</v>
      </c>
      <c r="BS490" s="27" t="s">
        <v>8</v>
      </c>
      <c r="BT490" s="27" t="s">
        <v>7</v>
      </c>
      <c r="EF490" s="27" t="s">
        <v>7</v>
      </c>
      <c r="EG490" s="27" t="s">
        <v>8</v>
      </c>
      <c r="ER490" s="27" t="s">
        <v>7</v>
      </c>
      <c r="ES490" s="27" t="s">
        <v>8</v>
      </c>
      <c r="ET490" s="27" t="s">
        <v>7</v>
      </c>
      <c r="EU490" s="27" t="s">
        <v>8</v>
      </c>
      <c r="FB490" s="27" t="s">
        <v>7</v>
      </c>
      <c r="FC490" s="27" t="s">
        <v>8</v>
      </c>
      <c r="FD490" s="27" t="s">
        <v>7</v>
      </c>
      <c r="FE490" s="27" t="s">
        <v>8</v>
      </c>
      <c r="HR490" s="27" t="s">
        <v>7</v>
      </c>
      <c r="HS490" s="27" t="s">
        <v>8</v>
      </c>
      <c r="HV490" s="27" t="s">
        <v>7</v>
      </c>
      <c r="IE490" s="27" t="s">
        <v>8</v>
      </c>
      <c r="IJ490" s="27" t="s">
        <v>7</v>
      </c>
      <c r="IK490" s="27" t="s">
        <v>8</v>
      </c>
      <c r="IL490" s="27" t="s">
        <v>7</v>
      </c>
      <c r="IM490" s="27" t="s">
        <v>8</v>
      </c>
      <c r="IN490" s="27" t="s">
        <v>7</v>
      </c>
    </row>
    <row r="491" spans="1:248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BQ491" s="27" t="s">
        <v>8</v>
      </c>
      <c r="BR491" s="27" t="s">
        <v>7</v>
      </c>
      <c r="BS491" s="27" t="s">
        <v>8</v>
      </c>
      <c r="EF491" s="27" t="s">
        <v>7</v>
      </c>
      <c r="EG491" s="27" t="s">
        <v>8</v>
      </c>
      <c r="ER491" s="27" t="s">
        <v>7</v>
      </c>
      <c r="ES491" s="27" t="s">
        <v>8</v>
      </c>
      <c r="ET491" s="27" t="s">
        <v>7</v>
      </c>
      <c r="EU491" s="27" t="s">
        <v>8</v>
      </c>
      <c r="FB491" s="27" t="s">
        <v>7</v>
      </c>
      <c r="FC491" s="27" t="s">
        <v>8</v>
      </c>
      <c r="FD491" s="27" t="s">
        <v>7</v>
      </c>
      <c r="FE491" s="27" t="s">
        <v>8</v>
      </c>
      <c r="HR491" s="27" t="s">
        <v>7</v>
      </c>
      <c r="HV491" s="27" t="s">
        <v>7</v>
      </c>
      <c r="IE491" s="27" t="s">
        <v>8</v>
      </c>
      <c r="IJ491" s="27" t="s">
        <v>7</v>
      </c>
      <c r="IK491" s="27" t="s">
        <v>8</v>
      </c>
      <c r="IL491" s="27" t="s">
        <v>7</v>
      </c>
      <c r="IM491" s="27" t="s">
        <v>8</v>
      </c>
      <c r="IN491" s="27" t="s">
        <v>7</v>
      </c>
    </row>
    <row r="492" spans="1:248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BQ492" s="27" t="s">
        <v>8</v>
      </c>
      <c r="BR492" s="27" t="s">
        <v>7</v>
      </c>
      <c r="BS492" s="27" t="s">
        <v>8</v>
      </c>
      <c r="EF492" s="27" t="s">
        <v>7</v>
      </c>
      <c r="EG492" s="27" t="s">
        <v>8</v>
      </c>
      <c r="ER492" s="27" t="s">
        <v>7</v>
      </c>
      <c r="ES492" s="27" t="s">
        <v>8</v>
      </c>
      <c r="ET492" s="27" t="s">
        <v>7</v>
      </c>
      <c r="EU492" s="27" t="s">
        <v>8</v>
      </c>
      <c r="FB492" s="27" t="s">
        <v>7</v>
      </c>
      <c r="FC492" s="27" t="s">
        <v>8</v>
      </c>
      <c r="FD492" s="18" t="s">
        <v>7</v>
      </c>
      <c r="FE492" s="27" t="s">
        <v>8</v>
      </c>
      <c r="HV492" s="27" t="s">
        <v>7</v>
      </c>
      <c r="IE492" s="27" t="s">
        <v>8</v>
      </c>
      <c r="IJ492" s="27" t="s">
        <v>7</v>
      </c>
      <c r="IK492" s="27" t="s">
        <v>8</v>
      </c>
      <c r="IL492" s="27" t="s">
        <v>7</v>
      </c>
      <c r="IM492" s="27" t="s">
        <v>8</v>
      </c>
      <c r="IN492" s="27" t="s">
        <v>7</v>
      </c>
    </row>
    <row r="493" spans="1:248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BQ493" s="27" t="s">
        <v>8</v>
      </c>
      <c r="BR493" s="27" t="s">
        <v>7</v>
      </c>
      <c r="BS493" s="27" t="s">
        <v>8</v>
      </c>
      <c r="EF493" s="27" t="s">
        <v>7</v>
      </c>
      <c r="EG493" s="27" t="s">
        <v>8</v>
      </c>
      <c r="ER493" s="27" t="s">
        <v>7</v>
      </c>
      <c r="ES493" s="27" t="s">
        <v>8</v>
      </c>
      <c r="ET493" s="27" t="s">
        <v>7</v>
      </c>
      <c r="EU493" s="27" t="s">
        <v>8</v>
      </c>
      <c r="FB493" s="27" t="s">
        <v>7</v>
      </c>
      <c r="FC493" s="27" t="s">
        <v>8</v>
      </c>
      <c r="FD493" s="27" t="s">
        <v>7</v>
      </c>
      <c r="FE493" s="27" t="s">
        <v>8</v>
      </c>
      <c r="HV493" s="27" t="s">
        <v>7</v>
      </c>
      <c r="HW493" s="27" t="s">
        <v>8</v>
      </c>
      <c r="IE493" s="27" t="s">
        <v>8</v>
      </c>
      <c r="IJ493" s="27" t="s">
        <v>7</v>
      </c>
      <c r="IK493" s="27" t="s">
        <v>8</v>
      </c>
      <c r="IL493" s="27" t="s">
        <v>7</v>
      </c>
      <c r="IM493" s="27" t="s">
        <v>8</v>
      </c>
      <c r="IN493" s="27" t="s">
        <v>7</v>
      </c>
    </row>
    <row r="494" spans="1:248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BQ494" s="27" t="s">
        <v>8</v>
      </c>
      <c r="BR494" s="27" t="s">
        <v>7</v>
      </c>
      <c r="BS494" s="27" t="s">
        <v>8</v>
      </c>
      <c r="EF494" s="27" t="s">
        <v>7</v>
      </c>
      <c r="ER494" s="27" t="s">
        <v>7</v>
      </c>
      <c r="ES494" s="27" t="s">
        <v>8</v>
      </c>
      <c r="ET494" s="27" t="s">
        <v>7</v>
      </c>
      <c r="EU494" s="27" t="s">
        <v>8</v>
      </c>
      <c r="FB494" s="27" t="s">
        <v>7</v>
      </c>
      <c r="FD494" s="27" t="s">
        <v>7</v>
      </c>
      <c r="FE494" s="27" t="s">
        <v>8</v>
      </c>
      <c r="HV494" s="27" t="s">
        <v>7</v>
      </c>
      <c r="HW494" s="27" t="s">
        <v>8</v>
      </c>
      <c r="HX494" s="27" t="s">
        <v>7</v>
      </c>
      <c r="HY494" s="27" t="s">
        <v>8</v>
      </c>
      <c r="IE494" s="27" t="s">
        <v>8</v>
      </c>
      <c r="IJ494" s="27" t="s">
        <v>7</v>
      </c>
      <c r="IL494" s="27" t="s">
        <v>7</v>
      </c>
      <c r="IN494" s="27" t="s">
        <v>7</v>
      </c>
    </row>
    <row r="495" spans="1:248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BQ495" s="27" t="s">
        <v>8</v>
      </c>
      <c r="BR495" s="27" t="s">
        <v>7</v>
      </c>
      <c r="BS495" s="27" t="s">
        <v>8</v>
      </c>
      <c r="ER495" s="27" t="s">
        <v>7</v>
      </c>
      <c r="ES495" s="27" t="s">
        <v>8</v>
      </c>
      <c r="ET495" s="27" t="s">
        <v>7</v>
      </c>
      <c r="FD495" s="27" t="s">
        <v>7</v>
      </c>
      <c r="FE495" s="27" t="s">
        <v>8</v>
      </c>
      <c r="HV495" s="27" t="s">
        <v>7</v>
      </c>
      <c r="HW495" s="27" t="s">
        <v>8</v>
      </c>
      <c r="HX495" s="27" t="s">
        <v>7</v>
      </c>
      <c r="HY495" s="27" t="s">
        <v>8</v>
      </c>
      <c r="HZ495" s="27" t="s">
        <v>7</v>
      </c>
      <c r="IA495" s="27" t="s">
        <v>8</v>
      </c>
      <c r="IE495" s="27" t="s">
        <v>8</v>
      </c>
      <c r="IN495" s="27" t="s">
        <v>7</v>
      </c>
    </row>
    <row r="496" spans="1:248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BQ496" s="27" t="s">
        <v>8</v>
      </c>
      <c r="BR496" s="27" t="s">
        <v>7</v>
      </c>
      <c r="BS496" s="27" t="s">
        <v>8</v>
      </c>
      <c r="ER496" s="27" t="s">
        <v>7</v>
      </c>
      <c r="FD496" s="27" t="s">
        <v>7</v>
      </c>
      <c r="HV496" s="27" t="s">
        <v>7</v>
      </c>
      <c r="HW496" s="27" t="s">
        <v>8</v>
      </c>
      <c r="HX496" s="27" t="s">
        <v>7</v>
      </c>
      <c r="HY496" s="27" t="s">
        <v>8</v>
      </c>
      <c r="HZ496" s="27" t="s">
        <v>7</v>
      </c>
      <c r="IA496" s="27" t="s">
        <v>8</v>
      </c>
      <c r="IB496" s="27" t="s">
        <v>7</v>
      </c>
      <c r="IE496" s="27" t="s">
        <v>8</v>
      </c>
      <c r="IN496" s="27" t="s">
        <v>7</v>
      </c>
    </row>
    <row r="497" spans="1:252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BQ497" s="27" t="s">
        <v>8</v>
      </c>
      <c r="BR497" s="27" t="s">
        <v>7</v>
      </c>
      <c r="BS497" s="27" t="s">
        <v>8</v>
      </c>
      <c r="HV497" s="27" t="s">
        <v>7</v>
      </c>
      <c r="HW497" s="27" t="s">
        <v>8</v>
      </c>
      <c r="HX497" s="27" t="s">
        <v>7</v>
      </c>
      <c r="HY497" s="27" t="s">
        <v>8</v>
      </c>
      <c r="HZ497" s="27" t="s">
        <v>7</v>
      </c>
      <c r="IA497" s="27" t="s">
        <v>8</v>
      </c>
      <c r="IB497" s="27" t="s">
        <v>7</v>
      </c>
      <c r="IC497" s="27" t="s">
        <v>8</v>
      </c>
      <c r="IE497" s="27" t="s">
        <v>8</v>
      </c>
      <c r="IN497" s="27" t="s">
        <v>7</v>
      </c>
    </row>
    <row r="498" spans="1:252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BQ498" s="27" t="s">
        <v>8</v>
      </c>
      <c r="BR498" s="27" t="s">
        <v>7</v>
      </c>
      <c r="BS498" s="27" t="s">
        <v>8</v>
      </c>
      <c r="HV498" s="27" t="s">
        <v>7</v>
      </c>
      <c r="HW498" s="27" t="s">
        <v>8</v>
      </c>
      <c r="HX498" s="27" t="s">
        <v>7</v>
      </c>
      <c r="HY498" s="27" t="s">
        <v>8</v>
      </c>
      <c r="HZ498" s="27" t="s">
        <v>7</v>
      </c>
      <c r="IA498" s="27" t="s">
        <v>8</v>
      </c>
      <c r="IB498" s="27" t="s">
        <v>7</v>
      </c>
      <c r="IC498" s="27" t="s">
        <v>8</v>
      </c>
      <c r="ID498" s="27" t="s">
        <v>7</v>
      </c>
      <c r="IE498" s="27" t="s">
        <v>8</v>
      </c>
      <c r="IN498" s="27" t="s">
        <v>7</v>
      </c>
    </row>
    <row r="499" spans="1:252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BQ499" s="27" t="s">
        <v>8</v>
      </c>
      <c r="BR499" s="27" t="s">
        <v>7</v>
      </c>
      <c r="BS499" s="27" t="s">
        <v>8</v>
      </c>
      <c r="HV499" s="27" t="s">
        <v>7</v>
      </c>
      <c r="HW499" s="27" t="s">
        <v>8</v>
      </c>
      <c r="HX499" s="27" t="s">
        <v>7</v>
      </c>
      <c r="HY499" s="27" t="s">
        <v>8</v>
      </c>
      <c r="HZ499" s="27" t="s">
        <v>7</v>
      </c>
      <c r="IA499" s="27" t="s">
        <v>8</v>
      </c>
      <c r="IB499" s="27" t="s">
        <v>7</v>
      </c>
      <c r="IC499" s="27" t="s">
        <v>8</v>
      </c>
      <c r="ID499" s="27" t="s">
        <v>7</v>
      </c>
      <c r="IE499" s="27" t="s">
        <v>8</v>
      </c>
      <c r="IN499" s="27" t="s">
        <v>7</v>
      </c>
    </row>
    <row r="500" spans="1:252" x14ac:dyDescent="0.25">
      <c r="A500" s="7">
        <v>5.6003470821040304</v>
      </c>
      <c r="B500"/>
      <c r="C500"/>
      <c r="D500"/>
      <c r="E500" t="s">
        <v>8</v>
      </c>
      <c r="F500" s="27" t="s">
        <v>7</v>
      </c>
      <c r="BQ500" s="27" t="s">
        <v>8</v>
      </c>
      <c r="BR500" s="27" t="s">
        <v>7</v>
      </c>
      <c r="BS500" s="27" t="s">
        <v>8</v>
      </c>
      <c r="HV500" s="27" t="s">
        <v>7</v>
      </c>
      <c r="HW500" s="27" t="s">
        <v>8</v>
      </c>
      <c r="HX500" s="27" t="s">
        <v>7</v>
      </c>
      <c r="HY500" s="27" t="s">
        <v>8</v>
      </c>
      <c r="HZ500" s="27" t="s">
        <v>7</v>
      </c>
      <c r="IA500" s="27" t="s">
        <v>8</v>
      </c>
      <c r="IB500" s="27" t="s">
        <v>7</v>
      </c>
      <c r="IC500" s="27" t="s">
        <v>8</v>
      </c>
      <c r="ID500" s="27" t="s">
        <v>7</v>
      </c>
      <c r="IE500" s="27" t="s">
        <v>8</v>
      </c>
      <c r="IN500" s="27" t="s">
        <v>7</v>
      </c>
    </row>
    <row r="501" spans="1:252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BQ501" s="27" t="s">
        <v>8</v>
      </c>
      <c r="BR501" s="27" t="s">
        <v>7</v>
      </c>
      <c r="BS501" s="27" t="s">
        <v>8</v>
      </c>
      <c r="HV501" s="27" t="s">
        <v>7</v>
      </c>
      <c r="HW501" s="27" t="s">
        <v>8</v>
      </c>
      <c r="HX501" s="27" t="s">
        <v>7</v>
      </c>
      <c r="HY501" s="27" t="s">
        <v>8</v>
      </c>
      <c r="HZ501" s="27" t="s">
        <v>7</v>
      </c>
      <c r="IA501" s="27" t="s">
        <v>8</v>
      </c>
      <c r="IB501" s="27" t="s">
        <v>7</v>
      </c>
      <c r="IC501" s="27" t="s">
        <v>8</v>
      </c>
      <c r="ID501" s="27" t="s">
        <v>7</v>
      </c>
      <c r="IE501" s="27" t="s">
        <v>8</v>
      </c>
      <c r="IN501" s="27" t="s">
        <v>7</v>
      </c>
    </row>
    <row r="502" spans="1:252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BQ502" s="27" t="s">
        <v>8</v>
      </c>
      <c r="BR502" s="27" t="s">
        <v>7</v>
      </c>
      <c r="BS502" s="27" t="s">
        <v>8</v>
      </c>
      <c r="HV502" s="27" t="s">
        <v>7</v>
      </c>
      <c r="HW502" s="27" t="s">
        <v>8</v>
      </c>
      <c r="HX502" s="27" t="s">
        <v>7</v>
      </c>
      <c r="HY502" s="27" t="s">
        <v>8</v>
      </c>
      <c r="HZ502" s="27" t="s">
        <v>7</v>
      </c>
      <c r="IB502" s="27" t="s">
        <v>7</v>
      </c>
      <c r="ID502" s="27" t="s">
        <v>7</v>
      </c>
      <c r="IE502" s="27" t="s">
        <v>8</v>
      </c>
      <c r="IN502" s="27" t="s">
        <v>7</v>
      </c>
    </row>
    <row r="503" spans="1:252" x14ac:dyDescent="0.25">
      <c r="A503" s="7">
        <v>5.2773321366819985</v>
      </c>
      <c r="B503"/>
      <c r="C503"/>
      <c r="D503"/>
      <c r="E503" t="s">
        <v>8</v>
      </c>
      <c r="F503" s="27" t="s">
        <v>7</v>
      </c>
      <c r="BQ503" s="27" t="s">
        <v>8</v>
      </c>
      <c r="BR503" s="27" t="s">
        <v>7</v>
      </c>
      <c r="HV503" s="27" t="s">
        <v>7</v>
      </c>
      <c r="HW503" s="27" t="s">
        <v>8</v>
      </c>
      <c r="HX503" s="27" t="s">
        <v>7</v>
      </c>
      <c r="HY503" s="27" t="s">
        <v>8</v>
      </c>
      <c r="ID503" s="27" t="s">
        <v>7</v>
      </c>
      <c r="IE503" s="27" t="s">
        <v>8</v>
      </c>
      <c r="IN503" s="27" t="s">
        <v>7</v>
      </c>
    </row>
    <row r="504" spans="1:252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BQ504" s="27" t="s">
        <v>8</v>
      </c>
      <c r="HV504" s="27" t="s">
        <v>7</v>
      </c>
      <c r="HW504" s="27" t="s">
        <v>8</v>
      </c>
      <c r="HX504" s="27" t="s">
        <v>7</v>
      </c>
      <c r="HY504" s="27" t="s">
        <v>8</v>
      </c>
      <c r="ID504" s="27" t="s">
        <v>7</v>
      </c>
      <c r="IN504" s="27" t="s">
        <v>7</v>
      </c>
    </row>
    <row r="505" spans="1:252" x14ac:dyDescent="0.25">
      <c r="A505" s="7">
        <v>5.07240689800269</v>
      </c>
      <c r="B505"/>
      <c r="C505"/>
      <c r="D505"/>
      <c r="E505" t="s">
        <v>8</v>
      </c>
      <c r="F505" s="27" t="s">
        <v>7</v>
      </c>
      <c r="BQ505" s="27" t="s">
        <v>8</v>
      </c>
      <c r="HV505" s="27" t="s">
        <v>7</v>
      </c>
      <c r="HW505" s="27" t="s">
        <v>8</v>
      </c>
      <c r="HX505" s="27" t="s">
        <v>7</v>
      </c>
      <c r="HY505" s="27" t="s">
        <v>8</v>
      </c>
      <c r="IN505" s="27" t="s">
        <v>7</v>
      </c>
    </row>
    <row r="506" spans="1:252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BO506" s="27" t="s">
        <v>8</v>
      </c>
      <c r="BQ506" s="27" t="s">
        <v>8</v>
      </c>
      <c r="HV506" s="27" t="s">
        <v>7</v>
      </c>
      <c r="HW506" s="27" t="s">
        <v>8</v>
      </c>
      <c r="HX506" s="27" t="s">
        <v>7</v>
      </c>
      <c r="IN506" s="27" t="s">
        <v>7</v>
      </c>
    </row>
    <row r="507" spans="1:252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BO507" s="27" t="s">
        <v>8</v>
      </c>
      <c r="BP507" s="27" t="s">
        <v>7</v>
      </c>
      <c r="BQ507" s="27" t="s">
        <v>8</v>
      </c>
      <c r="HV507" s="27" t="s">
        <v>7</v>
      </c>
      <c r="HW507" s="27" t="s">
        <v>8</v>
      </c>
      <c r="IN507" s="27" t="s">
        <v>7</v>
      </c>
    </row>
    <row r="508" spans="1:252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BO508" s="27" t="s">
        <v>8</v>
      </c>
      <c r="BP508" s="27" t="s">
        <v>7</v>
      </c>
      <c r="BQ508" s="27" t="s">
        <v>8</v>
      </c>
      <c r="HV508" s="27" t="s">
        <v>7</v>
      </c>
      <c r="HW508" s="27" t="s">
        <v>8</v>
      </c>
      <c r="IN508" s="27" t="s">
        <v>7</v>
      </c>
      <c r="IO508" s="27" t="s">
        <v>8</v>
      </c>
      <c r="IQ508" s="27" t="s">
        <v>8</v>
      </c>
    </row>
    <row r="509" spans="1:252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BO509" s="27" t="s">
        <v>8</v>
      </c>
      <c r="BP509" s="27" t="s">
        <v>7</v>
      </c>
      <c r="BQ509" s="27" t="s">
        <v>8</v>
      </c>
      <c r="HV509" s="27" t="s">
        <v>7</v>
      </c>
      <c r="HW509" s="27" t="s">
        <v>8</v>
      </c>
      <c r="IN509" s="27" t="s">
        <v>7</v>
      </c>
      <c r="IO509" s="27" t="s">
        <v>8</v>
      </c>
      <c r="IP509" s="27" t="s">
        <v>7</v>
      </c>
      <c r="IQ509" s="27" t="s">
        <v>8</v>
      </c>
      <c r="IR509" s="27" t="s">
        <v>7</v>
      </c>
    </row>
    <row r="510" spans="1:252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BO510" s="27" t="s">
        <v>8</v>
      </c>
      <c r="BP510" s="27" t="s">
        <v>7</v>
      </c>
      <c r="BQ510" s="27" t="s">
        <v>8</v>
      </c>
      <c r="HV510" s="27" t="s">
        <v>7</v>
      </c>
      <c r="HW510" s="27" t="s">
        <v>8</v>
      </c>
      <c r="IN510" s="27" t="s">
        <v>7</v>
      </c>
      <c r="IO510" s="27" t="s">
        <v>8</v>
      </c>
      <c r="IP510" s="27" t="s">
        <v>7</v>
      </c>
      <c r="IQ510" s="27" t="s">
        <v>8</v>
      </c>
      <c r="IR510" s="27" t="s">
        <v>7</v>
      </c>
    </row>
    <row r="511" spans="1:252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BO511" s="27" t="s">
        <v>8</v>
      </c>
      <c r="BP511" s="27" t="s">
        <v>7</v>
      </c>
      <c r="BQ511" s="27" t="s">
        <v>8</v>
      </c>
      <c r="HV511" s="27" t="s">
        <v>7</v>
      </c>
      <c r="HW511" s="27" t="s">
        <v>8</v>
      </c>
      <c r="IN511" s="27" t="s">
        <v>7</v>
      </c>
      <c r="IO511" s="27" t="s">
        <v>8</v>
      </c>
      <c r="IP511" s="27" t="s">
        <v>7</v>
      </c>
      <c r="IQ511" s="27" t="s">
        <v>8</v>
      </c>
      <c r="IR511" s="27" t="s">
        <v>7</v>
      </c>
    </row>
    <row r="512" spans="1:252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BO512" s="27" t="s">
        <v>8</v>
      </c>
      <c r="BP512" s="27" t="s">
        <v>7</v>
      </c>
      <c r="BQ512" s="27" t="s">
        <v>8</v>
      </c>
      <c r="HV512" s="27" t="s">
        <v>7</v>
      </c>
      <c r="IN512" s="27" t="s">
        <v>7</v>
      </c>
      <c r="IO512" s="27" t="s">
        <v>8</v>
      </c>
      <c r="IP512" s="27" t="s">
        <v>7</v>
      </c>
      <c r="IQ512" s="27" t="s">
        <v>8</v>
      </c>
      <c r="IR512" s="27" t="s">
        <v>7</v>
      </c>
    </row>
    <row r="513" spans="1:252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BO513" s="27" t="s">
        <v>8</v>
      </c>
      <c r="BP513" s="27" t="s">
        <v>7</v>
      </c>
      <c r="BQ513" s="27" t="s">
        <v>8</v>
      </c>
      <c r="IN513" s="27" t="s">
        <v>7</v>
      </c>
      <c r="IO513" s="27" t="s">
        <v>8</v>
      </c>
      <c r="IP513" s="27" t="s">
        <v>7</v>
      </c>
      <c r="IQ513" s="27" t="s">
        <v>8</v>
      </c>
      <c r="IR513" s="27" t="s">
        <v>7</v>
      </c>
    </row>
    <row r="514" spans="1:252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BO514" s="27" t="s">
        <v>8</v>
      </c>
      <c r="BP514" s="27" t="s">
        <v>7</v>
      </c>
      <c r="BQ514" s="27" t="s">
        <v>8</v>
      </c>
      <c r="IN514" s="27" t="s">
        <v>7</v>
      </c>
      <c r="IO514" s="27" t="s">
        <v>8</v>
      </c>
      <c r="IP514" s="27" t="s">
        <v>7</v>
      </c>
      <c r="IQ514" s="27" t="s">
        <v>8</v>
      </c>
      <c r="IR514" s="27" t="s">
        <v>7</v>
      </c>
    </row>
    <row r="515" spans="1:252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BM515" s="27" t="s">
        <v>8</v>
      </c>
      <c r="BO515" s="27" t="s">
        <v>8</v>
      </c>
      <c r="BP515" s="27" t="s">
        <v>7</v>
      </c>
      <c r="BQ515" s="27" t="s">
        <v>8</v>
      </c>
      <c r="IN515" s="27" t="s">
        <v>7</v>
      </c>
      <c r="IO515" s="27" t="s">
        <v>8</v>
      </c>
      <c r="IP515" s="27" t="s">
        <v>7</v>
      </c>
      <c r="IQ515" s="27" t="s">
        <v>8</v>
      </c>
      <c r="IR515" s="27" t="s">
        <v>7</v>
      </c>
    </row>
    <row r="516" spans="1:252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BM516" s="27" t="s">
        <v>8</v>
      </c>
      <c r="BN516" s="27" t="s">
        <v>7</v>
      </c>
      <c r="BO516" s="27" t="s">
        <v>8</v>
      </c>
      <c r="BP516" s="27" t="s">
        <v>7</v>
      </c>
      <c r="BQ516" s="27" t="s">
        <v>8</v>
      </c>
      <c r="IN516" s="27" t="s">
        <v>7</v>
      </c>
      <c r="IO516" s="27" t="s">
        <v>8</v>
      </c>
      <c r="IP516" s="27" t="s">
        <v>7</v>
      </c>
      <c r="IQ516" s="27" t="s">
        <v>8</v>
      </c>
      <c r="IR516" s="27" t="s">
        <v>7</v>
      </c>
    </row>
    <row r="517" spans="1:252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BM517" s="27" t="s">
        <v>8</v>
      </c>
      <c r="BN517" s="27" t="s">
        <v>7</v>
      </c>
      <c r="BO517" s="27" t="s">
        <v>8</v>
      </c>
      <c r="BP517" s="27" t="s">
        <v>7</v>
      </c>
      <c r="BQ517" s="27" t="s">
        <v>8</v>
      </c>
      <c r="IN517" s="27" t="s">
        <v>7</v>
      </c>
      <c r="IP517" s="27" t="s">
        <v>7</v>
      </c>
      <c r="IQ517" s="27" t="s">
        <v>8</v>
      </c>
    </row>
    <row r="518" spans="1:252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BM518" s="27" t="s">
        <v>8</v>
      </c>
      <c r="BN518" s="27" t="s">
        <v>7</v>
      </c>
      <c r="BO518" s="27" t="s">
        <v>8</v>
      </c>
      <c r="BP518" s="27" t="s">
        <v>7</v>
      </c>
      <c r="BQ518" s="27" t="s">
        <v>8</v>
      </c>
      <c r="IP518" s="27" t="s">
        <v>7</v>
      </c>
      <c r="IQ518" s="27" t="s">
        <v>8</v>
      </c>
    </row>
    <row r="519" spans="1:252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BM519" s="27" t="s">
        <v>8</v>
      </c>
      <c r="BN519" s="27" t="s">
        <v>7</v>
      </c>
      <c r="BO519" s="27" t="s">
        <v>8</v>
      </c>
      <c r="BP519" s="27" t="s">
        <v>7</v>
      </c>
      <c r="BQ519" s="27" t="s">
        <v>8</v>
      </c>
      <c r="IP519" s="27" t="s">
        <v>7</v>
      </c>
    </row>
    <row r="520" spans="1:252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BM520" s="27" t="s">
        <v>8</v>
      </c>
      <c r="BN520" s="27" t="s">
        <v>7</v>
      </c>
      <c r="BO520" s="27" t="s">
        <v>8</v>
      </c>
      <c r="BP520" s="27" t="s">
        <v>7</v>
      </c>
      <c r="BQ520" s="27" t="s">
        <v>8</v>
      </c>
    </row>
    <row r="521" spans="1:252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BM521" s="27" t="s">
        <v>8</v>
      </c>
      <c r="BN521" s="27" t="s">
        <v>7</v>
      </c>
      <c r="BO521" s="27" t="s">
        <v>8</v>
      </c>
      <c r="BP521" s="27" t="s">
        <v>7</v>
      </c>
      <c r="BQ521" s="27" t="s">
        <v>8</v>
      </c>
    </row>
    <row r="522" spans="1:252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BM522" s="27" t="s">
        <v>8</v>
      </c>
      <c r="BN522" s="27" t="s">
        <v>7</v>
      </c>
      <c r="BO522" s="27" t="s">
        <v>8</v>
      </c>
      <c r="BP522" s="27" t="s">
        <v>7</v>
      </c>
      <c r="BQ522" s="27" t="s">
        <v>8</v>
      </c>
    </row>
    <row r="523" spans="1:252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BM523" s="27" t="s">
        <v>8</v>
      </c>
      <c r="BN523" s="27" t="s">
        <v>7</v>
      </c>
      <c r="BO523" s="27" t="s">
        <v>8</v>
      </c>
      <c r="BP523" s="27" t="s">
        <v>7</v>
      </c>
      <c r="BQ523" s="27" t="s">
        <v>8</v>
      </c>
    </row>
    <row r="524" spans="1:252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BM524" s="27" t="s">
        <v>8</v>
      </c>
      <c r="BN524" s="27" t="s">
        <v>7</v>
      </c>
      <c r="BO524" s="27" t="s">
        <v>8</v>
      </c>
      <c r="BP524" s="27" t="s">
        <v>7</v>
      </c>
      <c r="BQ524" s="27" t="s">
        <v>8</v>
      </c>
    </row>
    <row r="525" spans="1:252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BM525" s="27" t="s">
        <v>8</v>
      </c>
      <c r="BN525" s="27" t="s">
        <v>7</v>
      </c>
      <c r="BO525" s="27" t="s">
        <v>8</v>
      </c>
      <c r="BP525" s="27" t="s">
        <v>7</v>
      </c>
      <c r="BQ525" s="27" t="s">
        <v>8</v>
      </c>
    </row>
    <row r="526" spans="1:252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G526" s="27" t="s">
        <v>8</v>
      </c>
      <c r="BM526" s="27" t="s">
        <v>8</v>
      </c>
      <c r="BN526" s="27" t="s">
        <v>7</v>
      </c>
      <c r="BO526" s="27" t="s">
        <v>8</v>
      </c>
      <c r="BP526" s="27" t="s">
        <v>7</v>
      </c>
      <c r="BQ526" s="27" t="s">
        <v>8</v>
      </c>
    </row>
    <row r="527" spans="1:252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G527" s="27" t="s">
        <v>8</v>
      </c>
      <c r="H527" s="27" t="s">
        <v>7</v>
      </c>
      <c r="BM527" s="27" t="s">
        <v>8</v>
      </c>
      <c r="BN527" s="27" t="s">
        <v>7</v>
      </c>
      <c r="BO527" s="27" t="s">
        <v>8</v>
      </c>
      <c r="BP527" s="27" t="s">
        <v>7</v>
      </c>
      <c r="BQ527" s="27" t="s">
        <v>8</v>
      </c>
    </row>
    <row r="528" spans="1:252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G528" s="27" t="s">
        <v>8</v>
      </c>
      <c r="H528" s="27" t="s">
        <v>7</v>
      </c>
      <c r="BM528" s="27" t="s">
        <v>8</v>
      </c>
      <c r="BN528" s="27" t="s">
        <v>7</v>
      </c>
      <c r="BO528" s="27" t="s">
        <v>8</v>
      </c>
      <c r="BP528" s="27" t="s">
        <v>7</v>
      </c>
    </row>
    <row r="529" spans="1:66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G529" s="27" t="s">
        <v>8</v>
      </c>
      <c r="H529" s="27" t="s">
        <v>7</v>
      </c>
      <c r="BM529" s="27" t="s">
        <v>8</v>
      </c>
      <c r="BN529" s="27" t="s">
        <v>7</v>
      </c>
    </row>
    <row r="530" spans="1:66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G530" s="27" t="s">
        <v>8</v>
      </c>
      <c r="H530" s="27" t="s">
        <v>7</v>
      </c>
      <c r="I530" s="27" t="s">
        <v>8</v>
      </c>
      <c r="BM530" s="27" t="s">
        <v>8</v>
      </c>
    </row>
    <row r="531" spans="1:66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G531" s="27" t="s">
        <v>8</v>
      </c>
      <c r="H531" s="27" t="s">
        <v>7</v>
      </c>
      <c r="I531" s="27" t="s">
        <v>8</v>
      </c>
      <c r="J531" s="27" t="s">
        <v>7</v>
      </c>
      <c r="BG531" s="27" t="s">
        <v>8</v>
      </c>
      <c r="BM531" s="27" t="s">
        <v>8</v>
      </c>
    </row>
    <row r="532" spans="1:66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G532" s="27" t="s">
        <v>8</v>
      </c>
      <c r="H532" s="27" t="s">
        <v>7</v>
      </c>
      <c r="I532" s="27" t="s">
        <v>8</v>
      </c>
      <c r="J532" s="27" t="s">
        <v>7</v>
      </c>
      <c r="BG532" s="27" t="s">
        <v>8</v>
      </c>
      <c r="BH532" s="27" t="s">
        <v>7</v>
      </c>
      <c r="BM532" s="27" t="s">
        <v>8</v>
      </c>
    </row>
    <row r="533" spans="1:66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H533" s="27" t="s">
        <v>7</v>
      </c>
      <c r="I533" s="27" t="s">
        <v>8</v>
      </c>
      <c r="J533" s="27" t="s">
        <v>7</v>
      </c>
      <c r="BE533" s="27" t="s">
        <v>8</v>
      </c>
      <c r="BG533" s="27" t="s">
        <v>8</v>
      </c>
      <c r="BH533" s="27" t="s">
        <v>7</v>
      </c>
      <c r="BM533" s="27" t="s">
        <v>8</v>
      </c>
    </row>
    <row r="534" spans="1:66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  <c r="H534" s="27" t="s">
        <v>7</v>
      </c>
      <c r="I534" s="27" t="s">
        <v>8</v>
      </c>
      <c r="J534" s="27" t="s">
        <v>7</v>
      </c>
      <c r="BE534" s="27" t="s">
        <v>8</v>
      </c>
      <c r="BF534" s="27" t="s">
        <v>7</v>
      </c>
      <c r="BG534" s="27" t="s">
        <v>8</v>
      </c>
      <c r="BH534" s="27" t="s">
        <v>7</v>
      </c>
      <c r="BK534" s="27" t="s">
        <v>8</v>
      </c>
      <c r="BM534" s="27" t="s">
        <v>8</v>
      </c>
    </row>
    <row r="535" spans="1:66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H535" s="27" t="s">
        <v>7</v>
      </c>
      <c r="I535" s="27" t="s">
        <v>8</v>
      </c>
      <c r="J535" s="27" t="s">
        <v>7</v>
      </c>
      <c r="BE535" s="27" t="s">
        <v>8</v>
      </c>
      <c r="BF535" s="27" t="s">
        <v>7</v>
      </c>
      <c r="BG535" s="27" t="s">
        <v>8</v>
      </c>
      <c r="BH535" s="27" t="s">
        <v>7</v>
      </c>
      <c r="BK535" s="27" t="s">
        <v>8</v>
      </c>
      <c r="BL535" s="27" t="s">
        <v>7</v>
      </c>
      <c r="BM535" s="27" t="s">
        <v>8</v>
      </c>
    </row>
    <row r="536" spans="1:66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H536" s="27" t="s">
        <v>7</v>
      </c>
      <c r="I536" s="27" t="s">
        <v>8</v>
      </c>
      <c r="J536" s="27" t="s">
        <v>7</v>
      </c>
      <c r="BE536" s="27" t="s">
        <v>8</v>
      </c>
      <c r="BF536" s="27" t="s">
        <v>7</v>
      </c>
      <c r="BG536" s="27" t="s">
        <v>8</v>
      </c>
      <c r="BH536" s="27" t="s">
        <v>7</v>
      </c>
      <c r="BK536" s="27" t="s">
        <v>8</v>
      </c>
      <c r="BL536" s="27" t="s">
        <v>7</v>
      </c>
      <c r="BM536" s="27" t="s">
        <v>8</v>
      </c>
    </row>
    <row r="537" spans="1:66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G537" s="27" t="s">
        <v>8</v>
      </c>
      <c r="H537" s="27" t="s">
        <v>7</v>
      </c>
      <c r="I537" s="27" t="s">
        <v>8</v>
      </c>
      <c r="J537" s="27" t="s">
        <v>7</v>
      </c>
      <c r="K537" s="27" t="s">
        <v>8</v>
      </c>
      <c r="BE537" s="27" t="s">
        <v>8</v>
      </c>
      <c r="BF537" s="27" t="s">
        <v>7</v>
      </c>
      <c r="BG537" s="27" t="s">
        <v>8</v>
      </c>
      <c r="BH537" s="27" t="s">
        <v>7</v>
      </c>
      <c r="BK537" s="27" t="s">
        <v>8</v>
      </c>
      <c r="BL537" s="27" t="s">
        <v>7</v>
      </c>
      <c r="BM537" s="27" t="s">
        <v>8</v>
      </c>
    </row>
    <row r="538" spans="1:66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G538" s="27" t="s">
        <v>8</v>
      </c>
      <c r="H538" s="27" t="s">
        <v>7</v>
      </c>
      <c r="I538" s="27" t="s">
        <v>8</v>
      </c>
      <c r="J538" s="27" t="s">
        <v>7</v>
      </c>
      <c r="K538" s="27" t="s">
        <v>8</v>
      </c>
      <c r="L538" s="27" t="s">
        <v>7</v>
      </c>
      <c r="BE538" s="27" t="s">
        <v>8</v>
      </c>
      <c r="BF538" s="27" t="s">
        <v>7</v>
      </c>
      <c r="BG538" s="27" t="s">
        <v>8</v>
      </c>
      <c r="BH538" s="27" t="s">
        <v>7</v>
      </c>
      <c r="BI538" s="27" t="s">
        <v>8</v>
      </c>
      <c r="BK538" s="27" t="s">
        <v>8</v>
      </c>
      <c r="BL538" s="27" t="s">
        <v>7</v>
      </c>
      <c r="BM538" s="27" t="s">
        <v>8</v>
      </c>
    </row>
    <row r="539" spans="1:66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G539" s="27" t="s">
        <v>8</v>
      </c>
      <c r="H539" s="27" t="s">
        <v>7</v>
      </c>
      <c r="I539" s="27" t="s">
        <v>8</v>
      </c>
      <c r="J539" s="27" t="s">
        <v>7</v>
      </c>
      <c r="K539" s="27" t="s">
        <v>8</v>
      </c>
      <c r="L539" s="27" t="s">
        <v>7</v>
      </c>
      <c r="BE539" s="27" t="s">
        <v>8</v>
      </c>
      <c r="BF539" s="27" t="s">
        <v>7</v>
      </c>
      <c r="BH539" s="27" t="s">
        <v>7</v>
      </c>
      <c r="BI539" s="27" t="s">
        <v>8</v>
      </c>
      <c r="BJ539" s="27" t="s">
        <v>7</v>
      </c>
      <c r="BK539" s="27" t="s">
        <v>8</v>
      </c>
      <c r="BL539" s="27" t="s">
        <v>7</v>
      </c>
      <c r="BM539" s="27" t="s">
        <v>8</v>
      </c>
    </row>
    <row r="540" spans="1:66" x14ac:dyDescent="0.25">
      <c r="A540" s="7">
        <v>2.53634351519552</v>
      </c>
      <c r="B540"/>
      <c r="C540"/>
      <c r="D540"/>
      <c r="E540" t="s">
        <v>8</v>
      </c>
      <c r="F540" s="27" t="s">
        <v>7</v>
      </c>
      <c r="G540" s="27" t="s">
        <v>8</v>
      </c>
      <c r="H540" s="27" t="s">
        <v>7</v>
      </c>
      <c r="I540" s="27" t="s">
        <v>8</v>
      </c>
      <c r="J540" s="27" t="s">
        <v>7</v>
      </c>
      <c r="K540" s="27" t="s">
        <v>8</v>
      </c>
      <c r="L540" s="27" t="s">
        <v>7</v>
      </c>
      <c r="BE540" s="27" t="s">
        <v>8</v>
      </c>
      <c r="BH540" s="27" t="s">
        <v>7</v>
      </c>
      <c r="BI540" s="27" t="s">
        <v>8</v>
      </c>
      <c r="BJ540" s="27" t="s">
        <v>7</v>
      </c>
      <c r="BK540" s="27" t="s">
        <v>8</v>
      </c>
      <c r="BL540" s="27" t="s">
        <v>7</v>
      </c>
      <c r="BM540" s="27" t="s">
        <v>8</v>
      </c>
    </row>
    <row r="541" spans="1:66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G541" s="27" t="s">
        <v>8</v>
      </c>
      <c r="H541" s="27" t="s">
        <v>7</v>
      </c>
      <c r="I541" s="27" t="s">
        <v>8</v>
      </c>
      <c r="J541" s="27" t="s">
        <v>7</v>
      </c>
      <c r="K541" s="27" t="s">
        <v>8</v>
      </c>
      <c r="L541" s="27" t="s">
        <v>7</v>
      </c>
      <c r="BA541" s="27" t="s">
        <v>8</v>
      </c>
      <c r="BE541" s="27" t="s">
        <v>8</v>
      </c>
      <c r="BH541" s="27" t="s">
        <v>7</v>
      </c>
      <c r="BI541" s="27" t="s">
        <v>8</v>
      </c>
      <c r="BJ541" s="27" t="s">
        <v>7</v>
      </c>
      <c r="BK541" s="27" t="s">
        <v>8</v>
      </c>
      <c r="BL541" s="27" t="s">
        <v>7</v>
      </c>
      <c r="BM541" s="27" t="s">
        <v>8</v>
      </c>
    </row>
    <row r="542" spans="1:66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G542" s="27" t="s">
        <v>8</v>
      </c>
      <c r="H542" s="27" t="s">
        <v>7</v>
      </c>
      <c r="I542" s="27" t="s">
        <v>8</v>
      </c>
      <c r="J542" s="27" t="s">
        <v>7</v>
      </c>
      <c r="K542" s="27" t="s">
        <v>8</v>
      </c>
      <c r="L542" s="27" t="s">
        <v>7</v>
      </c>
      <c r="BA542" s="27" t="s">
        <v>8</v>
      </c>
      <c r="BB542" s="27" t="s">
        <v>7</v>
      </c>
      <c r="BE542" s="27" t="s">
        <v>8</v>
      </c>
      <c r="BH542" s="27" t="s">
        <v>7</v>
      </c>
      <c r="BI542" s="27" t="s">
        <v>8</v>
      </c>
      <c r="BJ542" s="27" t="s">
        <v>7</v>
      </c>
      <c r="BK542" s="27" t="s">
        <v>8</v>
      </c>
      <c r="BL542" s="27" t="s">
        <v>7</v>
      </c>
      <c r="BM542" s="27" t="s">
        <v>8</v>
      </c>
    </row>
    <row r="543" spans="1:66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G543" s="27" t="s">
        <v>8</v>
      </c>
      <c r="H543" s="27" t="s">
        <v>7</v>
      </c>
      <c r="I543" s="27" t="s">
        <v>8</v>
      </c>
      <c r="J543" s="27" t="s">
        <v>7</v>
      </c>
      <c r="K543" s="27" t="s">
        <v>8</v>
      </c>
      <c r="L543" s="27" t="s">
        <v>7</v>
      </c>
      <c r="BA543" s="27" t="s">
        <v>8</v>
      </c>
      <c r="BB543" s="27" t="s">
        <v>7</v>
      </c>
      <c r="BE543" s="27" t="s">
        <v>8</v>
      </c>
      <c r="BH543" s="27" t="s">
        <v>7</v>
      </c>
      <c r="BI543" s="27" t="s">
        <v>8</v>
      </c>
      <c r="BJ543" s="27" t="s">
        <v>7</v>
      </c>
      <c r="BK543" s="27" t="s">
        <v>8</v>
      </c>
      <c r="BL543" s="27" t="s">
        <v>7</v>
      </c>
    </row>
    <row r="544" spans="1:66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G544" s="27" t="s">
        <v>8</v>
      </c>
      <c r="H544" s="27" t="s">
        <v>7</v>
      </c>
      <c r="I544" s="27" t="s">
        <v>8</v>
      </c>
      <c r="J544" s="27" t="s">
        <v>7</v>
      </c>
      <c r="K544" s="27" t="s">
        <v>8</v>
      </c>
      <c r="L544" s="27" t="s">
        <v>7</v>
      </c>
      <c r="AW544" s="27" t="s">
        <v>8</v>
      </c>
      <c r="BA544" s="27" t="s">
        <v>8</v>
      </c>
      <c r="BB544" s="27" t="s">
        <v>7</v>
      </c>
      <c r="BE544" s="27" t="s">
        <v>8</v>
      </c>
      <c r="BH544" s="27" t="s">
        <v>7</v>
      </c>
      <c r="BI544" s="27" t="s">
        <v>8</v>
      </c>
      <c r="BJ544" s="27" t="s">
        <v>7</v>
      </c>
    </row>
    <row r="545" spans="1:61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G545" s="27" t="s">
        <v>8</v>
      </c>
      <c r="H545" s="27" t="s">
        <v>7</v>
      </c>
      <c r="I545" s="27" t="s">
        <v>8</v>
      </c>
      <c r="J545" s="27" t="s">
        <v>7</v>
      </c>
      <c r="K545" s="27" t="s">
        <v>8</v>
      </c>
      <c r="L545" s="27" t="s">
        <v>7</v>
      </c>
      <c r="AW545" s="27" t="s">
        <v>8</v>
      </c>
      <c r="AX545" s="27" t="s">
        <v>7</v>
      </c>
      <c r="AY545" s="27" t="s">
        <v>8</v>
      </c>
      <c r="BA545" s="27" t="s">
        <v>8</v>
      </c>
      <c r="BB545" s="27" t="s">
        <v>7</v>
      </c>
      <c r="BE545" s="27" t="s">
        <v>8</v>
      </c>
      <c r="BH545" s="27" t="s">
        <v>7</v>
      </c>
      <c r="BI545" s="27" t="s">
        <v>8</v>
      </c>
    </row>
    <row r="546" spans="1:61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H546" s="27" t="s">
        <v>7</v>
      </c>
      <c r="I546" s="27" t="s">
        <v>8</v>
      </c>
      <c r="J546" s="27" t="s">
        <v>7</v>
      </c>
      <c r="K546" s="27" t="s">
        <v>8</v>
      </c>
      <c r="L546" s="27" t="s">
        <v>7</v>
      </c>
      <c r="AW546" s="27" t="s">
        <v>8</v>
      </c>
      <c r="AX546" s="27" t="s">
        <v>7</v>
      </c>
      <c r="AY546" s="27" t="s">
        <v>8</v>
      </c>
      <c r="AZ546" s="27" t="s">
        <v>7</v>
      </c>
      <c r="BA546" s="27" t="s">
        <v>8</v>
      </c>
      <c r="BB546" s="27" t="s">
        <v>7</v>
      </c>
      <c r="BE546" s="27" t="s">
        <v>8</v>
      </c>
      <c r="BH546" s="27" t="s">
        <v>7</v>
      </c>
      <c r="BI546" s="27" t="s">
        <v>8</v>
      </c>
    </row>
    <row r="547" spans="1:61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I547" s="27" t="s">
        <v>8</v>
      </c>
      <c r="J547" s="27" t="s">
        <v>7</v>
      </c>
      <c r="K547" s="27" t="s">
        <v>8</v>
      </c>
      <c r="L547" s="27" t="s">
        <v>7</v>
      </c>
      <c r="AW547" s="27" t="s">
        <v>8</v>
      </c>
      <c r="AX547" s="27" t="s">
        <v>7</v>
      </c>
      <c r="AY547" s="27" t="s">
        <v>8</v>
      </c>
      <c r="AZ547" s="27" t="s">
        <v>7</v>
      </c>
      <c r="BA547" s="27" t="s">
        <v>8</v>
      </c>
      <c r="BB547" s="27" t="s">
        <v>7</v>
      </c>
      <c r="BC547" s="27" t="s">
        <v>8</v>
      </c>
      <c r="BE547" s="27" t="s">
        <v>8</v>
      </c>
      <c r="BH547" s="27" t="s">
        <v>7</v>
      </c>
      <c r="BI547" s="27" t="s">
        <v>8</v>
      </c>
    </row>
    <row r="548" spans="1:61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H548" s="27" t="s">
        <v>7</v>
      </c>
      <c r="J548" s="27" t="s">
        <v>7</v>
      </c>
      <c r="K548" s="27" t="s">
        <v>8</v>
      </c>
      <c r="L548" s="27" t="s">
        <v>7</v>
      </c>
      <c r="AW548" s="27" t="s">
        <v>8</v>
      </c>
      <c r="AX548" s="27" t="s">
        <v>7</v>
      </c>
      <c r="AY548" s="27" t="s">
        <v>8</v>
      </c>
      <c r="AZ548" s="27" t="s">
        <v>7</v>
      </c>
      <c r="BA548" s="27" t="s">
        <v>8</v>
      </c>
      <c r="BB548" s="27" t="s">
        <v>7</v>
      </c>
      <c r="BC548" s="27" t="s">
        <v>8</v>
      </c>
      <c r="BD548" s="27" t="s">
        <v>7</v>
      </c>
      <c r="BE548" s="27" t="s">
        <v>8</v>
      </c>
      <c r="BH548" s="27" t="s">
        <v>7</v>
      </c>
      <c r="BI548" s="27" t="s">
        <v>8</v>
      </c>
    </row>
    <row r="549" spans="1:61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J549" s="27" t="s">
        <v>7</v>
      </c>
      <c r="K549" s="27" t="s">
        <v>8</v>
      </c>
      <c r="L549" s="27" t="s">
        <v>7</v>
      </c>
      <c r="AW549" s="27" t="s">
        <v>8</v>
      </c>
      <c r="AX549" s="27" t="s">
        <v>7</v>
      </c>
      <c r="AY549" s="27" t="s">
        <v>8</v>
      </c>
      <c r="AZ549" s="27" t="s">
        <v>7</v>
      </c>
      <c r="BA549" s="27" t="s">
        <v>8</v>
      </c>
      <c r="BB549" s="27" t="s">
        <v>7</v>
      </c>
      <c r="BC549" s="27" t="s">
        <v>8</v>
      </c>
      <c r="BD549" s="27" t="s">
        <v>7</v>
      </c>
      <c r="BE549" s="27" t="s">
        <v>8</v>
      </c>
      <c r="BH549" s="27" t="s">
        <v>7</v>
      </c>
      <c r="BI549" s="27" t="s">
        <v>8</v>
      </c>
    </row>
    <row r="550" spans="1:61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J550" s="27" t="s">
        <v>7</v>
      </c>
      <c r="K550" s="27" t="s">
        <v>8</v>
      </c>
      <c r="L550" s="27" t="s">
        <v>7</v>
      </c>
      <c r="AW550" s="27" t="s">
        <v>8</v>
      </c>
      <c r="AX550" s="27" t="s">
        <v>7</v>
      </c>
      <c r="AY550" s="27" t="s">
        <v>8</v>
      </c>
      <c r="AZ550" s="27" t="s">
        <v>7</v>
      </c>
      <c r="BB550" s="27" t="s">
        <v>7</v>
      </c>
      <c r="BC550" s="27" t="s">
        <v>8</v>
      </c>
      <c r="BD550" s="27" t="s">
        <v>7</v>
      </c>
      <c r="BE550" s="27" t="s">
        <v>8</v>
      </c>
      <c r="BH550" s="27" t="s">
        <v>7</v>
      </c>
      <c r="BI550" s="27" t="s">
        <v>8</v>
      </c>
    </row>
    <row r="551" spans="1:61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J551" s="27" t="s">
        <v>7</v>
      </c>
      <c r="L551" s="27" t="s">
        <v>7</v>
      </c>
      <c r="AW551" s="27" t="s">
        <v>8</v>
      </c>
      <c r="AX551" s="27" t="s">
        <v>7</v>
      </c>
      <c r="AY551" s="27" t="s">
        <v>8</v>
      </c>
      <c r="BB551" s="27" t="s">
        <v>7</v>
      </c>
      <c r="BC551" s="27" t="s">
        <v>8</v>
      </c>
      <c r="BD551" s="27" t="s">
        <v>7</v>
      </c>
      <c r="BE551" s="27" t="s">
        <v>8</v>
      </c>
      <c r="BH551" s="27" t="s">
        <v>7</v>
      </c>
      <c r="BI551" s="27" t="s">
        <v>8</v>
      </c>
    </row>
    <row r="552" spans="1:61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L552" s="27" t="s">
        <v>7</v>
      </c>
      <c r="AW552" s="27" t="s">
        <v>8</v>
      </c>
      <c r="AX552" s="27" t="s">
        <v>7</v>
      </c>
      <c r="AY552" s="27" t="s">
        <v>8</v>
      </c>
      <c r="BB552" s="27" t="s">
        <v>7</v>
      </c>
      <c r="BD552" s="27" t="s">
        <v>7</v>
      </c>
      <c r="BE552" s="27" t="s">
        <v>8</v>
      </c>
      <c r="BH552" s="27" t="s">
        <v>7</v>
      </c>
      <c r="BI552" s="27" t="s">
        <v>8</v>
      </c>
    </row>
    <row r="553" spans="1:61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L553" s="27" t="s">
        <v>7</v>
      </c>
      <c r="AW553" s="27" t="s">
        <v>8</v>
      </c>
      <c r="AX553" s="27" t="s">
        <v>7</v>
      </c>
      <c r="AY553" s="27" t="s">
        <v>8</v>
      </c>
      <c r="BD553" s="27" t="s">
        <v>7</v>
      </c>
      <c r="BE553" s="27" t="s">
        <v>8</v>
      </c>
      <c r="BH553" s="27" t="s">
        <v>7</v>
      </c>
      <c r="BI553" s="27" t="s">
        <v>8</v>
      </c>
    </row>
    <row r="554" spans="1:61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L554" s="27" t="s">
        <v>7</v>
      </c>
      <c r="M554" s="27" t="s">
        <v>8</v>
      </c>
      <c r="AW554" s="27" t="s">
        <v>8</v>
      </c>
      <c r="AX554" s="27" t="s">
        <v>7</v>
      </c>
      <c r="AY554" s="27" t="s">
        <v>8</v>
      </c>
      <c r="BD554" s="27" t="s">
        <v>7</v>
      </c>
      <c r="BH554" s="27" t="s">
        <v>7</v>
      </c>
      <c r="BI554" s="27" t="s">
        <v>8</v>
      </c>
    </row>
    <row r="555" spans="1:61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G555" s="27" t="s">
        <v>8</v>
      </c>
      <c r="L555" s="27" t="s">
        <v>7</v>
      </c>
      <c r="M555" s="27" t="s">
        <v>8</v>
      </c>
      <c r="N555" s="27" t="s">
        <v>7</v>
      </c>
      <c r="AW555" s="27" t="s">
        <v>8</v>
      </c>
      <c r="AX555" s="27" t="s">
        <v>7</v>
      </c>
      <c r="AY555" s="27" t="s">
        <v>8</v>
      </c>
      <c r="BH555" s="27" t="s">
        <v>7</v>
      </c>
      <c r="BI555" s="27" t="s">
        <v>8</v>
      </c>
    </row>
    <row r="556" spans="1:61" x14ac:dyDescent="0.25">
      <c r="A556" s="7">
        <v>1.8475888157854219</v>
      </c>
      <c r="B556"/>
      <c r="C556"/>
      <c r="D556"/>
      <c r="E556" t="s">
        <v>8</v>
      </c>
      <c r="F556" s="27" t="s">
        <v>7</v>
      </c>
      <c r="G556" s="27" t="s">
        <v>8</v>
      </c>
      <c r="L556" s="27" t="s">
        <v>7</v>
      </c>
      <c r="M556" s="27" t="s">
        <v>8</v>
      </c>
      <c r="N556" s="27" t="s">
        <v>7</v>
      </c>
      <c r="AW556" s="27" t="s">
        <v>8</v>
      </c>
      <c r="AX556" s="27" t="s">
        <v>7</v>
      </c>
      <c r="BH556" s="27" t="s">
        <v>7</v>
      </c>
      <c r="BI556" s="27" t="s">
        <v>8</v>
      </c>
    </row>
    <row r="557" spans="1:61" x14ac:dyDescent="0.25">
      <c r="A557" s="7">
        <v>1.8113615841033548</v>
      </c>
      <c r="B557"/>
      <c r="C557"/>
      <c r="D557"/>
      <c r="E557" t="s">
        <v>8</v>
      </c>
      <c r="F557" s="27" t="s">
        <v>7</v>
      </c>
      <c r="G557" s="27" t="s">
        <v>8</v>
      </c>
      <c r="L557" s="27" t="s">
        <v>7</v>
      </c>
      <c r="M557" s="27" t="s">
        <v>8</v>
      </c>
      <c r="N557" s="27" t="s">
        <v>7</v>
      </c>
      <c r="AW557" s="27" t="s">
        <v>8</v>
      </c>
      <c r="BH557" s="27" t="s">
        <v>7</v>
      </c>
      <c r="BI557" s="27" t="s">
        <v>8</v>
      </c>
    </row>
    <row r="558" spans="1:61" x14ac:dyDescent="0.25">
      <c r="A558" s="7">
        <v>1.7758446902974065</v>
      </c>
      <c r="B558"/>
      <c r="C558"/>
      <c r="D558"/>
      <c r="E558" t="s">
        <v>8</v>
      </c>
      <c r="F558" s="27" t="s">
        <v>7</v>
      </c>
      <c r="G558" s="27" t="s">
        <v>8</v>
      </c>
      <c r="L558" s="27" t="s">
        <v>7</v>
      </c>
      <c r="M558" s="27" t="s">
        <v>8</v>
      </c>
      <c r="N558" s="27" t="s">
        <v>7</v>
      </c>
      <c r="AQ558" s="27" t="s">
        <v>8</v>
      </c>
      <c r="AW558" s="27" t="s">
        <v>8</v>
      </c>
      <c r="BH558" s="27" t="s">
        <v>7</v>
      </c>
      <c r="BI558" s="27" t="s">
        <v>8</v>
      </c>
    </row>
    <row r="559" spans="1:61" x14ac:dyDescent="0.25">
      <c r="A559" s="7">
        <v>1.7410242061739281</v>
      </c>
      <c r="B559"/>
      <c r="C559"/>
      <c r="D559"/>
      <c r="E559" t="s">
        <v>8</v>
      </c>
      <c r="F559" s="27" t="s">
        <v>7</v>
      </c>
      <c r="G559" s="27" t="s">
        <v>8</v>
      </c>
      <c r="L559" s="27" t="s">
        <v>7</v>
      </c>
      <c r="M559" s="27" t="s">
        <v>8</v>
      </c>
      <c r="N559" s="27" t="s">
        <v>7</v>
      </c>
      <c r="AQ559" s="27" t="s">
        <v>8</v>
      </c>
      <c r="AR559" s="27" t="s">
        <v>7</v>
      </c>
      <c r="AW559" s="27" t="s">
        <v>8</v>
      </c>
      <c r="BH559" s="27" t="s">
        <v>7</v>
      </c>
      <c r="BI559" s="27" t="s">
        <v>8</v>
      </c>
    </row>
    <row r="560" spans="1:61" x14ac:dyDescent="0.25">
      <c r="A560" s="7">
        <v>1.7068864766411058</v>
      </c>
      <c r="B560"/>
      <c r="C560"/>
      <c r="D560"/>
      <c r="E560" t="s">
        <v>8</v>
      </c>
      <c r="F560" s="27" t="s">
        <v>7</v>
      </c>
      <c r="G560" s="27" t="s">
        <v>8</v>
      </c>
      <c r="L560" s="27" t="s">
        <v>7</v>
      </c>
      <c r="M560" s="27" t="s">
        <v>8</v>
      </c>
      <c r="N560" s="27" t="s">
        <v>7</v>
      </c>
      <c r="AQ560" s="27" t="s">
        <v>8</v>
      </c>
      <c r="AR560" s="27" t="s">
        <v>7</v>
      </c>
      <c r="AW560" s="27" t="s">
        <v>8</v>
      </c>
      <c r="BH560" s="27" t="s">
        <v>7</v>
      </c>
      <c r="BI560" s="27" t="s">
        <v>8</v>
      </c>
    </row>
    <row r="561" spans="1:61" x14ac:dyDescent="0.25">
      <c r="A561" s="7">
        <v>1.6734181143540252</v>
      </c>
      <c r="B561"/>
      <c r="C561"/>
      <c r="D561"/>
      <c r="E561" t="s">
        <v>8</v>
      </c>
      <c r="F561" s="27" t="s">
        <v>7</v>
      </c>
      <c r="G561" s="27" t="s">
        <v>8</v>
      </c>
      <c r="L561" s="27" t="s">
        <v>7</v>
      </c>
      <c r="M561" s="27" t="s">
        <v>8</v>
      </c>
      <c r="N561" s="27" t="s">
        <v>7</v>
      </c>
      <c r="AQ561" s="27" t="s">
        <v>8</v>
      </c>
      <c r="AR561" s="27" t="s">
        <v>7</v>
      </c>
      <c r="AS561" s="27" t="s">
        <v>8</v>
      </c>
      <c r="AW561" s="27" t="s">
        <v>8</v>
      </c>
      <c r="BH561" s="27" t="s">
        <v>7</v>
      </c>
      <c r="BI561" s="27" t="s">
        <v>8</v>
      </c>
    </row>
    <row r="562" spans="1:61" x14ac:dyDescent="0.25">
      <c r="A562" s="7">
        <v>1.6406059944647307</v>
      </c>
      <c r="B562"/>
      <c r="C562"/>
      <c r="D562"/>
      <c r="E562" t="s">
        <v>8</v>
      </c>
      <c r="F562" s="27" t="s">
        <v>7</v>
      </c>
      <c r="G562" s="27" t="s">
        <v>8</v>
      </c>
      <c r="L562" s="27" t="s">
        <v>7</v>
      </c>
      <c r="M562" s="27" t="s">
        <v>8</v>
      </c>
      <c r="N562" s="27" t="s">
        <v>7</v>
      </c>
      <c r="AQ562" s="27" t="s">
        <v>8</v>
      </c>
      <c r="AR562" s="27" t="s">
        <v>7</v>
      </c>
      <c r="AS562" s="27" t="s">
        <v>8</v>
      </c>
      <c r="AT562" s="27" t="s">
        <v>7</v>
      </c>
      <c r="AW562" s="27" t="s">
        <v>8</v>
      </c>
      <c r="BH562" s="27" t="s">
        <v>7</v>
      </c>
      <c r="BI562" s="27" t="s">
        <v>8</v>
      </c>
    </row>
    <row r="563" spans="1:61" x14ac:dyDescent="0.25">
      <c r="A563" s="7">
        <v>1.6084372494752261</v>
      </c>
      <c r="B563"/>
      <c r="C563"/>
      <c r="D563"/>
      <c r="E563" t="s">
        <v>8</v>
      </c>
      <c r="F563" s="27" t="s">
        <v>7</v>
      </c>
      <c r="G563" s="27" t="s">
        <v>8</v>
      </c>
      <c r="L563" s="27" t="s">
        <v>7</v>
      </c>
      <c r="M563" s="27" t="s">
        <v>8</v>
      </c>
      <c r="N563" s="27" t="s">
        <v>7</v>
      </c>
      <c r="AQ563" s="27" t="s">
        <v>8</v>
      </c>
      <c r="AR563" s="27" t="s">
        <v>7</v>
      </c>
      <c r="AS563" s="27" t="s">
        <v>8</v>
      </c>
      <c r="AT563" s="27" t="s">
        <v>7</v>
      </c>
      <c r="AW563" s="27" t="s">
        <v>8</v>
      </c>
      <c r="BH563" s="27" t="s">
        <v>7</v>
      </c>
      <c r="BI563" s="27" t="s">
        <v>8</v>
      </c>
    </row>
    <row r="564" spans="1:61" x14ac:dyDescent="0.25">
      <c r="A564" s="7">
        <v>1.5768992641913981</v>
      </c>
      <c r="B564"/>
      <c r="C564"/>
      <c r="D564"/>
      <c r="E564" t="s">
        <v>8</v>
      </c>
      <c r="F564" s="27" t="s">
        <v>7</v>
      </c>
      <c r="G564" s="27" t="s">
        <v>8</v>
      </c>
      <c r="L564" s="27" t="s">
        <v>7</v>
      </c>
      <c r="M564" s="27" t="s">
        <v>8</v>
      </c>
      <c r="N564" s="27" t="s">
        <v>7</v>
      </c>
      <c r="AQ564" s="27" t="s">
        <v>8</v>
      </c>
      <c r="AR564" s="27" t="s">
        <v>7</v>
      </c>
      <c r="AS564" s="27" t="s">
        <v>8</v>
      </c>
      <c r="AT564" s="27" t="s">
        <v>7</v>
      </c>
      <c r="AW564" s="27" t="s">
        <v>8</v>
      </c>
      <c r="BH564" s="27" t="s">
        <v>7</v>
      </c>
      <c r="BI564" s="27" t="s">
        <v>8</v>
      </c>
    </row>
    <row r="565" spans="1:61" x14ac:dyDescent="0.25">
      <c r="A565" s="7">
        <v>1.5459796707758806</v>
      </c>
      <c r="B565"/>
      <c r="C565"/>
      <c r="D565"/>
      <c r="E565" t="s">
        <v>8</v>
      </c>
      <c r="F565" s="27" t="s">
        <v>7</v>
      </c>
      <c r="G565" s="27" t="s">
        <v>8</v>
      </c>
      <c r="L565" s="27" t="s">
        <v>7</v>
      </c>
      <c r="M565" s="27" t="s">
        <v>8</v>
      </c>
      <c r="N565" s="27" t="s">
        <v>7</v>
      </c>
      <c r="AQ565" s="27" t="s">
        <v>8</v>
      </c>
      <c r="AR565" s="27" t="s">
        <v>7</v>
      </c>
      <c r="AS565" s="27" t="s">
        <v>8</v>
      </c>
      <c r="AT565" s="27" t="s">
        <v>7</v>
      </c>
      <c r="AW565" s="27" t="s">
        <v>8</v>
      </c>
      <c r="BH565" s="27" t="s">
        <v>7</v>
      </c>
      <c r="BI565" s="27" t="s">
        <v>8</v>
      </c>
    </row>
    <row r="566" spans="1:61" x14ac:dyDescent="0.25">
      <c r="A566" s="7">
        <v>1.5156663438979221</v>
      </c>
      <c r="B566"/>
      <c r="C566"/>
      <c r="D566"/>
      <c r="E566" t="s">
        <v>8</v>
      </c>
      <c r="F566" s="27" t="s">
        <v>7</v>
      </c>
      <c r="G566" s="27" t="s">
        <v>8</v>
      </c>
      <c r="L566" s="27" t="s">
        <v>7</v>
      </c>
      <c r="M566" s="27" t="s">
        <v>8</v>
      </c>
      <c r="N566" s="27" t="s">
        <v>7</v>
      </c>
      <c r="AQ566" s="27" t="s">
        <v>8</v>
      </c>
      <c r="AR566" s="27" t="s">
        <v>7</v>
      </c>
      <c r="AS566" s="27" t="s">
        <v>8</v>
      </c>
      <c r="AT566" s="27" t="s">
        <v>7</v>
      </c>
      <c r="AW566" s="27" t="s">
        <v>8</v>
      </c>
      <c r="BH566" s="27" t="s">
        <v>7</v>
      </c>
      <c r="BI566" s="27" t="s">
        <v>8</v>
      </c>
    </row>
    <row r="567" spans="1:61" x14ac:dyDescent="0.25">
      <c r="A567" s="7">
        <v>1.4859473959783549</v>
      </c>
      <c r="B567"/>
      <c r="C567"/>
      <c r="D567"/>
      <c r="E567" t="s">
        <v>8</v>
      </c>
      <c r="F567" s="27" t="s">
        <v>7</v>
      </c>
      <c r="G567" s="27" t="s">
        <v>8</v>
      </c>
      <c r="L567" s="27" t="s">
        <v>7</v>
      </c>
      <c r="M567" s="27" t="s">
        <v>8</v>
      </c>
      <c r="N567" s="27" t="s">
        <v>7</v>
      </c>
      <c r="AO567" s="27" t="s">
        <v>8</v>
      </c>
      <c r="AQ567" s="27" t="s">
        <v>8</v>
      </c>
      <c r="AR567" s="27" t="s">
        <v>7</v>
      </c>
      <c r="AS567" s="27" t="s">
        <v>8</v>
      </c>
      <c r="AT567" s="27" t="s">
        <v>7</v>
      </c>
      <c r="AU567" s="27" t="s">
        <v>8</v>
      </c>
      <c r="AW567" s="27" t="s">
        <v>8</v>
      </c>
      <c r="BH567" s="27" t="s">
        <v>7</v>
      </c>
      <c r="BI567" s="27" t="s">
        <v>8</v>
      </c>
    </row>
    <row r="568" spans="1:61" x14ac:dyDescent="0.25">
      <c r="A568" s="7">
        <v>1.4568111725277988</v>
      </c>
      <c r="B568"/>
      <c r="C568"/>
      <c r="D568"/>
      <c r="E568" t="s">
        <v>8</v>
      </c>
      <c r="F568" s="27" t="s">
        <v>7</v>
      </c>
      <c r="G568" s="27" t="s">
        <v>8</v>
      </c>
      <c r="L568" s="27" t="s">
        <v>7</v>
      </c>
      <c r="M568" s="27" t="s">
        <v>8</v>
      </c>
      <c r="N568" s="27" t="s">
        <v>7</v>
      </c>
      <c r="O568" s="27" t="s">
        <v>8</v>
      </c>
      <c r="AO568" s="27" t="s">
        <v>8</v>
      </c>
      <c r="AP568" s="27" t="s">
        <v>7</v>
      </c>
      <c r="AQ568" s="27" t="s">
        <v>8</v>
      </c>
      <c r="AR568" s="27" t="s">
        <v>7</v>
      </c>
      <c r="AS568" s="27" t="s">
        <v>8</v>
      </c>
      <c r="AT568" s="27" t="s">
        <v>7</v>
      </c>
      <c r="AU568" s="27" t="s">
        <v>8</v>
      </c>
      <c r="AV568" s="27" t="s">
        <v>7</v>
      </c>
      <c r="AW568" s="27" t="s">
        <v>8</v>
      </c>
      <c r="BH568" s="27" t="s">
        <v>7</v>
      </c>
      <c r="BI568" s="27" t="s">
        <v>8</v>
      </c>
    </row>
    <row r="569" spans="1:61" x14ac:dyDescent="0.25">
      <c r="A569" s="7">
        <v>1.4282462475762734</v>
      </c>
      <c r="B569"/>
      <c r="C569"/>
      <c r="D569"/>
      <c r="E569" t="s">
        <v>8</v>
      </c>
      <c r="F569" s="27" t="s">
        <v>7</v>
      </c>
      <c r="G569" s="27" t="s">
        <v>8</v>
      </c>
      <c r="L569" s="27" t="s">
        <v>7</v>
      </c>
      <c r="M569" s="27" t="s">
        <v>8</v>
      </c>
      <c r="N569" s="27" t="s">
        <v>7</v>
      </c>
      <c r="O569" s="27" t="s">
        <v>8</v>
      </c>
      <c r="P569" s="27" t="s">
        <v>7</v>
      </c>
      <c r="Q569" s="27" t="s">
        <v>8</v>
      </c>
      <c r="AO569" s="27" t="s">
        <v>8</v>
      </c>
      <c r="AP569" s="27" t="s">
        <v>7</v>
      </c>
      <c r="AQ569" s="27" t="s">
        <v>8</v>
      </c>
      <c r="AR569" s="27" t="s">
        <v>7</v>
      </c>
      <c r="AS569" s="27" t="s">
        <v>8</v>
      </c>
      <c r="AT569" s="27" t="s">
        <v>7</v>
      </c>
      <c r="AU569" s="27" t="s">
        <v>8</v>
      </c>
      <c r="AV569" s="27" t="s">
        <v>7</v>
      </c>
      <c r="AW569" s="27" t="s">
        <v>8</v>
      </c>
      <c r="BH569" s="27" t="s">
        <v>7</v>
      </c>
      <c r="BI569" s="27" t="s">
        <v>8</v>
      </c>
    </row>
    <row r="570" spans="1:61" x14ac:dyDescent="0.25">
      <c r="A570" s="7">
        <v>1.4002414191924248</v>
      </c>
      <c r="B570"/>
      <c r="C570"/>
      <c r="D570"/>
      <c r="E570" t="s">
        <v>8</v>
      </c>
      <c r="F570" s="27" t="s">
        <v>7</v>
      </c>
      <c r="G570" s="27" t="s">
        <v>8</v>
      </c>
      <c r="L570" s="27" t="s">
        <v>7</v>
      </c>
      <c r="M570" s="27" t="s">
        <v>8</v>
      </c>
      <c r="N570" s="27" t="s">
        <v>7</v>
      </c>
      <c r="O570" s="27" t="s">
        <v>8</v>
      </c>
      <c r="P570" s="27" t="s">
        <v>7</v>
      </c>
      <c r="Q570" s="27" t="s">
        <v>8</v>
      </c>
      <c r="R570" s="27" t="s">
        <v>7</v>
      </c>
      <c r="AO570" s="27" t="s">
        <v>8</v>
      </c>
      <c r="AP570" s="27" t="s">
        <v>7</v>
      </c>
      <c r="AQ570" s="27" t="s">
        <v>8</v>
      </c>
      <c r="AR570" s="27" t="s">
        <v>7</v>
      </c>
      <c r="AT570" s="27" t="s">
        <v>7</v>
      </c>
      <c r="AU570" s="27" t="s">
        <v>8</v>
      </c>
      <c r="AV570" s="27" t="s">
        <v>7</v>
      </c>
      <c r="AW570" s="27" t="s">
        <v>8</v>
      </c>
      <c r="BH570" s="27" t="s">
        <v>7</v>
      </c>
      <c r="BI570" s="27" t="s">
        <v>8</v>
      </c>
    </row>
    <row r="571" spans="1:61" x14ac:dyDescent="0.25">
      <c r="A571" s="7">
        <v>1.3727857050906125</v>
      </c>
      <c r="B571"/>
      <c r="C571"/>
      <c r="D571"/>
      <c r="E571" t="s">
        <v>8</v>
      </c>
      <c r="F571" s="27" t="s">
        <v>7</v>
      </c>
      <c r="G571" s="27" t="s">
        <v>8</v>
      </c>
      <c r="L571" s="27" t="s">
        <v>7</v>
      </c>
      <c r="M571" s="27" t="s">
        <v>8</v>
      </c>
      <c r="N571" s="27" t="s">
        <v>7</v>
      </c>
      <c r="O571" s="27" t="s">
        <v>8</v>
      </c>
      <c r="P571" s="27" t="s">
        <v>7</v>
      </c>
      <c r="Q571" s="27" t="s">
        <v>8</v>
      </c>
      <c r="R571" s="27" t="s">
        <v>7</v>
      </c>
      <c r="AO571" s="27" t="s">
        <v>8</v>
      </c>
      <c r="AP571" s="27" t="s">
        <v>7</v>
      </c>
      <c r="AQ571" s="27" t="s">
        <v>8</v>
      </c>
      <c r="AT571" s="27" t="s">
        <v>7</v>
      </c>
      <c r="AU571" s="27" t="s">
        <v>8</v>
      </c>
      <c r="AV571" s="27" t="s">
        <v>7</v>
      </c>
      <c r="AW571" s="27" t="s">
        <v>8</v>
      </c>
      <c r="BH571" s="27" t="s">
        <v>7</v>
      </c>
      <c r="BI571" s="27" t="s">
        <v>8</v>
      </c>
    </row>
    <row r="572" spans="1:61" x14ac:dyDescent="0.25">
      <c r="A572" s="7">
        <v>1.3458683383241299</v>
      </c>
      <c r="B572"/>
      <c r="C572"/>
      <c r="D572"/>
      <c r="E572" t="s">
        <v>8</v>
      </c>
      <c r="F572" s="27" t="s">
        <v>7</v>
      </c>
      <c r="G572" s="27" t="s">
        <v>8</v>
      </c>
      <c r="L572" s="27" t="s">
        <v>7</v>
      </c>
      <c r="M572" s="27" t="s">
        <v>8</v>
      </c>
      <c r="N572" s="27" t="s">
        <v>7</v>
      </c>
      <c r="O572" s="27" t="s">
        <v>8</v>
      </c>
      <c r="P572" s="27" t="s">
        <v>7</v>
      </c>
      <c r="R572" s="27" t="s">
        <v>7</v>
      </c>
      <c r="S572" s="27" t="s">
        <v>8</v>
      </c>
      <c r="AO572" s="27" t="s">
        <v>8</v>
      </c>
      <c r="AP572" s="27" t="s">
        <v>7</v>
      </c>
      <c r="AQ572" s="27" t="s">
        <v>8</v>
      </c>
      <c r="AT572" s="27" t="s">
        <v>7</v>
      </c>
      <c r="AU572" s="27" t="s">
        <v>8</v>
      </c>
      <c r="AV572" s="27" t="s">
        <v>7</v>
      </c>
      <c r="BH572" s="27" t="s">
        <v>7</v>
      </c>
      <c r="BI572" s="27" t="s">
        <v>8</v>
      </c>
    </row>
    <row r="573" spans="1:61" x14ac:dyDescent="0.25">
      <c r="A573" s="7">
        <v>1.3194787630628724</v>
      </c>
      <c r="B573"/>
      <c r="C573"/>
      <c r="D573"/>
      <c r="E573" t="s">
        <v>8</v>
      </c>
      <c r="F573" s="27" t="s">
        <v>7</v>
      </c>
      <c r="G573" s="27" t="s">
        <v>8</v>
      </c>
      <c r="L573" s="27" t="s">
        <v>7</v>
      </c>
      <c r="N573" s="27" t="s">
        <v>7</v>
      </c>
      <c r="O573" s="27" t="s">
        <v>8</v>
      </c>
      <c r="R573" s="27" t="s">
        <v>7</v>
      </c>
      <c r="S573" s="27" t="s">
        <v>8</v>
      </c>
      <c r="T573" s="27" t="s">
        <v>7</v>
      </c>
      <c r="AO573" s="27" t="s">
        <v>8</v>
      </c>
      <c r="AP573" s="27" t="s">
        <v>7</v>
      </c>
      <c r="AQ573" s="27" t="s">
        <v>8</v>
      </c>
      <c r="AT573" s="27" t="s">
        <v>7</v>
      </c>
      <c r="AU573" s="27" t="s">
        <v>8</v>
      </c>
      <c r="BH573" s="27" t="s">
        <v>7</v>
      </c>
      <c r="BI573" s="27" t="s">
        <v>8</v>
      </c>
    </row>
    <row r="574" spans="1:61" x14ac:dyDescent="0.25">
      <c r="A574" s="7">
        <v>1.2936066304537963</v>
      </c>
      <c r="B574"/>
      <c r="C574"/>
      <c r="D574"/>
      <c r="E574" t="s">
        <v>8</v>
      </c>
      <c r="F574" s="27" t="s">
        <v>7</v>
      </c>
      <c r="G574" s="27" t="s">
        <v>8</v>
      </c>
      <c r="N574" s="27" t="s">
        <v>7</v>
      </c>
      <c r="O574" s="27" t="s">
        <v>8</v>
      </c>
      <c r="R574" s="27" t="s">
        <v>7</v>
      </c>
      <c r="S574" s="27" t="s">
        <v>8</v>
      </c>
      <c r="T574" s="27" t="s">
        <v>7</v>
      </c>
      <c r="AO574" s="27" t="s">
        <v>8</v>
      </c>
      <c r="AP574" s="27" t="s">
        <v>7</v>
      </c>
      <c r="AQ574" s="27" t="s">
        <v>8</v>
      </c>
      <c r="AT574" s="27" t="s">
        <v>7</v>
      </c>
      <c r="AU574" s="27" t="s">
        <v>8</v>
      </c>
      <c r="BH574" s="27" t="s">
        <v>7</v>
      </c>
      <c r="BI574" s="27" t="s">
        <v>8</v>
      </c>
    </row>
    <row r="575" spans="1:61" x14ac:dyDescent="0.25">
      <c r="A575" s="7">
        <v>1.2682417945625455</v>
      </c>
      <c r="B575"/>
      <c r="C575"/>
      <c r="D575"/>
      <c r="E575" t="s">
        <v>8</v>
      </c>
      <c r="F575" s="27" t="s">
        <v>7</v>
      </c>
      <c r="G575" s="27" t="s">
        <v>8</v>
      </c>
      <c r="N575" s="27" t="s">
        <v>7</v>
      </c>
      <c r="O575" s="27" t="s">
        <v>8</v>
      </c>
      <c r="R575" s="27" t="s">
        <v>7</v>
      </c>
      <c r="S575" s="27" t="s">
        <v>8</v>
      </c>
      <c r="T575" s="27" t="s">
        <v>7</v>
      </c>
      <c r="AO575" s="27" t="s">
        <v>8</v>
      </c>
      <c r="AP575" s="27" t="s">
        <v>7</v>
      </c>
      <c r="AQ575" s="27" t="s">
        <v>8</v>
      </c>
      <c r="AT575" s="27" t="s">
        <v>7</v>
      </c>
      <c r="AU575" s="27" t="s">
        <v>8</v>
      </c>
      <c r="BH575" s="27" t="s">
        <v>7</v>
      </c>
      <c r="BI575" s="27" t="s">
        <v>8</v>
      </c>
    </row>
    <row r="576" spans="1:61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G576" s="27" t="s">
        <v>8</v>
      </c>
      <c r="N576" s="27" t="s">
        <v>7</v>
      </c>
      <c r="O576" s="27" t="s">
        <v>8</v>
      </c>
      <c r="R576" s="27" t="s">
        <v>7</v>
      </c>
      <c r="S576" s="27" t="s">
        <v>8</v>
      </c>
      <c r="T576" s="27" t="s">
        <v>7</v>
      </c>
      <c r="AO576" s="27" t="s">
        <v>8</v>
      </c>
      <c r="AP576" s="27" t="s">
        <v>7</v>
      </c>
      <c r="AQ576" s="27" t="s">
        <v>8</v>
      </c>
      <c r="AT576" s="27" t="s">
        <v>7</v>
      </c>
      <c r="AU576" s="27" t="s">
        <v>8</v>
      </c>
      <c r="BH576" s="27" t="s">
        <v>7</v>
      </c>
      <c r="BI576" s="27" t="s">
        <v>8</v>
      </c>
    </row>
    <row r="577" spans="1:61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G577" s="27" t="s">
        <v>8</v>
      </c>
      <c r="N577" s="27" t="s">
        <v>7</v>
      </c>
      <c r="R577" s="27" t="s">
        <v>7</v>
      </c>
      <c r="T577" s="27" t="s">
        <v>7</v>
      </c>
      <c r="AO577" s="27" t="s">
        <v>8</v>
      </c>
      <c r="AP577" s="27" t="s">
        <v>7</v>
      </c>
      <c r="AQ577" s="27" t="s">
        <v>8</v>
      </c>
      <c r="AT577" s="27" t="s">
        <v>7</v>
      </c>
      <c r="AU577" s="27" t="s">
        <v>8</v>
      </c>
      <c r="BH577" s="27" t="s">
        <v>7</v>
      </c>
      <c r="BI577" s="27" t="s">
        <v>8</v>
      </c>
    </row>
    <row r="578" spans="1:61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G578" s="27" t="s">
        <v>8</v>
      </c>
      <c r="T578" s="27" t="s">
        <v>7</v>
      </c>
      <c r="AO578" s="27" t="s">
        <v>8</v>
      </c>
      <c r="AP578" s="27" t="s">
        <v>7</v>
      </c>
      <c r="AQ578" s="27" t="s">
        <v>8</v>
      </c>
      <c r="AT578" s="27" t="s">
        <v>7</v>
      </c>
      <c r="AU578" s="27" t="s">
        <v>8</v>
      </c>
      <c r="BH578" s="27" t="s">
        <v>7</v>
      </c>
      <c r="BI578" s="27" t="s">
        <v>8</v>
      </c>
    </row>
    <row r="579" spans="1:61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G579" s="27" t="s">
        <v>8</v>
      </c>
      <c r="T579" s="27" t="s">
        <v>7</v>
      </c>
      <c r="AO579" s="27" t="s">
        <v>8</v>
      </c>
      <c r="AP579" s="27" t="s">
        <v>7</v>
      </c>
      <c r="AQ579" s="27" t="s">
        <v>8</v>
      </c>
      <c r="AT579" s="27" t="s">
        <v>7</v>
      </c>
      <c r="AU579" s="27" t="s">
        <v>8</v>
      </c>
      <c r="BH579" s="27" t="s">
        <v>7</v>
      </c>
      <c r="BI579" s="27" t="s">
        <v>8</v>
      </c>
    </row>
    <row r="580" spans="1:61" x14ac:dyDescent="0.25">
      <c r="A580" s="7">
        <v>1.14868566764928</v>
      </c>
      <c r="B580"/>
      <c r="C580"/>
      <c r="D580"/>
      <c r="E580" t="s">
        <v>8</v>
      </c>
      <c r="F580" s="27" t="s">
        <v>7</v>
      </c>
      <c r="T580" s="27" t="s">
        <v>7</v>
      </c>
      <c r="AO580" s="27" t="s">
        <v>8</v>
      </c>
      <c r="AP580" s="27" t="s">
        <v>7</v>
      </c>
      <c r="AQ580" s="27" t="s">
        <v>8</v>
      </c>
      <c r="AT580" s="27" t="s">
        <v>7</v>
      </c>
      <c r="AU580" s="27" t="s">
        <v>8</v>
      </c>
      <c r="BH580" s="27" t="s">
        <v>7</v>
      </c>
      <c r="BI580" s="27" t="s">
        <v>8</v>
      </c>
    </row>
    <row r="581" spans="1:61" x14ac:dyDescent="0.25">
      <c r="A581" s="7">
        <v>1.1261624192640001</v>
      </c>
      <c r="B581"/>
      <c r="C581"/>
      <c r="D581"/>
      <c r="E581" t="s">
        <v>8</v>
      </c>
      <c r="T581" s="27" t="s">
        <v>7</v>
      </c>
      <c r="U581" s="27" t="s">
        <v>8</v>
      </c>
      <c r="AO581" s="27" t="s">
        <v>8</v>
      </c>
      <c r="AP581" s="27" t="s">
        <v>7</v>
      </c>
      <c r="AQ581" s="27" t="s">
        <v>8</v>
      </c>
      <c r="AT581" s="27" t="s">
        <v>7</v>
      </c>
      <c r="AU581" s="27" t="s">
        <v>8</v>
      </c>
      <c r="BH581" s="27" t="s">
        <v>7</v>
      </c>
      <c r="BI581" s="27" t="s">
        <v>8</v>
      </c>
    </row>
    <row r="582" spans="1:61" x14ac:dyDescent="0.25">
      <c r="A582" s="7">
        <v>1.1040808032</v>
      </c>
      <c r="B582"/>
      <c r="C582"/>
      <c r="D582"/>
      <c r="E582" t="s">
        <v>8</v>
      </c>
      <c r="T582" s="27" t="s">
        <v>7</v>
      </c>
      <c r="U582" s="27" t="s">
        <v>8</v>
      </c>
      <c r="V582" s="27" t="s">
        <v>7</v>
      </c>
      <c r="AO582" s="27" t="s">
        <v>8</v>
      </c>
      <c r="AP582" s="27" t="s">
        <v>7</v>
      </c>
      <c r="AQ582" s="27" t="s">
        <v>8</v>
      </c>
      <c r="AT582" s="27" t="s">
        <v>7</v>
      </c>
      <c r="AU582" s="27" t="s">
        <v>8</v>
      </c>
      <c r="BH582" s="27" t="s">
        <v>7</v>
      </c>
    </row>
    <row r="583" spans="1:61" x14ac:dyDescent="0.25">
      <c r="A583" s="7">
        <v>1.08243216</v>
      </c>
      <c r="B583"/>
      <c r="C583"/>
      <c r="D583"/>
      <c r="E583" t="s">
        <v>8</v>
      </c>
      <c r="T583" s="27" t="s">
        <v>7</v>
      </c>
      <c r="U583" s="27" t="s">
        <v>8</v>
      </c>
      <c r="V583" s="27" t="s">
        <v>7</v>
      </c>
      <c r="AO583" s="27" t="s">
        <v>8</v>
      </c>
      <c r="AP583" s="27" t="s">
        <v>7</v>
      </c>
      <c r="AT583" s="27" t="s">
        <v>7</v>
      </c>
      <c r="AU583" s="27" t="s">
        <v>8</v>
      </c>
    </row>
    <row r="584" spans="1:61" x14ac:dyDescent="0.25">
      <c r="A584" s="7">
        <v>1.0612079999999999</v>
      </c>
      <c r="B584"/>
      <c r="C584"/>
      <c r="D584"/>
      <c r="E584" t="s">
        <v>8</v>
      </c>
      <c r="T584" s="27" t="s">
        <v>7</v>
      </c>
      <c r="U584" s="27" t="s">
        <v>8</v>
      </c>
      <c r="V584" s="27" t="s">
        <v>7</v>
      </c>
      <c r="AO584" s="27" t="s">
        <v>8</v>
      </c>
      <c r="AT584" s="27" t="s">
        <v>7</v>
      </c>
      <c r="AU584" s="27" t="s">
        <v>8</v>
      </c>
    </row>
    <row r="585" spans="1:61" x14ac:dyDescent="0.25">
      <c r="A585" s="7">
        <v>1.0404</v>
      </c>
      <c r="B585"/>
      <c r="C585"/>
      <c r="D585"/>
      <c r="E585" t="s">
        <v>8</v>
      </c>
      <c r="T585" s="27" t="s">
        <v>7</v>
      </c>
      <c r="V585" s="27" t="s">
        <v>7</v>
      </c>
      <c r="AO585" s="27" t="s">
        <v>8</v>
      </c>
      <c r="AT585" s="27" t="s">
        <v>7</v>
      </c>
      <c r="AU585" s="27" t="s">
        <v>8</v>
      </c>
    </row>
    <row r="586" spans="1:61" x14ac:dyDescent="0.25">
      <c r="A586" s="7">
        <v>1.02</v>
      </c>
      <c r="B586"/>
      <c r="C586"/>
      <c r="D586"/>
      <c r="E586" t="s">
        <v>8</v>
      </c>
      <c r="V586" s="27" t="s">
        <v>7</v>
      </c>
      <c r="AO586" s="27" t="s">
        <v>8</v>
      </c>
      <c r="AT586" s="27" t="s">
        <v>7</v>
      </c>
      <c r="AU586" s="27" t="s">
        <v>8</v>
      </c>
    </row>
    <row r="587" spans="1:61" x14ac:dyDescent="0.25">
      <c r="A587" s="7">
        <v>1</v>
      </c>
      <c r="B587"/>
      <c r="C587"/>
      <c r="D587"/>
      <c r="E587" s="29" t="s">
        <v>8</v>
      </c>
      <c r="V587" s="27" t="s">
        <v>7</v>
      </c>
      <c r="AO587" s="27" t="s">
        <v>8</v>
      </c>
      <c r="AT587" s="27" t="s">
        <v>7</v>
      </c>
      <c r="AU587" s="27" t="s">
        <v>8</v>
      </c>
    </row>
    <row r="588" spans="1:61" x14ac:dyDescent="0.25">
      <c r="A588" s="7">
        <v>0.98039215686274506</v>
      </c>
      <c r="B588"/>
      <c r="C588"/>
      <c r="D588"/>
      <c r="E588"/>
      <c r="V588" s="27" t="s">
        <v>7</v>
      </c>
      <c r="AO588" s="27" t="s">
        <v>8</v>
      </c>
      <c r="AT588" s="27" t="s">
        <v>7</v>
      </c>
      <c r="AU588" s="27" t="s">
        <v>8</v>
      </c>
    </row>
    <row r="589" spans="1:61" x14ac:dyDescent="0.25">
      <c r="A589" s="7">
        <v>0.96116878123798544</v>
      </c>
      <c r="B589"/>
      <c r="C589"/>
      <c r="D589"/>
      <c r="E589"/>
      <c r="V589" s="27" t="s">
        <v>7</v>
      </c>
      <c r="AO589" s="27" t="s">
        <v>8</v>
      </c>
      <c r="AT589" s="27" t="s">
        <v>7</v>
      </c>
      <c r="AU589" s="27" t="s">
        <v>8</v>
      </c>
    </row>
    <row r="590" spans="1:61" x14ac:dyDescent="0.25">
      <c r="A590" s="7">
        <v>0.94232233454704462</v>
      </c>
      <c r="B590"/>
      <c r="C590"/>
      <c r="D590"/>
      <c r="E590"/>
      <c r="V590" s="27" t="s">
        <v>7</v>
      </c>
      <c r="AO590" s="27" t="s">
        <v>8</v>
      </c>
      <c r="AT590" s="27" t="s">
        <v>7</v>
      </c>
    </row>
    <row r="591" spans="1:61" x14ac:dyDescent="0.25">
      <c r="A591" s="7">
        <v>0.92384542602651432</v>
      </c>
      <c r="B591"/>
      <c r="C591"/>
      <c r="D591"/>
      <c r="E591"/>
      <c r="V591" s="27" t="s">
        <v>7</v>
      </c>
      <c r="AO591" s="27" t="s">
        <v>8</v>
      </c>
    </row>
    <row r="592" spans="1:61" x14ac:dyDescent="0.25">
      <c r="A592" s="7">
        <v>0.90573080982991594</v>
      </c>
      <c r="B592"/>
      <c r="C592"/>
      <c r="D592"/>
      <c r="E592"/>
      <c r="V592" s="27" t="s">
        <v>7</v>
      </c>
      <c r="AO592" s="27" t="s">
        <v>8</v>
      </c>
    </row>
    <row r="593" spans="1:41" x14ac:dyDescent="0.25">
      <c r="A593" s="7">
        <v>0.8879713821861922</v>
      </c>
      <c r="B593"/>
      <c r="C593"/>
      <c r="D593"/>
      <c r="E593"/>
      <c r="V593" s="27" t="s">
        <v>7</v>
      </c>
      <c r="AO593" s="27" t="s">
        <v>8</v>
      </c>
    </row>
    <row r="594" spans="1:41" x14ac:dyDescent="0.25">
      <c r="A594" s="7">
        <v>0.87056017861391399</v>
      </c>
      <c r="B594"/>
      <c r="C594"/>
      <c r="D594"/>
      <c r="E594"/>
      <c r="V594" s="27" t="s">
        <v>7</v>
      </c>
      <c r="W594" s="27" t="s">
        <v>8</v>
      </c>
      <c r="AO594" s="27" t="s">
        <v>8</v>
      </c>
    </row>
    <row r="595" spans="1:41" x14ac:dyDescent="0.25">
      <c r="A595" s="7">
        <v>0.85349037119011173</v>
      </c>
      <c r="B595"/>
      <c r="C595"/>
      <c r="D595"/>
      <c r="E595"/>
      <c r="V595" s="27" t="s">
        <v>7</v>
      </c>
      <c r="W595" s="27" t="s">
        <v>8</v>
      </c>
      <c r="X595" s="27" t="s">
        <v>7</v>
      </c>
      <c r="AO595" s="27" t="s">
        <v>8</v>
      </c>
    </row>
    <row r="596" spans="1:41" x14ac:dyDescent="0.25">
      <c r="A596" s="7">
        <v>0.83675526587265858</v>
      </c>
      <c r="B596"/>
      <c r="C596"/>
      <c r="D596"/>
      <c r="E596"/>
      <c r="V596" s="27" t="s">
        <v>7</v>
      </c>
      <c r="W596" s="27" t="s">
        <v>8</v>
      </c>
      <c r="X596" s="27" t="s">
        <v>7</v>
      </c>
      <c r="AO596" s="27" t="s">
        <v>8</v>
      </c>
    </row>
    <row r="597" spans="1:41" x14ac:dyDescent="0.25">
      <c r="A597" s="7">
        <v>0.82034829987515545</v>
      </c>
      <c r="B597"/>
      <c r="C597"/>
      <c r="D597"/>
      <c r="E597"/>
      <c r="V597" s="27" t="s">
        <v>7</v>
      </c>
      <c r="W597" s="27" t="s">
        <v>8</v>
      </c>
      <c r="X597" s="27" t="s">
        <v>7</v>
      </c>
      <c r="AO597" s="27" t="s">
        <v>8</v>
      </c>
    </row>
    <row r="598" spans="1:41" x14ac:dyDescent="0.25">
      <c r="A598" s="7">
        <v>0.80426303909328967</v>
      </c>
      <c r="B598"/>
      <c r="C598"/>
      <c r="D598"/>
      <c r="E598"/>
      <c r="V598" s="27" t="s">
        <v>7</v>
      </c>
      <c r="W598" s="27" t="s">
        <v>8</v>
      </c>
      <c r="X598" s="27" t="s">
        <v>7</v>
      </c>
      <c r="AO598" s="27" t="s">
        <v>8</v>
      </c>
    </row>
    <row r="599" spans="1:41" x14ac:dyDescent="0.25">
      <c r="A599" s="7">
        <v>0.78849317558165644</v>
      </c>
      <c r="B599"/>
      <c r="C599"/>
      <c r="D599"/>
      <c r="E599"/>
      <c r="V599" s="27" t="s">
        <v>7</v>
      </c>
      <c r="W599" s="27" t="s">
        <v>8</v>
      </c>
      <c r="X599" s="27" t="s">
        <v>7</v>
      </c>
      <c r="Y599" s="27" t="s">
        <v>8</v>
      </c>
      <c r="AO599" s="27" t="s">
        <v>8</v>
      </c>
    </row>
    <row r="600" spans="1:41" x14ac:dyDescent="0.25">
      <c r="A600" s="7">
        <v>0.77303252508005538</v>
      </c>
      <c r="B600"/>
      <c r="C600"/>
      <c r="D600"/>
      <c r="E600"/>
      <c r="V600" s="27" t="s">
        <v>7</v>
      </c>
      <c r="W600" s="27" t="s">
        <v>8</v>
      </c>
      <c r="X600" s="27" t="s">
        <v>7</v>
      </c>
      <c r="Y600" s="27" t="s">
        <v>8</v>
      </c>
      <c r="Z600" s="27" t="s">
        <v>7</v>
      </c>
      <c r="AO600" s="27" t="s">
        <v>8</v>
      </c>
    </row>
    <row r="601" spans="1:41" x14ac:dyDescent="0.25">
      <c r="A601" s="7">
        <v>0.75787502458828959</v>
      </c>
      <c r="B601"/>
      <c r="C601"/>
      <c r="D601"/>
      <c r="E601"/>
      <c r="V601" s="27" t="s">
        <v>7</v>
      </c>
      <c r="W601" s="27" t="s">
        <v>8</v>
      </c>
      <c r="X601" s="27" t="s">
        <v>7</v>
      </c>
      <c r="Y601" s="27" t="s">
        <v>8</v>
      </c>
      <c r="Z601" s="27" t="s">
        <v>7</v>
      </c>
      <c r="AM601" s="27" t="s">
        <v>8</v>
      </c>
      <c r="AO601" s="27" t="s">
        <v>8</v>
      </c>
    </row>
    <row r="602" spans="1:41" x14ac:dyDescent="0.25">
      <c r="A602" s="7">
        <v>0.74301472998851925</v>
      </c>
      <c r="B602"/>
      <c r="C602"/>
      <c r="D602"/>
      <c r="E602"/>
      <c r="V602" s="27" t="s">
        <v>7</v>
      </c>
      <c r="W602" s="27" t="s">
        <v>8</v>
      </c>
      <c r="X602" s="27" t="s">
        <v>7</v>
      </c>
      <c r="Y602" s="27" t="s">
        <v>8</v>
      </c>
      <c r="Z602" s="27" t="s">
        <v>7</v>
      </c>
      <c r="AM602" s="27" t="s">
        <v>8</v>
      </c>
      <c r="AN602" s="27" t="s">
        <v>7</v>
      </c>
      <c r="AO602" s="27" t="s">
        <v>8</v>
      </c>
    </row>
    <row r="603" spans="1:41" x14ac:dyDescent="0.25">
      <c r="A603" s="7">
        <v>0.72844581371423456</v>
      </c>
      <c r="B603"/>
      <c r="C603"/>
      <c r="D603"/>
      <c r="E603"/>
      <c r="V603" s="27" t="s">
        <v>7</v>
      </c>
      <c r="W603" s="27" t="s">
        <v>8</v>
      </c>
      <c r="X603" s="27" t="s">
        <v>7</v>
      </c>
      <c r="Y603" s="27" t="s">
        <v>8</v>
      </c>
      <c r="Z603" s="27" t="s">
        <v>7</v>
      </c>
      <c r="AA603" s="27" t="s">
        <v>8</v>
      </c>
      <c r="AM603" s="27" t="s">
        <v>8</v>
      </c>
      <c r="AN603" s="27" t="s">
        <v>7</v>
      </c>
      <c r="AO603" s="27" t="s">
        <v>8</v>
      </c>
    </row>
    <row r="604" spans="1:41" x14ac:dyDescent="0.25">
      <c r="A604" s="7">
        <v>0.71416256246493581</v>
      </c>
      <c r="B604"/>
      <c r="C604"/>
      <c r="D604"/>
      <c r="E604"/>
      <c r="V604" s="27" t="s">
        <v>7</v>
      </c>
      <c r="W604" s="27" t="s">
        <v>8</v>
      </c>
      <c r="X604" s="27" t="s">
        <v>7</v>
      </c>
      <c r="Y604" s="27" t="s">
        <v>8</v>
      </c>
      <c r="Z604" s="27" t="s">
        <v>7</v>
      </c>
      <c r="AA604" s="27" t="s">
        <v>8</v>
      </c>
      <c r="AB604" s="27" t="s">
        <v>7</v>
      </c>
      <c r="AC604" s="27" t="s">
        <v>8</v>
      </c>
      <c r="AE604" s="27" t="s">
        <v>8</v>
      </c>
      <c r="AM604" s="27" t="s">
        <v>8</v>
      </c>
      <c r="AN604" s="27" t="s">
        <v>7</v>
      </c>
      <c r="AO604" s="27" t="s">
        <v>8</v>
      </c>
    </row>
    <row r="605" spans="1:41" x14ac:dyDescent="0.25">
      <c r="A605" s="7">
        <v>0.7001593749656233</v>
      </c>
      <c r="B605"/>
      <c r="C605"/>
      <c r="D605"/>
      <c r="E605"/>
      <c r="V605" s="27" t="s">
        <v>7</v>
      </c>
      <c r="W605" s="27" t="s">
        <v>8</v>
      </c>
      <c r="X605" s="27" t="s">
        <v>7</v>
      </c>
      <c r="Z605" s="27" t="s">
        <v>7</v>
      </c>
      <c r="AA605" s="27" t="s">
        <v>8</v>
      </c>
      <c r="AB605" s="27" t="s">
        <v>7</v>
      </c>
      <c r="AC605" s="27" t="s">
        <v>8</v>
      </c>
      <c r="AD605" s="27" t="s">
        <v>7</v>
      </c>
      <c r="AE605" s="27" t="s">
        <v>8</v>
      </c>
      <c r="AF605" s="27" t="s">
        <v>7</v>
      </c>
      <c r="AK605" s="27" t="s">
        <v>8</v>
      </c>
      <c r="AM605" s="27" t="s">
        <v>8</v>
      </c>
      <c r="AN605" s="27" t="s">
        <v>7</v>
      </c>
      <c r="AO605" s="27" t="s">
        <v>8</v>
      </c>
    </row>
    <row r="606" spans="1:41" x14ac:dyDescent="0.25">
      <c r="A606" s="7">
        <v>0.68643075977021883</v>
      </c>
      <c r="B606"/>
      <c r="C606"/>
      <c r="D606"/>
      <c r="E606"/>
      <c r="V606" s="27" t="s">
        <v>7</v>
      </c>
      <c r="W606" s="27" t="s">
        <v>8</v>
      </c>
      <c r="Z606" s="27" t="s">
        <v>7</v>
      </c>
      <c r="AA606" s="27" t="s">
        <v>8</v>
      </c>
      <c r="AB606" s="27" t="s">
        <v>7</v>
      </c>
      <c r="AC606" s="27" t="s">
        <v>8</v>
      </c>
      <c r="AD606" s="27" t="s">
        <v>7</v>
      </c>
      <c r="AE606" s="27" t="s">
        <v>8</v>
      </c>
      <c r="AF606" s="27" t="s">
        <v>7</v>
      </c>
      <c r="AK606" s="27" t="s">
        <v>8</v>
      </c>
      <c r="AL606" s="27" t="s">
        <v>7</v>
      </c>
      <c r="AM606" s="27" t="s">
        <v>8</v>
      </c>
      <c r="AN606" s="27" t="s">
        <v>7</v>
      </c>
      <c r="AO606" s="27" t="s">
        <v>8</v>
      </c>
    </row>
    <row r="607" spans="1:41" x14ac:dyDescent="0.25">
      <c r="A607" s="7">
        <v>0.67297133310805768</v>
      </c>
      <c r="B607"/>
      <c r="C607"/>
      <c r="D607"/>
      <c r="E607"/>
      <c r="V607" s="27" t="s">
        <v>7</v>
      </c>
      <c r="W607" s="27" t="s">
        <v>8</v>
      </c>
      <c r="Z607" s="27" t="s">
        <v>7</v>
      </c>
      <c r="AA607" s="27" t="s">
        <v>8</v>
      </c>
      <c r="AB607" s="27" t="s">
        <v>7</v>
      </c>
      <c r="AC607" s="27" t="s">
        <v>8</v>
      </c>
      <c r="AD607" s="27" t="s">
        <v>7</v>
      </c>
      <c r="AE607" s="27" t="s">
        <v>8</v>
      </c>
      <c r="AF607" s="27" t="s">
        <v>7</v>
      </c>
      <c r="AG607" s="27" t="s">
        <v>8</v>
      </c>
      <c r="AK607" s="27" t="s">
        <v>8</v>
      </c>
      <c r="AL607" s="27" t="s">
        <v>7</v>
      </c>
      <c r="AM607" s="27" t="s">
        <v>8</v>
      </c>
      <c r="AN607" s="27" t="s">
        <v>7</v>
      </c>
      <c r="AO607" s="27" t="s">
        <v>8</v>
      </c>
    </row>
    <row r="608" spans="1:41" x14ac:dyDescent="0.25">
      <c r="A608" s="7">
        <v>0.65977581677260566</v>
      </c>
      <c r="B608"/>
      <c r="C608"/>
      <c r="D608"/>
      <c r="E608"/>
      <c r="V608" s="27" t="s">
        <v>7</v>
      </c>
      <c r="W608" s="27" t="s">
        <v>8</v>
      </c>
      <c r="Z608" s="27" t="s">
        <v>7</v>
      </c>
      <c r="AA608" s="27" t="s">
        <v>8</v>
      </c>
      <c r="AB608" s="27" t="s">
        <v>7</v>
      </c>
      <c r="AC608" s="27" t="s">
        <v>8</v>
      </c>
      <c r="AD608" s="27" t="s">
        <v>7</v>
      </c>
      <c r="AE608" s="27" t="s">
        <v>8</v>
      </c>
      <c r="AF608" s="27" t="s">
        <v>7</v>
      </c>
      <c r="AG608" s="27" t="s">
        <v>8</v>
      </c>
      <c r="AH608" s="27" t="s">
        <v>7</v>
      </c>
      <c r="AK608" s="27" t="s">
        <v>8</v>
      </c>
      <c r="AL608" s="27" t="s">
        <v>7</v>
      </c>
      <c r="AM608" s="27" t="s">
        <v>8</v>
      </c>
      <c r="AN608" s="27" t="s">
        <v>7</v>
      </c>
      <c r="AO608" s="27" t="s">
        <v>8</v>
      </c>
    </row>
    <row r="609" spans="1:40" x14ac:dyDescent="0.25">
      <c r="A609" s="7">
        <v>0.64683903605157422</v>
      </c>
      <c r="B609"/>
      <c r="C609"/>
      <c r="D609"/>
      <c r="E609"/>
      <c r="V609" s="27" t="s">
        <v>7</v>
      </c>
      <c r="W609" s="27" t="s">
        <v>8</v>
      </c>
      <c r="Z609" s="27" t="s">
        <v>7</v>
      </c>
      <c r="AB609" s="27" t="s">
        <v>7</v>
      </c>
      <c r="AC609" s="27" t="s">
        <v>8</v>
      </c>
      <c r="AD609" s="27" t="s">
        <v>7</v>
      </c>
      <c r="AE609" s="27" t="s">
        <v>8</v>
      </c>
      <c r="AF609" s="27" t="s">
        <v>7</v>
      </c>
      <c r="AG609" s="27" t="s">
        <v>8</v>
      </c>
      <c r="AH609" s="27" t="s">
        <v>7</v>
      </c>
      <c r="AK609" s="27" t="s">
        <v>8</v>
      </c>
      <c r="AL609" s="27" t="s">
        <v>7</v>
      </c>
      <c r="AM609" s="27" t="s">
        <v>8</v>
      </c>
      <c r="AN609" s="27" t="s">
        <v>7</v>
      </c>
    </row>
    <row r="610" spans="1:40" x14ac:dyDescent="0.25">
      <c r="A610" s="7">
        <v>0.63415591769762181</v>
      </c>
      <c r="B610"/>
      <c r="C610"/>
      <c r="D610"/>
      <c r="E610"/>
      <c r="V610" s="27" t="s">
        <v>7</v>
      </c>
      <c r="W610" s="27" t="s">
        <v>8</v>
      </c>
      <c r="AB610" s="27" t="s">
        <v>7</v>
      </c>
      <c r="AC610" s="27" t="s">
        <v>8</v>
      </c>
      <c r="AD610" s="27" t="s">
        <v>7</v>
      </c>
      <c r="AE610" s="27" t="s">
        <v>8</v>
      </c>
      <c r="AF610" s="27" t="s">
        <v>7</v>
      </c>
      <c r="AG610" s="27" t="s">
        <v>8</v>
      </c>
      <c r="AH610" s="27" t="s">
        <v>7</v>
      </c>
      <c r="AI610" s="27" t="s">
        <v>8</v>
      </c>
      <c r="AK610" s="27" t="s">
        <v>8</v>
      </c>
      <c r="AL610" s="27" t="s">
        <v>7</v>
      </c>
      <c r="AM610" s="27" t="s">
        <v>8</v>
      </c>
    </row>
    <row r="611" spans="1:40" x14ac:dyDescent="0.25">
      <c r="A611" s="7">
        <v>0.62172148793884496</v>
      </c>
      <c r="B611"/>
      <c r="C611"/>
      <c r="D611"/>
      <c r="E611"/>
      <c r="V611" s="27" t="s">
        <v>7</v>
      </c>
      <c r="W611" s="27" t="s">
        <v>8</v>
      </c>
      <c r="AB611" s="27" t="s">
        <v>7</v>
      </c>
      <c r="AD611" s="27" t="s">
        <v>7</v>
      </c>
      <c r="AE611" s="27" t="s">
        <v>8</v>
      </c>
      <c r="AF611" s="27" t="s">
        <v>7</v>
      </c>
      <c r="AG611" s="27" t="s">
        <v>8</v>
      </c>
      <c r="AH611" s="27" t="s">
        <v>7</v>
      </c>
      <c r="AI611" s="27" t="s">
        <v>8</v>
      </c>
      <c r="AJ611" s="27" t="s">
        <v>7</v>
      </c>
      <c r="AK611" s="27" t="s">
        <v>8</v>
      </c>
      <c r="AL611" s="27" t="s">
        <v>7</v>
      </c>
      <c r="AM611" s="27" t="s">
        <v>8</v>
      </c>
    </row>
    <row r="612" spans="1:40" x14ac:dyDescent="0.25">
      <c r="A612" s="7">
        <v>0.60953087052827937</v>
      </c>
      <c r="B612"/>
      <c r="C612"/>
      <c r="D612"/>
      <c r="E612"/>
      <c r="V612" s="27" t="s">
        <v>7</v>
      </c>
      <c r="W612" s="27" t="s">
        <v>8</v>
      </c>
      <c r="AD612" s="27" t="s">
        <v>7</v>
      </c>
      <c r="AE612" s="27" t="s">
        <v>8</v>
      </c>
      <c r="AF612" s="27" t="s">
        <v>7</v>
      </c>
      <c r="AH612" s="27" t="s">
        <v>7</v>
      </c>
      <c r="AI612" s="27" t="s">
        <v>8</v>
      </c>
      <c r="AJ612" s="27" t="s">
        <v>7</v>
      </c>
      <c r="AK612" s="27" t="s">
        <v>8</v>
      </c>
      <c r="AL612" s="27" t="s">
        <v>7</v>
      </c>
      <c r="AM612" s="27" t="s">
        <v>8</v>
      </c>
    </row>
    <row r="613" spans="1:40" x14ac:dyDescent="0.25">
      <c r="A613" s="7">
        <v>0.59757928483164646</v>
      </c>
      <c r="B613"/>
      <c r="C613"/>
      <c r="D613"/>
      <c r="E613"/>
      <c r="V613" s="27" t="s">
        <v>7</v>
      </c>
      <c r="W613" s="27" t="s">
        <v>8</v>
      </c>
      <c r="AD613" s="27" t="s">
        <v>7</v>
      </c>
      <c r="AH613" s="27" t="s">
        <v>7</v>
      </c>
      <c r="AI613" s="27" t="s">
        <v>8</v>
      </c>
      <c r="AJ613" s="27" t="s">
        <v>7</v>
      </c>
      <c r="AK613" s="27" t="s">
        <v>8</v>
      </c>
      <c r="AL613" s="27" t="s">
        <v>7</v>
      </c>
      <c r="AM613" s="27" t="s">
        <v>8</v>
      </c>
    </row>
    <row r="614" spans="1:40" x14ac:dyDescent="0.25">
      <c r="A614" s="7">
        <v>0.58586204395259456</v>
      </c>
      <c r="B614"/>
      <c r="C614"/>
      <c r="D614"/>
      <c r="E614"/>
      <c r="V614" s="27" t="s">
        <v>7</v>
      </c>
      <c r="W614" s="27" t="s">
        <v>8</v>
      </c>
      <c r="AH614" s="27" t="s">
        <v>7</v>
      </c>
      <c r="AJ614" s="27" t="s">
        <v>7</v>
      </c>
      <c r="AK614" s="27" t="s">
        <v>8</v>
      </c>
      <c r="AL614" s="27" t="s">
        <v>7</v>
      </c>
    </row>
    <row r="615" spans="1:40" x14ac:dyDescent="0.25">
      <c r="A615" s="7">
        <v>0.57437455289470052</v>
      </c>
      <c r="B615"/>
      <c r="C615"/>
      <c r="D615"/>
      <c r="E615"/>
      <c r="V615" s="27" t="s">
        <v>7</v>
      </c>
      <c r="W615" s="27" t="s">
        <v>8</v>
      </c>
      <c r="AJ615" s="27" t="s">
        <v>7</v>
      </c>
      <c r="AK615" s="27" t="s">
        <v>8</v>
      </c>
    </row>
    <row r="616" spans="1:40" x14ac:dyDescent="0.25">
      <c r="A616" s="7">
        <v>0.56311230675951029</v>
      </c>
      <c r="B616"/>
      <c r="C616"/>
      <c r="D616"/>
      <c r="E616"/>
      <c r="V616" s="27" t="s">
        <v>7</v>
      </c>
      <c r="W616" s="27" t="s">
        <v>8</v>
      </c>
      <c r="AJ616" s="27" t="s">
        <v>7</v>
      </c>
      <c r="AK616" s="27" t="s">
        <v>8</v>
      </c>
    </row>
    <row r="617" spans="1:40" x14ac:dyDescent="0.25">
      <c r="A617" s="7">
        <v>0.55207088897991208</v>
      </c>
      <c r="B617"/>
      <c r="C617"/>
      <c r="D617"/>
      <c r="E617"/>
      <c r="V617" s="27" t="s">
        <v>7</v>
      </c>
      <c r="AJ617" s="27" t="s">
        <v>7</v>
      </c>
      <c r="AK617" s="27" t="s">
        <v>8</v>
      </c>
    </row>
    <row r="618" spans="1:40" x14ac:dyDescent="0.25">
      <c r="A618" s="7">
        <v>0.54124596958814908</v>
      </c>
      <c r="B618"/>
      <c r="C618"/>
      <c r="D618"/>
      <c r="E618"/>
      <c r="AJ618" s="27" t="s">
        <v>7</v>
      </c>
      <c r="AK618" s="27" t="s">
        <v>8</v>
      </c>
    </row>
    <row r="619" spans="1:40" x14ac:dyDescent="0.25">
      <c r="A619" s="7">
        <v>0.53063330351779314</v>
      </c>
      <c r="B619"/>
      <c r="C619"/>
      <c r="D619"/>
      <c r="E619"/>
      <c r="AJ619" s="27" t="s">
        <v>7</v>
      </c>
      <c r="AK619" s="27" t="s">
        <v>8</v>
      </c>
    </row>
    <row r="620" spans="1:40" x14ac:dyDescent="0.25">
      <c r="A620" s="7">
        <v>0.52022872893901284</v>
      </c>
      <c r="B620"/>
      <c r="C620"/>
      <c r="D620"/>
      <c r="E620"/>
      <c r="AJ620" s="27" t="s">
        <v>7</v>
      </c>
      <c r="AK620" s="27" t="s">
        <v>8</v>
      </c>
    </row>
    <row r="621" spans="1:40" x14ac:dyDescent="0.25">
      <c r="A621" s="7">
        <v>0.51002816562648323</v>
      </c>
      <c r="B621"/>
      <c r="C621"/>
      <c r="D621"/>
      <c r="E621"/>
      <c r="AJ621" s="27" t="s">
        <v>7</v>
      </c>
      <c r="AK621" s="27" t="s">
        <v>8</v>
      </c>
    </row>
    <row r="622" spans="1:40" x14ac:dyDescent="0.25">
      <c r="A622" s="7">
        <v>0.50002761335929735</v>
      </c>
      <c r="B622"/>
      <c r="C622"/>
      <c r="D622"/>
      <c r="E622"/>
      <c r="AJ622" s="27" t="s">
        <v>7</v>
      </c>
      <c r="AK622" s="27" t="s">
        <v>8</v>
      </c>
    </row>
    <row r="623" spans="1:40" x14ac:dyDescent="0.25">
      <c r="A623" s="7">
        <v>0.49022315035225228</v>
      </c>
      <c r="B623"/>
      <c r="C623"/>
      <c r="D623"/>
      <c r="E623"/>
      <c r="AJ623" s="27" t="s">
        <v>7</v>
      </c>
      <c r="AK623" s="27" t="s">
        <v>8</v>
      </c>
    </row>
    <row r="624" spans="1:40" x14ac:dyDescent="0.25">
      <c r="A624" s="7">
        <v>0.48061093171789437</v>
      </c>
      <c r="B624"/>
      <c r="C624"/>
      <c r="D624"/>
      <c r="E624"/>
      <c r="AJ624" s="27" t="s">
        <v>7</v>
      </c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9" operator="equal">
      <formula>$U$1</formula>
    </cfRule>
    <cfRule type="cellIs" dxfId="89" priority="920" operator="equal">
      <formula>$S$1</formula>
    </cfRule>
  </conditionalFormatting>
  <conditionalFormatting sqref="D27">
    <cfRule type="cellIs" dxfId="88" priority="917" operator="equal">
      <formula>$S$1</formula>
    </cfRule>
    <cfRule type="cellIs" dxfId="87" priority="918" operator="equal">
      <formula>$U$1</formula>
    </cfRule>
  </conditionalFormatting>
  <conditionalFormatting sqref="C164">
    <cfRule type="cellIs" dxfId="86" priority="915" operator="equal">
      <formula>$U$1</formula>
    </cfRule>
    <cfRule type="cellIs" dxfId="85" priority="916" operator="equal">
      <formula>$S$1</formula>
    </cfRule>
  </conditionalFormatting>
  <conditionalFormatting sqref="D164">
    <cfRule type="cellIs" dxfId="84" priority="913" operator="equal">
      <formula>$S$1</formula>
    </cfRule>
    <cfRule type="cellIs" dxfId="83" priority="914" operator="equal">
      <formula>$U$1</formula>
    </cfRule>
  </conditionalFormatting>
  <conditionalFormatting sqref="C55">
    <cfRule type="cellIs" dxfId="82" priority="911" operator="equal">
      <formula>$U$1</formula>
    </cfRule>
    <cfRule type="cellIs" dxfId="81" priority="912" operator="equal">
      <formula>$S$1</formula>
    </cfRule>
  </conditionalFormatting>
  <conditionalFormatting sqref="D55">
    <cfRule type="cellIs" dxfId="80" priority="909" operator="equal">
      <formula>$S$1</formula>
    </cfRule>
    <cfRule type="cellIs" dxfId="79" priority="910" operator="equal">
      <formula>$U$1</formula>
    </cfRule>
  </conditionalFormatting>
  <conditionalFormatting sqref="C89">
    <cfRule type="cellIs" dxfId="78" priority="907" operator="equal">
      <formula>$U$1</formula>
    </cfRule>
    <cfRule type="cellIs" dxfId="77" priority="908" operator="equal">
      <formula>$S$1</formula>
    </cfRule>
  </conditionalFormatting>
  <conditionalFormatting sqref="D89">
    <cfRule type="cellIs" dxfId="76" priority="905" operator="equal">
      <formula>$S$1</formula>
    </cfRule>
    <cfRule type="cellIs" dxfId="75" priority="906" operator="equal">
      <formula>$U$1</formula>
    </cfRule>
  </conditionalFormatting>
  <conditionalFormatting sqref="C136">
    <cfRule type="cellIs" dxfId="74" priority="903" operator="equal">
      <formula>$U$1</formula>
    </cfRule>
    <cfRule type="cellIs" dxfId="73" priority="904" operator="equal">
      <formula>$S$1</formula>
    </cfRule>
  </conditionalFormatting>
  <conditionalFormatting sqref="D136">
    <cfRule type="cellIs" dxfId="72" priority="901" operator="equal">
      <formula>$S$1</formula>
    </cfRule>
    <cfRule type="cellIs" dxfId="71" priority="902" operator="equal">
      <formula>$U$1</formula>
    </cfRule>
  </conditionalFormatting>
  <conditionalFormatting sqref="C1">
    <cfRule type="cellIs" dxfId="70" priority="90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8" zoomScale="90" zoomScaleNormal="90" workbookViewId="0">
      <pane xSplit="4" topLeftCell="BV1" activePane="topRight" state="frozen"/>
      <selection activeCell="A109" sqref="A109"/>
      <selection pane="topRight" activeCell="EJ211" sqref="EJ21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$A$210</v>
      </c>
      <c r="D111" s="1" t="str">
        <f>ADDRESS(C121-1,D121,1,1)</f>
        <v>$EJ$210</v>
      </c>
      <c r="E111"/>
    </row>
    <row r="112" spans="1:5" x14ac:dyDescent="0.25">
      <c r="A112" s="30">
        <v>515.50191262726139</v>
      </c>
      <c r="C112" s="1" t="str">
        <f>ADDRESS(C121,1,1,1)</f>
        <v>$A$211</v>
      </c>
      <c r="D112" s="1" t="str">
        <f>ADDRESS(C121,D121-1,1,1)</f>
        <v>$EI$211</v>
      </c>
      <c r="E112"/>
    </row>
    <row r="113" spans="1:5" x14ac:dyDescent="0.25">
      <c r="A113" s="30">
        <v>490.95420250215363</v>
      </c>
      <c r="C113" s="1" t="str">
        <f>ADDRESS(C121+1,1,1,1)</f>
        <v>$A$212</v>
      </c>
      <c r="D113" s="1" t="str">
        <f>ADDRESS(C121-1,D121+1,1,1)</f>
        <v>$EK$210</v>
      </c>
    </row>
    <row r="114" spans="1:5" x14ac:dyDescent="0.25">
      <c r="A114" s="30">
        <v>467.57543095443202</v>
      </c>
      <c r="C114" s="1" t="str">
        <f>ADDRESS(C121,D121,1,1)</f>
        <v>$EJ$211</v>
      </c>
      <c r="D114" s="1" t="str">
        <f>ADDRESS(C121+1,D121+1,1,1)</f>
        <v>$EK$212</v>
      </c>
    </row>
    <row r="115" spans="1:5" x14ac:dyDescent="0.25">
      <c r="A115" s="30">
        <v>445.30993424231622</v>
      </c>
      <c r="C115" s="1" t="str">
        <f>ADDRESS(C121+1,D121,1,1)</f>
        <v>$EJ$212</v>
      </c>
    </row>
    <row r="116" spans="1:5" x14ac:dyDescent="0.25">
      <c r="A116" s="30">
        <v>424.10469927839637</v>
      </c>
      <c r="C116" s="1">
        <f>C117-1</f>
        <v>210</v>
      </c>
    </row>
    <row r="117" spans="1:5" x14ac:dyDescent="0.25">
      <c r="A117" s="30">
        <v>403.9092374079965</v>
      </c>
      <c r="C117" s="1">
        <f>C121</f>
        <v>211</v>
      </c>
      <c r="D117" s="1">
        <f>D121</f>
        <v>140</v>
      </c>
    </row>
    <row r="118" spans="1:5" x14ac:dyDescent="0.25">
      <c r="A118" s="30">
        <v>384.6754641980919</v>
      </c>
      <c r="C118" s="1">
        <f>C117+1</f>
        <v>212</v>
      </c>
      <c r="D118" s="1">
        <f>D117+1</f>
        <v>141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211</v>
      </c>
      <c r="D121" s="19">
        <v>140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R211</v>
      </c>
      <c r="D123" s="1" t="str">
        <f>"C"&amp;D121</f>
        <v>C140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4.1161355953815884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67" x14ac:dyDescent="0.25">
      <c r="A161" s="30">
        <v>47.201372444612005</v>
      </c>
      <c r="E161"/>
    </row>
    <row r="162" spans="1:67" x14ac:dyDescent="0.25">
      <c r="A162" s="30">
        <v>44.95368804248762</v>
      </c>
      <c r="E162"/>
    </row>
    <row r="163" spans="1:67" x14ac:dyDescent="0.25">
      <c r="A163" s="30">
        <v>42.81303623094059</v>
      </c>
      <c r="E163"/>
    </row>
    <row r="164" spans="1:67" x14ac:dyDescent="0.25">
      <c r="A164" s="30">
        <v>40.774320219943419</v>
      </c>
      <c r="E164"/>
    </row>
    <row r="165" spans="1:67" x14ac:dyDescent="0.25">
      <c r="A165" s="30">
        <v>38.832685923755633</v>
      </c>
      <c r="E165"/>
    </row>
    <row r="166" spans="1:67" x14ac:dyDescent="0.25">
      <c r="A166" s="30">
        <v>36.983510403576794</v>
      </c>
      <c r="E166"/>
    </row>
    <row r="167" spans="1:67" x14ac:dyDescent="0.25">
      <c r="A167" s="30">
        <v>35.222390860549325</v>
      </c>
      <c r="E167"/>
    </row>
    <row r="168" spans="1:67" x14ac:dyDescent="0.25">
      <c r="A168" s="30">
        <v>33.545134152904119</v>
      </c>
      <c r="E168"/>
    </row>
    <row r="169" spans="1:67" x14ac:dyDescent="0.25">
      <c r="A169" s="30">
        <v>31.947746812289637</v>
      </c>
      <c r="E169"/>
    </row>
    <row r="170" spans="1:67" x14ac:dyDescent="0.25">
      <c r="A170" s="30">
        <v>30.426425535513939</v>
      </c>
      <c r="E170"/>
    </row>
    <row r="171" spans="1:67" x14ac:dyDescent="0.25">
      <c r="A171" s="30">
        <v>28.977548129060892</v>
      </c>
      <c r="E171"/>
    </row>
    <row r="172" spans="1:67" x14ac:dyDescent="0.25">
      <c r="A172" s="30">
        <v>27.597664884819896</v>
      </c>
      <c r="E172"/>
    </row>
    <row r="173" spans="1:67" x14ac:dyDescent="0.25">
      <c r="A173" s="30">
        <v>26.283490366495137</v>
      </c>
      <c r="E173"/>
    </row>
    <row r="174" spans="1:67" x14ac:dyDescent="0.25">
      <c r="A174" s="30">
        <v>25.031895587138223</v>
      </c>
      <c r="E174"/>
    </row>
    <row r="175" spans="1:67" x14ac:dyDescent="0.25">
      <c r="A175" s="30">
        <v>23.839900559179259</v>
      </c>
      <c r="E175"/>
    </row>
    <row r="176" spans="1:67" x14ac:dyDescent="0.25">
      <c r="A176" s="30">
        <v>22.704667199218342</v>
      </c>
      <c r="E176"/>
      <c r="BO176" s="27" t="s">
        <v>8</v>
      </c>
    </row>
    <row r="177" spans="1:133" x14ac:dyDescent="0.25">
      <c r="A177" s="30">
        <v>21.623492570684135</v>
      </c>
      <c r="E177"/>
      <c r="BO177" s="27" t="s">
        <v>8</v>
      </c>
      <c r="BP177" s="27" t="s">
        <v>7</v>
      </c>
      <c r="CG177" s="31" t="s">
        <v>8</v>
      </c>
    </row>
    <row r="178" spans="1:133" x14ac:dyDescent="0.25">
      <c r="A178" s="30">
        <v>20.593802448270605</v>
      </c>
      <c r="C178" s="7"/>
      <c r="D178"/>
      <c r="E178"/>
      <c r="BM178" s="27" t="s">
        <v>8</v>
      </c>
      <c r="BO178" s="27" t="s">
        <v>8</v>
      </c>
      <c r="BP178" s="27" t="s">
        <v>7</v>
      </c>
      <c r="CG178" s="27" t="s">
        <v>8</v>
      </c>
      <c r="CH178" s="31" t="s">
        <v>7</v>
      </c>
    </row>
    <row r="179" spans="1:133" x14ac:dyDescent="0.25">
      <c r="A179" s="30">
        <v>19.613145188829147</v>
      </c>
      <c r="E179"/>
      <c r="BG179" s="27" t="s">
        <v>8</v>
      </c>
      <c r="BM179" s="27" t="s">
        <v>8</v>
      </c>
      <c r="BN179" s="27" t="s">
        <v>7</v>
      </c>
      <c r="BO179" s="27" t="s">
        <v>8</v>
      </c>
      <c r="BP179" s="27" t="s">
        <v>7</v>
      </c>
      <c r="CG179" s="27" t="s">
        <v>8</v>
      </c>
      <c r="CH179" s="27" t="s">
        <v>7</v>
      </c>
      <c r="CI179" s="31"/>
    </row>
    <row r="180" spans="1:133" x14ac:dyDescent="0.25">
      <c r="A180" s="30">
        <v>18.679185894122998</v>
      </c>
      <c r="E180"/>
      <c r="BG180" s="27" t="s">
        <v>8</v>
      </c>
      <c r="BH180" s="27" t="s">
        <v>7</v>
      </c>
      <c r="BM180" s="27" t="s">
        <v>8</v>
      </c>
      <c r="BN180" s="27" t="s">
        <v>7</v>
      </c>
      <c r="BO180" s="27" t="s">
        <v>8</v>
      </c>
      <c r="BP180" s="27" t="s">
        <v>7</v>
      </c>
      <c r="CE180" s="27" t="s">
        <v>8</v>
      </c>
      <c r="CG180" s="27" t="s">
        <v>8</v>
      </c>
      <c r="CH180" s="27" t="s">
        <v>7</v>
      </c>
      <c r="CJ180" s="31"/>
    </row>
    <row r="181" spans="1:133" x14ac:dyDescent="0.25">
      <c r="A181" s="30">
        <v>17.78970085154571</v>
      </c>
      <c r="C181"/>
      <c r="D181"/>
      <c r="E181"/>
      <c r="BC181" s="27" t="s">
        <v>8</v>
      </c>
      <c r="BG181" s="27" t="s">
        <v>8</v>
      </c>
      <c r="BH181" s="27" t="s">
        <v>7</v>
      </c>
      <c r="BM181" s="27" t="s">
        <v>8</v>
      </c>
      <c r="BN181" s="27" t="s">
        <v>7</v>
      </c>
      <c r="BO181" s="27" t="s">
        <v>8</v>
      </c>
      <c r="BP181" s="27" t="s">
        <v>7</v>
      </c>
      <c r="BS181" s="33" t="s">
        <v>8</v>
      </c>
      <c r="CA181" s="32" t="s">
        <v>8</v>
      </c>
      <c r="CC181" s="32" t="s">
        <v>8</v>
      </c>
      <c r="CE181" s="27" t="s">
        <v>8</v>
      </c>
      <c r="CF181" s="27" t="s">
        <v>7</v>
      </c>
      <c r="CG181" s="27" t="s">
        <v>8</v>
      </c>
      <c r="CH181" s="27" t="s">
        <v>7</v>
      </c>
      <c r="CK181" s="31"/>
    </row>
    <row r="182" spans="1:133" x14ac:dyDescent="0.25">
      <c r="A182" s="30">
        <v>16.942572239567344</v>
      </c>
      <c r="E182"/>
      <c r="BC182" s="27" t="s">
        <v>8</v>
      </c>
      <c r="BD182" s="27" t="s">
        <v>7</v>
      </c>
      <c r="BE182" s="27" t="s">
        <v>8</v>
      </c>
      <c r="BG182" s="27" t="s">
        <v>8</v>
      </c>
      <c r="BH182" s="27" t="s">
        <v>7</v>
      </c>
      <c r="BI182" s="27" t="s">
        <v>8</v>
      </c>
      <c r="BK182" s="27" t="s">
        <v>8</v>
      </c>
      <c r="BM182" s="27" t="s">
        <v>8</v>
      </c>
      <c r="BN182" s="27" t="s">
        <v>7</v>
      </c>
      <c r="BO182" s="27" t="s">
        <v>8</v>
      </c>
      <c r="BP182" s="27" t="s">
        <v>7</v>
      </c>
      <c r="BQ182" s="27" t="s">
        <v>8</v>
      </c>
      <c r="BS182" s="27" t="s">
        <v>8</v>
      </c>
      <c r="BT182" s="27" t="s">
        <v>7</v>
      </c>
      <c r="CA182" s="27" t="s">
        <v>8</v>
      </c>
      <c r="CB182" s="27" t="s">
        <v>7</v>
      </c>
      <c r="CC182" s="27" t="s">
        <v>8</v>
      </c>
      <c r="CD182" s="27" t="s">
        <v>7</v>
      </c>
      <c r="CE182" s="27" t="s">
        <v>8</v>
      </c>
      <c r="CF182" s="27" t="s">
        <v>7</v>
      </c>
      <c r="CG182" s="27" t="s">
        <v>8</v>
      </c>
      <c r="CH182" s="27" t="s">
        <v>7</v>
      </c>
      <c r="CI182" s="27" t="s">
        <v>8</v>
      </c>
      <c r="CL182" s="31"/>
    </row>
    <row r="183" spans="1:133" x14ac:dyDescent="0.25">
      <c r="A183" s="30">
        <v>16.135783085302233</v>
      </c>
      <c r="E183"/>
      <c r="BA183" s="27" t="s">
        <v>8</v>
      </c>
      <c r="BC183" s="27" t="s">
        <v>8</v>
      </c>
      <c r="BD183" s="27" t="s">
        <v>7</v>
      </c>
      <c r="BE183" s="27" t="s">
        <v>8</v>
      </c>
      <c r="BF183" s="27" t="s">
        <v>7</v>
      </c>
      <c r="BG183" s="27" t="s">
        <v>8</v>
      </c>
      <c r="BH183" s="27" t="s">
        <v>7</v>
      </c>
      <c r="BI183" s="27" t="s">
        <v>8</v>
      </c>
      <c r="BJ183" s="27" t="s">
        <v>7</v>
      </c>
      <c r="BK183" s="27" t="s">
        <v>8</v>
      </c>
      <c r="BL183" s="27" t="s">
        <v>7</v>
      </c>
      <c r="BM183" s="27" t="s">
        <v>8</v>
      </c>
      <c r="BN183" s="27" t="s">
        <v>7</v>
      </c>
      <c r="BP183" s="27" t="s">
        <v>7</v>
      </c>
      <c r="BQ183" s="27" t="s">
        <v>8</v>
      </c>
      <c r="BR183" s="27" t="s">
        <v>7</v>
      </c>
      <c r="BS183" s="27" t="s">
        <v>8</v>
      </c>
      <c r="BT183" s="27" t="s">
        <v>7</v>
      </c>
      <c r="CA183" s="27" t="s">
        <v>8</v>
      </c>
      <c r="CB183" s="27" t="s">
        <v>7</v>
      </c>
      <c r="CC183" s="27" t="s">
        <v>8</v>
      </c>
      <c r="CD183" s="27" t="s">
        <v>7</v>
      </c>
      <c r="CE183" s="27" t="s">
        <v>8</v>
      </c>
      <c r="CF183" s="27" t="s">
        <v>7</v>
      </c>
      <c r="CG183" s="27" t="s">
        <v>8</v>
      </c>
      <c r="CH183" s="27" t="s">
        <v>7</v>
      </c>
      <c r="CI183" s="27" t="s">
        <v>8</v>
      </c>
      <c r="CJ183" s="27" t="s">
        <v>7</v>
      </c>
      <c r="CM183" s="31"/>
      <c r="DK183" s="31" t="s">
        <v>8</v>
      </c>
    </row>
    <row r="184" spans="1:133" x14ac:dyDescent="0.25">
      <c r="A184" s="30">
        <v>15.367412462192602</v>
      </c>
      <c r="E184"/>
      <c r="BA184" s="27" t="s">
        <v>8</v>
      </c>
      <c r="BB184" s="27" t="s">
        <v>7</v>
      </c>
      <c r="BC184" s="27" t="s">
        <v>8</v>
      </c>
      <c r="BD184" s="27" t="s">
        <v>7</v>
      </c>
      <c r="BE184" s="27" t="s">
        <v>8</v>
      </c>
      <c r="BF184" s="27" t="s">
        <v>7</v>
      </c>
      <c r="BG184" s="27" t="s">
        <v>8</v>
      </c>
      <c r="BH184" s="27" t="s">
        <v>7</v>
      </c>
      <c r="BI184" s="27" t="s">
        <v>8</v>
      </c>
      <c r="BJ184" s="27" t="s">
        <v>7</v>
      </c>
      <c r="BK184" s="27" t="s">
        <v>8</v>
      </c>
      <c r="BL184" s="27" t="s">
        <v>7</v>
      </c>
      <c r="BM184" s="27" t="s">
        <v>8</v>
      </c>
      <c r="BP184" s="27" t="s">
        <v>7</v>
      </c>
      <c r="BQ184" s="27" t="s">
        <v>8</v>
      </c>
      <c r="BR184" s="27" t="s">
        <v>7</v>
      </c>
      <c r="BS184" s="27" t="s">
        <v>8</v>
      </c>
      <c r="BT184" s="27" t="s">
        <v>7</v>
      </c>
      <c r="CA184" s="27" t="s">
        <v>8</v>
      </c>
      <c r="CB184" s="27" t="s">
        <v>7</v>
      </c>
      <c r="CC184" s="27" t="s">
        <v>8</v>
      </c>
      <c r="CD184" s="27" t="s">
        <v>7</v>
      </c>
      <c r="CE184" s="27" t="s">
        <v>8</v>
      </c>
      <c r="CF184" s="27" t="s">
        <v>7</v>
      </c>
      <c r="CG184" s="27" t="s">
        <v>8</v>
      </c>
      <c r="CH184" s="27" t="s">
        <v>7</v>
      </c>
      <c r="CI184" s="27" t="s">
        <v>8</v>
      </c>
      <c r="CJ184" s="27" t="s">
        <v>7</v>
      </c>
      <c r="CN184" s="31"/>
      <c r="DK184" s="27" t="s">
        <v>8</v>
      </c>
      <c r="DL184" s="31" t="s">
        <v>7</v>
      </c>
    </row>
    <row r="185" spans="1:133" x14ac:dyDescent="0.25">
      <c r="A185" s="30">
        <v>14.635630916373906</v>
      </c>
      <c r="C185"/>
      <c r="E185"/>
      <c r="BA185" s="27" t="s">
        <v>8</v>
      </c>
      <c r="BB185" s="27" t="s">
        <v>7</v>
      </c>
      <c r="BC185" s="27" t="s">
        <v>8</v>
      </c>
      <c r="BD185" s="27" t="s">
        <v>7</v>
      </c>
      <c r="BF185" s="27" t="s">
        <v>7</v>
      </c>
      <c r="BG185" s="27" t="s">
        <v>8</v>
      </c>
      <c r="BH185" s="27" t="s">
        <v>7</v>
      </c>
      <c r="BI185" s="27" t="s">
        <v>8</v>
      </c>
      <c r="BJ185" s="27" t="s">
        <v>7</v>
      </c>
      <c r="BK185" s="27" t="s">
        <v>8</v>
      </c>
      <c r="BL185" s="27" t="s">
        <v>7</v>
      </c>
      <c r="BM185" s="27" t="s">
        <v>8</v>
      </c>
      <c r="BP185" s="27" t="s">
        <v>7</v>
      </c>
      <c r="BR185" s="27" t="s">
        <v>7</v>
      </c>
      <c r="BS185" s="27" t="s">
        <v>8</v>
      </c>
      <c r="BT185" s="27" t="s">
        <v>7</v>
      </c>
      <c r="BY185" s="33" t="s">
        <v>8</v>
      </c>
      <c r="CA185" s="27" t="s">
        <v>8</v>
      </c>
      <c r="CB185" s="27" t="s">
        <v>7</v>
      </c>
      <c r="CC185" s="27" t="s">
        <v>8</v>
      </c>
      <c r="CD185" s="27" t="s">
        <v>7</v>
      </c>
      <c r="CE185" s="27" t="s">
        <v>8</v>
      </c>
      <c r="CF185" s="27" t="s">
        <v>7</v>
      </c>
      <c r="CH185" s="27" t="s">
        <v>7</v>
      </c>
      <c r="CI185" s="27" t="s">
        <v>8</v>
      </c>
      <c r="CJ185" s="27" t="s">
        <v>7</v>
      </c>
      <c r="CO185" s="31"/>
      <c r="DE185" s="27" t="s">
        <v>8</v>
      </c>
      <c r="DK185" s="27" t="s">
        <v>8</v>
      </c>
      <c r="DL185" s="27" t="s">
        <v>7</v>
      </c>
      <c r="DM185" s="31"/>
    </row>
    <row r="186" spans="1:133" x14ac:dyDescent="0.25">
      <c r="A186" s="30">
        <v>13.938696110832291</v>
      </c>
      <c r="E186"/>
      <c r="BA186" s="27" t="s">
        <v>8</v>
      </c>
      <c r="BB186" s="27" t="s">
        <v>7</v>
      </c>
      <c r="BC186" s="27" t="s">
        <v>8</v>
      </c>
      <c r="BF186" s="27" t="s">
        <v>7</v>
      </c>
      <c r="BH186" s="27" t="s">
        <v>7</v>
      </c>
      <c r="BI186" s="27" t="s">
        <v>8</v>
      </c>
      <c r="BJ186" s="27" t="s">
        <v>7</v>
      </c>
      <c r="BK186" s="27" t="s">
        <v>8</v>
      </c>
      <c r="BL186" s="27" t="s">
        <v>7</v>
      </c>
      <c r="BR186" s="27" t="s">
        <v>7</v>
      </c>
      <c r="BT186" s="27" t="s">
        <v>7</v>
      </c>
      <c r="BU186" s="32" t="s">
        <v>8</v>
      </c>
      <c r="BW186" s="32" t="s">
        <v>8</v>
      </c>
      <c r="BY186" s="27" t="s">
        <v>8</v>
      </c>
      <c r="BZ186" s="27" t="s">
        <v>7</v>
      </c>
      <c r="CA186" s="27" t="s">
        <v>8</v>
      </c>
      <c r="CB186" s="27" t="s">
        <v>7</v>
      </c>
      <c r="CC186" s="27" t="s">
        <v>8</v>
      </c>
      <c r="CD186" s="27" t="s">
        <v>7</v>
      </c>
      <c r="CH186" s="34" t="s">
        <v>7</v>
      </c>
      <c r="CI186" s="27" t="s">
        <v>8</v>
      </c>
      <c r="CJ186" s="27" t="s">
        <v>7</v>
      </c>
      <c r="CP186" s="31"/>
      <c r="DC186" s="27" t="s">
        <v>8</v>
      </c>
      <c r="DE186" s="27" t="s">
        <v>8</v>
      </c>
      <c r="DF186" s="27" t="s">
        <v>7</v>
      </c>
      <c r="DG186" s="27" t="s">
        <v>8</v>
      </c>
      <c r="DK186" s="27" t="s">
        <v>8</v>
      </c>
      <c r="DL186" s="27" t="s">
        <v>7</v>
      </c>
      <c r="DN186" s="31"/>
    </row>
    <row r="187" spans="1:133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BA187" s="27" t="s">
        <v>8</v>
      </c>
      <c r="BB187" s="27" t="s">
        <v>7</v>
      </c>
      <c r="BC187" s="27" t="s">
        <v>8</v>
      </c>
      <c r="BH187" s="27" t="s">
        <v>7</v>
      </c>
      <c r="BI187" s="27" t="s">
        <v>8</v>
      </c>
      <c r="BJ187" s="27" t="s">
        <v>7</v>
      </c>
      <c r="BT187" s="34" t="s">
        <v>7</v>
      </c>
      <c r="BU187" s="27" t="s">
        <v>8</v>
      </c>
      <c r="BV187" s="27" t="s">
        <v>7</v>
      </c>
      <c r="BW187" s="27" t="s">
        <v>8</v>
      </c>
      <c r="BX187" s="27" t="s">
        <v>7</v>
      </c>
      <c r="BY187" s="27" t="s">
        <v>8</v>
      </c>
      <c r="BZ187" s="27" t="s">
        <v>7</v>
      </c>
      <c r="CA187" s="27" t="s">
        <v>8</v>
      </c>
      <c r="CB187" s="27" t="s">
        <v>7</v>
      </c>
      <c r="CH187" s="27" t="s">
        <v>7</v>
      </c>
      <c r="CI187" s="27" t="s">
        <v>8</v>
      </c>
      <c r="CJ187" s="27" t="s">
        <v>7</v>
      </c>
      <c r="CK187" s="32" t="s">
        <v>8</v>
      </c>
      <c r="CM187" s="32" t="s">
        <v>8</v>
      </c>
      <c r="CO187" s="32" t="s">
        <v>8</v>
      </c>
      <c r="CQ187" s="31"/>
      <c r="DC187" s="27" t="s">
        <v>8</v>
      </c>
      <c r="DD187" s="27" t="s">
        <v>7</v>
      </c>
      <c r="DE187" s="27" t="s">
        <v>8</v>
      </c>
      <c r="DF187" s="27" t="s">
        <v>7</v>
      </c>
      <c r="DG187" s="27" t="s">
        <v>8</v>
      </c>
      <c r="DH187" s="27" t="s">
        <v>7</v>
      </c>
      <c r="DK187" s="27" t="s">
        <v>8</v>
      </c>
      <c r="DL187" s="27" t="s">
        <v>7</v>
      </c>
      <c r="DO187" s="31"/>
      <c r="DU187" s="27" t="s">
        <v>8</v>
      </c>
    </row>
    <row r="188" spans="1:133" x14ac:dyDescent="0.25">
      <c r="A188" s="30">
        <v>12.64280826379346</v>
      </c>
      <c r="E188"/>
      <c r="BA188" s="27" t="s">
        <v>8</v>
      </c>
      <c r="BB188" s="27" t="s">
        <v>7</v>
      </c>
      <c r="BC188" s="27" t="s">
        <v>8</v>
      </c>
      <c r="BH188" s="27" t="s">
        <v>7</v>
      </c>
      <c r="BI188" s="27" t="s">
        <v>8</v>
      </c>
      <c r="BT188" s="27" t="s">
        <v>7</v>
      </c>
      <c r="BU188" s="27" t="s">
        <v>8</v>
      </c>
      <c r="BV188" s="27" t="s">
        <v>7</v>
      </c>
      <c r="BW188" s="27" t="s">
        <v>8</v>
      </c>
      <c r="BX188" s="27" t="s">
        <v>7</v>
      </c>
      <c r="BY188" s="27" t="s">
        <v>8</v>
      </c>
      <c r="BZ188" s="27" t="s">
        <v>7</v>
      </c>
      <c r="CH188" s="27" t="s">
        <v>7</v>
      </c>
      <c r="CI188" s="27" t="s">
        <v>8</v>
      </c>
      <c r="CJ188" s="27" t="s">
        <v>7</v>
      </c>
      <c r="CK188" s="27" t="s">
        <v>8</v>
      </c>
      <c r="CL188" s="27" t="s">
        <v>7</v>
      </c>
      <c r="CM188" s="27" t="s">
        <v>8</v>
      </c>
      <c r="CN188" s="27" t="s">
        <v>7</v>
      </c>
      <c r="CO188" s="27" t="s">
        <v>8</v>
      </c>
      <c r="CP188" s="27" t="s">
        <v>7</v>
      </c>
      <c r="CR188" s="31"/>
      <c r="DC188" s="27" t="s">
        <v>8</v>
      </c>
      <c r="DD188" s="27" t="s">
        <v>7</v>
      </c>
      <c r="DE188" s="27" t="s">
        <v>8</v>
      </c>
      <c r="DF188" s="27" t="s">
        <v>7</v>
      </c>
      <c r="DG188" s="27" t="s">
        <v>8</v>
      </c>
      <c r="DH188" s="27" t="s">
        <v>7</v>
      </c>
      <c r="DK188" s="27" t="s">
        <v>8</v>
      </c>
      <c r="DL188" s="27" t="s">
        <v>7</v>
      </c>
      <c r="DP188" s="31"/>
      <c r="DU188" s="27" t="s">
        <v>8</v>
      </c>
      <c r="DV188" s="27" t="s">
        <v>7</v>
      </c>
    </row>
    <row r="189" spans="1:133" x14ac:dyDescent="0.25">
      <c r="A189" s="30">
        <v>12.04076977504139</v>
      </c>
      <c r="E189"/>
      <c r="BA189" s="27" t="s">
        <v>8</v>
      </c>
      <c r="BB189" s="27" t="s">
        <v>7</v>
      </c>
      <c r="BC189" s="27" t="s">
        <v>8</v>
      </c>
      <c r="BH189" s="27" t="s">
        <v>7</v>
      </c>
      <c r="BT189" s="27" t="s">
        <v>7</v>
      </c>
      <c r="BU189" s="27" t="s">
        <v>8</v>
      </c>
      <c r="BV189" s="27" t="s">
        <v>7</v>
      </c>
      <c r="BW189" s="27" t="s">
        <v>8</v>
      </c>
      <c r="BX189" s="27" t="s">
        <v>7</v>
      </c>
      <c r="BY189" s="27" t="s">
        <v>8</v>
      </c>
      <c r="CH189" s="27" t="s">
        <v>7</v>
      </c>
      <c r="CI189" s="27" t="s">
        <v>8</v>
      </c>
      <c r="CJ189" s="27" t="s">
        <v>7</v>
      </c>
      <c r="CK189" s="27" t="s">
        <v>8</v>
      </c>
      <c r="CL189" s="27" t="s">
        <v>7</v>
      </c>
      <c r="CM189" s="27" t="s">
        <v>8</v>
      </c>
      <c r="CN189" s="27" t="s">
        <v>7</v>
      </c>
      <c r="CO189" s="27" t="s">
        <v>8</v>
      </c>
      <c r="CP189" s="27" t="s">
        <v>7</v>
      </c>
      <c r="CS189" s="31"/>
      <c r="DC189" s="27" t="s">
        <v>8</v>
      </c>
      <c r="DD189" s="27" t="s">
        <v>7</v>
      </c>
      <c r="DF189" s="27" t="s">
        <v>7</v>
      </c>
      <c r="DG189" s="27" t="s">
        <v>8</v>
      </c>
      <c r="DH189" s="27" t="s">
        <v>7</v>
      </c>
      <c r="DK189" s="27" t="s">
        <v>8</v>
      </c>
      <c r="DL189" s="27" t="s">
        <v>7</v>
      </c>
      <c r="DQ189" s="31"/>
      <c r="DS189" s="27" t="s">
        <v>8</v>
      </c>
      <c r="DU189" s="27" t="s">
        <v>8</v>
      </c>
      <c r="DV189" s="27" t="s">
        <v>7</v>
      </c>
    </row>
    <row r="190" spans="1:133" x14ac:dyDescent="0.25">
      <c r="A190" s="30">
        <v>11.467399785753704</v>
      </c>
      <c r="E190"/>
      <c r="BA190" s="27" t="s">
        <v>8</v>
      </c>
      <c r="BB190" s="27" t="s">
        <v>7</v>
      </c>
      <c r="BT190" s="27" t="s">
        <v>7</v>
      </c>
      <c r="BU190" s="27" t="s">
        <v>8</v>
      </c>
      <c r="BV190" s="27" t="s">
        <v>7</v>
      </c>
      <c r="BX190" s="27" t="s">
        <v>7</v>
      </c>
      <c r="BY190" s="27" t="s">
        <v>8</v>
      </c>
      <c r="CH190" s="27" t="s">
        <v>7</v>
      </c>
      <c r="CI190" s="27" t="s">
        <v>8</v>
      </c>
      <c r="CJ190" s="27" t="s">
        <v>7</v>
      </c>
      <c r="CK190" s="27" t="s">
        <v>8</v>
      </c>
      <c r="CL190" s="27" t="s">
        <v>7</v>
      </c>
      <c r="CM190" s="27" t="s">
        <v>8</v>
      </c>
      <c r="CN190" s="27" t="s">
        <v>7</v>
      </c>
      <c r="CO190" s="27" t="s">
        <v>8</v>
      </c>
      <c r="CP190" s="27" t="s">
        <v>7</v>
      </c>
      <c r="CT190" s="31"/>
      <c r="DC190" s="27" t="s">
        <v>8</v>
      </c>
      <c r="DF190" s="27" t="s">
        <v>7</v>
      </c>
      <c r="DH190" s="27" t="s">
        <v>7</v>
      </c>
      <c r="DI190" s="27" t="s">
        <v>8</v>
      </c>
      <c r="DK190" s="27" t="s">
        <v>8</v>
      </c>
      <c r="DL190" s="27" t="s">
        <v>7</v>
      </c>
      <c r="DO190" s="27" t="s">
        <v>8</v>
      </c>
      <c r="DQ190" s="27" t="s">
        <v>8</v>
      </c>
      <c r="DR190" s="31"/>
      <c r="DS190" s="27" t="s">
        <v>8</v>
      </c>
      <c r="DT190" s="27" t="s">
        <v>7</v>
      </c>
      <c r="DU190" s="27" t="s">
        <v>8</v>
      </c>
      <c r="DV190" s="27" t="s">
        <v>7</v>
      </c>
    </row>
    <row r="191" spans="1:133" x14ac:dyDescent="0.25">
      <c r="A191" s="30">
        <v>10.921333129289241</v>
      </c>
      <c r="E191"/>
      <c r="BA191" s="27" t="s">
        <v>8</v>
      </c>
      <c r="BT191" s="27" t="s">
        <v>7</v>
      </c>
      <c r="BU191" s="27" t="s">
        <v>8</v>
      </c>
      <c r="BX191" s="27" t="s">
        <v>7</v>
      </c>
      <c r="BY191" s="27" t="s">
        <v>8</v>
      </c>
      <c r="CH191" s="27" t="s">
        <v>7</v>
      </c>
      <c r="CI191" s="27" t="s">
        <v>8</v>
      </c>
      <c r="CJ191" s="27" t="s">
        <v>7</v>
      </c>
      <c r="CK191" s="27" t="s">
        <v>8</v>
      </c>
      <c r="CL191" s="27" t="s">
        <v>7</v>
      </c>
      <c r="CM191" s="27" t="s">
        <v>8</v>
      </c>
      <c r="CN191" s="27" t="s">
        <v>7</v>
      </c>
      <c r="CO191" s="27" t="s">
        <v>8</v>
      </c>
      <c r="CP191" s="27" t="s">
        <v>7</v>
      </c>
      <c r="CU191" s="31"/>
      <c r="DC191" s="27" t="s">
        <v>8</v>
      </c>
      <c r="DH191" s="27" t="s">
        <v>7</v>
      </c>
      <c r="DI191" s="27" t="s">
        <v>8</v>
      </c>
      <c r="DJ191" s="27" t="s">
        <v>7</v>
      </c>
      <c r="DK191" s="27" t="s">
        <v>8</v>
      </c>
      <c r="DL191" s="27" t="s">
        <v>7</v>
      </c>
      <c r="DM191" s="27" t="s">
        <v>8</v>
      </c>
      <c r="DO191" s="27" t="s">
        <v>8</v>
      </c>
      <c r="DP191" s="27" t="s">
        <v>7</v>
      </c>
      <c r="DQ191" s="27" t="s">
        <v>8</v>
      </c>
      <c r="DR191" s="27" t="s">
        <v>7</v>
      </c>
      <c r="DS191" s="27" t="s">
        <v>8</v>
      </c>
      <c r="DT191" s="27" t="s">
        <v>7</v>
      </c>
      <c r="DU191" s="27" t="s">
        <v>8</v>
      </c>
      <c r="DV191" s="27" t="s">
        <v>7</v>
      </c>
    </row>
    <row r="192" spans="1:133" x14ac:dyDescent="0.25">
      <c r="A192" s="30">
        <v>10.401269646942135</v>
      </c>
      <c r="E192"/>
      <c r="BA192" s="27" t="s">
        <v>8</v>
      </c>
      <c r="BT192" s="27" t="s">
        <v>7</v>
      </c>
      <c r="BX192" s="27" t="s">
        <v>7</v>
      </c>
      <c r="CH192" s="32" t="s">
        <v>7</v>
      </c>
      <c r="CJ192" s="32" t="s">
        <v>7</v>
      </c>
      <c r="CL192" s="27" t="s">
        <v>7</v>
      </c>
      <c r="CM192" s="27" t="s">
        <v>8</v>
      </c>
      <c r="CN192" s="27" t="s">
        <v>7</v>
      </c>
      <c r="CO192" s="27" t="s">
        <v>8</v>
      </c>
      <c r="CP192" s="27" t="s">
        <v>7</v>
      </c>
      <c r="CV192" s="31"/>
      <c r="DC192" s="27" t="s">
        <v>8</v>
      </c>
      <c r="DH192" s="27" t="s">
        <v>7</v>
      </c>
      <c r="DI192" s="27" t="s">
        <v>8</v>
      </c>
      <c r="DJ192" s="27" t="s">
        <v>7</v>
      </c>
      <c r="DK192" s="27" t="s">
        <v>8</v>
      </c>
      <c r="DL192" s="27" t="s">
        <v>7</v>
      </c>
      <c r="DM192" s="27" t="s">
        <v>8</v>
      </c>
      <c r="DN192" s="27" t="s">
        <v>7</v>
      </c>
      <c r="DO192" s="27" t="s">
        <v>8</v>
      </c>
      <c r="DP192" s="27" t="s">
        <v>7</v>
      </c>
      <c r="DQ192" s="27" t="s">
        <v>8</v>
      </c>
      <c r="DR192" s="27" t="s">
        <v>7</v>
      </c>
      <c r="DS192" s="27" t="s">
        <v>8</v>
      </c>
      <c r="DT192" s="27" t="s">
        <v>7</v>
      </c>
      <c r="DV192" s="27" t="s">
        <v>7</v>
      </c>
      <c r="EC192" s="27" t="s">
        <v>8</v>
      </c>
    </row>
    <row r="193" spans="1:139" x14ac:dyDescent="0.25">
      <c r="A193" s="30">
        <v>9.9059710923258422</v>
      </c>
      <c r="E193"/>
      <c r="AY193" s="27" t="s">
        <v>8</v>
      </c>
      <c r="BA193" s="27" t="s">
        <v>8</v>
      </c>
      <c r="CL193" s="27" t="s">
        <v>7</v>
      </c>
      <c r="CM193" s="27" t="s">
        <v>8</v>
      </c>
      <c r="CN193" s="27" t="s">
        <v>7</v>
      </c>
      <c r="CP193" s="27" t="s">
        <v>7</v>
      </c>
      <c r="CW193" s="31"/>
      <c r="DC193" s="27" t="s">
        <v>8</v>
      </c>
      <c r="DH193" s="27" t="s">
        <v>7</v>
      </c>
      <c r="DI193" s="27" t="s">
        <v>8</v>
      </c>
      <c r="DJ193" s="31" t="s">
        <v>7</v>
      </c>
      <c r="DL193" s="27" t="s">
        <v>7</v>
      </c>
      <c r="DM193" s="27" t="s">
        <v>8</v>
      </c>
      <c r="DN193" s="27" t="s">
        <v>7</v>
      </c>
      <c r="DO193" s="27" t="s">
        <v>8</v>
      </c>
      <c r="DP193" s="27" t="s">
        <v>7</v>
      </c>
      <c r="DQ193" s="27" t="s">
        <v>8</v>
      </c>
      <c r="DR193" s="27" t="s">
        <v>7</v>
      </c>
      <c r="DV193" s="27" t="s">
        <v>7</v>
      </c>
      <c r="EC193" s="27" t="s">
        <v>8</v>
      </c>
      <c r="ED193" s="27" t="s">
        <v>7</v>
      </c>
    </row>
    <row r="194" spans="1:139" x14ac:dyDescent="0.25">
      <c r="A194" s="30">
        <v>9.4342581831674686</v>
      </c>
      <c r="E194" t="s">
        <v>8</v>
      </c>
      <c r="AY194" s="27" t="s">
        <v>8</v>
      </c>
      <c r="AZ194" s="27" t="s">
        <v>7</v>
      </c>
      <c r="BA194" s="27" t="s">
        <v>8</v>
      </c>
      <c r="CL194" s="27" t="s">
        <v>7</v>
      </c>
      <c r="CM194" s="27" t="s">
        <v>8</v>
      </c>
      <c r="CP194" s="27" t="s">
        <v>7</v>
      </c>
      <c r="CQ194" s="27" t="s">
        <v>8</v>
      </c>
      <c r="CW194" s="27" t="s">
        <v>8</v>
      </c>
      <c r="CX194" s="31"/>
      <c r="DA194" s="27" t="s">
        <v>8</v>
      </c>
      <c r="DC194" s="27" t="s">
        <v>8</v>
      </c>
      <c r="DH194" s="27" t="s">
        <v>7</v>
      </c>
      <c r="DI194" s="31"/>
      <c r="DL194" s="27" t="s">
        <v>7</v>
      </c>
      <c r="DM194" s="27" t="s">
        <v>8</v>
      </c>
      <c r="DN194" s="27" t="s">
        <v>7</v>
      </c>
      <c r="DO194" s="27" t="s">
        <v>8</v>
      </c>
      <c r="DP194" s="27" t="s">
        <v>7</v>
      </c>
      <c r="DV194" s="27" t="s">
        <v>7</v>
      </c>
      <c r="EC194" s="27" t="s">
        <v>8</v>
      </c>
      <c r="ED194" s="27" t="s">
        <v>7</v>
      </c>
    </row>
    <row r="195" spans="1:139" x14ac:dyDescent="0.25">
      <c r="A195" s="30">
        <v>8.9850077934928265</v>
      </c>
      <c r="E195" t="s">
        <v>8</v>
      </c>
      <c r="F195" s="27" t="s">
        <v>7</v>
      </c>
      <c r="AY195" s="27" t="s">
        <v>8</v>
      </c>
      <c r="AZ195" s="27" t="s">
        <v>7</v>
      </c>
      <c r="BA195" s="27" t="s">
        <v>8</v>
      </c>
      <c r="CL195" s="27" t="s">
        <v>7</v>
      </c>
      <c r="CM195" s="27" t="s">
        <v>8</v>
      </c>
      <c r="CP195" s="27" t="s">
        <v>7</v>
      </c>
      <c r="CQ195" s="27" t="s">
        <v>8</v>
      </c>
      <c r="CR195" s="27" t="s">
        <v>7</v>
      </c>
      <c r="CW195" s="27" t="s">
        <v>8</v>
      </c>
      <c r="CX195" s="27" t="s">
        <v>7</v>
      </c>
      <c r="CY195" s="31"/>
      <c r="DA195" s="27" t="s">
        <v>8</v>
      </c>
      <c r="DB195" s="27" t="s">
        <v>7</v>
      </c>
      <c r="DC195" s="27" t="s">
        <v>8</v>
      </c>
      <c r="DH195" s="31"/>
      <c r="DL195" s="27" t="s">
        <v>7</v>
      </c>
      <c r="DN195" s="27" t="s">
        <v>7</v>
      </c>
      <c r="DO195" s="27" t="s">
        <v>8</v>
      </c>
      <c r="DV195" s="27" t="s">
        <v>7</v>
      </c>
      <c r="EC195" s="27" t="s">
        <v>8</v>
      </c>
      <c r="ED195" s="27" t="s">
        <v>7</v>
      </c>
    </row>
    <row r="196" spans="1:139" x14ac:dyDescent="0.25">
      <c r="A196" s="30">
        <v>8.5571502795169767</v>
      </c>
      <c r="E196" t="s">
        <v>8</v>
      </c>
      <c r="F196" s="27" t="s">
        <v>7</v>
      </c>
      <c r="AY196" s="27" t="s">
        <v>8</v>
      </c>
      <c r="AZ196" s="27" t="s">
        <v>7</v>
      </c>
      <c r="BA196" s="27" t="s">
        <v>8</v>
      </c>
      <c r="CL196" s="27" t="s">
        <v>7</v>
      </c>
      <c r="CM196" s="27" t="s">
        <v>8</v>
      </c>
      <c r="CP196" s="27" t="s">
        <v>7</v>
      </c>
      <c r="CQ196" s="27" t="s">
        <v>8</v>
      </c>
      <c r="CR196" s="27" t="s">
        <v>7</v>
      </c>
      <c r="CW196" s="27" t="s">
        <v>8</v>
      </c>
      <c r="CX196" s="27" t="s">
        <v>7</v>
      </c>
      <c r="CZ196" s="31"/>
      <c r="DA196" s="27" t="s">
        <v>8</v>
      </c>
      <c r="DB196" s="27" t="s">
        <v>7</v>
      </c>
      <c r="DC196" s="27" t="s">
        <v>8</v>
      </c>
      <c r="DG196" s="31"/>
      <c r="DN196" s="27" t="s">
        <v>7</v>
      </c>
      <c r="DV196" s="27" t="s">
        <v>7</v>
      </c>
      <c r="EC196" s="27" t="s">
        <v>8</v>
      </c>
      <c r="ED196" s="27" t="s">
        <v>7</v>
      </c>
    </row>
    <row r="197" spans="1:139" x14ac:dyDescent="0.25">
      <c r="A197" s="30">
        <v>8.1496669328733109</v>
      </c>
      <c r="E197" t="s">
        <v>8</v>
      </c>
      <c r="F197" s="27" t="s">
        <v>7</v>
      </c>
      <c r="AY197" s="27" t="s">
        <v>8</v>
      </c>
      <c r="AZ197" s="27" t="s">
        <v>7</v>
      </c>
      <c r="BA197" s="27" t="s">
        <v>8</v>
      </c>
      <c r="CL197" s="27" t="s">
        <v>7</v>
      </c>
      <c r="CM197" s="27" t="s">
        <v>8</v>
      </c>
      <c r="CP197" s="27" t="s">
        <v>7</v>
      </c>
      <c r="CQ197" s="27" t="s">
        <v>8</v>
      </c>
      <c r="CR197" s="27" t="s">
        <v>7</v>
      </c>
      <c r="CU197" s="27" t="s">
        <v>8</v>
      </c>
      <c r="CW197" s="27" t="s">
        <v>8</v>
      </c>
      <c r="CX197" s="27" t="s">
        <v>7</v>
      </c>
      <c r="DA197" s="33" t="s">
        <v>8</v>
      </c>
      <c r="DB197" s="27" t="s">
        <v>7</v>
      </c>
      <c r="DF197" s="31"/>
      <c r="DV197" s="27" t="s">
        <v>7</v>
      </c>
      <c r="DW197" s="27" t="s">
        <v>8</v>
      </c>
      <c r="EC197" s="27" t="s">
        <v>8</v>
      </c>
      <c r="ED197" s="27" t="s">
        <v>7</v>
      </c>
    </row>
    <row r="198" spans="1:139" x14ac:dyDescent="0.25">
      <c r="A198" s="30">
        <v>7.7615875551174378</v>
      </c>
      <c r="E198" t="s">
        <v>8</v>
      </c>
      <c r="F198" s="27" t="s">
        <v>7</v>
      </c>
      <c r="AW198" s="27" t="s">
        <v>8</v>
      </c>
      <c r="AY198" s="27" t="s">
        <v>8</v>
      </c>
      <c r="AZ198" s="27" t="s">
        <v>7</v>
      </c>
      <c r="BA198" s="27" t="s">
        <v>8</v>
      </c>
      <c r="CL198" s="27" t="s">
        <v>7</v>
      </c>
      <c r="CM198" s="27" t="s">
        <v>8</v>
      </c>
      <c r="CP198" s="27" t="s">
        <v>7</v>
      </c>
      <c r="CR198" s="27" t="s">
        <v>7</v>
      </c>
      <c r="CU198" s="33" t="s">
        <v>8</v>
      </c>
      <c r="CV198" s="27" t="s">
        <v>7</v>
      </c>
      <c r="CW198" s="27" t="s">
        <v>8</v>
      </c>
      <c r="CX198" s="27" t="s">
        <v>7</v>
      </c>
      <c r="CY198" s="27" t="s">
        <v>8</v>
      </c>
      <c r="DA198" s="27" t="s">
        <v>8</v>
      </c>
      <c r="DE198" s="31"/>
      <c r="DV198" s="27" t="s">
        <v>7</v>
      </c>
      <c r="DW198" s="27" t="s">
        <v>8</v>
      </c>
      <c r="DX198" s="27" t="s">
        <v>7</v>
      </c>
      <c r="EC198" s="27" t="s">
        <v>8</v>
      </c>
      <c r="ED198" s="27" t="s">
        <v>7</v>
      </c>
    </row>
    <row r="199" spans="1:139" x14ac:dyDescent="0.25">
      <c r="A199" s="30">
        <v>7.3919881477308929</v>
      </c>
      <c r="E199" t="s">
        <v>8</v>
      </c>
      <c r="F199" s="27" t="s">
        <v>7</v>
      </c>
      <c r="AW199" s="27" t="s">
        <v>8</v>
      </c>
      <c r="AX199" s="27" t="s">
        <v>7</v>
      </c>
      <c r="AY199" s="27" t="s">
        <v>8</v>
      </c>
      <c r="AZ199" s="27" t="s">
        <v>7</v>
      </c>
      <c r="BA199" s="27" t="s">
        <v>8</v>
      </c>
      <c r="CL199" s="27" t="s">
        <v>7</v>
      </c>
      <c r="CM199" s="27" t="s">
        <v>8</v>
      </c>
      <c r="CR199" s="27" t="s">
        <v>7</v>
      </c>
      <c r="CS199" s="27" t="s">
        <v>8</v>
      </c>
      <c r="CU199" s="27" t="s">
        <v>8</v>
      </c>
      <c r="CV199" s="27" t="s">
        <v>7</v>
      </c>
      <c r="CW199" s="27" t="s">
        <v>8</v>
      </c>
      <c r="CX199" s="27" t="s">
        <v>7</v>
      </c>
      <c r="CY199" s="27" t="s">
        <v>8</v>
      </c>
      <c r="CZ199" s="27" t="s">
        <v>7</v>
      </c>
      <c r="DA199" s="27" t="s">
        <v>8</v>
      </c>
      <c r="DD199" s="31"/>
      <c r="DV199" s="27" t="s">
        <v>7</v>
      </c>
      <c r="DW199" s="27" t="s">
        <v>8</v>
      </c>
      <c r="DX199" s="27" t="s">
        <v>7</v>
      </c>
      <c r="EC199" s="27" t="s">
        <v>8</v>
      </c>
      <c r="ED199" s="27" t="s">
        <v>7</v>
      </c>
      <c r="EE199" s="27" t="s">
        <v>8</v>
      </c>
    </row>
    <row r="200" spans="1:139" x14ac:dyDescent="0.25">
      <c r="A200" s="30">
        <v>7.0399887121246598</v>
      </c>
      <c r="E200" t="s">
        <v>8</v>
      </c>
      <c r="F200" s="27" t="s">
        <v>7</v>
      </c>
      <c r="AW200" s="27" t="s">
        <v>8</v>
      </c>
      <c r="AX200" s="27" t="s">
        <v>7</v>
      </c>
      <c r="AY200" s="27" t="s">
        <v>8</v>
      </c>
      <c r="AZ200" s="27" t="s">
        <v>7</v>
      </c>
      <c r="CL200" s="27" t="s">
        <v>7</v>
      </c>
      <c r="CM200" s="27" t="s">
        <v>8</v>
      </c>
      <c r="CR200" s="27" t="s">
        <v>7</v>
      </c>
      <c r="CS200" s="27" t="s">
        <v>8</v>
      </c>
      <c r="CT200" s="27" t="s">
        <v>7</v>
      </c>
      <c r="CU200" s="27" t="s">
        <v>8</v>
      </c>
      <c r="CV200" s="27" t="s">
        <v>7</v>
      </c>
      <c r="CX200" s="27" t="s">
        <v>7</v>
      </c>
      <c r="CY200" s="27" t="s">
        <v>8</v>
      </c>
      <c r="CZ200" s="27" t="s">
        <v>7</v>
      </c>
      <c r="DA200" s="27" t="s">
        <v>8</v>
      </c>
      <c r="DC200" s="31"/>
      <c r="DV200" s="27" t="s">
        <v>7</v>
      </c>
      <c r="DW200" s="27" t="s">
        <v>8</v>
      </c>
      <c r="DX200" s="27" t="s">
        <v>7</v>
      </c>
      <c r="EC200" s="27" t="s">
        <v>8</v>
      </c>
      <c r="ED200" s="27" t="s">
        <v>7</v>
      </c>
      <c r="EE200" s="27" t="s">
        <v>8</v>
      </c>
      <c r="EF200" s="27" t="s">
        <v>7</v>
      </c>
    </row>
    <row r="201" spans="1:139" x14ac:dyDescent="0.25">
      <c r="A201" s="30">
        <v>6.7047511544044376</v>
      </c>
      <c r="E201" t="s">
        <v>8</v>
      </c>
      <c r="F201" s="27" t="s">
        <v>7</v>
      </c>
      <c r="AW201" s="27" t="s">
        <v>8</v>
      </c>
      <c r="AX201" s="27" t="s">
        <v>7</v>
      </c>
      <c r="AY201" s="27" t="s">
        <v>8</v>
      </c>
      <c r="CL201" s="27" t="s">
        <v>7</v>
      </c>
      <c r="CM201" s="27" t="s">
        <v>8</v>
      </c>
      <c r="CR201" s="27" t="s">
        <v>7</v>
      </c>
      <c r="CS201" s="27" t="s">
        <v>8</v>
      </c>
      <c r="CT201" s="27" t="s">
        <v>7</v>
      </c>
      <c r="CU201" s="27" t="s">
        <v>8</v>
      </c>
      <c r="CX201" s="34" t="s">
        <v>7</v>
      </c>
      <c r="CY201" s="27" t="s">
        <v>8</v>
      </c>
      <c r="CZ201" s="18" t="s">
        <v>7</v>
      </c>
      <c r="DA201" s="27" t="s">
        <v>8</v>
      </c>
      <c r="DB201" s="31"/>
      <c r="DV201" s="27" t="s">
        <v>7</v>
      </c>
      <c r="DX201" s="27" t="s">
        <v>7</v>
      </c>
      <c r="DY201" s="27" t="s">
        <v>8</v>
      </c>
      <c r="EC201" s="27" t="s">
        <v>8</v>
      </c>
      <c r="ED201" s="27" t="s">
        <v>7</v>
      </c>
      <c r="EE201" s="27" t="s">
        <v>8</v>
      </c>
      <c r="EF201" s="27" t="s">
        <v>7</v>
      </c>
    </row>
    <row r="202" spans="1:139" x14ac:dyDescent="0.25">
      <c r="A202" s="30">
        <v>6.3854772899089882</v>
      </c>
      <c r="E202" t="s">
        <v>8</v>
      </c>
      <c r="F202" s="27" t="s">
        <v>7</v>
      </c>
      <c r="AW202" s="27" t="s">
        <v>8</v>
      </c>
      <c r="AX202" s="27" t="s">
        <v>7</v>
      </c>
      <c r="AY202" s="27" t="s">
        <v>8</v>
      </c>
      <c r="CL202" s="27" t="s">
        <v>7</v>
      </c>
      <c r="CR202" s="27" t="s">
        <v>7</v>
      </c>
      <c r="CS202" s="27" t="s">
        <v>8</v>
      </c>
      <c r="CT202" s="27" t="s">
        <v>7</v>
      </c>
      <c r="CU202" s="27" t="s">
        <v>8</v>
      </c>
      <c r="CX202" s="27" t="s">
        <v>7</v>
      </c>
      <c r="CZ202" s="27" t="s">
        <v>7</v>
      </c>
      <c r="DA202" s="31" t="s">
        <v>8</v>
      </c>
      <c r="DX202" s="27" t="s">
        <v>7</v>
      </c>
      <c r="DY202" s="27" t="s">
        <v>8</v>
      </c>
      <c r="DZ202" s="27" t="s">
        <v>7</v>
      </c>
      <c r="EC202" s="27" t="s">
        <v>8</v>
      </c>
      <c r="ED202" s="27" t="s">
        <v>7</v>
      </c>
      <c r="EF202" s="27" t="s">
        <v>7</v>
      </c>
    </row>
    <row r="203" spans="1:139" x14ac:dyDescent="0.25">
      <c r="A203" s="30">
        <v>6.0814069427704647</v>
      </c>
      <c r="C203" s="7"/>
      <c r="D203"/>
      <c r="E203" t="s">
        <v>8</v>
      </c>
      <c r="F203" s="27" t="s">
        <v>7</v>
      </c>
      <c r="AW203" s="27" t="s">
        <v>8</v>
      </c>
      <c r="AX203" s="27" t="s">
        <v>7</v>
      </c>
      <c r="AY203" s="27" t="s">
        <v>8</v>
      </c>
      <c r="CR203" s="32" t="s">
        <v>7</v>
      </c>
      <c r="CT203" s="32" t="s">
        <v>7</v>
      </c>
      <c r="CZ203" s="31" t="s">
        <v>7</v>
      </c>
      <c r="DX203" s="27" t="s">
        <v>7</v>
      </c>
      <c r="DY203" s="27" t="s">
        <v>8</v>
      </c>
      <c r="DZ203" s="27" t="s">
        <v>7</v>
      </c>
      <c r="EA203" s="27" t="s">
        <v>8</v>
      </c>
      <c r="EC203" s="27" t="s">
        <v>8</v>
      </c>
      <c r="EF203" s="27" t="s">
        <v>7</v>
      </c>
    </row>
    <row r="204" spans="1:139" x14ac:dyDescent="0.25">
      <c r="A204" s="30">
        <v>5.7918161359718709</v>
      </c>
      <c r="E204" t="s">
        <v>8</v>
      </c>
      <c r="F204" s="27" t="s">
        <v>7</v>
      </c>
      <c r="AW204" s="27" t="s">
        <v>8</v>
      </c>
      <c r="AX204" s="27" t="s">
        <v>7</v>
      </c>
      <c r="AY204" s="27" t="s">
        <v>8</v>
      </c>
      <c r="DX204" s="27" t="s">
        <v>7</v>
      </c>
      <c r="DY204" s="27" t="s">
        <v>8</v>
      </c>
      <c r="DZ204" s="27" t="s">
        <v>7</v>
      </c>
      <c r="EA204" s="27" t="s">
        <v>8</v>
      </c>
      <c r="EB204" s="27" t="s">
        <v>7</v>
      </c>
      <c r="EC204" s="27" t="s">
        <v>8</v>
      </c>
      <c r="EF204" s="27" t="s">
        <v>7</v>
      </c>
    </row>
    <row r="205" spans="1:139" x14ac:dyDescent="0.25">
      <c r="A205" s="30">
        <v>5.5160153675922574</v>
      </c>
      <c r="E205" t="s">
        <v>8</v>
      </c>
      <c r="F205" s="27" t="s">
        <v>7</v>
      </c>
      <c r="AW205" s="27" t="s">
        <v>8</v>
      </c>
      <c r="AX205" s="27" t="s">
        <v>7</v>
      </c>
      <c r="AY205" s="27" t="s">
        <v>8</v>
      </c>
      <c r="DX205" s="27" t="s">
        <v>7</v>
      </c>
      <c r="DY205" s="27" t="s">
        <v>8</v>
      </c>
      <c r="DZ205" s="27" t="s">
        <v>7</v>
      </c>
      <c r="EA205" s="27" t="s">
        <v>8</v>
      </c>
      <c r="EB205" s="27" t="s">
        <v>7</v>
      </c>
      <c r="EC205" s="27" t="s">
        <v>8</v>
      </c>
      <c r="EF205" s="27" t="s">
        <v>7</v>
      </c>
    </row>
    <row r="206" spans="1:139" x14ac:dyDescent="0.25">
      <c r="A206" s="30">
        <v>5.2533479691354827</v>
      </c>
      <c r="C206"/>
      <c r="D206"/>
      <c r="E206" t="s">
        <v>8</v>
      </c>
      <c r="F206" s="27" t="s">
        <v>7</v>
      </c>
      <c r="AW206" s="27" t="s">
        <v>8</v>
      </c>
      <c r="AX206" s="27" t="s">
        <v>7</v>
      </c>
      <c r="DX206" s="27" t="s">
        <v>7</v>
      </c>
      <c r="DY206" s="27" t="s">
        <v>8</v>
      </c>
      <c r="DZ206" s="27" t="s">
        <v>7</v>
      </c>
      <c r="EA206" s="27" t="s">
        <v>8</v>
      </c>
      <c r="EB206" s="27" t="s">
        <v>7</v>
      </c>
      <c r="EF206" s="27" t="s">
        <v>7</v>
      </c>
    </row>
    <row r="207" spans="1:139" x14ac:dyDescent="0.25">
      <c r="A207" s="30">
        <v>5.0031885420337927</v>
      </c>
      <c r="E207" t="s">
        <v>8</v>
      </c>
      <c r="F207" s="27" t="s">
        <v>7</v>
      </c>
      <c r="AU207" s="27" t="s">
        <v>8</v>
      </c>
      <c r="AW207" s="27" t="s">
        <v>8</v>
      </c>
      <c r="DX207" s="27" t="s">
        <v>7</v>
      </c>
      <c r="DY207" s="27" t="s">
        <v>8</v>
      </c>
      <c r="DZ207" s="27" t="s">
        <v>7</v>
      </c>
      <c r="EF207" s="27" t="s">
        <v>7</v>
      </c>
    </row>
    <row r="208" spans="1:139" x14ac:dyDescent="0.25">
      <c r="A208" s="30">
        <v>4.7649414686036122</v>
      </c>
      <c r="E208" t="s">
        <v>8</v>
      </c>
      <c r="F208" s="27" t="s">
        <v>7</v>
      </c>
      <c r="AU208" s="27" t="s">
        <v>8</v>
      </c>
      <c r="AV208" s="27" t="s">
        <v>7</v>
      </c>
      <c r="AW208" s="27" t="s">
        <v>8</v>
      </c>
      <c r="DX208" s="27" t="s">
        <v>7</v>
      </c>
      <c r="DY208" s="27" t="s">
        <v>8</v>
      </c>
      <c r="EF208" s="27" t="s">
        <v>7</v>
      </c>
      <c r="EG208" s="27" t="s">
        <v>8</v>
      </c>
      <c r="EI208" s="27" t="s">
        <v>8</v>
      </c>
    </row>
    <row r="209" spans="1:140" x14ac:dyDescent="0.25">
      <c r="A209" s="30">
        <v>4.5380394939082018</v>
      </c>
      <c r="E209" t="s">
        <v>8</v>
      </c>
      <c r="F209" s="27" t="s">
        <v>7</v>
      </c>
      <c r="AU209" s="27" t="s">
        <v>8</v>
      </c>
      <c r="AV209" s="27" t="s">
        <v>7</v>
      </c>
      <c r="AW209" s="27" t="s">
        <v>8</v>
      </c>
      <c r="DX209" s="27" t="s">
        <v>7</v>
      </c>
      <c r="EF209" s="27" t="s">
        <v>7</v>
      </c>
      <c r="EG209" s="27" t="s">
        <v>8</v>
      </c>
      <c r="EH209" s="27" t="s">
        <v>7</v>
      </c>
      <c r="EI209" s="27" t="s">
        <v>8</v>
      </c>
      <c r="EJ209" s="27" t="s">
        <v>7</v>
      </c>
    </row>
    <row r="210" spans="1:140" x14ac:dyDescent="0.25">
      <c r="A210" s="30">
        <v>4.3219423751506678</v>
      </c>
      <c r="C210"/>
      <c r="E210" t="s">
        <v>8</v>
      </c>
      <c r="F210" s="27" t="s">
        <v>7</v>
      </c>
      <c r="AS210" s="27" t="s">
        <v>8</v>
      </c>
      <c r="AU210" s="27" t="s">
        <v>8</v>
      </c>
      <c r="AV210" s="27" t="s">
        <v>7</v>
      </c>
      <c r="AW210" s="27" t="s">
        <v>8</v>
      </c>
      <c r="EF210" s="27" t="s">
        <v>7</v>
      </c>
      <c r="EG210" s="27" t="s">
        <v>8</v>
      </c>
      <c r="EH210" s="27" t="s">
        <v>7</v>
      </c>
      <c r="EI210" s="27" t="s">
        <v>8</v>
      </c>
      <c r="EJ210" s="27" t="s">
        <v>7</v>
      </c>
    </row>
    <row r="211" spans="1:140" x14ac:dyDescent="0.25">
      <c r="A211" s="30">
        <v>4.1161355953815884</v>
      </c>
      <c r="E211" t="s">
        <v>8</v>
      </c>
      <c r="F211" s="27" t="s">
        <v>7</v>
      </c>
      <c r="AQ211" s="27" t="s">
        <v>8</v>
      </c>
      <c r="AS211" s="27" t="s">
        <v>8</v>
      </c>
      <c r="AT211" s="27" t="s">
        <v>7</v>
      </c>
      <c r="AU211" s="27" t="s">
        <v>8</v>
      </c>
      <c r="AV211" s="27" t="s">
        <v>7</v>
      </c>
      <c r="AW211" s="27" t="s">
        <v>8</v>
      </c>
      <c r="EF211" s="27" t="s">
        <v>7</v>
      </c>
      <c r="EH211" s="27" t="s">
        <v>7</v>
      </c>
      <c r="EI211" s="27" t="s">
        <v>8</v>
      </c>
      <c r="EJ211" s="27" t="s">
        <v>7</v>
      </c>
    </row>
    <row r="212" spans="1:140" x14ac:dyDescent="0.25">
      <c r="A212" s="30">
        <v>3.9201291384586554</v>
      </c>
      <c r="E212" t="s">
        <v>8</v>
      </c>
      <c r="F212" s="27" t="s">
        <v>7</v>
      </c>
      <c r="AQ212" s="27" t="s">
        <v>8</v>
      </c>
      <c r="AR212" s="27" t="s">
        <v>7</v>
      </c>
      <c r="AS212" s="27" t="s">
        <v>8</v>
      </c>
      <c r="AT212" s="27" t="s">
        <v>7</v>
      </c>
      <c r="AU212" s="27" t="s">
        <v>8</v>
      </c>
      <c r="AV212" s="27" t="s">
        <v>7</v>
      </c>
      <c r="AW212" s="27" t="s">
        <v>8</v>
      </c>
      <c r="EH212" s="27" t="s">
        <v>7</v>
      </c>
    </row>
    <row r="213" spans="1:140" x14ac:dyDescent="0.25">
      <c r="A213" s="30">
        <v>3.7334563223415764</v>
      </c>
      <c r="E213" t="s">
        <v>8</v>
      </c>
      <c r="F213" s="27" t="s">
        <v>7</v>
      </c>
      <c r="AQ213" s="27" t="s">
        <v>8</v>
      </c>
      <c r="AR213" s="27" t="s">
        <v>7</v>
      </c>
      <c r="AS213" s="27" t="s">
        <v>8</v>
      </c>
      <c r="AT213" s="27" t="s">
        <v>7</v>
      </c>
      <c r="AU213" s="27" t="s">
        <v>8</v>
      </c>
      <c r="AV213" s="27" t="s">
        <v>7</v>
      </c>
      <c r="AW213" s="27" t="s">
        <v>8</v>
      </c>
    </row>
    <row r="214" spans="1:140" x14ac:dyDescent="0.25">
      <c r="A214" s="30">
        <v>3.5556726879443583</v>
      </c>
      <c r="E214" t="s">
        <v>8</v>
      </c>
      <c r="F214" s="27" t="s">
        <v>7</v>
      </c>
      <c r="AQ214" s="27" t="s">
        <v>8</v>
      </c>
      <c r="AR214" s="27" t="s">
        <v>7</v>
      </c>
      <c r="AS214" s="27" t="s">
        <v>8</v>
      </c>
      <c r="AT214" s="27" t="s">
        <v>7</v>
      </c>
      <c r="AU214" s="27" t="s">
        <v>8</v>
      </c>
      <c r="AV214" s="27" t="s">
        <v>7</v>
      </c>
      <c r="AW214" s="27" t="s">
        <v>8</v>
      </c>
    </row>
    <row r="215" spans="1:140" x14ac:dyDescent="0.25">
      <c r="A215" s="30">
        <v>3.3863549408993889</v>
      </c>
      <c r="E215" t="s">
        <v>8</v>
      </c>
      <c r="F215" s="27" t="s">
        <v>7</v>
      </c>
      <c r="AQ215" s="27" t="s">
        <v>8</v>
      </c>
      <c r="AR215" s="27" t="s">
        <v>7</v>
      </c>
      <c r="AS215" s="27" t="s">
        <v>8</v>
      </c>
      <c r="AT215" s="27" t="s">
        <v>7</v>
      </c>
      <c r="AV215" s="27" t="s">
        <v>7</v>
      </c>
      <c r="AW215" s="27" t="s">
        <v>8</v>
      </c>
    </row>
    <row r="216" spans="1:140" x14ac:dyDescent="0.25">
      <c r="A216" s="30">
        <v>3.2250999437137038</v>
      </c>
      <c r="E216" t="s">
        <v>8</v>
      </c>
      <c r="F216" s="27" t="s">
        <v>7</v>
      </c>
      <c r="G216" s="27" t="s">
        <v>8</v>
      </c>
      <c r="AQ216" s="27" t="s">
        <v>8</v>
      </c>
      <c r="AR216" s="27" t="s">
        <v>7</v>
      </c>
      <c r="AV216" s="27" t="s">
        <v>7</v>
      </c>
    </row>
    <row r="217" spans="1:140" x14ac:dyDescent="0.25">
      <c r="A217" s="30">
        <v>3.0715237559178128</v>
      </c>
      <c r="E217" t="s">
        <v>8</v>
      </c>
      <c r="F217" s="27" t="s">
        <v>7</v>
      </c>
      <c r="G217" s="27" t="s">
        <v>8</v>
      </c>
      <c r="H217" s="27" t="s">
        <v>7</v>
      </c>
      <c r="I217" s="27" t="s">
        <v>8</v>
      </c>
      <c r="AM217" s="27" t="s">
        <v>8</v>
      </c>
      <c r="AQ217" s="27" t="s">
        <v>8</v>
      </c>
    </row>
    <row r="218" spans="1:140" x14ac:dyDescent="0.25">
      <c r="A218" s="30">
        <v>2.9252607199217264</v>
      </c>
      <c r="E218" t="s">
        <v>8</v>
      </c>
      <c r="F218" s="27" t="s">
        <v>7</v>
      </c>
      <c r="G218" s="27" t="s">
        <v>8</v>
      </c>
      <c r="H218" s="27" t="s">
        <v>7</v>
      </c>
      <c r="I218" s="27" t="s">
        <v>8</v>
      </c>
      <c r="J218" s="27" t="s">
        <v>7</v>
      </c>
      <c r="AM218" s="27" t="s">
        <v>8</v>
      </c>
      <c r="AN218" s="27" t="s">
        <v>7</v>
      </c>
      <c r="AQ218" s="27" t="s">
        <v>8</v>
      </c>
    </row>
    <row r="219" spans="1:140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I219" s="27" t="s">
        <v>8</v>
      </c>
      <c r="J219" s="27" t="s">
        <v>7</v>
      </c>
      <c r="AM219" s="27" t="s">
        <v>8</v>
      </c>
      <c r="AN219" s="27" t="s">
        <v>7</v>
      </c>
      <c r="AO219" s="27" t="s">
        <v>8</v>
      </c>
      <c r="AQ219" s="27" t="s">
        <v>8</v>
      </c>
    </row>
    <row r="220" spans="1:140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H220" s="27" t="s">
        <v>7</v>
      </c>
      <c r="I220" s="27" t="s">
        <v>8</v>
      </c>
      <c r="J220" s="27" t="s">
        <v>7</v>
      </c>
      <c r="K220" s="27" t="s">
        <v>8</v>
      </c>
      <c r="M220" s="27" t="s">
        <v>8</v>
      </c>
      <c r="AM220" s="27" t="s">
        <v>8</v>
      </c>
      <c r="AN220" s="27" t="s">
        <v>7</v>
      </c>
      <c r="AO220" s="27" t="s">
        <v>8</v>
      </c>
      <c r="AP220" s="27" t="s">
        <v>7</v>
      </c>
      <c r="AQ220" s="27" t="s">
        <v>8</v>
      </c>
    </row>
    <row r="221" spans="1:140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H221" s="27" t="s">
        <v>7</v>
      </c>
      <c r="I221" s="27" t="s">
        <v>8</v>
      </c>
      <c r="J221" s="27" t="s">
        <v>7</v>
      </c>
      <c r="K221" s="27" t="s">
        <v>8</v>
      </c>
      <c r="L221" s="27" t="s">
        <v>7</v>
      </c>
      <c r="M221" s="27" t="s">
        <v>8</v>
      </c>
      <c r="N221" s="27" t="s">
        <v>7</v>
      </c>
      <c r="AM221" s="27" t="s">
        <v>8</v>
      </c>
      <c r="AN221" s="27" t="s">
        <v>7</v>
      </c>
      <c r="AO221" s="27" t="s">
        <v>8</v>
      </c>
      <c r="AP221" s="27" t="s">
        <v>7</v>
      </c>
      <c r="AQ221" s="27" t="s">
        <v>8</v>
      </c>
    </row>
    <row r="222" spans="1:140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H222" s="27" t="s">
        <v>7</v>
      </c>
      <c r="I222" s="27" t="s">
        <v>8</v>
      </c>
      <c r="J222" s="27" t="s">
        <v>7</v>
      </c>
      <c r="K222" s="27" t="s">
        <v>8</v>
      </c>
      <c r="L222" s="27" t="s">
        <v>7</v>
      </c>
      <c r="M222" s="27" t="s">
        <v>8</v>
      </c>
      <c r="N222" s="27" t="s">
        <v>7</v>
      </c>
      <c r="AK222" s="27" t="s">
        <v>8</v>
      </c>
      <c r="AM222" s="27" t="s">
        <v>8</v>
      </c>
      <c r="AN222" s="27" t="s">
        <v>7</v>
      </c>
      <c r="AO222" s="27" t="s">
        <v>8</v>
      </c>
      <c r="AP222" s="27" t="s">
        <v>7</v>
      </c>
    </row>
    <row r="223" spans="1:140" x14ac:dyDescent="0.25">
      <c r="A223" s="30">
        <v>2.2920183178010345</v>
      </c>
      <c r="E223" t="s">
        <v>8</v>
      </c>
      <c r="F223" s="27" t="s">
        <v>7</v>
      </c>
      <c r="G223" s="27" t="s">
        <v>8</v>
      </c>
      <c r="H223" s="27" t="s">
        <v>7</v>
      </c>
      <c r="I223" s="27" t="s">
        <v>8</v>
      </c>
      <c r="J223" s="27" t="s">
        <v>7</v>
      </c>
      <c r="K223" s="27" t="s">
        <v>8</v>
      </c>
      <c r="L223" s="27" t="s">
        <v>7</v>
      </c>
      <c r="M223" s="27" t="s">
        <v>8</v>
      </c>
      <c r="N223" s="27" t="s">
        <v>7</v>
      </c>
      <c r="AI223" s="27" t="s">
        <v>8</v>
      </c>
      <c r="AK223" s="27" t="s">
        <v>8</v>
      </c>
      <c r="AL223" s="27" t="s">
        <v>7</v>
      </c>
      <c r="AM223" s="27" t="s">
        <v>8</v>
      </c>
      <c r="AN223" s="27" t="s">
        <v>7</v>
      </c>
      <c r="AO223" s="27" t="s">
        <v>8</v>
      </c>
    </row>
    <row r="224" spans="1:140" x14ac:dyDescent="0.25">
      <c r="A224" s="30">
        <v>2.1828745883819374</v>
      </c>
      <c r="E224" t="s">
        <v>8</v>
      </c>
      <c r="F224" s="27" t="s">
        <v>7</v>
      </c>
      <c r="G224" s="27" t="s">
        <v>8</v>
      </c>
      <c r="H224" s="27" t="s">
        <v>7</v>
      </c>
      <c r="J224" s="27" t="s">
        <v>7</v>
      </c>
      <c r="K224" s="27" t="s">
        <v>8</v>
      </c>
      <c r="L224" s="27" t="s">
        <v>7</v>
      </c>
      <c r="N224" s="27" t="s">
        <v>7</v>
      </c>
      <c r="AI224" s="27" t="s">
        <v>8</v>
      </c>
      <c r="AJ224" s="27" t="s">
        <v>7</v>
      </c>
      <c r="AK224" s="27" t="s">
        <v>8</v>
      </c>
      <c r="AL224" s="27" t="s">
        <v>7</v>
      </c>
      <c r="AM224" s="27" t="s">
        <v>8</v>
      </c>
      <c r="AN224" s="27" t="s">
        <v>7</v>
      </c>
      <c r="AO224" s="27" t="s">
        <v>8</v>
      </c>
    </row>
    <row r="225" spans="1:41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J225" s="27" t="s">
        <v>7</v>
      </c>
      <c r="N225" s="27" t="s">
        <v>7</v>
      </c>
      <c r="AI225" s="27" t="s">
        <v>8</v>
      </c>
      <c r="AJ225" s="27" t="s">
        <v>7</v>
      </c>
      <c r="AK225" s="27" t="s">
        <v>8</v>
      </c>
      <c r="AL225" s="27" t="s">
        <v>7</v>
      </c>
      <c r="AM225" s="27" t="s">
        <v>8</v>
      </c>
      <c r="AN225" s="27" t="s">
        <v>7</v>
      </c>
      <c r="AO225" s="27" t="s">
        <v>8</v>
      </c>
    </row>
    <row r="226" spans="1:41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N226" s="27" t="s">
        <v>7</v>
      </c>
      <c r="AI226" s="27" t="s">
        <v>8</v>
      </c>
      <c r="AJ226" s="27" t="s">
        <v>7</v>
      </c>
      <c r="AK226" s="27" t="s">
        <v>8</v>
      </c>
      <c r="AL226" s="27" t="s">
        <v>7</v>
      </c>
      <c r="AN226" s="27" t="s">
        <v>7</v>
      </c>
      <c r="AO226" s="27" t="s">
        <v>8</v>
      </c>
    </row>
    <row r="227" spans="1:41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N227" s="27" t="s">
        <v>7</v>
      </c>
      <c r="O227" s="27" t="s">
        <v>8</v>
      </c>
      <c r="AI227" s="27" t="s">
        <v>8</v>
      </c>
      <c r="AJ227" s="27" t="s">
        <v>7</v>
      </c>
      <c r="AN227" s="27" t="s">
        <v>7</v>
      </c>
      <c r="AO227" s="27" t="s">
        <v>8</v>
      </c>
    </row>
    <row r="228" spans="1:41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N228" s="27" t="s">
        <v>7</v>
      </c>
      <c r="O228" s="27" t="s">
        <v>8</v>
      </c>
      <c r="P228" s="27" t="s">
        <v>7</v>
      </c>
      <c r="AE228" s="27" t="s">
        <v>8</v>
      </c>
      <c r="AI228" s="27" t="s">
        <v>8</v>
      </c>
      <c r="AN228" s="27" t="s">
        <v>7</v>
      </c>
      <c r="AO228" s="27" t="s">
        <v>8</v>
      </c>
    </row>
    <row r="229" spans="1:41" x14ac:dyDescent="0.25">
      <c r="A229" s="30">
        <v>1.7103393581163142</v>
      </c>
      <c r="E229" t="s">
        <v>8</v>
      </c>
      <c r="F229" s="27" t="s">
        <v>7</v>
      </c>
      <c r="G229" s="27" t="s">
        <v>8</v>
      </c>
      <c r="N229" s="27" t="s">
        <v>7</v>
      </c>
      <c r="O229" s="27" t="s">
        <v>8</v>
      </c>
      <c r="P229" s="27" t="s">
        <v>7</v>
      </c>
      <c r="AE229" s="27" t="s">
        <v>8</v>
      </c>
      <c r="AF229" s="27" t="s">
        <v>7</v>
      </c>
      <c r="AI229" s="27" t="s">
        <v>8</v>
      </c>
      <c r="AN229" s="27" t="s">
        <v>7</v>
      </c>
      <c r="AO229" s="27" t="s">
        <v>8</v>
      </c>
    </row>
    <row r="230" spans="1:41" x14ac:dyDescent="0.25">
      <c r="A230" s="30">
        <v>1.628894626777442</v>
      </c>
      <c r="E230" t="s">
        <v>8</v>
      </c>
      <c r="F230" s="27" t="s">
        <v>7</v>
      </c>
      <c r="G230" s="27" t="s">
        <v>8</v>
      </c>
      <c r="N230" s="27" t="s">
        <v>7</v>
      </c>
      <c r="O230" s="27" t="s">
        <v>8</v>
      </c>
      <c r="P230" s="27" t="s">
        <v>7</v>
      </c>
      <c r="AE230" s="27" t="s">
        <v>8</v>
      </c>
      <c r="AF230" s="27" t="s">
        <v>7</v>
      </c>
      <c r="AG230" s="27" t="s">
        <v>8</v>
      </c>
      <c r="AI230" s="27" t="s">
        <v>8</v>
      </c>
      <c r="AN230" s="27" t="s">
        <v>7</v>
      </c>
      <c r="AO230" s="27" t="s">
        <v>8</v>
      </c>
    </row>
    <row r="231" spans="1:41" x14ac:dyDescent="0.25">
      <c r="A231" s="30">
        <v>1.5513282159785162</v>
      </c>
      <c r="C231"/>
      <c r="D231"/>
      <c r="E231" t="s">
        <v>8</v>
      </c>
      <c r="F231" s="27" t="s">
        <v>7</v>
      </c>
      <c r="G231" s="27" t="s">
        <v>8</v>
      </c>
      <c r="N231" s="27" t="s">
        <v>7</v>
      </c>
      <c r="O231" s="27" t="s">
        <v>8</v>
      </c>
      <c r="P231" s="27" t="s">
        <v>7</v>
      </c>
      <c r="AE231" s="27" t="s">
        <v>8</v>
      </c>
      <c r="AF231" s="27" t="s">
        <v>7</v>
      </c>
      <c r="AG231" s="27" t="s">
        <v>8</v>
      </c>
      <c r="AH231" s="27" t="s">
        <v>7</v>
      </c>
      <c r="AI231" s="27" t="s">
        <v>8</v>
      </c>
      <c r="AN231" s="27" t="s">
        <v>7</v>
      </c>
      <c r="AO231" s="27" t="s">
        <v>8</v>
      </c>
    </row>
    <row r="232" spans="1:41" x14ac:dyDescent="0.25">
      <c r="A232" s="30">
        <v>1.477455443789063</v>
      </c>
      <c r="E232" t="s">
        <v>8</v>
      </c>
      <c r="F232" s="27" t="s">
        <v>7</v>
      </c>
      <c r="G232" s="27" t="s">
        <v>8</v>
      </c>
      <c r="N232" s="27" t="s">
        <v>7</v>
      </c>
      <c r="O232" s="27" t="s">
        <v>8</v>
      </c>
      <c r="P232" s="27" t="s">
        <v>7</v>
      </c>
      <c r="Q232" s="27" t="s">
        <v>8</v>
      </c>
      <c r="AC232" s="27" t="s">
        <v>8</v>
      </c>
      <c r="AE232" s="27" t="s">
        <v>8</v>
      </c>
      <c r="AF232" s="27" t="s">
        <v>7</v>
      </c>
      <c r="AG232" s="27" t="s">
        <v>8</v>
      </c>
      <c r="AH232" s="27" t="s">
        <v>7</v>
      </c>
      <c r="AI232" s="27" t="s">
        <v>8</v>
      </c>
      <c r="AN232" s="27" t="s">
        <v>7</v>
      </c>
      <c r="AO232" s="27" t="s">
        <v>8</v>
      </c>
    </row>
    <row r="233" spans="1:41" x14ac:dyDescent="0.25">
      <c r="A233" s="30">
        <v>1.4071004226562505</v>
      </c>
      <c r="E233" t="s">
        <v>8</v>
      </c>
      <c r="F233" s="27" t="s">
        <v>7</v>
      </c>
      <c r="G233" s="27" t="s">
        <v>8</v>
      </c>
      <c r="N233" s="27" t="s">
        <v>7</v>
      </c>
      <c r="O233" s="27" t="s">
        <v>8</v>
      </c>
      <c r="P233" s="27" t="s">
        <v>7</v>
      </c>
      <c r="Q233" s="27" t="s">
        <v>8</v>
      </c>
      <c r="R233" s="27" t="s">
        <v>7</v>
      </c>
      <c r="AC233" s="27" t="s">
        <v>8</v>
      </c>
      <c r="AD233" s="27" t="s">
        <v>7</v>
      </c>
      <c r="AE233" s="27" t="s">
        <v>8</v>
      </c>
      <c r="AF233" s="27" t="s">
        <v>7</v>
      </c>
      <c r="AH233" s="27" t="s">
        <v>7</v>
      </c>
      <c r="AI233" s="27" t="s">
        <v>8</v>
      </c>
      <c r="AN233" s="27" t="s">
        <v>7</v>
      </c>
      <c r="AO233" s="27" t="s">
        <v>8</v>
      </c>
    </row>
    <row r="234" spans="1:41" x14ac:dyDescent="0.25">
      <c r="A234" s="30">
        <v>1.3400956406250004</v>
      </c>
      <c r="E234" t="s">
        <v>8</v>
      </c>
      <c r="F234" s="27" t="s">
        <v>7</v>
      </c>
      <c r="G234" s="27" t="s">
        <v>8</v>
      </c>
      <c r="N234" s="27" t="s">
        <v>7</v>
      </c>
      <c r="P234" s="27" t="s">
        <v>7</v>
      </c>
      <c r="Q234" s="27" t="s">
        <v>8</v>
      </c>
      <c r="R234" s="27" t="s">
        <v>7</v>
      </c>
      <c r="AC234" s="27" t="s">
        <v>8</v>
      </c>
      <c r="AD234" s="27" t="s">
        <v>7</v>
      </c>
      <c r="AE234" s="27" t="s">
        <v>8</v>
      </c>
      <c r="AH234" s="27" t="s">
        <v>7</v>
      </c>
      <c r="AI234" s="27" t="s">
        <v>8</v>
      </c>
      <c r="AN234" s="27" t="s">
        <v>7</v>
      </c>
      <c r="AO234" s="27" t="s">
        <v>8</v>
      </c>
    </row>
    <row r="235" spans="1:41" x14ac:dyDescent="0.25">
      <c r="A235" s="30">
        <v>1.2762815625000004</v>
      </c>
      <c r="C235"/>
      <c r="E235" t="s">
        <v>8</v>
      </c>
      <c r="F235" s="27" t="s">
        <v>7</v>
      </c>
      <c r="G235" s="27" t="s">
        <v>8</v>
      </c>
      <c r="P235" s="27" t="s">
        <v>7</v>
      </c>
      <c r="Q235" s="27" t="s">
        <v>8</v>
      </c>
      <c r="R235" s="27" t="s">
        <v>7</v>
      </c>
      <c r="AC235" s="27" t="s">
        <v>8</v>
      </c>
      <c r="AD235" s="27" t="s">
        <v>7</v>
      </c>
      <c r="AE235" s="27" t="s">
        <v>8</v>
      </c>
      <c r="AH235" s="27" t="s">
        <v>7</v>
      </c>
      <c r="AI235" s="27" t="s">
        <v>8</v>
      </c>
      <c r="AN235" s="27" t="s">
        <v>7</v>
      </c>
      <c r="AO235" s="27" t="s">
        <v>8</v>
      </c>
    </row>
    <row r="236" spans="1:41" x14ac:dyDescent="0.25">
      <c r="A236" s="30">
        <v>1.2155062500000002</v>
      </c>
      <c r="E236" t="s">
        <v>8</v>
      </c>
      <c r="F236" s="27" t="s">
        <v>7</v>
      </c>
      <c r="G236" s="27" t="s">
        <v>8</v>
      </c>
      <c r="P236" s="27" t="s">
        <v>7</v>
      </c>
      <c r="R236" s="27" t="s">
        <v>7</v>
      </c>
      <c r="AC236" s="27" t="s">
        <v>8</v>
      </c>
      <c r="AD236" s="27" t="s">
        <v>7</v>
      </c>
      <c r="AE236" s="27" t="s">
        <v>8</v>
      </c>
      <c r="AH236" s="27" t="s">
        <v>7</v>
      </c>
      <c r="AI236" s="27" t="s">
        <v>8</v>
      </c>
      <c r="AN236" s="27" t="s">
        <v>7</v>
      </c>
      <c r="AO236" s="27" t="s">
        <v>8</v>
      </c>
    </row>
    <row r="237" spans="1:4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R237" s="27" t="s">
        <v>7</v>
      </c>
      <c r="AC237" s="27" t="s">
        <v>8</v>
      </c>
      <c r="AD237" s="27" t="s">
        <v>7</v>
      </c>
      <c r="AE237" s="27" t="s">
        <v>8</v>
      </c>
      <c r="AH237" s="27" t="s">
        <v>7</v>
      </c>
      <c r="AI237" s="27" t="s">
        <v>8</v>
      </c>
      <c r="AN237" s="27" t="s">
        <v>7</v>
      </c>
      <c r="AO237" s="27" t="s">
        <v>8</v>
      </c>
    </row>
    <row r="238" spans="1:41" x14ac:dyDescent="0.25">
      <c r="A238" s="30">
        <v>1.1025</v>
      </c>
      <c r="E238" t="s">
        <v>8</v>
      </c>
      <c r="R238" s="27" t="s">
        <v>7</v>
      </c>
      <c r="AC238" s="27" t="s">
        <v>8</v>
      </c>
      <c r="AD238" s="27" t="s">
        <v>7</v>
      </c>
      <c r="AH238" s="27" t="s">
        <v>7</v>
      </c>
      <c r="AI238" s="27" t="s">
        <v>8</v>
      </c>
      <c r="AN238" s="27" t="s">
        <v>7</v>
      </c>
    </row>
    <row r="239" spans="1:41" x14ac:dyDescent="0.25">
      <c r="A239" s="30">
        <v>1.05</v>
      </c>
      <c r="E239" t="s">
        <v>8</v>
      </c>
      <c r="R239" s="27" t="s">
        <v>7</v>
      </c>
      <c r="AC239" s="27" t="s">
        <v>8</v>
      </c>
      <c r="AH239" s="27" t="s">
        <v>7</v>
      </c>
      <c r="AI239" s="27" t="s">
        <v>8</v>
      </c>
    </row>
    <row r="240" spans="1:41" x14ac:dyDescent="0.25">
      <c r="A240" s="30">
        <v>1</v>
      </c>
      <c r="E240" s="29" t="s">
        <v>8</v>
      </c>
      <c r="R240" s="27" t="s">
        <v>7</v>
      </c>
      <c r="AC240" s="27" t="s">
        <v>8</v>
      </c>
      <c r="AH240" s="27" t="s">
        <v>7</v>
      </c>
      <c r="AI240" s="27" t="s">
        <v>8</v>
      </c>
    </row>
    <row r="241" spans="1:34" x14ac:dyDescent="0.25">
      <c r="A241" s="30">
        <v>0.952380952380952</v>
      </c>
      <c r="B241"/>
      <c r="C241"/>
      <c r="D241"/>
      <c r="E241"/>
      <c r="R241" s="27" t="s">
        <v>7</v>
      </c>
      <c r="AC241" s="27" t="s">
        <v>8</v>
      </c>
      <c r="AH241" s="27" t="s">
        <v>7</v>
      </c>
    </row>
    <row r="242" spans="1:34" x14ac:dyDescent="0.25">
      <c r="A242" s="30">
        <v>0.90702947845804915</v>
      </c>
      <c r="B242"/>
      <c r="C242"/>
      <c r="D242"/>
      <c r="E242"/>
      <c r="R242" s="27" t="s">
        <v>7</v>
      </c>
      <c r="AC242" s="27" t="s">
        <v>8</v>
      </c>
    </row>
    <row r="243" spans="1:34" x14ac:dyDescent="0.25">
      <c r="A243" s="30">
        <v>0.86383759853147501</v>
      </c>
      <c r="B243"/>
      <c r="C243"/>
      <c r="D243"/>
      <c r="E243"/>
      <c r="R243" s="27" t="s">
        <v>7</v>
      </c>
      <c r="S243" s="27" t="s">
        <v>8</v>
      </c>
      <c r="AC243" s="27" t="s">
        <v>8</v>
      </c>
    </row>
    <row r="244" spans="1:34" x14ac:dyDescent="0.25">
      <c r="A244" s="30">
        <v>0.82270247479188063</v>
      </c>
      <c r="B244"/>
      <c r="C244"/>
      <c r="D244"/>
      <c r="E244"/>
      <c r="R244" s="27" t="s">
        <v>7</v>
      </c>
      <c r="S244" s="27" t="s">
        <v>8</v>
      </c>
      <c r="T244" s="27" t="s">
        <v>7</v>
      </c>
      <c r="AC244" s="27" t="s">
        <v>8</v>
      </c>
    </row>
    <row r="245" spans="1:34" x14ac:dyDescent="0.25">
      <c r="A245" s="30">
        <v>0.78352616646845741</v>
      </c>
      <c r="B245"/>
      <c r="C245"/>
      <c r="D245"/>
      <c r="E245"/>
      <c r="R245" s="27" t="s">
        <v>7</v>
      </c>
      <c r="S245" s="27" t="s">
        <v>8</v>
      </c>
      <c r="T245" s="27" t="s">
        <v>7</v>
      </c>
      <c r="AC245" s="27" t="s">
        <v>8</v>
      </c>
    </row>
    <row r="246" spans="1:34" x14ac:dyDescent="0.25">
      <c r="A246" s="30">
        <v>0.74621539663662584</v>
      </c>
      <c r="B246"/>
      <c r="C246"/>
      <c r="D246"/>
      <c r="E246"/>
      <c r="R246" s="27" t="s">
        <v>7</v>
      </c>
      <c r="S246" s="27" t="s">
        <v>8</v>
      </c>
      <c r="T246" s="27" t="s">
        <v>7</v>
      </c>
      <c r="AA246" s="27" t="s">
        <v>8</v>
      </c>
      <c r="AC246" s="27" t="s">
        <v>8</v>
      </c>
    </row>
    <row r="247" spans="1:34" x14ac:dyDescent="0.25">
      <c r="A247" s="30">
        <v>0.71068133013011958</v>
      </c>
      <c r="B247"/>
      <c r="C247"/>
      <c r="D247"/>
      <c r="E247"/>
      <c r="R247" s="27" t="s">
        <v>7</v>
      </c>
      <c r="S247" s="27" t="s">
        <v>8</v>
      </c>
      <c r="T247" s="27" t="s">
        <v>7</v>
      </c>
      <c r="U247" s="27" t="s">
        <v>8</v>
      </c>
      <c r="W247" s="27" t="s">
        <v>8</v>
      </c>
      <c r="AA247" s="27" t="s">
        <v>8</v>
      </c>
      <c r="AB247" s="27" t="s">
        <v>7</v>
      </c>
      <c r="AC247" s="27" t="s">
        <v>8</v>
      </c>
    </row>
    <row r="248" spans="1:34" x14ac:dyDescent="0.25">
      <c r="A248" s="30">
        <v>0.676839362028685</v>
      </c>
      <c r="B248"/>
      <c r="C248"/>
      <c r="D248"/>
      <c r="E248"/>
      <c r="R248" s="27" t="s">
        <v>7</v>
      </c>
      <c r="S248" s="27" t="s">
        <v>8</v>
      </c>
      <c r="T248" s="27" t="s">
        <v>7</v>
      </c>
      <c r="U248" s="27" t="s">
        <v>8</v>
      </c>
      <c r="V248" s="27" t="s">
        <v>7</v>
      </c>
      <c r="W248" s="27" t="s">
        <v>8</v>
      </c>
      <c r="X248" s="27" t="s">
        <v>7</v>
      </c>
      <c r="Y248" s="27" t="s">
        <v>8</v>
      </c>
      <c r="AA248" s="27" t="s">
        <v>8</v>
      </c>
      <c r="AB248" s="27" t="s">
        <v>7</v>
      </c>
      <c r="AC248" s="27" t="s">
        <v>8</v>
      </c>
    </row>
    <row r="249" spans="1:34" x14ac:dyDescent="0.25">
      <c r="A249" s="30">
        <v>0.64460891621779492</v>
      </c>
      <c r="B249"/>
      <c r="C249"/>
      <c r="D249"/>
      <c r="E249"/>
      <c r="R249" s="27" t="s">
        <v>7</v>
      </c>
      <c r="S249" s="27" t="s">
        <v>8</v>
      </c>
      <c r="T249" s="27" t="s">
        <v>7</v>
      </c>
      <c r="U249" s="27" t="s">
        <v>8</v>
      </c>
      <c r="V249" s="27" t="s">
        <v>7</v>
      </c>
      <c r="W249" s="27" t="s">
        <v>8</v>
      </c>
      <c r="X249" s="27" t="s">
        <v>7</v>
      </c>
      <c r="Y249" s="27" t="s">
        <v>8</v>
      </c>
      <c r="Z249" s="27" t="s">
        <v>7</v>
      </c>
      <c r="AA249" s="27" t="s">
        <v>8</v>
      </c>
      <c r="AB249" s="27" t="s">
        <v>7</v>
      </c>
    </row>
    <row r="250" spans="1:34" x14ac:dyDescent="0.25">
      <c r="A250" s="30">
        <v>0.61391325354075688</v>
      </c>
      <c r="B250"/>
      <c r="C250"/>
      <c r="D250"/>
      <c r="E250"/>
      <c r="R250" s="27" t="s">
        <v>7</v>
      </c>
      <c r="S250" s="27" t="s">
        <v>8</v>
      </c>
      <c r="T250" s="27" t="s">
        <v>7</v>
      </c>
      <c r="V250" s="27" t="s">
        <v>7</v>
      </c>
      <c r="X250" s="27" t="s">
        <v>7</v>
      </c>
      <c r="Y250" s="27" t="s">
        <v>8</v>
      </c>
      <c r="Z250" s="27" t="s">
        <v>7</v>
      </c>
      <c r="AA250" s="27" t="s">
        <v>8</v>
      </c>
    </row>
    <row r="251" spans="1:34" x14ac:dyDescent="0.25">
      <c r="A251" s="30">
        <v>0.58467928908643485</v>
      </c>
      <c r="B251"/>
      <c r="C251"/>
      <c r="D251"/>
      <c r="E251"/>
      <c r="R251" s="27" t="s">
        <v>7</v>
      </c>
      <c r="S251" s="27" t="s">
        <v>8</v>
      </c>
      <c r="X251" s="27" t="s">
        <v>7</v>
      </c>
      <c r="Y251" s="27" t="s">
        <v>8</v>
      </c>
      <c r="Z251" s="27" t="s">
        <v>7</v>
      </c>
    </row>
    <row r="252" spans="1:34" x14ac:dyDescent="0.25">
      <c r="A252" s="30">
        <v>0.55683741817755672</v>
      </c>
      <c r="B252"/>
      <c r="C252"/>
      <c r="D252"/>
      <c r="E252"/>
      <c r="R252" s="27" t="s">
        <v>7</v>
      </c>
      <c r="X252" s="27" t="s">
        <v>7</v>
      </c>
      <c r="Y252" s="27" t="s">
        <v>8</v>
      </c>
    </row>
    <row r="253" spans="1:34" x14ac:dyDescent="0.25">
      <c r="A253" s="30">
        <v>0.53032135064529184</v>
      </c>
      <c r="B253"/>
      <c r="C253"/>
      <c r="D253"/>
      <c r="E253"/>
      <c r="X253" s="27" t="s">
        <v>7</v>
      </c>
      <c r="Y253" s="27" t="s">
        <v>8</v>
      </c>
    </row>
    <row r="254" spans="1:34" x14ac:dyDescent="0.25">
      <c r="A254" s="30">
        <v>0.50506795299551588</v>
      </c>
      <c r="B254"/>
      <c r="C254"/>
      <c r="D254"/>
      <c r="E254"/>
      <c r="X254" s="27" t="s">
        <v>7</v>
      </c>
      <c r="Y254" s="27" t="s">
        <v>8</v>
      </c>
    </row>
    <row r="255" spans="1:34" x14ac:dyDescent="0.25">
      <c r="A255" s="30">
        <v>0.48101709809096732</v>
      </c>
      <c r="E255"/>
      <c r="X255" s="27" t="s">
        <v>7</v>
      </c>
    </row>
    <row r="256" spans="1:34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4" operator="equal">
      <formula>$U$1</formula>
    </cfRule>
    <cfRule type="cellIs" dxfId="67" priority="935" operator="equal">
      <formula>$S$1</formula>
    </cfRule>
  </conditionalFormatting>
  <conditionalFormatting sqref="D136">
    <cfRule type="cellIs" dxfId="66" priority="932" operator="equal">
      <formula>$S$1</formula>
    </cfRule>
    <cfRule type="cellIs" dxfId="65" priority="933" operator="equal">
      <formula>$U$1</formula>
    </cfRule>
  </conditionalFormatting>
  <conditionalFormatting sqref="C162">
    <cfRule type="cellIs" dxfId="64" priority="930" operator="equal">
      <formula>$U$1</formula>
    </cfRule>
    <cfRule type="cellIs" dxfId="63" priority="931" operator="equal">
      <formula>$S$1</formula>
    </cfRule>
  </conditionalFormatting>
  <conditionalFormatting sqref="D162">
    <cfRule type="cellIs" dxfId="62" priority="928" operator="equal">
      <formula>$S$1</formula>
    </cfRule>
    <cfRule type="cellIs" dxfId="61" priority="929" operator="equal">
      <formula>$U$1</formula>
    </cfRule>
  </conditionalFormatting>
  <conditionalFormatting sqref="C187">
    <cfRule type="cellIs" dxfId="60" priority="926" operator="equal">
      <formula>$U$1</formula>
    </cfRule>
    <cfRule type="cellIs" dxfId="59" priority="927" operator="equal">
      <formula>$S$1</formula>
    </cfRule>
  </conditionalFormatting>
  <conditionalFormatting sqref="D187">
    <cfRule type="cellIs" dxfId="58" priority="924" operator="equal">
      <formula>$S$1</formula>
    </cfRule>
    <cfRule type="cellIs" dxfId="57" priority="925" operator="equal">
      <formula>$U$1</formula>
    </cfRule>
  </conditionalFormatting>
  <conditionalFormatting sqref="C212">
    <cfRule type="cellIs" dxfId="56" priority="922" operator="equal">
      <formula>$U$1</formula>
    </cfRule>
    <cfRule type="cellIs" dxfId="55" priority="923" operator="equal">
      <formula>$S$1</formula>
    </cfRule>
  </conditionalFormatting>
  <conditionalFormatting sqref="D212">
    <cfRule type="cellIs" dxfId="54" priority="920" operator="equal">
      <formula>$S$1</formula>
    </cfRule>
    <cfRule type="cellIs" dxfId="53" priority="921" operator="equal">
      <formula>$U$1</formula>
    </cfRule>
  </conditionalFormatting>
  <conditionalFormatting sqref="C237">
    <cfRule type="cellIs" dxfId="52" priority="918" operator="equal">
      <formula>$U$1</formula>
    </cfRule>
    <cfRule type="cellIs" dxfId="51" priority="919" operator="equal">
      <formula>$S$1</formula>
    </cfRule>
  </conditionalFormatting>
  <conditionalFormatting sqref="D237">
    <cfRule type="cellIs" dxfId="50" priority="916" operator="equal">
      <formula>$S$1</formula>
    </cfRule>
    <cfRule type="cellIs" dxfId="49" priority="917" operator="equal">
      <formula>$U$1</formula>
    </cfRule>
  </conditionalFormatting>
  <conditionalFormatting sqref="C106">
    <cfRule type="cellIs" dxfId="48" priority="914" operator="equal">
      <formula>$U$1</formula>
    </cfRule>
    <cfRule type="cellIs" dxfId="47" priority="915" operator="equal">
      <formula>$S$1</formula>
    </cfRule>
  </conditionalFormatting>
  <conditionalFormatting sqref="D106">
    <cfRule type="cellIs" dxfId="46" priority="912" operator="equal">
      <formula>$S$1</formula>
    </cfRule>
    <cfRule type="cellIs" dxfId="45" priority="913" operator="equal">
      <formula>$U$1</formula>
    </cfRule>
  </conditionalFormatting>
  <conditionalFormatting sqref="C81">
    <cfRule type="cellIs" dxfId="44" priority="910" operator="equal">
      <formula>$U$1</formula>
    </cfRule>
    <cfRule type="cellIs" dxfId="43" priority="911" operator="equal">
      <formula>$S$1</formula>
    </cfRule>
  </conditionalFormatting>
  <conditionalFormatting sqref="D81">
    <cfRule type="cellIs" dxfId="42" priority="908" operator="equal">
      <formula>$S$1</formula>
    </cfRule>
    <cfRule type="cellIs" dxfId="41" priority="909" operator="equal">
      <formula>$U$1</formula>
    </cfRule>
  </conditionalFormatting>
  <conditionalFormatting sqref="C56">
    <cfRule type="cellIs" dxfId="40" priority="906" operator="equal">
      <formula>$U$1</formula>
    </cfRule>
    <cfRule type="cellIs" dxfId="39" priority="907" operator="equal">
      <formula>$S$1</formula>
    </cfRule>
  </conditionalFormatting>
  <conditionalFormatting sqref="D56">
    <cfRule type="cellIs" dxfId="38" priority="904" operator="equal">
      <formula>$S$1</formula>
    </cfRule>
    <cfRule type="cellIs" dxfId="37" priority="905" operator="equal">
      <formula>$U$1</formula>
    </cfRule>
  </conditionalFormatting>
  <conditionalFormatting sqref="C31">
    <cfRule type="cellIs" dxfId="36" priority="902" operator="equal">
      <formula>$U$1</formula>
    </cfRule>
    <cfRule type="cellIs" dxfId="35" priority="903" operator="equal">
      <formula>$S$1</formula>
    </cfRule>
  </conditionalFormatting>
  <conditionalFormatting sqref="D31">
    <cfRule type="cellIs" dxfId="34" priority="900" operator="equal">
      <formula>$S$1</formula>
    </cfRule>
    <cfRule type="cellIs" dxfId="33" priority="90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8" zoomScale="90" zoomScaleNormal="90" workbookViewId="0">
      <pane xSplit="4" topLeftCell="G1" activePane="topRight" state="frozen"/>
      <selection activeCell="A109" sqref="A109"/>
      <selection pane="topRight" activeCell="BF107" sqref="BF10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4" x14ac:dyDescent="0.25">
      <c r="A81" s="30">
        <v>45.259255568176073</v>
      </c>
      <c r="E81"/>
    </row>
    <row r="82" spans="1:54" x14ac:dyDescent="0.25">
      <c r="A82" s="30">
        <v>41.144777789250973</v>
      </c>
      <c r="E82"/>
    </row>
    <row r="83" spans="1:54" x14ac:dyDescent="0.25">
      <c r="A83" s="30">
        <v>37.404343444773609</v>
      </c>
      <c r="E83"/>
    </row>
    <row r="84" spans="1:54" x14ac:dyDescent="0.25">
      <c r="A84" s="30">
        <v>34.003948586157826</v>
      </c>
      <c r="E84"/>
    </row>
    <row r="85" spans="1:54" x14ac:dyDescent="0.25">
      <c r="A85" s="30">
        <v>30.912680532870748</v>
      </c>
      <c r="E85"/>
    </row>
    <row r="86" spans="1:54" x14ac:dyDescent="0.25">
      <c r="A86" s="30">
        <v>28.102436848064315</v>
      </c>
      <c r="E86"/>
    </row>
    <row r="87" spans="1:54" x14ac:dyDescent="0.25">
      <c r="A87" s="30">
        <v>25.547669861876649</v>
      </c>
      <c r="E87"/>
    </row>
    <row r="88" spans="1:54" x14ac:dyDescent="0.25">
      <c r="A88" s="30">
        <v>23.225154419887861</v>
      </c>
      <c r="E88"/>
      <c r="AG88" s="27" t="s">
        <v>8</v>
      </c>
    </row>
    <row r="89" spans="1:54" x14ac:dyDescent="0.25">
      <c r="A89" s="30">
        <v>21.113776745352599</v>
      </c>
      <c r="E89"/>
      <c r="AG89" s="35" t="s">
        <v>8</v>
      </c>
      <c r="AH89" s="27" t="s">
        <v>7</v>
      </c>
      <c r="AM89" s="31" t="s">
        <v>8</v>
      </c>
    </row>
    <row r="90" spans="1:54" x14ac:dyDescent="0.25">
      <c r="A90" s="30">
        <v>19.194342495775089</v>
      </c>
      <c r="E90"/>
      <c r="AE90" s="27" t="s">
        <v>8</v>
      </c>
      <c r="AG90" s="27" t="s">
        <v>8</v>
      </c>
      <c r="AH90" s="27" t="s">
        <v>7</v>
      </c>
      <c r="AM90" s="27" t="s">
        <v>8</v>
      </c>
      <c r="AN90" s="31" t="s">
        <v>7</v>
      </c>
    </row>
    <row r="91" spans="1:54" x14ac:dyDescent="0.25">
      <c r="A91" s="30">
        <v>17.449402268886445</v>
      </c>
      <c r="E91"/>
      <c r="AC91" s="27" t="s">
        <v>8</v>
      </c>
      <c r="AE91" s="27" t="s">
        <v>8</v>
      </c>
      <c r="AF91" s="27" t="s">
        <v>7</v>
      </c>
      <c r="AG91" s="27" t="s">
        <v>8</v>
      </c>
      <c r="AH91" s="27" t="s">
        <v>7</v>
      </c>
      <c r="AK91" s="27" t="s">
        <v>8</v>
      </c>
      <c r="AM91" s="27" t="s">
        <v>8</v>
      </c>
      <c r="AN91" s="27" t="s">
        <v>7</v>
      </c>
      <c r="AO91" s="31"/>
    </row>
    <row r="92" spans="1:54" x14ac:dyDescent="0.25">
      <c r="A92" s="30">
        <v>15.863092971714948</v>
      </c>
      <c r="C92" s="1" t="s">
        <v>15</v>
      </c>
      <c r="E92"/>
      <c r="AA92" s="27" t="s">
        <v>8</v>
      </c>
      <c r="AC92" s="27" t="s">
        <v>8</v>
      </c>
      <c r="AD92" s="27" t="s">
        <v>7</v>
      </c>
      <c r="AE92" s="27" t="s">
        <v>8</v>
      </c>
      <c r="AF92" s="27" t="s">
        <v>7</v>
      </c>
      <c r="AG92" s="27" t="s">
        <v>8</v>
      </c>
      <c r="AH92" s="27" t="s">
        <v>7</v>
      </c>
      <c r="AK92" s="33" t="s">
        <v>8</v>
      </c>
      <c r="AL92" s="27" t="s">
        <v>7</v>
      </c>
      <c r="AM92" s="27" t="s">
        <v>8</v>
      </c>
      <c r="AN92" s="27" t="s">
        <v>7</v>
      </c>
      <c r="AO92" s="27" t="s">
        <v>8</v>
      </c>
      <c r="AP92" s="31"/>
      <c r="AY92" s="27" t="s">
        <v>8</v>
      </c>
    </row>
    <row r="93" spans="1:54" x14ac:dyDescent="0.25">
      <c r="A93" s="30">
        <v>14.420993610649951</v>
      </c>
      <c r="C93" s="7">
        <v>0.11167815779424731</v>
      </c>
      <c r="D93"/>
      <c r="E93"/>
      <c r="AA93" s="27" t="s">
        <v>8</v>
      </c>
      <c r="AB93" s="27" t="s">
        <v>7</v>
      </c>
      <c r="AC93" s="27" t="s">
        <v>8</v>
      </c>
      <c r="AD93" s="27" t="s">
        <v>7</v>
      </c>
      <c r="AE93" s="27" t="s">
        <v>8</v>
      </c>
      <c r="AF93" s="27" t="s">
        <v>7</v>
      </c>
      <c r="AG93" s="27" t="s">
        <v>8</v>
      </c>
      <c r="AH93" s="27" t="s">
        <v>7</v>
      </c>
      <c r="AI93" s="27" t="s">
        <v>8</v>
      </c>
      <c r="AK93" s="27" t="s">
        <v>8</v>
      </c>
      <c r="AL93" s="27" t="s">
        <v>7</v>
      </c>
      <c r="AM93" s="27" t="s">
        <v>8</v>
      </c>
      <c r="AN93" s="27" t="s">
        <v>7</v>
      </c>
      <c r="AO93" s="27" t="s">
        <v>8</v>
      </c>
      <c r="AP93" s="27" t="s">
        <v>7</v>
      </c>
      <c r="AQ93" s="31"/>
      <c r="AW93" s="27" t="s">
        <v>8</v>
      </c>
      <c r="AY93" s="27" t="s">
        <v>8</v>
      </c>
      <c r="AZ93" s="27" t="s">
        <v>7</v>
      </c>
    </row>
    <row r="94" spans="1:54" x14ac:dyDescent="0.25">
      <c r="A94" s="30">
        <v>13.109994191499954</v>
      </c>
      <c r="E94"/>
      <c r="AA94" s="27" t="s">
        <v>8</v>
      </c>
      <c r="AB94" s="27" t="s">
        <v>7</v>
      </c>
      <c r="AC94" s="27" t="s">
        <v>8</v>
      </c>
      <c r="AD94" s="27" t="s">
        <v>7</v>
      </c>
      <c r="AF94" s="27" t="s">
        <v>7</v>
      </c>
      <c r="AG94" s="27" t="s">
        <v>8</v>
      </c>
      <c r="AH94" s="27" t="s">
        <v>7</v>
      </c>
      <c r="AI94" s="27" t="s">
        <v>8</v>
      </c>
      <c r="AJ94" s="27" t="s">
        <v>7</v>
      </c>
      <c r="AK94" s="27" t="s">
        <v>8</v>
      </c>
      <c r="AL94" s="27" t="s">
        <v>7</v>
      </c>
      <c r="AN94" s="27" t="s">
        <v>7</v>
      </c>
      <c r="AO94" s="27" t="s">
        <v>8</v>
      </c>
      <c r="AP94" s="27" t="s">
        <v>7</v>
      </c>
      <c r="AQ94" s="32" t="s">
        <v>8</v>
      </c>
      <c r="AR94" s="31"/>
      <c r="AS94" s="32" t="s">
        <v>8</v>
      </c>
      <c r="AW94" s="27" t="s">
        <v>8</v>
      </c>
      <c r="AX94" s="27" t="s">
        <v>7</v>
      </c>
      <c r="AY94" s="27" t="s">
        <v>8</v>
      </c>
      <c r="AZ94" s="27" t="s">
        <v>7</v>
      </c>
      <c r="BA94" s="27" t="s">
        <v>8</v>
      </c>
    </row>
    <row r="95" spans="1:54" x14ac:dyDescent="0.25">
      <c r="A95" s="30">
        <v>11.918176537727231</v>
      </c>
      <c r="C95" s="1" t="s">
        <v>11</v>
      </c>
      <c r="D95" s="1" t="s">
        <v>12</v>
      </c>
      <c r="E95"/>
      <c r="AA95" s="27" t="s">
        <v>8</v>
      </c>
      <c r="AB95" s="27" t="s">
        <v>7</v>
      </c>
      <c r="AF95" s="36" t="s">
        <v>7</v>
      </c>
      <c r="AH95" s="27" t="s">
        <v>7</v>
      </c>
      <c r="AI95" s="27" t="s">
        <v>8</v>
      </c>
      <c r="AJ95" s="27" t="s">
        <v>7</v>
      </c>
      <c r="AK95" s="27" t="s">
        <v>8</v>
      </c>
      <c r="AN95" s="34" t="s">
        <v>7</v>
      </c>
      <c r="AO95" s="27" t="s">
        <v>8</v>
      </c>
      <c r="AP95" s="27" t="s">
        <v>7</v>
      </c>
      <c r="AQ95" s="27" t="s">
        <v>8</v>
      </c>
      <c r="AR95" s="27" t="s">
        <v>7</v>
      </c>
      <c r="AS95" s="31" t="s">
        <v>8</v>
      </c>
      <c r="AT95" s="31" t="s">
        <v>7</v>
      </c>
      <c r="AW95" s="27" t="s">
        <v>8</v>
      </c>
      <c r="AX95" s="27" t="s">
        <v>7</v>
      </c>
      <c r="AY95" s="27" t="s">
        <v>8</v>
      </c>
      <c r="AZ95" s="27" t="s">
        <v>7</v>
      </c>
      <c r="BA95" s="27" t="s">
        <v>8</v>
      </c>
      <c r="BB95" s="27" t="s">
        <v>7</v>
      </c>
    </row>
    <row r="96" spans="1:54" x14ac:dyDescent="0.25">
      <c r="A96" s="30">
        <v>10.834705943388391</v>
      </c>
      <c r="C96"/>
      <c r="D96"/>
      <c r="E96"/>
      <c r="AA96" s="27" t="s">
        <v>8</v>
      </c>
      <c r="AH96" s="34" t="s">
        <v>7</v>
      </c>
      <c r="AJ96" s="32" t="s">
        <v>7</v>
      </c>
      <c r="AN96" s="27" t="s">
        <v>7</v>
      </c>
      <c r="AP96" s="27" t="s">
        <v>7</v>
      </c>
      <c r="AQ96" s="27" t="s">
        <v>8</v>
      </c>
      <c r="AR96" s="27" t="s">
        <v>7</v>
      </c>
      <c r="AS96" s="27" t="s">
        <v>8</v>
      </c>
      <c r="AT96" s="27" t="s">
        <v>7</v>
      </c>
      <c r="AU96" s="31"/>
      <c r="AW96" s="27" t="s">
        <v>8</v>
      </c>
      <c r="AX96" s="27" t="s">
        <v>7</v>
      </c>
      <c r="AY96" s="27" t="s">
        <v>8</v>
      </c>
      <c r="AZ96" s="27" t="s">
        <v>7</v>
      </c>
      <c r="BA96" s="27" t="s">
        <v>8</v>
      </c>
      <c r="BB96" s="27" t="s">
        <v>7</v>
      </c>
    </row>
    <row r="97" spans="1:58" x14ac:dyDescent="0.25">
      <c r="A97" s="30">
        <v>9.849732675807628</v>
      </c>
      <c r="E97"/>
      <c r="Y97" s="27" t="s">
        <v>8</v>
      </c>
      <c r="AA97" s="27" t="s">
        <v>8</v>
      </c>
      <c r="AP97" s="27" t="s">
        <v>7</v>
      </c>
      <c r="AQ97" s="27" t="s">
        <v>8</v>
      </c>
      <c r="AR97" s="27" t="s">
        <v>7</v>
      </c>
      <c r="AT97" s="31" t="s">
        <v>7</v>
      </c>
      <c r="AV97" s="31"/>
      <c r="AW97" s="33" t="s">
        <v>8</v>
      </c>
      <c r="AX97" s="27" t="s">
        <v>7</v>
      </c>
      <c r="AZ97" s="27" t="s">
        <v>7</v>
      </c>
      <c r="BA97" s="27" t="s">
        <v>8</v>
      </c>
      <c r="BB97" s="27" t="s">
        <v>7</v>
      </c>
      <c r="BE97" s="27" t="s">
        <v>8</v>
      </c>
    </row>
    <row r="98" spans="1:58" x14ac:dyDescent="0.25">
      <c r="A98" s="30">
        <v>8.9543024325523888</v>
      </c>
      <c r="C98" s="1" t="s">
        <v>13</v>
      </c>
      <c r="E98" t="s">
        <v>8</v>
      </c>
      <c r="Y98" s="27" t="s">
        <v>8</v>
      </c>
      <c r="Z98" s="27" t="s">
        <v>7</v>
      </c>
      <c r="AA98" s="27" t="s">
        <v>8</v>
      </c>
      <c r="AP98" s="27" t="s">
        <v>7</v>
      </c>
      <c r="AQ98" s="27" t="s">
        <v>8</v>
      </c>
      <c r="AS98" s="31"/>
      <c r="AT98" s="27" t="s">
        <v>7</v>
      </c>
      <c r="AU98" s="27" t="s">
        <v>8</v>
      </c>
      <c r="AW98" s="31" t="s">
        <v>8</v>
      </c>
      <c r="AZ98" s="27" t="s">
        <v>7</v>
      </c>
      <c r="BB98" s="27" t="s">
        <v>7</v>
      </c>
      <c r="BE98" s="27" t="s">
        <v>8</v>
      </c>
      <c r="BF98" s="27" t="s">
        <v>7</v>
      </c>
    </row>
    <row r="99" spans="1:58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Y99" s="27" t="s">
        <v>8</v>
      </c>
      <c r="Z99" s="27" t="s">
        <v>7</v>
      </c>
      <c r="AA99" s="27" t="s">
        <v>8</v>
      </c>
      <c r="AP99" s="27" t="s">
        <v>7</v>
      </c>
      <c r="AQ99" s="27" t="s">
        <v>8</v>
      </c>
      <c r="AR99" s="31"/>
      <c r="AT99" s="27" t="s">
        <v>7</v>
      </c>
      <c r="AU99" s="27" t="s">
        <v>8</v>
      </c>
      <c r="AV99" s="27" t="s">
        <v>7</v>
      </c>
      <c r="AW99" s="27" t="s">
        <v>8</v>
      </c>
      <c r="BB99" s="27" t="s">
        <v>7</v>
      </c>
      <c r="BE99" s="27" t="s">
        <v>8</v>
      </c>
      <c r="BF99" s="27" t="s">
        <v>7</v>
      </c>
    </row>
    <row r="100" spans="1:58" x14ac:dyDescent="0.25">
      <c r="A100" s="30">
        <v>7.4002499442581717</v>
      </c>
      <c r="C100"/>
      <c r="D100"/>
      <c r="E100" t="s">
        <v>8</v>
      </c>
      <c r="F100" s="27" t="s">
        <v>7</v>
      </c>
      <c r="W100" s="27" t="s">
        <v>8</v>
      </c>
      <c r="Y100" s="27" t="s">
        <v>8</v>
      </c>
      <c r="Z100" s="27" t="s">
        <v>7</v>
      </c>
      <c r="AP100" s="31" t="s">
        <v>7</v>
      </c>
      <c r="AQ100" s="31" t="s">
        <v>8</v>
      </c>
      <c r="AT100" s="27" t="s">
        <v>7</v>
      </c>
      <c r="AU100" s="27" t="s">
        <v>8</v>
      </c>
      <c r="AV100" s="27" t="s">
        <v>7</v>
      </c>
      <c r="AW100" s="27" t="s">
        <v>8</v>
      </c>
      <c r="BB100" s="27" t="s">
        <v>7</v>
      </c>
      <c r="BE100" s="27" t="s">
        <v>8</v>
      </c>
      <c r="BF100" s="27" t="s">
        <v>7</v>
      </c>
    </row>
    <row r="101" spans="1:58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W101" s="27" t="s">
        <v>8</v>
      </c>
      <c r="X101" s="27" t="s">
        <v>7</v>
      </c>
      <c r="Y101" s="27" t="s">
        <v>8</v>
      </c>
      <c r="AO101" s="31"/>
      <c r="AP101" s="27" t="s">
        <v>7</v>
      </c>
      <c r="AT101" s="27" t="s">
        <v>7</v>
      </c>
      <c r="AU101" s="27" t="s">
        <v>8</v>
      </c>
      <c r="AV101" s="18" t="s">
        <v>7</v>
      </c>
      <c r="AW101" s="27" t="s">
        <v>8</v>
      </c>
      <c r="BB101" s="27" t="s">
        <v>7</v>
      </c>
      <c r="BC101" s="27" t="s">
        <v>8</v>
      </c>
      <c r="BE101" s="27" t="s">
        <v>8</v>
      </c>
      <c r="BF101" s="27" t="s">
        <v>7</v>
      </c>
    </row>
    <row r="102" spans="1:5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W102" s="27" t="s">
        <v>8</v>
      </c>
      <c r="X102" s="27" t="s">
        <v>7</v>
      </c>
      <c r="Y102" s="27" t="s">
        <v>8</v>
      </c>
      <c r="AN102" s="31"/>
      <c r="AT102" s="32" t="s">
        <v>7</v>
      </c>
      <c r="AV102" s="32" t="s">
        <v>7</v>
      </c>
      <c r="BB102" s="27" t="s">
        <v>7</v>
      </c>
      <c r="BC102" s="27" t="s">
        <v>8</v>
      </c>
      <c r="BD102" s="27" t="s">
        <v>7</v>
      </c>
      <c r="BE102" s="27" t="s">
        <v>8</v>
      </c>
      <c r="BF102" s="27" t="s">
        <v>7</v>
      </c>
    </row>
    <row r="103" spans="1:58" x14ac:dyDescent="0.25">
      <c r="A103" s="30">
        <v>5.5599173134922388</v>
      </c>
      <c r="E103" t="s">
        <v>8</v>
      </c>
      <c r="F103" s="27" t="s">
        <v>7</v>
      </c>
      <c r="W103" s="27" t="s">
        <v>8</v>
      </c>
      <c r="X103" s="27" t="s">
        <v>7</v>
      </c>
      <c r="AM103" s="31"/>
      <c r="BB103" s="27" t="s">
        <v>7</v>
      </c>
      <c r="BC103" s="27" t="s">
        <v>8</v>
      </c>
      <c r="BD103" s="27" t="s">
        <v>7</v>
      </c>
      <c r="BE103" s="27" t="s">
        <v>8</v>
      </c>
      <c r="BF103" s="27" t="s">
        <v>7</v>
      </c>
    </row>
    <row r="104" spans="1:58" x14ac:dyDescent="0.25">
      <c r="A104" s="30">
        <v>5.0544702849929442</v>
      </c>
      <c r="E104" t="s">
        <v>8</v>
      </c>
      <c r="F104" s="27" t="s">
        <v>7</v>
      </c>
      <c r="W104" s="27" t="s">
        <v>8</v>
      </c>
      <c r="AL104" s="31"/>
      <c r="BB104" s="27" t="s">
        <v>7</v>
      </c>
      <c r="BC104" s="27" t="s">
        <v>8</v>
      </c>
      <c r="BD104" s="27" t="s">
        <v>7</v>
      </c>
      <c r="BF104" s="27" t="s">
        <v>7</v>
      </c>
    </row>
    <row r="105" spans="1:58" x14ac:dyDescent="0.25">
      <c r="A105" s="30">
        <v>4.594972986357222</v>
      </c>
      <c r="E105" t="s">
        <v>8</v>
      </c>
      <c r="F105" s="27" t="s">
        <v>7</v>
      </c>
      <c r="U105" s="27" t="s">
        <v>8</v>
      </c>
      <c r="W105" s="27" t="s">
        <v>8</v>
      </c>
      <c r="AK105" s="31"/>
      <c r="BB105" s="27" t="s">
        <v>7</v>
      </c>
      <c r="BF105" s="27" t="s">
        <v>7</v>
      </c>
    </row>
    <row r="106" spans="1:58" x14ac:dyDescent="0.25">
      <c r="A106" s="30">
        <v>4.1772481694156562</v>
      </c>
      <c r="E106" t="s">
        <v>8</v>
      </c>
      <c r="F106" s="27" t="s">
        <v>7</v>
      </c>
      <c r="U106" s="27" t="s">
        <v>8</v>
      </c>
      <c r="V106" s="27" t="s">
        <v>7</v>
      </c>
      <c r="W106" s="27" t="s">
        <v>8</v>
      </c>
      <c r="AJ106" s="31"/>
      <c r="BF106" s="27" t="s">
        <v>7</v>
      </c>
    </row>
    <row r="107" spans="1:58" x14ac:dyDescent="0.25">
      <c r="A107" s="30">
        <v>3.7974983358324148</v>
      </c>
      <c r="E107" t="s">
        <v>8</v>
      </c>
      <c r="F107" s="27" t="s">
        <v>7</v>
      </c>
      <c r="U107" s="27" t="s">
        <v>8</v>
      </c>
      <c r="V107" s="27" t="s">
        <v>7</v>
      </c>
      <c r="W107" s="27" t="s">
        <v>8</v>
      </c>
      <c r="AI107" s="31"/>
      <c r="BF107" s="27" t="s">
        <v>7</v>
      </c>
    </row>
    <row r="108" spans="1:58" x14ac:dyDescent="0.25">
      <c r="A108" s="30">
        <v>3.4522712143931042</v>
      </c>
      <c r="E108" t="s">
        <v>8</v>
      </c>
      <c r="F108" s="27" t="s">
        <v>7</v>
      </c>
      <c r="U108" s="27" t="s">
        <v>8</v>
      </c>
      <c r="V108" s="27" t="s">
        <v>7</v>
      </c>
      <c r="AH108" s="31"/>
    </row>
    <row r="109" spans="1:58" x14ac:dyDescent="0.25">
      <c r="A109" s="30">
        <v>3.1384283767210035</v>
      </c>
      <c r="E109" t="s">
        <v>8</v>
      </c>
      <c r="F109" s="27" t="s">
        <v>7</v>
      </c>
      <c r="G109" s="32" t="s">
        <v>8</v>
      </c>
      <c r="I109" s="32" t="s">
        <v>8</v>
      </c>
      <c r="U109" s="27" t="s">
        <v>8</v>
      </c>
      <c r="AG109" s="31"/>
    </row>
    <row r="110" spans="1:58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I110" s="27" t="s">
        <v>8</v>
      </c>
      <c r="J110" s="27" t="s">
        <v>7</v>
      </c>
      <c r="S110" s="27" t="s">
        <v>8</v>
      </c>
      <c r="U110" s="27" t="s">
        <v>8</v>
      </c>
      <c r="AF110" s="31"/>
    </row>
    <row r="111" spans="1:58" x14ac:dyDescent="0.25">
      <c r="A111" s="30">
        <v>2.5937424601000023</v>
      </c>
      <c r="C111" s="1" t="str">
        <f>ADDRESS(C121-1,1,1,1)</f>
        <v>$A$106</v>
      </c>
      <c r="D111" s="1" t="str">
        <f>ADDRESS(C121-1,D121,1,1)</f>
        <v>$BF$106</v>
      </c>
      <c r="E111" t="s">
        <v>8</v>
      </c>
      <c r="F111" s="27" t="s">
        <v>7</v>
      </c>
      <c r="G111" s="27" t="s">
        <v>8</v>
      </c>
      <c r="H111" s="27" t="s">
        <v>7</v>
      </c>
      <c r="I111" s="27" t="s">
        <v>8</v>
      </c>
      <c r="J111" s="27" t="s">
        <v>7</v>
      </c>
      <c r="S111" s="27" t="s">
        <v>8</v>
      </c>
      <c r="T111" s="27" t="s">
        <v>7</v>
      </c>
      <c r="U111" s="27" t="s">
        <v>8</v>
      </c>
      <c r="AE111" s="31"/>
    </row>
    <row r="112" spans="1:58" x14ac:dyDescent="0.25">
      <c r="A112" s="30">
        <v>2.3579476910000019</v>
      </c>
      <c r="C112" s="1" t="str">
        <f>ADDRESS(C121,1,1,1)</f>
        <v>$A$107</v>
      </c>
      <c r="D112" s="1" t="str">
        <f>ADDRESS(C121,D121-1,1,1)</f>
        <v>$BE$107</v>
      </c>
      <c r="E112" t="s">
        <v>8</v>
      </c>
      <c r="F112" s="27" t="s">
        <v>7</v>
      </c>
      <c r="G112" s="27" t="s">
        <v>8</v>
      </c>
      <c r="H112" s="27" t="s">
        <v>7</v>
      </c>
      <c r="J112" s="27" t="s">
        <v>7</v>
      </c>
      <c r="S112" s="27" t="s">
        <v>8</v>
      </c>
      <c r="T112" s="27" t="s">
        <v>7</v>
      </c>
      <c r="U112" s="27" t="s">
        <v>8</v>
      </c>
      <c r="AD112" s="31"/>
    </row>
    <row r="113" spans="1:29" x14ac:dyDescent="0.25">
      <c r="A113" s="30">
        <v>2.1435888100000016</v>
      </c>
      <c r="C113" s="1" t="str">
        <f>ADDRESS(C121+1,1,1,1)</f>
        <v>$A$108</v>
      </c>
      <c r="D113" s="1" t="str">
        <f>ADDRESS(C121-1,D121+1,1,1)</f>
        <v>$BG$106</v>
      </c>
      <c r="E113" s="1" t="s">
        <v>8</v>
      </c>
      <c r="F113" s="27" t="s">
        <v>7</v>
      </c>
      <c r="G113" s="27" t="s">
        <v>8</v>
      </c>
      <c r="J113" s="27" t="s">
        <v>7</v>
      </c>
      <c r="S113" s="27" t="s">
        <v>8</v>
      </c>
      <c r="T113" s="27" t="s">
        <v>7</v>
      </c>
      <c r="U113" s="27" t="s">
        <v>8</v>
      </c>
      <c r="AC113" s="31"/>
    </row>
    <row r="114" spans="1:29" x14ac:dyDescent="0.25">
      <c r="A114" s="30">
        <v>1.9487171000000014</v>
      </c>
      <c r="C114" s="1" t="str">
        <f>ADDRESS(C121,D121,1,1)</f>
        <v>$BF$107</v>
      </c>
      <c r="D114" s="1" t="str">
        <f>ADDRESS(C121+1,D121+1,1,1)</f>
        <v>$BG$108</v>
      </c>
      <c r="E114" s="1" t="s">
        <v>8</v>
      </c>
      <c r="F114" s="27" t="s">
        <v>7</v>
      </c>
      <c r="G114" s="27" t="s">
        <v>8</v>
      </c>
      <c r="J114" s="27" t="s">
        <v>7</v>
      </c>
      <c r="S114" s="33" t="s">
        <v>8</v>
      </c>
      <c r="T114" s="27" t="s">
        <v>7</v>
      </c>
      <c r="U114" s="27" t="s">
        <v>8</v>
      </c>
      <c r="AB114" s="31"/>
    </row>
    <row r="115" spans="1:29" x14ac:dyDescent="0.25">
      <c r="A115" s="30">
        <v>1.7715610000000011</v>
      </c>
      <c r="C115" s="1" t="str">
        <f>ADDRESS(C121+1,D121,1,1)</f>
        <v>$BF$108</v>
      </c>
      <c r="E115" s="1" t="s">
        <v>8</v>
      </c>
      <c r="F115" s="27" t="s">
        <v>7</v>
      </c>
      <c r="G115" s="27" t="s">
        <v>8</v>
      </c>
      <c r="J115" s="27" t="s">
        <v>7</v>
      </c>
      <c r="K115" s="27" t="s">
        <v>8</v>
      </c>
      <c r="Q115" s="27" t="s">
        <v>8</v>
      </c>
      <c r="S115" s="27" t="s">
        <v>8</v>
      </c>
      <c r="T115" s="27" t="s">
        <v>7</v>
      </c>
      <c r="U115" s="27" t="s">
        <v>8</v>
      </c>
      <c r="AA115" s="31"/>
    </row>
    <row r="116" spans="1:29" x14ac:dyDescent="0.25">
      <c r="A116" s="30">
        <v>1.6105100000000008</v>
      </c>
      <c r="C116" s="1">
        <f>C117-1</f>
        <v>106</v>
      </c>
      <c r="E116" s="1" t="s">
        <v>8</v>
      </c>
      <c r="F116" s="27" t="s">
        <v>7</v>
      </c>
      <c r="G116" s="27" t="s">
        <v>8</v>
      </c>
      <c r="J116" s="27" t="s">
        <v>7</v>
      </c>
      <c r="K116" s="27" t="s">
        <v>8</v>
      </c>
      <c r="L116" s="27" t="s">
        <v>7</v>
      </c>
      <c r="Q116" s="27" t="s">
        <v>8</v>
      </c>
      <c r="R116" s="27" t="s">
        <v>7</v>
      </c>
      <c r="S116" s="27" t="s">
        <v>8</v>
      </c>
      <c r="T116" s="27" t="s">
        <v>7</v>
      </c>
      <c r="U116" s="27" t="s">
        <v>8</v>
      </c>
      <c r="Z116" s="31"/>
    </row>
    <row r="117" spans="1:29" x14ac:dyDescent="0.25">
      <c r="A117" s="30">
        <v>1.4641000000000006</v>
      </c>
      <c r="C117" s="1">
        <f>C121</f>
        <v>107</v>
      </c>
      <c r="D117" s="1">
        <f>D121</f>
        <v>58</v>
      </c>
      <c r="E117" s="1" t="s">
        <v>8</v>
      </c>
      <c r="F117" s="27" t="s">
        <v>7</v>
      </c>
      <c r="G117" s="27" t="s">
        <v>8</v>
      </c>
      <c r="J117" s="27" t="s">
        <v>7</v>
      </c>
      <c r="K117" s="27" t="s">
        <v>8</v>
      </c>
      <c r="L117" s="27" t="s">
        <v>7</v>
      </c>
      <c r="O117" s="27" t="s">
        <v>8</v>
      </c>
      <c r="Q117" s="27" t="s">
        <v>8</v>
      </c>
      <c r="R117" s="27" t="s">
        <v>7</v>
      </c>
      <c r="S117" s="27" t="s">
        <v>8</v>
      </c>
      <c r="T117" s="27" t="s">
        <v>7</v>
      </c>
      <c r="U117" s="27" t="s">
        <v>8</v>
      </c>
      <c r="Y117" s="31"/>
    </row>
    <row r="118" spans="1:29" x14ac:dyDescent="0.25">
      <c r="A118" s="30">
        <v>1.3310000000000004</v>
      </c>
      <c r="C118" s="1">
        <f>C117+1</f>
        <v>108</v>
      </c>
      <c r="D118" s="1">
        <f>D117+1</f>
        <v>59</v>
      </c>
      <c r="E118" s="1" t="s">
        <v>8</v>
      </c>
      <c r="F118" s="27" t="s">
        <v>7</v>
      </c>
      <c r="G118" s="27" t="s">
        <v>8</v>
      </c>
      <c r="J118" s="27" t="s">
        <v>7</v>
      </c>
      <c r="L118" s="27" t="s">
        <v>7</v>
      </c>
      <c r="O118" s="27" t="s">
        <v>8</v>
      </c>
      <c r="P118" s="27" t="s">
        <v>7</v>
      </c>
      <c r="Q118" s="27" t="s">
        <v>8</v>
      </c>
      <c r="R118" s="27" t="s">
        <v>7</v>
      </c>
      <c r="S118" s="27" t="s">
        <v>8</v>
      </c>
      <c r="T118" s="27" t="s">
        <v>7</v>
      </c>
      <c r="U118" s="27" t="s">
        <v>8</v>
      </c>
      <c r="X118" s="31"/>
    </row>
    <row r="119" spans="1:29" x14ac:dyDescent="0.25">
      <c r="A119" s="30">
        <v>1.2100000000000002</v>
      </c>
      <c r="E119" s="1" t="s">
        <v>8</v>
      </c>
      <c r="F119" s="27" t="s">
        <v>7</v>
      </c>
      <c r="L119" s="27" t="s">
        <v>7</v>
      </c>
      <c r="O119" s="27" t="s">
        <v>8</v>
      </c>
      <c r="P119" s="27" t="s">
        <v>7</v>
      </c>
      <c r="Q119" s="27" t="s">
        <v>8</v>
      </c>
      <c r="R119" s="27" t="s">
        <v>7</v>
      </c>
      <c r="S119" s="27" t="s">
        <v>8</v>
      </c>
      <c r="T119" s="27" t="s">
        <v>7</v>
      </c>
      <c r="W119" s="31"/>
    </row>
    <row r="120" spans="1:29" x14ac:dyDescent="0.25">
      <c r="A120" s="30">
        <v>1.1000000000000001</v>
      </c>
      <c r="C120" s="1" t="s">
        <v>9</v>
      </c>
      <c r="E120" s="1" t="s">
        <v>8</v>
      </c>
      <c r="L120" s="27" t="s">
        <v>7</v>
      </c>
      <c r="O120" s="27" t="s">
        <v>8</v>
      </c>
      <c r="P120" s="27" t="s">
        <v>7</v>
      </c>
      <c r="R120" s="27" t="s">
        <v>7</v>
      </c>
      <c r="S120" s="27" t="s">
        <v>8</v>
      </c>
      <c r="V120" s="31"/>
    </row>
    <row r="121" spans="1:29" x14ac:dyDescent="0.25">
      <c r="A121" s="30">
        <v>1</v>
      </c>
      <c r="C121" s="18">
        <v>107</v>
      </c>
      <c r="D121" s="19">
        <v>58</v>
      </c>
      <c r="E121" s="18" t="s">
        <v>8</v>
      </c>
      <c r="L121" s="27" t="s">
        <v>7</v>
      </c>
      <c r="O121" s="27" t="s">
        <v>8</v>
      </c>
      <c r="R121" s="34" t="s">
        <v>7</v>
      </c>
      <c r="U121" s="31"/>
    </row>
    <row r="122" spans="1:29" x14ac:dyDescent="0.25">
      <c r="A122" s="30">
        <v>0.90909090909090895</v>
      </c>
      <c r="C122" s="1" t="str">
        <f>INDEX(1:1048576,C117,D117)</f>
        <v>O</v>
      </c>
      <c r="L122" s="27" t="s">
        <v>7</v>
      </c>
      <c r="O122" s="33" t="s">
        <v>8</v>
      </c>
      <c r="T122" s="31"/>
    </row>
    <row r="123" spans="1:29" x14ac:dyDescent="0.25">
      <c r="A123" s="30">
        <v>0.82644628099173523</v>
      </c>
      <c r="C123" s="1" t="str">
        <f>"R"&amp;C121</f>
        <v>R107</v>
      </c>
      <c r="D123" s="1" t="str">
        <f>"C"&amp;D121</f>
        <v>C58</v>
      </c>
      <c r="L123" s="27" t="s">
        <v>7</v>
      </c>
      <c r="M123" s="27" t="s">
        <v>8</v>
      </c>
      <c r="O123" s="27" t="s">
        <v>8</v>
      </c>
      <c r="S123" s="31"/>
    </row>
    <row r="124" spans="1:29" x14ac:dyDescent="0.25">
      <c r="A124" s="30">
        <v>0.75131480090157732</v>
      </c>
      <c r="C124" s="1">
        <f>SUM(C130:D130)</f>
        <v>0</v>
      </c>
      <c r="D124" s="1">
        <f>IF(C124=0,0,1)</f>
        <v>0</v>
      </c>
      <c r="L124" s="27" t="s">
        <v>7</v>
      </c>
      <c r="M124" s="27" t="s">
        <v>8</v>
      </c>
      <c r="N124" s="27" t="s">
        <v>7</v>
      </c>
      <c r="O124" s="27" t="s">
        <v>8</v>
      </c>
      <c r="R124" s="31"/>
    </row>
    <row r="125" spans="1:29" x14ac:dyDescent="0.25">
      <c r="A125" s="30">
        <v>0.68301345536507019</v>
      </c>
      <c r="L125" s="27" t="s">
        <v>7</v>
      </c>
      <c r="M125" s="27" t="s">
        <v>8</v>
      </c>
      <c r="N125" s="27" t="s">
        <v>7</v>
      </c>
      <c r="O125" s="27" t="s">
        <v>8</v>
      </c>
      <c r="Q125" s="31"/>
    </row>
    <row r="126" spans="1:29" x14ac:dyDescent="0.25">
      <c r="A126" s="30">
        <v>0.6209213230591546</v>
      </c>
      <c r="C126" s="1" t="s">
        <v>10</v>
      </c>
      <c r="L126" s="27" t="s">
        <v>7</v>
      </c>
      <c r="M126" s="27" t="s">
        <v>8</v>
      </c>
      <c r="N126" s="27" t="s">
        <v>7</v>
      </c>
      <c r="O126" s="27" t="s">
        <v>8</v>
      </c>
      <c r="P126" s="31"/>
    </row>
    <row r="127" spans="1:29" x14ac:dyDescent="0.25">
      <c r="A127" s="30">
        <v>0.56447393005377677</v>
      </c>
      <c r="C127" s="30">
        <v>3.7974983358324148</v>
      </c>
      <c r="D127"/>
      <c r="L127" s="27" t="s">
        <v>7</v>
      </c>
      <c r="N127" s="27" t="s">
        <v>7</v>
      </c>
      <c r="O127" s="31" t="s">
        <v>8</v>
      </c>
    </row>
    <row r="128" spans="1:29" x14ac:dyDescent="0.25">
      <c r="A128" s="30">
        <v>0.51315811823070612</v>
      </c>
      <c r="N128" s="31" t="s">
        <v>7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18" operator="equal">
      <formula>$U$1</formula>
    </cfRule>
    <cfRule type="cellIs" dxfId="30" priority="919" operator="equal">
      <formula>$S$1</formula>
    </cfRule>
  </conditionalFormatting>
  <conditionalFormatting sqref="D136">
    <cfRule type="cellIs" dxfId="29" priority="916" operator="equal">
      <formula>$S$1</formula>
    </cfRule>
    <cfRule type="cellIs" dxfId="28" priority="917" operator="equal">
      <formula>$U$1</formula>
    </cfRule>
  </conditionalFormatting>
  <conditionalFormatting sqref="C102">
    <cfRule type="cellIs" dxfId="27" priority="914" operator="equal">
      <formula>$U$1</formula>
    </cfRule>
    <cfRule type="cellIs" dxfId="26" priority="915" operator="equal">
      <formula>$S$1</formula>
    </cfRule>
  </conditionalFormatting>
  <conditionalFormatting sqref="D102">
    <cfRule type="cellIs" dxfId="25" priority="912" operator="equal">
      <formula>$S$1</formula>
    </cfRule>
    <cfRule type="cellIs" dxfId="24" priority="913" operator="equal">
      <formula>$U$1</formula>
    </cfRule>
  </conditionalFormatting>
  <conditionalFormatting sqref="C77">
    <cfRule type="cellIs" dxfId="23" priority="910" operator="equal">
      <formula>$U$1</formula>
    </cfRule>
    <cfRule type="cellIs" dxfId="22" priority="911" operator="equal">
      <formula>$S$1</formula>
    </cfRule>
  </conditionalFormatting>
  <conditionalFormatting sqref="D77">
    <cfRule type="cellIs" dxfId="21" priority="908" operator="equal">
      <formula>$S$1</formula>
    </cfRule>
    <cfRule type="cellIs" dxfId="20" priority="909" operator="equal">
      <formula>$U$1</formula>
    </cfRule>
  </conditionalFormatting>
  <conditionalFormatting sqref="C52">
    <cfRule type="cellIs" dxfId="19" priority="906" operator="equal">
      <formula>$U$1</formula>
    </cfRule>
    <cfRule type="cellIs" dxfId="18" priority="907" operator="equal">
      <formula>$S$1</formula>
    </cfRule>
  </conditionalFormatting>
  <conditionalFormatting sqref="D52">
    <cfRule type="cellIs" dxfId="17" priority="904" operator="equal">
      <formula>$S$1</formula>
    </cfRule>
    <cfRule type="cellIs" dxfId="16" priority="905" operator="equal">
      <formula>$U$1</formula>
    </cfRule>
  </conditionalFormatting>
  <conditionalFormatting sqref="C26">
    <cfRule type="cellIs" dxfId="15" priority="902" operator="equal">
      <formula>$U$1</formula>
    </cfRule>
    <cfRule type="cellIs" dxfId="14" priority="903" operator="equal">
      <formula>$S$1</formula>
    </cfRule>
  </conditionalFormatting>
  <conditionalFormatting sqref="D26">
    <cfRule type="cellIs" dxfId="13" priority="900" operator="equal">
      <formula>$S$1</formula>
    </cfRule>
    <cfRule type="cellIs" dxfId="12" priority="90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M3" sqref="M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6.0814069427704647</v>
      </c>
      <c r="F3" s="30">
        <v>6.3854772899089882</v>
      </c>
      <c r="G3" s="30">
        <v>9.4342581831674686</v>
      </c>
      <c r="H3" s="25">
        <f>IF(G3="","",(3*(G3-F3))+E3)</f>
        <v>15.227749622545904</v>
      </c>
      <c r="I3" s="7"/>
      <c r="J3" s="7">
        <f>(E3+G3)/2</f>
        <v>7.7578325629689662</v>
      </c>
      <c r="K3" s="7">
        <f>H3/2</f>
        <v>7.613874811272952</v>
      </c>
      <c r="M3" s="26" t="e" cm="1">
        <f t="array" ref="M3">IF(OR(G3="",H3=""),"",K8H3/G3)</f>
        <v>#NAME?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2022-01-28T01:21:48Z</dcterms:modified>
</cp:coreProperties>
</file>