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083DC85-C886-40DF-8324-05CB2F148C1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R584" i="1" s="1"/>
  <c r="S584" i="1" s="1"/>
  <c r="T584" i="1" s="1"/>
  <c r="D69" i="8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R583" i="1" l="1"/>
  <c r="S583" i="1" s="1"/>
  <c r="T583" i="1" s="1"/>
  <c r="P15" i="1"/>
  <c r="Q15" i="1" s="1"/>
  <c r="R582" i="1" l="1"/>
  <c r="R581" i="1"/>
  <c r="S582" i="1"/>
  <c r="T582" i="1" s="1"/>
  <c r="D2" i="7"/>
  <c r="C2" i="7"/>
  <c r="R580" i="1" l="1"/>
  <c r="S581" i="1"/>
  <c r="T581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 s="1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C122" i="3" l="1"/>
  <c r="C133" i="3" s="1"/>
  <c r="D136" i="3" s="1"/>
  <c r="C116" i="3"/>
  <c r="C118" i="5"/>
  <c r="S580" i="1"/>
  <c r="T580" i="1" s="1"/>
  <c r="R579" i="1"/>
  <c r="C106" i="4"/>
  <c r="D77" i="5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D136" i="2"/>
  <c r="C136" i="2"/>
  <c r="C136" i="3" l="1"/>
  <c r="C138" i="3" s="1"/>
  <c r="R578" i="1"/>
  <c r="S579" i="1"/>
  <c r="T579" i="1" s="1"/>
  <c r="C136" i="4"/>
  <c r="C138" i="4" s="1"/>
  <c r="D136" i="5"/>
  <c r="C136" i="5"/>
  <c r="C138" i="2"/>
  <c r="S578" i="1" l="1"/>
  <c r="T578" i="1" s="1"/>
  <c r="R577" i="1"/>
  <c r="C138" i="5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S21" i="1" l="1"/>
  <c r="T21" i="1" s="1"/>
  <c r="R20" i="1"/>
  <c r="R19" i="1" l="1"/>
  <c r="S20" i="1"/>
  <c r="T20" i="1" s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<sst xmlns="http://schemas.openxmlformats.org/spreadsheetml/2006/main" count="1928" uniqueCount="34">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</sst>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1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5.6950000000000003</c:v>
                </c:pt>
                <c:pt idx="1">
                  <c:v>5.8170000000000002</c:v>
                </c:pt>
                <c:pt idx="2">
                  <c:v>5.8659999999999997</c:v>
                </c:pt>
                <c:pt idx="3">
                  <c:v>5.8760000000000003</c:v>
                </c:pt>
                <c:pt idx="4">
                  <c:v>6.0430000000000001</c:v>
                </c:pt>
                <c:pt idx="5">
                  <c:v>6.452</c:v>
                </c:pt>
                <c:pt idx="6">
                  <c:v>8.2850000000000001</c:v>
                </c:pt>
                <c:pt idx="7">
                  <c:v>7.4660000000000002</c:v>
                </c:pt>
                <c:pt idx="8">
                  <c:v>6.9480000000000004</c:v>
                </c:pt>
                <c:pt idx="9">
                  <c:v>7.0039999999999996</c:v>
                </c:pt>
                <c:pt idx="10">
                  <c:v>7.4089999999999998</c:v>
                </c:pt>
                <c:pt idx="11">
                  <c:v>7.6219999999999999</c:v>
                </c:pt>
                <c:pt idx="12">
                  <c:v>7.8609999999999998</c:v>
                </c:pt>
                <c:pt idx="13">
                  <c:v>7.6779999999999999</c:v>
                </c:pt>
                <c:pt idx="14">
                  <c:v>7.6230000000000002</c:v>
                </c:pt>
                <c:pt idx="15">
                  <c:v>7.76</c:v>
                </c:pt>
                <c:pt idx="16">
                  <c:v>7.1150000000000002</c:v>
                </c:pt>
                <c:pt idx="17">
                  <c:v>6.3689999999999998</c:v>
                </c:pt>
                <c:pt idx="18">
                  <c:v>6.7389999999999999</c:v>
                </c:pt>
                <c:pt idx="19">
                  <c:v>6.7270000000000003</c:v>
                </c:pt>
                <c:pt idx="20">
                  <c:v>7.08</c:v>
                </c:pt>
                <c:pt idx="21">
                  <c:v>7.6210000000000004</c:v>
                </c:pt>
                <c:pt idx="22">
                  <c:v>7.8079999999999998</c:v>
                </c:pt>
                <c:pt idx="23">
                  <c:v>8.2349999999999994</c:v>
                </c:pt>
                <c:pt idx="24">
                  <c:v>8.3059999999999992</c:v>
                </c:pt>
                <c:pt idx="25">
                  <c:v>8.6980000000000004</c:v>
                </c:pt>
                <c:pt idx="26">
                  <c:v>8.4559999999999995</c:v>
                </c:pt>
                <c:pt idx="27">
                  <c:v>8.0969999999999995</c:v>
                </c:pt>
                <c:pt idx="28">
                  <c:v>8.3960000000000008</c:v>
                </c:pt>
                <c:pt idx="29">
                  <c:v>8.7409999999999997</c:v>
                </c:pt>
                <c:pt idx="30">
                  <c:v>10.166</c:v>
                </c:pt>
                <c:pt idx="31">
                  <c:v>10.003</c:v>
                </c:pt>
                <c:pt idx="32">
                  <c:v>9.2439999999999998</c:v>
                </c:pt>
                <c:pt idx="33">
                  <c:v>8.9789999999999992</c:v>
                </c:pt>
                <c:pt idx="34">
                  <c:v>8.6989999999999998</c:v>
                </c:pt>
                <c:pt idx="35">
                  <c:v>8.8350000000000009</c:v>
                </c:pt>
                <c:pt idx="36">
                  <c:v>8.2309999999999999</c:v>
                </c:pt>
                <c:pt idx="37">
                  <c:v>7.5129999999999999</c:v>
                </c:pt>
                <c:pt idx="38">
                  <c:v>7.4009999999999998</c:v>
                </c:pt>
                <c:pt idx="39">
                  <c:v>7.8319999999999999</c:v>
                </c:pt>
                <c:pt idx="40">
                  <c:v>8.1150000000000002</c:v>
                </c:pt>
                <c:pt idx="41">
                  <c:v>7.83</c:v>
                </c:pt>
                <c:pt idx="42">
                  <c:v>8.0280000000000005</c:v>
                </c:pt>
                <c:pt idx="43">
                  <c:v>8.5779999999999994</c:v>
                </c:pt>
                <c:pt idx="44">
                  <c:v>8.2620000000000005</c:v>
                </c:pt>
                <c:pt idx="45">
                  <c:v>8.1300000000000008</c:v>
                </c:pt>
                <c:pt idx="46">
                  <c:v>8.9979999999999993</c:v>
                </c:pt>
                <c:pt idx="47">
                  <c:v>9.2409999999999997</c:v>
                </c:pt>
                <c:pt idx="48">
                  <c:v>9.1010000000000009</c:v>
                </c:pt>
                <c:pt idx="49">
                  <c:v>8.5649999999999995</c:v>
                </c:pt>
                <c:pt idx="50">
                  <c:v>9.7140000000000004</c:v>
                </c:pt>
                <c:pt idx="51">
                  <c:v>8.9329999999999998</c:v>
                </c:pt>
                <c:pt idx="52">
                  <c:v>9.2029999999999994</c:v>
                </c:pt>
                <c:pt idx="53">
                  <c:v>8.6929999999999996</c:v>
                </c:pt>
                <c:pt idx="54">
                  <c:v>9.8569999999999993</c:v>
                </c:pt>
                <c:pt idx="55">
                  <c:v>12.32</c:v>
                </c:pt>
                <c:pt idx="56">
                  <c:v>13.318</c:v>
                </c:pt>
                <c:pt idx="57">
                  <c:v>12.928000000000001</c:v>
                </c:pt>
                <c:pt idx="58">
                  <c:v>12.554</c:v>
                </c:pt>
                <c:pt idx="59">
                  <c:v>12.555</c:v>
                </c:pt>
                <c:pt idx="60">
                  <c:v>12.622999999999999</c:v>
                </c:pt>
                <c:pt idx="61">
                  <c:v>12.967000000000001</c:v>
                </c:pt>
                <c:pt idx="62">
                  <c:v>12.831</c:v>
                </c:pt>
                <c:pt idx="63">
                  <c:v>14.973000000000001</c:v>
                </c:pt>
                <c:pt idx="64">
                  <c:v>14.920999999999999</c:v>
                </c:pt>
                <c:pt idx="65">
                  <c:v>15.68</c:v>
                </c:pt>
                <c:pt idx="66">
                  <c:v>14.167999999999999</c:v>
                </c:pt>
                <c:pt idx="67">
                  <c:v>13.131</c:v>
                </c:pt>
                <c:pt idx="68">
                  <c:v>14.029</c:v>
                </c:pt>
                <c:pt idx="69">
                  <c:v>14.087999999999999</c:v>
                </c:pt>
                <c:pt idx="70">
                  <c:v>12.305999999999999</c:v>
                </c:pt>
                <c:pt idx="71">
                  <c:v>13.433</c:v>
                </c:pt>
                <c:pt idx="72">
                  <c:v>12.571999999999999</c:v>
                </c:pt>
                <c:pt idx="73">
                  <c:v>14.257</c:v>
                </c:pt>
                <c:pt idx="74">
                  <c:v>14.795999999999999</c:v>
                </c:pt>
                <c:pt idx="75">
                  <c:v>14.786</c:v>
                </c:pt>
                <c:pt idx="76">
                  <c:v>14.439</c:v>
                </c:pt>
                <c:pt idx="77">
                  <c:v>14.816000000000001</c:v>
                </c:pt>
                <c:pt idx="78">
                  <c:v>14.77</c:v>
                </c:pt>
                <c:pt idx="79">
                  <c:v>16.577000000000002</c:v>
                </c:pt>
                <c:pt idx="80">
                  <c:v>17.332000000000001</c:v>
                </c:pt>
                <c:pt idx="81">
                  <c:v>16.808</c:v>
                </c:pt>
                <c:pt idx="82">
                  <c:v>15.805</c:v>
                </c:pt>
                <c:pt idx="83">
                  <c:v>16.047000000000001</c:v>
                </c:pt>
                <c:pt idx="84">
                  <c:v>15.654</c:v>
                </c:pt>
                <c:pt idx="85">
                  <c:v>16.21</c:v>
                </c:pt>
                <c:pt idx="86">
                  <c:v>16.373999999999999</c:v>
                </c:pt>
                <c:pt idx="87">
                  <c:v>17.254999999999999</c:v>
                </c:pt>
                <c:pt idx="88">
                  <c:v>15.17</c:v>
                </c:pt>
                <c:pt idx="89">
                  <c:v>15.555999999999999</c:v>
                </c:pt>
                <c:pt idx="90">
                  <c:v>16.100000000000001</c:v>
                </c:pt>
                <c:pt idx="91">
                  <c:v>15.798</c:v>
                </c:pt>
                <c:pt idx="92">
                  <c:v>15.145</c:v>
                </c:pt>
                <c:pt idx="93">
                  <c:v>17.835999999999999</c:v>
                </c:pt>
                <c:pt idx="94">
                  <c:v>18.847999999999999</c:v>
                </c:pt>
                <c:pt idx="95">
                  <c:v>17.925999999999998</c:v>
                </c:pt>
                <c:pt idx="96">
                  <c:v>19.388000000000002</c:v>
                </c:pt>
                <c:pt idx="97">
                  <c:v>20.29</c:v>
                </c:pt>
                <c:pt idx="98">
                  <c:v>19.361999999999998</c:v>
                </c:pt>
                <c:pt idx="99">
                  <c:v>19.965</c:v>
                </c:pt>
                <c:pt idx="100">
                  <c:v>19.158999999999999</c:v>
                </c:pt>
                <c:pt idx="101">
                  <c:v>20.131</c:v>
                </c:pt>
                <c:pt idx="102">
                  <c:v>21.055</c:v>
                </c:pt>
                <c:pt idx="103">
                  <c:v>22.338000000000001</c:v>
                </c:pt>
                <c:pt idx="104">
                  <c:v>22.638000000000002</c:v>
                </c:pt>
                <c:pt idx="105">
                  <c:v>23.62</c:v>
                </c:pt>
                <c:pt idx="106">
                  <c:v>22.356000000000002</c:v>
                </c:pt>
                <c:pt idx="107">
                  <c:v>22.286000000000001</c:v>
                </c:pt>
                <c:pt idx="108">
                  <c:v>23.637</c:v>
                </c:pt>
                <c:pt idx="109">
                  <c:v>22.594999999999999</c:v>
                </c:pt>
                <c:pt idx="110">
                  <c:v>21.832000000000001</c:v>
                </c:pt>
                <c:pt idx="111">
                  <c:v>21.963999999999999</c:v>
                </c:pt>
                <c:pt idx="112">
                  <c:v>21.728999999999999</c:v>
                </c:pt>
                <c:pt idx="113">
                  <c:v>22.992000000000001</c:v>
                </c:pt>
                <c:pt idx="114">
                  <c:v>22.617000000000001</c:v>
                </c:pt>
                <c:pt idx="115">
                  <c:v>23.46</c:v>
                </c:pt>
                <c:pt idx="116">
                  <c:v>23.59</c:v>
                </c:pt>
                <c:pt idx="117">
                  <c:v>23.216000000000001</c:v>
                </c:pt>
                <c:pt idx="118">
                  <c:v>22.298999999999999</c:v>
                </c:pt>
                <c:pt idx="119">
                  <c:v>23.555</c:v>
                </c:pt>
                <c:pt idx="120">
                  <c:v>26.751000000000001</c:v>
                </c:pt>
                <c:pt idx="121">
                  <c:v>22.558</c:v>
                </c:pt>
                <c:pt idx="122">
                  <c:v>20.975000000000001</c:v>
                </c:pt>
                <c:pt idx="123">
                  <c:v>19.308</c:v>
                </c:pt>
                <c:pt idx="124">
                  <c:v>13.984</c:v>
                </c:pt>
                <c:pt idx="125">
                  <c:v>12.108000000000001</c:v>
                </c:pt>
                <c:pt idx="126">
                  <c:v>14.079000000000001</c:v>
                </c:pt>
                <c:pt idx="127">
                  <c:v>14.637</c:v>
                </c:pt>
                <c:pt idx="128">
                  <c:v>12.557</c:v>
                </c:pt>
                <c:pt idx="129">
                  <c:v>11.831</c:v>
                </c:pt>
                <c:pt idx="130">
                  <c:v>14.259</c:v>
                </c:pt>
                <c:pt idx="131">
                  <c:v>16.079999999999998</c:v>
                </c:pt>
                <c:pt idx="132">
                  <c:v>16.498999999999999</c:v>
                </c:pt>
                <c:pt idx="133">
                  <c:v>15.387</c:v>
                </c:pt>
                <c:pt idx="134">
                  <c:v>11.599</c:v>
                </c:pt>
                <c:pt idx="135">
                  <c:v>11.699</c:v>
                </c:pt>
                <c:pt idx="136">
                  <c:v>10.4</c:v>
                </c:pt>
                <c:pt idx="137">
                  <c:v>11.303000000000001</c:v>
                </c:pt>
                <c:pt idx="138">
                  <c:v>10.933</c:v>
                </c:pt>
                <c:pt idx="139">
                  <c:v>10.425000000000001</c:v>
                </c:pt>
                <c:pt idx="140">
                  <c:v>12.971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8-4168-91F4-B14CDEE9FE2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-0.2345349908988302</c:v>
                </c:pt>
                <c:pt idx="1">
                  <c:v>-0.22956871506506402</c:v>
                </c:pt>
                <c:pt idx="2">
                  <c:v>-0.18041199145372386</c:v>
                </c:pt>
                <c:pt idx="3">
                  <c:v>-0.14574352310249969</c:v>
                </c:pt>
                <c:pt idx="4">
                  <c:v>-0.19203041116100436</c:v>
                </c:pt>
                <c:pt idx="5">
                  <c:v>-0.17181291343417757</c:v>
                </c:pt>
                <c:pt idx="6">
                  <c:v>-9.7127767557400213E-2</c:v>
                </c:pt>
                <c:pt idx="7">
                  <c:v>-0.18292012536059682</c:v>
                </c:pt>
                <c:pt idx="8">
                  <c:v>-0.15302665470171017</c:v>
                </c:pt>
                <c:pt idx="9">
                  <c:v>-0.15239169863518073</c:v>
                </c:pt>
                <c:pt idx="10">
                  <c:v>-0.14297384764752638</c:v>
                </c:pt>
                <c:pt idx="11">
                  <c:v>-0.14799083436004645</c:v>
                </c:pt>
                <c:pt idx="12">
                  <c:v>-0.13653402988786595</c:v>
                </c:pt>
                <c:pt idx="13">
                  <c:v>-0.13695485991467007</c:v>
                </c:pt>
                <c:pt idx="14">
                  <c:v>-0.12310893160640556</c:v>
                </c:pt>
                <c:pt idx="15">
                  <c:v>-6.8768367063472266E-2</c:v>
                </c:pt>
                <c:pt idx="16">
                  <c:v>-0.10631777014987524</c:v>
                </c:pt>
                <c:pt idx="17">
                  <c:v>-0.13842144803198286</c:v>
                </c:pt>
                <c:pt idx="18">
                  <c:v>-0.13530068070760579</c:v>
                </c:pt>
                <c:pt idx="19">
                  <c:v>-0.13344947527411738</c:v>
                </c:pt>
                <c:pt idx="20">
                  <c:v>-0.12178340589072871</c:v>
                </c:pt>
                <c:pt idx="21">
                  <c:v>-0.10593009492186505</c:v>
                </c:pt>
                <c:pt idx="22">
                  <c:v>-0.11566547616430881</c:v>
                </c:pt>
                <c:pt idx="23">
                  <c:v>-8.1448202653010601E-2</c:v>
                </c:pt>
                <c:pt idx="24">
                  <c:v>-7.0119344468071845E-2</c:v>
                </c:pt>
                <c:pt idx="25">
                  <c:v>-6.4578320926528709E-2</c:v>
                </c:pt>
                <c:pt idx="26">
                  <c:v>-7.4785095476613564E-2</c:v>
                </c:pt>
                <c:pt idx="27">
                  <c:v>-8.8299460181330447E-2</c:v>
                </c:pt>
                <c:pt idx="28">
                  <c:v>-6.6672386397937738E-2</c:v>
                </c:pt>
                <c:pt idx="29">
                  <c:v>-3.0719247702888343E-2</c:v>
                </c:pt>
                <c:pt idx="30">
                  <c:v>4.3868429160996772E-2</c:v>
                </c:pt>
                <c:pt idx="31">
                  <c:v>1.557826324141597E-3</c:v>
                </c:pt>
                <c:pt idx="32">
                  <c:v>-8.8639336292509682E-3</c:v>
                </c:pt>
                <c:pt idx="33">
                  <c:v>-3.1182093022287138E-2</c:v>
                </c:pt>
                <c:pt idx="34">
                  <c:v>-3.7561130980033546E-2</c:v>
                </c:pt>
                <c:pt idx="35">
                  <c:v>-3.1883861293028901E-3</c:v>
                </c:pt>
                <c:pt idx="36">
                  <c:v>-4.0996970921222217E-2</c:v>
                </c:pt>
                <c:pt idx="37">
                  <c:v>-6.0318323480292459E-2</c:v>
                </c:pt>
                <c:pt idx="38">
                  <c:v>-6.9385034455005115E-2</c:v>
                </c:pt>
                <c:pt idx="39">
                  <c:v>-5.8586712216153296E-2</c:v>
                </c:pt>
                <c:pt idx="40">
                  <c:v>-3.6297687916153287E-2</c:v>
                </c:pt>
                <c:pt idx="41">
                  <c:v>-4.7161673878748679E-2</c:v>
                </c:pt>
                <c:pt idx="42">
                  <c:v>-4.5926823431940191E-2</c:v>
                </c:pt>
                <c:pt idx="43">
                  <c:v>-1.2609393262709453E-2</c:v>
                </c:pt>
                <c:pt idx="44">
                  <c:v>-4.0761869059351148E-2</c:v>
                </c:pt>
                <c:pt idx="45">
                  <c:v>-5.2486544565682136E-2</c:v>
                </c:pt>
                <c:pt idx="46">
                  <c:v>-3.7408387497169862E-2</c:v>
                </c:pt>
                <c:pt idx="47">
                  <c:v>-3.7828693800873524E-2</c:v>
                </c:pt>
                <c:pt idx="48">
                  <c:v>-5.6814490897349225E-2</c:v>
                </c:pt>
                <c:pt idx="49">
                  <c:v>-5.5018787142977088E-2</c:v>
                </c:pt>
                <c:pt idx="50">
                  <c:v>-1.83897591190832E-2</c:v>
                </c:pt>
                <c:pt idx="51">
                  <c:v>-8.2564510914469313E-2</c:v>
                </c:pt>
                <c:pt idx="52">
                  <c:v>-5.9687049207326454E-2</c:v>
                </c:pt>
                <c:pt idx="53">
                  <c:v>-0.13038182143209245</c:v>
                </c:pt>
                <c:pt idx="54">
                  <c:v>-8.888745626771255E-2</c:v>
                </c:pt>
                <c:pt idx="55">
                  <c:v>-9.0266203590608898E-2</c:v>
                </c:pt>
                <c:pt idx="56">
                  <c:v>-6.3621341458657887E-2</c:v>
                </c:pt>
                <c:pt idx="57">
                  <c:v>-1.1285626241444736E-2</c:v>
                </c:pt>
                <c:pt idx="58">
                  <c:v>3.5410446000495961E-3</c:v>
                </c:pt>
                <c:pt idx="59">
                  <c:v>1.1447434689474128E-2</c:v>
                </c:pt>
                <c:pt idx="60">
                  <c:v>8.6290048335601003E-3</c:v>
                </c:pt>
                <c:pt idx="61">
                  <c:v>-1.778099685823531E-2</c:v>
                </c:pt>
                <c:pt idx="62">
                  <c:v>-1.321978227123647E-2</c:v>
                </c:pt>
                <c:pt idx="63">
                  <c:v>8.0050675816998901E-2</c:v>
                </c:pt>
                <c:pt idx="64">
                  <c:v>6.6434864587546799E-2</c:v>
                </c:pt>
                <c:pt idx="65">
                  <c:v>9.5227996384673455E-2</c:v>
                </c:pt>
                <c:pt idx="66">
                  <c:v>3.5873115192657526E-2</c:v>
                </c:pt>
                <c:pt idx="67">
                  <c:v>-4.6937962057749692E-3</c:v>
                </c:pt>
                <c:pt idx="68">
                  <c:v>3.3085924063663383E-2</c:v>
                </c:pt>
                <c:pt idx="69">
                  <c:v>3.0554213833574866E-2</c:v>
                </c:pt>
                <c:pt idx="70">
                  <c:v>-2.4330450030664752E-2</c:v>
                </c:pt>
                <c:pt idx="71">
                  <c:v>-1.5002769681878388E-3</c:v>
                </c:pt>
                <c:pt idx="72">
                  <c:v>-4.5766178127467576E-2</c:v>
                </c:pt>
                <c:pt idx="73">
                  <c:v>-3.1258689108221833E-2</c:v>
                </c:pt>
                <c:pt idx="74">
                  <c:v>-1.9237290584565907E-2</c:v>
                </c:pt>
                <c:pt idx="75">
                  <c:v>-1.3806071996231132E-2</c:v>
                </c:pt>
                <c:pt idx="76">
                  <c:v>-2.5427726915513649E-2</c:v>
                </c:pt>
                <c:pt idx="77">
                  <c:v>2.3839246044951956E-3</c:v>
                </c:pt>
                <c:pt idx="78">
                  <c:v>1.8234716563177742E-2</c:v>
                </c:pt>
                <c:pt idx="79">
                  <c:v>2.2434747690097435E-2</c:v>
                </c:pt>
                <c:pt idx="80">
                  <c:v>4.501199010487443E-2</c:v>
                </c:pt>
                <c:pt idx="81">
                  <c:v>6.0443364872890086E-2</c:v>
                </c:pt>
                <c:pt idx="82">
                  <c:v>5.1227418215495375E-2</c:v>
                </c:pt>
                <c:pt idx="83">
                  <c:v>5.0882754925172823E-2</c:v>
                </c:pt>
                <c:pt idx="84">
                  <c:v>2.1969785679458377E-2</c:v>
                </c:pt>
                <c:pt idx="85">
                  <c:v>1.9237932701485563E-2</c:v>
                </c:pt>
                <c:pt idx="86">
                  <c:v>2.003235913794963E-2</c:v>
                </c:pt>
                <c:pt idx="87">
                  <c:v>3.3251749861472321E-2</c:v>
                </c:pt>
                <c:pt idx="88">
                  <c:v>-1.2090759554448542E-2</c:v>
                </c:pt>
                <c:pt idx="89">
                  <c:v>-1.1299967384543533E-2</c:v>
                </c:pt>
                <c:pt idx="90">
                  <c:v>-6.0258051624850837E-4</c:v>
                </c:pt>
                <c:pt idx="91">
                  <c:v>1.698372342095756E-2</c:v>
                </c:pt>
                <c:pt idx="92">
                  <c:v>-4.160779319804981E-3</c:v>
                </c:pt>
                <c:pt idx="93">
                  <c:v>5.9484386096418103E-2</c:v>
                </c:pt>
                <c:pt idx="94">
                  <c:v>8.8002508519801792E-2</c:v>
                </c:pt>
                <c:pt idx="95">
                  <c:v>6.9129948314003015E-2</c:v>
                </c:pt>
                <c:pt idx="96">
                  <c:v>8.0885503196977987E-2</c:v>
                </c:pt>
                <c:pt idx="97">
                  <c:v>0.10566821412429889</c:v>
                </c:pt>
                <c:pt idx="98">
                  <c:v>7.5339962368304411E-2</c:v>
                </c:pt>
                <c:pt idx="99">
                  <c:v>9.2255015116619057E-2</c:v>
                </c:pt>
                <c:pt idx="100">
                  <c:v>8.0392293926252606E-2</c:v>
                </c:pt>
                <c:pt idx="101">
                  <c:v>9.79163334884844E-2</c:v>
                </c:pt>
                <c:pt idx="102">
                  <c:v>0.12019580576177635</c:v>
                </c:pt>
                <c:pt idx="103">
                  <c:v>0.12968894630263425</c:v>
                </c:pt>
                <c:pt idx="104">
                  <c:v>0.15126016811908979</c:v>
                </c:pt>
                <c:pt idx="105">
                  <c:v>0.19562270603937074</c:v>
                </c:pt>
                <c:pt idx="106">
                  <c:v>0.16632638485989418</c:v>
                </c:pt>
                <c:pt idx="107">
                  <c:v>0.23057365511740877</c:v>
                </c:pt>
                <c:pt idx="108">
                  <c:v>0.2427181849525829</c:v>
                </c:pt>
                <c:pt idx="109">
                  <c:v>0.27628022632411503</c:v>
                </c:pt>
                <c:pt idx="110">
                  <c:v>0.30362745680491576</c:v>
                </c:pt>
                <c:pt idx="111">
                  <c:v>0.32241871080390316</c:v>
                </c:pt>
                <c:pt idx="112">
                  <c:v>0.316860231509214</c:v>
                </c:pt>
                <c:pt idx="113">
                  <c:v>0.40802932311524764</c:v>
                </c:pt>
                <c:pt idx="114">
                  <c:v>0.33214478299379774</c:v>
                </c:pt>
                <c:pt idx="115">
                  <c:v>0.37872276951435924</c:v>
                </c:pt>
                <c:pt idx="116">
                  <c:v>0.46537657802461763</c:v>
                </c:pt>
                <c:pt idx="117">
                  <c:v>0.39316547595976153</c:v>
                </c:pt>
                <c:pt idx="118">
                  <c:v>0.378720120427748</c:v>
                </c:pt>
                <c:pt idx="119">
                  <c:v>0.46083332402853161</c:v>
                </c:pt>
                <c:pt idx="120">
                  <c:v>0.58691421436185109</c:v>
                </c:pt>
                <c:pt idx="121">
                  <c:v>0.40583943228100144</c:v>
                </c:pt>
                <c:pt idx="122">
                  <c:v>0.29208058180994223</c:v>
                </c:pt>
                <c:pt idx="123">
                  <c:v>0.27094886019693892</c:v>
                </c:pt>
                <c:pt idx="124">
                  <c:v>1.8500094443150126E-2</c:v>
                </c:pt>
                <c:pt idx="125">
                  <c:v>-5.1848758998719963E-2</c:v>
                </c:pt>
                <c:pt idx="126">
                  <c:v>-2.0054084768657644E-2</c:v>
                </c:pt>
                <c:pt idx="127">
                  <c:v>-2.398313170568302E-2</c:v>
                </c:pt>
                <c:pt idx="128">
                  <c:v>-0.10324999877540217</c:v>
                </c:pt>
                <c:pt idx="129">
                  <c:v>-0.13107332084021894</c:v>
                </c:pt>
                <c:pt idx="130">
                  <c:v>-5.0040145807705973E-2</c:v>
                </c:pt>
                <c:pt idx="131">
                  <c:v>9.2099595356766682E-3</c:v>
                </c:pt>
                <c:pt idx="132">
                  <c:v>6.5311794665271428E-2</c:v>
                </c:pt>
                <c:pt idx="133">
                  <c:v>8.9487659309777784E-2</c:v>
                </c:pt>
                <c:pt idx="134">
                  <c:v>-3.5607087701335616E-3</c:v>
                </c:pt>
                <c:pt idx="135">
                  <c:v>1.1554845817408991E-2</c:v>
                </c:pt>
                <c:pt idx="136">
                  <c:v>-3.6038241979868706E-2</c:v>
                </c:pt>
                <c:pt idx="137">
                  <c:v>-4.520973212349292E-2</c:v>
                </c:pt>
                <c:pt idx="138">
                  <c:v>-1.3105337228095263E-2</c:v>
                </c:pt>
                <c:pt idx="139">
                  <c:v>4.9549358064058253E-2</c:v>
                </c:pt>
                <c:pt idx="140">
                  <c:v>0.18620646708352817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58-4168-91F4-B14CDEE9F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7643167"/>
        <c:axId val="1867639839"/>
      </c:lineChart>
      <c:dateAx>
        <c:axId val="18676431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39839"/>
        <c:crosses val="autoZero"/>
        <c:auto val="1"/>
        <c:lblOffset val="100"/>
        <c:baseTimeUnit val="days"/>
      </c:dateAx>
      <c:valAx>
        <c:axId val="186763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4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4A1F68-73E7-41C3-8DA4-4076B1319D40}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7442015" cy="48612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D12F29-D6A5-497E-9075-C23DA0C95D2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70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MAX(C3:C1730)</f>
        <v>27.856999999999999</v>
      </c>
      <c r="D2" s="4">
        <f>MIN(D3:D1730)</f>
        <v>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5.8209999999999997</v>
      </c>
      <c r="C5">
        <v>5.9059999999999997</v>
      </c>
      <c r="D5">
        <v>5.6749999999999998</v>
      </c>
      <c r="E5">
        <v>5.6950000000000003</v>
      </c>
      <c r="F5">
        <v>600633.36</v>
      </c>
      <c r="G5">
        <v>5.6950000000000003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-0.82683982683982271</v>
      </c>
      <c r="Q5">
        <f t="shared" ref="Q5" si="1">F5*P5</f>
        <v>-496627.5833766209</v>
      </c>
      <c r="R5">
        <f t="shared" ref="R5" si="2">R6+Q5</f>
        <v>-23453499.089883022</v>
      </c>
      <c r="S5">
        <f t="shared" ref="S5" si="3">R5/100000</f>
        <v>-234.53499089883022</v>
      </c>
      <c r="T5">
        <f t="shared" ref="T5" si="4">S5/1000</f>
        <v>-0.2345349908988302</v>
      </c>
    </row>
    <row r="6" spans="1:20" x14ac:dyDescent="0.25">
      <c r="A6" s="5">
        <v>44587</v>
      </c>
      <c r="B6">
        <v>5.8710000000000004</v>
      </c>
      <c r="C6">
        <v>6.5709999999999997</v>
      </c>
      <c r="D6">
        <v>5.601</v>
      </c>
      <c r="E6">
        <v>5.8170000000000002</v>
      </c>
      <c r="F6">
        <v>8862829.3499999996</v>
      </c>
      <c r="G6">
        <v>5.8170000000000002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-0.55463917525773143</v>
      </c>
      <c r="Q6">
        <f t="shared" ref="Q6" si="6">F6*P6</f>
        <v>-4915672.361134016</v>
      </c>
      <c r="R6">
        <f t="shared" ref="R6" si="7">R7+Q6</f>
        <v>-22956871.506506402</v>
      </c>
      <c r="S6">
        <f t="shared" ref="S6" si="8">R6/100000</f>
        <v>-229.56871506506403</v>
      </c>
      <c r="T6">
        <f t="shared" ref="T6" si="9">S6/1000</f>
        <v>-0.22956871506506402</v>
      </c>
    </row>
    <row r="7" spans="1:20" x14ac:dyDescent="0.25">
      <c r="A7" s="5">
        <v>44586</v>
      </c>
      <c r="B7">
        <v>5.8739999999999997</v>
      </c>
      <c r="C7">
        <v>6.2670000000000003</v>
      </c>
      <c r="D7">
        <v>5.7359999999999998</v>
      </c>
      <c r="E7">
        <v>5.8659999999999997</v>
      </c>
      <c r="F7">
        <v>6792972.9500000002</v>
      </c>
      <c r="G7">
        <v>5.8659999999999997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-0.51035781544256209</v>
      </c>
      <c r="Q7">
        <f t="shared" ref="Q7" si="11">F7*P7</f>
        <v>-3466846.8351224167</v>
      </c>
      <c r="R7">
        <f t="shared" ref="R7" si="12">R8+Q7</f>
        <v>-18041199.145372387</v>
      </c>
      <c r="S7">
        <f t="shared" ref="S7" si="13">R7/100000</f>
        <v>-180.41199145372386</v>
      </c>
      <c r="T7">
        <f t="shared" ref="T7" si="14">S7/1000</f>
        <v>-0.18041199145372386</v>
      </c>
    </row>
    <row r="8" spans="1:20" x14ac:dyDescent="0.25">
      <c r="A8" s="5">
        <v>44585</v>
      </c>
      <c r="B8">
        <v>6.0419999999999998</v>
      </c>
      <c r="C8">
        <v>6.15</v>
      </c>
      <c r="D8">
        <v>5.08</v>
      </c>
      <c r="E8">
        <v>5.8760000000000003</v>
      </c>
      <c r="F8">
        <v>9487925.3300000001</v>
      </c>
      <c r="G8">
        <v>5.8760000000000003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0.4878504672897197</v>
      </c>
      <c r="Q8">
        <f t="shared" ref="Q8" si="16">F8*P8</f>
        <v>4628688.8058504676</v>
      </c>
      <c r="R8">
        <f t="shared" ref="R8" si="17">R9+Q8</f>
        <v>-14574352.310249969</v>
      </c>
      <c r="S8">
        <f t="shared" ref="S8" si="18">R8/100000</f>
        <v>-145.74352310249969</v>
      </c>
      <c r="T8">
        <f t="shared" ref="T8" si="19">S8/1000</f>
        <v>-0.14574352310249969</v>
      </c>
    </row>
    <row r="9" spans="1:20" x14ac:dyDescent="0.25">
      <c r="A9" s="5">
        <v>44584</v>
      </c>
      <c r="B9">
        <v>6.4589999999999996</v>
      </c>
      <c r="C9">
        <v>6.6660000000000004</v>
      </c>
      <c r="D9">
        <v>5.6669999999999998</v>
      </c>
      <c r="E9">
        <v>6.0430000000000001</v>
      </c>
      <c r="F9">
        <v>8177036.5300000003</v>
      </c>
      <c r="G9">
        <v>6.0430000000000001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-0.247247247247247</v>
      </c>
      <c r="Q9">
        <f t="shared" ref="Q9" si="21">F9*P9</f>
        <v>-2021749.7726826807</v>
      </c>
      <c r="R9">
        <f t="shared" ref="R9" si="22">R10+Q9</f>
        <v>-19203041.116100438</v>
      </c>
      <c r="S9">
        <f t="shared" ref="S9" si="23">R9/100000</f>
        <v>-192.03041116100437</v>
      </c>
      <c r="T9">
        <f t="shared" ref="T9:T15" si="24">S9/1000</f>
        <v>-0.19203041116100436</v>
      </c>
    </row>
    <row r="10" spans="1:20" x14ac:dyDescent="0.25">
      <c r="A10" s="5">
        <v>44583</v>
      </c>
      <c r="B10">
        <v>8.2759999999999998</v>
      </c>
      <c r="C10">
        <v>8.5120000000000005</v>
      </c>
      <c r="D10">
        <v>5.3470000000000004</v>
      </c>
      <c r="E10">
        <v>6.452</v>
      </c>
      <c r="F10">
        <v>24751674</v>
      </c>
      <c r="G10">
        <v>6.452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-0.30173775671406033</v>
      </c>
      <c r="Q10">
        <f t="shared" ref="Q10" si="26">F10*P10</f>
        <v>-7468514.587677733</v>
      </c>
      <c r="R10">
        <f t="shared" ref="R10" si="27">R11+Q10</f>
        <v>-17181291.343417756</v>
      </c>
      <c r="S10">
        <f t="shared" ref="S10" si="28">R10/100000</f>
        <v>-171.81291343417757</v>
      </c>
      <c r="T10">
        <f t="shared" si="24"/>
        <v>-0.17181291343417757</v>
      </c>
    </row>
    <row r="11" spans="1:20" x14ac:dyDescent="0.25">
      <c r="A11" s="5">
        <v>44582</v>
      </c>
      <c r="B11">
        <v>7.4640000000000004</v>
      </c>
      <c r="C11">
        <v>8.9</v>
      </c>
      <c r="D11">
        <v>7.0229999999999997</v>
      </c>
      <c r="E11">
        <v>8.2850000000000001</v>
      </c>
      <c r="F11">
        <v>24889065.780000001</v>
      </c>
      <c r="G11">
        <v>8.2850000000000001</v>
      </c>
      <c r="L11" t="s">
        <v>8</v>
      </c>
      <c r="M11" t="s">
        <v>8</v>
      </c>
      <c r="N11" t="s">
        <v>8</v>
      </c>
      <c r="P11">
        <f t="shared" ref="P11" si="29">IF(C11=D11,0,((E11-D11)-(C11-E11))/(C11-D11))</f>
        <v>0.34469898774640384</v>
      </c>
      <c r="Q11">
        <f t="shared" ref="Q11" si="30">F11*P11</f>
        <v>8579235.780319659</v>
      </c>
      <c r="R11">
        <f t="shared" ref="R11" si="31">R12+Q11</f>
        <v>-9712776.7557400223</v>
      </c>
      <c r="S11">
        <f t="shared" ref="S11" si="32">R11/100000</f>
        <v>-97.127767557400219</v>
      </c>
      <c r="T11">
        <f t="shared" si="24"/>
        <v>-9.7127767557400213E-2</v>
      </c>
    </row>
    <row r="12" spans="1:20" x14ac:dyDescent="0.25">
      <c r="A12" s="5">
        <v>44581</v>
      </c>
      <c r="B12">
        <v>6.95</v>
      </c>
      <c r="C12">
        <v>8.4</v>
      </c>
      <c r="D12">
        <v>6.9089999999999998</v>
      </c>
      <c r="E12">
        <v>7.4660000000000002</v>
      </c>
      <c r="F12">
        <v>11822590.119999999</v>
      </c>
      <c r="G12">
        <v>7.4660000000000002</v>
      </c>
      <c r="L12" t="s">
        <v>8</v>
      </c>
      <c r="M12" t="s">
        <v>8</v>
      </c>
      <c r="N12" t="s">
        <v>8</v>
      </c>
      <c r="P12">
        <f t="shared" ref="P12" si="33">IF(C12=D12,0,((E12-D12)-(C12-E12))/(C12-D12))</f>
        <v>-0.25285043594902723</v>
      </c>
      <c r="Q12">
        <f t="shared" ref="Q12" si="34">F12*P12</f>
        <v>-2989347.0658886619</v>
      </c>
      <c r="R12">
        <f t="shared" ref="R12" si="35">R13+Q12</f>
        <v>-18292012.536059681</v>
      </c>
      <c r="S12">
        <f t="shared" ref="S12" si="36">R12/100000</f>
        <v>-182.92012536059681</v>
      </c>
      <c r="T12">
        <f t="shared" si="24"/>
        <v>-0.18292012536059682</v>
      </c>
    </row>
    <row r="13" spans="1:20" x14ac:dyDescent="0.25">
      <c r="A13" s="5">
        <v>44580</v>
      </c>
      <c r="B13">
        <v>7.0060000000000002</v>
      </c>
      <c r="C13">
        <v>7.319</v>
      </c>
      <c r="D13">
        <v>6.59</v>
      </c>
      <c r="E13">
        <v>6.9480000000000004</v>
      </c>
      <c r="F13">
        <v>3560638.25</v>
      </c>
      <c r="G13">
        <v>6.9480000000000004</v>
      </c>
      <c r="L13" t="s">
        <v>7</v>
      </c>
      <c r="M13" t="s">
        <v>7</v>
      </c>
      <c r="N13" t="s">
        <v>8</v>
      </c>
      <c r="P13">
        <f t="shared" ref="P13" si="37">IF(C13=D13,0,((E13-D13)-(C13-E13))/(C13-D13))</f>
        <v>-1.7832647462275735E-2</v>
      </c>
      <c r="Q13">
        <f t="shared" ref="Q13" si="38">F13*P13</f>
        <v>-63495.606652944414</v>
      </c>
      <c r="R13">
        <f t="shared" ref="R13" si="39">R14+Q13</f>
        <v>-15302665.470171019</v>
      </c>
      <c r="S13">
        <f t="shared" ref="S13" si="40">R13/100000</f>
        <v>-153.02665470171019</v>
      </c>
      <c r="T13">
        <f t="shared" si="24"/>
        <v>-0.15302665470171017</v>
      </c>
    </row>
    <row r="14" spans="1:20" x14ac:dyDescent="0.25">
      <c r="A14" s="5">
        <v>44579</v>
      </c>
      <c r="B14">
        <v>7.4119999999999999</v>
      </c>
      <c r="C14">
        <v>7.484</v>
      </c>
      <c r="D14">
        <v>6.7549999999999999</v>
      </c>
      <c r="E14">
        <v>7.0039999999999996</v>
      </c>
      <c r="F14">
        <v>2972127</v>
      </c>
      <c r="G14">
        <v>7.0039999999999996</v>
      </c>
      <c r="L14" t="s">
        <v>7</v>
      </c>
      <c r="M14" t="s">
        <v>7</v>
      </c>
      <c r="N14" t="s">
        <v>8</v>
      </c>
      <c r="P14">
        <f t="shared" ref="P14" si="41">IF(C14=D14,0,((E14-D14)-(C14-E14))/(C14-D14))</f>
        <v>-0.31687242798354009</v>
      </c>
      <c r="Q14">
        <f t="shared" ref="Q14" si="42">F14*P14</f>
        <v>-941785.09876543505</v>
      </c>
      <c r="R14">
        <f t="shared" ref="R14" si="43">R15+Q14</f>
        <v>-15239169.863518074</v>
      </c>
      <c r="S14">
        <f t="shared" ref="S14" si="44">R14/100000</f>
        <v>-152.39169863518075</v>
      </c>
      <c r="T14">
        <f t="shared" si="24"/>
        <v>-0.15239169863518073</v>
      </c>
    </row>
    <row r="15" spans="1:20" x14ac:dyDescent="0.25">
      <c r="A15" s="5">
        <v>44578</v>
      </c>
      <c r="B15">
        <v>7.6260000000000003</v>
      </c>
      <c r="C15">
        <v>7.665</v>
      </c>
      <c r="D15">
        <v>7.0419999999999998</v>
      </c>
      <c r="E15">
        <v>7.4089999999999998</v>
      </c>
      <c r="F15">
        <v>2815840.29</v>
      </c>
      <c r="G15">
        <v>0</v>
      </c>
      <c r="L15" t="s">
        <v>7</v>
      </c>
      <c r="M15" t="s">
        <v>8</v>
      </c>
      <c r="N15" t="s">
        <v>8</v>
      </c>
      <c r="P15">
        <f t="shared" ref="P15" si="45">IF(C15=D15,0,((E15-D15)-(C15-E15))/(C15-D15))</f>
        <v>0.17817014446227886</v>
      </c>
      <c r="Q15">
        <f t="shared" ref="Q15" si="46">F15*P15</f>
        <v>501698.67125200521</v>
      </c>
      <c r="R15">
        <f t="shared" ref="R15" si="47">R16+Q15</f>
        <v>-14297384.764752639</v>
      </c>
      <c r="S15">
        <f t="shared" ref="S15" si="48">R15/100000</f>
        <v>-142.97384764752638</v>
      </c>
      <c r="T15">
        <f t="shared" si="24"/>
        <v>-0.14297384764752638</v>
      </c>
    </row>
    <row r="16" spans="1:20" x14ac:dyDescent="0.25">
      <c r="A16" s="5">
        <v>44577</v>
      </c>
      <c r="B16">
        <v>7.8579999999999997</v>
      </c>
      <c r="C16">
        <v>7.9180000000000001</v>
      </c>
      <c r="D16">
        <v>7.5190000000000001</v>
      </c>
      <c r="E16">
        <v>7.6219999999999999</v>
      </c>
      <c r="F16">
        <v>2368531.08</v>
      </c>
      <c r="G16">
        <v>0</v>
      </c>
      <c r="L16" t="s">
        <v>7</v>
      </c>
      <c r="M16" t="s">
        <v>8</v>
      </c>
      <c r="N16" t="s">
        <v>8</v>
      </c>
      <c r="P16">
        <f t="shared" ref="P16:P79" si="49">IF(C16=D16,0,((E16-D16)-(C16-E16))/(C16-D16))</f>
        <v>-0.48370927318295864</v>
      </c>
      <c r="Q16">
        <f t="shared" ref="Q16:Q79" si="50">F16*P16</f>
        <v>-1145680.4472180482</v>
      </c>
      <c r="R16">
        <f t="shared" ref="R16:R79" si="51">R17+Q16</f>
        <v>-14799083.436004644</v>
      </c>
      <c r="S16">
        <f t="shared" ref="S16:S79" si="52">R16/100000</f>
        <v>-147.99083436004645</v>
      </c>
      <c r="T16">
        <f t="shared" ref="T16:T79" si="53">S16/1000</f>
        <v>-0.14799083436004645</v>
      </c>
    </row>
    <row r="17" spans="1:20" x14ac:dyDescent="0.25">
      <c r="A17" s="5">
        <v>44576</v>
      </c>
      <c r="B17">
        <v>7.6760000000000002</v>
      </c>
      <c r="C17">
        <v>8.1</v>
      </c>
      <c r="D17">
        <v>7.6150000000000002</v>
      </c>
      <c r="E17">
        <v>7.8609999999999998</v>
      </c>
      <c r="F17">
        <v>2915750.9</v>
      </c>
      <c r="G17">
        <v>0</v>
      </c>
      <c r="L17" t="s">
        <v>8</v>
      </c>
      <c r="M17" t="s">
        <v>8</v>
      </c>
      <c r="N17" t="s">
        <v>8</v>
      </c>
      <c r="P17">
        <f t="shared" si="49"/>
        <v>1.4432989690720993E-2</v>
      </c>
      <c r="Q17">
        <f t="shared" si="50"/>
        <v>42083.002680410456</v>
      </c>
      <c r="R17">
        <f t="shared" si="51"/>
        <v>-13653402.988786597</v>
      </c>
      <c r="S17">
        <f t="shared" si="52"/>
        <v>-136.53402988786596</v>
      </c>
      <c r="T17">
        <f t="shared" si="53"/>
        <v>-0.13653402988786595</v>
      </c>
    </row>
    <row r="18" spans="1:20" x14ac:dyDescent="0.25">
      <c r="A18" s="5">
        <v>44575</v>
      </c>
      <c r="B18">
        <v>7.6230000000000002</v>
      </c>
      <c r="C18">
        <v>8.1440000000000001</v>
      </c>
      <c r="D18">
        <v>7.4180000000000001</v>
      </c>
      <c r="E18">
        <v>7.6779999999999999</v>
      </c>
      <c r="F18">
        <v>4879681.53</v>
      </c>
      <c r="G18">
        <v>0</v>
      </c>
      <c r="L18" t="s">
        <v>7</v>
      </c>
      <c r="M18" t="s">
        <v>8</v>
      </c>
      <c r="N18" t="s">
        <v>8</v>
      </c>
      <c r="P18">
        <f t="shared" si="49"/>
        <v>-0.28374655647382979</v>
      </c>
      <c r="Q18">
        <f t="shared" si="50"/>
        <v>-1384592.8308264492</v>
      </c>
      <c r="R18">
        <f t="shared" si="51"/>
        <v>-13695485.991467007</v>
      </c>
      <c r="S18">
        <f t="shared" si="52"/>
        <v>-136.95485991467007</v>
      </c>
      <c r="T18">
        <f t="shared" si="53"/>
        <v>-0.13695485991467007</v>
      </c>
    </row>
    <row r="19" spans="1:20" x14ac:dyDescent="0.25">
      <c r="A19" s="5">
        <v>44574</v>
      </c>
      <c r="B19">
        <v>7.7610000000000001</v>
      </c>
      <c r="C19">
        <v>8.266</v>
      </c>
      <c r="D19">
        <v>7.516</v>
      </c>
      <c r="E19">
        <v>7.6230000000000002</v>
      </c>
      <c r="F19">
        <v>7603623.7699999996</v>
      </c>
      <c r="G19">
        <v>0</v>
      </c>
      <c r="L19" t="s">
        <v>8</v>
      </c>
      <c r="M19" t="s">
        <v>8</v>
      </c>
      <c r="N19" t="s">
        <v>8</v>
      </c>
      <c r="P19">
        <f t="shared" si="49"/>
        <v>-0.71466666666666612</v>
      </c>
      <c r="Q19">
        <f t="shared" si="50"/>
        <v>-5434056.4542933293</v>
      </c>
      <c r="R19">
        <f t="shared" si="51"/>
        <v>-12310893.160640556</v>
      </c>
      <c r="S19">
        <f t="shared" si="52"/>
        <v>-123.10893160640556</v>
      </c>
      <c r="T19">
        <f t="shared" si="53"/>
        <v>-0.12310893160640556</v>
      </c>
    </row>
    <row r="20" spans="1:20" x14ac:dyDescent="0.25">
      <c r="A20" s="5">
        <v>44573</v>
      </c>
      <c r="B20">
        <v>7.1150000000000002</v>
      </c>
      <c r="C20">
        <v>7.8949999999999996</v>
      </c>
      <c r="D20">
        <v>7.0860000000000003</v>
      </c>
      <c r="E20">
        <v>7.76</v>
      </c>
      <c r="F20">
        <v>5635893.71</v>
      </c>
      <c r="G20">
        <v>0</v>
      </c>
      <c r="L20" t="s">
        <v>8</v>
      </c>
      <c r="M20" t="s">
        <v>8</v>
      </c>
      <c r="N20" t="s">
        <v>7</v>
      </c>
      <c r="P20">
        <f t="shared" si="49"/>
        <v>0.66625463535228702</v>
      </c>
      <c r="Q20">
        <f t="shared" si="50"/>
        <v>3754940.308640298</v>
      </c>
      <c r="R20">
        <f t="shared" si="51"/>
        <v>-6876836.7063472271</v>
      </c>
      <c r="S20">
        <f t="shared" si="52"/>
        <v>-68.768367063472269</v>
      </c>
      <c r="T20">
        <f t="shared" si="53"/>
        <v>-6.8768367063472266E-2</v>
      </c>
    </row>
    <row r="21" spans="1:20" x14ac:dyDescent="0.25">
      <c r="A21" s="5">
        <v>44572</v>
      </c>
      <c r="B21">
        <v>6.3680000000000003</v>
      </c>
      <c r="C21">
        <v>7.2089999999999996</v>
      </c>
      <c r="D21">
        <v>6.298</v>
      </c>
      <c r="E21">
        <v>7.1150000000000002</v>
      </c>
      <c r="F21">
        <v>4045152.22</v>
      </c>
      <c r="G21">
        <v>0</v>
      </c>
      <c r="L21" t="s">
        <v>8</v>
      </c>
      <c r="M21" t="s">
        <v>8</v>
      </c>
      <c r="N21" t="s">
        <v>7</v>
      </c>
      <c r="P21">
        <f t="shared" si="49"/>
        <v>0.79363336992316258</v>
      </c>
      <c r="Q21">
        <f t="shared" si="50"/>
        <v>3210367.7882107627</v>
      </c>
      <c r="R21">
        <f t="shared" si="51"/>
        <v>-10631777.014987525</v>
      </c>
      <c r="S21">
        <f t="shared" si="52"/>
        <v>-106.31777014987524</v>
      </c>
      <c r="T21">
        <f t="shared" si="53"/>
        <v>-0.10631777014987524</v>
      </c>
    </row>
    <row r="22" spans="1:20" x14ac:dyDescent="0.25">
      <c r="A22" s="5">
        <v>44571</v>
      </c>
      <c r="B22">
        <v>6.7389999999999999</v>
      </c>
      <c r="C22">
        <v>6.86</v>
      </c>
      <c r="D22">
        <v>5.9370000000000003</v>
      </c>
      <c r="E22">
        <v>6.3689999999999998</v>
      </c>
      <c r="F22">
        <v>4882149.5599999996</v>
      </c>
      <c r="G22">
        <v>0</v>
      </c>
      <c r="L22" t="s">
        <v>7</v>
      </c>
      <c r="M22" t="s">
        <v>7</v>
      </c>
      <c r="N22" t="s">
        <v>7</v>
      </c>
      <c r="P22">
        <f t="shared" si="49"/>
        <v>-6.3921993499459429E-2</v>
      </c>
      <c r="Q22">
        <f t="shared" si="50"/>
        <v>-312076.73243770871</v>
      </c>
      <c r="R22">
        <f t="shared" si="51"/>
        <v>-13842144.803198287</v>
      </c>
      <c r="S22">
        <f t="shared" si="52"/>
        <v>-138.42144803198286</v>
      </c>
      <c r="T22">
        <f t="shared" si="53"/>
        <v>-0.13842144803198286</v>
      </c>
    </row>
    <row r="23" spans="1:20" x14ac:dyDescent="0.25">
      <c r="A23" s="5">
        <v>44570</v>
      </c>
      <c r="B23">
        <v>6.7290000000000001</v>
      </c>
      <c r="C23">
        <v>6.968</v>
      </c>
      <c r="D23">
        <v>6.5380000000000003</v>
      </c>
      <c r="E23">
        <v>6.7389999999999999</v>
      </c>
      <c r="F23">
        <v>2842922.63</v>
      </c>
      <c r="G23">
        <v>0</v>
      </c>
      <c r="L23" t="s">
        <v>8</v>
      </c>
      <c r="M23" t="s">
        <v>7</v>
      </c>
      <c r="N23" t="s">
        <v>7</v>
      </c>
      <c r="P23">
        <f t="shared" si="49"/>
        <v>-6.5116279069768579E-2</v>
      </c>
      <c r="Q23">
        <f t="shared" si="50"/>
        <v>-185120.54334884044</v>
      </c>
      <c r="R23">
        <f t="shared" si="51"/>
        <v>-13530068.070760578</v>
      </c>
      <c r="S23">
        <f t="shared" si="52"/>
        <v>-135.30068070760578</v>
      </c>
      <c r="T23">
        <f t="shared" si="53"/>
        <v>-0.13530068070760579</v>
      </c>
    </row>
    <row r="24" spans="1:20" x14ac:dyDescent="0.25">
      <c r="A24" s="5">
        <v>44569</v>
      </c>
      <c r="B24">
        <v>7.0810000000000004</v>
      </c>
      <c r="C24">
        <v>7.3049999999999997</v>
      </c>
      <c r="D24">
        <v>6.4020000000000001</v>
      </c>
      <c r="E24">
        <v>6.7270000000000003</v>
      </c>
      <c r="F24">
        <v>4163818.44</v>
      </c>
      <c r="G24">
        <v>0</v>
      </c>
      <c r="L24" t="s">
        <v>7</v>
      </c>
      <c r="M24" t="s">
        <v>7</v>
      </c>
      <c r="N24" t="s">
        <v>7</v>
      </c>
      <c r="P24">
        <f t="shared" si="49"/>
        <v>-0.28017718715393058</v>
      </c>
      <c r="Q24">
        <f t="shared" si="50"/>
        <v>-1166606.9383388672</v>
      </c>
      <c r="R24">
        <f t="shared" si="51"/>
        <v>-13344947.527411738</v>
      </c>
      <c r="S24">
        <f t="shared" si="52"/>
        <v>-133.44947527411739</v>
      </c>
      <c r="T24">
        <f t="shared" si="53"/>
        <v>-0.13344947527411738</v>
      </c>
    </row>
    <row r="25" spans="1:20" x14ac:dyDescent="0.25">
      <c r="A25" s="5">
        <v>44568</v>
      </c>
      <c r="B25">
        <v>7.62</v>
      </c>
      <c r="C25">
        <v>7.6470000000000002</v>
      </c>
      <c r="D25">
        <v>6.7670000000000003</v>
      </c>
      <c r="E25">
        <v>7.08</v>
      </c>
      <c r="F25">
        <v>5492485.6900000004</v>
      </c>
      <c r="G25">
        <v>0</v>
      </c>
      <c r="L25" t="s">
        <v>7</v>
      </c>
      <c r="M25" t="s">
        <v>7</v>
      </c>
      <c r="N25" t="s">
        <v>7</v>
      </c>
      <c r="P25">
        <f t="shared" si="49"/>
        <v>-0.28863636363636419</v>
      </c>
      <c r="Q25">
        <f t="shared" si="50"/>
        <v>-1585331.0968863668</v>
      </c>
      <c r="R25">
        <f t="shared" si="51"/>
        <v>-12178340.589072872</v>
      </c>
      <c r="S25">
        <f t="shared" si="52"/>
        <v>-121.78340589072872</v>
      </c>
      <c r="T25">
        <f t="shared" si="53"/>
        <v>-0.12178340589072871</v>
      </c>
    </row>
    <row r="26" spans="1:20" x14ac:dyDescent="0.25">
      <c r="A26" s="5">
        <v>44567</v>
      </c>
      <c r="B26">
        <v>7.8040000000000003</v>
      </c>
      <c r="C26">
        <v>7.8730000000000002</v>
      </c>
      <c r="D26">
        <v>7.2510000000000003</v>
      </c>
      <c r="E26">
        <v>7.6210000000000004</v>
      </c>
      <c r="F26">
        <v>5131700.96</v>
      </c>
      <c r="G26">
        <v>0</v>
      </c>
      <c r="L26" t="s">
        <v>8</v>
      </c>
      <c r="M26" t="s">
        <v>7</v>
      </c>
      <c r="N26" t="s">
        <v>7</v>
      </c>
      <c r="P26">
        <f t="shared" si="49"/>
        <v>0.18971061093247643</v>
      </c>
      <c r="Q26">
        <f t="shared" si="50"/>
        <v>973538.12424437574</v>
      </c>
      <c r="R26">
        <f t="shared" si="51"/>
        <v>-10593009.492186505</v>
      </c>
      <c r="S26">
        <f t="shared" si="52"/>
        <v>-105.93009492186505</v>
      </c>
      <c r="T26">
        <f t="shared" si="53"/>
        <v>-0.10593009492186505</v>
      </c>
    </row>
    <row r="27" spans="1:20" x14ac:dyDescent="0.25">
      <c r="A27" s="5">
        <v>44566</v>
      </c>
      <c r="B27">
        <v>8.2390000000000008</v>
      </c>
      <c r="C27">
        <v>9.1739999999999995</v>
      </c>
      <c r="D27">
        <v>7.3330000000000002</v>
      </c>
      <c r="E27">
        <v>7.8079999999999998</v>
      </c>
      <c r="F27">
        <v>7070033.7300000004</v>
      </c>
      <c r="G27">
        <v>0</v>
      </c>
      <c r="L27" t="s">
        <v>7</v>
      </c>
      <c r="M27" t="s">
        <v>7</v>
      </c>
      <c r="N27" t="s">
        <v>7</v>
      </c>
      <c r="P27">
        <f t="shared" si="49"/>
        <v>-0.48397609994568186</v>
      </c>
      <c r="Q27">
        <f t="shared" si="50"/>
        <v>-3421727.351129822</v>
      </c>
      <c r="R27">
        <f t="shared" si="51"/>
        <v>-11566547.616430881</v>
      </c>
      <c r="S27">
        <f t="shared" si="52"/>
        <v>-115.6654761643088</v>
      </c>
      <c r="T27">
        <f t="shared" si="53"/>
        <v>-0.11566547616430881</v>
      </c>
    </row>
    <row r="28" spans="1:20" x14ac:dyDescent="0.25">
      <c r="A28" s="5">
        <v>44565</v>
      </c>
      <c r="B28">
        <v>8.3010000000000002</v>
      </c>
      <c r="C28">
        <v>8.6319999999999997</v>
      </c>
      <c r="D28">
        <v>8.0609999999999999</v>
      </c>
      <c r="E28">
        <v>8.2349999999999994</v>
      </c>
      <c r="F28">
        <v>2900797.32</v>
      </c>
      <c r="G28">
        <v>0</v>
      </c>
      <c r="L28" t="s">
        <v>7</v>
      </c>
      <c r="M28" t="s">
        <v>7</v>
      </c>
      <c r="N28" t="s">
        <v>8</v>
      </c>
      <c r="P28">
        <f t="shared" si="49"/>
        <v>-0.39054290718038681</v>
      </c>
      <c r="Q28">
        <f t="shared" si="50"/>
        <v>-1132885.8184938747</v>
      </c>
      <c r="R28">
        <f t="shared" si="51"/>
        <v>-8144820.265301059</v>
      </c>
      <c r="S28">
        <f t="shared" si="52"/>
        <v>-81.448202653010597</v>
      </c>
      <c r="T28">
        <f t="shared" si="53"/>
        <v>-8.1448202653010601E-2</v>
      </c>
    </row>
    <row r="29" spans="1:20" x14ac:dyDescent="0.25">
      <c r="A29" s="5">
        <v>44564</v>
      </c>
      <c r="B29">
        <v>8.6969999999999992</v>
      </c>
      <c r="C29">
        <v>8.7080000000000002</v>
      </c>
      <c r="D29">
        <v>8.0340000000000007</v>
      </c>
      <c r="E29">
        <v>8.3059999999999992</v>
      </c>
      <c r="F29">
        <v>2872807.59</v>
      </c>
      <c r="G29">
        <v>0</v>
      </c>
      <c r="L29" t="s">
        <v>7</v>
      </c>
      <c r="M29" t="s">
        <v>7</v>
      </c>
      <c r="N29" t="s">
        <v>8</v>
      </c>
      <c r="P29">
        <f t="shared" si="49"/>
        <v>-0.19287833827893569</v>
      </c>
      <c r="Q29">
        <f t="shared" si="50"/>
        <v>-554102.35415431391</v>
      </c>
      <c r="R29">
        <f t="shared" si="51"/>
        <v>-7011934.4468071843</v>
      </c>
      <c r="S29">
        <f t="shared" si="52"/>
        <v>-70.119344468071844</v>
      </c>
      <c r="T29">
        <f t="shared" si="53"/>
        <v>-7.0119344468071845E-2</v>
      </c>
    </row>
    <row r="30" spans="1:20" x14ac:dyDescent="0.25">
      <c r="A30" s="5">
        <v>44563</v>
      </c>
      <c r="B30">
        <v>8.4559999999999995</v>
      </c>
      <c r="C30">
        <v>8.8800000000000008</v>
      </c>
      <c r="D30">
        <v>8.2910000000000004</v>
      </c>
      <c r="E30">
        <v>8.6980000000000004</v>
      </c>
      <c r="F30">
        <v>2671906.7599999998</v>
      </c>
      <c r="G30">
        <v>0</v>
      </c>
      <c r="L30" t="s">
        <v>8</v>
      </c>
      <c r="M30" t="s">
        <v>7</v>
      </c>
      <c r="N30" t="s">
        <v>8</v>
      </c>
      <c r="P30">
        <f t="shared" si="49"/>
        <v>0.38200339558573765</v>
      </c>
      <c r="Q30">
        <f t="shared" si="50"/>
        <v>1020677.4550084865</v>
      </c>
      <c r="R30">
        <f t="shared" si="51"/>
        <v>-6457832.0926528703</v>
      </c>
      <c r="S30">
        <f t="shared" si="52"/>
        <v>-64.578320926528704</v>
      </c>
      <c r="T30">
        <f t="shared" si="53"/>
        <v>-6.4578320926528709E-2</v>
      </c>
    </row>
    <row r="31" spans="1:20" x14ac:dyDescent="0.25">
      <c r="A31" s="5">
        <v>44562</v>
      </c>
      <c r="B31">
        <v>8.1010000000000009</v>
      </c>
      <c r="C31">
        <v>8.5210000000000008</v>
      </c>
      <c r="D31">
        <v>8.0969999999999995</v>
      </c>
      <c r="E31">
        <v>8.4559999999999995</v>
      </c>
      <c r="F31">
        <v>1949010.42</v>
      </c>
      <c r="G31">
        <v>0</v>
      </c>
      <c r="L31" t="s">
        <v>8</v>
      </c>
      <c r="M31" t="s">
        <v>7</v>
      </c>
      <c r="N31" t="s">
        <v>8</v>
      </c>
      <c r="P31">
        <f t="shared" si="49"/>
        <v>0.69339622641508925</v>
      </c>
      <c r="Q31">
        <f t="shared" si="50"/>
        <v>1351436.4704716881</v>
      </c>
      <c r="R31">
        <f t="shared" si="51"/>
        <v>-7478509.5476613566</v>
      </c>
      <c r="S31">
        <f t="shared" si="52"/>
        <v>-74.785095476613563</v>
      </c>
      <c r="T31">
        <f t="shared" si="53"/>
        <v>-7.4785095476613564E-2</v>
      </c>
    </row>
    <row r="32" spans="1:20" x14ac:dyDescent="0.25">
      <c r="A32" s="5">
        <v>44561</v>
      </c>
      <c r="B32">
        <v>8.3940000000000001</v>
      </c>
      <c r="C32">
        <v>8.7200000000000006</v>
      </c>
      <c r="D32">
        <v>7.8769999999999998</v>
      </c>
      <c r="E32">
        <v>8.0969999999999995</v>
      </c>
      <c r="F32">
        <v>4523975.9800000004</v>
      </c>
      <c r="G32">
        <v>0</v>
      </c>
      <c r="L32" t="s">
        <v>7</v>
      </c>
      <c r="M32" t="s">
        <v>7</v>
      </c>
      <c r="N32" t="s">
        <v>8</v>
      </c>
      <c r="P32">
        <f t="shared" si="49"/>
        <v>-0.47805456702253968</v>
      </c>
      <c r="Q32">
        <f t="shared" si="50"/>
        <v>-2162707.3783392697</v>
      </c>
      <c r="R32">
        <f t="shared" si="51"/>
        <v>-8829946.0181330442</v>
      </c>
      <c r="S32">
        <f t="shared" si="52"/>
        <v>-88.299460181330446</v>
      </c>
      <c r="T32">
        <f t="shared" si="53"/>
        <v>-8.8299460181330447E-2</v>
      </c>
    </row>
    <row r="33" spans="1:20" x14ac:dyDescent="0.25">
      <c r="A33" s="5">
        <v>44560</v>
      </c>
      <c r="B33">
        <v>8.7430000000000003</v>
      </c>
      <c r="C33">
        <v>9.0739999999999998</v>
      </c>
      <c r="D33">
        <v>8.266</v>
      </c>
      <c r="E33">
        <v>8.3960000000000008</v>
      </c>
      <c r="F33">
        <v>5301119.72</v>
      </c>
      <c r="G33">
        <v>0</v>
      </c>
      <c r="L33" t="s">
        <v>7</v>
      </c>
      <c r="M33" t="s">
        <v>7</v>
      </c>
      <c r="N33" t="s">
        <v>8</v>
      </c>
      <c r="P33">
        <f t="shared" si="49"/>
        <v>-0.67821782178217627</v>
      </c>
      <c r="Q33">
        <f t="shared" si="50"/>
        <v>-3595313.8695049398</v>
      </c>
      <c r="R33">
        <f t="shared" si="51"/>
        <v>-6667238.6397937741</v>
      </c>
      <c r="S33">
        <f t="shared" si="52"/>
        <v>-66.672386397937743</v>
      </c>
      <c r="T33">
        <f t="shared" si="53"/>
        <v>-6.6672386397937738E-2</v>
      </c>
    </row>
    <row r="34" spans="1:20" x14ac:dyDescent="0.25">
      <c r="A34" s="5">
        <v>44559</v>
      </c>
      <c r="B34">
        <v>10.166</v>
      </c>
      <c r="C34">
        <v>10.725</v>
      </c>
      <c r="D34">
        <v>8.532</v>
      </c>
      <c r="E34">
        <v>8.7409999999999997</v>
      </c>
      <c r="F34">
        <v>9215254.9499999993</v>
      </c>
      <c r="G34">
        <v>0</v>
      </c>
      <c r="L34" t="s">
        <v>7</v>
      </c>
      <c r="M34" t="s">
        <v>7</v>
      </c>
      <c r="N34" t="s">
        <v>8</v>
      </c>
      <c r="P34">
        <f t="shared" si="49"/>
        <v>-0.80939352485180149</v>
      </c>
      <c r="Q34">
        <f t="shared" si="50"/>
        <v>-7458767.6863885112</v>
      </c>
      <c r="R34">
        <f t="shared" si="51"/>
        <v>-3071924.7702888343</v>
      </c>
      <c r="S34">
        <f t="shared" si="52"/>
        <v>-30.719247702888342</v>
      </c>
      <c r="T34">
        <f t="shared" si="53"/>
        <v>-3.0719247702888343E-2</v>
      </c>
    </row>
    <row r="35" spans="1:20" x14ac:dyDescent="0.25">
      <c r="A35" s="5">
        <v>44558</v>
      </c>
      <c r="B35">
        <v>10.003</v>
      </c>
      <c r="C35">
        <v>10.73</v>
      </c>
      <c r="D35">
        <v>9.1210000000000004</v>
      </c>
      <c r="E35">
        <v>10.166</v>
      </c>
      <c r="F35">
        <v>14153380.449999999</v>
      </c>
      <c r="G35">
        <v>0</v>
      </c>
      <c r="L35" t="s">
        <v>7</v>
      </c>
      <c r="M35" t="s">
        <v>8</v>
      </c>
      <c r="N35" t="s">
        <v>8</v>
      </c>
      <c r="P35">
        <f t="shared" si="49"/>
        <v>0.2989434431323803</v>
      </c>
      <c r="Q35">
        <f t="shared" si="50"/>
        <v>4231060.2836855175</v>
      </c>
      <c r="R35">
        <f t="shared" si="51"/>
        <v>4386842.9160996769</v>
      </c>
      <c r="S35">
        <f t="shared" si="52"/>
        <v>43.868429160996769</v>
      </c>
      <c r="T35">
        <f t="shared" si="53"/>
        <v>4.3868429160996772E-2</v>
      </c>
    </row>
    <row r="36" spans="1:20" x14ac:dyDescent="0.25">
      <c r="A36" s="5">
        <v>44557</v>
      </c>
      <c r="B36">
        <v>9.24</v>
      </c>
      <c r="C36">
        <v>10.657999999999999</v>
      </c>
      <c r="D36">
        <v>9.0809999999999995</v>
      </c>
      <c r="E36">
        <v>10.003</v>
      </c>
      <c r="F36">
        <v>6155473.9500000002</v>
      </c>
      <c r="G36">
        <v>0</v>
      </c>
      <c r="L36" t="s">
        <v>8</v>
      </c>
      <c r="M36" t="s">
        <v>8</v>
      </c>
      <c r="N36" t="s">
        <v>8</v>
      </c>
      <c r="P36">
        <f t="shared" si="49"/>
        <v>0.16930881420418595</v>
      </c>
      <c r="Q36">
        <f t="shared" si="50"/>
        <v>1042175.9953392566</v>
      </c>
      <c r="R36">
        <f t="shared" si="51"/>
        <v>155782.63241415971</v>
      </c>
      <c r="S36">
        <f t="shared" si="52"/>
        <v>1.5578263241415971</v>
      </c>
      <c r="T36">
        <f t="shared" si="53"/>
        <v>1.557826324141597E-3</v>
      </c>
    </row>
    <row r="37" spans="1:20" x14ac:dyDescent="0.25">
      <c r="A37" s="5">
        <v>44556</v>
      </c>
      <c r="B37">
        <v>8.9949999999999992</v>
      </c>
      <c r="C37">
        <v>9.32</v>
      </c>
      <c r="D37">
        <v>8.6020000000000003</v>
      </c>
      <c r="E37">
        <v>9.2439999999999998</v>
      </c>
      <c r="F37">
        <v>2831172.87</v>
      </c>
      <c r="G37">
        <v>0</v>
      </c>
      <c r="L37" t="s">
        <v>8</v>
      </c>
      <c r="M37" t="s">
        <v>8</v>
      </c>
      <c r="N37" t="s">
        <v>7</v>
      </c>
      <c r="P37">
        <f t="shared" si="49"/>
        <v>0.78830083565459463</v>
      </c>
      <c r="Q37">
        <f t="shared" si="50"/>
        <v>2231815.939303617</v>
      </c>
      <c r="R37">
        <f t="shared" si="51"/>
        <v>-886393.36292509688</v>
      </c>
      <c r="S37">
        <f t="shared" si="52"/>
        <v>-8.8639336292509689</v>
      </c>
      <c r="T37">
        <f t="shared" si="53"/>
        <v>-8.8639336292509682E-3</v>
      </c>
    </row>
    <row r="38" spans="1:20" x14ac:dyDescent="0.25">
      <c r="A38" s="5">
        <v>44555</v>
      </c>
      <c r="B38">
        <v>8.6989999999999998</v>
      </c>
      <c r="C38">
        <v>9.1880000000000006</v>
      </c>
      <c r="D38">
        <v>8.6199999999999992</v>
      </c>
      <c r="E38">
        <v>8.9789999999999992</v>
      </c>
      <c r="F38">
        <v>2415529.04</v>
      </c>
      <c r="G38">
        <v>0</v>
      </c>
      <c r="L38" t="s">
        <v>7</v>
      </c>
      <c r="M38" t="s">
        <v>8</v>
      </c>
      <c r="N38" t="s">
        <v>7</v>
      </c>
      <c r="P38">
        <f t="shared" si="49"/>
        <v>0.26408450704225039</v>
      </c>
      <c r="Q38">
        <f t="shared" si="50"/>
        <v>637903.7957746404</v>
      </c>
      <c r="R38">
        <f t="shared" si="51"/>
        <v>-3118209.3022287139</v>
      </c>
      <c r="S38">
        <f t="shared" si="52"/>
        <v>-31.182093022287138</v>
      </c>
      <c r="T38">
        <f t="shared" si="53"/>
        <v>-3.1182093022287138E-2</v>
      </c>
    </row>
    <row r="39" spans="1:20" x14ac:dyDescent="0.25">
      <c r="A39" s="5">
        <v>44554</v>
      </c>
      <c r="B39">
        <v>8.8350000000000009</v>
      </c>
      <c r="C39">
        <v>9.4909999999999997</v>
      </c>
      <c r="D39">
        <v>8.5329999999999995</v>
      </c>
      <c r="E39">
        <v>8.6989999999999998</v>
      </c>
      <c r="F39">
        <v>5260237.95</v>
      </c>
      <c r="G39">
        <v>0</v>
      </c>
      <c r="L39" t="s">
        <v>8</v>
      </c>
      <c r="M39" t="s">
        <v>8</v>
      </c>
      <c r="N39" t="s">
        <v>7</v>
      </c>
      <c r="P39">
        <f t="shared" si="49"/>
        <v>-0.65344467640918513</v>
      </c>
      <c r="Q39">
        <f t="shared" si="50"/>
        <v>-3437274.4850730654</v>
      </c>
      <c r="R39">
        <f t="shared" si="51"/>
        <v>-3756113.0980033544</v>
      </c>
      <c r="S39">
        <f t="shared" si="52"/>
        <v>-37.561130980033546</v>
      </c>
      <c r="T39">
        <f t="shared" si="53"/>
        <v>-3.7561130980033546E-2</v>
      </c>
    </row>
    <row r="40" spans="1:20" x14ac:dyDescent="0.25">
      <c r="A40" s="5">
        <v>44553</v>
      </c>
      <c r="B40">
        <v>8.2349999999999994</v>
      </c>
      <c r="C40">
        <v>9.01</v>
      </c>
      <c r="D40">
        <v>8.02</v>
      </c>
      <c r="E40">
        <v>8.8350000000000009</v>
      </c>
      <c r="F40">
        <v>5848515.46</v>
      </c>
      <c r="G40">
        <v>0</v>
      </c>
      <c r="L40" t="s">
        <v>8</v>
      </c>
      <c r="M40" t="s">
        <v>8</v>
      </c>
      <c r="N40" t="s">
        <v>7</v>
      </c>
      <c r="P40">
        <f t="shared" si="49"/>
        <v>0.64646464646464874</v>
      </c>
      <c r="Q40">
        <f t="shared" si="50"/>
        <v>3780858.4791919324</v>
      </c>
      <c r="R40">
        <f t="shared" si="51"/>
        <v>-318838.612930289</v>
      </c>
      <c r="S40">
        <f t="shared" si="52"/>
        <v>-3.1883861293028901</v>
      </c>
      <c r="T40">
        <f t="shared" si="53"/>
        <v>-3.1883861293028901E-3</v>
      </c>
    </row>
    <row r="41" spans="1:20" x14ac:dyDescent="0.25">
      <c r="A41" s="5">
        <v>44552</v>
      </c>
      <c r="B41">
        <v>7.5149999999999997</v>
      </c>
      <c r="C41">
        <v>8.5879999999999992</v>
      </c>
      <c r="D41">
        <v>7.4909999999999997</v>
      </c>
      <c r="E41">
        <v>8.2309999999999999</v>
      </c>
      <c r="F41">
        <v>5534079.3099999996</v>
      </c>
      <c r="G41">
        <v>0</v>
      </c>
      <c r="L41" t="s">
        <v>8</v>
      </c>
      <c r="M41" t="s">
        <v>8</v>
      </c>
      <c r="N41" t="s">
        <v>7</v>
      </c>
      <c r="P41">
        <f t="shared" si="49"/>
        <v>0.34913400182315502</v>
      </c>
      <c r="Q41">
        <f t="shared" si="50"/>
        <v>1932135.2559070243</v>
      </c>
      <c r="R41">
        <f t="shared" si="51"/>
        <v>-4099697.0921222214</v>
      </c>
      <c r="S41">
        <f t="shared" si="52"/>
        <v>-40.996970921222214</v>
      </c>
      <c r="T41">
        <f t="shared" si="53"/>
        <v>-4.0996970921222217E-2</v>
      </c>
    </row>
    <row r="42" spans="1:20" x14ac:dyDescent="0.25">
      <c r="A42" s="5">
        <v>44551</v>
      </c>
      <c r="B42">
        <v>7.4050000000000002</v>
      </c>
      <c r="C42">
        <v>7.6349999999999998</v>
      </c>
      <c r="D42">
        <v>7.2869999999999999</v>
      </c>
      <c r="E42">
        <v>7.5129999999999999</v>
      </c>
      <c r="F42">
        <v>3033860.98</v>
      </c>
      <c r="G42">
        <v>0</v>
      </c>
      <c r="L42" t="s">
        <v>7</v>
      </c>
      <c r="M42" t="s">
        <v>7</v>
      </c>
      <c r="N42" t="s">
        <v>7</v>
      </c>
      <c r="P42">
        <f t="shared" si="49"/>
        <v>0.29885057471264403</v>
      </c>
      <c r="Q42">
        <f t="shared" si="50"/>
        <v>906671.09747126547</v>
      </c>
      <c r="R42">
        <f t="shared" si="51"/>
        <v>-6031832.3480292456</v>
      </c>
      <c r="S42">
        <f t="shared" si="52"/>
        <v>-60.318323480292456</v>
      </c>
      <c r="T42">
        <f t="shared" si="53"/>
        <v>-6.0318323480292459E-2</v>
      </c>
    </row>
    <row r="43" spans="1:20" x14ac:dyDescent="0.25">
      <c r="A43" s="5">
        <v>44550</v>
      </c>
      <c r="B43">
        <v>7.8319999999999999</v>
      </c>
      <c r="C43">
        <v>7.8650000000000002</v>
      </c>
      <c r="D43">
        <v>7.1159999999999997</v>
      </c>
      <c r="E43">
        <v>7.4009999999999998</v>
      </c>
      <c r="F43">
        <v>4518404.1100000003</v>
      </c>
      <c r="G43">
        <v>0</v>
      </c>
      <c r="L43" t="s">
        <v>7</v>
      </c>
      <c r="M43" t="s">
        <v>7</v>
      </c>
      <c r="N43" t="s">
        <v>7</v>
      </c>
      <c r="P43">
        <f t="shared" si="49"/>
        <v>-0.23898531375166907</v>
      </c>
      <c r="Q43">
        <f t="shared" si="50"/>
        <v>-1079832.2238851811</v>
      </c>
      <c r="R43">
        <f t="shared" si="51"/>
        <v>-6938503.4455005107</v>
      </c>
      <c r="S43">
        <f t="shared" si="52"/>
        <v>-69.385034455005112</v>
      </c>
      <c r="T43">
        <f t="shared" si="53"/>
        <v>-6.9385034455005115E-2</v>
      </c>
    </row>
    <row r="44" spans="1:20" x14ac:dyDescent="0.25">
      <c r="A44" s="5">
        <v>44549</v>
      </c>
      <c r="B44">
        <v>8.1140000000000008</v>
      </c>
      <c r="C44">
        <v>8.3640000000000008</v>
      </c>
      <c r="D44">
        <v>7.8109999999999999</v>
      </c>
      <c r="E44">
        <v>7.8319999999999999</v>
      </c>
      <c r="F44">
        <v>2412099.89</v>
      </c>
      <c r="G44">
        <v>0</v>
      </c>
      <c r="L44" t="s">
        <v>8</v>
      </c>
      <c r="M44" t="s">
        <v>7</v>
      </c>
      <c r="N44" t="s">
        <v>8</v>
      </c>
      <c r="P44">
        <f t="shared" si="49"/>
        <v>-0.92405063291139289</v>
      </c>
      <c r="Q44">
        <f t="shared" si="50"/>
        <v>-2228902.4300000011</v>
      </c>
      <c r="R44">
        <f t="shared" si="51"/>
        <v>-5858671.2216153294</v>
      </c>
      <c r="S44">
        <f t="shared" si="52"/>
        <v>-58.586712216153295</v>
      </c>
      <c r="T44">
        <f t="shared" si="53"/>
        <v>-5.8586712216153296E-2</v>
      </c>
    </row>
    <row r="45" spans="1:20" x14ac:dyDescent="0.25">
      <c r="A45" s="5">
        <v>44548</v>
      </c>
      <c r="B45">
        <v>7.8339999999999996</v>
      </c>
      <c r="C45">
        <v>8.2550000000000008</v>
      </c>
      <c r="D45">
        <v>7.7309999999999999</v>
      </c>
      <c r="E45">
        <v>8.1150000000000002</v>
      </c>
      <c r="F45">
        <v>2333085.5099999998</v>
      </c>
      <c r="G45">
        <v>0</v>
      </c>
      <c r="L45" t="s">
        <v>8</v>
      </c>
      <c r="M45" t="s">
        <v>7</v>
      </c>
      <c r="N45" t="s">
        <v>8</v>
      </c>
      <c r="P45">
        <f t="shared" si="49"/>
        <v>0.46564885496183084</v>
      </c>
      <c r="Q45">
        <f t="shared" si="50"/>
        <v>1086398.596259539</v>
      </c>
      <c r="R45">
        <f t="shared" si="51"/>
        <v>-3629768.7916153288</v>
      </c>
      <c r="S45">
        <f t="shared" si="52"/>
        <v>-36.297687916153286</v>
      </c>
      <c r="T45">
        <f t="shared" si="53"/>
        <v>-3.6297687916153287E-2</v>
      </c>
    </row>
    <row r="46" spans="1:20" x14ac:dyDescent="0.25">
      <c r="A46" s="5">
        <v>44547</v>
      </c>
      <c r="B46">
        <v>8.0220000000000002</v>
      </c>
      <c r="C46">
        <v>8.173</v>
      </c>
      <c r="D46">
        <v>7.5149999999999997</v>
      </c>
      <c r="E46">
        <v>7.83</v>
      </c>
      <c r="F46">
        <v>2901898.55</v>
      </c>
      <c r="G46">
        <v>0</v>
      </c>
      <c r="L46" t="s">
        <v>7</v>
      </c>
      <c r="M46" t="s">
        <v>7</v>
      </c>
      <c r="N46" t="s">
        <v>8</v>
      </c>
      <c r="P46">
        <f t="shared" si="49"/>
        <v>-4.2553191489361042E-2</v>
      </c>
      <c r="Q46">
        <f t="shared" si="50"/>
        <v>-123485.04468084914</v>
      </c>
      <c r="R46">
        <f t="shared" si="51"/>
        <v>-4716167.3878748678</v>
      </c>
      <c r="S46">
        <f t="shared" si="52"/>
        <v>-47.16167387874868</v>
      </c>
      <c r="T46">
        <f t="shared" si="53"/>
        <v>-4.7161673878748679E-2</v>
      </c>
    </row>
    <row r="47" spans="1:20" x14ac:dyDescent="0.25">
      <c r="A47" s="5">
        <v>44546</v>
      </c>
      <c r="B47">
        <v>8.5839999999999996</v>
      </c>
      <c r="C47">
        <v>8.8320000000000007</v>
      </c>
      <c r="D47">
        <v>8</v>
      </c>
      <c r="E47">
        <v>8.0280000000000005</v>
      </c>
      <c r="F47">
        <v>3572178.08</v>
      </c>
      <c r="G47">
        <v>0</v>
      </c>
      <c r="L47" t="s">
        <v>8</v>
      </c>
      <c r="M47" t="s">
        <v>7</v>
      </c>
      <c r="N47" t="s">
        <v>8</v>
      </c>
      <c r="P47">
        <f t="shared" si="49"/>
        <v>-0.9326923076923066</v>
      </c>
      <c r="Q47">
        <f t="shared" si="50"/>
        <v>-3331743.0169230732</v>
      </c>
      <c r="R47">
        <f t="shared" si="51"/>
        <v>-4592682.343194019</v>
      </c>
      <c r="S47">
        <f t="shared" si="52"/>
        <v>-45.926823431940193</v>
      </c>
      <c r="T47">
        <f t="shared" si="53"/>
        <v>-4.5926823431940191E-2</v>
      </c>
    </row>
    <row r="48" spans="1:20" x14ac:dyDescent="0.25">
      <c r="A48" s="5">
        <v>44545</v>
      </c>
      <c r="B48">
        <v>8.26</v>
      </c>
      <c r="C48">
        <v>8.8000000000000007</v>
      </c>
      <c r="D48">
        <v>7.7279999999999998</v>
      </c>
      <c r="E48">
        <v>8.5779999999999994</v>
      </c>
      <c r="F48">
        <v>4805645.55</v>
      </c>
      <c r="G48">
        <v>0</v>
      </c>
      <c r="L48" t="s">
        <v>8</v>
      </c>
      <c r="M48" t="s">
        <v>7</v>
      </c>
      <c r="N48" t="s">
        <v>8</v>
      </c>
      <c r="P48">
        <f t="shared" si="49"/>
        <v>0.58582089552238603</v>
      </c>
      <c r="Q48">
        <f t="shared" si="50"/>
        <v>2815247.5796641693</v>
      </c>
      <c r="R48">
        <f t="shared" si="51"/>
        <v>-1260939.3262709454</v>
      </c>
      <c r="S48">
        <f t="shared" si="52"/>
        <v>-12.609393262709453</v>
      </c>
      <c r="T48">
        <f t="shared" si="53"/>
        <v>-1.2609393262709453E-2</v>
      </c>
    </row>
    <row r="49" spans="1:20" x14ac:dyDescent="0.25">
      <c r="A49" s="5">
        <v>44544</v>
      </c>
      <c r="B49">
        <v>8.1210000000000004</v>
      </c>
      <c r="C49">
        <v>8.5</v>
      </c>
      <c r="D49">
        <v>7.8049999999999997</v>
      </c>
      <c r="E49">
        <v>8.2620000000000005</v>
      </c>
      <c r="F49">
        <v>3720844.51</v>
      </c>
      <c r="G49">
        <v>0</v>
      </c>
      <c r="L49" t="s">
        <v>8</v>
      </c>
      <c r="M49" t="s">
        <v>7</v>
      </c>
      <c r="N49" t="s">
        <v>8</v>
      </c>
      <c r="P49">
        <f t="shared" si="49"/>
        <v>0.31510791366906632</v>
      </c>
      <c r="Q49">
        <f t="shared" si="50"/>
        <v>1172467.5506330994</v>
      </c>
      <c r="R49">
        <f t="shared" si="51"/>
        <v>-4076186.9059351147</v>
      </c>
      <c r="S49">
        <f t="shared" si="52"/>
        <v>-40.761869059351149</v>
      </c>
      <c r="T49">
        <f t="shared" si="53"/>
        <v>-4.0761869059351148E-2</v>
      </c>
    </row>
    <row r="50" spans="1:20" x14ac:dyDescent="0.25">
      <c r="A50" s="5">
        <v>44543</v>
      </c>
      <c r="B50">
        <v>9</v>
      </c>
      <c r="C50">
        <v>9.1</v>
      </c>
      <c r="D50">
        <v>7.601</v>
      </c>
      <c r="E50">
        <v>8.1300000000000008</v>
      </c>
      <c r="F50">
        <v>5125205.7699999996</v>
      </c>
      <c r="G50">
        <v>0</v>
      </c>
      <c r="L50" t="s">
        <v>7</v>
      </c>
      <c r="M50" t="s">
        <v>7</v>
      </c>
      <c r="N50" t="s">
        <v>8</v>
      </c>
      <c r="P50">
        <f t="shared" si="49"/>
        <v>-0.29419613075383466</v>
      </c>
      <c r="Q50">
        <f t="shared" si="50"/>
        <v>-1507815.7068512277</v>
      </c>
      <c r="R50">
        <f t="shared" si="51"/>
        <v>-5248654.4565682141</v>
      </c>
      <c r="S50">
        <f t="shared" si="52"/>
        <v>-52.486544565682138</v>
      </c>
      <c r="T50">
        <f t="shared" si="53"/>
        <v>-5.2486544565682136E-2</v>
      </c>
    </row>
    <row r="51" spans="1:20" x14ac:dyDescent="0.25">
      <c r="A51" s="5">
        <v>44542</v>
      </c>
      <c r="B51">
        <v>9.2420000000000009</v>
      </c>
      <c r="C51">
        <v>9.2639999999999993</v>
      </c>
      <c r="D51">
        <v>8.7240000000000002</v>
      </c>
      <c r="E51">
        <v>8.9979999999999993</v>
      </c>
      <c r="F51">
        <v>2837067.55</v>
      </c>
      <c r="G51">
        <v>0</v>
      </c>
      <c r="L51" t="s">
        <v>7</v>
      </c>
      <c r="M51" t="s">
        <v>8</v>
      </c>
      <c r="N51" t="s">
        <v>8</v>
      </c>
      <c r="P51">
        <f t="shared" si="49"/>
        <v>1.4814814814813207E-2</v>
      </c>
      <c r="Q51">
        <f t="shared" si="50"/>
        <v>42030.630370365805</v>
      </c>
      <c r="R51">
        <f t="shared" si="51"/>
        <v>-3740838.7497169864</v>
      </c>
      <c r="S51">
        <f t="shared" si="52"/>
        <v>-37.408387497169862</v>
      </c>
      <c r="T51">
        <f t="shared" si="53"/>
        <v>-3.7408387497169862E-2</v>
      </c>
    </row>
    <row r="52" spans="1:20" x14ac:dyDescent="0.25">
      <c r="A52" s="5">
        <v>44541</v>
      </c>
      <c r="B52">
        <v>9.0969999999999995</v>
      </c>
      <c r="C52">
        <v>9.423</v>
      </c>
      <c r="D52">
        <v>8.7420000000000009</v>
      </c>
      <c r="E52">
        <v>9.2409999999999997</v>
      </c>
      <c r="F52">
        <v>4078652.31</v>
      </c>
      <c r="G52">
        <v>0</v>
      </c>
      <c r="L52" t="s">
        <v>7</v>
      </c>
      <c r="M52" t="s">
        <v>8</v>
      </c>
      <c r="N52" t="s">
        <v>8</v>
      </c>
      <c r="P52">
        <f t="shared" si="49"/>
        <v>0.46549192364170161</v>
      </c>
      <c r="Q52">
        <f t="shared" si="50"/>
        <v>1898579.7096475698</v>
      </c>
      <c r="R52">
        <f t="shared" si="51"/>
        <v>-3782869.3800873524</v>
      </c>
      <c r="S52">
        <f t="shared" si="52"/>
        <v>-37.828693800873523</v>
      </c>
      <c r="T52">
        <f t="shared" si="53"/>
        <v>-3.7828693800873524E-2</v>
      </c>
    </row>
    <row r="53" spans="1:20" x14ac:dyDescent="0.25">
      <c r="A53" s="5">
        <v>44540</v>
      </c>
      <c r="B53">
        <v>8.5649999999999995</v>
      </c>
      <c r="C53">
        <v>9.69</v>
      </c>
      <c r="D53">
        <v>8.5350000000000001</v>
      </c>
      <c r="E53">
        <v>9.1010000000000009</v>
      </c>
      <c r="F53">
        <v>9017555.8100000005</v>
      </c>
      <c r="G53">
        <v>0</v>
      </c>
      <c r="L53" t="s">
        <v>8</v>
      </c>
      <c r="M53" t="s">
        <v>8</v>
      </c>
      <c r="N53" t="s">
        <v>8</v>
      </c>
      <c r="P53">
        <f t="shared" si="49"/>
        <v>-1.9913419913418117E-2</v>
      </c>
      <c r="Q53">
        <f t="shared" si="50"/>
        <v>-179570.37543721325</v>
      </c>
      <c r="R53">
        <f t="shared" si="51"/>
        <v>-5681449.0897349222</v>
      </c>
      <c r="S53">
        <f t="shared" si="52"/>
        <v>-56.814490897349224</v>
      </c>
      <c r="T53">
        <f t="shared" si="53"/>
        <v>-5.6814490897349225E-2</v>
      </c>
    </row>
    <row r="54" spans="1:20" x14ac:dyDescent="0.25">
      <c r="A54" s="5">
        <v>44539</v>
      </c>
      <c r="B54">
        <v>9.7010000000000005</v>
      </c>
      <c r="C54">
        <v>9.7650000000000006</v>
      </c>
      <c r="D54">
        <v>8.4090000000000007</v>
      </c>
      <c r="E54">
        <v>8.5649999999999995</v>
      </c>
      <c r="F54">
        <v>4757563.41</v>
      </c>
      <c r="G54">
        <v>0</v>
      </c>
      <c r="L54" t="s">
        <v>7</v>
      </c>
      <c r="M54" t="s">
        <v>8</v>
      </c>
      <c r="N54" t="s">
        <v>8</v>
      </c>
      <c r="P54">
        <f t="shared" si="49"/>
        <v>-0.76991150442478051</v>
      </c>
      <c r="Q54">
        <f t="shared" si="50"/>
        <v>-3662902.8023893889</v>
      </c>
      <c r="R54">
        <f t="shared" si="51"/>
        <v>-5501878.7142977091</v>
      </c>
      <c r="S54">
        <f t="shared" si="52"/>
        <v>-55.018787142977089</v>
      </c>
      <c r="T54">
        <f t="shared" si="53"/>
        <v>-5.5018787142977088E-2</v>
      </c>
    </row>
    <row r="55" spans="1:20" x14ac:dyDescent="0.25">
      <c r="A55" s="5">
        <v>44538</v>
      </c>
      <c r="B55">
        <v>8.9359999999999999</v>
      </c>
      <c r="C55">
        <v>9.8000000000000007</v>
      </c>
      <c r="D55">
        <v>8.8030000000000008</v>
      </c>
      <c r="E55">
        <v>9.7140000000000004</v>
      </c>
      <c r="F55">
        <v>7755421.5199999996</v>
      </c>
      <c r="G55">
        <v>0</v>
      </c>
      <c r="L55" t="s">
        <v>8</v>
      </c>
      <c r="M55" t="s">
        <v>8</v>
      </c>
      <c r="N55" t="s">
        <v>8</v>
      </c>
      <c r="P55">
        <f t="shared" si="49"/>
        <v>0.82748244734202547</v>
      </c>
      <c r="Q55">
        <f t="shared" si="50"/>
        <v>6417475.1795386104</v>
      </c>
      <c r="R55">
        <f t="shared" si="51"/>
        <v>-1838975.9119083202</v>
      </c>
      <c r="S55">
        <f t="shared" si="52"/>
        <v>-18.389759119083202</v>
      </c>
      <c r="T55">
        <f t="shared" si="53"/>
        <v>-1.83897591190832E-2</v>
      </c>
    </row>
    <row r="56" spans="1:20" x14ac:dyDescent="0.25">
      <c r="A56" s="5">
        <v>44537</v>
      </c>
      <c r="B56">
        <v>9.2010000000000005</v>
      </c>
      <c r="C56">
        <v>9.5389999999999997</v>
      </c>
      <c r="D56">
        <v>8.6989999999999998</v>
      </c>
      <c r="E56">
        <v>8.9329999999999998</v>
      </c>
      <c r="F56">
        <v>5165878.45</v>
      </c>
      <c r="G56">
        <v>0</v>
      </c>
      <c r="L56" t="s">
        <v>8</v>
      </c>
      <c r="M56" t="s">
        <v>8</v>
      </c>
      <c r="N56" t="s">
        <v>8</v>
      </c>
      <c r="P56">
        <f t="shared" si="49"/>
        <v>-0.44285714285714278</v>
      </c>
      <c r="Q56">
        <f t="shared" si="50"/>
        <v>-2287746.1707142852</v>
      </c>
      <c r="R56">
        <f t="shared" si="51"/>
        <v>-8256451.0914469305</v>
      </c>
      <c r="S56">
        <f t="shared" si="52"/>
        <v>-82.564510914469309</v>
      </c>
      <c r="T56">
        <f t="shared" si="53"/>
        <v>-8.2564510914469313E-2</v>
      </c>
    </row>
    <row r="57" spans="1:20" x14ac:dyDescent="0.25">
      <c r="A57" s="5">
        <v>44536</v>
      </c>
      <c r="B57">
        <v>8.6929999999999996</v>
      </c>
      <c r="C57">
        <v>9.43</v>
      </c>
      <c r="D57">
        <v>7.827</v>
      </c>
      <c r="E57">
        <v>9.2029999999999994</v>
      </c>
      <c r="F57">
        <v>9862812.8699999992</v>
      </c>
      <c r="G57">
        <v>0</v>
      </c>
      <c r="L57" t="s">
        <v>7</v>
      </c>
      <c r="M57" t="s">
        <v>7</v>
      </c>
      <c r="N57" t="s">
        <v>8</v>
      </c>
      <c r="P57">
        <f t="shared" si="49"/>
        <v>0.71678103555832773</v>
      </c>
      <c r="Q57">
        <f t="shared" si="50"/>
        <v>7069477.2224766016</v>
      </c>
      <c r="R57">
        <f t="shared" si="51"/>
        <v>-5968704.9207326453</v>
      </c>
      <c r="S57">
        <f t="shared" si="52"/>
        <v>-59.687049207326453</v>
      </c>
      <c r="T57">
        <f t="shared" si="53"/>
        <v>-5.9687049207326454E-2</v>
      </c>
    </row>
    <row r="58" spans="1:20" x14ac:dyDescent="0.25">
      <c r="A58" s="5">
        <v>44535</v>
      </c>
      <c r="B58">
        <v>9.8420000000000005</v>
      </c>
      <c r="C58">
        <v>10.132999999999999</v>
      </c>
      <c r="D58">
        <v>8.2379999999999995</v>
      </c>
      <c r="E58">
        <v>8.6929999999999996</v>
      </c>
      <c r="F58">
        <v>7982926.0899999999</v>
      </c>
      <c r="G58">
        <v>0</v>
      </c>
      <c r="L58" t="s">
        <v>8</v>
      </c>
      <c r="M58" t="s">
        <v>8</v>
      </c>
      <c r="N58" t="s">
        <v>8</v>
      </c>
      <c r="P58">
        <f t="shared" si="49"/>
        <v>-0.51978891820580453</v>
      </c>
      <c r="Q58">
        <f t="shared" si="50"/>
        <v>-4149436.5164379929</v>
      </c>
      <c r="R58">
        <f t="shared" si="51"/>
        <v>-13038182.143209247</v>
      </c>
      <c r="S58">
        <f t="shared" si="52"/>
        <v>-130.38182143209247</v>
      </c>
      <c r="T58">
        <f t="shared" si="53"/>
        <v>-0.13038182143209245</v>
      </c>
    </row>
    <row r="59" spans="1:20" x14ac:dyDescent="0.25">
      <c r="A59" s="5">
        <v>44534</v>
      </c>
      <c r="B59">
        <v>12.305999999999999</v>
      </c>
      <c r="C59">
        <v>12.458</v>
      </c>
      <c r="D59">
        <v>7.2169999999999996</v>
      </c>
      <c r="E59">
        <v>9.8569999999999993</v>
      </c>
      <c r="F59">
        <v>18528242.870000001</v>
      </c>
      <c r="G59">
        <v>0</v>
      </c>
      <c r="L59" t="s">
        <v>7</v>
      </c>
      <c r="M59" t="s">
        <v>7</v>
      </c>
      <c r="N59" t="s">
        <v>7</v>
      </c>
      <c r="P59">
        <f t="shared" si="49"/>
        <v>7.4413279908412157E-3</v>
      </c>
      <c r="Q59">
        <f t="shared" si="50"/>
        <v>137874.7322896352</v>
      </c>
      <c r="R59">
        <f t="shared" si="51"/>
        <v>-8888745.6267712545</v>
      </c>
      <c r="S59">
        <f t="shared" si="52"/>
        <v>-88.887456267712551</v>
      </c>
      <c r="T59">
        <f t="shared" si="53"/>
        <v>-8.888745626771255E-2</v>
      </c>
    </row>
    <row r="60" spans="1:20" x14ac:dyDescent="0.25">
      <c r="A60" s="5">
        <v>44533</v>
      </c>
      <c r="B60">
        <v>13.321</v>
      </c>
      <c r="C60">
        <v>13.791</v>
      </c>
      <c r="D60">
        <v>11.669</v>
      </c>
      <c r="E60">
        <v>12.32</v>
      </c>
      <c r="F60">
        <v>6895170.4199999999</v>
      </c>
      <c r="G60">
        <v>0</v>
      </c>
      <c r="L60" t="s">
        <v>7</v>
      </c>
      <c r="M60" t="s">
        <v>7</v>
      </c>
      <c r="N60" t="s">
        <v>7</v>
      </c>
      <c r="P60">
        <f t="shared" si="49"/>
        <v>-0.38642789820923673</v>
      </c>
      <c r="Q60">
        <f t="shared" si="50"/>
        <v>-2664486.2131951</v>
      </c>
      <c r="R60">
        <f t="shared" si="51"/>
        <v>-9026620.3590608891</v>
      </c>
      <c r="S60">
        <f t="shared" si="52"/>
        <v>-90.266203590608896</v>
      </c>
      <c r="T60">
        <f t="shared" si="53"/>
        <v>-9.0266203590608898E-2</v>
      </c>
    </row>
    <row r="61" spans="1:20" x14ac:dyDescent="0.25">
      <c r="A61" s="5">
        <v>44532</v>
      </c>
      <c r="B61">
        <v>12.93</v>
      </c>
      <c r="C61">
        <v>14.94</v>
      </c>
      <c r="D61">
        <v>12.5</v>
      </c>
      <c r="E61">
        <v>13.318</v>
      </c>
      <c r="F61">
        <v>15882978.25</v>
      </c>
      <c r="G61">
        <v>0</v>
      </c>
      <c r="L61" t="s">
        <v>8</v>
      </c>
      <c r="M61" t="s">
        <v>8</v>
      </c>
      <c r="N61" t="s">
        <v>7</v>
      </c>
      <c r="P61">
        <f t="shared" si="49"/>
        <v>-0.32950819672131165</v>
      </c>
      <c r="Q61">
        <f t="shared" si="50"/>
        <v>-5233571.5217213146</v>
      </c>
      <c r="R61">
        <f t="shared" si="51"/>
        <v>-6362134.1458657887</v>
      </c>
      <c r="S61">
        <f t="shared" si="52"/>
        <v>-63.621341458657888</v>
      </c>
      <c r="T61">
        <f t="shared" si="53"/>
        <v>-6.3621341458657887E-2</v>
      </c>
    </row>
    <row r="62" spans="1:20" x14ac:dyDescent="0.25">
      <c r="A62" s="5">
        <v>44531</v>
      </c>
      <c r="B62">
        <v>12.558999999999999</v>
      </c>
      <c r="C62">
        <v>13.7</v>
      </c>
      <c r="D62">
        <v>12.442</v>
      </c>
      <c r="E62">
        <v>12.928000000000001</v>
      </c>
      <c r="F62">
        <v>6521661.5099999998</v>
      </c>
      <c r="G62">
        <v>0</v>
      </c>
      <c r="L62" t="s">
        <v>8</v>
      </c>
      <c r="M62" t="s">
        <v>8</v>
      </c>
      <c r="N62" t="s">
        <v>7</v>
      </c>
      <c r="P62">
        <f t="shared" si="49"/>
        <v>-0.22734499205087283</v>
      </c>
      <c r="Q62">
        <f t="shared" si="50"/>
        <v>-1482667.0841494333</v>
      </c>
      <c r="R62">
        <f t="shared" si="51"/>
        <v>-1128562.6241444736</v>
      </c>
      <c r="S62">
        <f t="shared" si="52"/>
        <v>-11.285626241444735</v>
      </c>
      <c r="T62">
        <f t="shared" si="53"/>
        <v>-1.1285626241444736E-2</v>
      </c>
    </row>
    <row r="63" spans="1:20" x14ac:dyDescent="0.25">
      <c r="A63" s="5">
        <v>44530</v>
      </c>
      <c r="B63">
        <v>12.554</v>
      </c>
      <c r="C63">
        <v>13.286</v>
      </c>
      <c r="D63">
        <v>12</v>
      </c>
      <c r="E63">
        <v>12.554</v>
      </c>
      <c r="F63">
        <v>5712144.75</v>
      </c>
      <c r="G63">
        <v>0</v>
      </c>
      <c r="L63" t="s">
        <v>8</v>
      </c>
      <c r="M63" t="s">
        <v>8</v>
      </c>
      <c r="N63" t="s">
        <v>7</v>
      </c>
      <c r="P63">
        <f t="shared" si="49"/>
        <v>-0.13841368584758873</v>
      </c>
      <c r="Q63">
        <f t="shared" si="50"/>
        <v>-790639.00894245331</v>
      </c>
      <c r="R63">
        <f t="shared" si="51"/>
        <v>354104.4600049596</v>
      </c>
      <c r="S63">
        <f t="shared" si="52"/>
        <v>3.5410446000495961</v>
      </c>
      <c r="T63">
        <f t="shared" si="53"/>
        <v>3.5410446000495961E-3</v>
      </c>
    </row>
    <row r="64" spans="1:20" x14ac:dyDescent="0.25">
      <c r="A64" s="5">
        <v>44529</v>
      </c>
      <c r="B64">
        <v>12.603999999999999</v>
      </c>
      <c r="C64">
        <v>12.898999999999999</v>
      </c>
      <c r="D64">
        <v>12.154999999999999</v>
      </c>
      <c r="E64">
        <v>12.555</v>
      </c>
      <c r="F64">
        <v>3744485.38</v>
      </c>
      <c r="G64">
        <v>0</v>
      </c>
      <c r="L64" t="s">
        <v>8</v>
      </c>
      <c r="M64" t="s">
        <v>7</v>
      </c>
      <c r="N64" t="s">
        <v>7</v>
      </c>
      <c r="P64">
        <f t="shared" si="49"/>
        <v>7.5268817204302355E-2</v>
      </c>
      <c r="Q64">
        <f t="shared" si="50"/>
        <v>281842.98559140263</v>
      </c>
      <c r="R64">
        <f t="shared" si="51"/>
        <v>1144743.4689474129</v>
      </c>
      <c r="S64">
        <f t="shared" si="52"/>
        <v>11.447434689474129</v>
      </c>
      <c r="T64">
        <f t="shared" si="53"/>
        <v>1.1447434689474128E-2</v>
      </c>
    </row>
    <row r="65" spans="1:20" x14ac:dyDescent="0.25">
      <c r="A65" s="5">
        <v>44528</v>
      </c>
      <c r="B65">
        <v>12.977</v>
      </c>
      <c r="C65">
        <v>13.002000000000001</v>
      </c>
      <c r="D65">
        <v>11.32</v>
      </c>
      <c r="E65">
        <v>12.622999999999999</v>
      </c>
      <c r="F65">
        <v>4807534.9400000004</v>
      </c>
      <c r="G65">
        <v>0</v>
      </c>
      <c r="L65" t="s">
        <v>7</v>
      </c>
      <c r="M65" t="s">
        <v>7</v>
      </c>
      <c r="N65" t="s">
        <v>7</v>
      </c>
      <c r="P65">
        <f t="shared" si="49"/>
        <v>0.54934601664684746</v>
      </c>
      <c r="Q65">
        <f t="shared" si="50"/>
        <v>2641000.1691795411</v>
      </c>
      <c r="R65">
        <f t="shared" si="51"/>
        <v>862900.48335601017</v>
      </c>
      <c r="S65">
        <f t="shared" si="52"/>
        <v>8.6290048335601011</v>
      </c>
      <c r="T65">
        <f t="shared" si="53"/>
        <v>8.6290048335601003E-3</v>
      </c>
    </row>
    <row r="66" spans="1:20" x14ac:dyDescent="0.25">
      <c r="A66" s="5">
        <v>44527</v>
      </c>
      <c r="B66">
        <v>12.821</v>
      </c>
      <c r="C66">
        <v>13.488</v>
      </c>
      <c r="D66">
        <v>12.565</v>
      </c>
      <c r="E66">
        <v>12.967000000000001</v>
      </c>
      <c r="F66">
        <v>3537816.02</v>
      </c>
      <c r="G66">
        <v>0</v>
      </c>
      <c r="L66" t="s">
        <v>7</v>
      </c>
      <c r="M66" t="s">
        <v>7</v>
      </c>
      <c r="N66" t="s">
        <v>8</v>
      </c>
      <c r="P66">
        <f t="shared" si="49"/>
        <v>-0.12892741061754928</v>
      </c>
      <c r="Q66">
        <f t="shared" si="50"/>
        <v>-456121.45869988395</v>
      </c>
      <c r="R66">
        <f t="shared" si="51"/>
        <v>-1778099.6858235309</v>
      </c>
      <c r="S66">
        <f t="shared" si="52"/>
        <v>-17.780996858235309</v>
      </c>
      <c r="T66">
        <f t="shared" si="53"/>
        <v>-1.778099685823531E-2</v>
      </c>
    </row>
    <row r="67" spans="1:20" x14ac:dyDescent="0.25">
      <c r="A67" s="5">
        <v>44526</v>
      </c>
      <c r="B67">
        <v>14.972</v>
      </c>
      <c r="C67">
        <v>15.781000000000001</v>
      </c>
      <c r="D67">
        <v>12.381</v>
      </c>
      <c r="E67">
        <v>12.831</v>
      </c>
      <c r="F67">
        <v>12684782.300000001</v>
      </c>
      <c r="G67">
        <v>0</v>
      </c>
      <c r="L67" t="s">
        <v>8</v>
      </c>
      <c r="M67" t="s">
        <v>7</v>
      </c>
      <c r="N67" t="s">
        <v>8</v>
      </c>
      <c r="P67">
        <f t="shared" si="49"/>
        <v>-0.73529411764705932</v>
      </c>
      <c r="Q67">
        <f t="shared" si="50"/>
        <v>-9327045.8088235371</v>
      </c>
      <c r="R67">
        <f t="shared" si="51"/>
        <v>-1321978.227123647</v>
      </c>
      <c r="S67">
        <f t="shared" si="52"/>
        <v>-13.21978227123647</v>
      </c>
      <c r="T67">
        <f t="shared" si="53"/>
        <v>-1.321978227123647E-2</v>
      </c>
    </row>
    <row r="68" spans="1:20" x14ac:dyDescent="0.25">
      <c r="A68" s="5">
        <v>44525</v>
      </c>
      <c r="B68">
        <v>14.914</v>
      </c>
      <c r="C68">
        <v>15.422000000000001</v>
      </c>
      <c r="D68">
        <v>14.254</v>
      </c>
      <c r="E68">
        <v>14.973000000000001</v>
      </c>
      <c r="F68">
        <v>5890099.0800000001</v>
      </c>
      <c r="G68">
        <v>0</v>
      </c>
      <c r="L68" t="s">
        <v>8</v>
      </c>
      <c r="M68" t="s">
        <v>8</v>
      </c>
      <c r="N68" t="s">
        <v>8</v>
      </c>
      <c r="P68">
        <f t="shared" si="49"/>
        <v>0.23116438356164479</v>
      </c>
      <c r="Q68">
        <f t="shared" si="50"/>
        <v>1361581.1229452111</v>
      </c>
      <c r="R68">
        <f t="shared" si="51"/>
        <v>8005067.5816998901</v>
      </c>
      <c r="S68">
        <f t="shared" si="52"/>
        <v>80.050675816998904</v>
      </c>
      <c r="T68">
        <f t="shared" si="53"/>
        <v>8.0050675816998901E-2</v>
      </c>
    </row>
    <row r="69" spans="1:20" x14ac:dyDescent="0.25">
      <c r="A69" s="5">
        <v>44524</v>
      </c>
      <c r="B69">
        <v>15.675000000000001</v>
      </c>
      <c r="C69">
        <v>16.422999999999998</v>
      </c>
      <c r="D69">
        <v>14.125999999999999</v>
      </c>
      <c r="E69">
        <v>14.920999999999999</v>
      </c>
      <c r="F69">
        <v>9354713.4000000004</v>
      </c>
      <c r="G69">
        <v>0</v>
      </c>
      <c r="L69" t="s">
        <v>7</v>
      </c>
      <c r="M69" t="s">
        <v>8</v>
      </c>
      <c r="N69" t="s">
        <v>8</v>
      </c>
      <c r="P69">
        <f t="shared" si="49"/>
        <v>-0.30779277318241155</v>
      </c>
      <c r="Q69">
        <f t="shared" si="50"/>
        <v>-2879313.1797126662</v>
      </c>
      <c r="R69">
        <f t="shared" si="51"/>
        <v>6643486.4587546792</v>
      </c>
      <c r="S69">
        <f t="shared" si="52"/>
        <v>66.434864587546798</v>
      </c>
      <c r="T69">
        <f t="shared" si="53"/>
        <v>6.6434864587546799E-2</v>
      </c>
    </row>
    <row r="70" spans="1:20" x14ac:dyDescent="0.25">
      <c r="A70" s="5">
        <v>44523</v>
      </c>
      <c r="B70">
        <v>14.162000000000001</v>
      </c>
      <c r="C70">
        <v>16.478000000000002</v>
      </c>
      <c r="D70">
        <v>13.734999999999999</v>
      </c>
      <c r="E70">
        <v>15.68</v>
      </c>
      <c r="F70">
        <v>14194458.51</v>
      </c>
      <c r="G70">
        <v>0</v>
      </c>
      <c r="L70" t="s">
        <v>8</v>
      </c>
      <c r="M70" t="s">
        <v>8</v>
      </c>
      <c r="N70" t="s">
        <v>8</v>
      </c>
      <c r="P70">
        <f t="shared" si="49"/>
        <v>0.41815530441122772</v>
      </c>
      <c r="Q70">
        <f t="shared" si="50"/>
        <v>5935488.1192015922</v>
      </c>
      <c r="R70">
        <f t="shared" si="51"/>
        <v>9522799.6384673454</v>
      </c>
      <c r="S70">
        <f t="shared" si="52"/>
        <v>95.22799638467346</v>
      </c>
      <c r="T70">
        <f t="shared" si="53"/>
        <v>9.5227996384673455E-2</v>
      </c>
    </row>
    <row r="71" spans="1:20" x14ac:dyDescent="0.25">
      <c r="A71" s="5">
        <v>44522</v>
      </c>
      <c r="B71">
        <v>13.132</v>
      </c>
      <c r="C71">
        <v>14.977</v>
      </c>
      <c r="D71">
        <v>12.425000000000001</v>
      </c>
      <c r="E71">
        <v>14.167999999999999</v>
      </c>
      <c r="F71">
        <v>11084235.32</v>
      </c>
      <c r="G71">
        <v>0</v>
      </c>
      <c r="L71" t="s">
        <v>7</v>
      </c>
      <c r="M71" t="s">
        <v>7</v>
      </c>
      <c r="N71" t="s">
        <v>7</v>
      </c>
      <c r="P71">
        <f t="shared" si="49"/>
        <v>0.36598746081504607</v>
      </c>
      <c r="Q71">
        <f t="shared" si="50"/>
        <v>4056691.1398432497</v>
      </c>
      <c r="R71">
        <f t="shared" si="51"/>
        <v>3587311.5192657528</v>
      </c>
      <c r="S71">
        <f t="shared" si="52"/>
        <v>35.873115192657529</v>
      </c>
      <c r="T71">
        <f t="shared" si="53"/>
        <v>3.5873115192657526E-2</v>
      </c>
    </row>
    <row r="72" spans="1:20" x14ac:dyDescent="0.25">
      <c r="A72" s="5">
        <v>44521</v>
      </c>
      <c r="B72">
        <v>14.026999999999999</v>
      </c>
      <c r="C72">
        <v>14.371</v>
      </c>
      <c r="D72">
        <v>13</v>
      </c>
      <c r="E72">
        <v>13.131</v>
      </c>
      <c r="F72">
        <v>4670513.66</v>
      </c>
      <c r="G72">
        <v>0</v>
      </c>
      <c r="L72" t="s">
        <v>7</v>
      </c>
      <c r="M72" t="s">
        <v>8</v>
      </c>
      <c r="N72" t="s">
        <v>7</v>
      </c>
      <c r="P72">
        <f t="shared" si="49"/>
        <v>-0.80889861415025499</v>
      </c>
      <c r="Q72">
        <f t="shared" si="50"/>
        <v>-3777972.0269438354</v>
      </c>
      <c r="R72">
        <f t="shared" si="51"/>
        <v>-469379.62057749694</v>
      </c>
      <c r="S72">
        <f t="shared" si="52"/>
        <v>-4.6937962057749694</v>
      </c>
      <c r="T72">
        <f t="shared" si="53"/>
        <v>-4.6937962057749692E-3</v>
      </c>
    </row>
    <row r="73" spans="1:20" x14ac:dyDescent="0.25">
      <c r="A73" s="5">
        <v>44520</v>
      </c>
      <c r="B73">
        <v>14.074</v>
      </c>
      <c r="C73">
        <v>14.677</v>
      </c>
      <c r="D73">
        <v>13.321</v>
      </c>
      <c r="E73">
        <v>14.029</v>
      </c>
      <c r="F73">
        <v>5721665.1200000001</v>
      </c>
      <c r="G73">
        <v>0</v>
      </c>
      <c r="L73" t="s">
        <v>8</v>
      </c>
      <c r="M73" t="s">
        <v>8</v>
      </c>
      <c r="N73" t="s">
        <v>7</v>
      </c>
      <c r="P73">
        <f t="shared" si="49"/>
        <v>4.4247787610619843E-2</v>
      </c>
      <c r="Q73">
        <f t="shared" si="50"/>
        <v>253171.02300885171</v>
      </c>
      <c r="R73">
        <f t="shared" si="51"/>
        <v>3308592.4063663385</v>
      </c>
      <c r="S73">
        <f t="shared" si="52"/>
        <v>33.085924063663384</v>
      </c>
      <c r="T73">
        <f t="shared" si="53"/>
        <v>3.3085924063663383E-2</v>
      </c>
    </row>
    <row r="74" spans="1:20" x14ac:dyDescent="0.25">
      <c r="A74" s="5">
        <v>44519</v>
      </c>
      <c r="B74">
        <v>12.3</v>
      </c>
      <c r="C74">
        <v>14.28</v>
      </c>
      <c r="D74">
        <v>12.11</v>
      </c>
      <c r="E74">
        <v>14.087999999999999</v>
      </c>
      <c r="F74">
        <v>6668517.3899999997</v>
      </c>
      <c r="G74">
        <v>0</v>
      </c>
      <c r="L74" t="s">
        <v>8</v>
      </c>
      <c r="M74" t="s">
        <v>8</v>
      </c>
      <c r="N74" t="s">
        <v>7</v>
      </c>
      <c r="P74">
        <f t="shared" si="49"/>
        <v>0.82304147465437771</v>
      </c>
      <c r="Q74">
        <f t="shared" si="50"/>
        <v>5488466.3864239622</v>
      </c>
      <c r="R74">
        <f t="shared" si="51"/>
        <v>3055421.3833574867</v>
      </c>
      <c r="S74">
        <f t="shared" si="52"/>
        <v>30.554213833574867</v>
      </c>
      <c r="T74">
        <f t="shared" si="53"/>
        <v>3.0554213833574866E-2</v>
      </c>
    </row>
    <row r="75" spans="1:20" x14ac:dyDescent="0.25">
      <c r="A75" s="5">
        <v>44518</v>
      </c>
      <c r="B75">
        <v>13.433</v>
      </c>
      <c r="C75">
        <v>13.763999999999999</v>
      </c>
      <c r="D75">
        <v>11.6</v>
      </c>
      <c r="E75">
        <v>12.305999999999999</v>
      </c>
      <c r="F75">
        <v>6569746.6100000003</v>
      </c>
      <c r="G75">
        <v>0</v>
      </c>
      <c r="L75" t="s">
        <v>7</v>
      </c>
      <c r="M75" t="s">
        <v>8</v>
      </c>
      <c r="N75" t="s">
        <v>7</v>
      </c>
      <c r="P75">
        <f t="shared" si="49"/>
        <v>-0.34750462107208907</v>
      </c>
      <c r="Q75">
        <f t="shared" si="50"/>
        <v>-2283017.3062476916</v>
      </c>
      <c r="R75">
        <f t="shared" si="51"/>
        <v>-2433045.0030664755</v>
      </c>
      <c r="S75">
        <f t="shared" si="52"/>
        <v>-24.330450030664753</v>
      </c>
      <c r="T75">
        <f t="shared" si="53"/>
        <v>-2.4330450030664752E-2</v>
      </c>
    </row>
    <row r="76" spans="1:20" x14ac:dyDescent="0.25">
      <c r="A76" s="5">
        <v>44517</v>
      </c>
      <c r="B76">
        <v>12.571</v>
      </c>
      <c r="C76">
        <v>13.698</v>
      </c>
      <c r="D76">
        <v>11.893000000000001</v>
      </c>
      <c r="E76">
        <v>13.433</v>
      </c>
      <c r="F76">
        <v>6266662.8700000001</v>
      </c>
      <c r="G76">
        <v>0</v>
      </c>
      <c r="L76" t="s">
        <v>8</v>
      </c>
      <c r="M76" t="s">
        <v>8</v>
      </c>
      <c r="N76" t="s">
        <v>7</v>
      </c>
      <c r="P76">
        <f t="shared" si="49"/>
        <v>0.70637119113573343</v>
      </c>
      <c r="Q76">
        <f t="shared" si="50"/>
        <v>4426590.1159279738</v>
      </c>
      <c r="R76">
        <f t="shared" si="51"/>
        <v>-150027.69681878388</v>
      </c>
      <c r="S76">
        <f t="shared" si="52"/>
        <v>-1.5002769681878387</v>
      </c>
      <c r="T76">
        <f t="shared" si="53"/>
        <v>-1.5002769681878388E-3</v>
      </c>
    </row>
    <row r="77" spans="1:20" x14ac:dyDescent="0.25">
      <c r="A77" s="5">
        <v>44516</v>
      </c>
      <c r="B77">
        <v>14.266999999999999</v>
      </c>
      <c r="C77">
        <v>14.272</v>
      </c>
      <c r="D77">
        <v>11.435</v>
      </c>
      <c r="E77">
        <v>12.571999999999999</v>
      </c>
      <c r="F77">
        <v>7310434.5199999996</v>
      </c>
      <c r="G77">
        <v>0</v>
      </c>
      <c r="L77" t="s">
        <v>7</v>
      </c>
      <c r="M77" t="s">
        <v>7</v>
      </c>
      <c r="N77" t="s">
        <v>7</v>
      </c>
      <c r="P77">
        <f t="shared" si="49"/>
        <v>-0.19844906591469949</v>
      </c>
      <c r="Q77">
        <f t="shared" si="50"/>
        <v>-1450748.9019245745</v>
      </c>
      <c r="R77">
        <f t="shared" si="51"/>
        <v>-4576617.8127467576</v>
      </c>
      <c r="S77">
        <f t="shared" si="52"/>
        <v>-45.766178127467576</v>
      </c>
      <c r="T77">
        <f t="shared" si="53"/>
        <v>-4.5766178127467576E-2</v>
      </c>
    </row>
    <row r="78" spans="1:20" x14ac:dyDescent="0.25">
      <c r="A78" s="5">
        <v>44515</v>
      </c>
      <c r="B78">
        <v>14.795999999999999</v>
      </c>
      <c r="C78">
        <v>15.116</v>
      </c>
      <c r="D78">
        <v>14</v>
      </c>
      <c r="E78">
        <v>14.257</v>
      </c>
      <c r="F78">
        <v>2228551.62</v>
      </c>
      <c r="G78">
        <v>0</v>
      </c>
      <c r="L78" t="s">
        <v>7</v>
      </c>
      <c r="M78" t="s">
        <v>8</v>
      </c>
      <c r="N78" t="s">
        <v>7</v>
      </c>
      <c r="P78">
        <f t="shared" si="49"/>
        <v>-0.53942652329749152</v>
      </c>
      <c r="Q78">
        <f t="shared" si="50"/>
        <v>-1202139.8523655925</v>
      </c>
      <c r="R78">
        <f t="shared" si="51"/>
        <v>-3125868.9108221834</v>
      </c>
      <c r="S78">
        <f t="shared" si="52"/>
        <v>-31.258689108221834</v>
      </c>
      <c r="T78">
        <f t="shared" si="53"/>
        <v>-3.1258689108221833E-2</v>
      </c>
    </row>
    <row r="79" spans="1:20" x14ac:dyDescent="0.25">
      <c r="A79" s="5">
        <v>44514</v>
      </c>
      <c r="B79">
        <v>14.794</v>
      </c>
      <c r="C79">
        <v>15.5</v>
      </c>
      <c r="D79">
        <v>14.317</v>
      </c>
      <c r="E79">
        <v>14.795999999999999</v>
      </c>
      <c r="F79">
        <v>2855614.04</v>
      </c>
      <c r="G79">
        <v>0</v>
      </c>
      <c r="L79" t="s">
        <v>8</v>
      </c>
      <c r="M79" t="s">
        <v>8</v>
      </c>
      <c r="N79" t="s">
        <v>7</v>
      </c>
      <c r="P79">
        <f t="shared" si="49"/>
        <v>-0.19019442096365297</v>
      </c>
      <c r="Q79">
        <f t="shared" si="50"/>
        <v>-543121.85883347772</v>
      </c>
      <c r="R79">
        <f t="shared" si="51"/>
        <v>-1923729.0584565909</v>
      </c>
      <c r="S79">
        <f t="shared" si="52"/>
        <v>-19.237290584565908</v>
      </c>
      <c r="T79">
        <f t="shared" si="53"/>
        <v>-1.9237290584565907E-2</v>
      </c>
    </row>
    <row r="80" spans="1:20" x14ac:dyDescent="0.25">
      <c r="A80" s="5">
        <v>44513</v>
      </c>
      <c r="B80">
        <v>14.439</v>
      </c>
      <c r="C80">
        <v>14.962999999999999</v>
      </c>
      <c r="D80">
        <v>14.294</v>
      </c>
      <c r="E80">
        <v>14.786</v>
      </c>
      <c r="F80">
        <v>2468218.14</v>
      </c>
      <c r="G80">
        <v>0</v>
      </c>
      <c r="L80" t="s">
        <v>7</v>
      </c>
      <c r="M80" t="s">
        <v>8</v>
      </c>
      <c r="N80" t="s">
        <v>7</v>
      </c>
      <c r="P80">
        <f t="shared" ref="P80:P143" si="54">IF(C80=D80,0,((E80-D80)-(C80-E80))/(C80-D80))</f>
        <v>0.47085201793721992</v>
      </c>
      <c r="Q80">
        <f t="shared" ref="Q80:Q143" si="55">F80*P80</f>
        <v>1162165.4919282517</v>
      </c>
      <c r="R80">
        <f t="shared" ref="R80:R143" si="56">R81+Q80</f>
        <v>-1380607.1996231133</v>
      </c>
      <c r="S80">
        <f t="shared" ref="S80:S143" si="57">R80/100000</f>
        <v>-13.806071996231132</v>
      </c>
      <c r="T80">
        <f t="shared" ref="T80:T143" si="58">S80/1000</f>
        <v>-1.3806071996231132E-2</v>
      </c>
    </row>
    <row r="81" spans="1:20" x14ac:dyDescent="0.25">
      <c r="A81" s="5">
        <v>44512</v>
      </c>
      <c r="B81">
        <v>14.807</v>
      </c>
      <c r="C81">
        <v>16.100000000000001</v>
      </c>
      <c r="D81">
        <v>13.840999999999999</v>
      </c>
      <c r="E81">
        <v>14.439</v>
      </c>
      <c r="F81">
        <v>5910302.9900000002</v>
      </c>
      <c r="G81">
        <v>0</v>
      </c>
      <c r="L81" t="s">
        <v>8</v>
      </c>
      <c r="M81" t="s">
        <v>8</v>
      </c>
      <c r="N81" t="s">
        <v>7</v>
      </c>
      <c r="P81">
        <f t="shared" si="54"/>
        <v>-0.47056219566179708</v>
      </c>
      <c r="Q81">
        <f t="shared" si="55"/>
        <v>-2781165.1520008845</v>
      </c>
      <c r="R81">
        <f t="shared" si="56"/>
        <v>-2542772.691551365</v>
      </c>
      <c r="S81">
        <f t="shared" si="57"/>
        <v>-25.427726915513649</v>
      </c>
      <c r="T81">
        <f t="shared" si="58"/>
        <v>-2.5427726915513649E-2</v>
      </c>
    </row>
    <row r="82" spans="1:20" x14ac:dyDescent="0.25">
      <c r="A82" s="5">
        <v>44511</v>
      </c>
      <c r="B82">
        <v>14.779</v>
      </c>
      <c r="C82">
        <v>15.385999999999999</v>
      </c>
      <c r="D82">
        <v>14.551</v>
      </c>
      <c r="E82">
        <v>14.816000000000001</v>
      </c>
      <c r="F82">
        <v>4339479.1100000003</v>
      </c>
      <c r="G82">
        <v>0</v>
      </c>
      <c r="L82" t="s">
        <v>8</v>
      </c>
      <c r="M82" t="s">
        <v>8</v>
      </c>
      <c r="N82" t="s">
        <v>7</v>
      </c>
      <c r="P82">
        <f t="shared" si="54"/>
        <v>-0.36526946107784225</v>
      </c>
      <c r="Q82">
        <f t="shared" si="55"/>
        <v>-1585079.1958682546</v>
      </c>
      <c r="R82">
        <f t="shared" si="56"/>
        <v>238392.46044951957</v>
      </c>
      <c r="S82">
        <f t="shared" si="57"/>
        <v>2.3839246044951956</v>
      </c>
      <c r="T82">
        <f t="shared" si="58"/>
        <v>2.3839246044951956E-3</v>
      </c>
    </row>
    <row r="83" spans="1:20" x14ac:dyDescent="0.25">
      <c r="A83" s="5">
        <v>44510</v>
      </c>
      <c r="B83">
        <v>16.591999999999999</v>
      </c>
      <c r="C83">
        <v>17.158999999999999</v>
      </c>
      <c r="D83">
        <v>12.627000000000001</v>
      </c>
      <c r="E83">
        <v>14.77</v>
      </c>
      <c r="F83">
        <v>7737618.3200000003</v>
      </c>
      <c r="G83">
        <v>0</v>
      </c>
      <c r="L83" t="s">
        <v>7</v>
      </c>
      <c r="M83" t="s">
        <v>7</v>
      </c>
      <c r="N83" t="s">
        <v>7</v>
      </c>
      <c r="P83">
        <f t="shared" si="54"/>
        <v>-5.4280670785525273E-2</v>
      </c>
      <c r="Q83">
        <f t="shared" si="55"/>
        <v>-420003.11269196915</v>
      </c>
      <c r="R83">
        <f t="shared" si="56"/>
        <v>1823471.6563177742</v>
      </c>
      <c r="S83">
        <f t="shared" si="57"/>
        <v>18.234716563177741</v>
      </c>
      <c r="T83">
        <f t="shared" si="58"/>
        <v>1.8234716563177742E-2</v>
      </c>
    </row>
    <row r="84" spans="1:20" x14ac:dyDescent="0.25">
      <c r="A84" s="5">
        <v>44509</v>
      </c>
      <c r="B84">
        <v>17.327999999999999</v>
      </c>
      <c r="C84">
        <v>17.768000000000001</v>
      </c>
      <c r="D84">
        <v>16.198</v>
      </c>
      <c r="E84">
        <v>16.577000000000002</v>
      </c>
      <c r="F84">
        <v>4365304.26</v>
      </c>
      <c r="G84">
        <v>0</v>
      </c>
      <c r="L84" t="s">
        <v>7</v>
      </c>
      <c r="M84" t="s">
        <v>8</v>
      </c>
      <c r="N84" t="s">
        <v>7</v>
      </c>
      <c r="P84">
        <f t="shared" si="54"/>
        <v>-0.51719745222929769</v>
      </c>
      <c r="Q84">
        <f t="shared" si="55"/>
        <v>-2257724.2414776995</v>
      </c>
      <c r="R84">
        <f t="shared" si="56"/>
        <v>2243474.7690097434</v>
      </c>
      <c r="S84">
        <f t="shared" si="57"/>
        <v>22.434747690097435</v>
      </c>
      <c r="T84">
        <f t="shared" si="58"/>
        <v>2.2434747690097435E-2</v>
      </c>
    </row>
    <row r="85" spans="1:20" x14ac:dyDescent="0.25">
      <c r="A85" s="5">
        <v>44508</v>
      </c>
      <c r="B85">
        <v>16.808</v>
      </c>
      <c r="C85">
        <v>18.559999999999999</v>
      </c>
      <c r="D85">
        <v>16.533999999999999</v>
      </c>
      <c r="E85">
        <v>17.332000000000001</v>
      </c>
      <c r="F85">
        <v>7270689.5999999996</v>
      </c>
      <c r="G85">
        <v>0</v>
      </c>
      <c r="L85" t="s">
        <v>8</v>
      </c>
      <c r="M85" t="s">
        <v>8</v>
      </c>
      <c r="N85" t="s">
        <v>7</v>
      </c>
      <c r="P85">
        <f t="shared" si="54"/>
        <v>-0.21224086870680958</v>
      </c>
      <c r="Q85">
        <f t="shared" si="55"/>
        <v>-1543137.4768015658</v>
      </c>
      <c r="R85">
        <f t="shared" si="56"/>
        <v>4501199.0104874428</v>
      </c>
      <c r="S85">
        <f t="shared" si="57"/>
        <v>45.011990104874428</v>
      </c>
      <c r="T85">
        <f t="shared" si="58"/>
        <v>4.501199010487443E-2</v>
      </c>
    </row>
    <row r="86" spans="1:20" x14ac:dyDescent="0.25">
      <c r="A86" s="5">
        <v>44507</v>
      </c>
      <c r="B86">
        <v>15.804</v>
      </c>
      <c r="C86">
        <v>17.68</v>
      </c>
      <c r="D86">
        <v>15.638</v>
      </c>
      <c r="E86">
        <v>16.808</v>
      </c>
      <c r="F86">
        <v>6315088.2800000003</v>
      </c>
      <c r="G86">
        <v>0</v>
      </c>
      <c r="L86" t="s">
        <v>8</v>
      </c>
      <c r="M86" t="s">
        <v>7</v>
      </c>
      <c r="N86" t="s">
        <v>7</v>
      </c>
      <c r="P86">
        <f t="shared" si="54"/>
        <v>0.14593535749265429</v>
      </c>
      <c r="Q86">
        <f t="shared" si="55"/>
        <v>921594.66573947133</v>
      </c>
      <c r="R86">
        <f t="shared" si="56"/>
        <v>6044336.4872890087</v>
      </c>
      <c r="S86">
        <f t="shared" si="57"/>
        <v>60.443364872890086</v>
      </c>
      <c r="T86">
        <f t="shared" si="58"/>
        <v>6.0443364872890086E-2</v>
      </c>
    </row>
    <row r="87" spans="1:20" x14ac:dyDescent="0.25">
      <c r="A87" s="5">
        <v>44506</v>
      </c>
      <c r="B87">
        <v>16.041</v>
      </c>
      <c r="C87">
        <v>16.495000000000001</v>
      </c>
      <c r="D87">
        <v>15.1</v>
      </c>
      <c r="E87">
        <v>15.805</v>
      </c>
      <c r="F87">
        <v>3205368.6</v>
      </c>
      <c r="G87">
        <v>0</v>
      </c>
      <c r="L87" t="s">
        <v>8</v>
      </c>
      <c r="M87" t="s">
        <v>7</v>
      </c>
      <c r="N87" t="s">
        <v>7</v>
      </c>
      <c r="P87">
        <f t="shared" si="54"/>
        <v>1.0752688172042134E-2</v>
      </c>
      <c r="Q87">
        <f t="shared" si="55"/>
        <v>34466.329032255257</v>
      </c>
      <c r="R87">
        <f t="shared" si="56"/>
        <v>5122741.8215495376</v>
      </c>
      <c r="S87">
        <f t="shared" si="57"/>
        <v>51.227418215495376</v>
      </c>
      <c r="T87">
        <f t="shared" si="58"/>
        <v>5.1227418215495375E-2</v>
      </c>
    </row>
    <row r="88" spans="1:20" x14ac:dyDescent="0.25">
      <c r="A88" s="5">
        <v>44505</v>
      </c>
      <c r="B88">
        <v>15.661</v>
      </c>
      <c r="C88">
        <v>16.178999999999998</v>
      </c>
      <c r="D88">
        <v>15.234</v>
      </c>
      <c r="E88">
        <v>16.047000000000001</v>
      </c>
      <c r="F88">
        <v>4012152.12</v>
      </c>
      <c r="G88">
        <v>0</v>
      </c>
      <c r="L88" t="s">
        <v>8</v>
      </c>
      <c r="M88" t="s">
        <v>7</v>
      </c>
      <c r="N88" t="s">
        <v>7</v>
      </c>
      <c r="P88">
        <f t="shared" si="54"/>
        <v>0.72063492063492463</v>
      </c>
      <c r="Q88">
        <f t="shared" si="55"/>
        <v>2891296.9245714447</v>
      </c>
      <c r="R88">
        <f t="shared" si="56"/>
        <v>5088275.4925172823</v>
      </c>
      <c r="S88">
        <f t="shared" si="57"/>
        <v>50.882754925172826</v>
      </c>
      <c r="T88">
        <f t="shared" si="58"/>
        <v>5.0882754925172823E-2</v>
      </c>
    </row>
    <row r="89" spans="1:20" x14ac:dyDescent="0.25">
      <c r="A89" s="5">
        <v>44504</v>
      </c>
      <c r="B89">
        <v>16.215</v>
      </c>
      <c r="C89">
        <v>16.239000000000001</v>
      </c>
      <c r="D89">
        <v>14.986000000000001</v>
      </c>
      <c r="E89">
        <v>15.654</v>
      </c>
      <c r="F89">
        <v>4124110.58</v>
      </c>
      <c r="G89">
        <v>0</v>
      </c>
      <c r="L89" t="s">
        <v>7</v>
      </c>
      <c r="M89" t="s">
        <v>7</v>
      </c>
      <c r="N89" t="s">
        <v>7</v>
      </c>
      <c r="P89">
        <f t="shared" si="54"/>
        <v>6.6241021548282847E-2</v>
      </c>
      <c r="Q89">
        <f t="shared" si="55"/>
        <v>273185.2977972813</v>
      </c>
      <c r="R89">
        <f t="shared" si="56"/>
        <v>2196978.5679458375</v>
      </c>
      <c r="S89">
        <f t="shared" si="57"/>
        <v>21.969785679458376</v>
      </c>
      <c r="T89">
        <f t="shared" si="58"/>
        <v>2.1969785679458377E-2</v>
      </c>
    </row>
    <row r="90" spans="1:20" x14ac:dyDescent="0.25">
      <c r="A90" s="5">
        <v>44503</v>
      </c>
      <c r="B90">
        <v>16.382999999999999</v>
      </c>
      <c r="C90">
        <v>16.949000000000002</v>
      </c>
      <c r="D90">
        <v>15.500999999999999</v>
      </c>
      <c r="E90">
        <v>16.21</v>
      </c>
      <c r="F90">
        <v>3834431.6</v>
      </c>
      <c r="G90">
        <v>0</v>
      </c>
      <c r="L90" t="s">
        <v>7</v>
      </c>
      <c r="M90" t="s">
        <v>8</v>
      </c>
      <c r="N90" t="s">
        <v>7</v>
      </c>
      <c r="P90">
        <f t="shared" si="54"/>
        <v>-2.0718232044198422E-2</v>
      </c>
      <c r="Q90">
        <f t="shared" si="55"/>
        <v>-79442.643646407028</v>
      </c>
      <c r="R90">
        <f t="shared" si="56"/>
        <v>1923793.2701485562</v>
      </c>
      <c r="S90">
        <f t="shared" si="57"/>
        <v>19.237932701485562</v>
      </c>
      <c r="T90">
        <f t="shared" si="58"/>
        <v>1.9237932701485563E-2</v>
      </c>
    </row>
    <row r="91" spans="1:20" x14ac:dyDescent="0.25">
      <c r="A91" s="5">
        <v>44502</v>
      </c>
      <c r="B91">
        <v>17.274000000000001</v>
      </c>
      <c r="C91">
        <v>17.501000000000001</v>
      </c>
      <c r="D91">
        <v>15.775</v>
      </c>
      <c r="E91">
        <v>16.373999999999999</v>
      </c>
      <c r="F91">
        <v>4321338.71</v>
      </c>
      <c r="G91">
        <v>0</v>
      </c>
      <c r="L91" t="s">
        <v>7</v>
      </c>
      <c r="M91" t="s">
        <v>8</v>
      </c>
      <c r="N91" t="s">
        <v>7</v>
      </c>
      <c r="P91">
        <f t="shared" si="54"/>
        <v>-0.30590961761298013</v>
      </c>
      <c r="Q91">
        <f t="shared" si="55"/>
        <v>-1321939.0723522687</v>
      </c>
      <c r="R91">
        <f t="shared" si="56"/>
        <v>2003235.9137949632</v>
      </c>
      <c r="S91">
        <f t="shared" si="57"/>
        <v>20.03235913794963</v>
      </c>
      <c r="T91">
        <f t="shared" si="58"/>
        <v>2.003235913794963E-2</v>
      </c>
    </row>
    <row r="92" spans="1:20" x14ac:dyDescent="0.25">
      <c r="A92" s="5">
        <v>44501</v>
      </c>
      <c r="B92">
        <v>15.179</v>
      </c>
      <c r="C92">
        <v>18.3</v>
      </c>
      <c r="D92">
        <v>14.858000000000001</v>
      </c>
      <c r="E92">
        <v>17.254999999999999</v>
      </c>
      <c r="F92">
        <v>11543558.98</v>
      </c>
      <c r="G92">
        <v>0</v>
      </c>
      <c r="L92" t="s">
        <v>8</v>
      </c>
      <c r="M92" t="s">
        <v>8</v>
      </c>
      <c r="N92" t="s">
        <v>7</v>
      </c>
      <c r="P92">
        <f t="shared" si="54"/>
        <v>0.39279488669378171</v>
      </c>
      <c r="Q92">
        <f t="shared" si="55"/>
        <v>4534250.9415920861</v>
      </c>
      <c r="R92">
        <f t="shared" si="56"/>
        <v>3325174.9861472319</v>
      </c>
      <c r="S92">
        <f t="shared" si="57"/>
        <v>33.251749861472319</v>
      </c>
      <c r="T92">
        <f t="shared" si="58"/>
        <v>3.3251749861472321E-2</v>
      </c>
    </row>
    <row r="93" spans="1:20" x14ac:dyDescent="0.25">
      <c r="A93" s="5">
        <v>44500</v>
      </c>
      <c r="B93">
        <v>15.557</v>
      </c>
      <c r="C93">
        <v>15.87</v>
      </c>
      <c r="D93">
        <v>14.500999999999999</v>
      </c>
      <c r="E93">
        <v>15.17</v>
      </c>
      <c r="F93">
        <v>3492240.26</v>
      </c>
      <c r="G93">
        <v>0</v>
      </c>
      <c r="L93" t="s">
        <v>7</v>
      </c>
      <c r="M93" t="s">
        <v>7</v>
      </c>
      <c r="N93" t="s">
        <v>7</v>
      </c>
      <c r="P93">
        <f t="shared" si="54"/>
        <v>-2.2644265887508262E-2</v>
      </c>
      <c r="Q93">
        <f t="shared" si="55"/>
        <v>-79079.21699050098</v>
      </c>
      <c r="R93">
        <f t="shared" si="56"/>
        <v>-1209075.9554448542</v>
      </c>
      <c r="S93">
        <f t="shared" si="57"/>
        <v>-12.090759554448542</v>
      </c>
      <c r="T93">
        <f t="shared" si="58"/>
        <v>-1.2090759554448542E-2</v>
      </c>
    </row>
    <row r="94" spans="1:20" x14ac:dyDescent="0.25">
      <c r="A94" s="5">
        <v>44499</v>
      </c>
      <c r="B94">
        <v>16.100000000000001</v>
      </c>
      <c r="C94">
        <v>16.247</v>
      </c>
      <c r="D94">
        <v>15.162000000000001</v>
      </c>
      <c r="E94">
        <v>15.555999999999999</v>
      </c>
      <c r="F94">
        <v>3907967.93</v>
      </c>
      <c r="G94">
        <v>0</v>
      </c>
      <c r="L94" t="s">
        <v>7</v>
      </c>
      <c r="M94" t="s">
        <v>8</v>
      </c>
      <c r="N94" t="s">
        <v>7</v>
      </c>
      <c r="P94">
        <f t="shared" si="54"/>
        <v>-0.27373271889401163</v>
      </c>
      <c r="Q94">
        <f t="shared" si="55"/>
        <v>-1069738.6868295025</v>
      </c>
      <c r="R94">
        <f t="shared" si="56"/>
        <v>-1129996.7384543533</v>
      </c>
      <c r="S94">
        <f t="shared" si="57"/>
        <v>-11.299967384543534</v>
      </c>
      <c r="T94">
        <f t="shared" si="58"/>
        <v>-1.1299967384543533E-2</v>
      </c>
    </row>
    <row r="95" spans="1:20" x14ac:dyDescent="0.25">
      <c r="A95" s="5">
        <v>44498</v>
      </c>
      <c r="B95">
        <v>15.805</v>
      </c>
      <c r="C95">
        <v>17.157</v>
      </c>
      <c r="D95">
        <v>15.667999999999999</v>
      </c>
      <c r="E95">
        <v>16.100000000000001</v>
      </c>
      <c r="F95">
        <v>4189761.05</v>
      </c>
      <c r="G95">
        <v>0</v>
      </c>
      <c r="L95" t="s">
        <v>8</v>
      </c>
      <c r="M95" t="s">
        <v>8</v>
      </c>
      <c r="N95" t="s">
        <v>7</v>
      </c>
      <c r="P95">
        <f t="shared" si="54"/>
        <v>-0.41974479516453733</v>
      </c>
      <c r="Q95">
        <f t="shared" si="55"/>
        <v>-1758630.3937206068</v>
      </c>
      <c r="R95">
        <f t="shared" si="56"/>
        <v>-60258.051624850836</v>
      </c>
      <c r="S95">
        <f t="shared" si="57"/>
        <v>-0.60258051624850839</v>
      </c>
      <c r="T95">
        <f t="shared" si="58"/>
        <v>-6.0258051624850837E-4</v>
      </c>
    </row>
    <row r="96" spans="1:20" x14ac:dyDescent="0.25">
      <c r="A96" s="5">
        <v>44497</v>
      </c>
      <c r="B96">
        <v>15.148</v>
      </c>
      <c r="C96">
        <v>16.364999999999998</v>
      </c>
      <c r="D96">
        <v>14.66</v>
      </c>
      <c r="E96">
        <v>15.798</v>
      </c>
      <c r="F96">
        <v>6313726.2999999998</v>
      </c>
      <c r="G96">
        <v>0</v>
      </c>
      <c r="L96" t="s">
        <v>8</v>
      </c>
      <c r="M96" t="s">
        <v>7</v>
      </c>
      <c r="N96" t="s">
        <v>7</v>
      </c>
      <c r="P96">
        <f t="shared" si="54"/>
        <v>0.33489736070381354</v>
      </c>
      <c r="Q96">
        <f t="shared" si="55"/>
        <v>2114450.2740762541</v>
      </c>
      <c r="R96">
        <f t="shared" si="56"/>
        <v>1698372.342095756</v>
      </c>
      <c r="S96">
        <f t="shared" si="57"/>
        <v>16.98372342095756</v>
      </c>
      <c r="T96">
        <f t="shared" si="58"/>
        <v>1.698372342095756E-2</v>
      </c>
    </row>
    <row r="97" spans="1:20" x14ac:dyDescent="0.25">
      <c r="A97" s="5">
        <v>44496</v>
      </c>
      <c r="B97">
        <v>17.835000000000001</v>
      </c>
      <c r="C97">
        <v>19.277000000000001</v>
      </c>
      <c r="D97">
        <v>14.13</v>
      </c>
      <c r="E97">
        <v>15.145</v>
      </c>
      <c r="F97">
        <v>10509517.689999999</v>
      </c>
      <c r="G97">
        <v>0</v>
      </c>
      <c r="L97" t="s">
        <v>7</v>
      </c>
      <c r="M97" t="s">
        <v>7</v>
      </c>
      <c r="N97" t="s">
        <v>7</v>
      </c>
      <c r="P97">
        <f t="shared" si="54"/>
        <v>-0.60559549251991496</v>
      </c>
      <c r="Q97">
        <f t="shared" si="55"/>
        <v>-6364516.541622309</v>
      </c>
      <c r="R97">
        <f t="shared" si="56"/>
        <v>-416077.93198049814</v>
      </c>
      <c r="S97">
        <f t="shared" si="57"/>
        <v>-4.1607793198049814</v>
      </c>
      <c r="T97">
        <f t="shared" si="58"/>
        <v>-4.160779319804981E-3</v>
      </c>
    </row>
    <row r="98" spans="1:20" x14ac:dyDescent="0.25">
      <c r="A98" s="5">
        <v>44495</v>
      </c>
      <c r="B98">
        <v>18.847999999999999</v>
      </c>
      <c r="C98">
        <v>19.347000000000001</v>
      </c>
      <c r="D98">
        <v>17.491</v>
      </c>
      <c r="E98">
        <v>17.835999999999999</v>
      </c>
      <c r="F98">
        <v>4539419.83</v>
      </c>
      <c r="G98">
        <v>0</v>
      </c>
      <c r="L98" t="s">
        <v>7</v>
      </c>
      <c r="M98" t="s">
        <v>7</v>
      </c>
      <c r="N98" t="s">
        <v>7</v>
      </c>
      <c r="P98">
        <f t="shared" si="54"/>
        <v>-0.62823275862069117</v>
      </c>
      <c r="Q98">
        <f t="shared" si="55"/>
        <v>-2851812.2423383691</v>
      </c>
      <c r="R98">
        <f t="shared" si="56"/>
        <v>5948438.6096418109</v>
      </c>
      <c r="S98">
        <f t="shared" si="57"/>
        <v>59.484386096418106</v>
      </c>
      <c r="T98">
        <f t="shared" si="58"/>
        <v>5.9484386096418103E-2</v>
      </c>
    </row>
    <row r="99" spans="1:20" x14ac:dyDescent="0.25">
      <c r="A99" s="5">
        <v>44494</v>
      </c>
      <c r="B99">
        <v>17.925999999999998</v>
      </c>
      <c r="C99">
        <v>19.399999999999999</v>
      </c>
      <c r="D99">
        <v>17.640999999999998</v>
      </c>
      <c r="E99">
        <v>18.847999999999999</v>
      </c>
      <c r="F99">
        <v>5068218.84</v>
      </c>
      <c r="G99">
        <v>0</v>
      </c>
      <c r="L99" t="s">
        <v>8</v>
      </c>
      <c r="M99" t="s">
        <v>7</v>
      </c>
      <c r="N99" t="s">
        <v>7</v>
      </c>
      <c r="P99">
        <f t="shared" si="54"/>
        <v>0.37237066515065437</v>
      </c>
      <c r="Q99">
        <f t="shared" si="55"/>
        <v>1887256.0205798778</v>
      </c>
      <c r="R99">
        <f t="shared" si="56"/>
        <v>8800250.8519801795</v>
      </c>
      <c r="S99">
        <f t="shared" si="57"/>
        <v>88.002508519801793</v>
      </c>
      <c r="T99">
        <f t="shared" si="58"/>
        <v>8.8002508519801792E-2</v>
      </c>
    </row>
    <row r="100" spans="1:20" x14ac:dyDescent="0.25">
      <c r="A100" s="5">
        <v>44493</v>
      </c>
      <c r="B100">
        <v>19.388999999999999</v>
      </c>
      <c r="C100">
        <v>19.646999999999998</v>
      </c>
      <c r="D100">
        <v>16.809999999999999</v>
      </c>
      <c r="E100">
        <v>17.925999999999998</v>
      </c>
      <c r="F100">
        <v>5512480.8600000003</v>
      </c>
      <c r="G100">
        <v>0</v>
      </c>
      <c r="L100" t="s">
        <v>7</v>
      </c>
      <c r="M100" t="s">
        <v>7</v>
      </c>
      <c r="N100" t="s">
        <v>7</v>
      </c>
      <c r="P100">
        <f t="shared" si="54"/>
        <v>-0.21325343672893918</v>
      </c>
      <c r="Q100">
        <f t="shared" si="55"/>
        <v>-1175555.4882974983</v>
      </c>
      <c r="R100">
        <f t="shared" si="56"/>
        <v>6912994.8314003013</v>
      </c>
      <c r="S100">
        <f t="shared" si="57"/>
        <v>69.129948314003016</v>
      </c>
      <c r="T100">
        <f t="shared" si="58"/>
        <v>6.9129948314003015E-2</v>
      </c>
    </row>
    <row r="101" spans="1:20" x14ac:dyDescent="0.25">
      <c r="A101" s="5">
        <v>44492</v>
      </c>
      <c r="B101">
        <v>20.303999999999998</v>
      </c>
      <c r="C101">
        <v>20.79</v>
      </c>
      <c r="D101">
        <v>19.282</v>
      </c>
      <c r="E101">
        <v>19.388000000000002</v>
      </c>
      <c r="F101">
        <v>2883667.29</v>
      </c>
      <c r="G101">
        <v>0</v>
      </c>
      <c r="L101" t="s">
        <v>8</v>
      </c>
      <c r="M101" t="s">
        <v>7</v>
      </c>
      <c r="N101" t="s">
        <v>7</v>
      </c>
      <c r="P101">
        <f t="shared" si="54"/>
        <v>-0.85941644562333985</v>
      </c>
      <c r="Q101">
        <f t="shared" si="55"/>
        <v>-2478271.0927320886</v>
      </c>
      <c r="R101">
        <f t="shared" si="56"/>
        <v>8088550.3196977992</v>
      </c>
      <c r="S101">
        <f t="shared" si="57"/>
        <v>80.885503196977993</v>
      </c>
      <c r="T101">
        <f t="shared" si="58"/>
        <v>8.0885503196977987E-2</v>
      </c>
    </row>
    <row r="102" spans="1:20" x14ac:dyDescent="0.25">
      <c r="A102" s="5">
        <v>44491</v>
      </c>
      <c r="B102">
        <v>19.355</v>
      </c>
      <c r="C102">
        <v>20.434999999999999</v>
      </c>
      <c r="D102">
        <v>18.992000000000001</v>
      </c>
      <c r="E102">
        <v>20.29</v>
      </c>
      <c r="F102">
        <v>3795634.63</v>
      </c>
      <c r="G102">
        <v>0</v>
      </c>
      <c r="L102" t="s">
        <v>8</v>
      </c>
      <c r="M102" t="s">
        <v>7</v>
      </c>
      <c r="N102" t="s">
        <v>7</v>
      </c>
      <c r="P102">
        <f t="shared" si="54"/>
        <v>0.79902979902979931</v>
      </c>
      <c r="Q102">
        <f t="shared" si="55"/>
        <v>3032825.1755994465</v>
      </c>
      <c r="R102">
        <f t="shared" si="56"/>
        <v>10566821.412429888</v>
      </c>
      <c r="S102">
        <f t="shared" si="57"/>
        <v>105.66821412429888</v>
      </c>
      <c r="T102">
        <f t="shared" si="58"/>
        <v>0.10566821412429889</v>
      </c>
    </row>
    <row r="103" spans="1:20" x14ac:dyDescent="0.25">
      <c r="A103" s="5">
        <v>44490</v>
      </c>
      <c r="B103">
        <v>19.986000000000001</v>
      </c>
      <c r="C103">
        <v>20.847000000000001</v>
      </c>
      <c r="D103">
        <v>18.710999999999999</v>
      </c>
      <c r="E103">
        <v>19.361999999999998</v>
      </c>
      <c r="F103">
        <v>4332200.5599999996</v>
      </c>
      <c r="G103">
        <v>0</v>
      </c>
      <c r="L103" t="s">
        <v>7</v>
      </c>
      <c r="M103" t="s">
        <v>7</v>
      </c>
      <c r="N103" t="s">
        <v>7</v>
      </c>
      <c r="P103">
        <f t="shared" si="54"/>
        <v>-0.39044943820224814</v>
      </c>
      <c r="Q103">
        <f t="shared" si="55"/>
        <v>-1691505.2748314647</v>
      </c>
      <c r="R103">
        <f t="shared" si="56"/>
        <v>7533996.2368304413</v>
      </c>
      <c r="S103">
        <f t="shared" si="57"/>
        <v>75.339962368304413</v>
      </c>
      <c r="T103">
        <f t="shared" si="58"/>
        <v>7.5339962368304411E-2</v>
      </c>
    </row>
    <row r="104" spans="1:20" x14ac:dyDescent="0.25">
      <c r="A104" s="5">
        <v>44489</v>
      </c>
      <c r="B104">
        <v>19.170000000000002</v>
      </c>
      <c r="C104">
        <v>20.928999999999998</v>
      </c>
      <c r="D104">
        <v>18.5</v>
      </c>
      <c r="E104">
        <v>19.965</v>
      </c>
      <c r="F104">
        <v>5751407.1399999997</v>
      </c>
      <c r="G104">
        <v>0</v>
      </c>
      <c r="L104" t="s">
        <v>8</v>
      </c>
      <c r="M104" t="s">
        <v>7</v>
      </c>
      <c r="N104" t="s">
        <v>7</v>
      </c>
      <c r="P104">
        <f t="shared" si="54"/>
        <v>0.20625771922601957</v>
      </c>
      <c r="Q104">
        <f t="shared" si="55"/>
        <v>1186272.1190366442</v>
      </c>
      <c r="R104">
        <f t="shared" si="56"/>
        <v>9225501.5116619058</v>
      </c>
      <c r="S104">
        <f t="shared" si="57"/>
        <v>92.255015116619063</v>
      </c>
      <c r="T104">
        <f t="shared" si="58"/>
        <v>9.2255015116619057E-2</v>
      </c>
    </row>
    <row r="105" spans="1:20" x14ac:dyDescent="0.25">
      <c r="A105" s="5">
        <v>44488</v>
      </c>
      <c r="B105">
        <v>20.138999999999999</v>
      </c>
      <c r="C105">
        <v>20.701000000000001</v>
      </c>
      <c r="D105">
        <v>18.603999999999999</v>
      </c>
      <c r="E105">
        <v>19.158999999999999</v>
      </c>
      <c r="F105">
        <v>3723192.6</v>
      </c>
      <c r="G105">
        <v>0</v>
      </c>
      <c r="L105" t="s">
        <v>7</v>
      </c>
      <c r="M105" t="s">
        <v>7</v>
      </c>
      <c r="N105" t="s">
        <v>7</v>
      </c>
      <c r="P105">
        <f t="shared" si="54"/>
        <v>-0.47067238912732534</v>
      </c>
      <c r="Q105">
        <f t="shared" si="55"/>
        <v>-1752403.9562231782</v>
      </c>
      <c r="R105">
        <f t="shared" si="56"/>
        <v>8039229.3926252611</v>
      </c>
      <c r="S105">
        <f t="shared" si="57"/>
        <v>80.392293926252606</v>
      </c>
      <c r="T105">
        <f t="shared" si="58"/>
        <v>8.0392293926252606E-2</v>
      </c>
    </row>
    <row r="106" spans="1:20" x14ac:dyDescent="0.25">
      <c r="A106" s="5">
        <v>44487</v>
      </c>
      <c r="B106">
        <v>21.042999999999999</v>
      </c>
      <c r="C106">
        <v>21.532</v>
      </c>
      <c r="D106">
        <v>19.600000000000001</v>
      </c>
      <c r="E106">
        <v>20.131</v>
      </c>
      <c r="F106">
        <v>4947579.3600000003</v>
      </c>
      <c r="G106">
        <v>0</v>
      </c>
      <c r="L106" t="s">
        <v>7</v>
      </c>
      <c r="M106" t="s">
        <v>7</v>
      </c>
      <c r="N106" t="s">
        <v>8</v>
      </c>
      <c r="P106">
        <f t="shared" si="54"/>
        <v>-0.45031055900621203</v>
      </c>
      <c r="Q106">
        <f t="shared" si="55"/>
        <v>-2227947.2273291969</v>
      </c>
      <c r="R106">
        <f t="shared" si="56"/>
        <v>9791633.3488484398</v>
      </c>
      <c r="S106">
        <f t="shared" si="57"/>
        <v>97.916333488484398</v>
      </c>
      <c r="T106">
        <f t="shared" si="58"/>
        <v>9.79163334884844E-2</v>
      </c>
    </row>
    <row r="107" spans="1:20" x14ac:dyDescent="0.25">
      <c r="A107" s="5">
        <v>44486</v>
      </c>
      <c r="B107">
        <v>22.326000000000001</v>
      </c>
      <c r="C107">
        <v>22.751000000000001</v>
      </c>
      <c r="D107">
        <v>20</v>
      </c>
      <c r="E107">
        <v>21.055</v>
      </c>
      <c r="F107">
        <v>4074201.19</v>
      </c>
      <c r="G107">
        <v>0</v>
      </c>
      <c r="L107" t="s">
        <v>7</v>
      </c>
      <c r="M107" t="s">
        <v>7</v>
      </c>
      <c r="N107" t="s">
        <v>8</v>
      </c>
      <c r="P107">
        <f t="shared" si="54"/>
        <v>-0.23300617957106562</v>
      </c>
      <c r="Q107">
        <f t="shared" si="55"/>
        <v>-949314.05408578925</v>
      </c>
      <c r="R107">
        <f t="shared" si="56"/>
        <v>12019580.576177636</v>
      </c>
      <c r="S107">
        <f t="shared" si="57"/>
        <v>120.19580576177636</v>
      </c>
      <c r="T107">
        <f t="shared" si="58"/>
        <v>0.12019580576177635</v>
      </c>
    </row>
    <row r="108" spans="1:20" x14ac:dyDescent="0.25">
      <c r="A108" s="5">
        <v>44485</v>
      </c>
      <c r="B108">
        <v>22.641999999999999</v>
      </c>
      <c r="C108">
        <v>23.367999999999999</v>
      </c>
      <c r="D108">
        <v>22.024999999999999</v>
      </c>
      <c r="E108">
        <v>22.338000000000001</v>
      </c>
      <c r="F108">
        <v>4040467.35</v>
      </c>
      <c r="G108">
        <v>0</v>
      </c>
      <c r="L108" t="s">
        <v>7</v>
      </c>
      <c r="M108" t="s">
        <v>7</v>
      </c>
      <c r="N108" t="s">
        <v>8</v>
      </c>
      <c r="P108">
        <f t="shared" si="54"/>
        <v>-0.53387937453462042</v>
      </c>
      <c r="Q108">
        <f t="shared" si="55"/>
        <v>-2157122.1816455554</v>
      </c>
      <c r="R108">
        <f t="shared" si="56"/>
        <v>12968894.630263425</v>
      </c>
      <c r="S108">
        <f t="shared" si="57"/>
        <v>129.68894630263426</v>
      </c>
      <c r="T108">
        <f t="shared" si="58"/>
        <v>0.12968894630263425</v>
      </c>
    </row>
    <row r="109" spans="1:20" x14ac:dyDescent="0.25">
      <c r="A109" s="5">
        <v>44484</v>
      </c>
      <c r="B109">
        <v>23.620999999999999</v>
      </c>
      <c r="C109">
        <v>24.4</v>
      </c>
      <c r="D109">
        <v>22.265000000000001</v>
      </c>
      <c r="E109">
        <v>22.638000000000002</v>
      </c>
      <c r="F109">
        <v>6818863.8200000003</v>
      </c>
      <c r="G109">
        <v>0</v>
      </c>
      <c r="L109" t="s">
        <v>8</v>
      </c>
      <c r="M109" t="s">
        <v>7</v>
      </c>
      <c r="N109" t="s">
        <v>8</v>
      </c>
      <c r="P109">
        <f t="shared" si="54"/>
        <v>-0.65058548009367545</v>
      </c>
      <c r="Q109">
        <f t="shared" si="55"/>
        <v>-4436253.7920280937</v>
      </c>
      <c r="R109">
        <f t="shared" si="56"/>
        <v>15126016.811908981</v>
      </c>
      <c r="S109">
        <f t="shared" si="57"/>
        <v>151.2601681190898</v>
      </c>
      <c r="T109">
        <f t="shared" si="58"/>
        <v>0.15126016811908979</v>
      </c>
    </row>
    <row r="110" spans="1:20" x14ac:dyDescent="0.25">
      <c r="A110" s="5">
        <v>44483</v>
      </c>
      <c r="B110">
        <v>22.346</v>
      </c>
      <c r="C110">
        <v>24.036999999999999</v>
      </c>
      <c r="D110">
        <v>22.126999999999999</v>
      </c>
      <c r="E110">
        <v>23.62</v>
      </c>
      <c r="F110">
        <v>5200369.28</v>
      </c>
      <c r="G110">
        <v>0</v>
      </c>
      <c r="L110" t="s">
        <v>7</v>
      </c>
      <c r="M110" t="s">
        <v>7</v>
      </c>
      <c r="N110" t="s">
        <v>8</v>
      </c>
      <c r="P110">
        <f t="shared" si="54"/>
        <v>0.56335078534031624</v>
      </c>
      <c r="Q110">
        <f t="shared" si="55"/>
        <v>2929632.1179476553</v>
      </c>
      <c r="R110">
        <f t="shared" si="56"/>
        <v>19562270.603937075</v>
      </c>
      <c r="S110">
        <f t="shared" si="57"/>
        <v>195.62270603937074</v>
      </c>
      <c r="T110">
        <f t="shared" si="58"/>
        <v>0.19562270603937074</v>
      </c>
    </row>
    <row r="111" spans="1:20" x14ac:dyDescent="0.25">
      <c r="A111" s="5">
        <v>44482</v>
      </c>
      <c r="B111">
        <v>22.308</v>
      </c>
      <c r="C111">
        <v>24.96</v>
      </c>
      <c r="D111">
        <v>21.58</v>
      </c>
      <c r="E111">
        <v>22.356000000000002</v>
      </c>
      <c r="F111">
        <v>11879418.68</v>
      </c>
      <c r="G111">
        <v>0</v>
      </c>
      <c r="L111" t="s">
        <v>8</v>
      </c>
      <c r="M111" t="s">
        <v>7</v>
      </c>
      <c r="N111" t="s">
        <v>8</v>
      </c>
      <c r="P111">
        <f t="shared" si="54"/>
        <v>-0.54082840236686225</v>
      </c>
      <c r="Q111">
        <f t="shared" si="55"/>
        <v>-6424727.0257514594</v>
      </c>
      <c r="R111">
        <f t="shared" si="56"/>
        <v>16632638.485989418</v>
      </c>
      <c r="S111">
        <f t="shared" si="57"/>
        <v>166.32638485989418</v>
      </c>
      <c r="T111">
        <f t="shared" si="58"/>
        <v>0.16632638485989418</v>
      </c>
    </row>
    <row r="112" spans="1:20" x14ac:dyDescent="0.25">
      <c r="A112" s="5">
        <v>44481</v>
      </c>
      <c r="B112">
        <v>23.611000000000001</v>
      </c>
      <c r="C112">
        <v>23.634</v>
      </c>
      <c r="D112">
        <v>21.28</v>
      </c>
      <c r="E112">
        <v>22.286000000000001</v>
      </c>
      <c r="F112">
        <v>8359129.5999999996</v>
      </c>
      <c r="G112">
        <v>0</v>
      </c>
      <c r="L112" t="s">
        <v>7</v>
      </c>
      <c r="M112" t="s">
        <v>7</v>
      </c>
      <c r="N112" t="s">
        <v>8</v>
      </c>
      <c r="P112">
        <f t="shared" si="54"/>
        <v>-0.14528462192013547</v>
      </c>
      <c r="Q112">
        <f t="shared" si="55"/>
        <v>-1214452.9835174133</v>
      </c>
      <c r="R112">
        <f t="shared" si="56"/>
        <v>23057365.511740878</v>
      </c>
      <c r="S112">
        <f t="shared" si="57"/>
        <v>230.57365511740878</v>
      </c>
      <c r="T112">
        <f t="shared" si="58"/>
        <v>0.23057365511740877</v>
      </c>
    </row>
    <row r="113" spans="1:20" x14ac:dyDescent="0.25">
      <c r="A113" s="5">
        <v>44480</v>
      </c>
      <c r="B113">
        <v>22.577999999999999</v>
      </c>
      <c r="C113">
        <v>26.100999999999999</v>
      </c>
      <c r="D113">
        <v>22.1</v>
      </c>
      <c r="E113">
        <v>23.637</v>
      </c>
      <c r="F113">
        <v>14485623.25</v>
      </c>
      <c r="G113">
        <v>0</v>
      </c>
      <c r="L113" t="s">
        <v>8</v>
      </c>
      <c r="M113" t="s">
        <v>8</v>
      </c>
      <c r="N113" t="s">
        <v>8</v>
      </c>
      <c r="P113">
        <f t="shared" si="54"/>
        <v>-0.23169207698075484</v>
      </c>
      <c r="Q113">
        <f t="shared" si="55"/>
        <v>-3356204.137153212</v>
      </c>
      <c r="R113">
        <f t="shared" si="56"/>
        <v>24271818.49525829</v>
      </c>
      <c r="S113">
        <f t="shared" si="57"/>
        <v>242.7181849525829</v>
      </c>
      <c r="T113">
        <f t="shared" si="58"/>
        <v>0.2427181849525829</v>
      </c>
    </row>
    <row r="114" spans="1:20" x14ac:dyDescent="0.25">
      <c r="A114" s="5">
        <v>44479</v>
      </c>
      <c r="B114">
        <v>21.832000000000001</v>
      </c>
      <c r="C114">
        <v>24.9</v>
      </c>
      <c r="D114">
        <v>21.103000000000002</v>
      </c>
      <c r="E114">
        <v>22.594999999999999</v>
      </c>
      <c r="F114">
        <v>12772132.119999999</v>
      </c>
      <c r="G114">
        <v>0</v>
      </c>
      <c r="L114" t="s">
        <v>8</v>
      </c>
      <c r="M114" t="s">
        <v>8</v>
      </c>
      <c r="N114" t="s">
        <v>8</v>
      </c>
      <c r="P114">
        <f t="shared" si="54"/>
        <v>-0.21411640769028259</v>
      </c>
      <c r="Q114">
        <f t="shared" si="55"/>
        <v>-2734723.0480800732</v>
      </c>
      <c r="R114">
        <f t="shared" si="56"/>
        <v>27628022.632411502</v>
      </c>
      <c r="S114">
        <f t="shared" si="57"/>
        <v>276.28022632411501</v>
      </c>
      <c r="T114">
        <f t="shared" si="58"/>
        <v>0.27628022632411503</v>
      </c>
    </row>
    <row r="115" spans="1:20" x14ac:dyDescent="0.25">
      <c r="A115" s="5">
        <v>44478</v>
      </c>
      <c r="B115">
        <v>21.965</v>
      </c>
      <c r="C115">
        <v>23.015000000000001</v>
      </c>
      <c r="D115">
        <v>21.335999999999999</v>
      </c>
      <c r="E115">
        <v>21.832000000000001</v>
      </c>
      <c r="F115">
        <v>4592505.8899999997</v>
      </c>
      <c r="G115">
        <v>0</v>
      </c>
      <c r="L115" t="s">
        <v>8</v>
      </c>
      <c r="M115" t="s">
        <v>8</v>
      </c>
      <c r="N115" t="s">
        <v>8</v>
      </c>
      <c r="P115">
        <f t="shared" si="54"/>
        <v>-0.40917212626563237</v>
      </c>
      <c r="Q115">
        <f t="shared" si="55"/>
        <v>-1879125.3998987402</v>
      </c>
      <c r="R115">
        <f t="shared" si="56"/>
        <v>30362745.680491574</v>
      </c>
      <c r="S115">
        <f t="shared" si="57"/>
        <v>303.62745680491577</v>
      </c>
      <c r="T115">
        <f t="shared" si="58"/>
        <v>0.30362745680491576</v>
      </c>
    </row>
    <row r="116" spans="1:20" x14ac:dyDescent="0.25">
      <c r="A116" s="5">
        <v>44477</v>
      </c>
      <c r="B116">
        <v>21.710999999999999</v>
      </c>
      <c r="C116">
        <v>22.77</v>
      </c>
      <c r="D116">
        <v>21</v>
      </c>
      <c r="E116">
        <v>21.963999999999999</v>
      </c>
      <c r="F116">
        <v>6226904.0199999996</v>
      </c>
      <c r="G116">
        <v>0</v>
      </c>
      <c r="L116" t="s">
        <v>7</v>
      </c>
      <c r="M116" t="s">
        <v>8</v>
      </c>
      <c r="N116" t="s">
        <v>8</v>
      </c>
      <c r="P116">
        <f t="shared" si="54"/>
        <v>8.9265536723162564E-2</v>
      </c>
      <c r="Q116">
        <f t="shared" si="55"/>
        <v>555847.92946891859</v>
      </c>
      <c r="R116">
        <f t="shared" si="56"/>
        <v>32241871.080390316</v>
      </c>
      <c r="S116">
        <f t="shared" si="57"/>
        <v>322.41871080390314</v>
      </c>
      <c r="T116">
        <f t="shared" si="58"/>
        <v>0.32241871080390316</v>
      </c>
    </row>
    <row r="117" spans="1:20" x14ac:dyDescent="0.25">
      <c r="A117" s="5">
        <v>44476</v>
      </c>
      <c r="B117">
        <v>22.986999999999998</v>
      </c>
      <c r="C117">
        <v>24.931999999999999</v>
      </c>
      <c r="D117">
        <v>21.550999999999998</v>
      </c>
      <c r="E117">
        <v>21.728999999999999</v>
      </c>
      <c r="F117">
        <v>10189841.279999999</v>
      </c>
      <c r="G117">
        <v>0</v>
      </c>
      <c r="L117" t="s">
        <v>8</v>
      </c>
      <c r="M117" t="s">
        <v>8</v>
      </c>
      <c r="N117" t="s">
        <v>8</v>
      </c>
      <c r="P117">
        <f t="shared" si="54"/>
        <v>-0.89470570837030416</v>
      </c>
      <c r="Q117">
        <f t="shared" si="55"/>
        <v>-9116909.1606033668</v>
      </c>
      <c r="R117">
        <f t="shared" si="56"/>
        <v>31686023.150921397</v>
      </c>
      <c r="S117">
        <f t="shared" si="57"/>
        <v>316.86023150921397</v>
      </c>
      <c r="T117">
        <f t="shared" si="58"/>
        <v>0.316860231509214</v>
      </c>
    </row>
    <row r="118" spans="1:20" x14ac:dyDescent="0.25">
      <c r="A118" s="5">
        <v>44475</v>
      </c>
      <c r="B118">
        <v>22.629000000000001</v>
      </c>
      <c r="C118">
        <v>23.541</v>
      </c>
      <c r="D118">
        <v>20.52</v>
      </c>
      <c r="E118">
        <v>22.992000000000001</v>
      </c>
      <c r="F118">
        <v>11921331.029999999</v>
      </c>
      <c r="G118">
        <v>0</v>
      </c>
      <c r="L118" t="s">
        <v>7</v>
      </c>
      <c r="M118" t="s">
        <v>7</v>
      </c>
      <c r="N118" t="s">
        <v>8</v>
      </c>
      <c r="P118">
        <f t="shared" si="54"/>
        <v>0.63654419066534307</v>
      </c>
      <c r="Q118">
        <f t="shared" si="55"/>
        <v>7588454.0121449903</v>
      </c>
      <c r="R118">
        <f t="shared" si="56"/>
        <v>40802932.311524764</v>
      </c>
      <c r="S118">
        <f t="shared" si="57"/>
        <v>408.02932311524762</v>
      </c>
      <c r="T118">
        <f t="shared" si="58"/>
        <v>0.40802932311524764</v>
      </c>
    </row>
    <row r="119" spans="1:20" x14ac:dyDescent="0.25">
      <c r="A119" s="5">
        <v>44474</v>
      </c>
      <c r="B119">
        <v>23.449000000000002</v>
      </c>
      <c r="C119">
        <v>24.495000000000001</v>
      </c>
      <c r="D119">
        <v>22.073</v>
      </c>
      <c r="E119">
        <v>22.617000000000001</v>
      </c>
      <c r="F119">
        <v>8456662.9199999999</v>
      </c>
      <c r="G119">
        <v>0</v>
      </c>
      <c r="L119" t="s">
        <v>7</v>
      </c>
      <c r="M119" t="s">
        <v>7</v>
      </c>
      <c r="N119" t="s">
        <v>8</v>
      </c>
      <c r="P119">
        <f t="shared" si="54"/>
        <v>-0.55078447563996669</v>
      </c>
      <c r="Q119">
        <f t="shared" si="55"/>
        <v>-4657798.6520561492</v>
      </c>
      <c r="R119">
        <f t="shared" si="56"/>
        <v>33214478.299379773</v>
      </c>
      <c r="S119">
        <f t="shared" si="57"/>
        <v>332.14478299379772</v>
      </c>
      <c r="T119">
        <f t="shared" si="58"/>
        <v>0.33214478299379774</v>
      </c>
    </row>
    <row r="120" spans="1:20" x14ac:dyDescent="0.25">
      <c r="A120" s="5">
        <v>44473</v>
      </c>
      <c r="B120">
        <v>23.564</v>
      </c>
      <c r="C120">
        <v>26.431000000000001</v>
      </c>
      <c r="D120">
        <v>22.6</v>
      </c>
      <c r="E120">
        <v>23.46</v>
      </c>
      <c r="F120">
        <v>15725757.48</v>
      </c>
      <c r="G120">
        <v>0</v>
      </c>
      <c r="L120" t="s">
        <v>8</v>
      </c>
      <c r="M120" t="s">
        <v>8</v>
      </c>
      <c r="N120" t="s">
        <v>8</v>
      </c>
      <c r="P120">
        <f t="shared" si="54"/>
        <v>-0.55103106238580024</v>
      </c>
      <c r="Q120">
        <f t="shared" si="55"/>
        <v>-8665380.8510258459</v>
      </c>
      <c r="R120">
        <f t="shared" si="56"/>
        <v>37872276.951435924</v>
      </c>
      <c r="S120">
        <f t="shared" si="57"/>
        <v>378.72276951435924</v>
      </c>
      <c r="T120">
        <f t="shared" si="58"/>
        <v>0.37872276951435924</v>
      </c>
    </row>
    <row r="121" spans="1:20" x14ac:dyDescent="0.25">
      <c r="A121" s="5">
        <v>44472</v>
      </c>
      <c r="B121">
        <v>23.215</v>
      </c>
      <c r="C121">
        <v>23.87</v>
      </c>
      <c r="D121">
        <v>21.366</v>
      </c>
      <c r="E121">
        <v>23.59</v>
      </c>
      <c r="F121">
        <v>9301265.4100000001</v>
      </c>
      <c r="G121">
        <v>0</v>
      </c>
      <c r="L121" t="s">
        <v>7</v>
      </c>
      <c r="M121" t="s">
        <v>7</v>
      </c>
      <c r="N121" t="s">
        <v>8</v>
      </c>
      <c r="P121">
        <f t="shared" si="54"/>
        <v>0.77635782747603754</v>
      </c>
      <c r="Q121">
        <f t="shared" si="55"/>
        <v>7221110.206485616</v>
      </c>
      <c r="R121">
        <f t="shared" si="56"/>
        <v>46537657.802461766</v>
      </c>
      <c r="S121">
        <f t="shared" si="57"/>
        <v>465.37657802461763</v>
      </c>
      <c r="T121">
        <f t="shared" si="58"/>
        <v>0.46537657802461763</v>
      </c>
    </row>
    <row r="122" spans="1:20" x14ac:dyDescent="0.25">
      <c r="A122" s="5">
        <v>44471</v>
      </c>
      <c r="B122">
        <v>22.308</v>
      </c>
      <c r="C122">
        <v>24.398</v>
      </c>
      <c r="D122">
        <v>21.721</v>
      </c>
      <c r="E122">
        <v>23.216000000000001</v>
      </c>
      <c r="F122">
        <v>12354701.84</v>
      </c>
      <c r="G122">
        <v>0</v>
      </c>
      <c r="L122" t="s">
        <v>8</v>
      </c>
      <c r="M122" t="s">
        <v>7</v>
      </c>
      <c r="N122" t="s">
        <v>8</v>
      </c>
      <c r="P122">
        <f t="shared" si="54"/>
        <v>0.11692192753081899</v>
      </c>
      <c r="Q122">
        <f t="shared" si="55"/>
        <v>1444535.553201356</v>
      </c>
      <c r="R122">
        <f t="shared" si="56"/>
        <v>39316547.595976152</v>
      </c>
      <c r="S122">
        <f t="shared" si="57"/>
        <v>393.16547595976152</v>
      </c>
      <c r="T122">
        <f t="shared" si="58"/>
        <v>0.39316547595976153</v>
      </c>
    </row>
    <row r="123" spans="1:20" x14ac:dyDescent="0.25">
      <c r="A123" s="5">
        <v>44470</v>
      </c>
      <c r="B123">
        <v>23.588000000000001</v>
      </c>
      <c r="C123">
        <v>25.129000000000001</v>
      </c>
      <c r="D123">
        <v>21.3</v>
      </c>
      <c r="E123">
        <v>22.298999999999999</v>
      </c>
      <c r="F123">
        <v>17171570.539999999</v>
      </c>
      <c r="G123">
        <v>0</v>
      </c>
      <c r="L123" t="s">
        <v>7</v>
      </c>
      <c r="M123" t="s">
        <v>7</v>
      </c>
      <c r="N123" t="s">
        <v>8</v>
      </c>
      <c r="P123">
        <f t="shared" si="54"/>
        <v>-0.47819273961870012</v>
      </c>
      <c r="Q123">
        <f t="shared" si="55"/>
        <v>-8211320.3600783618</v>
      </c>
      <c r="R123">
        <f t="shared" si="56"/>
        <v>37872012.042774796</v>
      </c>
      <c r="S123">
        <f t="shared" si="57"/>
        <v>378.72012042774799</v>
      </c>
      <c r="T123">
        <f t="shared" si="58"/>
        <v>0.378720120427748</v>
      </c>
    </row>
    <row r="124" spans="1:20" x14ac:dyDescent="0.25">
      <c r="A124" s="5">
        <v>44469</v>
      </c>
      <c r="B124">
        <v>26.747</v>
      </c>
      <c r="C124">
        <v>27.856999999999999</v>
      </c>
      <c r="D124">
        <v>23.106000000000002</v>
      </c>
      <c r="E124">
        <v>23.555</v>
      </c>
      <c r="F124">
        <v>15546595.119999999</v>
      </c>
      <c r="G124">
        <v>0</v>
      </c>
      <c r="L124" t="s">
        <v>8</v>
      </c>
      <c r="M124" t="s">
        <v>8</v>
      </c>
      <c r="N124" t="s">
        <v>8</v>
      </c>
      <c r="P124">
        <f t="shared" si="54"/>
        <v>-0.81098716059776965</v>
      </c>
      <c r="Q124">
        <f t="shared" si="55"/>
        <v>-12608089.033331942</v>
      </c>
      <c r="R124">
        <f t="shared" si="56"/>
        <v>46083332.402853161</v>
      </c>
      <c r="S124">
        <f t="shared" si="57"/>
        <v>460.83332402853159</v>
      </c>
      <c r="T124">
        <f t="shared" si="58"/>
        <v>0.46083332402853161</v>
      </c>
    </row>
    <row r="125" spans="1:20" x14ac:dyDescent="0.25">
      <c r="A125" s="5">
        <v>44468</v>
      </c>
      <c r="B125">
        <v>22.559000000000001</v>
      </c>
      <c r="C125">
        <v>26.934999999999999</v>
      </c>
      <c r="D125">
        <v>21.802</v>
      </c>
      <c r="E125">
        <v>26.751000000000001</v>
      </c>
      <c r="F125">
        <v>19505915.140000001</v>
      </c>
      <c r="G125">
        <v>0</v>
      </c>
      <c r="L125" t="s">
        <v>8</v>
      </c>
      <c r="M125" t="s">
        <v>8</v>
      </c>
      <c r="N125" t="s">
        <v>8</v>
      </c>
      <c r="P125">
        <f t="shared" si="54"/>
        <v>0.92830703292421679</v>
      </c>
      <c r="Q125">
        <f t="shared" si="55"/>
        <v>18107478.20808496</v>
      </c>
      <c r="R125">
        <f t="shared" si="56"/>
        <v>58691421.436185107</v>
      </c>
      <c r="S125">
        <f t="shared" si="57"/>
        <v>586.91421436185112</v>
      </c>
      <c r="T125">
        <f t="shared" si="58"/>
        <v>0.58691421436185109</v>
      </c>
    </row>
    <row r="126" spans="1:20" x14ac:dyDescent="0.25">
      <c r="A126" s="5">
        <v>44467</v>
      </c>
      <c r="B126">
        <v>20.963000000000001</v>
      </c>
      <c r="C126">
        <v>23.588000000000001</v>
      </c>
      <c r="D126">
        <v>19.254999999999999</v>
      </c>
      <c r="E126">
        <v>22.558</v>
      </c>
      <c r="F126">
        <v>21685750.07</v>
      </c>
      <c r="G126">
        <v>0</v>
      </c>
      <c r="L126" t="s">
        <v>8</v>
      </c>
      <c r="M126" t="s">
        <v>7</v>
      </c>
      <c r="N126" t="s">
        <v>8</v>
      </c>
      <c r="P126">
        <f t="shared" si="54"/>
        <v>0.52457881375490389</v>
      </c>
      <c r="Q126">
        <f t="shared" si="55"/>
        <v>11375885.047105925</v>
      </c>
      <c r="R126">
        <f t="shared" si="56"/>
        <v>40583943.228100143</v>
      </c>
      <c r="S126">
        <f t="shared" si="57"/>
        <v>405.83943228100145</v>
      </c>
      <c r="T126">
        <f t="shared" si="58"/>
        <v>0.40583943228100144</v>
      </c>
    </row>
    <row r="127" spans="1:20" x14ac:dyDescent="0.25">
      <c r="A127" s="5">
        <v>44466</v>
      </c>
      <c r="B127">
        <v>19.298999999999999</v>
      </c>
      <c r="C127">
        <v>22.899000000000001</v>
      </c>
      <c r="D127">
        <v>18.7</v>
      </c>
      <c r="E127">
        <v>20.975000000000001</v>
      </c>
      <c r="F127">
        <v>25279800.300000001</v>
      </c>
      <c r="G127">
        <v>0</v>
      </c>
      <c r="L127" t="s">
        <v>8</v>
      </c>
      <c r="M127" t="s">
        <v>8</v>
      </c>
      <c r="N127" t="s">
        <v>8</v>
      </c>
      <c r="P127">
        <f t="shared" si="54"/>
        <v>8.3591331269350436E-2</v>
      </c>
      <c r="Q127">
        <f t="shared" si="55"/>
        <v>2113172.1613003244</v>
      </c>
      <c r="R127">
        <f t="shared" si="56"/>
        <v>29208058.18099422</v>
      </c>
      <c r="S127">
        <f t="shared" si="57"/>
        <v>292.0805818099422</v>
      </c>
      <c r="T127">
        <f t="shared" si="58"/>
        <v>0.29208058180994223</v>
      </c>
    </row>
    <row r="128" spans="1:20" x14ac:dyDescent="0.25">
      <c r="A128" s="5">
        <v>44465</v>
      </c>
      <c r="B128">
        <v>13.984999999999999</v>
      </c>
      <c r="C128">
        <v>19.666</v>
      </c>
      <c r="D128">
        <v>12.817</v>
      </c>
      <c r="E128">
        <v>19.308</v>
      </c>
      <c r="F128">
        <v>28192101.690000001</v>
      </c>
      <c r="G128">
        <v>0</v>
      </c>
      <c r="L128" t="s">
        <v>8</v>
      </c>
      <c r="M128" t="s">
        <v>8</v>
      </c>
      <c r="N128" t="s">
        <v>8</v>
      </c>
      <c r="P128">
        <f t="shared" si="54"/>
        <v>0.89545919112279149</v>
      </c>
      <c r="Q128">
        <f t="shared" si="55"/>
        <v>25244876.575378884</v>
      </c>
      <c r="R128">
        <f t="shared" si="56"/>
        <v>27094886.019693896</v>
      </c>
      <c r="S128">
        <f t="shared" si="57"/>
        <v>270.94886019693894</v>
      </c>
      <c r="T128">
        <f t="shared" si="58"/>
        <v>0.27094886019693892</v>
      </c>
    </row>
    <row r="129" spans="1:20" x14ac:dyDescent="0.25">
      <c r="A129" s="5">
        <v>44464</v>
      </c>
      <c r="B129">
        <v>12.108000000000001</v>
      </c>
      <c r="C129">
        <v>14.356999999999999</v>
      </c>
      <c r="D129">
        <v>11.448</v>
      </c>
      <c r="E129">
        <v>13.984</v>
      </c>
      <c r="F129">
        <v>9461156.4800000004</v>
      </c>
      <c r="G129">
        <v>0</v>
      </c>
      <c r="L129" t="s">
        <v>8</v>
      </c>
      <c r="M129" t="s">
        <v>8</v>
      </c>
      <c r="N129" t="s">
        <v>8</v>
      </c>
      <c r="P129">
        <f t="shared" si="54"/>
        <v>0.74355448607769026</v>
      </c>
      <c r="Q129">
        <f t="shared" si="55"/>
        <v>7034885.3441870091</v>
      </c>
      <c r="R129">
        <f t="shared" si="56"/>
        <v>1850009.4443150125</v>
      </c>
      <c r="S129">
        <f t="shared" si="57"/>
        <v>18.500094443150125</v>
      </c>
      <c r="T129">
        <f t="shared" si="58"/>
        <v>1.8500094443150126E-2</v>
      </c>
    </row>
    <row r="130" spans="1:20" x14ac:dyDescent="0.25">
      <c r="A130" s="5">
        <v>44463</v>
      </c>
      <c r="B130">
        <v>14.08</v>
      </c>
      <c r="C130">
        <v>14.15</v>
      </c>
      <c r="D130">
        <v>11.103</v>
      </c>
      <c r="E130">
        <v>12.108000000000001</v>
      </c>
      <c r="F130">
        <v>9342176.6999999993</v>
      </c>
      <c r="G130">
        <v>0</v>
      </c>
      <c r="L130" t="s">
        <v>7</v>
      </c>
      <c r="M130" t="s">
        <v>7</v>
      </c>
      <c r="N130" t="s">
        <v>8</v>
      </c>
      <c r="P130">
        <f t="shared" si="54"/>
        <v>-0.34033475549720998</v>
      </c>
      <c r="Q130">
        <f t="shared" si="55"/>
        <v>-3179467.4230062319</v>
      </c>
      <c r="R130">
        <f t="shared" si="56"/>
        <v>-5184875.8998719966</v>
      </c>
      <c r="S130">
        <f t="shared" si="57"/>
        <v>-51.848758998719966</v>
      </c>
      <c r="T130">
        <f t="shared" si="58"/>
        <v>-5.1848758998719963E-2</v>
      </c>
    </row>
    <row r="131" spans="1:20" x14ac:dyDescent="0.25">
      <c r="A131" s="5">
        <v>44462</v>
      </c>
      <c r="B131">
        <v>14.624000000000001</v>
      </c>
      <c r="C131">
        <v>14.974</v>
      </c>
      <c r="D131">
        <v>13.077999999999999</v>
      </c>
      <c r="E131">
        <v>14.079000000000001</v>
      </c>
      <c r="F131">
        <v>7027804.71</v>
      </c>
      <c r="G131">
        <v>0</v>
      </c>
      <c r="L131" t="s">
        <v>7</v>
      </c>
      <c r="M131" t="s">
        <v>8</v>
      </c>
      <c r="N131" t="s">
        <v>8</v>
      </c>
      <c r="P131">
        <f t="shared" si="54"/>
        <v>5.5907172995781435E-2</v>
      </c>
      <c r="Q131">
        <f t="shared" si="55"/>
        <v>392904.69370253757</v>
      </c>
      <c r="R131">
        <f t="shared" si="56"/>
        <v>-2005408.4768657647</v>
      </c>
      <c r="S131">
        <f t="shared" si="57"/>
        <v>-20.054084768657646</v>
      </c>
      <c r="T131">
        <f t="shared" si="58"/>
        <v>-2.0054084768657644E-2</v>
      </c>
    </row>
    <row r="132" spans="1:20" x14ac:dyDescent="0.25">
      <c r="A132" s="5">
        <v>44461</v>
      </c>
      <c r="B132">
        <v>12.552</v>
      </c>
      <c r="C132">
        <v>14.991</v>
      </c>
      <c r="D132">
        <v>12.25</v>
      </c>
      <c r="E132">
        <v>14.637</v>
      </c>
      <c r="F132">
        <v>10687185.57</v>
      </c>
      <c r="G132">
        <v>0</v>
      </c>
      <c r="L132" t="s">
        <v>8</v>
      </c>
      <c r="M132" t="s">
        <v>8</v>
      </c>
      <c r="N132" t="s">
        <v>8</v>
      </c>
      <c r="P132">
        <f t="shared" si="54"/>
        <v>0.74170010944910669</v>
      </c>
      <c r="Q132">
        <f t="shared" si="55"/>
        <v>7926686.7069719136</v>
      </c>
      <c r="R132">
        <f t="shared" si="56"/>
        <v>-2398313.1705683023</v>
      </c>
      <c r="S132">
        <f t="shared" si="57"/>
        <v>-23.983131705683022</v>
      </c>
      <c r="T132">
        <f t="shared" si="58"/>
        <v>-2.398313170568302E-2</v>
      </c>
    </row>
    <row r="133" spans="1:20" x14ac:dyDescent="0.25">
      <c r="A133" s="5">
        <v>44460</v>
      </c>
      <c r="B133">
        <v>11.842000000000001</v>
      </c>
      <c r="C133">
        <v>13.695</v>
      </c>
      <c r="D133">
        <v>10.83</v>
      </c>
      <c r="E133">
        <v>12.557</v>
      </c>
      <c r="F133">
        <v>13533755.130000001</v>
      </c>
      <c r="G133">
        <v>0</v>
      </c>
      <c r="L133" t="s">
        <v>7</v>
      </c>
      <c r="M133" t="s">
        <v>7</v>
      </c>
      <c r="N133" t="s">
        <v>7</v>
      </c>
      <c r="P133">
        <f t="shared" si="54"/>
        <v>0.20558464223385703</v>
      </c>
      <c r="Q133">
        <f t="shared" si="55"/>
        <v>2782332.2064816775</v>
      </c>
      <c r="R133">
        <f t="shared" si="56"/>
        <v>-10324999.877540216</v>
      </c>
      <c r="S133">
        <f t="shared" si="57"/>
        <v>-103.24999877540216</v>
      </c>
      <c r="T133">
        <f t="shared" si="58"/>
        <v>-0.10324999877540217</v>
      </c>
    </row>
    <row r="134" spans="1:20" x14ac:dyDescent="0.25">
      <c r="A134" s="5">
        <v>44459</v>
      </c>
      <c r="B134">
        <v>14.259</v>
      </c>
      <c r="C134">
        <v>14.278</v>
      </c>
      <c r="D134">
        <v>11.19</v>
      </c>
      <c r="E134">
        <v>11.831</v>
      </c>
      <c r="F134">
        <v>13855506.34</v>
      </c>
      <c r="G134">
        <v>0</v>
      </c>
      <c r="L134" t="s">
        <v>7</v>
      </c>
      <c r="M134" t="s">
        <v>7</v>
      </c>
      <c r="N134" t="s">
        <v>7</v>
      </c>
      <c r="P134">
        <f t="shared" si="54"/>
        <v>-0.58484455958549231</v>
      </c>
      <c r="Q134">
        <f t="shared" si="55"/>
        <v>-8103317.5032512965</v>
      </c>
      <c r="R134">
        <f t="shared" si="56"/>
        <v>-13107332.084021894</v>
      </c>
      <c r="S134">
        <f t="shared" si="57"/>
        <v>-131.07332084021894</v>
      </c>
      <c r="T134">
        <f t="shared" si="58"/>
        <v>-0.13107332084021894</v>
      </c>
    </row>
    <row r="135" spans="1:20" x14ac:dyDescent="0.25">
      <c r="A135" s="5">
        <v>44458</v>
      </c>
      <c r="B135">
        <v>16.059999999999999</v>
      </c>
      <c r="C135">
        <v>16.34</v>
      </c>
      <c r="D135">
        <v>13.839</v>
      </c>
      <c r="E135">
        <v>14.259</v>
      </c>
      <c r="F135">
        <v>8921403.5800000001</v>
      </c>
      <c r="G135">
        <v>0</v>
      </c>
      <c r="L135" t="s">
        <v>7</v>
      </c>
      <c r="M135" t="s">
        <v>7</v>
      </c>
      <c r="N135" t="s">
        <v>8</v>
      </c>
      <c r="P135">
        <f t="shared" si="54"/>
        <v>-0.66413434626149537</v>
      </c>
      <c r="Q135">
        <f t="shared" si="55"/>
        <v>-5925010.5343382647</v>
      </c>
      <c r="R135">
        <f t="shared" si="56"/>
        <v>-5004014.5807705978</v>
      </c>
      <c r="S135">
        <f t="shared" si="57"/>
        <v>-50.040145807705976</v>
      </c>
      <c r="T135">
        <f t="shared" si="58"/>
        <v>-5.0040145807705973E-2</v>
      </c>
    </row>
    <row r="136" spans="1:20" x14ac:dyDescent="0.25">
      <c r="A136" s="5">
        <v>44457</v>
      </c>
      <c r="B136">
        <v>16.498999999999999</v>
      </c>
      <c r="C136">
        <v>18.021999999999998</v>
      </c>
      <c r="D136">
        <v>15.481</v>
      </c>
      <c r="E136">
        <v>16.079999999999998</v>
      </c>
      <c r="F136">
        <v>10614651.01</v>
      </c>
      <c r="G136">
        <v>0</v>
      </c>
      <c r="L136" t="s">
        <v>7</v>
      </c>
      <c r="M136" t="s">
        <v>8</v>
      </c>
      <c r="N136" t="s">
        <v>8</v>
      </c>
      <c r="P136">
        <f t="shared" si="54"/>
        <v>-0.52853207398662039</v>
      </c>
      <c r="Q136">
        <f t="shared" si="55"/>
        <v>-5610183.5129594747</v>
      </c>
      <c r="R136">
        <f t="shared" si="56"/>
        <v>920995.95356766693</v>
      </c>
      <c r="S136">
        <f t="shared" si="57"/>
        <v>9.2099595356766688</v>
      </c>
      <c r="T136">
        <f t="shared" si="58"/>
        <v>9.2099595356766682E-3</v>
      </c>
    </row>
    <row r="137" spans="1:20" x14ac:dyDescent="0.25">
      <c r="A137" s="5">
        <v>44456</v>
      </c>
      <c r="B137">
        <v>15.385999999999999</v>
      </c>
      <c r="C137">
        <v>18.5</v>
      </c>
      <c r="D137">
        <v>14.904999999999999</v>
      </c>
      <c r="E137">
        <v>16.498999999999999</v>
      </c>
      <c r="F137">
        <v>21354357.100000001</v>
      </c>
      <c r="G137">
        <v>0</v>
      </c>
      <c r="L137" t="s">
        <v>8</v>
      </c>
      <c r="M137" t="s">
        <v>8</v>
      </c>
      <c r="N137" t="s">
        <v>8</v>
      </c>
      <c r="P137">
        <f t="shared" si="54"/>
        <v>-0.11321279554937461</v>
      </c>
      <c r="Q137">
        <f t="shared" si="55"/>
        <v>-2417586.4644506364</v>
      </c>
      <c r="R137">
        <f t="shared" si="56"/>
        <v>6531179.4665271416</v>
      </c>
      <c r="S137">
        <f t="shared" si="57"/>
        <v>65.311794665271421</v>
      </c>
      <c r="T137">
        <f t="shared" si="58"/>
        <v>6.5311794665271428E-2</v>
      </c>
    </row>
    <row r="138" spans="1:20" x14ac:dyDescent="0.25">
      <c r="A138" s="5">
        <v>44455</v>
      </c>
      <c r="B138">
        <v>11.605</v>
      </c>
      <c r="C138">
        <v>16.989999999999998</v>
      </c>
      <c r="D138">
        <v>11.584</v>
      </c>
      <c r="E138">
        <v>15.387</v>
      </c>
      <c r="F138">
        <v>22864521.719999999</v>
      </c>
      <c r="G138">
        <v>0</v>
      </c>
      <c r="L138" t="s">
        <v>8</v>
      </c>
      <c r="M138" t="s">
        <v>8</v>
      </c>
      <c r="N138" t="s">
        <v>8</v>
      </c>
      <c r="P138">
        <f t="shared" si="54"/>
        <v>0.40695523492415897</v>
      </c>
      <c r="Q138">
        <f t="shared" si="55"/>
        <v>9304836.807991134</v>
      </c>
      <c r="R138">
        <f t="shared" si="56"/>
        <v>8948765.9309777785</v>
      </c>
      <c r="S138">
        <f t="shared" si="57"/>
        <v>89.487659309777783</v>
      </c>
      <c r="T138">
        <f t="shared" si="58"/>
        <v>8.9487659309777784E-2</v>
      </c>
    </row>
    <row r="139" spans="1:20" x14ac:dyDescent="0.25">
      <c r="A139" s="5">
        <v>44454</v>
      </c>
      <c r="B139">
        <v>11.686999999999999</v>
      </c>
      <c r="C139">
        <v>12.497</v>
      </c>
      <c r="D139">
        <v>11.028</v>
      </c>
      <c r="E139">
        <v>11.599</v>
      </c>
      <c r="F139">
        <v>6790443.3300000001</v>
      </c>
      <c r="G139">
        <v>0</v>
      </c>
      <c r="L139" t="s">
        <v>8</v>
      </c>
      <c r="M139" t="s">
        <v>8</v>
      </c>
      <c r="N139" t="s">
        <v>7</v>
      </c>
      <c r="P139">
        <f t="shared" si="54"/>
        <v>-0.22260040844111648</v>
      </c>
      <c r="Q139">
        <f t="shared" si="55"/>
        <v>-1511555.4587542552</v>
      </c>
      <c r="R139">
        <f t="shared" si="56"/>
        <v>-356070.87701335619</v>
      </c>
      <c r="S139">
        <f t="shared" si="57"/>
        <v>-3.5607087701335618</v>
      </c>
      <c r="T139">
        <f t="shared" si="58"/>
        <v>-3.5607087701335616E-3</v>
      </c>
    </row>
    <row r="140" spans="1:20" x14ac:dyDescent="0.25">
      <c r="A140" s="5">
        <v>44453</v>
      </c>
      <c r="B140">
        <v>10.401</v>
      </c>
      <c r="C140">
        <v>12.2</v>
      </c>
      <c r="D140">
        <v>9.9960000000000004</v>
      </c>
      <c r="E140">
        <v>11.699</v>
      </c>
      <c r="F140">
        <v>8726719.2599999998</v>
      </c>
      <c r="G140">
        <v>0</v>
      </c>
      <c r="L140" t="s">
        <v>8</v>
      </c>
      <c r="M140" t="s">
        <v>8</v>
      </c>
      <c r="N140" t="s">
        <v>7</v>
      </c>
      <c r="P140">
        <f t="shared" si="54"/>
        <v>0.54537205081669715</v>
      </c>
      <c r="Q140">
        <f t="shared" si="55"/>
        <v>4759308.77972777</v>
      </c>
      <c r="R140">
        <f t="shared" si="56"/>
        <v>1155484.581740899</v>
      </c>
      <c r="S140">
        <f t="shared" si="57"/>
        <v>11.554845817408991</v>
      </c>
      <c r="T140">
        <f t="shared" si="58"/>
        <v>1.1554845817408991E-2</v>
      </c>
    </row>
    <row r="141" spans="1:20" x14ac:dyDescent="0.25">
      <c r="A141" s="5">
        <v>44452</v>
      </c>
      <c r="B141">
        <v>11.292999999999999</v>
      </c>
      <c r="C141">
        <v>11.484</v>
      </c>
      <c r="D141">
        <v>9.1</v>
      </c>
      <c r="E141">
        <v>10.4</v>
      </c>
      <c r="F141">
        <v>10122607.640000001</v>
      </c>
      <c r="G141">
        <v>0</v>
      </c>
      <c r="L141" t="s">
        <v>7</v>
      </c>
      <c r="M141" t="s">
        <v>7</v>
      </c>
      <c r="N141" t="s">
        <v>7</v>
      </c>
      <c r="P141">
        <f t="shared" si="54"/>
        <v>9.0604026845638022E-2</v>
      </c>
      <c r="Q141">
        <f t="shared" si="55"/>
        <v>917149.01436242065</v>
      </c>
      <c r="R141">
        <f t="shared" si="56"/>
        <v>-3603824.197986871</v>
      </c>
      <c r="S141">
        <f t="shared" si="57"/>
        <v>-36.038241979868708</v>
      </c>
      <c r="T141">
        <f t="shared" si="58"/>
        <v>-3.6038241979868706E-2</v>
      </c>
    </row>
    <row r="142" spans="1:20" x14ac:dyDescent="0.25">
      <c r="A142" s="5">
        <v>44451</v>
      </c>
      <c r="B142">
        <v>10.929</v>
      </c>
      <c r="C142">
        <v>12.691000000000001</v>
      </c>
      <c r="D142">
        <v>10.692</v>
      </c>
      <c r="E142">
        <v>11.303000000000001</v>
      </c>
      <c r="F142">
        <v>8259547.6699999999</v>
      </c>
      <c r="G142">
        <v>0</v>
      </c>
      <c r="L142" t="s">
        <v>8</v>
      </c>
      <c r="M142" t="s">
        <v>8</v>
      </c>
      <c r="N142" t="s">
        <v>7</v>
      </c>
      <c r="P142">
        <f t="shared" si="54"/>
        <v>-0.38869434717358631</v>
      </c>
      <c r="Q142">
        <f t="shared" si="55"/>
        <v>-3210439.4895397658</v>
      </c>
      <c r="R142">
        <f t="shared" si="56"/>
        <v>-4520973.2123492919</v>
      </c>
      <c r="S142">
        <f t="shared" si="57"/>
        <v>-45.20973212349292</v>
      </c>
      <c r="T142">
        <f t="shared" si="58"/>
        <v>-4.520973212349292E-2</v>
      </c>
    </row>
    <row r="143" spans="1:20" x14ac:dyDescent="0.25">
      <c r="A143" s="5">
        <v>44450</v>
      </c>
      <c r="B143">
        <v>10.425000000000001</v>
      </c>
      <c r="C143">
        <v>12.759</v>
      </c>
      <c r="D143">
        <v>10.414</v>
      </c>
      <c r="E143">
        <v>10.933</v>
      </c>
      <c r="F143">
        <v>11241412.43</v>
      </c>
      <c r="G143">
        <v>0</v>
      </c>
      <c r="L143" t="s">
        <v>7</v>
      </c>
      <c r="M143" t="s">
        <v>7</v>
      </c>
      <c r="N143" t="s">
        <v>7</v>
      </c>
      <c r="P143">
        <f t="shared" si="54"/>
        <v>-0.55735607675906185</v>
      </c>
      <c r="Q143">
        <f t="shared" si="55"/>
        <v>-6265469.5292153517</v>
      </c>
      <c r="R143">
        <f t="shared" si="56"/>
        <v>-1310533.7228095261</v>
      </c>
      <c r="S143">
        <f t="shared" si="57"/>
        <v>-13.105337228095262</v>
      </c>
      <c r="T143">
        <f t="shared" si="58"/>
        <v>-1.3105337228095263E-2</v>
      </c>
    </row>
    <row r="144" spans="1:20" x14ac:dyDescent="0.25">
      <c r="A144" s="5">
        <v>44449</v>
      </c>
      <c r="B144">
        <v>12.992000000000001</v>
      </c>
      <c r="C144">
        <v>14.5</v>
      </c>
      <c r="D144">
        <v>9.8209999999999997</v>
      </c>
      <c r="E144">
        <v>10.425000000000001</v>
      </c>
      <c r="F144">
        <v>18421740.510000002</v>
      </c>
      <c r="G144">
        <v>0</v>
      </c>
      <c r="L144" t="s">
        <v>8</v>
      </c>
      <c r="M144" t="s">
        <v>8</v>
      </c>
      <c r="N144" t="s">
        <v>8</v>
      </c>
      <c r="P144">
        <f t="shared" ref="P144:P207" si="59">IF(C144=D144,0,((E144-D144)-(C144-E144))/(C144-D144))</f>
        <v>-0.741825176319726</v>
      </c>
      <c r="Q144">
        <f t="shared" ref="Q144:Q207" si="60">F144*P144</f>
        <v>-13665710.90194699</v>
      </c>
      <c r="R144">
        <f t="shared" ref="R144:R207" si="61">R145+Q144</f>
        <v>4954935.8064058255</v>
      </c>
      <c r="S144">
        <f t="shared" ref="S144:S207" si="62">R144/100000</f>
        <v>49.549358064058254</v>
      </c>
      <c r="T144">
        <f t="shared" ref="T144:T207" si="63">S144/1000</f>
        <v>4.9549358064058253E-2</v>
      </c>
    </row>
    <row r="145" spans="1:20" x14ac:dyDescent="0.25">
      <c r="A145" s="5">
        <v>44448</v>
      </c>
      <c r="B145">
        <v>3</v>
      </c>
      <c r="C145">
        <v>16.434999999999999</v>
      </c>
      <c r="D145">
        <v>3</v>
      </c>
      <c r="E145">
        <v>12.971</v>
      </c>
      <c r="F145">
        <v>38446040.960000001</v>
      </c>
      <c r="G145">
        <v>0</v>
      </c>
      <c r="P145">
        <f t="shared" si="59"/>
        <v>0.48433196873837009</v>
      </c>
      <c r="Q145">
        <f t="shared" si="60"/>
        <v>18620646.708352815</v>
      </c>
      <c r="R145">
        <f t="shared" si="61"/>
        <v>18620646.708352815</v>
      </c>
      <c r="S145">
        <f t="shared" si="62"/>
        <v>186.20646708352817</v>
      </c>
      <c r="T145">
        <f t="shared" si="63"/>
        <v>0.18620646708352817</v>
      </c>
    </row>
    <row r="146" spans="1:20" x14ac:dyDescent="0.25">
      <c r="A146" s="5"/>
      <c r="C146"/>
      <c r="D146"/>
      <c r="P146">
        <f t="shared" si="59"/>
        <v>0</v>
      </c>
      <c r="Q146">
        <f t="shared" si="60"/>
        <v>0</v>
      </c>
      <c r="R146">
        <f t="shared" si="61"/>
        <v>0</v>
      </c>
      <c r="S146">
        <f t="shared" si="62"/>
        <v>0</v>
      </c>
      <c r="T146">
        <f t="shared" si="63"/>
        <v>0</v>
      </c>
    </row>
    <row r="147" spans="1:20" x14ac:dyDescent="0.25">
      <c r="A147" s="5"/>
      <c r="C147"/>
      <c r="D147"/>
      <c r="P147">
        <f t="shared" si="59"/>
        <v>0</v>
      </c>
      <c r="Q147">
        <f t="shared" si="60"/>
        <v>0</v>
      </c>
      <c r="R147">
        <f t="shared" si="61"/>
        <v>0</v>
      </c>
      <c r="S147">
        <f t="shared" si="62"/>
        <v>0</v>
      </c>
      <c r="T147">
        <f t="shared" si="63"/>
        <v>0</v>
      </c>
    </row>
    <row r="148" spans="1:20" x14ac:dyDescent="0.25">
      <c r="A148" s="5"/>
      <c r="C148"/>
      <c r="D148"/>
      <c r="P148">
        <f t="shared" si="59"/>
        <v>0</v>
      </c>
      <c r="Q148">
        <f t="shared" si="60"/>
        <v>0</v>
      </c>
      <c r="R148">
        <f t="shared" si="61"/>
        <v>0</v>
      </c>
      <c r="S148">
        <f t="shared" si="62"/>
        <v>0</v>
      </c>
      <c r="T148">
        <f t="shared" si="63"/>
        <v>0</v>
      </c>
    </row>
    <row r="149" spans="1:20" x14ac:dyDescent="0.25">
      <c r="A149" s="5"/>
      <c r="C149"/>
      <c r="D149"/>
      <c r="P149">
        <f t="shared" si="59"/>
        <v>0</v>
      </c>
      <c r="Q149">
        <f t="shared" si="60"/>
        <v>0</v>
      </c>
      <c r="R149">
        <f t="shared" si="61"/>
        <v>0</v>
      </c>
      <c r="S149">
        <f t="shared" si="62"/>
        <v>0</v>
      </c>
      <c r="T149">
        <f t="shared" si="63"/>
        <v>0</v>
      </c>
    </row>
    <row r="150" spans="1:20" x14ac:dyDescent="0.25">
      <c r="A150" s="5"/>
      <c r="C150"/>
      <c r="D150"/>
      <c r="P150">
        <f t="shared" si="59"/>
        <v>0</v>
      </c>
      <c r="Q150">
        <f t="shared" si="60"/>
        <v>0</v>
      </c>
      <c r="R150">
        <f t="shared" si="61"/>
        <v>0</v>
      </c>
      <c r="S150">
        <f t="shared" si="62"/>
        <v>0</v>
      </c>
      <c r="T150">
        <f t="shared" si="63"/>
        <v>0</v>
      </c>
    </row>
    <row r="151" spans="1:20" x14ac:dyDescent="0.25">
      <c r="A151" s="5"/>
      <c r="C151"/>
      <c r="D151"/>
      <c r="P151">
        <f t="shared" si="59"/>
        <v>0</v>
      </c>
      <c r="Q151">
        <f t="shared" si="60"/>
        <v>0</v>
      </c>
      <c r="R151">
        <f t="shared" si="61"/>
        <v>0</v>
      </c>
      <c r="S151">
        <f t="shared" si="62"/>
        <v>0</v>
      </c>
      <c r="T151">
        <f t="shared" si="63"/>
        <v>0</v>
      </c>
    </row>
    <row r="152" spans="1:20" x14ac:dyDescent="0.25">
      <c r="A152" s="5"/>
      <c r="C152"/>
      <c r="D152"/>
      <c r="P152">
        <f t="shared" si="59"/>
        <v>0</v>
      </c>
      <c r="Q152">
        <f t="shared" si="60"/>
        <v>0</v>
      </c>
      <c r="R152">
        <f t="shared" si="61"/>
        <v>0</v>
      </c>
      <c r="S152">
        <f t="shared" si="62"/>
        <v>0</v>
      </c>
      <c r="T152">
        <f t="shared" si="63"/>
        <v>0</v>
      </c>
    </row>
    <row r="153" spans="1:20" x14ac:dyDescent="0.25">
      <c r="A153" s="5"/>
      <c r="C153"/>
      <c r="D153"/>
      <c r="P153">
        <f t="shared" si="59"/>
        <v>0</v>
      </c>
      <c r="Q153">
        <f t="shared" si="60"/>
        <v>0</v>
      </c>
      <c r="R153">
        <f t="shared" si="61"/>
        <v>0</v>
      </c>
      <c r="S153">
        <f t="shared" si="62"/>
        <v>0</v>
      </c>
      <c r="T153">
        <f t="shared" si="63"/>
        <v>0</v>
      </c>
    </row>
    <row r="154" spans="1:20" x14ac:dyDescent="0.25">
      <c r="A154" s="5"/>
      <c r="C154"/>
      <c r="D154"/>
      <c r="P154">
        <f t="shared" si="59"/>
        <v>0</v>
      </c>
      <c r="Q154">
        <f t="shared" si="60"/>
        <v>0</v>
      </c>
      <c r="R154">
        <f t="shared" si="61"/>
        <v>0</v>
      </c>
      <c r="S154">
        <f t="shared" si="62"/>
        <v>0</v>
      </c>
      <c r="T154">
        <f t="shared" si="63"/>
        <v>0</v>
      </c>
    </row>
    <row r="155" spans="1:20" x14ac:dyDescent="0.25">
      <c r="A155" s="5"/>
      <c r="C155"/>
      <c r="D155"/>
      <c r="P155">
        <f t="shared" si="59"/>
        <v>0</v>
      </c>
      <c r="Q155">
        <f t="shared" si="60"/>
        <v>0</v>
      </c>
      <c r="R155">
        <f t="shared" si="61"/>
        <v>0</v>
      </c>
      <c r="S155">
        <f t="shared" si="62"/>
        <v>0</v>
      </c>
      <c r="T155">
        <f t="shared" si="63"/>
        <v>0</v>
      </c>
    </row>
    <row r="156" spans="1:20" x14ac:dyDescent="0.25">
      <c r="A156" s="5"/>
      <c r="C156"/>
      <c r="D156"/>
      <c r="P156">
        <f t="shared" si="59"/>
        <v>0</v>
      </c>
      <c r="Q156">
        <f t="shared" si="60"/>
        <v>0</v>
      </c>
      <c r="R156">
        <f t="shared" si="61"/>
        <v>0</v>
      </c>
      <c r="S156">
        <f t="shared" si="62"/>
        <v>0</v>
      </c>
      <c r="T156">
        <f t="shared" si="63"/>
        <v>0</v>
      </c>
    </row>
    <row r="157" spans="1:20" x14ac:dyDescent="0.25">
      <c r="A157" s="5"/>
      <c r="C157"/>
      <c r="D157"/>
      <c r="P157">
        <f t="shared" si="59"/>
        <v>0</v>
      </c>
      <c r="Q157">
        <f t="shared" si="60"/>
        <v>0</v>
      </c>
      <c r="R157">
        <f t="shared" si="61"/>
        <v>0</v>
      </c>
      <c r="S157">
        <f t="shared" si="62"/>
        <v>0</v>
      </c>
      <c r="T157">
        <f t="shared" si="63"/>
        <v>0</v>
      </c>
    </row>
    <row r="158" spans="1:20" x14ac:dyDescent="0.25">
      <c r="A158" s="5"/>
      <c r="C158"/>
      <c r="D158"/>
      <c r="P158">
        <f t="shared" si="59"/>
        <v>0</v>
      </c>
      <c r="Q158">
        <f t="shared" si="60"/>
        <v>0</v>
      </c>
      <c r="R158">
        <f t="shared" si="61"/>
        <v>0</v>
      </c>
      <c r="S158">
        <f t="shared" si="62"/>
        <v>0</v>
      </c>
      <c r="T158">
        <f t="shared" si="63"/>
        <v>0</v>
      </c>
    </row>
    <row r="159" spans="1:20" x14ac:dyDescent="0.25">
      <c r="A159" s="5"/>
      <c r="C159"/>
      <c r="D159"/>
      <c r="P159">
        <f t="shared" si="59"/>
        <v>0</v>
      </c>
      <c r="Q159">
        <f t="shared" si="60"/>
        <v>0</v>
      </c>
      <c r="R159">
        <f t="shared" si="61"/>
        <v>0</v>
      </c>
      <c r="S159">
        <f t="shared" si="62"/>
        <v>0</v>
      </c>
      <c r="T159">
        <f t="shared" si="63"/>
        <v>0</v>
      </c>
    </row>
    <row r="160" spans="1:20" x14ac:dyDescent="0.25">
      <c r="A160" s="5"/>
      <c r="C160"/>
      <c r="D160"/>
      <c r="P160">
        <f t="shared" si="59"/>
        <v>0</v>
      </c>
      <c r="Q160">
        <f t="shared" si="60"/>
        <v>0</v>
      </c>
      <c r="R160">
        <f t="shared" si="61"/>
        <v>0</v>
      </c>
      <c r="S160">
        <f t="shared" si="62"/>
        <v>0</v>
      </c>
      <c r="T160">
        <f t="shared" si="63"/>
        <v>0</v>
      </c>
    </row>
    <row r="161" spans="1:20" x14ac:dyDescent="0.25">
      <c r="A161" s="5"/>
      <c r="C161"/>
      <c r="D161"/>
      <c r="P161">
        <f t="shared" si="59"/>
        <v>0</v>
      </c>
      <c r="Q161">
        <f t="shared" si="60"/>
        <v>0</v>
      </c>
      <c r="R161">
        <f t="shared" si="61"/>
        <v>0</v>
      </c>
      <c r="S161">
        <f t="shared" si="62"/>
        <v>0</v>
      </c>
      <c r="T161">
        <f t="shared" si="63"/>
        <v>0</v>
      </c>
    </row>
    <row r="162" spans="1:20" x14ac:dyDescent="0.25">
      <c r="A162" s="5"/>
      <c r="C162"/>
      <c r="D162"/>
      <c r="P162">
        <f t="shared" si="59"/>
        <v>0</v>
      </c>
      <c r="Q162">
        <f t="shared" si="60"/>
        <v>0</v>
      </c>
      <c r="R162">
        <f t="shared" si="61"/>
        <v>0</v>
      </c>
      <c r="S162">
        <f t="shared" si="62"/>
        <v>0</v>
      </c>
      <c r="T162">
        <f t="shared" si="63"/>
        <v>0</v>
      </c>
    </row>
    <row r="163" spans="1:20" x14ac:dyDescent="0.25">
      <c r="A163" s="5"/>
      <c r="C163"/>
      <c r="D163"/>
      <c r="P163">
        <f t="shared" si="59"/>
        <v>0</v>
      </c>
      <c r="Q163">
        <f t="shared" si="60"/>
        <v>0</v>
      </c>
      <c r="R163">
        <f t="shared" si="61"/>
        <v>0</v>
      </c>
      <c r="S163">
        <f t="shared" si="62"/>
        <v>0</v>
      </c>
      <c r="T163">
        <f t="shared" si="63"/>
        <v>0</v>
      </c>
    </row>
    <row r="164" spans="1:20" x14ac:dyDescent="0.25">
      <c r="A164" s="5"/>
      <c r="C164"/>
      <c r="D164"/>
      <c r="P164">
        <f t="shared" si="59"/>
        <v>0</v>
      </c>
      <c r="Q164">
        <f t="shared" si="60"/>
        <v>0</v>
      </c>
      <c r="R164">
        <f t="shared" si="61"/>
        <v>0</v>
      </c>
      <c r="S164">
        <f t="shared" si="62"/>
        <v>0</v>
      </c>
      <c r="T164">
        <f t="shared" si="63"/>
        <v>0</v>
      </c>
    </row>
    <row r="165" spans="1:20" x14ac:dyDescent="0.25">
      <c r="A165" s="5"/>
      <c r="C165"/>
      <c r="D165"/>
      <c r="P165">
        <f t="shared" si="59"/>
        <v>0</v>
      </c>
      <c r="Q165">
        <f t="shared" si="60"/>
        <v>0</v>
      </c>
      <c r="R165">
        <f t="shared" si="61"/>
        <v>0</v>
      </c>
      <c r="S165">
        <f t="shared" si="62"/>
        <v>0</v>
      </c>
      <c r="T165">
        <f t="shared" si="63"/>
        <v>0</v>
      </c>
    </row>
    <row r="166" spans="1:20" x14ac:dyDescent="0.25">
      <c r="A166" s="5"/>
      <c r="C166"/>
      <c r="D166"/>
      <c r="P166">
        <f t="shared" si="59"/>
        <v>0</v>
      </c>
      <c r="Q166">
        <f t="shared" si="60"/>
        <v>0</v>
      </c>
      <c r="R166">
        <f t="shared" si="61"/>
        <v>0</v>
      </c>
      <c r="S166">
        <f t="shared" si="62"/>
        <v>0</v>
      </c>
      <c r="T166">
        <f t="shared" si="63"/>
        <v>0</v>
      </c>
    </row>
    <row r="167" spans="1:20" x14ac:dyDescent="0.25">
      <c r="A167" s="5"/>
      <c r="C167"/>
      <c r="D167"/>
      <c r="P167">
        <f t="shared" si="59"/>
        <v>0</v>
      </c>
      <c r="Q167">
        <f t="shared" si="60"/>
        <v>0</v>
      </c>
      <c r="R167">
        <f t="shared" si="61"/>
        <v>0</v>
      </c>
      <c r="S167">
        <f t="shared" si="62"/>
        <v>0</v>
      </c>
      <c r="T167">
        <f t="shared" si="63"/>
        <v>0</v>
      </c>
    </row>
    <row r="168" spans="1:20" x14ac:dyDescent="0.25">
      <c r="A168" s="5"/>
      <c r="C168"/>
      <c r="D168"/>
      <c r="P168">
        <f t="shared" si="59"/>
        <v>0</v>
      </c>
      <c r="Q168">
        <f t="shared" si="60"/>
        <v>0</v>
      </c>
      <c r="R168">
        <f t="shared" si="61"/>
        <v>0</v>
      </c>
      <c r="S168">
        <f t="shared" si="62"/>
        <v>0</v>
      </c>
      <c r="T168">
        <f t="shared" si="63"/>
        <v>0</v>
      </c>
    </row>
    <row r="169" spans="1:20" x14ac:dyDescent="0.25">
      <c r="A169" s="5"/>
      <c r="C169"/>
      <c r="D169"/>
      <c r="P169">
        <f t="shared" si="59"/>
        <v>0</v>
      </c>
      <c r="Q169">
        <f t="shared" si="60"/>
        <v>0</v>
      </c>
      <c r="R169">
        <f t="shared" si="61"/>
        <v>0</v>
      </c>
      <c r="S169">
        <f t="shared" si="62"/>
        <v>0</v>
      </c>
      <c r="T169">
        <f t="shared" si="63"/>
        <v>0</v>
      </c>
    </row>
    <row r="170" spans="1:20" x14ac:dyDescent="0.25">
      <c r="A170" s="5"/>
      <c r="C170"/>
      <c r="D170"/>
      <c r="P170">
        <f t="shared" si="59"/>
        <v>0</v>
      </c>
      <c r="Q170">
        <f t="shared" si="60"/>
        <v>0</v>
      </c>
      <c r="R170">
        <f t="shared" si="61"/>
        <v>0</v>
      </c>
      <c r="S170">
        <f t="shared" si="62"/>
        <v>0</v>
      </c>
      <c r="T170">
        <f t="shared" si="63"/>
        <v>0</v>
      </c>
    </row>
    <row r="171" spans="1:20" x14ac:dyDescent="0.25">
      <c r="A171" s="5"/>
      <c r="C171"/>
      <c r="D171"/>
      <c r="P171">
        <f t="shared" si="59"/>
        <v>0</v>
      </c>
      <c r="Q171">
        <f t="shared" si="60"/>
        <v>0</v>
      </c>
      <c r="R171">
        <f t="shared" si="61"/>
        <v>0</v>
      </c>
      <c r="S171">
        <f t="shared" si="62"/>
        <v>0</v>
      </c>
      <c r="T171">
        <f t="shared" si="63"/>
        <v>0</v>
      </c>
    </row>
    <row r="172" spans="1:20" x14ac:dyDescent="0.25">
      <c r="A172" s="5"/>
      <c r="C172"/>
      <c r="D172"/>
      <c r="P172">
        <f t="shared" si="59"/>
        <v>0</v>
      </c>
      <c r="Q172">
        <f t="shared" si="60"/>
        <v>0</v>
      </c>
      <c r="R172">
        <f t="shared" si="61"/>
        <v>0</v>
      </c>
      <c r="S172">
        <f t="shared" si="62"/>
        <v>0</v>
      </c>
      <c r="T172">
        <f t="shared" si="63"/>
        <v>0</v>
      </c>
    </row>
    <row r="173" spans="1:20" x14ac:dyDescent="0.25">
      <c r="A173" s="5"/>
      <c r="C173"/>
      <c r="D173"/>
      <c r="P173">
        <f t="shared" si="59"/>
        <v>0</v>
      </c>
      <c r="Q173">
        <f t="shared" si="60"/>
        <v>0</v>
      </c>
      <c r="R173">
        <f t="shared" si="61"/>
        <v>0</v>
      </c>
      <c r="S173">
        <f t="shared" si="62"/>
        <v>0</v>
      </c>
      <c r="T173">
        <f t="shared" si="63"/>
        <v>0</v>
      </c>
    </row>
    <row r="174" spans="1:20" x14ac:dyDescent="0.25">
      <c r="A174" s="5"/>
      <c r="C174"/>
      <c r="D174"/>
      <c r="P174">
        <f t="shared" si="59"/>
        <v>0</v>
      </c>
      <c r="Q174">
        <f t="shared" si="60"/>
        <v>0</v>
      </c>
      <c r="R174">
        <f t="shared" si="61"/>
        <v>0</v>
      </c>
      <c r="S174">
        <f t="shared" si="62"/>
        <v>0</v>
      </c>
      <c r="T174">
        <f t="shared" si="63"/>
        <v>0</v>
      </c>
    </row>
    <row r="175" spans="1:20" x14ac:dyDescent="0.25">
      <c r="A175" s="5"/>
      <c r="C175"/>
      <c r="D175"/>
      <c r="P175">
        <f t="shared" si="59"/>
        <v>0</v>
      </c>
      <c r="Q175">
        <f t="shared" si="60"/>
        <v>0</v>
      </c>
      <c r="R175">
        <f t="shared" si="61"/>
        <v>0</v>
      </c>
      <c r="S175">
        <f t="shared" si="62"/>
        <v>0</v>
      </c>
      <c r="T175">
        <f t="shared" si="63"/>
        <v>0</v>
      </c>
    </row>
    <row r="176" spans="1:20" x14ac:dyDescent="0.25">
      <c r="A176" s="5"/>
      <c r="C176"/>
      <c r="D176"/>
      <c r="P176">
        <f t="shared" si="59"/>
        <v>0</v>
      </c>
      <c r="Q176">
        <f t="shared" si="60"/>
        <v>0</v>
      </c>
      <c r="R176">
        <f t="shared" si="61"/>
        <v>0</v>
      </c>
      <c r="S176">
        <f t="shared" si="62"/>
        <v>0</v>
      </c>
      <c r="T176">
        <f t="shared" si="63"/>
        <v>0</v>
      </c>
    </row>
    <row r="177" spans="1:20" x14ac:dyDescent="0.25">
      <c r="A177" s="5"/>
      <c r="C177"/>
      <c r="D177"/>
      <c r="P177">
        <f t="shared" si="59"/>
        <v>0</v>
      </c>
      <c r="Q177">
        <f t="shared" si="60"/>
        <v>0</v>
      </c>
      <c r="R177">
        <f t="shared" si="61"/>
        <v>0</v>
      </c>
      <c r="S177">
        <f t="shared" si="62"/>
        <v>0</v>
      </c>
      <c r="T177">
        <f t="shared" si="63"/>
        <v>0</v>
      </c>
    </row>
    <row r="178" spans="1:20" x14ac:dyDescent="0.25">
      <c r="A178" s="5"/>
      <c r="C178"/>
      <c r="D178"/>
      <c r="P178">
        <f t="shared" si="59"/>
        <v>0</v>
      </c>
      <c r="Q178">
        <f t="shared" si="60"/>
        <v>0</v>
      </c>
      <c r="R178">
        <f t="shared" si="61"/>
        <v>0</v>
      </c>
      <c r="S178">
        <f t="shared" si="62"/>
        <v>0</v>
      </c>
      <c r="T178">
        <f t="shared" si="63"/>
        <v>0</v>
      </c>
    </row>
    <row r="179" spans="1:20" x14ac:dyDescent="0.25">
      <c r="A179" s="5"/>
      <c r="C179"/>
      <c r="D179"/>
      <c r="P179">
        <f t="shared" si="59"/>
        <v>0</v>
      </c>
      <c r="Q179">
        <f t="shared" si="60"/>
        <v>0</v>
      </c>
      <c r="R179">
        <f t="shared" si="61"/>
        <v>0</v>
      </c>
      <c r="S179">
        <f t="shared" si="62"/>
        <v>0</v>
      </c>
      <c r="T179">
        <f t="shared" si="63"/>
        <v>0</v>
      </c>
    </row>
    <row r="180" spans="1:20" x14ac:dyDescent="0.25">
      <c r="A180" s="5"/>
      <c r="C180"/>
      <c r="D180"/>
      <c r="P180">
        <f t="shared" si="59"/>
        <v>0</v>
      </c>
      <c r="Q180">
        <f t="shared" si="60"/>
        <v>0</v>
      </c>
      <c r="R180">
        <f t="shared" si="61"/>
        <v>0</v>
      </c>
      <c r="S180">
        <f t="shared" si="62"/>
        <v>0</v>
      </c>
      <c r="T180">
        <f t="shared" si="63"/>
        <v>0</v>
      </c>
    </row>
    <row r="181" spans="1:20" x14ac:dyDescent="0.25">
      <c r="A181" s="5"/>
      <c r="C181"/>
      <c r="D181"/>
      <c r="P181">
        <f t="shared" si="59"/>
        <v>0</v>
      </c>
      <c r="Q181">
        <f t="shared" si="60"/>
        <v>0</v>
      </c>
      <c r="R181">
        <f t="shared" si="61"/>
        <v>0</v>
      </c>
      <c r="S181">
        <f t="shared" si="62"/>
        <v>0</v>
      </c>
      <c r="T181">
        <f t="shared" si="63"/>
        <v>0</v>
      </c>
    </row>
    <row r="182" spans="1:20" x14ac:dyDescent="0.25">
      <c r="A182" s="5"/>
      <c r="C182"/>
      <c r="D182"/>
      <c r="P182">
        <f t="shared" si="59"/>
        <v>0</v>
      </c>
      <c r="Q182">
        <f t="shared" si="60"/>
        <v>0</v>
      </c>
      <c r="R182">
        <f t="shared" si="61"/>
        <v>0</v>
      </c>
      <c r="S182">
        <f t="shared" si="62"/>
        <v>0</v>
      </c>
      <c r="T182">
        <f t="shared" si="63"/>
        <v>0</v>
      </c>
    </row>
    <row r="183" spans="1:20" x14ac:dyDescent="0.25">
      <c r="A183" s="5"/>
      <c r="C183"/>
      <c r="D183"/>
      <c r="P183">
        <f t="shared" si="59"/>
        <v>0</v>
      </c>
      <c r="Q183">
        <f t="shared" si="60"/>
        <v>0</v>
      </c>
      <c r="R183">
        <f t="shared" si="61"/>
        <v>0</v>
      </c>
      <c r="S183">
        <f t="shared" si="62"/>
        <v>0</v>
      </c>
      <c r="T183">
        <f t="shared" si="63"/>
        <v>0</v>
      </c>
    </row>
    <row r="184" spans="1:20" x14ac:dyDescent="0.25">
      <c r="A184" s="5"/>
      <c r="C184"/>
      <c r="D184"/>
      <c r="P184">
        <f t="shared" si="59"/>
        <v>0</v>
      </c>
      <c r="Q184">
        <f t="shared" si="60"/>
        <v>0</v>
      </c>
      <c r="R184">
        <f t="shared" si="61"/>
        <v>0</v>
      </c>
      <c r="S184">
        <f t="shared" si="62"/>
        <v>0</v>
      </c>
      <c r="T184">
        <f t="shared" si="63"/>
        <v>0</v>
      </c>
    </row>
    <row r="185" spans="1:20" x14ac:dyDescent="0.25">
      <c r="A185" s="5"/>
      <c r="C185"/>
      <c r="D185"/>
      <c r="P185">
        <f t="shared" si="59"/>
        <v>0</v>
      </c>
      <c r="Q185">
        <f t="shared" si="60"/>
        <v>0</v>
      </c>
      <c r="R185">
        <f t="shared" si="61"/>
        <v>0</v>
      </c>
      <c r="S185">
        <f t="shared" si="62"/>
        <v>0</v>
      </c>
      <c r="T185">
        <f t="shared" si="63"/>
        <v>0</v>
      </c>
    </row>
    <row r="186" spans="1:20" x14ac:dyDescent="0.25">
      <c r="A186" s="5"/>
      <c r="C186"/>
      <c r="D186"/>
      <c r="P186">
        <f t="shared" si="59"/>
        <v>0</v>
      </c>
      <c r="Q186">
        <f t="shared" si="60"/>
        <v>0</v>
      </c>
      <c r="R186">
        <f t="shared" si="61"/>
        <v>0</v>
      </c>
      <c r="S186">
        <f t="shared" si="62"/>
        <v>0</v>
      </c>
      <c r="T186">
        <f t="shared" si="63"/>
        <v>0</v>
      </c>
    </row>
    <row r="187" spans="1:20" x14ac:dyDescent="0.25">
      <c r="A187" s="5"/>
      <c r="C187"/>
      <c r="D187"/>
      <c r="P187">
        <f t="shared" si="59"/>
        <v>0</v>
      </c>
      <c r="Q187">
        <f t="shared" si="60"/>
        <v>0</v>
      </c>
      <c r="R187">
        <f t="shared" si="61"/>
        <v>0</v>
      </c>
      <c r="S187">
        <f t="shared" si="62"/>
        <v>0</v>
      </c>
      <c r="T187">
        <f t="shared" si="63"/>
        <v>0</v>
      </c>
    </row>
    <row r="188" spans="1:20" x14ac:dyDescent="0.25">
      <c r="A188" s="5"/>
      <c r="C188"/>
      <c r="D188"/>
      <c r="P188">
        <f t="shared" si="59"/>
        <v>0</v>
      </c>
      <c r="Q188">
        <f t="shared" si="60"/>
        <v>0</v>
      </c>
      <c r="R188">
        <f t="shared" si="61"/>
        <v>0</v>
      </c>
      <c r="S188">
        <f t="shared" si="62"/>
        <v>0</v>
      </c>
      <c r="T188">
        <f t="shared" si="63"/>
        <v>0</v>
      </c>
    </row>
    <row r="189" spans="1:20" x14ac:dyDescent="0.25">
      <c r="A189" s="5"/>
      <c r="C189"/>
      <c r="D189"/>
      <c r="P189">
        <f t="shared" si="59"/>
        <v>0</v>
      </c>
      <c r="Q189">
        <f t="shared" si="60"/>
        <v>0</v>
      </c>
      <c r="R189">
        <f t="shared" si="61"/>
        <v>0</v>
      </c>
      <c r="S189">
        <f t="shared" si="62"/>
        <v>0</v>
      </c>
      <c r="T189">
        <f t="shared" si="63"/>
        <v>0</v>
      </c>
    </row>
    <row r="190" spans="1:20" x14ac:dyDescent="0.25">
      <c r="A190" s="5"/>
      <c r="C190"/>
      <c r="D190"/>
      <c r="P190">
        <f t="shared" si="59"/>
        <v>0</v>
      </c>
      <c r="Q190">
        <f t="shared" si="60"/>
        <v>0</v>
      </c>
      <c r="R190">
        <f t="shared" si="61"/>
        <v>0</v>
      </c>
      <c r="S190">
        <f t="shared" si="62"/>
        <v>0</v>
      </c>
      <c r="T190">
        <f t="shared" si="63"/>
        <v>0</v>
      </c>
    </row>
    <row r="191" spans="1:20" x14ac:dyDescent="0.25">
      <c r="A191" s="5"/>
      <c r="C191"/>
      <c r="D191"/>
      <c r="P191">
        <f t="shared" si="59"/>
        <v>0</v>
      </c>
      <c r="Q191">
        <f t="shared" si="60"/>
        <v>0</v>
      </c>
      <c r="R191">
        <f t="shared" si="61"/>
        <v>0</v>
      </c>
      <c r="S191">
        <f t="shared" si="62"/>
        <v>0</v>
      </c>
      <c r="T191">
        <f t="shared" si="63"/>
        <v>0</v>
      </c>
    </row>
    <row r="192" spans="1:20" x14ac:dyDescent="0.25">
      <c r="A192" s="5"/>
      <c r="C192"/>
      <c r="D192"/>
      <c r="P192">
        <f t="shared" si="59"/>
        <v>0</v>
      </c>
      <c r="Q192">
        <f t="shared" si="60"/>
        <v>0</v>
      </c>
      <c r="R192">
        <f t="shared" si="61"/>
        <v>0</v>
      </c>
      <c r="S192">
        <f t="shared" si="62"/>
        <v>0</v>
      </c>
      <c r="T192">
        <f t="shared" si="63"/>
        <v>0</v>
      </c>
    </row>
    <row r="193" spans="1:20" x14ac:dyDescent="0.25">
      <c r="A193" s="5"/>
      <c r="C193"/>
      <c r="D193"/>
      <c r="P193">
        <f t="shared" si="59"/>
        <v>0</v>
      </c>
      <c r="Q193">
        <f t="shared" si="60"/>
        <v>0</v>
      </c>
      <c r="R193">
        <f t="shared" si="61"/>
        <v>0</v>
      </c>
      <c r="S193">
        <f t="shared" si="62"/>
        <v>0</v>
      </c>
      <c r="T193">
        <f t="shared" si="63"/>
        <v>0</v>
      </c>
    </row>
    <row r="194" spans="1:20" x14ac:dyDescent="0.25">
      <c r="A194" s="5"/>
      <c r="C194"/>
      <c r="D194"/>
      <c r="P194">
        <f t="shared" si="59"/>
        <v>0</v>
      </c>
      <c r="Q194">
        <f t="shared" si="60"/>
        <v>0</v>
      </c>
      <c r="R194">
        <f t="shared" si="61"/>
        <v>0</v>
      </c>
      <c r="S194">
        <f t="shared" si="62"/>
        <v>0</v>
      </c>
      <c r="T194">
        <f t="shared" si="63"/>
        <v>0</v>
      </c>
    </row>
    <row r="195" spans="1:20" x14ac:dyDescent="0.25">
      <c r="A195" s="5"/>
      <c r="C195"/>
      <c r="D195"/>
      <c r="P195">
        <f t="shared" si="59"/>
        <v>0</v>
      </c>
      <c r="Q195">
        <f t="shared" si="60"/>
        <v>0</v>
      </c>
      <c r="R195">
        <f t="shared" si="61"/>
        <v>0</v>
      </c>
      <c r="S195">
        <f t="shared" si="62"/>
        <v>0</v>
      </c>
      <c r="T195">
        <f t="shared" si="63"/>
        <v>0</v>
      </c>
    </row>
    <row r="196" spans="1:20" x14ac:dyDescent="0.25">
      <c r="A196" s="5"/>
      <c r="C196"/>
      <c r="D196"/>
      <c r="P196">
        <f t="shared" si="59"/>
        <v>0</v>
      </c>
      <c r="Q196">
        <f t="shared" si="60"/>
        <v>0</v>
      </c>
      <c r="R196">
        <f t="shared" si="61"/>
        <v>0</v>
      </c>
      <c r="S196">
        <f t="shared" si="62"/>
        <v>0</v>
      </c>
      <c r="T196">
        <f t="shared" si="63"/>
        <v>0</v>
      </c>
    </row>
    <row r="197" spans="1:20" x14ac:dyDescent="0.25">
      <c r="A197" s="5"/>
      <c r="C197"/>
      <c r="D197"/>
      <c r="P197">
        <f t="shared" si="59"/>
        <v>0</v>
      </c>
      <c r="Q197">
        <f t="shared" si="60"/>
        <v>0</v>
      </c>
      <c r="R197">
        <f t="shared" si="61"/>
        <v>0</v>
      </c>
      <c r="S197">
        <f t="shared" si="62"/>
        <v>0</v>
      </c>
      <c r="T197">
        <f t="shared" si="63"/>
        <v>0</v>
      </c>
    </row>
    <row r="198" spans="1:20" x14ac:dyDescent="0.25">
      <c r="A198" s="5"/>
      <c r="C198"/>
      <c r="D198"/>
      <c r="P198">
        <f t="shared" si="59"/>
        <v>0</v>
      </c>
      <c r="Q198">
        <f t="shared" si="60"/>
        <v>0</v>
      </c>
      <c r="R198">
        <f t="shared" si="61"/>
        <v>0</v>
      </c>
      <c r="S198">
        <f t="shared" si="62"/>
        <v>0</v>
      </c>
      <c r="T198">
        <f t="shared" si="63"/>
        <v>0</v>
      </c>
    </row>
    <row r="199" spans="1:20" x14ac:dyDescent="0.25">
      <c r="A199" s="5"/>
      <c r="C199"/>
      <c r="D199"/>
      <c r="P199">
        <f t="shared" si="59"/>
        <v>0</v>
      </c>
      <c r="Q199">
        <f t="shared" si="60"/>
        <v>0</v>
      </c>
      <c r="R199">
        <f t="shared" si="61"/>
        <v>0</v>
      </c>
      <c r="S199">
        <f t="shared" si="62"/>
        <v>0</v>
      </c>
      <c r="T199">
        <f t="shared" si="63"/>
        <v>0</v>
      </c>
    </row>
    <row r="200" spans="1:20" x14ac:dyDescent="0.25">
      <c r="A200" s="5"/>
      <c r="C200"/>
      <c r="D200"/>
      <c r="P200">
        <f t="shared" si="59"/>
        <v>0</v>
      </c>
      <c r="Q200">
        <f t="shared" si="60"/>
        <v>0</v>
      </c>
      <c r="R200">
        <f t="shared" si="61"/>
        <v>0</v>
      </c>
      <c r="S200">
        <f t="shared" si="62"/>
        <v>0</v>
      </c>
      <c r="T200">
        <f t="shared" si="63"/>
        <v>0</v>
      </c>
    </row>
    <row r="201" spans="1:20" x14ac:dyDescent="0.25">
      <c r="A201" s="5"/>
      <c r="C201"/>
      <c r="D201"/>
      <c r="P201">
        <f t="shared" si="59"/>
        <v>0</v>
      </c>
      <c r="Q201">
        <f t="shared" si="60"/>
        <v>0</v>
      </c>
      <c r="R201">
        <f t="shared" si="61"/>
        <v>0</v>
      </c>
      <c r="S201">
        <f t="shared" si="62"/>
        <v>0</v>
      </c>
      <c r="T201">
        <f t="shared" si="63"/>
        <v>0</v>
      </c>
    </row>
    <row r="202" spans="1:20" x14ac:dyDescent="0.25">
      <c r="A202" s="5"/>
      <c r="C202"/>
      <c r="D202"/>
      <c r="P202">
        <f t="shared" si="59"/>
        <v>0</v>
      </c>
      <c r="Q202">
        <f t="shared" si="60"/>
        <v>0</v>
      </c>
      <c r="R202">
        <f t="shared" si="61"/>
        <v>0</v>
      </c>
      <c r="S202">
        <f t="shared" si="62"/>
        <v>0</v>
      </c>
      <c r="T202">
        <f t="shared" si="63"/>
        <v>0</v>
      </c>
    </row>
    <row r="203" spans="1:20" x14ac:dyDescent="0.25">
      <c r="A203" s="5"/>
      <c r="C203"/>
      <c r="D203"/>
      <c r="P203">
        <f t="shared" si="59"/>
        <v>0</v>
      </c>
      <c r="Q203">
        <f t="shared" si="60"/>
        <v>0</v>
      </c>
      <c r="R203">
        <f t="shared" si="61"/>
        <v>0</v>
      </c>
      <c r="S203">
        <f t="shared" si="62"/>
        <v>0</v>
      </c>
      <c r="T203">
        <f t="shared" si="63"/>
        <v>0</v>
      </c>
    </row>
    <row r="204" spans="1:20" x14ac:dyDescent="0.25">
      <c r="A204" s="5"/>
      <c r="C204"/>
      <c r="D204"/>
      <c r="P204">
        <f t="shared" si="59"/>
        <v>0</v>
      </c>
      <c r="Q204">
        <f t="shared" si="60"/>
        <v>0</v>
      </c>
      <c r="R204">
        <f t="shared" si="61"/>
        <v>0</v>
      </c>
      <c r="S204">
        <f t="shared" si="62"/>
        <v>0</v>
      </c>
      <c r="T204">
        <f t="shared" si="63"/>
        <v>0</v>
      </c>
    </row>
    <row r="205" spans="1:20" x14ac:dyDescent="0.25">
      <c r="A205" s="5"/>
      <c r="C205"/>
      <c r="D205"/>
      <c r="P205">
        <f t="shared" si="59"/>
        <v>0</v>
      </c>
      <c r="Q205">
        <f t="shared" si="60"/>
        <v>0</v>
      </c>
      <c r="R205">
        <f t="shared" si="61"/>
        <v>0</v>
      </c>
      <c r="S205">
        <f t="shared" si="62"/>
        <v>0</v>
      </c>
      <c r="T205">
        <f t="shared" si="63"/>
        <v>0</v>
      </c>
    </row>
    <row r="206" spans="1:20" x14ac:dyDescent="0.25">
      <c r="A206" s="5"/>
      <c r="C206"/>
      <c r="D206"/>
      <c r="P206">
        <f t="shared" si="59"/>
        <v>0</v>
      </c>
      <c r="Q206">
        <f t="shared" si="60"/>
        <v>0</v>
      </c>
      <c r="R206">
        <f t="shared" si="61"/>
        <v>0</v>
      </c>
      <c r="S206">
        <f t="shared" si="62"/>
        <v>0</v>
      </c>
      <c r="T206">
        <f t="shared" si="63"/>
        <v>0</v>
      </c>
    </row>
    <row r="207" spans="1:20" x14ac:dyDescent="0.25">
      <c r="A207" s="5"/>
      <c r="C207"/>
      <c r="D207"/>
      <c r="P207">
        <f t="shared" si="59"/>
        <v>0</v>
      </c>
      <c r="Q207">
        <f t="shared" si="60"/>
        <v>0</v>
      </c>
      <c r="R207">
        <f t="shared" si="61"/>
        <v>0</v>
      </c>
      <c r="S207">
        <f t="shared" si="62"/>
        <v>0</v>
      </c>
      <c r="T207">
        <f t="shared" si="63"/>
        <v>0</v>
      </c>
    </row>
    <row r="208" spans="1:20" x14ac:dyDescent="0.25">
      <c r="A208" s="5"/>
      <c r="C208"/>
      <c r="D208"/>
      <c r="P208">
        <f t="shared" ref="P208:P271" si="64">IF(C208=D208,0,((E208-D208)-(C208-E208))/(C208-D208))</f>
        <v>0</v>
      </c>
      <c r="Q208">
        <f t="shared" ref="Q208:Q271" si="65">F208*P208</f>
        <v>0</v>
      </c>
      <c r="R208">
        <f t="shared" ref="R208:R271" si="66">R209+Q208</f>
        <v>0</v>
      </c>
      <c r="S208">
        <f t="shared" ref="S208:S271" si="67">R208/100000</f>
        <v>0</v>
      </c>
      <c r="T208">
        <f t="shared" ref="T208:T271" si="68">S208/1000</f>
        <v>0</v>
      </c>
    </row>
    <row r="209" spans="1:20" x14ac:dyDescent="0.25">
      <c r="A209" s="5"/>
      <c r="C209"/>
      <c r="D209"/>
      <c r="P209">
        <f t="shared" si="64"/>
        <v>0</v>
      </c>
      <c r="Q209">
        <f t="shared" si="65"/>
        <v>0</v>
      </c>
      <c r="R209">
        <f t="shared" si="66"/>
        <v>0</v>
      </c>
      <c r="S209">
        <f t="shared" si="67"/>
        <v>0</v>
      </c>
      <c r="T209">
        <f t="shared" si="68"/>
        <v>0</v>
      </c>
    </row>
    <row r="210" spans="1:20" x14ac:dyDescent="0.25">
      <c r="A210" s="5"/>
      <c r="C210"/>
      <c r="D210"/>
      <c r="P210">
        <f t="shared" si="64"/>
        <v>0</v>
      </c>
      <c r="Q210">
        <f t="shared" si="65"/>
        <v>0</v>
      </c>
      <c r="R210">
        <f t="shared" si="66"/>
        <v>0</v>
      </c>
      <c r="S210">
        <f t="shared" si="67"/>
        <v>0</v>
      </c>
      <c r="T210">
        <f t="shared" si="68"/>
        <v>0</v>
      </c>
    </row>
    <row r="211" spans="1:20" x14ac:dyDescent="0.25">
      <c r="A211" s="5"/>
      <c r="C211"/>
      <c r="D211"/>
      <c r="P211">
        <f t="shared" si="64"/>
        <v>0</v>
      </c>
      <c r="Q211">
        <f t="shared" si="65"/>
        <v>0</v>
      </c>
      <c r="R211">
        <f t="shared" si="66"/>
        <v>0</v>
      </c>
      <c r="S211">
        <f t="shared" si="67"/>
        <v>0</v>
      </c>
      <c r="T211">
        <f t="shared" si="68"/>
        <v>0</v>
      </c>
    </row>
    <row r="212" spans="1:20" x14ac:dyDescent="0.25">
      <c r="A212" s="5"/>
      <c r="C212"/>
      <c r="D212"/>
      <c r="P212">
        <f t="shared" si="64"/>
        <v>0</v>
      </c>
      <c r="Q212">
        <f t="shared" si="65"/>
        <v>0</v>
      </c>
      <c r="R212">
        <f t="shared" si="66"/>
        <v>0</v>
      </c>
      <c r="S212">
        <f t="shared" si="67"/>
        <v>0</v>
      </c>
      <c r="T212">
        <f t="shared" si="68"/>
        <v>0</v>
      </c>
    </row>
    <row r="213" spans="1:20" x14ac:dyDescent="0.25">
      <c r="A213" s="5"/>
      <c r="C213"/>
      <c r="D213"/>
      <c r="P213">
        <f t="shared" si="64"/>
        <v>0</v>
      </c>
      <c r="Q213">
        <f t="shared" si="65"/>
        <v>0</v>
      </c>
      <c r="R213">
        <f t="shared" si="66"/>
        <v>0</v>
      </c>
      <c r="S213">
        <f t="shared" si="67"/>
        <v>0</v>
      </c>
      <c r="T213">
        <f t="shared" si="68"/>
        <v>0</v>
      </c>
    </row>
    <row r="214" spans="1:20" x14ac:dyDescent="0.25">
      <c r="A214" s="5"/>
      <c r="C214"/>
      <c r="D214"/>
      <c r="P214">
        <f t="shared" si="64"/>
        <v>0</v>
      </c>
      <c r="Q214">
        <f t="shared" si="65"/>
        <v>0</v>
      </c>
      <c r="R214">
        <f t="shared" si="66"/>
        <v>0</v>
      </c>
      <c r="S214">
        <f t="shared" si="67"/>
        <v>0</v>
      </c>
      <c r="T214">
        <f t="shared" si="68"/>
        <v>0</v>
      </c>
    </row>
    <row r="215" spans="1:20" x14ac:dyDescent="0.25">
      <c r="A215" s="5"/>
      <c r="C215"/>
      <c r="D215"/>
      <c r="P215">
        <f t="shared" si="64"/>
        <v>0</v>
      </c>
      <c r="Q215">
        <f t="shared" si="65"/>
        <v>0</v>
      </c>
      <c r="R215">
        <f t="shared" si="66"/>
        <v>0</v>
      </c>
      <c r="S215">
        <f t="shared" si="67"/>
        <v>0</v>
      </c>
      <c r="T215">
        <f t="shared" si="68"/>
        <v>0</v>
      </c>
    </row>
    <row r="216" spans="1:20" x14ac:dyDescent="0.25">
      <c r="A216" s="5"/>
      <c r="C216"/>
      <c r="D216"/>
      <c r="P216">
        <f t="shared" si="64"/>
        <v>0</v>
      </c>
      <c r="Q216">
        <f t="shared" si="65"/>
        <v>0</v>
      </c>
      <c r="R216">
        <f t="shared" si="66"/>
        <v>0</v>
      </c>
      <c r="S216">
        <f t="shared" si="67"/>
        <v>0</v>
      </c>
      <c r="T216">
        <f t="shared" si="68"/>
        <v>0</v>
      </c>
    </row>
    <row r="217" spans="1:20" x14ac:dyDescent="0.25">
      <c r="A217" s="5"/>
      <c r="C217"/>
      <c r="D217"/>
      <c r="P217">
        <f t="shared" si="64"/>
        <v>0</v>
      </c>
      <c r="Q217">
        <f t="shared" si="65"/>
        <v>0</v>
      </c>
      <c r="R217">
        <f t="shared" si="66"/>
        <v>0</v>
      </c>
      <c r="S217">
        <f t="shared" si="67"/>
        <v>0</v>
      </c>
      <c r="T217">
        <f t="shared" si="68"/>
        <v>0</v>
      </c>
    </row>
    <row r="218" spans="1:20" x14ac:dyDescent="0.25">
      <c r="A218" s="5"/>
      <c r="C218"/>
      <c r="D218"/>
      <c r="P218">
        <f t="shared" si="64"/>
        <v>0</v>
      </c>
      <c r="Q218">
        <f t="shared" si="65"/>
        <v>0</v>
      </c>
      <c r="R218">
        <f t="shared" si="66"/>
        <v>0</v>
      </c>
      <c r="S218">
        <f t="shared" si="67"/>
        <v>0</v>
      </c>
      <c r="T218">
        <f t="shared" si="68"/>
        <v>0</v>
      </c>
    </row>
    <row r="219" spans="1:20" x14ac:dyDescent="0.25">
      <c r="A219" s="5"/>
      <c r="C219"/>
      <c r="D219"/>
      <c r="P219">
        <f t="shared" si="64"/>
        <v>0</v>
      </c>
      <c r="Q219">
        <f t="shared" si="65"/>
        <v>0</v>
      </c>
      <c r="R219">
        <f t="shared" si="66"/>
        <v>0</v>
      </c>
      <c r="S219">
        <f t="shared" si="67"/>
        <v>0</v>
      </c>
      <c r="T219">
        <f t="shared" si="68"/>
        <v>0</v>
      </c>
    </row>
    <row r="220" spans="1:20" x14ac:dyDescent="0.25">
      <c r="A220" s="5"/>
      <c r="C220"/>
      <c r="D220"/>
      <c r="P220">
        <f t="shared" si="64"/>
        <v>0</v>
      </c>
      <c r="Q220">
        <f t="shared" si="65"/>
        <v>0</v>
      </c>
      <c r="R220">
        <f t="shared" si="66"/>
        <v>0</v>
      </c>
      <c r="S220">
        <f t="shared" si="67"/>
        <v>0</v>
      </c>
      <c r="T220">
        <f t="shared" si="68"/>
        <v>0</v>
      </c>
    </row>
    <row r="221" spans="1:20" x14ac:dyDescent="0.25">
      <c r="A221" s="5"/>
      <c r="C221"/>
      <c r="D221"/>
      <c r="P221">
        <f t="shared" si="64"/>
        <v>0</v>
      </c>
      <c r="Q221">
        <f t="shared" si="65"/>
        <v>0</v>
      </c>
      <c r="R221">
        <f t="shared" si="66"/>
        <v>0</v>
      </c>
      <c r="S221">
        <f t="shared" si="67"/>
        <v>0</v>
      </c>
      <c r="T221">
        <f t="shared" si="68"/>
        <v>0</v>
      </c>
    </row>
    <row r="222" spans="1:20" x14ac:dyDescent="0.25">
      <c r="A222" s="5"/>
      <c r="C222"/>
      <c r="D222"/>
      <c r="P222">
        <f t="shared" si="64"/>
        <v>0</v>
      </c>
      <c r="Q222">
        <f t="shared" si="65"/>
        <v>0</v>
      </c>
      <c r="R222">
        <f t="shared" si="66"/>
        <v>0</v>
      </c>
      <c r="S222">
        <f t="shared" si="67"/>
        <v>0</v>
      </c>
      <c r="T222">
        <f t="shared" si="68"/>
        <v>0</v>
      </c>
    </row>
    <row r="223" spans="1:20" x14ac:dyDescent="0.25">
      <c r="A223" s="5"/>
      <c r="C223"/>
      <c r="D223"/>
      <c r="P223">
        <f t="shared" si="64"/>
        <v>0</v>
      </c>
      <c r="Q223">
        <f t="shared" si="65"/>
        <v>0</v>
      </c>
      <c r="R223">
        <f t="shared" si="66"/>
        <v>0</v>
      </c>
      <c r="S223">
        <f t="shared" si="67"/>
        <v>0</v>
      </c>
      <c r="T223">
        <f t="shared" si="68"/>
        <v>0</v>
      </c>
    </row>
    <row r="224" spans="1:20" x14ac:dyDescent="0.25">
      <c r="A224" s="5"/>
      <c r="C224"/>
      <c r="D224"/>
      <c r="P224">
        <f t="shared" si="64"/>
        <v>0</v>
      </c>
      <c r="Q224">
        <f t="shared" si="65"/>
        <v>0</v>
      </c>
      <c r="R224">
        <f t="shared" si="66"/>
        <v>0</v>
      </c>
      <c r="S224">
        <f t="shared" si="67"/>
        <v>0</v>
      </c>
      <c r="T224">
        <f t="shared" si="68"/>
        <v>0</v>
      </c>
    </row>
    <row r="225" spans="1:20" x14ac:dyDescent="0.25">
      <c r="A225" s="5"/>
      <c r="C225"/>
      <c r="D225"/>
      <c r="P225">
        <f t="shared" si="64"/>
        <v>0</v>
      </c>
      <c r="Q225">
        <f t="shared" si="65"/>
        <v>0</v>
      </c>
      <c r="R225">
        <f t="shared" si="66"/>
        <v>0</v>
      </c>
      <c r="S225">
        <f t="shared" si="67"/>
        <v>0</v>
      </c>
      <c r="T225">
        <f t="shared" si="68"/>
        <v>0</v>
      </c>
    </row>
    <row r="226" spans="1:20" x14ac:dyDescent="0.25">
      <c r="A226" s="5"/>
      <c r="C226"/>
      <c r="D226"/>
      <c r="P226">
        <f t="shared" si="64"/>
        <v>0</v>
      </c>
      <c r="Q226">
        <f t="shared" si="65"/>
        <v>0</v>
      </c>
      <c r="R226">
        <f t="shared" si="66"/>
        <v>0</v>
      </c>
      <c r="S226">
        <f t="shared" si="67"/>
        <v>0</v>
      </c>
      <c r="T226">
        <f t="shared" si="68"/>
        <v>0</v>
      </c>
    </row>
    <row r="227" spans="1:20" x14ac:dyDescent="0.25">
      <c r="A227" s="5"/>
      <c r="C227"/>
      <c r="D227"/>
      <c r="P227">
        <f t="shared" si="64"/>
        <v>0</v>
      </c>
      <c r="Q227">
        <f t="shared" si="65"/>
        <v>0</v>
      </c>
      <c r="R227">
        <f t="shared" si="66"/>
        <v>0</v>
      </c>
      <c r="S227">
        <f t="shared" si="67"/>
        <v>0</v>
      </c>
      <c r="T227">
        <f t="shared" si="68"/>
        <v>0</v>
      </c>
    </row>
    <row r="228" spans="1:20" x14ac:dyDescent="0.25">
      <c r="A228" s="5"/>
      <c r="C228"/>
      <c r="D228"/>
      <c r="P228">
        <f t="shared" si="64"/>
        <v>0</v>
      </c>
      <c r="Q228">
        <f t="shared" si="65"/>
        <v>0</v>
      </c>
      <c r="R228">
        <f t="shared" si="66"/>
        <v>0</v>
      </c>
      <c r="S228">
        <f t="shared" si="67"/>
        <v>0</v>
      </c>
      <c r="T228">
        <f t="shared" si="68"/>
        <v>0</v>
      </c>
    </row>
    <row r="229" spans="1:20" x14ac:dyDescent="0.25">
      <c r="A229" s="5"/>
      <c r="C229"/>
      <c r="D229"/>
      <c r="P229">
        <f t="shared" si="64"/>
        <v>0</v>
      </c>
      <c r="Q229">
        <f t="shared" si="65"/>
        <v>0</v>
      </c>
      <c r="R229">
        <f t="shared" si="66"/>
        <v>0</v>
      </c>
      <c r="S229">
        <f t="shared" si="67"/>
        <v>0</v>
      </c>
      <c r="T229">
        <f t="shared" si="68"/>
        <v>0</v>
      </c>
    </row>
    <row r="230" spans="1:20" x14ac:dyDescent="0.25">
      <c r="A230" s="5"/>
      <c r="C230"/>
      <c r="D230"/>
      <c r="P230">
        <f t="shared" si="64"/>
        <v>0</v>
      </c>
      <c r="Q230">
        <f t="shared" si="65"/>
        <v>0</v>
      </c>
      <c r="R230">
        <f t="shared" si="66"/>
        <v>0</v>
      </c>
      <c r="S230">
        <f t="shared" si="67"/>
        <v>0</v>
      </c>
      <c r="T230">
        <f t="shared" si="68"/>
        <v>0</v>
      </c>
    </row>
    <row r="231" spans="1:20" x14ac:dyDescent="0.25">
      <c r="A231" s="5"/>
      <c r="C231"/>
      <c r="D231"/>
      <c r="P231">
        <f t="shared" si="64"/>
        <v>0</v>
      </c>
      <c r="Q231">
        <f t="shared" si="65"/>
        <v>0</v>
      </c>
      <c r="R231">
        <f t="shared" si="66"/>
        <v>0</v>
      </c>
      <c r="S231">
        <f t="shared" si="67"/>
        <v>0</v>
      </c>
      <c r="T231">
        <f t="shared" si="68"/>
        <v>0</v>
      </c>
    </row>
    <row r="232" spans="1:20" x14ac:dyDescent="0.25">
      <c r="A232" s="5"/>
      <c r="C232"/>
      <c r="D232"/>
      <c r="P232">
        <f t="shared" si="64"/>
        <v>0</v>
      </c>
      <c r="Q232">
        <f t="shared" si="65"/>
        <v>0</v>
      </c>
      <c r="R232">
        <f t="shared" si="66"/>
        <v>0</v>
      </c>
      <c r="S232">
        <f t="shared" si="67"/>
        <v>0</v>
      </c>
      <c r="T232">
        <f t="shared" si="68"/>
        <v>0</v>
      </c>
    </row>
    <row r="233" spans="1:20" x14ac:dyDescent="0.25">
      <c r="A233" s="5"/>
      <c r="C233"/>
      <c r="D233"/>
      <c r="P233">
        <f t="shared" si="64"/>
        <v>0</v>
      </c>
      <c r="Q233">
        <f t="shared" si="65"/>
        <v>0</v>
      </c>
      <c r="R233">
        <f t="shared" si="66"/>
        <v>0</v>
      </c>
      <c r="S233">
        <f t="shared" si="67"/>
        <v>0</v>
      </c>
      <c r="T233">
        <f t="shared" si="68"/>
        <v>0</v>
      </c>
    </row>
    <row r="234" spans="1:20" x14ac:dyDescent="0.25">
      <c r="A234" s="5"/>
      <c r="C234"/>
      <c r="D234"/>
      <c r="P234">
        <f t="shared" si="64"/>
        <v>0</v>
      </c>
      <c r="Q234">
        <f t="shared" si="65"/>
        <v>0</v>
      </c>
      <c r="R234">
        <f t="shared" si="66"/>
        <v>0</v>
      </c>
      <c r="S234">
        <f t="shared" si="67"/>
        <v>0</v>
      </c>
      <c r="T234">
        <f t="shared" si="68"/>
        <v>0</v>
      </c>
    </row>
    <row r="235" spans="1:20" x14ac:dyDescent="0.25">
      <c r="A235" s="5"/>
      <c r="C235"/>
      <c r="D235"/>
      <c r="P235">
        <f t="shared" si="64"/>
        <v>0</v>
      </c>
      <c r="Q235">
        <f t="shared" si="65"/>
        <v>0</v>
      </c>
      <c r="R235">
        <f t="shared" si="66"/>
        <v>0</v>
      </c>
      <c r="S235">
        <f t="shared" si="67"/>
        <v>0</v>
      </c>
      <c r="T235">
        <f t="shared" si="68"/>
        <v>0</v>
      </c>
    </row>
    <row r="236" spans="1:20" x14ac:dyDescent="0.25">
      <c r="A236" s="5"/>
      <c r="C236"/>
      <c r="D236"/>
      <c r="P236">
        <f t="shared" si="64"/>
        <v>0</v>
      </c>
      <c r="Q236">
        <f t="shared" si="65"/>
        <v>0</v>
      </c>
      <c r="R236">
        <f t="shared" si="66"/>
        <v>0</v>
      </c>
      <c r="S236">
        <f t="shared" si="67"/>
        <v>0</v>
      </c>
      <c r="T236">
        <f t="shared" si="68"/>
        <v>0</v>
      </c>
    </row>
    <row r="237" spans="1:20" x14ac:dyDescent="0.25">
      <c r="A237" s="5"/>
      <c r="C237"/>
      <c r="D237"/>
      <c r="P237">
        <f t="shared" si="64"/>
        <v>0</v>
      </c>
      <c r="Q237">
        <f t="shared" si="65"/>
        <v>0</v>
      </c>
      <c r="R237">
        <f t="shared" si="66"/>
        <v>0</v>
      </c>
      <c r="S237">
        <f t="shared" si="67"/>
        <v>0</v>
      </c>
      <c r="T237">
        <f t="shared" si="68"/>
        <v>0</v>
      </c>
    </row>
    <row r="238" spans="1:20" x14ac:dyDescent="0.25">
      <c r="A238" s="5"/>
      <c r="C238"/>
      <c r="D238"/>
      <c r="P238">
        <f t="shared" si="64"/>
        <v>0</v>
      </c>
      <c r="Q238">
        <f t="shared" si="65"/>
        <v>0</v>
      </c>
      <c r="R238">
        <f t="shared" si="66"/>
        <v>0</v>
      </c>
      <c r="S238">
        <f t="shared" si="67"/>
        <v>0</v>
      </c>
      <c r="T238">
        <f t="shared" si="68"/>
        <v>0</v>
      </c>
    </row>
    <row r="239" spans="1:20" x14ac:dyDescent="0.25">
      <c r="A239" s="5"/>
      <c r="C239"/>
      <c r="D239"/>
      <c r="P239">
        <f t="shared" si="64"/>
        <v>0</v>
      </c>
      <c r="Q239">
        <f t="shared" si="65"/>
        <v>0</v>
      </c>
      <c r="R239">
        <f t="shared" si="66"/>
        <v>0</v>
      </c>
      <c r="S239">
        <f t="shared" si="67"/>
        <v>0</v>
      </c>
      <c r="T239">
        <f t="shared" si="68"/>
        <v>0</v>
      </c>
    </row>
    <row r="240" spans="1:20" x14ac:dyDescent="0.25">
      <c r="A240" s="5"/>
      <c r="C240"/>
      <c r="D240"/>
      <c r="P240">
        <f t="shared" si="64"/>
        <v>0</v>
      </c>
      <c r="Q240">
        <f t="shared" si="65"/>
        <v>0</v>
      </c>
      <c r="R240">
        <f t="shared" si="66"/>
        <v>0</v>
      </c>
      <c r="S240">
        <f t="shared" si="67"/>
        <v>0</v>
      </c>
      <c r="T240">
        <f t="shared" si="68"/>
        <v>0</v>
      </c>
    </row>
    <row r="241" spans="1:20" x14ac:dyDescent="0.25">
      <c r="A241" s="5"/>
      <c r="C241"/>
      <c r="D241"/>
      <c r="P241">
        <f t="shared" si="64"/>
        <v>0</v>
      </c>
      <c r="Q241">
        <f t="shared" si="65"/>
        <v>0</v>
      </c>
      <c r="R241">
        <f t="shared" si="66"/>
        <v>0</v>
      </c>
      <c r="S241">
        <f t="shared" si="67"/>
        <v>0</v>
      </c>
      <c r="T241">
        <f t="shared" si="68"/>
        <v>0</v>
      </c>
    </row>
    <row r="242" spans="1:20" x14ac:dyDescent="0.25">
      <c r="A242" s="5"/>
      <c r="C242"/>
      <c r="D242"/>
      <c r="P242">
        <f t="shared" si="64"/>
        <v>0</v>
      </c>
      <c r="Q242">
        <f t="shared" si="65"/>
        <v>0</v>
      </c>
      <c r="R242">
        <f t="shared" si="66"/>
        <v>0</v>
      </c>
      <c r="S242">
        <f t="shared" si="67"/>
        <v>0</v>
      </c>
      <c r="T242">
        <f t="shared" si="68"/>
        <v>0</v>
      </c>
    </row>
    <row r="243" spans="1:20" x14ac:dyDescent="0.25">
      <c r="A243" s="5"/>
      <c r="C243"/>
      <c r="D243"/>
      <c r="P243">
        <f t="shared" si="64"/>
        <v>0</v>
      </c>
      <c r="Q243">
        <f t="shared" si="65"/>
        <v>0</v>
      </c>
      <c r="R243">
        <f t="shared" si="66"/>
        <v>0</v>
      </c>
      <c r="S243">
        <f t="shared" si="67"/>
        <v>0</v>
      </c>
      <c r="T243">
        <f t="shared" si="68"/>
        <v>0</v>
      </c>
    </row>
    <row r="244" spans="1:20" x14ac:dyDescent="0.25">
      <c r="A244" s="5"/>
      <c r="C244"/>
      <c r="D244"/>
      <c r="P244">
        <f t="shared" si="64"/>
        <v>0</v>
      </c>
      <c r="Q244">
        <f t="shared" si="65"/>
        <v>0</v>
      </c>
      <c r="R244">
        <f t="shared" si="66"/>
        <v>0</v>
      </c>
      <c r="S244">
        <f t="shared" si="67"/>
        <v>0</v>
      </c>
      <c r="T244">
        <f t="shared" si="68"/>
        <v>0</v>
      </c>
    </row>
    <row r="245" spans="1:20" x14ac:dyDescent="0.25">
      <c r="A245" s="5"/>
      <c r="C245"/>
      <c r="D245"/>
      <c r="P245">
        <f t="shared" si="64"/>
        <v>0</v>
      </c>
      <c r="Q245">
        <f t="shared" si="65"/>
        <v>0</v>
      </c>
      <c r="R245">
        <f t="shared" si="66"/>
        <v>0</v>
      </c>
      <c r="S245">
        <f t="shared" si="67"/>
        <v>0</v>
      </c>
      <c r="T245">
        <f t="shared" si="68"/>
        <v>0</v>
      </c>
    </row>
    <row r="246" spans="1:20" x14ac:dyDescent="0.25">
      <c r="A246" s="5"/>
      <c r="C246"/>
      <c r="D246"/>
      <c r="P246">
        <f t="shared" si="64"/>
        <v>0</v>
      </c>
      <c r="Q246">
        <f t="shared" si="65"/>
        <v>0</v>
      </c>
      <c r="R246">
        <f t="shared" si="66"/>
        <v>0</v>
      </c>
      <c r="S246">
        <f t="shared" si="67"/>
        <v>0</v>
      </c>
      <c r="T246">
        <f t="shared" si="68"/>
        <v>0</v>
      </c>
    </row>
    <row r="247" spans="1:20" x14ac:dyDescent="0.25">
      <c r="A247" s="5"/>
      <c r="C247"/>
      <c r="D247"/>
      <c r="P247">
        <f t="shared" si="64"/>
        <v>0</v>
      </c>
      <c r="Q247">
        <f t="shared" si="65"/>
        <v>0</v>
      </c>
      <c r="R247">
        <f t="shared" si="66"/>
        <v>0</v>
      </c>
      <c r="S247">
        <f t="shared" si="67"/>
        <v>0</v>
      </c>
      <c r="T247">
        <f t="shared" si="68"/>
        <v>0</v>
      </c>
    </row>
    <row r="248" spans="1:20" x14ac:dyDescent="0.25">
      <c r="A248" s="5"/>
      <c r="C248"/>
      <c r="D248"/>
      <c r="P248">
        <f t="shared" si="64"/>
        <v>0</v>
      </c>
      <c r="Q248">
        <f t="shared" si="65"/>
        <v>0</v>
      </c>
      <c r="R248">
        <f t="shared" si="66"/>
        <v>0</v>
      </c>
      <c r="S248">
        <f t="shared" si="67"/>
        <v>0</v>
      </c>
      <c r="T248">
        <f t="shared" si="68"/>
        <v>0</v>
      </c>
    </row>
    <row r="249" spans="1:20" x14ac:dyDescent="0.25">
      <c r="A249" s="5"/>
      <c r="C249"/>
      <c r="D249"/>
      <c r="P249">
        <f t="shared" si="64"/>
        <v>0</v>
      </c>
      <c r="Q249">
        <f t="shared" si="65"/>
        <v>0</v>
      </c>
      <c r="R249">
        <f t="shared" si="66"/>
        <v>0</v>
      </c>
      <c r="S249">
        <f t="shared" si="67"/>
        <v>0</v>
      </c>
      <c r="T249">
        <f t="shared" si="68"/>
        <v>0</v>
      </c>
    </row>
    <row r="250" spans="1:20" x14ac:dyDescent="0.25">
      <c r="A250" s="5"/>
      <c r="C250"/>
      <c r="D250"/>
      <c r="P250">
        <f t="shared" si="64"/>
        <v>0</v>
      </c>
      <c r="Q250">
        <f t="shared" si="65"/>
        <v>0</v>
      </c>
      <c r="R250">
        <f t="shared" si="66"/>
        <v>0</v>
      </c>
      <c r="S250">
        <f t="shared" si="67"/>
        <v>0</v>
      </c>
      <c r="T250">
        <f t="shared" si="68"/>
        <v>0</v>
      </c>
    </row>
    <row r="251" spans="1:20" x14ac:dyDescent="0.25">
      <c r="A251" s="5"/>
      <c r="C251"/>
      <c r="D251"/>
      <c r="P251">
        <f t="shared" si="64"/>
        <v>0</v>
      </c>
      <c r="Q251">
        <f t="shared" si="65"/>
        <v>0</v>
      </c>
      <c r="R251">
        <f t="shared" si="66"/>
        <v>0</v>
      </c>
      <c r="S251">
        <f t="shared" si="67"/>
        <v>0</v>
      </c>
      <c r="T251">
        <f t="shared" si="68"/>
        <v>0</v>
      </c>
    </row>
    <row r="252" spans="1:20" x14ac:dyDescent="0.25">
      <c r="A252" s="5"/>
      <c r="C252"/>
      <c r="D252"/>
      <c r="P252">
        <f t="shared" si="64"/>
        <v>0</v>
      </c>
      <c r="Q252">
        <f t="shared" si="65"/>
        <v>0</v>
      </c>
      <c r="R252">
        <f t="shared" si="66"/>
        <v>0</v>
      </c>
      <c r="S252">
        <f t="shared" si="67"/>
        <v>0</v>
      </c>
      <c r="T252">
        <f t="shared" si="68"/>
        <v>0</v>
      </c>
    </row>
    <row r="253" spans="1:20" x14ac:dyDescent="0.25">
      <c r="A253" s="5"/>
      <c r="C253"/>
      <c r="D253"/>
      <c r="P253">
        <f t="shared" si="64"/>
        <v>0</v>
      </c>
      <c r="Q253">
        <f t="shared" si="65"/>
        <v>0</v>
      </c>
      <c r="R253">
        <f t="shared" si="66"/>
        <v>0</v>
      </c>
      <c r="S253">
        <f t="shared" si="67"/>
        <v>0</v>
      </c>
      <c r="T253">
        <f t="shared" si="68"/>
        <v>0</v>
      </c>
    </row>
    <row r="254" spans="1:20" x14ac:dyDescent="0.25">
      <c r="A254" s="5"/>
      <c r="C254"/>
      <c r="D254"/>
      <c r="P254">
        <f t="shared" si="64"/>
        <v>0</v>
      </c>
      <c r="Q254">
        <f t="shared" si="65"/>
        <v>0</v>
      </c>
      <c r="R254">
        <f t="shared" si="66"/>
        <v>0</v>
      </c>
      <c r="S254">
        <f t="shared" si="67"/>
        <v>0</v>
      </c>
      <c r="T254">
        <f t="shared" si="68"/>
        <v>0</v>
      </c>
    </row>
    <row r="255" spans="1:20" x14ac:dyDescent="0.25">
      <c r="A255" s="5"/>
      <c r="C255"/>
      <c r="D255"/>
      <c r="P255">
        <f t="shared" si="64"/>
        <v>0</v>
      </c>
      <c r="Q255">
        <f t="shared" si="65"/>
        <v>0</v>
      </c>
      <c r="R255">
        <f t="shared" si="66"/>
        <v>0</v>
      </c>
      <c r="S255">
        <f t="shared" si="67"/>
        <v>0</v>
      </c>
      <c r="T255">
        <f t="shared" si="68"/>
        <v>0</v>
      </c>
    </row>
    <row r="256" spans="1:20" x14ac:dyDescent="0.25">
      <c r="A256" s="5"/>
      <c r="C256"/>
      <c r="D256"/>
      <c r="P256">
        <f t="shared" si="64"/>
        <v>0</v>
      </c>
      <c r="Q256">
        <f t="shared" si="65"/>
        <v>0</v>
      </c>
      <c r="R256">
        <f t="shared" si="66"/>
        <v>0</v>
      </c>
      <c r="S256">
        <f t="shared" si="67"/>
        <v>0</v>
      </c>
      <c r="T256">
        <f t="shared" si="68"/>
        <v>0</v>
      </c>
    </row>
    <row r="257" spans="1:20" x14ac:dyDescent="0.25">
      <c r="A257" s="5"/>
      <c r="C257"/>
      <c r="D257"/>
      <c r="P257">
        <f t="shared" si="64"/>
        <v>0</v>
      </c>
      <c r="Q257">
        <f t="shared" si="65"/>
        <v>0</v>
      </c>
      <c r="R257">
        <f t="shared" si="66"/>
        <v>0</v>
      </c>
      <c r="S257">
        <f t="shared" si="67"/>
        <v>0</v>
      </c>
      <c r="T257">
        <f t="shared" si="68"/>
        <v>0</v>
      </c>
    </row>
    <row r="258" spans="1:20" x14ac:dyDescent="0.25">
      <c r="A258" s="5"/>
      <c r="C258"/>
      <c r="D258"/>
      <c r="P258">
        <f t="shared" si="64"/>
        <v>0</v>
      </c>
      <c r="Q258">
        <f t="shared" si="65"/>
        <v>0</v>
      </c>
      <c r="R258">
        <f t="shared" si="66"/>
        <v>0</v>
      </c>
      <c r="S258">
        <f t="shared" si="67"/>
        <v>0</v>
      </c>
      <c r="T258">
        <f t="shared" si="68"/>
        <v>0</v>
      </c>
    </row>
    <row r="259" spans="1:20" x14ac:dyDescent="0.25">
      <c r="A259" s="5"/>
      <c r="C259"/>
      <c r="D259"/>
      <c r="P259">
        <f t="shared" si="64"/>
        <v>0</v>
      </c>
      <c r="Q259">
        <f t="shared" si="65"/>
        <v>0</v>
      </c>
      <c r="R259">
        <f t="shared" si="66"/>
        <v>0</v>
      </c>
      <c r="S259">
        <f t="shared" si="67"/>
        <v>0</v>
      </c>
      <c r="T259">
        <f t="shared" si="68"/>
        <v>0</v>
      </c>
    </row>
    <row r="260" spans="1:20" x14ac:dyDescent="0.25">
      <c r="A260" s="5"/>
      <c r="C260"/>
      <c r="D260"/>
      <c r="P260">
        <f t="shared" si="64"/>
        <v>0</v>
      </c>
      <c r="Q260">
        <f t="shared" si="65"/>
        <v>0</v>
      </c>
      <c r="R260">
        <f t="shared" si="66"/>
        <v>0</v>
      </c>
      <c r="S260">
        <f t="shared" si="67"/>
        <v>0</v>
      </c>
      <c r="T260">
        <f t="shared" si="68"/>
        <v>0</v>
      </c>
    </row>
    <row r="261" spans="1:20" x14ac:dyDescent="0.25">
      <c r="A261" s="5"/>
      <c r="C261"/>
      <c r="D261"/>
      <c r="P261">
        <f t="shared" si="64"/>
        <v>0</v>
      </c>
      <c r="Q261">
        <f t="shared" si="65"/>
        <v>0</v>
      </c>
      <c r="R261">
        <f t="shared" si="66"/>
        <v>0</v>
      </c>
      <c r="S261">
        <f t="shared" si="67"/>
        <v>0</v>
      </c>
      <c r="T261">
        <f t="shared" si="68"/>
        <v>0</v>
      </c>
    </row>
    <row r="262" spans="1:20" x14ac:dyDescent="0.25">
      <c r="A262" s="5"/>
      <c r="C262"/>
      <c r="D262"/>
      <c r="P262">
        <f t="shared" si="64"/>
        <v>0</v>
      </c>
      <c r="Q262">
        <f t="shared" si="65"/>
        <v>0</v>
      </c>
      <c r="R262">
        <f t="shared" si="66"/>
        <v>0</v>
      </c>
      <c r="S262">
        <f t="shared" si="67"/>
        <v>0</v>
      </c>
      <c r="T262">
        <f t="shared" si="68"/>
        <v>0</v>
      </c>
    </row>
    <row r="263" spans="1:20" x14ac:dyDescent="0.25">
      <c r="A263" s="5"/>
      <c r="C263"/>
      <c r="D263"/>
      <c r="P263">
        <f t="shared" si="64"/>
        <v>0</v>
      </c>
      <c r="Q263">
        <f t="shared" si="65"/>
        <v>0</v>
      </c>
      <c r="R263">
        <f t="shared" si="66"/>
        <v>0</v>
      </c>
      <c r="S263">
        <f t="shared" si="67"/>
        <v>0</v>
      </c>
      <c r="T263">
        <f t="shared" si="68"/>
        <v>0</v>
      </c>
    </row>
    <row r="264" spans="1:20" x14ac:dyDescent="0.25">
      <c r="A264" s="5"/>
      <c r="C264"/>
      <c r="D264"/>
      <c r="P264">
        <f t="shared" si="64"/>
        <v>0</v>
      </c>
      <c r="Q264">
        <f t="shared" si="65"/>
        <v>0</v>
      </c>
      <c r="R264">
        <f t="shared" si="66"/>
        <v>0</v>
      </c>
      <c r="S264">
        <f t="shared" si="67"/>
        <v>0</v>
      </c>
      <c r="T264">
        <f t="shared" si="68"/>
        <v>0</v>
      </c>
    </row>
    <row r="265" spans="1:20" x14ac:dyDescent="0.25">
      <c r="A265" s="5"/>
      <c r="C265"/>
      <c r="D265"/>
      <c r="P265">
        <f t="shared" si="64"/>
        <v>0</v>
      </c>
      <c r="Q265">
        <f t="shared" si="65"/>
        <v>0</v>
      </c>
      <c r="R265">
        <f t="shared" si="66"/>
        <v>0</v>
      </c>
      <c r="S265">
        <f t="shared" si="67"/>
        <v>0</v>
      </c>
      <c r="T265">
        <f t="shared" si="68"/>
        <v>0</v>
      </c>
    </row>
    <row r="266" spans="1:20" x14ac:dyDescent="0.25">
      <c r="A266" s="5"/>
      <c r="C266"/>
      <c r="D266"/>
      <c r="P266">
        <f t="shared" si="64"/>
        <v>0</v>
      </c>
      <c r="Q266">
        <f t="shared" si="65"/>
        <v>0</v>
      </c>
      <c r="R266">
        <f t="shared" si="66"/>
        <v>0</v>
      </c>
      <c r="S266">
        <f t="shared" si="67"/>
        <v>0</v>
      </c>
      <c r="T266">
        <f t="shared" si="68"/>
        <v>0</v>
      </c>
    </row>
    <row r="267" spans="1:20" x14ac:dyDescent="0.25">
      <c r="A267" s="5"/>
      <c r="C267"/>
      <c r="D267"/>
      <c r="P267">
        <f t="shared" si="64"/>
        <v>0</v>
      </c>
      <c r="Q267">
        <f t="shared" si="65"/>
        <v>0</v>
      </c>
      <c r="R267">
        <f t="shared" si="66"/>
        <v>0</v>
      </c>
      <c r="S267">
        <f t="shared" si="67"/>
        <v>0</v>
      </c>
      <c r="T267">
        <f t="shared" si="68"/>
        <v>0</v>
      </c>
    </row>
    <row r="268" spans="1:20" x14ac:dyDescent="0.25">
      <c r="A268" s="5"/>
      <c r="C268"/>
      <c r="D268"/>
      <c r="P268">
        <f t="shared" si="64"/>
        <v>0</v>
      </c>
      <c r="Q268">
        <f t="shared" si="65"/>
        <v>0</v>
      </c>
      <c r="R268">
        <f t="shared" si="66"/>
        <v>0</v>
      </c>
      <c r="S268">
        <f t="shared" si="67"/>
        <v>0</v>
      </c>
      <c r="T268">
        <f t="shared" si="68"/>
        <v>0</v>
      </c>
    </row>
    <row r="269" spans="1:20" x14ac:dyDescent="0.25">
      <c r="A269" s="5"/>
      <c r="C269"/>
      <c r="D269"/>
      <c r="P269">
        <f t="shared" si="64"/>
        <v>0</v>
      </c>
      <c r="Q269">
        <f t="shared" si="65"/>
        <v>0</v>
      </c>
      <c r="R269">
        <f t="shared" si="66"/>
        <v>0</v>
      </c>
      <c r="S269">
        <f t="shared" si="67"/>
        <v>0</v>
      </c>
      <c r="T269">
        <f t="shared" si="68"/>
        <v>0</v>
      </c>
    </row>
    <row r="270" spans="1:20" x14ac:dyDescent="0.25">
      <c r="A270" s="5"/>
      <c r="C270"/>
      <c r="D270"/>
      <c r="P270">
        <f t="shared" si="64"/>
        <v>0</v>
      </c>
      <c r="Q270">
        <f t="shared" si="65"/>
        <v>0</v>
      </c>
      <c r="R270">
        <f t="shared" si="66"/>
        <v>0</v>
      </c>
      <c r="S270">
        <f t="shared" si="67"/>
        <v>0</v>
      </c>
      <c r="T270">
        <f t="shared" si="68"/>
        <v>0</v>
      </c>
    </row>
    <row r="271" spans="1:20" x14ac:dyDescent="0.25">
      <c r="A271" s="5"/>
      <c r="C271"/>
      <c r="D271"/>
      <c r="P271">
        <f t="shared" si="64"/>
        <v>0</v>
      </c>
      <c r="Q271">
        <f t="shared" si="65"/>
        <v>0</v>
      </c>
      <c r="R271">
        <f t="shared" si="66"/>
        <v>0</v>
      </c>
      <c r="S271">
        <f t="shared" si="67"/>
        <v>0</v>
      </c>
      <c r="T271">
        <f t="shared" si="68"/>
        <v>0</v>
      </c>
    </row>
    <row r="272" spans="1:20" x14ac:dyDescent="0.25">
      <c r="A272" s="5"/>
      <c r="C272"/>
      <c r="D272"/>
      <c r="P272">
        <f t="shared" ref="P272:P335" si="69">IF(C272=D272,0,((E272-D272)-(C272-E272))/(C272-D272))</f>
        <v>0</v>
      </c>
      <c r="Q272">
        <f t="shared" ref="Q272:Q335" si="70">F272*P272</f>
        <v>0</v>
      </c>
      <c r="R272">
        <f t="shared" ref="R272:R335" si="71">R273+Q272</f>
        <v>0</v>
      </c>
      <c r="S272">
        <f t="shared" ref="S272:S335" si="72">R272/100000</f>
        <v>0</v>
      </c>
      <c r="T272">
        <f t="shared" ref="T272:T335" si="73">S272/1000</f>
        <v>0</v>
      </c>
    </row>
    <row r="273" spans="1:20" x14ac:dyDescent="0.25">
      <c r="A273" s="5"/>
      <c r="C273"/>
      <c r="D273"/>
      <c r="P273">
        <f t="shared" si="69"/>
        <v>0</v>
      </c>
      <c r="Q273">
        <f t="shared" si="70"/>
        <v>0</v>
      </c>
      <c r="R273">
        <f t="shared" si="71"/>
        <v>0</v>
      </c>
      <c r="S273">
        <f t="shared" si="72"/>
        <v>0</v>
      </c>
      <c r="T273">
        <f t="shared" si="73"/>
        <v>0</v>
      </c>
    </row>
    <row r="274" spans="1:20" x14ac:dyDescent="0.25">
      <c r="A274" s="5"/>
      <c r="C274"/>
      <c r="D274"/>
      <c r="P274">
        <f t="shared" si="69"/>
        <v>0</v>
      </c>
      <c r="Q274">
        <f t="shared" si="70"/>
        <v>0</v>
      </c>
      <c r="R274">
        <f t="shared" si="71"/>
        <v>0</v>
      </c>
      <c r="S274">
        <f t="shared" si="72"/>
        <v>0</v>
      </c>
      <c r="T274">
        <f t="shared" si="73"/>
        <v>0</v>
      </c>
    </row>
    <row r="275" spans="1:20" x14ac:dyDescent="0.25">
      <c r="A275" s="5"/>
      <c r="C275"/>
      <c r="D275"/>
      <c r="P275">
        <f t="shared" si="69"/>
        <v>0</v>
      </c>
      <c r="Q275">
        <f t="shared" si="70"/>
        <v>0</v>
      </c>
      <c r="R275">
        <f t="shared" si="71"/>
        <v>0</v>
      </c>
      <c r="S275">
        <f t="shared" si="72"/>
        <v>0</v>
      </c>
      <c r="T275">
        <f t="shared" si="73"/>
        <v>0</v>
      </c>
    </row>
    <row r="276" spans="1:20" x14ac:dyDescent="0.25">
      <c r="A276" s="5"/>
      <c r="C276"/>
      <c r="D276"/>
      <c r="P276">
        <f t="shared" si="69"/>
        <v>0</v>
      </c>
      <c r="Q276">
        <f t="shared" si="70"/>
        <v>0</v>
      </c>
      <c r="R276">
        <f t="shared" si="71"/>
        <v>0</v>
      </c>
      <c r="S276">
        <f t="shared" si="72"/>
        <v>0</v>
      </c>
      <c r="T276">
        <f t="shared" si="73"/>
        <v>0</v>
      </c>
    </row>
    <row r="277" spans="1:20" x14ac:dyDescent="0.25">
      <c r="A277" s="5"/>
      <c r="C277"/>
      <c r="D277"/>
      <c r="P277">
        <f t="shared" si="69"/>
        <v>0</v>
      </c>
      <c r="Q277">
        <f t="shared" si="70"/>
        <v>0</v>
      </c>
      <c r="R277">
        <f t="shared" si="71"/>
        <v>0</v>
      </c>
      <c r="S277">
        <f t="shared" si="72"/>
        <v>0</v>
      </c>
      <c r="T277">
        <f t="shared" si="73"/>
        <v>0</v>
      </c>
    </row>
    <row r="278" spans="1:20" x14ac:dyDescent="0.25">
      <c r="A278" s="5"/>
      <c r="C278"/>
      <c r="D278"/>
      <c r="P278">
        <f t="shared" si="69"/>
        <v>0</v>
      </c>
      <c r="Q278">
        <f t="shared" si="70"/>
        <v>0</v>
      </c>
      <c r="R278">
        <f t="shared" si="71"/>
        <v>0</v>
      </c>
      <c r="S278">
        <f t="shared" si="72"/>
        <v>0</v>
      </c>
      <c r="T278">
        <f t="shared" si="73"/>
        <v>0</v>
      </c>
    </row>
    <row r="279" spans="1:20" x14ac:dyDescent="0.25">
      <c r="A279" s="5"/>
      <c r="C279"/>
      <c r="D279"/>
      <c r="P279">
        <f t="shared" si="69"/>
        <v>0</v>
      </c>
      <c r="Q279">
        <f t="shared" si="70"/>
        <v>0</v>
      </c>
      <c r="R279">
        <f t="shared" si="71"/>
        <v>0</v>
      </c>
      <c r="S279">
        <f t="shared" si="72"/>
        <v>0</v>
      </c>
      <c r="T279">
        <f t="shared" si="73"/>
        <v>0</v>
      </c>
    </row>
    <row r="280" spans="1:20" x14ac:dyDescent="0.25">
      <c r="A280" s="5"/>
      <c r="C280"/>
      <c r="D280"/>
      <c r="P280">
        <f t="shared" si="69"/>
        <v>0</v>
      </c>
      <c r="Q280">
        <f t="shared" si="70"/>
        <v>0</v>
      </c>
      <c r="R280">
        <f t="shared" si="71"/>
        <v>0</v>
      </c>
      <c r="S280">
        <f t="shared" si="72"/>
        <v>0</v>
      </c>
      <c r="T280">
        <f t="shared" si="73"/>
        <v>0</v>
      </c>
    </row>
    <row r="281" spans="1:20" x14ac:dyDescent="0.25">
      <c r="A281" s="5"/>
      <c r="C281"/>
      <c r="D281"/>
      <c r="P281">
        <f t="shared" si="69"/>
        <v>0</v>
      </c>
      <c r="Q281">
        <f t="shared" si="70"/>
        <v>0</v>
      </c>
      <c r="R281">
        <f t="shared" si="71"/>
        <v>0</v>
      </c>
      <c r="S281">
        <f t="shared" si="72"/>
        <v>0</v>
      </c>
      <c r="T281">
        <f t="shared" si="73"/>
        <v>0</v>
      </c>
    </row>
    <row r="282" spans="1:20" x14ac:dyDescent="0.25">
      <c r="A282" s="5"/>
      <c r="C282"/>
      <c r="D282"/>
      <c r="P282">
        <f t="shared" si="69"/>
        <v>0</v>
      </c>
      <c r="Q282">
        <f t="shared" si="70"/>
        <v>0</v>
      </c>
      <c r="R282">
        <f t="shared" si="71"/>
        <v>0</v>
      </c>
      <c r="S282">
        <f t="shared" si="72"/>
        <v>0</v>
      </c>
      <c r="T282">
        <f t="shared" si="73"/>
        <v>0</v>
      </c>
    </row>
    <row r="283" spans="1:20" x14ac:dyDescent="0.25">
      <c r="A283" s="5"/>
      <c r="C283"/>
      <c r="D283"/>
      <c r="P283">
        <f t="shared" si="69"/>
        <v>0</v>
      </c>
      <c r="Q283">
        <f t="shared" si="70"/>
        <v>0</v>
      </c>
      <c r="R283">
        <f t="shared" si="71"/>
        <v>0</v>
      </c>
      <c r="S283">
        <f t="shared" si="72"/>
        <v>0</v>
      </c>
      <c r="T283">
        <f t="shared" si="73"/>
        <v>0</v>
      </c>
    </row>
    <row r="284" spans="1:20" x14ac:dyDescent="0.25">
      <c r="A284" s="5"/>
      <c r="C284"/>
      <c r="D284"/>
      <c r="P284">
        <f t="shared" si="69"/>
        <v>0</v>
      </c>
      <c r="Q284">
        <f t="shared" si="70"/>
        <v>0</v>
      </c>
      <c r="R284">
        <f t="shared" si="71"/>
        <v>0</v>
      </c>
      <c r="S284">
        <f t="shared" si="72"/>
        <v>0</v>
      </c>
      <c r="T284">
        <f t="shared" si="73"/>
        <v>0</v>
      </c>
    </row>
    <row r="285" spans="1:20" x14ac:dyDescent="0.25">
      <c r="A285" s="5"/>
      <c r="C285"/>
      <c r="D285"/>
      <c r="P285">
        <f t="shared" si="69"/>
        <v>0</v>
      </c>
      <c r="Q285">
        <f t="shared" si="70"/>
        <v>0</v>
      </c>
      <c r="R285">
        <f t="shared" si="71"/>
        <v>0</v>
      </c>
      <c r="S285">
        <f t="shared" si="72"/>
        <v>0</v>
      </c>
      <c r="T285">
        <f t="shared" si="73"/>
        <v>0</v>
      </c>
    </row>
    <row r="286" spans="1:20" x14ac:dyDescent="0.25">
      <c r="A286" s="5"/>
      <c r="C286"/>
      <c r="D286"/>
      <c r="P286">
        <f t="shared" si="69"/>
        <v>0</v>
      </c>
      <c r="Q286">
        <f t="shared" si="70"/>
        <v>0</v>
      </c>
      <c r="R286">
        <f t="shared" si="71"/>
        <v>0</v>
      </c>
      <c r="S286">
        <f t="shared" si="72"/>
        <v>0</v>
      </c>
      <c r="T286">
        <f t="shared" si="73"/>
        <v>0</v>
      </c>
    </row>
    <row r="287" spans="1:20" x14ac:dyDescent="0.25">
      <c r="A287" s="5"/>
      <c r="C287"/>
      <c r="D287"/>
      <c r="P287">
        <f t="shared" si="69"/>
        <v>0</v>
      </c>
      <c r="Q287">
        <f t="shared" si="70"/>
        <v>0</v>
      </c>
      <c r="R287">
        <f t="shared" si="71"/>
        <v>0</v>
      </c>
      <c r="S287">
        <f t="shared" si="72"/>
        <v>0</v>
      </c>
      <c r="T287">
        <f t="shared" si="73"/>
        <v>0</v>
      </c>
    </row>
    <row r="288" spans="1:20" x14ac:dyDescent="0.25">
      <c r="A288" s="5"/>
      <c r="C288"/>
      <c r="D288"/>
      <c r="P288">
        <f t="shared" si="69"/>
        <v>0</v>
      </c>
      <c r="Q288">
        <f t="shared" si="70"/>
        <v>0</v>
      </c>
      <c r="R288">
        <f t="shared" si="71"/>
        <v>0</v>
      </c>
      <c r="S288">
        <f t="shared" si="72"/>
        <v>0</v>
      </c>
      <c r="T288">
        <f t="shared" si="73"/>
        <v>0</v>
      </c>
    </row>
    <row r="289" spans="1:20" x14ac:dyDescent="0.25">
      <c r="A289" s="5"/>
      <c r="C289"/>
      <c r="D289"/>
      <c r="P289">
        <f t="shared" si="69"/>
        <v>0</v>
      </c>
      <c r="Q289">
        <f t="shared" si="70"/>
        <v>0</v>
      </c>
      <c r="R289">
        <f t="shared" si="71"/>
        <v>0</v>
      </c>
      <c r="S289">
        <f t="shared" si="72"/>
        <v>0</v>
      </c>
      <c r="T289">
        <f t="shared" si="73"/>
        <v>0</v>
      </c>
    </row>
    <row r="290" spans="1:20" x14ac:dyDescent="0.25">
      <c r="A290" s="5"/>
      <c r="C290"/>
      <c r="D290"/>
      <c r="P290">
        <f t="shared" si="69"/>
        <v>0</v>
      </c>
      <c r="Q290">
        <f t="shared" si="70"/>
        <v>0</v>
      </c>
      <c r="R290">
        <f t="shared" si="71"/>
        <v>0</v>
      </c>
      <c r="S290">
        <f t="shared" si="72"/>
        <v>0</v>
      </c>
      <c r="T290">
        <f t="shared" si="73"/>
        <v>0</v>
      </c>
    </row>
    <row r="291" spans="1:20" x14ac:dyDescent="0.25">
      <c r="A291" s="5"/>
      <c r="C291"/>
      <c r="D291"/>
      <c r="P291">
        <f t="shared" si="69"/>
        <v>0</v>
      </c>
      <c r="Q291">
        <f t="shared" si="70"/>
        <v>0</v>
      </c>
      <c r="R291">
        <f t="shared" si="71"/>
        <v>0</v>
      </c>
      <c r="S291">
        <f t="shared" si="72"/>
        <v>0</v>
      </c>
      <c r="T291">
        <f t="shared" si="73"/>
        <v>0</v>
      </c>
    </row>
    <row r="292" spans="1:20" x14ac:dyDescent="0.25">
      <c r="A292" s="5"/>
      <c r="C292"/>
      <c r="D292"/>
      <c r="P292">
        <f t="shared" si="69"/>
        <v>0</v>
      </c>
      <c r="Q292">
        <f t="shared" si="70"/>
        <v>0</v>
      </c>
      <c r="R292">
        <f t="shared" si="71"/>
        <v>0</v>
      </c>
      <c r="S292">
        <f t="shared" si="72"/>
        <v>0</v>
      </c>
      <c r="T292">
        <f t="shared" si="73"/>
        <v>0</v>
      </c>
    </row>
    <row r="293" spans="1:20" x14ac:dyDescent="0.25">
      <c r="A293" s="5"/>
      <c r="C293"/>
      <c r="D293"/>
      <c r="P293">
        <f t="shared" si="69"/>
        <v>0</v>
      </c>
      <c r="Q293">
        <f t="shared" si="70"/>
        <v>0</v>
      </c>
      <c r="R293">
        <f t="shared" si="71"/>
        <v>0</v>
      </c>
      <c r="S293">
        <f t="shared" si="72"/>
        <v>0</v>
      </c>
      <c r="T293">
        <f t="shared" si="73"/>
        <v>0</v>
      </c>
    </row>
    <row r="294" spans="1:20" x14ac:dyDescent="0.25">
      <c r="A294" s="5"/>
      <c r="C294"/>
      <c r="D294"/>
      <c r="P294">
        <f t="shared" si="69"/>
        <v>0</v>
      </c>
      <c r="Q294">
        <f t="shared" si="70"/>
        <v>0</v>
      </c>
      <c r="R294">
        <f t="shared" si="71"/>
        <v>0</v>
      </c>
      <c r="S294">
        <f t="shared" si="72"/>
        <v>0</v>
      </c>
      <c r="T294">
        <f t="shared" si="73"/>
        <v>0</v>
      </c>
    </row>
    <row r="295" spans="1:20" x14ac:dyDescent="0.25">
      <c r="A295" s="5"/>
      <c r="C295"/>
      <c r="D295"/>
      <c r="P295">
        <f t="shared" si="69"/>
        <v>0</v>
      </c>
      <c r="Q295">
        <f t="shared" si="70"/>
        <v>0</v>
      </c>
      <c r="R295">
        <f t="shared" si="71"/>
        <v>0</v>
      </c>
      <c r="S295">
        <f t="shared" si="72"/>
        <v>0</v>
      </c>
      <c r="T295">
        <f t="shared" si="73"/>
        <v>0</v>
      </c>
    </row>
    <row r="296" spans="1:20" x14ac:dyDescent="0.25">
      <c r="A296" s="5"/>
      <c r="C296"/>
      <c r="D296"/>
      <c r="P296">
        <f t="shared" si="69"/>
        <v>0</v>
      </c>
      <c r="Q296">
        <f t="shared" si="70"/>
        <v>0</v>
      </c>
      <c r="R296">
        <f t="shared" si="71"/>
        <v>0</v>
      </c>
      <c r="S296">
        <f t="shared" si="72"/>
        <v>0</v>
      </c>
      <c r="T296">
        <f t="shared" si="73"/>
        <v>0</v>
      </c>
    </row>
    <row r="297" spans="1:20" x14ac:dyDescent="0.25">
      <c r="A297" s="5"/>
      <c r="C297"/>
      <c r="D297"/>
      <c r="P297">
        <f t="shared" si="69"/>
        <v>0</v>
      </c>
      <c r="Q297">
        <f t="shared" si="70"/>
        <v>0</v>
      </c>
      <c r="R297">
        <f t="shared" si="71"/>
        <v>0</v>
      </c>
      <c r="S297">
        <f t="shared" si="72"/>
        <v>0</v>
      </c>
      <c r="T297">
        <f t="shared" si="73"/>
        <v>0</v>
      </c>
    </row>
    <row r="298" spans="1:20" x14ac:dyDescent="0.25">
      <c r="A298" s="5"/>
      <c r="C298"/>
      <c r="D298"/>
      <c r="P298">
        <f t="shared" si="69"/>
        <v>0</v>
      </c>
      <c r="Q298">
        <f t="shared" si="70"/>
        <v>0</v>
      </c>
      <c r="R298">
        <f t="shared" si="71"/>
        <v>0</v>
      </c>
      <c r="S298">
        <f t="shared" si="72"/>
        <v>0</v>
      </c>
      <c r="T298">
        <f t="shared" si="73"/>
        <v>0</v>
      </c>
    </row>
    <row r="299" spans="1:20" x14ac:dyDescent="0.25">
      <c r="A299" s="5"/>
      <c r="C299"/>
      <c r="D299"/>
      <c r="P299">
        <f t="shared" si="69"/>
        <v>0</v>
      </c>
      <c r="Q299">
        <f t="shared" si="70"/>
        <v>0</v>
      </c>
      <c r="R299">
        <f t="shared" si="71"/>
        <v>0</v>
      </c>
      <c r="S299">
        <f t="shared" si="72"/>
        <v>0</v>
      </c>
      <c r="T299">
        <f t="shared" si="73"/>
        <v>0</v>
      </c>
    </row>
    <row r="300" spans="1:20" x14ac:dyDescent="0.25">
      <c r="A300" s="5"/>
      <c r="C300"/>
      <c r="D300"/>
      <c r="P300">
        <f t="shared" si="69"/>
        <v>0</v>
      </c>
      <c r="Q300">
        <f t="shared" si="70"/>
        <v>0</v>
      </c>
      <c r="R300">
        <f t="shared" si="71"/>
        <v>0</v>
      </c>
      <c r="S300">
        <f t="shared" si="72"/>
        <v>0</v>
      </c>
      <c r="T300">
        <f t="shared" si="73"/>
        <v>0</v>
      </c>
    </row>
    <row r="301" spans="1:20" x14ac:dyDescent="0.25">
      <c r="A301" s="5"/>
      <c r="C301"/>
      <c r="D301"/>
      <c r="P301">
        <f t="shared" si="69"/>
        <v>0</v>
      </c>
      <c r="Q301">
        <f t="shared" si="70"/>
        <v>0</v>
      </c>
      <c r="R301">
        <f t="shared" si="71"/>
        <v>0</v>
      </c>
      <c r="S301">
        <f t="shared" si="72"/>
        <v>0</v>
      </c>
      <c r="T301">
        <f t="shared" si="73"/>
        <v>0</v>
      </c>
    </row>
    <row r="302" spans="1:20" x14ac:dyDescent="0.25">
      <c r="A302" s="5"/>
      <c r="C302"/>
      <c r="D302"/>
      <c r="P302">
        <f t="shared" si="69"/>
        <v>0</v>
      </c>
      <c r="Q302">
        <f t="shared" si="70"/>
        <v>0</v>
      </c>
      <c r="R302">
        <f t="shared" si="71"/>
        <v>0</v>
      </c>
      <c r="S302">
        <f t="shared" si="72"/>
        <v>0</v>
      </c>
      <c r="T302">
        <f t="shared" si="73"/>
        <v>0</v>
      </c>
    </row>
    <row r="303" spans="1:20" x14ac:dyDescent="0.25">
      <c r="A303" s="5"/>
      <c r="C303"/>
      <c r="D303"/>
      <c r="P303">
        <f t="shared" si="69"/>
        <v>0</v>
      </c>
      <c r="Q303">
        <f t="shared" si="70"/>
        <v>0</v>
      </c>
      <c r="R303">
        <f t="shared" si="71"/>
        <v>0</v>
      </c>
      <c r="S303">
        <f t="shared" si="72"/>
        <v>0</v>
      </c>
      <c r="T303">
        <f t="shared" si="73"/>
        <v>0</v>
      </c>
    </row>
    <row r="304" spans="1:20" x14ac:dyDescent="0.25">
      <c r="A304" s="5"/>
      <c r="C304"/>
      <c r="D304"/>
      <c r="P304">
        <f t="shared" si="69"/>
        <v>0</v>
      </c>
      <c r="Q304">
        <f t="shared" si="70"/>
        <v>0</v>
      </c>
      <c r="R304">
        <f t="shared" si="71"/>
        <v>0</v>
      </c>
      <c r="S304">
        <f t="shared" si="72"/>
        <v>0</v>
      </c>
      <c r="T304">
        <f t="shared" si="73"/>
        <v>0</v>
      </c>
    </row>
    <row r="305" spans="1:20" x14ac:dyDescent="0.25">
      <c r="A305" s="5"/>
      <c r="C305"/>
      <c r="D305"/>
      <c r="P305">
        <f t="shared" si="69"/>
        <v>0</v>
      </c>
      <c r="Q305">
        <f t="shared" si="70"/>
        <v>0</v>
      </c>
      <c r="R305">
        <f t="shared" si="71"/>
        <v>0</v>
      </c>
      <c r="S305">
        <f t="shared" si="72"/>
        <v>0</v>
      </c>
      <c r="T305">
        <f t="shared" si="73"/>
        <v>0</v>
      </c>
    </row>
    <row r="306" spans="1:20" x14ac:dyDescent="0.25">
      <c r="A306" s="5"/>
      <c r="C306"/>
      <c r="D306"/>
      <c r="P306">
        <f t="shared" si="69"/>
        <v>0</v>
      </c>
      <c r="Q306">
        <f t="shared" si="70"/>
        <v>0</v>
      </c>
      <c r="R306">
        <f t="shared" si="71"/>
        <v>0</v>
      </c>
      <c r="S306">
        <f t="shared" si="72"/>
        <v>0</v>
      </c>
      <c r="T306">
        <f t="shared" si="73"/>
        <v>0</v>
      </c>
    </row>
    <row r="307" spans="1:20" x14ac:dyDescent="0.25">
      <c r="A307" s="5"/>
      <c r="C307"/>
      <c r="D307"/>
      <c r="P307">
        <f t="shared" si="69"/>
        <v>0</v>
      </c>
      <c r="Q307">
        <f t="shared" si="70"/>
        <v>0</v>
      </c>
      <c r="R307">
        <f t="shared" si="71"/>
        <v>0</v>
      </c>
      <c r="S307">
        <f t="shared" si="72"/>
        <v>0</v>
      </c>
      <c r="T307">
        <f t="shared" si="73"/>
        <v>0</v>
      </c>
    </row>
    <row r="308" spans="1:20" x14ac:dyDescent="0.25">
      <c r="A308" s="5"/>
      <c r="C308"/>
      <c r="D308"/>
      <c r="P308">
        <f t="shared" si="69"/>
        <v>0</v>
      </c>
      <c r="Q308">
        <f t="shared" si="70"/>
        <v>0</v>
      </c>
      <c r="R308">
        <f t="shared" si="71"/>
        <v>0</v>
      </c>
      <c r="S308">
        <f t="shared" si="72"/>
        <v>0</v>
      </c>
      <c r="T308">
        <f t="shared" si="73"/>
        <v>0</v>
      </c>
    </row>
    <row r="309" spans="1:20" x14ac:dyDescent="0.25">
      <c r="A309" s="5"/>
      <c r="C309"/>
      <c r="D309"/>
      <c r="P309">
        <f t="shared" si="69"/>
        <v>0</v>
      </c>
      <c r="Q309">
        <f t="shared" si="70"/>
        <v>0</v>
      </c>
      <c r="R309">
        <f t="shared" si="71"/>
        <v>0</v>
      </c>
      <c r="S309">
        <f t="shared" si="72"/>
        <v>0</v>
      </c>
      <c r="T309">
        <f t="shared" si="73"/>
        <v>0</v>
      </c>
    </row>
    <row r="310" spans="1:20" x14ac:dyDescent="0.25">
      <c r="A310" s="5"/>
      <c r="C310"/>
      <c r="D310"/>
      <c r="P310">
        <f t="shared" si="69"/>
        <v>0</v>
      </c>
      <c r="Q310">
        <f t="shared" si="70"/>
        <v>0</v>
      </c>
      <c r="R310">
        <f t="shared" si="71"/>
        <v>0</v>
      </c>
      <c r="S310">
        <f t="shared" si="72"/>
        <v>0</v>
      </c>
      <c r="T310">
        <f t="shared" si="73"/>
        <v>0</v>
      </c>
    </row>
    <row r="311" spans="1:20" x14ac:dyDescent="0.25">
      <c r="A311" s="5"/>
      <c r="C311"/>
      <c r="D311"/>
      <c r="P311">
        <f t="shared" si="69"/>
        <v>0</v>
      </c>
      <c r="Q311">
        <f t="shared" si="70"/>
        <v>0</v>
      </c>
      <c r="R311">
        <f t="shared" si="71"/>
        <v>0</v>
      </c>
      <c r="S311">
        <f t="shared" si="72"/>
        <v>0</v>
      </c>
      <c r="T311">
        <f t="shared" si="73"/>
        <v>0</v>
      </c>
    </row>
    <row r="312" spans="1:20" x14ac:dyDescent="0.25">
      <c r="A312" s="5"/>
      <c r="C312"/>
      <c r="D312"/>
      <c r="P312">
        <f t="shared" si="69"/>
        <v>0</v>
      </c>
      <c r="Q312">
        <f t="shared" si="70"/>
        <v>0</v>
      </c>
      <c r="R312">
        <f t="shared" si="71"/>
        <v>0</v>
      </c>
      <c r="S312">
        <f t="shared" si="72"/>
        <v>0</v>
      </c>
      <c r="T312">
        <f t="shared" si="73"/>
        <v>0</v>
      </c>
    </row>
    <row r="313" spans="1:20" x14ac:dyDescent="0.25">
      <c r="A313" s="5"/>
      <c r="C313"/>
      <c r="D313"/>
      <c r="P313">
        <f t="shared" si="69"/>
        <v>0</v>
      </c>
      <c r="Q313">
        <f t="shared" si="70"/>
        <v>0</v>
      </c>
      <c r="R313">
        <f t="shared" si="71"/>
        <v>0</v>
      </c>
      <c r="S313">
        <f t="shared" si="72"/>
        <v>0</v>
      </c>
      <c r="T313">
        <f t="shared" si="73"/>
        <v>0</v>
      </c>
    </row>
    <row r="314" spans="1:20" x14ac:dyDescent="0.25">
      <c r="A314" s="5"/>
      <c r="C314"/>
      <c r="D314"/>
      <c r="P314">
        <f t="shared" si="69"/>
        <v>0</v>
      </c>
      <c r="Q314">
        <f t="shared" si="70"/>
        <v>0</v>
      </c>
      <c r="R314">
        <f t="shared" si="71"/>
        <v>0</v>
      </c>
      <c r="S314">
        <f t="shared" si="72"/>
        <v>0</v>
      </c>
      <c r="T314">
        <f t="shared" si="73"/>
        <v>0</v>
      </c>
    </row>
    <row r="315" spans="1:20" x14ac:dyDescent="0.25">
      <c r="A315" s="5"/>
      <c r="C315"/>
      <c r="D315"/>
      <c r="P315">
        <f t="shared" si="69"/>
        <v>0</v>
      </c>
      <c r="Q315">
        <f t="shared" si="70"/>
        <v>0</v>
      </c>
      <c r="R315">
        <f t="shared" si="71"/>
        <v>0</v>
      </c>
      <c r="S315">
        <f t="shared" si="72"/>
        <v>0</v>
      </c>
      <c r="T315">
        <f t="shared" si="73"/>
        <v>0</v>
      </c>
    </row>
    <row r="316" spans="1:20" x14ac:dyDescent="0.25">
      <c r="A316" s="5"/>
      <c r="C316"/>
      <c r="D316"/>
      <c r="P316">
        <f t="shared" si="69"/>
        <v>0</v>
      </c>
      <c r="Q316">
        <f t="shared" si="70"/>
        <v>0</v>
      </c>
      <c r="R316">
        <f t="shared" si="71"/>
        <v>0</v>
      </c>
      <c r="S316">
        <f t="shared" si="72"/>
        <v>0</v>
      </c>
      <c r="T316">
        <f t="shared" si="73"/>
        <v>0</v>
      </c>
    </row>
    <row r="317" spans="1:20" x14ac:dyDescent="0.25">
      <c r="A317" s="5"/>
      <c r="C317"/>
      <c r="D317"/>
      <c r="P317">
        <f t="shared" si="69"/>
        <v>0</v>
      </c>
      <c r="Q317">
        <f t="shared" si="70"/>
        <v>0</v>
      </c>
      <c r="R317">
        <f t="shared" si="71"/>
        <v>0</v>
      </c>
      <c r="S317">
        <f t="shared" si="72"/>
        <v>0</v>
      </c>
      <c r="T317">
        <f t="shared" si="73"/>
        <v>0</v>
      </c>
    </row>
    <row r="318" spans="1:20" x14ac:dyDescent="0.25">
      <c r="A318" s="5"/>
      <c r="C318"/>
      <c r="D318"/>
      <c r="P318">
        <f t="shared" si="69"/>
        <v>0</v>
      </c>
      <c r="Q318">
        <f t="shared" si="70"/>
        <v>0</v>
      </c>
      <c r="R318">
        <f t="shared" si="71"/>
        <v>0</v>
      </c>
      <c r="S318">
        <f t="shared" si="72"/>
        <v>0</v>
      </c>
      <c r="T318">
        <f t="shared" si="73"/>
        <v>0</v>
      </c>
    </row>
    <row r="319" spans="1:20" x14ac:dyDescent="0.25">
      <c r="A319" s="5"/>
      <c r="C319"/>
      <c r="D319"/>
      <c r="P319">
        <f t="shared" si="69"/>
        <v>0</v>
      </c>
      <c r="Q319">
        <f t="shared" si="70"/>
        <v>0</v>
      </c>
      <c r="R319">
        <f t="shared" si="71"/>
        <v>0</v>
      </c>
      <c r="S319">
        <f t="shared" si="72"/>
        <v>0</v>
      </c>
      <c r="T319">
        <f t="shared" si="73"/>
        <v>0</v>
      </c>
    </row>
    <row r="320" spans="1:20" x14ac:dyDescent="0.25">
      <c r="A320" s="5"/>
      <c r="C320"/>
      <c r="D320"/>
      <c r="P320">
        <f t="shared" si="69"/>
        <v>0</v>
      </c>
      <c r="Q320">
        <f t="shared" si="70"/>
        <v>0</v>
      </c>
      <c r="R320">
        <f t="shared" si="71"/>
        <v>0</v>
      </c>
      <c r="S320">
        <f t="shared" si="72"/>
        <v>0</v>
      </c>
      <c r="T320">
        <f t="shared" si="73"/>
        <v>0</v>
      </c>
    </row>
    <row r="321" spans="1:20" x14ac:dyDescent="0.25">
      <c r="A321" s="5"/>
      <c r="C321"/>
      <c r="D321"/>
      <c r="P321">
        <f t="shared" si="69"/>
        <v>0</v>
      </c>
      <c r="Q321">
        <f t="shared" si="70"/>
        <v>0</v>
      </c>
      <c r="R321">
        <f t="shared" si="71"/>
        <v>0</v>
      </c>
      <c r="S321">
        <f t="shared" si="72"/>
        <v>0</v>
      </c>
      <c r="T321">
        <f t="shared" si="73"/>
        <v>0</v>
      </c>
    </row>
    <row r="322" spans="1:20" x14ac:dyDescent="0.25">
      <c r="A322" s="5"/>
      <c r="C322"/>
      <c r="D322"/>
      <c r="P322">
        <f t="shared" si="69"/>
        <v>0</v>
      </c>
      <c r="Q322">
        <f t="shared" si="70"/>
        <v>0</v>
      </c>
      <c r="R322">
        <f t="shared" si="71"/>
        <v>0</v>
      </c>
      <c r="S322">
        <f t="shared" si="72"/>
        <v>0</v>
      </c>
      <c r="T322">
        <f t="shared" si="73"/>
        <v>0</v>
      </c>
    </row>
    <row r="323" spans="1:20" x14ac:dyDescent="0.25">
      <c r="A323" s="5"/>
      <c r="C323"/>
      <c r="D323"/>
      <c r="P323">
        <f t="shared" si="69"/>
        <v>0</v>
      </c>
      <c r="Q323">
        <f t="shared" si="70"/>
        <v>0</v>
      </c>
      <c r="R323">
        <f t="shared" si="71"/>
        <v>0</v>
      </c>
      <c r="S323">
        <f t="shared" si="72"/>
        <v>0</v>
      </c>
      <c r="T323">
        <f t="shared" si="73"/>
        <v>0</v>
      </c>
    </row>
    <row r="324" spans="1:20" x14ac:dyDescent="0.25">
      <c r="A324" s="5"/>
      <c r="C324"/>
      <c r="D324"/>
      <c r="P324">
        <f t="shared" si="69"/>
        <v>0</v>
      </c>
      <c r="Q324">
        <f t="shared" si="70"/>
        <v>0</v>
      </c>
      <c r="R324">
        <f t="shared" si="71"/>
        <v>0</v>
      </c>
      <c r="S324">
        <f t="shared" si="72"/>
        <v>0</v>
      </c>
      <c r="T324">
        <f t="shared" si="73"/>
        <v>0</v>
      </c>
    </row>
    <row r="325" spans="1:20" x14ac:dyDescent="0.25">
      <c r="A325" s="5"/>
      <c r="C325"/>
      <c r="D325"/>
      <c r="P325">
        <f t="shared" si="69"/>
        <v>0</v>
      </c>
      <c r="Q325">
        <f t="shared" si="70"/>
        <v>0</v>
      </c>
      <c r="R325">
        <f t="shared" si="71"/>
        <v>0</v>
      </c>
      <c r="S325">
        <f t="shared" si="72"/>
        <v>0</v>
      </c>
      <c r="T325">
        <f t="shared" si="73"/>
        <v>0</v>
      </c>
    </row>
    <row r="326" spans="1:20" x14ac:dyDescent="0.25">
      <c r="A326" s="5"/>
      <c r="C326"/>
      <c r="D326"/>
      <c r="P326">
        <f t="shared" si="69"/>
        <v>0</v>
      </c>
      <c r="Q326">
        <f t="shared" si="70"/>
        <v>0</v>
      </c>
      <c r="R326">
        <f t="shared" si="71"/>
        <v>0</v>
      </c>
      <c r="S326">
        <f t="shared" si="72"/>
        <v>0</v>
      </c>
      <c r="T326">
        <f t="shared" si="73"/>
        <v>0</v>
      </c>
    </row>
    <row r="327" spans="1:20" x14ac:dyDescent="0.25">
      <c r="A327" s="5"/>
      <c r="C327"/>
      <c r="D327"/>
      <c r="P327">
        <f t="shared" si="69"/>
        <v>0</v>
      </c>
      <c r="Q327">
        <f t="shared" si="70"/>
        <v>0</v>
      </c>
      <c r="R327">
        <f t="shared" si="71"/>
        <v>0</v>
      </c>
      <c r="S327">
        <f t="shared" si="72"/>
        <v>0</v>
      </c>
      <c r="T327">
        <f t="shared" si="73"/>
        <v>0</v>
      </c>
    </row>
    <row r="328" spans="1:20" x14ac:dyDescent="0.25">
      <c r="A328" s="5"/>
      <c r="C328"/>
      <c r="D328"/>
      <c r="P328">
        <f t="shared" si="69"/>
        <v>0</v>
      </c>
      <c r="Q328">
        <f t="shared" si="70"/>
        <v>0</v>
      </c>
      <c r="R328">
        <f t="shared" si="71"/>
        <v>0</v>
      </c>
      <c r="S328">
        <f t="shared" si="72"/>
        <v>0</v>
      </c>
      <c r="T328">
        <f t="shared" si="73"/>
        <v>0</v>
      </c>
    </row>
    <row r="329" spans="1:20" x14ac:dyDescent="0.25">
      <c r="A329" s="5"/>
      <c r="C329"/>
      <c r="D329"/>
      <c r="P329">
        <f t="shared" si="69"/>
        <v>0</v>
      </c>
      <c r="Q329">
        <f t="shared" si="70"/>
        <v>0</v>
      </c>
      <c r="R329">
        <f t="shared" si="71"/>
        <v>0</v>
      </c>
      <c r="S329">
        <f t="shared" si="72"/>
        <v>0</v>
      </c>
      <c r="T329">
        <f t="shared" si="73"/>
        <v>0</v>
      </c>
    </row>
    <row r="330" spans="1:20" x14ac:dyDescent="0.25">
      <c r="A330" s="5"/>
      <c r="C330"/>
      <c r="D330"/>
      <c r="P330">
        <f t="shared" si="69"/>
        <v>0</v>
      </c>
      <c r="Q330">
        <f t="shared" si="70"/>
        <v>0</v>
      </c>
      <c r="R330">
        <f t="shared" si="71"/>
        <v>0</v>
      </c>
      <c r="S330">
        <f t="shared" si="72"/>
        <v>0</v>
      </c>
      <c r="T330">
        <f t="shared" si="73"/>
        <v>0</v>
      </c>
    </row>
    <row r="331" spans="1:20" x14ac:dyDescent="0.25">
      <c r="A331" s="5"/>
      <c r="C331"/>
      <c r="D331"/>
      <c r="P331">
        <f t="shared" si="69"/>
        <v>0</v>
      </c>
      <c r="Q331">
        <f t="shared" si="70"/>
        <v>0</v>
      </c>
      <c r="R331">
        <f t="shared" si="71"/>
        <v>0</v>
      </c>
      <c r="S331">
        <f t="shared" si="72"/>
        <v>0</v>
      </c>
      <c r="T331">
        <f t="shared" si="73"/>
        <v>0</v>
      </c>
    </row>
    <row r="332" spans="1:20" x14ac:dyDescent="0.25">
      <c r="A332" s="5"/>
      <c r="C332"/>
      <c r="D332"/>
      <c r="P332">
        <f t="shared" si="69"/>
        <v>0</v>
      </c>
      <c r="Q332">
        <f t="shared" si="70"/>
        <v>0</v>
      </c>
      <c r="R332">
        <f t="shared" si="71"/>
        <v>0</v>
      </c>
      <c r="S332">
        <f t="shared" si="72"/>
        <v>0</v>
      </c>
      <c r="T332">
        <f t="shared" si="73"/>
        <v>0</v>
      </c>
    </row>
    <row r="333" spans="1:20" x14ac:dyDescent="0.25">
      <c r="A333" s="5"/>
      <c r="C333"/>
      <c r="D333"/>
      <c r="P333">
        <f t="shared" si="69"/>
        <v>0</v>
      </c>
      <c r="Q333">
        <f t="shared" si="70"/>
        <v>0</v>
      </c>
      <c r="R333">
        <f t="shared" si="71"/>
        <v>0</v>
      </c>
      <c r="S333">
        <f t="shared" si="72"/>
        <v>0</v>
      </c>
      <c r="T333">
        <f t="shared" si="73"/>
        <v>0</v>
      </c>
    </row>
    <row r="334" spans="1:20" x14ac:dyDescent="0.25">
      <c r="A334" s="5"/>
      <c r="C334"/>
      <c r="D334"/>
      <c r="P334">
        <f t="shared" si="69"/>
        <v>0</v>
      </c>
      <c r="Q334">
        <f t="shared" si="70"/>
        <v>0</v>
      </c>
      <c r="R334">
        <f t="shared" si="71"/>
        <v>0</v>
      </c>
      <c r="S334">
        <f t="shared" si="72"/>
        <v>0</v>
      </c>
      <c r="T334">
        <f t="shared" si="73"/>
        <v>0</v>
      </c>
    </row>
    <row r="335" spans="1:20" x14ac:dyDescent="0.25">
      <c r="A335" s="5"/>
      <c r="C335"/>
      <c r="D335"/>
      <c r="P335">
        <f t="shared" si="69"/>
        <v>0</v>
      </c>
      <c r="Q335">
        <f t="shared" si="70"/>
        <v>0</v>
      </c>
      <c r="R335">
        <f t="shared" si="71"/>
        <v>0</v>
      </c>
      <c r="S335">
        <f t="shared" si="72"/>
        <v>0</v>
      </c>
      <c r="T335">
        <f t="shared" si="73"/>
        <v>0</v>
      </c>
    </row>
    <row r="336" spans="1:20" x14ac:dyDescent="0.25">
      <c r="A336" s="5"/>
      <c r="C336"/>
      <c r="D336"/>
      <c r="P336">
        <f t="shared" ref="P336:P399" si="74">IF(C336=D336,0,((E336-D336)-(C336-E336))/(C336-D336))</f>
        <v>0</v>
      </c>
      <c r="Q336">
        <f t="shared" ref="Q336:Q399" si="75">F336*P336</f>
        <v>0</v>
      </c>
      <c r="R336">
        <f t="shared" ref="R336:R399" si="76">R337+Q336</f>
        <v>0</v>
      </c>
      <c r="S336">
        <f t="shared" ref="S336:S399" si="77">R336/100000</f>
        <v>0</v>
      </c>
      <c r="T336">
        <f t="shared" ref="T336:T399" si="78">S336/1000</f>
        <v>0</v>
      </c>
    </row>
    <row r="337" spans="1:20" x14ac:dyDescent="0.25">
      <c r="A337" s="5"/>
      <c r="C337"/>
      <c r="D337"/>
      <c r="P337">
        <f t="shared" si="74"/>
        <v>0</v>
      </c>
      <c r="Q337">
        <f t="shared" si="75"/>
        <v>0</v>
      </c>
      <c r="R337">
        <f t="shared" si="76"/>
        <v>0</v>
      </c>
      <c r="S337">
        <f t="shared" si="77"/>
        <v>0</v>
      </c>
      <c r="T337">
        <f t="shared" si="78"/>
        <v>0</v>
      </c>
    </row>
    <row r="338" spans="1:20" x14ac:dyDescent="0.25">
      <c r="A338" s="5"/>
      <c r="C338"/>
      <c r="D338"/>
      <c r="P338">
        <f t="shared" si="74"/>
        <v>0</v>
      </c>
      <c r="Q338">
        <f t="shared" si="75"/>
        <v>0</v>
      </c>
      <c r="R338">
        <f t="shared" si="76"/>
        <v>0</v>
      </c>
      <c r="S338">
        <f t="shared" si="77"/>
        <v>0</v>
      </c>
      <c r="T338">
        <f t="shared" si="78"/>
        <v>0</v>
      </c>
    </row>
    <row r="339" spans="1:20" x14ac:dyDescent="0.25">
      <c r="A339" s="5"/>
      <c r="C339"/>
      <c r="D339"/>
      <c r="P339">
        <f t="shared" si="74"/>
        <v>0</v>
      </c>
      <c r="Q339">
        <f t="shared" si="75"/>
        <v>0</v>
      </c>
      <c r="R339">
        <f t="shared" si="76"/>
        <v>0</v>
      </c>
      <c r="S339">
        <f t="shared" si="77"/>
        <v>0</v>
      </c>
      <c r="T339">
        <f t="shared" si="78"/>
        <v>0</v>
      </c>
    </row>
    <row r="340" spans="1:20" x14ac:dyDescent="0.25">
      <c r="A340" s="5"/>
      <c r="C340"/>
      <c r="D340"/>
      <c r="P340">
        <f t="shared" si="74"/>
        <v>0</v>
      </c>
      <c r="Q340">
        <f t="shared" si="75"/>
        <v>0</v>
      </c>
      <c r="R340">
        <f t="shared" si="76"/>
        <v>0</v>
      </c>
      <c r="S340">
        <f t="shared" si="77"/>
        <v>0</v>
      </c>
      <c r="T340">
        <f t="shared" si="78"/>
        <v>0</v>
      </c>
    </row>
    <row r="341" spans="1:20" x14ac:dyDescent="0.25">
      <c r="A341" s="5"/>
      <c r="C341"/>
      <c r="D341"/>
      <c r="P341">
        <f t="shared" si="74"/>
        <v>0</v>
      </c>
      <c r="Q341">
        <f t="shared" si="75"/>
        <v>0</v>
      </c>
      <c r="R341">
        <f t="shared" si="76"/>
        <v>0</v>
      </c>
      <c r="S341">
        <f t="shared" si="77"/>
        <v>0</v>
      </c>
      <c r="T341">
        <f t="shared" si="78"/>
        <v>0</v>
      </c>
    </row>
    <row r="342" spans="1:20" x14ac:dyDescent="0.25">
      <c r="A342" s="5"/>
      <c r="C342"/>
      <c r="D342"/>
      <c r="P342">
        <f t="shared" si="74"/>
        <v>0</v>
      </c>
      <c r="Q342">
        <f t="shared" si="75"/>
        <v>0</v>
      </c>
      <c r="R342">
        <f t="shared" si="76"/>
        <v>0</v>
      </c>
      <c r="S342">
        <f t="shared" si="77"/>
        <v>0</v>
      </c>
      <c r="T342">
        <f t="shared" si="78"/>
        <v>0</v>
      </c>
    </row>
    <row r="343" spans="1:20" x14ac:dyDescent="0.25">
      <c r="A343" s="5"/>
      <c r="C343"/>
      <c r="D343"/>
      <c r="P343">
        <f t="shared" si="74"/>
        <v>0</v>
      </c>
      <c r="Q343">
        <f t="shared" si="75"/>
        <v>0</v>
      </c>
      <c r="R343">
        <f t="shared" si="76"/>
        <v>0</v>
      </c>
      <c r="S343">
        <f t="shared" si="77"/>
        <v>0</v>
      </c>
      <c r="T343">
        <f t="shared" si="78"/>
        <v>0</v>
      </c>
    </row>
    <row r="344" spans="1:20" x14ac:dyDescent="0.25">
      <c r="A344" s="5"/>
      <c r="C344"/>
      <c r="D344"/>
      <c r="P344">
        <f t="shared" si="74"/>
        <v>0</v>
      </c>
      <c r="Q344">
        <f t="shared" si="75"/>
        <v>0</v>
      </c>
      <c r="R344">
        <f t="shared" si="76"/>
        <v>0</v>
      </c>
      <c r="S344">
        <f t="shared" si="77"/>
        <v>0</v>
      </c>
      <c r="T344">
        <f t="shared" si="78"/>
        <v>0</v>
      </c>
    </row>
    <row r="345" spans="1:20" x14ac:dyDescent="0.25">
      <c r="A345" s="5"/>
      <c r="C345"/>
      <c r="D345"/>
      <c r="P345">
        <f t="shared" si="74"/>
        <v>0</v>
      </c>
      <c r="Q345">
        <f t="shared" si="75"/>
        <v>0</v>
      </c>
      <c r="R345">
        <f t="shared" si="76"/>
        <v>0</v>
      </c>
      <c r="S345">
        <f t="shared" si="77"/>
        <v>0</v>
      </c>
      <c r="T345">
        <f t="shared" si="78"/>
        <v>0</v>
      </c>
    </row>
    <row r="346" spans="1:20" x14ac:dyDescent="0.25">
      <c r="A346" s="5"/>
      <c r="C346"/>
      <c r="D346"/>
      <c r="P346">
        <f t="shared" si="74"/>
        <v>0</v>
      </c>
      <c r="Q346">
        <f t="shared" si="75"/>
        <v>0</v>
      </c>
      <c r="R346">
        <f t="shared" si="76"/>
        <v>0</v>
      </c>
      <c r="S346">
        <f t="shared" si="77"/>
        <v>0</v>
      </c>
      <c r="T346">
        <f t="shared" si="78"/>
        <v>0</v>
      </c>
    </row>
    <row r="347" spans="1:20" x14ac:dyDescent="0.25">
      <c r="A347" s="5"/>
      <c r="C347"/>
      <c r="D347"/>
      <c r="P347">
        <f t="shared" si="74"/>
        <v>0</v>
      </c>
      <c r="Q347">
        <f t="shared" si="75"/>
        <v>0</v>
      </c>
      <c r="R347">
        <f t="shared" si="76"/>
        <v>0</v>
      </c>
      <c r="S347">
        <f t="shared" si="77"/>
        <v>0</v>
      </c>
      <c r="T347">
        <f t="shared" si="78"/>
        <v>0</v>
      </c>
    </row>
    <row r="348" spans="1:20" x14ac:dyDescent="0.25">
      <c r="A348" s="5"/>
      <c r="C348"/>
      <c r="D348"/>
      <c r="P348">
        <f t="shared" si="74"/>
        <v>0</v>
      </c>
      <c r="Q348">
        <f t="shared" si="75"/>
        <v>0</v>
      </c>
      <c r="R348">
        <f t="shared" si="76"/>
        <v>0</v>
      </c>
      <c r="S348">
        <f t="shared" si="77"/>
        <v>0</v>
      </c>
      <c r="T348">
        <f t="shared" si="78"/>
        <v>0</v>
      </c>
    </row>
    <row r="349" spans="1:20" x14ac:dyDescent="0.25">
      <c r="A349" s="5"/>
      <c r="C349"/>
      <c r="D349"/>
      <c r="P349">
        <f t="shared" si="74"/>
        <v>0</v>
      </c>
      <c r="Q349">
        <f t="shared" si="75"/>
        <v>0</v>
      </c>
      <c r="R349">
        <f t="shared" si="76"/>
        <v>0</v>
      </c>
      <c r="S349">
        <f t="shared" si="77"/>
        <v>0</v>
      </c>
      <c r="T349">
        <f t="shared" si="78"/>
        <v>0</v>
      </c>
    </row>
    <row r="350" spans="1:20" x14ac:dyDescent="0.25">
      <c r="A350" s="5"/>
      <c r="C350"/>
      <c r="D350"/>
      <c r="P350">
        <f t="shared" si="74"/>
        <v>0</v>
      </c>
      <c r="Q350">
        <f t="shared" si="75"/>
        <v>0</v>
      </c>
      <c r="R350">
        <f t="shared" si="76"/>
        <v>0</v>
      </c>
      <c r="S350">
        <f t="shared" si="77"/>
        <v>0</v>
      </c>
      <c r="T350">
        <f t="shared" si="78"/>
        <v>0</v>
      </c>
    </row>
    <row r="351" spans="1:20" x14ac:dyDescent="0.25">
      <c r="A351" s="5"/>
      <c r="C351"/>
      <c r="D351"/>
      <c r="P351">
        <f t="shared" si="74"/>
        <v>0</v>
      </c>
      <c r="Q351">
        <f t="shared" si="75"/>
        <v>0</v>
      </c>
      <c r="R351">
        <f t="shared" si="76"/>
        <v>0</v>
      </c>
      <c r="S351">
        <f t="shared" si="77"/>
        <v>0</v>
      </c>
      <c r="T351">
        <f t="shared" si="78"/>
        <v>0</v>
      </c>
    </row>
    <row r="352" spans="1:20" x14ac:dyDescent="0.25">
      <c r="A352" s="5"/>
      <c r="C352"/>
      <c r="D352"/>
      <c r="P352">
        <f t="shared" si="74"/>
        <v>0</v>
      </c>
      <c r="Q352">
        <f t="shared" si="75"/>
        <v>0</v>
      </c>
      <c r="R352">
        <f t="shared" si="76"/>
        <v>0</v>
      </c>
      <c r="S352">
        <f t="shared" si="77"/>
        <v>0</v>
      </c>
      <c r="T352">
        <f t="shared" si="78"/>
        <v>0</v>
      </c>
    </row>
    <row r="353" spans="1:20" x14ac:dyDescent="0.25">
      <c r="A353" s="5"/>
      <c r="C353"/>
      <c r="D353"/>
      <c r="P353">
        <f t="shared" si="74"/>
        <v>0</v>
      </c>
      <c r="Q353">
        <f t="shared" si="75"/>
        <v>0</v>
      </c>
      <c r="R353">
        <f t="shared" si="76"/>
        <v>0</v>
      </c>
      <c r="S353">
        <f t="shared" si="77"/>
        <v>0</v>
      </c>
      <c r="T353">
        <f t="shared" si="78"/>
        <v>0</v>
      </c>
    </row>
    <row r="354" spans="1:20" x14ac:dyDescent="0.25">
      <c r="A354" s="5"/>
      <c r="C354"/>
      <c r="D354"/>
      <c r="P354">
        <f t="shared" si="74"/>
        <v>0</v>
      </c>
      <c r="Q354">
        <f t="shared" si="75"/>
        <v>0</v>
      </c>
      <c r="R354">
        <f t="shared" si="76"/>
        <v>0</v>
      </c>
      <c r="S354">
        <f t="shared" si="77"/>
        <v>0</v>
      </c>
      <c r="T354">
        <f t="shared" si="78"/>
        <v>0</v>
      </c>
    </row>
    <row r="355" spans="1:20" x14ac:dyDescent="0.25">
      <c r="A355" s="5"/>
      <c r="C355"/>
      <c r="D355"/>
      <c r="P355">
        <f t="shared" si="74"/>
        <v>0</v>
      </c>
      <c r="Q355">
        <f t="shared" si="75"/>
        <v>0</v>
      </c>
      <c r="R355">
        <f t="shared" si="76"/>
        <v>0</v>
      </c>
      <c r="S355">
        <f t="shared" si="77"/>
        <v>0</v>
      </c>
      <c r="T355">
        <f t="shared" si="78"/>
        <v>0</v>
      </c>
    </row>
    <row r="356" spans="1:20" x14ac:dyDescent="0.25">
      <c r="A356" s="5"/>
      <c r="C356"/>
      <c r="D356"/>
      <c r="P356">
        <f t="shared" si="74"/>
        <v>0</v>
      </c>
      <c r="Q356">
        <f t="shared" si="75"/>
        <v>0</v>
      </c>
      <c r="R356">
        <f t="shared" si="76"/>
        <v>0</v>
      </c>
      <c r="S356">
        <f t="shared" si="77"/>
        <v>0</v>
      </c>
      <c r="T356">
        <f t="shared" si="78"/>
        <v>0</v>
      </c>
    </row>
    <row r="357" spans="1:20" x14ac:dyDescent="0.25">
      <c r="A357" s="5"/>
      <c r="C357"/>
      <c r="D357"/>
      <c r="P357">
        <f t="shared" si="74"/>
        <v>0</v>
      </c>
      <c r="Q357">
        <f t="shared" si="75"/>
        <v>0</v>
      </c>
      <c r="R357">
        <f t="shared" si="76"/>
        <v>0</v>
      </c>
      <c r="S357">
        <f t="shared" si="77"/>
        <v>0</v>
      </c>
      <c r="T357">
        <f t="shared" si="78"/>
        <v>0</v>
      </c>
    </row>
    <row r="358" spans="1:20" x14ac:dyDescent="0.25">
      <c r="A358" s="5"/>
      <c r="C358"/>
      <c r="D358"/>
      <c r="P358">
        <f t="shared" si="74"/>
        <v>0</v>
      </c>
      <c r="Q358">
        <f t="shared" si="75"/>
        <v>0</v>
      </c>
      <c r="R358">
        <f t="shared" si="76"/>
        <v>0</v>
      </c>
      <c r="S358">
        <f t="shared" si="77"/>
        <v>0</v>
      </c>
      <c r="T358">
        <f t="shared" si="78"/>
        <v>0</v>
      </c>
    </row>
    <row r="359" spans="1:20" x14ac:dyDescent="0.25">
      <c r="A359" s="5"/>
      <c r="C359"/>
      <c r="D359"/>
      <c r="P359">
        <f t="shared" si="74"/>
        <v>0</v>
      </c>
      <c r="Q359">
        <f t="shared" si="75"/>
        <v>0</v>
      </c>
      <c r="R359">
        <f t="shared" si="76"/>
        <v>0</v>
      </c>
      <c r="S359">
        <f t="shared" si="77"/>
        <v>0</v>
      </c>
      <c r="T359">
        <f t="shared" si="78"/>
        <v>0</v>
      </c>
    </row>
    <row r="360" spans="1:20" x14ac:dyDescent="0.25">
      <c r="A360" s="5"/>
      <c r="C360"/>
      <c r="D360"/>
      <c r="P360">
        <f t="shared" si="74"/>
        <v>0</v>
      </c>
      <c r="Q360">
        <f t="shared" si="75"/>
        <v>0</v>
      </c>
      <c r="R360">
        <f t="shared" si="76"/>
        <v>0</v>
      </c>
      <c r="S360">
        <f t="shared" si="77"/>
        <v>0</v>
      </c>
      <c r="T360">
        <f t="shared" si="78"/>
        <v>0</v>
      </c>
    </row>
    <row r="361" spans="1:20" x14ac:dyDescent="0.25">
      <c r="A361" s="5"/>
      <c r="C361"/>
      <c r="D361"/>
      <c r="P361">
        <f t="shared" si="74"/>
        <v>0</v>
      </c>
      <c r="Q361">
        <f t="shared" si="75"/>
        <v>0</v>
      </c>
      <c r="R361">
        <f t="shared" si="76"/>
        <v>0</v>
      </c>
      <c r="S361">
        <f t="shared" si="77"/>
        <v>0</v>
      </c>
      <c r="T361">
        <f t="shared" si="78"/>
        <v>0</v>
      </c>
    </row>
    <row r="362" spans="1:20" x14ac:dyDescent="0.25">
      <c r="A362" s="5"/>
      <c r="C362"/>
      <c r="D362"/>
      <c r="P362">
        <f t="shared" si="74"/>
        <v>0</v>
      </c>
      <c r="Q362">
        <f t="shared" si="75"/>
        <v>0</v>
      </c>
      <c r="R362">
        <f t="shared" si="76"/>
        <v>0</v>
      </c>
      <c r="S362">
        <f t="shared" si="77"/>
        <v>0</v>
      </c>
      <c r="T362">
        <f t="shared" si="78"/>
        <v>0</v>
      </c>
    </row>
    <row r="363" spans="1:20" x14ac:dyDescent="0.25">
      <c r="A363" s="5"/>
      <c r="C363"/>
      <c r="D363"/>
      <c r="P363">
        <f t="shared" si="74"/>
        <v>0</v>
      </c>
      <c r="Q363">
        <f t="shared" si="75"/>
        <v>0</v>
      </c>
      <c r="R363">
        <f t="shared" si="76"/>
        <v>0</v>
      </c>
      <c r="S363">
        <f t="shared" si="77"/>
        <v>0</v>
      </c>
      <c r="T363">
        <f t="shared" si="78"/>
        <v>0</v>
      </c>
    </row>
    <row r="364" spans="1:20" x14ac:dyDescent="0.25">
      <c r="A364" s="5"/>
      <c r="C364"/>
      <c r="D364"/>
      <c r="P364">
        <f t="shared" si="74"/>
        <v>0</v>
      </c>
      <c r="Q364">
        <f t="shared" si="75"/>
        <v>0</v>
      </c>
      <c r="R364">
        <f t="shared" si="76"/>
        <v>0</v>
      </c>
      <c r="S364">
        <f t="shared" si="77"/>
        <v>0</v>
      </c>
      <c r="T364">
        <f t="shared" si="78"/>
        <v>0</v>
      </c>
    </row>
    <row r="365" spans="1:20" x14ac:dyDescent="0.25">
      <c r="A365" s="5"/>
      <c r="C365"/>
      <c r="D365"/>
      <c r="P365">
        <f t="shared" si="74"/>
        <v>0</v>
      </c>
      <c r="Q365">
        <f t="shared" si="75"/>
        <v>0</v>
      </c>
      <c r="R365">
        <f t="shared" si="76"/>
        <v>0</v>
      </c>
      <c r="S365">
        <f t="shared" si="77"/>
        <v>0</v>
      </c>
      <c r="T365">
        <f t="shared" si="78"/>
        <v>0</v>
      </c>
    </row>
    <row r="366" spans="1:20" x14ac:dyDescent="0.25">
      <c r="A366" s="5"/>
      <c r="C366"/>
      <c r="D366"/>
      <c r="P366">
        <f t="shared" si="74"/>
        <v>0</v>
      </c>
      <c r="Q366">
        <f t="shared" si="75"/>
        <v>0</v>
      </c>
      <c r="R366">
        <f t="shared" si="76"/>
        <v>0</v>
      </c>
      <c r="S366">
        <f t="shared" si="77"/>
        <v>0</v>
      </c>
      <c r="T366">
        <f t="shared" si="78"/>
        <v>0</v>
      </c>
    </row>
    <row r="367" spans="1:20" x14ac:dyDescent="0.25">
      <c r="A367" s="5"/>
      <c r="P367">
        <f t="shared" si="74"/>
        <v>0</v>
      </c>
      <c r="Q367">
        <f t="shared" si="75"/>
        <v>0</v>
      </c>
      <c r="R367">
        <f t="shared" si="76"/>
        <v>0</v>
      </c>
      <c r="S367">
        <f t="shared" si="77"/>
        <v>0</v>
      </c>
      <c r="T367">
        <f t="shared" si="78"/>
        <v>0</v>
      </c>
    </row>
    <row r="368" spans="1:20" x14ac:dyDescent="0.25">
      <c r="A368" s="5"/>
      <c r="P368">
        <f t="shared" si="74"/>
        <v>0</v>
      </c>
      <c r="Q368">
        <f t="shared" si="75"/>
        <v>0</v>
      </c>
      <c r="R368">
        <f t="shared" si="76"/>
        <v>0</v>
      </c>
      <c r="S368">
        <f t="shared" si="77"/>
        <v>0</v>
      </c>
      <c r="T368">
        <f t="shared" si="78"/>
        <v>0</v>
      </c>
    </row>
    <row r="369" spans="1:104" x14ac:dyDescent="0.25">
      <c r="A369" s="5"/>
      <c r="P369">
        <f t="shared" si="74"/>
        <v>0</v>
      </c>
      <c r="Q369">
        <f t="shared" si="75"/>
        <v>0</v>
      </c>
      <c r="R369">
        <f t="shared" si="76"/>
        <v>0</v>
      </c>
      <c r="S369">
        <f t="shared" si="77"/>
        <v>0</v>
      </c>
      <c r="T369">
        <f t="shared" si="78"/>
        <v>0</v>
      </c>
    </row>
    <row r="370" spans="1:104" x14ac:dyDescent="0.25">
      <c r="A370" s="5"/>
      <c r="P370">
        <f t="shared" si="74"/>
        <v>0</v>
      </c>
      <c r="Q370">
        <f t="shared" si="75"/>
        <v>0</v>
      </c>
      <c r="R370">
        <f t="shared" si="76"/>
        <v>0</v>
      </c>
      <c r="S370">
        <f t="shared" si="77"/>
        <v>0</v>
      </c>
      <c r="T370">
        <f t="shared" si="78"/>
        <v>0</v>
      </c>
    </row>
    <row r="371" spans="1:104" x14ac:dyDescent="0.25">
      <c r="A371" s="5"/>
      <c r="P371">
        <f t="shared" si="74"/>
        <v>0</v>
      </c>
      <c r="Q371">
        <f t="shared" si="75"/>
        <v>0</v>
      </c>
      <c r="R371">
        <f t="shared" si="76"/>
        <v>0</v>
      </c>
      <c r="S371">
        <f t="shared" si="77"/>
        <v>0</v>
      </c>
      <c r="T371">
        <f t="shared" si="78"/>
        <v>0</v>
      </c>
    </row>
    <row r="372" spans="1:104" x14ac:dyDescent="0.25">
      <c r="A372" s="5"/>
      <c r="P372">
        <f t="shared" si="74"/>
        <v>0</v>
      </c>
      <c r="Q372">
        <f t="shared" si="75"/>
        <v>0</v>
      </c>
      <c r="R372">
        <f t="shared" si="76"/>
        <v>0</v>
      </c>
      <c r="S372">
        <f t="shared" si="77"/>
        <v>0</v>
      </c>
      <c r="T372">
        <f t="shared" si="78"/>
        <v>0</v>
      </c>
    </row>
    <row r="373" spans="1:104" x14ac:dyDescent="0.25">
      <c r="A373" s="5"/>
      <c r="P373">
        <f t="shared" si="74"/>
        <v>0</v>
      </c>
      <c r="Q373">
        <f t="shared" si="75"/>
        <v>0</v>
      </c>
      <c r="R373">
        <f t="shared" si="76"/>
        <v>0</v>
      </c>
      <c r="S373">
        <f t="shared" si="77"/>
        <v>0</v>
      </c>
      <c r="T373">
        <f t="shared" si="78"/>
        <v>0</v>
      </c>
    </row>
    <row r="374" spans="1:104" x14ac:dyDescent="0.25">
      <c r="A374" s="5"/>
      <c r="P374">
        <f t="shared" si="74"/>
        <v>0</v>
      </c>
      <c r="Q374">
        <f t="shared" si="75"/>
        <v>0</v>
      </c>
      <c r="R374">
        <f t="shared" si="76"/>
        <v>0</v>
      </c>
      <c r="S374">
        <f t="shared" si="77"/>
        <v>0</v>
      </c>
      <c r="T374">
        <f t="shared" si="78"/>
        <v>0</v>
      </c>
    </row>
    <row r="375" spans="1:104" x14ac:dyDescent="0.25">
      <c r="A375" s="5"/>
      <c r="P375">
        <f t="shared" si="74"/>
        <v>0</v>
      </c>
      <c r="Q375">
        <f t="shared" si="75"/>
        <v>0</v>
      </c>
      <c r="R375">
        <f t="shared" si="76"/>
        <v>0</v>
      </c>
      <c r="S375">
        <f t="shared" si="77"/>
        <v>0</v>
      </c>
      <c r="T375">
        <f t="shared" si="78"/>
        <v>0</v>
      </c>
    </row>
    <row r="376" spans="1:104" x14ac:dyDescent="0.25">
      <c r="A376" s="5"/>
      <c r="P376">
        <f t="shared" si="74"/>
        <v>0</v>
      </c>
      <c r="Q376">
        <f t="shared" si="75"/>
        <v>0</v>
      </c>
      <c r="R376">
        <f t="shared" si="76"/>
        <v>0</v>
      </c>
      <c r="S376">
        <f t="shared" si="77"/>
        <v>0</v>
      </c>
      <c r="T376">
        <f t="shared" si="78"/>
        <v>0</v>
      </c>
    </row>
    <row r="377" spans="1:104" x14ac:dyDescent="0.25">
      <c r="A377" s="5"/>
      <c r="P377">
        <f t="shared" si="74"/>
        <v>0</v>
      </c>
      <c r="Q377">
        <f t="shared" si="75"/>
        <v>0</v>
      </c>
      <c r="R377">
        <f t="shared" si="76"/>
        <v>0</v>
      </c>
      <c r="S377">
        <f t="shared" si="77"/>
        <v>0</v>
      </c>
      <c r="T377">
        <f t="shared" si="78"/>
        <v>0</v>
      </c>
    </row>
    <row r="378" spans="1:104" x14ac:dyDescent="0.25">
      <c r="A378" s="5"/>
      <c r="P378">
        <f t="shared" si="74"/>
        <v>0</v>
      </c>
      <c r="Q378">
        <f t="shared" si="75"/>
        <v>0</v>
      </c>
      <c r="R378">
        <f t="shared" si="76"/>
        <v>0</v>
      </c>
      <c r="S378">
        <f t="shared" si="77"/>
        <v>0</v>
      </c>
      <c r="T378">
        <f t="shared" si="78"/>
        <v>0</v>
      </c>
    </row>
    <row r="379" spans="1:104" x14ac:dyDescent="0.25">
      <c r="A379" s="5"/>
      <c r="P379">
        <f t="shared" si="74"/>
        <v>0</v>
      </c>
      <c r="Q379">
        <f t="shared" si="75"/>
        <v>0</v>
      </c>
      <c r="R379">
        <f t="shared" si="76"/>
        <v>0</v>
      </c>
      <c r="S379">
        <f t="shared" si="77"/>
        <v>0</v>
      </c>
      <c r="T379">
        <f t="shared" si="78"/>
        <v>0</v>
      </c>
      <c r="CZ379" t="s">
        <v>7</v>
      </c>
    </row>
    <row r="380" spans="1:104" x14ac:dyDescent="0.25">
      <c r="A380" s="5"/>
      <c r="P380">
        <f t="shared" si="74"/>
        <v>0</v>
      </c>
      <c r="Q380">
        <f t="shared" si="75"/>
        <v>0</v>
      </c>
      <c r="R380">
        <f t="shared" si="76"/>
        <v>0</v>
      </c>
      <c r="S380">
        <f t="shared" si="77"/>
        <v>0</v>
      </c>
      <c r="T380">
        <f t="shared" si="78"/>
        <v>0</v>
      </c>
      <c r="CZ380" t="s">
        <v>7</v>
      </c>
    </row>
    <row r="381" spans="1:104" x14ac:dyDescent="0.25">
      <c r="A381" s="5"/>
      <c r="P381">
        <f t="shared" si="74"/>
        <v>0</v>
      </c>
      <c r="Q381">
        <f t="shared" si="75"/>
        <v>0</v>
      </c>
      <c r="R381">
        <f t="shared" si="76"/>
        <v>0</v>
      </c>
      <c r="S381">
        <f t="shared" si="77"/>
        <v>0</v>
      </c>
      <c r="T381">
        <f t="shared" si="78"/>
        <v>0</v>
      </c>
      <c r="CZ381" t="s">
        <v>7</v>
      </c>
    </row>
    <row r="382" spans="1:104" x14ac:dyDescent="0.25">
      <c r="A382" s="5"/>
      <c r="P382">
        <f t="shared" si="74"/>
        <v>0</v>
      </c>
      <c r="Q382">
        <f t="shared" si="75"/>
        <v>0</v>
      </c>
      <c r="R382">
        <f t="shared" si="76"/>
        <v>0</v>
      </c>
      <c r="S382">
        <f t="shared" si="77"/>
        <v>0</v>
      </c>
      <c r="T382">
        <f t="shared" si="78"/>
        <v>0</v>
      </c>
    </row>
    <row r="383" spans="1:104" x14ac:dyDescent="0.25">
      <c r="A383" s="5"/>
      <c r="C383"/>
      <c r="D383"/>
      <c r="P383">
        <f t="shared" si="74"/>
        <v>0</v>
      </c>
      <c r="Q383">
        <f t="shared" si="75"/>
        <v>0</v>
      </c>
      <c r="R383">
        <f t="shared" si="76"/>
        <v>0</v>
      </c>
      <c r="S383">
        <f t="shared" si="77"/>
        <v>0</v>
      </c>
      <c r="T383">
        <f t="shared" si="78"/>
        <v>0</v>
      </c>
    </row>
    <row r="384" spans="1:104" x14ac:dyDescent="0.25">
      <c r="A384" s="5"/>
      <c r="C384"/>
      <c r="D384"/>
      <c r="P384">
        <f t="shared" si="74"/>
        <v>0</v>
      </c>
      <c r="Q384">
        <f t="shared" si="75"/>
        <v>0</v>
      </c>
      <c r="R384">
        <f t="shared" si="76"/>
        <v>0</v>
      </c>
      <c r="S384">
        <f t="shared" si="77"/>
        <v>0</v>
      </c>
      <c r="T384">
        <f t="shared" si="78"/>
        <v>0</v>
      </c>
    </row>
    <row r="385" spans="1:20" x14ac:dyDescent="0.25">
      <c r="A385" s="5"/>
      <c r="C385"/>
      <c r="D385"/>
      <c r="P385">
        <f t="shared" si="74"/>
        <v>0</v>
      </c>
      <c r="Q385">
        <f t="shared" si="75"/>
        <v>0</v>
      </c>
      <c r="R385">
        <f t="shared" si="76"/>
        <v>0</v>
      </c>
      <c r="S385">
        <f t="shared" si="77"/>
        <v>0</v>
      </c>
      <c r="T385">
        <f t="shared" si="78"/>
        <v>0</v>
      </c>
    </row>
    <row r="386" spans="1:20" x14ac:dyDescent="0.25">
      <c r="A386" s="5"/>
      <c r="C386"/>
      <c r="D386"/>
      <c r="P386">
        <f t="shared" si="74"/>
        <v>0</v>
      </c>
      <c r="Q386">
        <f t="shared" si="75"/>
        <v>0</v>
      </c>
      <c r="R386">
        <f t="shared" si="76"/>
        <v>0</v>
      </c>
      <c r="S386">
        <f t="shared" si="77"/>
        <v>0</v>
      </c>
      <c r="T386">
        <f t="shared" si="78"/>
        <v>0</v>
      </c>
    </row>
    <row r="387" spans="1:20" x14ac:dyDescent="0.25">
      <c r="A387" s="5"/>
      <c r="C387"/>
      <c r="D387"/>
      <c r="P387">
        <f t="shared" si="74"/>
        <v>0</v>
      </c>
      <c r="Q387">
        <f t="shared" si="75"/>
        <v>0</v>
      </c>
      <c r="R387">
        <f t="shared" si="76"/>
        <v>0</v>
      </c>
      <c r="S387">
        <f t="shared" si="77"/>
        <v>0</v>
      </c>
      <c r="T387">
        <f t="shared" si="78"/>
        <v>0</v>
      </c>
    </row>
    <row r="388" spans="1:20" x14ac:dyDescent="0.25">
      <c r="A388" s="5"/>
      <c r="C388"/>
      <c r="D388"/>
      <c r="P388">
        <f t="shared" si="74"/>
        <v>0</v>
      </c>
      <c r="Q388">
        <f t="shared" si="75"/>
        <v>0</v>
      </c>
      <c r="R388">
        <f t="shared" si="76"/>
        <v>0</v>
      </c>
      <c r="S388">
        <f t="shared" si="77"/>
        <v>0</v>
      </c>
      <c r="T388">
        <f t="shared" si="78"/>
        <v>0</v>
      </c>
    </row>
    <row r="389" spans="1:20" x14ac:dyDescent="0.25">
      <c r="A389" s="5"/>
      <c r="C389"/>
      <c r="D389"/>
      <c r="P389">
        <f t="shared" si="74"/>
        <v>0</v>
      </c>
      <c r="Q389">
        <f t="shared" si="75"/>
        <v>0</v>
      </c>
      <c r="R389">
        <f t="shared" si="76"/>
        <v>0</v>
      </c>
      <c r="S389">
        <f t="shared" si="77"/>
        <v>0</v>
      </c>
      <c r="T389">
        <f t="shared" si="78"/>
        <v>0</v>
      </c>
    </row>
    <row r="390" spans="1:20" x14ac:dyDescent="0.25">
      <c r="A390" s="5"/>
      <c r="C390"/>
      <c r="D390"/>
      <c r="P390">
        <f t="shared" si="74"/>
        <v>0</v>
      </c>
      <c r="Q390">
        <f t="shared" si="75"/>
        <v>0</v>
      </c>
      <c r="R390">
        <f t="shared" si="76"/>
        <v>0</v>
      </c>
      <c r="S390">
        <f t="shared" si="77"/>
        <v>0</v>
      </c>
      <c r="T390">
        <f t="shared" si="78"/>
        <v>0</v>
      </c>
    </row>
    <row r="391" spans="1:20" x14ac:dyDescent="0.25">
      <c r="A391" s="5"/>
      <c r="C391"/>
      <c r="D391"/>
      <c r="P391">
        <f t="shared" si="74"/>
        <v>0</v>
      </c>
      <c r="Q391">
        <f t="shared" si="75"/>
        <v>0</v>
      </c>
      <c r="R391">
        <f t="shared" si="76"/>
        <v>0</v>
      </c>
      <c r="S391">
        <f t="shared" si="77"/>
        <v>0</v>
      </c>
      <c r="T391">
        <f t="shared" si="78"/>
        <v>0</v>
      </c>
    </row>
    <row r="392" spans="1:20" x14ac:dyDescent="0.25">
      <c r="A392" s="5"/>
      <c r="C392"/>
      <c r="D392"/>
      <c r="P392">
        <f t="shared" si="74"/>
        <v>0</v>
      </c>
      <c r="Q392">
        <f t="shared" si="75"/>
        <v>0</v>
      </c>
      <c r="R392">
        <f t="shared" si="76"/>
        <v>0</v>
      </c>
      <c r="S392">
        <f t="shared" si="77"/>
        <v>0</v>
      </c>
      <c r="T392">
        <f t="shared" si="78"/>
        <v>0</v>
      </c>
    </row>
    <row r="393" spans="1:20" x14ac:dyDescent="0.25">
      <c r="A393" s="5"/>
      <c r="C393"/>
      <c r="D393"/>
      <c r="P393">
        <f t="shared" si="74"/>
        <v>0</v>
      </c>
      <c r="Q393">
        <f t="shared" si="75"/>
        <v>0</v>
      </c>
      <c r="R393">
        <f t="shared" si="76"/>
        <v>0</v>
      </c>
      <c r="S393">
        <f t="shared" si="77"/>
        <v>0</v>
      </c>
      <c r="T393">
        <f t="shared" si="78"/>
        <v>0</v>
      </c>
    </row>
    <row r="394" spans="1:20" x14ac:dyDescent="0.25">
      <c r="A394" s="5"/>
      <c r="C394"/>
      <c r="D394"/>
      <c r="P394">
        <f t="shared" si="74"/>
        <v>0</v>
      </c>
      <c r="Q394">
        <f t="shared" si="75"/>
        <v>0</v>
      </c>
      <c r="R394">
        <f t="shared" si="76"/>
        <v>0</v>
      </c>
      <c r="S394">
        <f t="shared" si="77"/>
        <v>0</v>
      </c>
      <c r="T394">
        <f t="shared" si="78"/>
        <v>0</v>
      </c>
    </row>
    <row r="395" spans="1:20" x14ac:dyDescent="0.25">
      <c r="A395" s="5"/>
      <c r="C395"/>
      <c r="D395"/>
      <c r="P395">
        <f t="shared" si="74"/>
        <v>0</v>
      </c>
      <c r="Q395">
        <f t="shared" si="75"/>
        <v>0</v>
      </c>
      <c r="R395">
        <f t="shared" si="76"/>
        <v>0</v>
      </c>
      <c r="S395">
        <f t="shared" si="77"/>
        <v>0</v>
      </c>
      <c r="T395">
        <f t="shared" si="78"/>
        <v>0</v>
      </c>
    </row>
    <row r="396" spans="1:20" x14ac:dyDescent="0.25">
      <c r="A396" s="5"/>
      <c r="C396"/>
      <c r="D396"/>
      <c r="P396">
        <f t="shared" si="74"/>
        <v>0</v>
      </c>
      <c r="Q396">
        <f t="shared" si="75"/>
        <v>0</v>
      </c>
      <c r="R396">
        <f t="shared" si="76"/>
        <v>0</v>
      </c>
      <c r="S396">
        <f t="shared" si="77"/>
        <v>0</v>
      </c>
      <c r="T396">
        <f t="shared" si="78"/>
        <v>0</v>
      </c>
    </row>
    <row r="397" spans="1:20" x14ac:dyDescent="0.25">
      <c r="A397" s="5"/>
      <c r="C397"/>
      <c r="D397"/>
      <c r="P397">
        <f t="shared" si="74"/>
        <v>0</v>
      </c>
      <c r="Q397">
        <f t="shared" si="75"/>
        <v>0</v>
      </c>
      <c r="R397">
        <f t="shared" si="76"/>
        <v>0</v>
      </c>
      <c r="S397">
        <f t="shared" si="77"/>
        <v>0</v>
      </c>
      <c r="T397">
        <f t="shared" si="78"/>
        <v>0</v>
      </c>
    </row>
    <row r="398" spans="1:20" x14ac:dyDescent="0.25">
      <c r="A398" s="5"/>
      <c r="C398"/>
      <c r="D398"/>
      <c r="P398">
        <f t="shared" si="74"/>
        <v>0</v>
      </c>
      <c r="Q398">
        <f t="shared" si="75"/>
        <v>0</v>
      </c>
      <c r="R398">
        <f t="shared" si="76"/>
        <v>0</v>
      </c>
      <c r="S398">
        <f t="shared" si="77"/>
        <v>0</v>
      </c>
      <c r="T398">
        <f t="shared" si="78"/>
        <v>0</v>
      </c>
    </row>
    <row r="399" spans="1:20" x14ac:dyDescent="0.25">
      <c r="A399" s="5"/>
      <c r="C399"/>
      <c r="D399"/>
      <c r="P399">
        <f t="shared" si="74"/>
        <v>0</v>
      </c>
      <c r="Q399">
        <f t="shared" si="75"/>
        <v>0</v>
      </c>
      <c r="R399">
        <f t="shared" si="76"/>
        <v>0</v>
      </c>
      <c r="S399">
        <f t="shared" si="77"/>
        <v>0</v>
      </c>
      <c r="T399">
        <f t="shared" si="78"/>
        <v>0</v>
      </c>
    </row>
    <row r="400" spans="1:20" x14ac:dyDescent="0.25">
      <c r="A400" s="5"/>
      <c r="C400"/>
      <c r="D400"/>
      <c r="P400">
        <f t="shared" ref="P400:P463" si="79">IF(C400=D400,0,((E400-D400)-(C400-E400))/(C400-D400))</f>
        <v>0</v>
      </c>
      <c r="Q400">
        <f t="shared" ref="Q400:Q463" si="80">F400*P400</f>
        <v>0</v>
      </c>
      <c r="R400">
        <f t="shared" ref="R400:R463" si="81">R401+Q400</f>
        <v>0</v>
      </c>
      <c r="S400">
        <f t="shared" ref="S400:S463" si="82">R400/100000</f>
        <v>0</v>
      </c>
      <c r="T400">
        <f t="shared" ref="T400:T463" si="83">S400/1000</f>
        <v>0</v>
      </c>
    </row>
    <row r="401" spans="1:20" x14ac:dyDescent="0.25">
      <c r="A401" s="5"/>
      <c r="C401"/>
      <c r="D401"/>
      <c r="P401">
        <f t="shared" si="79"/>
        <v>0</v>
      </c>
      <c r="Q401">
        <f t="shared" si="80"/>
        <v>0</v>
      </c>
      <c r="R401">
        <f t="shared" si="81"/>
        <v>0</v>
      </c>
      <c r="S401">
        <f t="shared" si="82"/>
        <v>0</v>
      </c>
      <c r="T401">
        <f t="shared" si="83"/>
        <v>0</v>
      </c>
    </row>
    <row r="402" spans="1:20" x14ac:dyDescent="0.25">
      <c r="A402" s="5"/>
      <c r="C402"/>
      <c r="D402"/>
      <c r="P402">
        <f t="shared" si="79"/>
        <v>0</v>
      </c>
      <c r="Q402">
        <f t="shared" si="80"/>
        <v>0</v>
      </c>
      <c r="R402">
        <f t="shared" si="81"/>
        <v>0</v>
      </c>
      <c r="S402">
        <f t="shared" si="82"/>
        <v>0</v>
      </c>
      <c r="T402">
        <f t="shared" si="83"/>
        <v>0</v>
      </c>
    </row>
    <row r="403" spans="1:20" x14ac:dyDescent="0.25">
      <c r="A403" s="5"/>
      <c r="C403"/>
      <c r="D403"/>
      <c r="P403">
        <f t="shared" si="79"/>
        <v>0</v>
      </c>
      <c r="Q403">
        <f t="shared" si="80"/>
        <v>0</v>
      </c>
      <c r="R403">
        <f t="shared" si="81"/>
        <v>0</v>
      </c>
      <c r="S403">
        <f t="shared" si="82"/>
        <v>0</v>
      </c>
      <c r="T403">
        <f t="shared" si="83"/>
        <v>0</v>
      </c>
    </row>
    <row r="404" spans="1:20" x14ac:dyDescent="0.25">
      <c r="A404" s="5"/>
      <c r="C404"/>
      <c r="D404"/>
      <c r="P404">
        <f t="shared" si="79"/>
        <v>0</v>
      </c>
      <c r="Q404">
        <f t="shared" si="80"/>
        <v>0</v>
      </c>
      <c r="R404">
        <f t="shared" si="81"/>
        <v>0</v>
      </c>
      <c r="S404">
        <f t="shared" si="82"/>
        <v>0</v>
      </c>
      <c r="T404">
        <f t="shared" si="83"/>
        <v>0</v>
      </c>
    </row>
    <row r="405" spans="1:20" x14ac:dyDescent="0.25">
      <c r="A405" s="5"/>
      <c r="C405"/>
      <c r="D405"/>
      <c r="P405">
        <f t="shared" si="79"/>
        <v>0</v>
      </c>
      <c r="Q405">
        <f t="shared" si="80"/>
        <v>0</v>
      </c>
      <c r="R405">
        <f t="shared" si="81"/>
        <v>0</v>
      </c>
      <c r="S405">
        <f t="shared" si="82"/>
        <v>0</v>
      </c>
      <c r="T405">
        <f t="shared" si="83"/>
        <v>0</v>
      </c>
    </row>
    <row r="406" spans="1:20" x14ac:dyDescent="0.25">
      <c r="A406" s="5"/>
      <c r="C406"/>
      <c r="D406"/>
      <c r="P406">
        <f t="shared" si="79"/>
        <v>0</v>
      </c>
      <c r="Q406">
        <f t="shared" si="80"/>
        <v>0</v>
      </c>
      <c r="R406">
        <f t="shared" si="81"/>
        <v>0</v>
      </c>
      <c r="S406">
        <f t="shared" si="82"/>
        <v>0</v>
      </c>
      <c r="T406">
        <f t="shared" si="83"/>
        <v>0</v>
      </c>
    </row>
    <row r="407" spans="1:20" x14ac:dyDescent="0.25">
      <c r="A407" s="5"/>
      <c r="C407"/>
      <c r="D407"/>
      <c r="P407">
        <f t="shared" si="79"/>
        <v>0</v>
      </c>
      <c r="Q407">
        <f t="shared" si="80"/>
        <v>0</v>
      </c>
      <c r="R407">
        <f t="shared" si="81"/>
        <v>0</v>
      </c>
      <c r="S407">
        <f t="shared" si="82"/>
        <v>0</v>
      </c>
      <c r="T407">
        <f t="shared" si="83"/>
        <v>0</v>
      </c>
    </row>
    <row r="408" spans="1:20" x14ac:dyDescent="0.25">
      <c r="A408" s="5"/>
      <c r="C408"/>
      <c r="D408"/>
      <c r="P408">
        <f t="shared" si="79"/>
        <v>0</v>
      </c>
      <c r="Q408">
        <f t="shared" si="80"/>
        <v>0</v>
      </c>
      <c r="R408">
        <f t="shared" si="81"/>
        <v>0</v>
      </c>
      <c r="S408">
        <f t="shared" si="82"/>
        <v>0</v>
      </c>
      <c r="T408">
        <f t="shared" si="83"/>
        <v>0</v>
      </c>
    </row>
    <row r="409" spans="1:20" x14ac:dyDescent="0.25">
      <c r="A409" s="5"/>
      <c r="C409"/>
      <c r="D409"/>
      <c r="P409">
        <f t="shared" si="79"/>
        <v>0</v>
      </c>
      <c r="Q409">
        <f t="shared" si="80"/>
        <v>0</v>
      </c>
      <c r="R409">
        <f t="shared" si="81"/>
        <v>0</v>
      </c>
      <c r="S409">
        <f t="shared" si="82"/>
        <v>0</v>
      </c>
      <c r="T409">
        <f t="shared" si="83"/>
        <v>0</v>
      </c>
    </row>
    <row r="410" spans="1:20" x14ac:dyDescent="0.25">
      <c r="A410" s="5"/>
      <c r="C410"/>
      <c r="D410"/>
      <c r="P410">
        <f t="shared" si="79"/>
        <v>0</v>
      </c>
      <c r="Q410">
        <f t="shared" si="80"/>
        <v>0</v>
      </c>
      <c r="R410">
        <f t="shared" si="81"/>
        <v>0</v>
      </c>
      <c r="S410">
        <f t="shared" si="82"/>
        <v>0</v>
      </c>
      <c r="T410">
        <f t="shared" si="83"/>
        <v>0</v>
      </c>
    </row>
    <row r="411" spans="1:20" x14ac:dyDescent="0.25">
      <c r="A411" s="5"/>
      <c r="C411"/>
      <c r="D411"/>
      <c r="P411">
        <f t="shared" si="79"/>
        <v>0</v>
      </c>
      <c r="Q411">
        <f t="shared" si="80"/>
        <v>0</v>
      </c>
      <c r="R411">
        <f t="shared" si="81"/>
        <v>0</v>
      </c>
      <c r="S411">
        <f t="shared" si="82"/>
        <v>0</v>
      </c>
      <c r="T411">
        <f t="shared" si="83"/>
        <v>0</v>
      </c>
    </row>
    <row r="412" spans="1:20" x14ac:dyDescent="0.25">
      <c r="A412" s="5"/>
      <c r="C412"/>
      <c r="D412"/>
      <c r="P412">
        <f t="shared" si="79"/>
        <v>0</v>
      </c>
      <c r="Q412">
        <f t="shared" si="80"/>
        <v>0</v>
      </c>
      <c r="R412">
        <f t="shared" si="81"/>
        <v>0</v>
      </c>
      <c r="S412">
        <f t="shared" si="82"/>
        <v>0</v>
      </c>
      <c r="T412">
        <f t="shared" si="83"/>
        <v>0</v>
      </c>
    </row>
    <row r="413" spans="1:20" x14ac:dyDescent="0.25">
      <c r="A413" s="5"/>
      <c r="C413"/>
      <c r="D413"/>
      <c r="P413">
        <f t="shared" si="79"/>
        <v>0</v>
      </c>
      <c r="Q413">
        <f t="shared" si="80"/>
        <v>0</v>
      </c>
      <c r="R413">
        <f t="shared" si="81"/>
        <v>0</v>
      </c>
      <c r="S413">
        <f t="shared" si="82"/>
        <v>0</v>
      </c>
      <c r="T413">
        <f t="shared" si="83"/>
        <v>0</v>
      </c>
    </row>
    <row r="414" spans="1:20" x14ac:dyDescent="0.25">
      <c r="A414" s="5"/>
      <c r="C414"/>
      <c r="D414"/>
      <c r="P414">
        <f t="shared" si="79"/>
        <v>0</v>
      </c>
      <c r="Q414">
        <f t="shared" si="80"/>
        <v>0</v>
      </c>
      <c r="R414">
        <f t="shared" si="81"/>
        <v>0</v>
      </c>
      <c r="S414">
        <f t="shared" si="82"/>
        <v>0</v>
      </c>
      <c r="T414">
        <f t="shared" si="83"/>
        <v>0</v>
      </c>
    </row>
    <row r="415" spans="1:20" x14ac:dyDescent="0.25">
      <c r="A415" s="5"/>
      <c r="C415"/>
      <c r="D415"/>
      <c r="P415">
        <f t="shared" si="79"/>
        <v>0</v>
      </c>
      <c r="Q415">
        <f t="shared" si="80"/>
        <v>0</v>
      </c>
      <c r="R415">
        <f t="shared" si="81"/>
        <v>0</v>
      </c>
      <c r="S415">
        <f t="shared" si="82"/>
        <v>0</v>
      </c>
      <c r="T415">
        <f t="shared" si="83"/>
        <v>0</v>
      </c>
    </row>
    <row r="416" spans="1:20" x14ac:dyDescent="0.25">
      <c r="A416" s="5"/>
      <c r="C416"/>
      <c r="D416"/>
      <c r="P416">
        <f t="shared" si="79"/>
        <v>0</v>
      </c>
      <c r="Q416">
        <f t="shared" si="80"/>
        <v>0</v>
      </c>
      <c r="R416">
        <f t="shared" si="81"/>
        <v>0</v>
      </c>
      <c r="S416">
        <f t="shared" si="82"/>
        <v>0</v>
      </c>
      <c r="T416">
        <f t="shared" si="83"/>
        <v>0</v>
      </c>
    </row>
    <row r="417" spans="1:20" x14ac:dyDescent="0.25">
      <c r="A417" s="5"/>
      <c r="C417"/>
      <c r="D417"/>
      <c r="P417">
        <f t="shared" si="79"/>
        <v>0</v>
      </c>
      <c r="Q417">
        <f t="shared" si="80"/>
        <v>0</v>
      </c>
      <c r="R417">
        <f t="shared" si="81"/>
        <v>0</v>
      </c>
      <c r="S417">
        <f t="shared" si="82"/>
        <v>0</v>
      </c>
      <c r="T417">
        <f t="shared" si="83"/>
        <v>0</v>
      </c>
    </row>
    <row r="418" spans="1:20" x14ac:dyDescent="0.25">
      <c r="A418" s="5"/>
      <c r="C418"/>
      <c r="D418"/>
      <c r="P418">
        <f t="shared" si="79"/>
        <v>0</v>
      </c>
      <c r="Q418">
        <f t="shared" si="80"/>
        <v>0</v>
      </c>
      <c r="R418">
        <f t="shared" si="81"/>
        <v>0</v>
      </c>
      <c r="S418">
        <f t="shared" si="82"/>
        <v>0</v>
      </c>
      <c r="T418">
        <f t="shared" si="83"/>
        <v>0</v>
      </c>
    </row>
    <row r="419" spans="1:20" x14ac:dyDescent="0.25">
      <c r="A419" s="5"/>
      <c r="C419"/>
      <c r="D419"/>
      <c r="P419">
        <f t="shared" si="79"/>
        <v>0</v>
      </c>
      <c r="Q419">
        <f t="shared" si="80"/>
        <v>0</v>
      </c>
      <c r="R419">
        <f t="shared" si="81"/>
        <v>0</v>
      </c>
      <c r="S419">
        <f t="shared" si="82"/>
        <v>0</v>
      </c>
      <c r="T419">
        <f t="shared" si="83"/>
        <v>0</v>
      </c>
    </row>
    <row r="420" spans="1:20" x14ac:dyDescent="0.25">
      <c r="A420" s="5"/>
      <c r="C420"/>
      <c r="D420"/>
      <c r="P420">
        <f t="shared" si="79"/>
        <v>0</v>
      </c>
      <c r="Q420">
        <f t="shared" si="80"/>
        <v>0</v>
      </c>
      <c r="R420">
        <f t="shared" si="81"/>
        <v>0</v>
      </c>
      <c r="S420">
        <f t="shared" si="82"/>
        <v>0</v>
      </c>
      <c r="T420">
        <f t="shared" si="83"/>
        <v>0</v>
      </c>
    </row>
    <row r="421" spans="1:20" x14ac:dyDescent="0.25">
      <c r="A421" s="5"/>
      <c r="C421"/>
      <c r="D421"/>
      <c r="P421">
        <f t="shared" si="79"/>
        <v>0</v>
      </c>
      <c r="Q421">
        <f t="shared" si="80"/>
        <v>0</v>
      </c>
      <c r="R421">
        <f t="shared" si="81"/>
        <v>0</v>
      </c>
      <c r="S421">
        <f t="shared" si="82"/>
        <v>0</v>
      </c>
      <c r="T421">
        <f t="shared" si="83"/>
        <v>0</v>
      </c>
    </row>
    <row r="422" spans="1:20" x14ac:dyDescent="0.25">
      <c r="A422" s="5"/>
      <c r="C422"/>
      <c r="D422"/>
      <c r="P422">
        <f t="shared" si="79"/>
        <v>0</v>
      </c>
      <c r="Q422">
        <f t="shared" si="80"/>
        <v>0</v>
      </c>
      <c r="R422">
        <f t="shared" si="81"/>
        <v>0</v>
      </c>
      <c r="S422">
        <f t="shared" si="82"/>
        <v>0</v>
      </c>
      <c r="T422">
        <f t="shared" si="83"/>
        <v>0</v>
      </c>
    </row>
    <row r="423" spans="1:20" x14ac:dyDescent="0.25">
      <c r="A423" s="5"/>
      <c r="C423"/>
      <c r="D423"/>
      <c r="P423">
        <f t="shared" si="79"/>
        <v>0</v>
      </c>
      <c r="Q423">
        <f t="shared" si="80"/>
        <v>0</v>
      </c>
      <c r="R423">
        <f t="shared" si="81"/>
        <v>0</v>
      </c>
      <c r="S423">
        <f t="shared" si="82"/>
        <v>0</v>
      </c>
      <c r="T423">
        <f t="shared" si="83"/>
        <v>0</v>
      </c>
    </row>
    <row r="424" spans="1:20" x14ac:dyDescent="0.25">
      <c r="A424" s="5"/>
      <c r="C424"/>
      <c r="D424"/>
      <c r="P424">
        <f t="shared" si="79"/>
        <v>0</v>
      </c>
      <c r="Q424">
        <f t="shared" si="80"/>
        <v>0</v>
      </c>
      <c r="R424">
        <f t="shared" si="81"/>
        <v>0</v>
      </c>
      <c r="S424">
        <f t="shared" si="82"/>
        <v>0</v>
      </c>
      <c r="T424">
        <f t="shared" si="83"/>
        <v>0</v>
      </c>
    </row>
    <row r="425" spans="1:20" x14ac:dyDescent="0.25">
      <c r="A425" s="5"/>
      <c r="C425"/>
      <c r="D425"/>
      <c r="P425">
        <f t="shared" si="79"/>
        <v>0</v>
      </c>
      <c r="Q425">
        <f t="shared" si="80"/>
        <v>0</v>
      </c>
      <c r="R425">
        <f t="shared" si="81"/>
        <v>0</v>
      </c>
      <c r="S425">
        <f t="shared" si="82"/>
        <v>0</v>
      </c>
      <c r="T425">
        <f t="shared" si="83"/>
        <v>0</v>
      </c>
    </row>
    <row r="426" spans="1:20" x14ac:dyDescent="0.25">
      <c r="A426" s="5"/>
      <c r="C426"/>
      <c r="D426"/>
      <c r="P426">
        <f t="shared" si="79"/>
        <v>0</v>
      </c>
      <c r="Q426">
        <f t="shared" si="80"/>
        <v>0</v>
      </c>
      <c r="R426">
        <f t="shared" si="81"/>
        <v>0</v>
      </c>
      <c r="S426">
        <f t="shared" si="82"/>
        <v>0</v>
      </c>
      <c r="T426">
        <f t="shared" si="83"/>
        <v>0</v>
      </c>
    </row>
    <row r="427" spans="1:20" x14ac:dyDescent="0.25">
      <c r="A427" s="5"/>
      <c r="C427"/>
      <c r="D427"/>
      <c r="P427">
        <f t="shared" si="79"/>
        <v>0</v>
      </c>
      <c r="Q427">
        <f t="shared" si="80"/>
        <v>0</v>
      </c>
      <c r="R427">
        <f t="shared" si="81"/>
        <v>0</v>
      </c>
      <c r="S427">
        <f t="shared" si="82"/>
        <v>0</v>
      </c>
      <c r="T427">
        <f t="shared" si="83"/>
        <v>0</v>
      </c>
    </row>
    <row r="428" spans="1:20" x14ac:dyDescent="0.25">
      <c r="A428" s="5"/>
      <c r="C428"/>
      <c r="D428"/>
      <c r="P428">
        <f t="shared" si="79"/>
        <v>0</v>
      </c>
      <c r="Q428">
        <f t="shared" si="80"/>
        <v>0</v>
      </c>
      <c r="R428">
        <f t="shared" si="81"/>
        <v>0</v>
      </c>
      <c r="S428">
        <f t="shared" si="82"/>
        <v>0</v>
      </c>
      <c r="T428">
        <f t="shared" si="83"/>
        <v>0</v>
      </c>
    </row>
    <row r="429" spans="1:20" x14ac:dyDescent="0.25">
      <c r="A429" s="5"/>
      <c r="C429"/>
      <c r="D429"/>
      <c r="P429">
        <f t="shared" si="79"/>
        <v>0</v>
      </c>
      <c r="Q429">
        <f t="shared" si="80"/>
        <v>0</v>
      </c>
      <c r="R429">
        <f t="shared" si="81"/>
        <v>0</v>
      </c>
      <c r="S429">
        <f t="shared" si="82"/>
        <v>0</v>
      </c>
      <c r="T429">
        <f t="shared" si="83"/>
        <v>0</v>
      </c>
    </row>
    <row r="430" spans="1:20" x14ac:dyDescent="0.25">
      <c r="A430" s="5"/>
      <c r="C430"/>
      <c r="D430"/>
      <c r="P430">
        <f t="shared" si="79"/>
        <v>0</v>
      </c>
      <c r="Q430">
        <f t="shared" si="80"/>
        <v>0</v>
      </c>
      <c r="R430">
        <f t="shared" si="81"/>
        <v>0</v>
      </c>
      <c r="S430">
        <f t="shared" si="82"/>
        <v>0</v>
      </c>
      <c r="T430">
        <f t="shared" si="83"/>
        <v>0</v>
      </c>
    </row>
    <row r="431" spans="1:20" x14ac:dyDescent="0.25">
      <c r="A431" s="5"/>
      <c r="C431"/>
      <c r="D431"/>
      <c r="P431">
        <f t="shared" si="79"/>
        <v>0</v>
      </c>
      <c r="Q431">
        <f t="shared" si="80"/>
        <v>0</v>
      </c>
      <c r="R431">
        <f t="shared" si="81"/>
        <v>0</v>
      </c>
      <c r="S431">
        <f t="shared" si="82"/>
        <v>0</v>
      </c>
      <c r="T431">
        <f t="shared" si="83"/>
        <v>0</v>
      </c>
    </row>
    <row r="432" spans="1:20" x14ac:dyDescent="0.25">
      <c r="A432" s="5"/>
      <c r="C432"/>
      <c r="D432"/>
      <c r="P432">
        <f t="shared" si="79"/>
        <v>0</v>
      </c>
      <c r="Q432">
        <f t="shared" si="80"/>
        <v>0</v>
      </c>
      <c r="R432">
        <f t="shared" si="81"/>
        <v>0</v>
      </c>
      <c r="S432">
        <f t="shared" si="82"/>
        <v>0</v>
      </c>
      <c r="T432">
        <f t="shared" si="83"/>
        <v>0</v>
      </c>
    </row>
    <row r="433" spans="1:20" x14ac:dyDescent="0.25">
      <c r="A433" s="5"/>
      <c r="C433"/>
      <c r="D433"/>
      <c r="P433">
        <f t="shared" si="79"/>
        <v>0</v>
      </c>
      <c r="Q433">
        <f t="shared" si="80"/>
        <v>0</v>
      </c>
      <c r="R433">
        <f t="shared" si="81"/>
        <v>0</v>
      </c>
      <c r="S433">
        <f t="shared" si="82"/>
        <v>0</v>
      </c>
      <c r="T433">
        <f t="shared" si="83"/>
        <v>0</v>
      </c>
    </row>
    <row r="434" spans="1:20" x14ac:dyDescent="0.25">
      <c r="A434" s="5"/>
      <c r="C434"/>
      <c r="D434"/>
      <c r="P434">
        <f t="shared" si="79"/>
        <v>0</v>
      </c>
      <c r="Q434">
        <f t="shared" si="80"/>
        <v>0</v>
      </c>
      <c r="R434">
        <f t="shared" si="81"/>
        <v>0</v>
      </c>
      <c r="S434">
        <f t="shared" si="82"/>
        <v>0</v>
      </c>
      <c r="T434">
        <f t="shared" si="83"/>
        <v>0</v>
      </c>
    </row>
    <row r="435" spans="1:20" x14ac:dyDescent="0.25">
      <c r="A435" s="5"/>
      <c r="C435"/>
      <c r="D435"/>
      <c r="P435">
        <f t="shared" si="79"/>
        <v>0</v>
      </c>
      <c r="Q435">
        <f t="shared" si="80"/>
        <v>0</v>
      </c>
      <c r="R435">
        <f t="shared" si="81"/>
        <v>0</v>
      </c>
      <c r="S435">
        <f t="shared" si="82"/>
        <v>0</v>
      </c>
      <c r="T435">
        <f t="shared" si="83"/>
        <v>0</v>
      </c>
    </row>
    <row r="436" spans="1:20" x14ac:dyDescent="0.25">
      <c r="A436" s="5"/>
      <c r="C436"/>
      <c r="D436"/>
      <c r="P436">
        <f t="shared" si="79"/>
        <v>0</v>
      </c>
      <c r="Q436">
        <f t="shared" si="80"/>
        <v>0</v>
      </c>
      <c r="R436">
        <f t="shared" si="81"/>
        <v>0</v>
      </c>
      <c r="S436">
        <f t="shared" si="82"/>
        <v>0</v>
      </c>
      <c r="T436">
        <f t="shared" si="83"/>
        <v>0</v>
      </c>
    </row>
    <row r="437" spans="1:20" x14ac:dyDescent="0.25">
      <c r="A437" s="5"/>
      <c r="C437"/>
      <c r="D437"/>
      <c r="P437">
        <f t="shared" si="79"/>
        <v>0</v>
      </c>
      <c r="Q437">
        <f t="shared" si="80"/>
        <v>0</v>
      </c>
      <c r="R437">
        <f t="shared" si="81"/>
        <v>0</v>
      </c>
      <c r="S437">
        <f t="shared" si="82"/>
        <v>0</v>
      </c>
      <c r="T437">
        <f t="shared" si="83"/>
        <v>0</v>
      </c>
    </row>
    <row r="438" spans="1:20" x14ac:dyDescent="0.25">
      <c r="A438" s="5"/>
      <c r="C438"/>
      <c r="D438"/>
      <c r="P438">
        <f t="shared" si="79"/>
        <v>0</v>
      </c>
      <c r="Q438">
        <f t="shared" si="80"/>
        <v>0</v>
      </c>
      <c r="R438">
        <f t="shared" si="81"/>
        <v>0</v>
      </c>
      <c r="S438">
        <f t="shared" si="82"/>
        <v>0</v>
      </c>
      <c r="T438">
        <f t="shared" si="83"/>
        <v>0</v>
      </c>
    </row>
    <row r="439" spans="1:20" x14ac:dyDescent="0.25">
      <c r="A439" s="5"/>
      <c r="C439"/>
      <c r="D439"/>
      <c r="P439">
        <f t="shared" si="79"/>
        <v>0</v>
      </c>
      <c r="Q439">
        <f t="shared" si="80"/>
        <v>0</v>
      </c>
      <c r="R439">
        <f t="shared" si="81"/>
        <v>0</v>
      </c>
      <c r="S439">
        <f t="shared" si="82"/>
        <v>0</v>
      </c>
      <c r="T439">
        <f t="shared" si="83"/>
        <v>0</v>
      </c>
    </row>
    <row r="440" spans="1:20" x14ac:dyDescent="0.25">
      <c r="A440" s="5"/>
      <c r="C440"/>
      <c r="D440"/>
      <c r="P440">
        <f t="shared" si="79"/>
        <v>0</v>
      </c>
      <c r="Q440">
        <f t="shared" si="80"/>
        <v>0</v>
      </c>
      <c r="R440">
        <f t="shared" si="81"/>
        <v>0</v>
      </c>
      <c r="S440">
        <f t="shared" si="82"/>
        <v>0</v>
      </c>
      <c r="T440">
        <f t="shared" si="83"/>
        <v>0</v>
      </c>
    </row>
    <row r="441" spans="1:20" x14ac:dyDescent="0.25">
      <c r="A441" s="5"/>
      <c r="C441"/>
      <c r="D441"/>
      <c r="P441">
        <f t="shared" si="79"/>
        <v>0</v>
      </c>
      <c r="Q441">
        <f t="shared" si="80"/>
        <v>0</v>
      </c>
      <c r="R441">
        <f t="shared" si="81"/>
        <v>0</v>
      </c>
      <c r="S441">
        <f t="shared" si="82"/>
        <v>0</v>
      </c>
      <c r="T441">
        <f t="shared" si="83"/>
        <v>0</v>
      </c>
    </row>
    <row r="442" spans="1:20" x14ac:dyDescent="0.25">
      <c r="A442" s="5"/>
      <c r="C442"/>
      <c r="D442"/>
      <c r="P442">
        <f t="shared" si="79"/>
        <v>0</v>
      </c>
      <c r="Q442">
        <f t="shared" si="80"/>
        <v>0</v>
      </c>
      <c r="R442">
        <f t="shared" si="81"/>
        <v>0</v>
      </c>
      <c r="S442">
        <f t="shared" si="82"/>
        <v>0</v>
      </c>
      <c r="T442">
        <f t="shared" si="83"/>
        <v>0</v>
      </c>
    </row>
    <row r="443" spans="1:20" x14ac:dyDescent="0.25">
      <c r="A443" s="5"/>
      <c r="C443"/>
      <c r="D443"/>
      <c r="P443">
        <f t="shared" si="79"/>
        <v>0</v>
      </c>
      <c r="Q443">
        <f t="shared" si="80"/>
        <v>0</v>
      </c>
      <c r="R443">
        <f t="shared" si="81"/>
        <v>0</v>
      </c>
      <c r="S443">
        <f t="shared" si="82"/>
        <v>0</v>
      </c>
      <c r="T443">
        <f t="shared" si="83"/>
        <v>0</v>
      </c>
    </row>
    <row r="444" spans="1:20" x14ac:dyDescent="0.25">
      <c r="A444" s="5"/>
      <c r="C444"/>
      <c r="D444"/>
      <c r="P444">
        <f t="shared" si="79"/>
        <v>0</v>
      </c>
      <c r="Q444">
        <f t="shared" si="80"/>
        <v>0</v>
      </c>
      <c r="R444">
        <f t="shared" si="81"/>
        <v>0</v>
      </c>
      <c r="S444">
        <f t="shared" si="82"/>
        <v>0</v>
      </c>
      <c r="T444">
        <f t="shared" si="83"/>
        <v>0</v>
      </c>
    </row>
    <row r="445" spans="1:20" x14ac:dyDescent="0.25">
      <c r="A445" s="5"/>
      <c r="C445"/>
      <c r="D445"/>
      <c r="P445">
        <f t="shared" si="79"/>
        <v>0</v>
      </c>
      <c r="Q445">
        <f t="shared" si="80"/>
        <v>0</v>
      </c>
      <c r="R445">
        <f t="shared" si="81"/>
        <v>0</v>
      </c>
      <c r="S445">
        <f t="shared" si="82"/>
        <v>0</v>
      </c>
      <c r="T445">
        <f t="shared" si="83"/>
        <v>0</v>
      </c>
    </row>
    <row r="446" spans="1:20" x14ac:dyDescent="0.25">
      <c r="A446" s="5"/>
      <c r="C446"/>
      <c r="D446"/>
      <c r="P446">
        <f t="shared" si="79"/>
        <v>0</v>
      </c>
      <c r="Q446">
        <f t="shared" si="80"/>
        <v>0</v>
      </c>
      <c r="R446">
        <f t="shared" si="81"/>
        <v>0</v>
      </c>
      <c r="S446">
        <f t="shared" si="82"/>
        <v>0</v>
      </c>
      <c r="T446">
        <f t="shared" si="83"/>
        <v>0</v>
      </c>
    </row>
    <row r="447" spans="1:20" x14ac:dyDescent="0.25">
      <c r="A447" s="5"/>
      <c r="C447"/>
      <c r="D447"/>
      <c r="P447">
        <f t="shared" si="79"/>
        <v>0</v>
      </c>
      <c r="Q447">
        <f t="shared" si="80"/>
        <v>0</v>
      </c>
      <c r="R447">
        <f t="shared" si="81"/>
        <v>0</v>
      </c>
      <c r="S447">
        <f t="shared" si="82"/>
        <v>0</v>
      </c>
      <c r="T447">
        <f t="shared" si="83"/>
        <v>0</v>
      </c>
    </row>
    <row r="448" spans="1:20" x14ac:dyDescent="0.25">
      <c r="A448" s="5"/>
      <c r="C448"/>
      <c r="D448"/>
      <c r="P448">
        <f t="shared" si="79"/>
        <v>0</v>
      </c>
      <c r="Q448">
        <f t="shared" si="80"/>
        <v>0</v>
      </c>
      <c r="R448">
        <f t="shared" si="81"/>
        <v>0</v>
      </c>
      <c r="S448">
        <f t="shared" si="82"/>
        <v>0</v>
      </c>
      <c r="T448">
        <f t="shared" si="83"/>
        <v>0</v>
      </c>
    </row>
    <row r="449" spans="1:20" x14ac:dyDescent="0.25">
      <c r="A449" s="5"/>
      <c r="C449"/>
      <c r="D449"/>
      <c r="P449">
        <f t="shared" si="79"/>
        <v>0</v>
      </c>
      <c r="Q449">
        <f t="shared" si="80"/>
        <v>0</v>
      </c>
      <c r="R449">
        <f t="shared" si="81"/>
        <v>0</v>
      </c>
      <c r="S449">
        <f t="shared" si="82"/>
        <v>0</v>
      </c>
      <c r="T449">
        <f t="shared" si="83"/>
        <v>0</v>
      </c>
    </row>
    <row r="450" spans="1:20" x14ac:dyDescent="0.25">
      <c r="A450" s="5"/>
      <c r="C450"/>
      <c r="D450"/>
      <c r="P450">
        <f t="shared" si="79"/>
        <v>0</v>
      </c>
      <c r="Q450">
        <f t="shared" si="80"/>
        <v>0</v>
      </c>
      <c r="R450">
        <f t="shared" si="81"/>
        <v>0</v>
      </c>
      <c r="S450">
        <f t="shared" si="82"/>
        <v>0</v>
      </c>
      <c r="T450">
        <f t="shared" si="83"/>
        <v>0</v>
      </c>
    </row>
    <row r="451" spans="1:20" x14ac:dyDescent="0.25">
      <c r="A451" s="5"/>
      <c r="C451"/>
      <c r="D451"/>
      <c r="P451">
        <f t="shared" si="79"/>
        <v>0</v>
      </c>
      <c r="Q451">
        <f t="shared" si="80"/>
        <v>0</v>
      </c>
      <c r="R451">
        <f t="shared" si="81"/>
        <v>0</v>
      </c>
      <c r="S451">
        <f t="shared" si="82"/>
        <v>0</v>
      </c>
      <c r="T451">
        <f t="shared" si="83"/>
        <v>0</v>
      </c>
    </row>
    <row r="452" spans="1:20" x14ac:dyDescent="0.25">
      <c r="A452" s="5"/>
      <c r="C452"/>
      <c r="D452"/>
      <c r="P452">
        <f t="shared" si="79"/>
        <v>0</v>
      </c>
      <c r="Q452">
        <f t="shared" si="80"/>
        <v>0</v>
      </c>
      <c r="R452">
        <f t="shared" si="81"/>
        <v>0</v>
      </c>
      <c r="S452">
        <f t="shared" si="82"/>
        <v>0</v>
      </c>
      <c r="T452">
        <f t="shared" si="83"/>
        <v>0</v>
      </c>
    </row>
    <row r="453" spans="1:20" x14ac:dyDescent="0.25">
      <c r="A453" s="5"/>
      <c r="C453"/>
      <c r="D453"/>
      <c r="P453">
        <f t="shared" si="79"/>
        <v>0</v>
      </c>
      <c r="Q453">
        <f t="shared" si="80"/>
        <v>0</v>
      </c>
      <c r="R453">
        <f t="shared" si="81"/>
        <v>0</v>
      </c>
      <c r="S453">
        <f t="shared" si="82"/>
        <v>0</v>
      </c>
      <c r="T453">
        <f t="shared" si="83"/>
        <v>0</v>
      </c>
    </row>
    <row r="454" spans="1:20" x14ac:dyDescent="0.25">
      <c r="A454" s="5"/>
      <c r="C454"/>
      <c r="D454"/>
      <c r="P454">
        <f t="shared" si="79"/>
        <v>0</v>
      </c>
      <c r="Q454">
        <f t="shared" si="80"/>
        <v>0</v>
      </c>
      <c r="R454">
        <f t="shared" si="81"/>
        <v>0</v>
      </c>
      <c r="S454">
        <f t="shared" si="82"/>
        <v>0</v>
      </c>
      <c r="T454">
        <f t="shared" si="83"/>
        <v>0</v>
      </c>
    </row>
    <row r="455" spans="1:20" x14ac:dyDescent="0.25">
      <c r="A455" s="5"/>
      <c r="C455"/>
      <c r="D455"/>
      <c r="P455">
        <f t="shared" si="79"/>
        <v>0</v>
      </c>
      <c r="Q455">
        <f t="shared" si="80"/>
        <v>0</v>
      </c>
      <c r="R455">
        <f t="shared" si="81"/>
        <v>0</v>
      </c>
      <c r="S455">
        <f t="shared" si="82"/>
        <v>0</v>
      </c>
      <c r="T455">
        <f t="shared" si="83"/>
        <v>0</v>
      </c>
    </row>
    <row r="456" spans="1:20" x14ac:dyDescent="0.25">
      <c r="A456" s="5"/>
      <c r="C456"/>
      <c r="D456"/>
      <c r="P456">
        <f t="shared" si="79"/>
        <v>0</v>
      </c>
      <c r="Q456">
        <f t="shared" si="80"/>
        <v>0</v>
      </c>
      <c r="R456">
        <f t="shared" si="81"/>
        <v>0</v>
      </c>
      <c r="S456">
        <f t="shared" si="82"/>
        <v>0</v>
      </c>
      <c r="T456">
        <f t="shared" si="83"/>
        <v>0</v>
      </c>
    </row>
    <row r="457" spans="1:20" x14ac:dyDescent="0.25">
      <c r="A457" s="5"/>
      <c r="C457"/>
      <c r="D457"/>
      <c r="P457">
        <f t="shared" si="79"/>
        <v>0</v>
      </c>
      <c r="Q457">
        <f t="shared" si="80"/>
        <v>0</v>
      </c>
      <c r="R457">
        <f t="shared" si="81"/>
        <v>0</v>
      </c>
      <c r="S457">
        <f t="shared" si="82"/>
        <v>0</v>
      </c>
      <c r="T457">
        <f t="shared" si="83"/>
        <v>0</v>
      </c>
    </row>
    <row r="458" spans="1:20" x14ac:dyDescent="0.25">
      <c r="A458" s="5"/>
      <c r="C458"/>
      <c r="D458"/>
      <c r="P458">
        <f t="shared" si="79"/>
        <v>0</v>
      </c>
      <c r="Q458">
        <f t="shared" si="80"/>
        <v>0</v>
      </c>
      <c r="R458">
        <f t="shared" si="81"/>
        <v>0</v>
      </c>
      <c r="S458">
        <f t="shared" si="82"/>
        <v>0</v>
      </c>
      <c r="T458">
        <f t="shared" si="83"/>
        <v>0</v>
      </c>
    </row>
    <row r="459" spans="1:20" x14ac:dyDescent="0.25">
      <c r="A459" s="5"/>
      <c r="C459"/>
      <c r="D459"/>
      <c r="P459">
        <f t="shared" si="79"/>
        <v>0</v>
      </c>
      <c r="Q459">
        <f t="shared" si="80"/>
        <v>0</v>
      </c>
      <c r="R459">
        <f t="shared" si="81"/>
        <v>0</v>
      </c>
      <c r="S459">
        <f t="shared" si="82"/>
        <v>0</v>
      </c>
      <c r="T459">
        <f t="shared" si="83"/>
        <v>0</v>
      </c>
    </row>
    <row r="460" spans="1:20" x14ac:dyDescent="0.25">
      <c r="A460" s="5"/>
      <c r="C460"/>
      <c r="D460"/>
      <c r="P460">
        <f t="shared" si="79"/>
        <v>0</v>
      </c>
      <c r="Q460">
        <f t="shared" si="80"/>
        <v>0</v>
      </c>
      <c r="R460">
        <f t="shared" si="81"/>
        <v>0</v>
      </c>
      <c r="S460">
        <f t="shared" si="82"/>
        <v>0</v>
      </c>
      <c r="T460">
        <f t="shared" si="83"/>
        <v>0</v>
      </c>
    </row>
    <row r="461" spans="1:20" x14ac:dyDescent="0.25">
      <c r="A461" s="5"/>
      <c r="C461"/>
      <c r="D461"/>
      <c r="P461">
        <f t="shared" si="79"/>
        <v>0</v>
      </c>
      <c r="Q461">
        <f t="shared" si="80"/>
        <v>0</v>
      </c>
      <c r="R461">
        <f t="shared" si="81"/>
        <v>0</v>
      </c>
      <c r="S461">
        <f t="shared" si="82"/>
        <v>0</v>
      </c>
      <c r="T461">
        <f t="shared" si="83"/>
        <v>0</v>
      </c>
    </row>
    <row r="462" spans="1:20" x14ac:dyDescent="0.25">
      <c r="A462" s="5"/>
      <c r="C462"/>
      <c r="D462"/>
      <c r="P462">
        <f t="shared" si="79"/>
        <v>0</v>
      </c>
      <c r="Q462">
        <f t="shared" si="80"/>
        <v>0</v>
      </c>
      <c r="R462">
        <f t="shared" si="81"/>
        <v>0</v>
      </c>
      <c r="S462">
        <f t="shared" si="82"/>
        <v>0</v>
      </c>
      <c r="T462">
        <f t="shared" si="83"/>
        <v>0</v>
      </c>
    </row>
    <row r="463" spans="1:20" x14ac:dyDescent="0.25">
      <c r="A463" s="5"/>
      <c r="C463"/>
      <c r="D463"/>
      <c r="P463">
        <f t="shared" si="79"/>
        <v>0</v>
      </c>
      <c r="Q463">
        <f t="shared" si="80"/>
        <v>0</v>
      </c>
      <c r="R463">
        <f t="shared" si="81"/>
        <v>0</v>
      </c>
      <c r="S463">
        <f t="shared" si="82"/>
        <v>0</v>
      </c>
      <c r="T463">
        <f t="shared" si="83"/>
        <v>0</v>
      </c>
    </row>
    <row r="464" spans="1:20" x14ac:dyDescent="0.25">
      <c r="A464" s="5"/>
      <c r="C464"/>
      <c r="D464"/>
      <c r="P464">
        <f t="shared" ref="P464:P527" si="84">IF(C464=D464,0,((E464-D464)-(C464-E464))/(C464-D464))</f>
        <v>0</v>
      </c>
      <c r="Q464">
        <f t="shared" ref="Q464:Q527" si="85">F464*P464</f>
        <v>0</v>
      </c>
      <c r="R464">
        <f t="shared" ref="R464:R527" si="86">R465+Q464</f>
        <v>0</v>
      </c>
      <c r="S464">
        <f t="shared" ref="S464:S527" si="87">R464/100000</f>
        <v>0</v>
      </c>
      <c r="T464">
        <f t="shared" ref="T464:T527" si="88">S464/1000</f>
        <v>0</v>
      </c>
    </row>
    <row r="465" spans="1:20" x14ac:dyDescent="0.25">
      <c r="A465" s="5"/>
      <c r="C465"/>
      <c r="D465"/>
      <c r="P465">
        <f t="shared" si="84"/>
        <v>0</v>
      </c>
      <c r="Q465">
        <f t="shared" si="85"/>
        <v>0</v>
      </c>
      <c r="R465">
        <f t="shared" si="86"/>
        <v>0</v>
      </c>
      <c r="S465">
        <f t="shared" si="87"/>
        <v>0</v>
      </c>
      <c r="T465">
        <f t="shared" si="88"/>
        <v>0</v>
      </c>
    </row>
    <row r="466" spans="1:20" x14ac:dyDescent="0.25">
      <c r="A466" s="5"/>
      <c r="C466"/>
      <c r="D466"/>
      <c r="P466">
        <f t="shared" si="84"/>
        <v>0</v>
      </c>
      <c r="Q466">
        <f t="shared" si="85"/>
        <v>0</v>
      </c>
      <c r="R466">
        <f t="shared" si="86"/>
        <v>0</v>
      </c>
      <c r="S466">
        <f t="shared" si="87"/>
        <v>0</v>
      </c>
      <c r="T466">
        <f t="shared" si="88"/>
        <v>0</v>
      </c>
    </row>
    <row r="467" spans="1:20" x14ac:dyDescent="0.25">
      <c r="A467" s="5"/>
      <c r="C467"/>
      <c r="D467"/>
      <c r="P467">
        <f t="shared" si="84"/>
        <v>0</v>
      </c>
      <c r="Q467">
        <f t="shared" si="85"/>
        <v>0</v>
      </c>
      <c r="R467">
        <f t="shared" si="86"/>
        <v>0</v>
      </c>
      <c r="S467">
        <f t="shared" si="87"/>
        <v>0</v>
      </c>
      <c r="T467">
        <f t="shared" si="88"/>
        <v>0</v>
      </c>
    </row>
    <row r="468" spans="1:20" x14ac:dyDescent="0.25">
      <c r="A468" s="5"/>
      <c r="C468"/>
      <c r="D468"/>
      <c r="P468">
        <f t="shared" si="84"/>
        <v>0</v>
      </c>
      <c r="Q468">
        <f t="shared" si="85"/>
        <v>0</v>
      </c>
      <c r="R468">
        <f t="shared" si="86"/>
        <v>0</v>
      </c>
      <c r="S468">
        <f t="shared" si="87"/>
        <v>0</v>
      </c>
      <c r="T468">
        <f t="shared" si="88"/>
        <v>0</v>
      </c>
    </row>
    <row r="469" spans="1:20" x14ac:dyDescent="0.25">
      <c r="A469" s="5"/>
      <c r="C469"/>
      <c r="D469"/>
      <c r="P469">
        <f t="shared" si="84"/>
        <v>0</v>
      </c>
      <c r="Q469">
        <f t="shared" si="85"/>
        <v>0</v>
      </c>
      <c r="R469">
        <f t="shared" si="86"/>
        <v>0</v>
      </c>
      <c r="S469">
        <f t="shared" si="87"/>
        <v>0</v>
      </c>
      <c r="T469">
        <f t="shared" si="88"/>
        <v>0</v>
      </c>
    </row>
    <row r="470" spans="1:20" x14ac:dyDescent="0.25">
      <c r="A470" s="5"/>
      <c r="C470"/>
      <c r="D470"/>
      <c r="P470">
        <f t="shared" si="84"/>
        <v>0</v>
      </c>
      <c r="Q470">
        <f t="shared" si="85"/>
        <v>0</v>
      </c>
      <c r="R470">
        <f t="shared" si="86"/>
        <v>0</v>
      </c>
      <c r="S470">
        <f t="shared" si="87"/>
        <v>0</v>
      </c>
      <c r="T470">
        <f t="shared" si="88"/>
        <v>0</v>
      </c>
    </row>
    <row r="471" spans="1:20" x14ac:dyDescent="0.25">
      <c r="A471" s="5"/>
      <c r="C471"/>
      <c r="D471"/>
      <c r="P471">
        <f t="shared" si="84"/>
        <v>0</v>
      </c>
      <c r="Q471">
        <f t="shared" si="85"/>
        <v>0</v>
      </c>
      <c r="R471">
        <f t="shared" si="86"/>
        <v>0</v>
      </c>
      <c r="S471">
        <f t="shared" si="87"/>
        <v>0</v>
      </c>
      <c r="T471">
        <f t="shared" si="88"/>
        <v>0</v>
      </c>
    </row>
    <row r="472" spans="1:20" x14ac:dyDescent="0.25">
      <c r="A472" s="5"/>
      <c r="C472"/>
      <c r="D472"/>
      <c r="P472">
        <f t="shared" si="84"/>
        <v>0</v>
      </c>
      <c r="Q472">
        <f t="shared" si="85"/>
        <v>0</v>
      </c>
      <c r="R472">
        <f t="shared" si="86"/>
        <v>0</v>
      </c>
      <c r="S472">
        <f t="shared" si="87"/>
        <v>0</v>
      </c>
      <c r="T472">
        <f t="shared" si="88"/>
        <v>0</v>
      </c>
    </row>
    <row r="473" spans="1:20" x14ac:dyDescent="0.25">
      <c r="A473" s="5"/>
      <c r="C473"/>
      <c r="D473"/>
      <c r="P473">
        <f t="shared" si="84"/>
        <v>0</v>
      </c>
      <c r="Q473">
        <f t="shared" si="85"/>
        <v>0</v>
      </c>
      <c r="R473">
        <f t="shared" si="86"/>
        <v>0</v>
      </c>
      <c r="S473">
        <f t="shared" si="87"/>
        <v>0</v>
      </c>
      <c r="T473">
        <f t="shared" si="88"/>
        <v>0</v>
      </c>
    </row>
    <row r="474" spans="1:20" x14ac:dyDescent="0.25">
      <c r="A474" s="5"/>
      <c r="C474"/>
      <c r="D474"/>
      <c r="P474">
        <f t="shared" si="84"/>
        <v>0</v>
      </c>
      <c r="Q474">
        <f t="shared" si="85"/>
        <v>0</v>
      </c>
      <c r="R474">
        <f t="shared" si="86"/>
        <v>0</v>
      </c>
      <c r="S474">
        <f t="shared" si="87"/>
        <v>0</v>
      </c>
      <c r="T474">
        <f t="shared" si="88"/>
        <v>0</v>
      </c>
    </row>
    <row r="475" spans="1:20" x14ac:dyDescent="0.25">
      <c r="A475" s="5"/>
      <c r="C475"/>
      <c r="D475"/>
      <c r="P475">
        <f t="shared" si="84"/>
        <v>0</v>
      </c>
      <c r="Q475">
        <f t="shared" si="85"/>
        <v>0</v>
      </c>
      <c r="R475">
        <f t="shared" si="86"/>
        <v>0</v>
      </c>
      <c r="S475">
        <f t="shared" si="87"/>
        <v>0</v>
      </c>
      <c r="T475">
        <f t="shared" si="88"/>
        <v>0</v>
      </c>
    </row>
    <row r="476" spans="1:20" x14ac:dyDescent="0.25">
      <c r="A476" s="5"/>
      <c r="C476"/>
      <c r="D476"/>
      <c r="P476">
        <f t="shared" si="84"/>
        <v>0</v>
      </c>
      <c r="Q476">
        <f t="shared" si="85"/>
        <v>0</v>
      </c>
      <c r="R476">
        <f t="shared" si="86"/>
        <v>0</v>
      </c>
      <c r="S476">
        <f t="shared" si="87"/>
        <v>0</v>
      </c>
      <c r="T476">
        <f t="shared" si="88"/>
        <v>0</v>
      </c>
    </row>
    <row r="477" spans="1:20" x14ac:dyDescent="0.25">
      <c r="A477" s="5"/>
      <c r="C477"/>
      <c r="D477"/>
      <c r="P477">
        <f t="shared" si="84"/>
        <v>0</v>
      </c>
      <c r="Q477">
        <f t="shared" si="85"/>
        <v>0</v>
      </c>
      <c r="R477">
        <f t="shared" si="86"/>
        <v>0</v>
      </c>
      <c r="S477">
        <f t="shared" si="87"/>
        <v>0</v>
      </c>
      <c r="T477">
        <f t="shared" si="88"/>
        <v>0</v>
      </c>
    </row>
    <row r="478" spans="1:20" x14ac:dyDescent="0.25">
      <c r="A478" s="5"/>
      <c r="C478"/>
      <c r="D478"/>
      <c r="P478">
        <f t="shared" si="84"/>
        <v>0</v>
      </c>
      <c r="Q478">
        <f t="shared" si="85"/>
        <v>0</v>
      </c>
      <c r="R478">
        <f t="shared" si="86"/>
        <v>0</v>
      </c>
      <c r="S478">
        <f t="shared" si="87"/>
        <v>0</v>
      </c>
      <c r="T478">
        <f t="shared" si="88"/>
        <v>0</v>
      </c>
    </row>
    <row r="479" spans="1:20" x14ac:dyDescent="0.25">
      <c r="A479" s="5"/>
      <c r="P479">
        <f t="shared" si="84"/>
        <v>0</v>
      </c>
      <c r="Q479">
        <f t="shared" si="85"/>
        <v>0</v>
      </c>
      <c r="R479">
        <f t="shared" si="86"/>
        <v>0</v>
      </c>
      <c r="S479">
        <f t="shared" si="87"/>
        <v>0</v>
      </c>
      <c r="T479">
        <f t="shared" si="88"/>
        <v>0</v>
      </c>
    </row>
    <row r="480" spans="1:20" x14ac:dyDescent="0.25">
      <c r="A480" s="5"/>
      <c r="P480">
        <f t="shared" si="84"/>
        <v>0</v>
      </c>
      <c r="Q480">
        <f t="shared" si="85"/>
        <v>0</v>
      </c>
      <c r="R480">
        <f t="shared" si="86"/>
        <v>0</v>
      </c>
      <c r="S480">
        <f t="shared" si="87"/>
        <v>0</v>
      </c>
      <c r="T480">
        <f t="shared" si="88"/>
        <v>0</v>
      </c>
    </row>
    <row r="481" spans="1:20" x14ac:dyDescent="0.25">
      <c r="A481" s="5"/>
      <c r="P481">
        <f t="shared" si="84"/>
        <v>0</v>
      </c>
      <c r="Q481">
        <f t="shared" si="85"/>
        <v>0</v>
      </c>
      <c r="R481">
        <f t="shared" si="86"/>
        <v>0</v>
      </c>
      <c r="S481">
        <f t="shared" si="87"/>
        <v>0</v>
      </c>
      <c r="T481">
        <f t="shared" si="88"/>
        <v>0</v>
      </c>
    </row>
    <row r="482" spans="1:20" x14ac:dyDescent="0.25">
      <c r="A482" s="5"/>
      <c r="C482" s="4"/>
      <c r="D482" s="4"/>
      <c r="P482">
        <f t="shared" si="84"/>
        <v>0</v>
      </c>
      <c r="Q482">
        <f t="shared" si="85"/>
        <v>0</v>
      </c>
      <c r="R482">
        <f t="shared" si="86"/>
        <v>0</v>
      </c>
      <c r="S482">
        <f t="shared" si="87"/>
        <v>0</v>
      </c>
      <c r="T482">
        <f t="shared" si="88"/>
        <v>0</v>
      </c>
    </row>
    <row r="483" spans="1:20" x14ac:dyDescent="0.25">
      <c r="A483" s="5"/>
      <c r="C483" s="4"/>
      <c r="D483" s="4"/>
      <c r="P483">
        <f t="shared" si="84"/>
        <v>0</v>
      </c>
      <c r="Q483">
        <f t="shared" si="85"/>
        <v>0</v>
      </c>
      <c r="R483">
        <f t="shared" si="86"/>
        <v>0</v>
      </c>
      <c r="S483">
        <f t="shared" si="87"/>
        <v>0</v>
      </c>
      <c r="T483">
        <f t="shared" si="88"/>
        <v>0</v>
      </c>
    </row>
    <row r="484" spans="1:20" x14ac:dyDescent="0.25">
      <c r="A484" s="5"/>
      <c r="C484" s="4"/>
      <c r="D484" s="4"/>
      <c r="P484">
        <f t="shared" si="84"/>
        <v>0</v>
      </c>
      <c r="Q484">
        <f t="shared" si="85"/>
        <v>0</v>
      </c>
      <c r="R484">
        <f t="shared" si="86"/>
        <v>0</v>
      </c>
      <c r="S484">
        <f t="shared" si="87"/>
        <v>0</v>
      </c>
      <c r="T484">
        <f t="shared" si="88"/>
        <v>0</v>
      </c>
    </row>
    <row r="485" spans="1:20" x14ac:dyDescent="0.25">
      <c r="A485" s="5"/>
      <c r="C485" s="4"/>
      <c r="D485" s="4"/>
      <c r="P485">
        <f t="shared" si="84"/>
        <v>0</v>
      </c>
      <c r="Q485">
        <f t="shared" si="85"/>
        <v>0</v>
      </c>
      <c r="R485">
        <f t="shared" si="86"/>
        <v>0</v>
      </c>
      <c r="S485">
        <f t="shared" si="87"/>
        <v>0</v>
      </c>
      <c r="T485">
        <f t="shared" si="88"/>
        <v>0</v>
      </c>
    </row>
    <row r="486" spans="1:20" x14ac:dyDescent="0.25">
      <c r="A486" s="5"/>
      <c r="C486" s="4"/>
      <c r="D486" s="4"/>
      <c r="P486">
        <f t="shared" si="84"/>
        <v>0</v>
      </c>
      <c r="Q486">
        <f t="shared" si="85"/>
        <v>0</v>
      </c>
      <c r="R486">
        <f t="shared" si="86"/>
        <v>0</v>
      </c>
      <c r="S486">
        <f t="shared" si="87"/>
        <v>0</v>
      </c>
      <c r="T486">
        <f t="shared" si="88"/>
        <v>0</v>
      </c>
    </row>
    <row r="487" spans="1:20" x14ac:dyDescent="0.25">
      <c r="A487" s="5"/>
      <c r="C487" s="4"/>
      <c r="D487" s="4"/>
      <c r="P487">
        <f t="shared" si="84"/>
        <v>0</v>
      </c>
      <c r="Q487">
        <f t="shared" si="85"/>
        <v>0</v>
      </c>
      <c r="R487">
        <f t="shared" si="86"/>
        <v>0</v>
      </c>
      <c r="S487">
        <f t="shared" si="87"/>
        <v>0</v>
      </c>
      <c r="T487">
        <f t="shared" si="88"/>
        <v>0</v>
      </c>
    </row>
    <row r="488" spans="1:20" x14ac:dyDescent="0.25">
      <c r="A488" s="5"/>
      <c r="C488" s="4"/>
      <c r="D488" s="4"/>
      <c r="P488">
        <f t="shared" si="84"/>
        <v>0</v>
      </c>
      <c r="Q488">
        <f t="shared" si="85"/>
        <v>0</v>
      </c>
      <c r="R488">
        <f t="shared" si="86"/>
        <v>0</v>
      </c>
      <c r="S488">
        <f t="shared" si="87"/>
        <v>0</v>
      </c>
      <c r="T488">
        <f t="shared" si="88"/>
        <v>0</v>
      </c>
    </row>
    <row r="489" spans="1:20" x14ac:dyDescent="0.25">
      <c r="A489" s="5"/>
      <c r="C489" s="4"/>
      <c r="D489" s="4"/>
      <c r="P489">
        <f t="shared" si="84"/>
        <v>0</v>
      </c>
      <c r="Q489">
        <f t="shared" si="85"/>
        <v>0</v>
      </c>
      <c r="R489">
        <f t="shared" si="86"/>
        <v>0</v>
      </c>
      <c r="S489">
        <f t="shared" si="87"/>
        <v>0</v>
      </c>
      <c r="T489">
        <f t="shared" si="88"/>
        <v>0</v>
      </c>
    </row>
    <row r="490" spans="1:20" x14ac:dyDescent="0.25">
      <c r="A490" s="5"/>
      <c r="C490" s="4"/>
      <c r="D490" s="4"/>
      <c r="P490">
        <f t="shared" si="84"/>
        <v>0</v>
      </c>
      <c r="Q490">
        <f t="shared" si="85"/>
        <v>0</v>
      </c>
      <c r="R490">
        <f t="shared" si="86"/>
        <v>0</v>
      </c>
      <c r="S490">
        <f t="shared" si="87"/>
        <v>0</v>
      </c>
      <c r="T490">
        <f t="shared" si="88"/>
        <v>0</v>
      </c>
    </row>
    <row r="491" spans="1:20" x14ac:dyDescent="0.25">
      <c r="A491" s="5"/>
      <c r="C491" s="4"/>
      <c r="D491" s="4"/>
      <c r="P491">
        <f t="shared" si="84"/>
        <v>0</v>
      </c>
      <c r="Q491">
        <f t="shared" si="85"/>
        <v>0</v>
      </c>
      <c r="R491">
        <f t="shared" si="86"/>
        <v>0</v>
      </c>
      <c r="S491">
        <f t="shared" si="87"/>
        <v>0</v>
      </c>
      <c r="T491">
        <f t="shared" si="88"/>
        <v>0</v>
      </c>
    </row>
    <row r="492" spans="1:20" x14ac:dyDescent="0.25">
      <c r="A492" s="5"/>
      <c r="C492" s="4"/>
      <c r="D492" s="4"/>
      <c r="P492">
        <f t="shared" si="84"/>
        <v>0</v>
      </c>
      <c r="Q492">
        <f t="shared" si="85"/>
        <v>0</v>
      </c>
      <c r="R492">
        <f t="shared" si="86"/>
        <v>0</v>
      </c>
      <c r="S492">
        <f t="shared" si="87"/>
        <v>0</v>
      </c>
      <c r="T492">
        <f t="shared" si="88"/>
        <v>0</v>
      </c>
    </row>
    <row r="493" spans="1:20" x14ac:dyDescent="0.25">
      <c r="A493" s="5"/>
      <c r="C493" s="4"/>
      <c r="D493" s="4"/>
      <c r="P493">
        <f t="shared" si="84"/>
        <v>0</v>
      </c>
      <c r="Q493">
        <f t="shared" si="85"/>
        <v>0</v>
      </c>
      <c r="R493">
        <f t="shared" si="86"/>
        <v>0</v>
      </c>
      <c r="S493">
        <f t="shared" si="87"/>
        <v>0</v>
      </c>
      <c r="T493">
        <f t="shared" si="88"/>
        <v>0</v>
      </c>
    </row>
    <row r="494" spans="1:20" x14ac:dyDescent="0.25">
      <c r="A494" s="5"/>
      <c r="C494" s="4"/>
      <c r="D494" s="4"/>
      <c r="P494">
        <f t="shared" si="84"/>
        <v>0</v>
      </c>
      <c r="Q494">
        <f t="shared" si="85"/>
        <v>0</v>
      </c>
      <c r="R494">
        <f t="shared" si="86"/>
        <v>0</v>
      </c>
      <c r="S494">
        <f t="shared" si="87"/>
        <v>0</v>
      </c>
      <c r="T494">
        <f t="shared" si="88"/>
        <v>0</v>
      </c>
    </row>
    <row r="495" spans="1:20" x14ac:dyDescent="0.25">
      <c r="A495" s="5"/>
      <c r="C495" s="4"/>
      <c r="D495" s="4"/>
      <c r="P495">
        <f t="shared" si="84"/>
        <v>0</v>
      </c>
      <c r="Q495">
        <f t="shared" si="85"/>
        <v>0</v>
      </c>
      <c r="R495">
        <f t="shared" si="86"/>
        <v>0</v>
      </c>
      <c r="S495">
        <f t="shared" si="87"/>
        <v>0</v>
      </c>
      <c r="T495">
        <f t="shared" si="88"/>
        <v>0</v>
      </c>
    </row>
    <row r="496" spans="1:20" x14ac:dyDescent="0.25">
      <c r="A496" s="5"/>
      <c r="C496" s="4"/>
      <c r="D496" s="4"/>
      <c r="P496">
        <f t="shared" si="84"/>
        <v>0</v>
      </c>
      <c r="Q496">
        <f t="shared" si="85"/>
        <v>0</v>
      </c>
      <c r="R496">
        <f t="shared" si="86"/>
        <v>0</v>
      </c>
      <c r="S496">
        <f t="shared" si="87"/>
        <v>0</v>
      </c>
      <c r="T496">
        <f t="shared" si="88"/>
        <v>0</v>
      </c>
    </row>
    <row r="497" spans="1:20" x14ac:dyDescent="0.25">
      <c r="A497" s="5"/>
      <c r="C497" s="4"/>
      <c r="D497" s="4"/>
      <c r="P497">
        <f t="shared" si="84"/>
        <v>0</v>
      </c>
      <c r="Q497">
        <f t="shared" si="85"/>
        <v>0</v>
      </c>
      <c r="R497">
        <f t="shared" si="86"/>
        <v>0</v>
      </c>
      <c r="S497">
        <f t="shared" si="87"/>
        <v>0</v>
      </c>
      <c r="T497">
        <f t="shared" si="88"/>
        <v>0</v>
      </c>
    </row>
    <row r="498" spans="1:20" x14ac:dyDescent="0.25">
      <c r="A498" s="5"/>
      <c r="C498" s="4"/>
      <c r="D498" s="4"/>
      <c r="P498">
        <f t="shared" si="84"/>
        <v>0</v>
      </c>
      <c r="Q498">
        <f t="shared" si="85"/>
        <v>0</v>
      </c>
      <c r="R498">
        <f t="shared" si="86"/>
        <v>0</v>
      </c>
      <c r="S498">
        <f t="shared" si="87"/>
        <v>0</v>
      </c>
      <c r="T498">
        <f t="shared" si="88"/>
        <v>0</v>
      </c>
    </row>
    <row r="499" spans="1:20" x14ac:dyDescent="0.25">
      <c r="A499" s="5"/>
      <c r="C499" s="4"/>
      <c r="D499" s="4"/>
      <c r="P499">
        <f t="shared" si="84"/>
        <v>0</v>
      </c>
      <c r="Q499">
        <f t="shared" si="85"/>
        <v>0</v>
      </c>
      <c r="R499">
        <f t="shared" si="86"/>
        <v>0</v>
      </c>
      <c r="S499">
        <f t="shared" si="87"/>
        <v>0</v>
      </c>
      <c r="T499">
        <f t="shared" si="88"/>
        <v>0</v>
      </c>
    </row>
    <row r="500" spans="1:20" x14ac:dyDescent="0.25">
      <c r="A500" s="5"/>
      <c r="C500" s="4"/>
      <c r="D500" s="4"/>
      <c r="P500">
        <f t="shared" si="84"/>
        <v>0</v>
      </c>
      <c r="Q500">
        <f t="shared" si="85"/>
        <v>0</v>
      </c>
      <c r="R500">
        <f t="shared" si="86"/>
        <v>0</v>
      </c>
      <c r="S500">
        <f t="shared" si="87"/>
        <v>0</v>
      </c>
      <c r="T500">
        <f t="shared" si="88"/>
        <v>0</v>
      </c>
    </row>
    <row r="501" spans="1:20" x14ac:dyDescent="0.25">
      <c r="A501" s="5"/>
      <c r="C501" s="4"/>
      <c r="D501" s="4"/>
      <c r="P501">
        <f t="shared" si="84"/>
        <v>0</v>
      </c>
      <c r="Q501">
        <f t="shared" si="85"/>
        <v>0</v>
      </c>
      <c r="R501">
        <f t="shared" si="86"/>
        <v>0</v>
      </c>
      <c r="S501">
        <f t="shared" si="87"/>
        <v>0</v>
      </c>
      <c r="T501">
        <f t="shared" si="88"/>
        <v>0</v>
      </c>
    </row>
    <row r="502" spans="1:20" x14ac:dyDescent="0.25">
      <c r="A502" s="5"/>
      <c r="C502" s="4"/>
      <c r="D502" s="4"/>
      <c r="P502">
        <f t="shared" si="84"/>
        <v>0</v>
      </c>
      <c r="Q502">
        <f t="shared" si="85"/>
        <v>0</v>
      </c>
      <c r="R502">
        <f t="shared" si="86"/>
        <v>0</v>
      </c>
      <c r="S502">
        <f t="shared" si="87"/>
        <v>0</v>
      </c>
      <c r="T502">
        <f t="shared" si="88"/>
        <v>0</v>
      </c>
    </row>
    <row r="503" spans="1:20" x14ac:dyDescent="0.25">
      <c r="A503" s="5"/>
      <c r="C503" s="4"/>
      <c r="D503" s="4"/>
      <c r="P503">
        <f t="shared" si="84"/>
        <v>0</v>
      </c>
      <c r="Q503">
        <f t="shared" si="85"/>
        <v>0</v>
      </c>
      <c r="R503">
        <f t="shared" si="86"/>
        <v>0</v>
      </c>
      <c r="S503">
        <f t="shared" si="87"/>
        <v>0</v>
      </c>
      <c r="T503">
        <f t="shared" si="88"/>
        <v>0</v>
      </c>
    </row>
    <row r="504" spans="1:20" x14ac:dyDescent="0.25">
      <c r="A504" s="5"/>
      <c r="C504" s="4"/>
      <c r="D504" s="4"/>
      <c r="P504">
        <f t="shared" si="84"/>
        <v>0</v>
      </c>
      <c r="Q504">
        <f t="shared" si="85"/>
        <v>0</v>
      </c>
      <c r="R504">
        <f t="shared" si="86"/>
        <v>0</v>
      </c>
      <c r="S504">
        <f t="shared" si="87"/>
        <v>0</v>
      </c>
      <c r="T504">
        <f t="shared" si="88"/>
        <v>0</v>
      </c>
    </row>
    <row r="505" spans="1:20" x14ac:dyDescent="0.25">
      <c r="A505" s="5"/>
      <c r="C505" s="4"/>
      <c r="D505" s="4"/>
      <c r="P505">
        <f t="shared" si="84"/>
        <v>0</v>
      </c>
      <c r="Q505">
        <f t="shared" si="85"/>
        <v>0</v>
      </c>
      <c r="R505">
        <f t="shared" si="86"/>
        <v>0</v>
      </c>
      <c r="S505">
        <f t="shared" si="87"/>
        <v>0</v>
      </c>
      <c r="T505">
        <f t="shared" si="88"/>
        <v>0</v>
      </c>
    </row>
    <row r="506" spans="1:20" x14ac:dyDescent="0.25">
      <c r="A506" s="5"/>
      <c r="C506" s="4"/>
      <c r="D506" s="4"/>
      <c r="P506">
        <f t="shared" si="84"/>
        <v>0</v>
      </c>
      <c r="Q506">
        <f t="shared" si="85"/>
        <v>0</v>
      </c>
      <c r="R506">
        <f t="shared" si="86"/>
        <v>0</v>
      </c>
      <c r="S506">
        <f t="shared" si="87"/>
        <v>0</v>
      </c>
      <c r="T506">
        <f t="shared" si="88"/>
        <v>0</v>
      </c>
    </row>
    <row r="507" spans="1:20" x14ac:dyDescent="0.25">
      <c r="A507" s="5"/>
      <c r="C507" s="4"/>
      <c r="D507" s="4"/>
      <c r="P507">
        <f t="shared" si="84"/>
        <v>0</v>
      </c>
      <c r="Q507">
        <f t="shared" si="85"/>
        <v>0</v>
      </c>
      <c r="R507">
        <f t="shared" si="86"/>
        <v>0</v>
      </c>
      <c r="S507">
        <f t="shared" si="87"/>
        <v>0</v>
      </c>
      <c r="T507">
        <f t="shared" si="88"/>
        <v>0</v>
      </c>
    </row>
    <row r="508" spans="1:20" x14ac:dyDescent="0.25">
      <c r="A508" s="5"/>
      <c r="C508" s="4"/>
      <c r="D508" s="4"/>
      <c r="P508">
        <f t="shared" si="84"/>
        <v>0</v>
      </c>
      <c r="Q508">
        <f t="shared" si="85"/>
        <v>0</v>
      </c>
      <c r="R508">
        <f t="shared" si="86"/>
        <v>0</v>
      </c>
      <c r="S508">
        <f t="shared" si="87"/>
        <v>0</v>
      </c>
      <c r="T508">
        <f t="shared" si="88"/>
        <v>0</v>
      </c>
    </row>
    <row r="509" spans="1:20" x14ac:dyDescent="0.25">
      <c r="A509" s="5"/>
      <c r="C509" s="4"/>
      <c r="D509" s="4"/>
      <c r="P509">
        <f t="shared" si="84"/>
        <v>0</v>
      </c>
      <c r="Q509">
        <f t="shared" si="85"/>
        <v>0</v>
      </c>
      <c r="R509">
        <f t="shared" si="86"/>
        <v>0</v>
      </c>
      <c r="S509">
        <f t="shared" si="87"/>
        <v>0</v>
      </c>
      <c r="T509">
        <f t="shared" si="88"/>
        <v>0</v>
      </c>
    </row>
    <row r="510" spans="1:20" x14ac:dyDescent="0.25">
      <c r="A510" s="5"/>
      <c r="C510" s="4"/>
      <c r="D510" s="4"/>
      <c r="P510">
        <f t="shared" si="84"/>
        <v>0</v>
      </c>
      <c r="Q510">
        <f t="shared" si="85"/>
        <v>0</v>
      </c>
      <c r="R510">
        <f t="shared" si="86"/>
        <v>0</v>
      </c>
      <c r="S510">
        <f t="shared" si="87"/>
        <v>0</v>
      </c>
      <c r="T510">
        <f t="shared" si="88"/>
        <v>0</v>
      </c>
    </row>
    <row r="511" spans="1:20" x14ac:dyDescent="0.25">
      <c r="A511" s="5"/>
      <c r="C511" s="4"/>
      <c r="D511" s="4"/>
      <c r="P511">
        <f t="shared" si="84"/>
        <v>0</v>
      </c>
      <c r="Q511">
        <f t="shared" si="85"/>
        <v>0</v>
      </c>
      <c r="R511">
        <f t="shared" si="86"/>
        <v>0</v>
      </c>
      <c r="S511">
        <f t="shared" si="87"/>
        <v>0</v>
      </c>
      <c r="T511">
        <f t="shared" si="88"/>
        <v>0</v>
      </c>
    </row>
    <row r="512" spans="1:20" x14ac:dyDescent="0.25">
      <c r="A512" s="5"/>
      <c r="C512" s="4"/>
      <c r="D512" s="4"/>
      <c r="P512">
        <f t="shared" si="84"/>
        <v>0</v>
      </c>
      <c r="Q512">
        <f t="shared" si="85"/>
        <v>0</v>
      </c>
      <c r="R512">
        <f t="shared" si="86"/>
        <v>0</v>
      </c>
      <c r="S512">
        <f t="shared" si="87"/>
        <v>0</v>
      </c>
      <c r="T512">
        <f t="shared" si="88"/>
        <v>0</v>
      </c>
    </row>
    <row r="513" spans="1:20" x14ac:dyDescent="0.25">
      <c r="A513" s="5"/>
      <c r="C513" s="4"/>
      <c r="D513" s="4"/>
      <c r="P513">
        <f t="shared" si="84"/>
        <v>0</v>
      </c>
      <c r="Q513">
        <f t="shared" si="85"/>
        <v>0</v>
      </c>
      <c r="R513">
        <f t="shared" si="86"/>
        <v>0</v>
      </c>
      <c r="S513">
        <f t="shared" si="87"/>
        <v>0</v>
      </c>
      <c r="T513">
        <f t="shared" si="88"/>
        <v>0</v>
      </c>
    </row>
    <row r="514" spans="1:20" x14ac:dyDescent="0.25">
      <c r="A514" s="5"/>
      <c r="C514" s="4"/>
      <c r="D514" s="4"/>
      <c r="P514">
        <f t="shared" si="84"/>
        <v>0</v>
      </c>
      <c r="Q514">
        <f t="shared" si="85"/>
        <v>0</v>
      </c>
      <c r="R514">
        <f t="shared" si="86"/>
        <v>0</v>
      </c>
      <c r="S514">
        <f t="shared" si="87"/>
        <v>0</v>
      </c>
      <c r="T514">
        <f t="shared" si="88"/>
        <v>0</v>
      </c>
    </row>
    <row r="515" spans="1:20" x14ac:dyDescent="0.25">
      <c r="A515" s="5"/>
      <c r="C515" s="4"/>
      <c r="D515" s="4"/>
      <c r="P515">
        <f t="shared" si="84"/>
        <v>0</v>
      </c>
      <c r="Q515">
        <f t="shared" si="85"/>
        <v>0</v>
      </c>
      <c r="R515">
        <f t="shared" si="86"/>
        <v>0</v>
      </c>
      <c r="S515">
        <f t="shared" si="87"/>
        <v>0</v>
      </c>
      <c r="T515">
        <f t="shared" si="88"/>
        <v>0</v>
      </c>
    </row>
    <row r="516" spans="1:20" x14ac:dyDescent="0.25">
      <c r="A516" s="5"/>
      <c r="C516" s="4"/>
      <c r="D516" s="4"/>
      <c r="P516">
        <f t="shared" si="84"/>
        <v>0</v>
      </c>
      <c r="Q516">
        <f t="shared" si="85"/>
        <v>0</v>
      </c>
      <c r="R516">
        <f t="shared" si="86"/>
        <v>0</v>
      </c>
      <c r="S516">
        <f t="shared" si="87"/>
        <v>0</v>
      </c>
      <c r="T516">
        <f t="shared" si="88"/>
        <v>0</v>
      </c>
    </row>
    <row r="517" spans="1:20" x14ac:dyDescent="0.25">
      <c r="A517" s="5"/>
      <c r="C517" s="4"/>
      <c r="D517" s="4"/>
      <c r="P517">
        <f t="shared" si="84"/>
        <v>0</v>
      </c>
      <c r="Q517">
        <f t="shared" si="85"/>
        <v>0</v>
      </c>
      <c r="R517">
        <f t="shared" si="86"/>
        <v>0</v>
      </c>
      <c r="S517">
        <f t="shared" si="87"/>
        <v>0</v>
      </c>
      <c r="T517">
        <f t="shared" si="88"/>
        <v>0</v>
      </c>
    </row>
    <row r="518" spans="1:20" x14ac:dyDescent="0.25">
      <c r="A518" s="5"/>
      <c r="C518" s="4"/>
      <c r="D518" s="4"/>
      <c r="P518">
        <f t="shared" si="84"/>
        <v>0</v>
      </c>
      <c r="Q518">
        <f t="shared" si="85"/>
        <v>0</v>
      </c>
      <c r="R518">
        <f t="shared" si="86"/>
        <v>0</v>
      </c>
      <c r="S518">
        <f t="shared" si="87"/>
        <v>0</v>
      </c>
      <c r="T518">
        <f t="shared" si="88"/>
        <v>0</v>
      </c>
    </row>
    <row r="519" spans="1:20" x14ac:dyDescent="0.25">
      <c r="A519" s="5"/>
      <c r="C519" s="4"/>
      <c r="D519" s="4"/>
      <c r="P519">
        <f t="shared" si="84"/>
        <v>0</v>
      </c>
      <c r="Q519">
        <f t="shared" si="85"/>
        <v>0</v>
      </c>
      <c r="R519">
        <f t="shared" si="86"/>
        <v>0</v>
      </c>
      <c r="S519">
        <f t="shared" si="87"/>
        <v>0</v>
      </c>
      <c r="T519">
        <f t="shared" si="88"/>
        <v>0</v>
      </c>
    </row>
    <row r="520" spans="1:20" x14ac:dyDescent="0.25">
      <c r="A520" s="5"/>
      <c r="C520" s="4"/>
      <c r="D520" s="4"/>
      <c r="P520">
        <f t="shared" si="84"/>
        <v>0</v>
      </c>
      <c r="Q520">
        <f t="shared" si="85"/>
        <v>0</v>
      </c>
      <c r="R520">
        <f t="shared" si="86"/>
        <v>0</v>
      </c>
      <c r="S520">
        <f t="shared" si="87"/>
        <v>0</v>
      </c>
      <c r="T520">
        <f t="shared" si="88"/>
        <v>0</v>
      </c>
    </row>
    <row r="521" spans="1:20" x14ac:dyDescent="0.25">
      <c r="A521" s="5"/>
      <c r="C521" s="4"/>
      <c r="D521" s="4"/>
      <c r="P521">
        <f t="shared" si="84"/>
        <v>0</v>
      </c>
      <c r="Q521">
        <f t="shared" si="85"/>
        <v>0</v>
      </c>
      <c r="R521">
        <f t="shared" si="86"/>
        <v>0</v>
      </c>
      <c r="S521">
        <f t="shared" si="87"/>
        <v>0</v>
      </c>
      <c r="T521">
        <f t="shared" si="88"/>
        <v>0</v>
      </c>
    </row>
    <row r="522" spans="1:20" x14ac:dyDescent="0.25">
      <c r="A522" s="5"/>
      <c r="C522" s="4"/>
      <c r="D522" s="4"/>
      <c r="P522">
        <f t="shared" si="84"/>
        <v>0</v>
      </c>
      <c r="Q522">
        <f t="shared" si="85"/>
        <v>0</v>
      </c>
      <c r="R522">
        <f t="shared" si="86"/>
        <v>0</v>
      </c>
      <c r="S522">
        <f t="shared" si="87"/>
        <v>0</v>
      </c>
      <c r="T522">
        <f t="shared" si="88"/>
        <v>0</v>
      </c>
    </row>
    <row r="523" spans="1:20" x14ac:dyDescent="0.25">
      <c r="A523" s="5"/>
      <c r="C523" s="4"/>
      <c r="D523" s="4"/>
      <c r="P523">
        <f t="shared" si="84"/>
        <v>0</v>
      </c>
      <c r="Q523">
        <f t="shared" si="85"/>
        <v>0</v>
      </c>
      <c r="R523">
        <f t="shared" si="86"/>
        <v>0</v>
      </c>
      <c r="S523">
        <f t="shared" si="87"/>
        <v>0</v>
      </c>
      <c r="T523">
        <f t="shared" si="88"/>
        <v>0</v>
      </c>
    </row>
    <row r="524" spans="1:20" x14ac:dyDescent="0.25">
      <c r="A524" s="5"/>
      <c r="C524" s="4"/>
      <c r="D524" s="4"/>
      <c r="P524">
        <f t="shared" si="84"/>
        <v>0</v>
      </c>
      <c r="Q524">
        <f t="shared" si="85"/>
        <v>0</v>
      </c>
      <c r="R524">
        <f t="shared" si="86"/>
        <v>0</v>
      </c>
      <c r="S524">
        <f t="shared" si="87"/>
        <v>0</v>
      </c>
      <c r="T524">
        <f t="shared" si="88"/>
        <v>0</v>
      </c>
    </row>
    <row r="525" spans="1:20" x14ac:dyDescent="0.25">
      <c r="A525" s="5"/>
      <c r="C525" s="4"/>
      <c r="D525" s="4"/>
      <c r="P525">
        <f t="shared" si="84"/>
        <v>0</v>
      </c>
      <c r="Q525">
        <f t="shared" si="85"/>
        <v>0</v>
      </c>
      <c r="R525">
        <f t="shared" si="86"/>
        <v>0</v>
      </c>
      <c r="S525">
        <f t="shared" si="87"/>
        <v>0</v>
      </c>
      <c r="T525">
        <f t="shared" si="88"/>
        <v>0</v>
      </c>
    </row>
    <row r="526" spans="1:20" x14ac:dyDescent="0.25">
      <c r="A526" s="5"/>
      <c r="C526" s="4"/>
      <c r="D526" s="4"/>
      <c r="P526">
        <f t="shared" si="84"/>
        <v>0</v>
      </c>
      <c r="Q526">
        <f t="shared" si="85"/>
        <v>0</v>
      </c>
      <c r="R526">
        <f t="shared" si="86"/>
        <v>0</v>
      </c>
      <c r="S526">
        <f t="shared" si="87"/>
        <v>0</v>
      </c>
      <c r="T526">
        <f t="shared" si="88"/>
        <v>0</v>
      </c>
    </row>
    <row r="527" spans="1:20" x14ac:dyDescent="0.25">
      <c r="A527" s="5"/>
      <c r="C527" s="4"/>
      <c r="D527" s="4"/>
      <c r="P527">
        <f t="shared" si="84"/>
        <v>0</v>
      </c>
      <c r="Q527">
        <f t="shared" si="85"/>
        <v>0</v>
      </c>
      <c r="R527">
        <f t="shared" si="86"/>
        <v>0</v>
      </c>
      <c r="S527">
        <f t="shared" si="87"/>
        <v>0</v>
      </c>
      <c r="T527">
        <f t="shared" si="88"/>
        <v>0</v>
      </c>
    </row>
    <row r="528" spans="1:20" x14ac:dyDescent="0.25">
      <c r="A528" s="5"/>
      <c r="C528" s="4"/>
      <c r="D528" s="4"/>
      <c r="P528">
        <f t="shared" ref="P528:P584" si="89">IF(C528=D528,0,((E528-D528)-(C528-E528))/(C528-D528))</f>
        <v>0</v>
      </c>
      <c r="Q528">
        <f t="shared" ref="Q528:Q584" si="90">F528*P528</f>
        <v>0</v>
      </c>
      <c r="R528">
        <f t="shared" ref="R528:R584" si="91">R529+Q528</f>
        <v>0</v>
      </c>
      <c r="S528">
        <f t="shared" ref="S528:S584" si="92">R528/100000</f>
        <v>0</v>
      </c>
      <c r="T528">
        <f t="shared" ref="T528:T584" si="93">S528/1000</f>
        <v>0</v>
      </c>
    </row>
    <row r="529" spans="1:20" x14ac:dyDescent="0.25">
      <c r="A529" s="5"/>
      <c r="C529" s="4"/>
      <c r="D529" s="4"/>
      <c r="P529">
        <f t="shared" si="89"/>
        <v>0</v>
      </c>
      <c r="Q529">
        <f t="shared" si="90"/>
        <v>0</v>
      </c>
      <c r="R529">
        <f t="shared" si="91"/>
        <v>0</v>
      </c>
      <c r="S529">
        <f t="shared" si="92"/>
        <v>0</v>
      </c>
      <c r="T529">
        <f t="shared" si="93"/>
        <v>0</v>
      </c>
    </row>
    <row r="530" spans="1:20" x14ac:dyDescent="0.25">
      <c r="A530" s="5"/>
      <c r="C530" s="4"/>
      <c r="D530" s="4"/>
      <c r="P530">
        <f t="shared" si="89"/>
        <v>0</v>
      </c>
      <c r="Q530">
        <f t="shared" si="90"/>
        <v>0</v>
      </c>
      <c r="R530">
        <f t="shared" si="91"/>
        <v>0</v>
      </c>
      <c r="S530">
        <f t="shared" si="92"/>
        <v>0</v>
      </c>
      <c r="T530">
        <f t="shared" si="93"/>
        <v>0</v>
      </c>
    </row>
    <row r="531" spans="1:20" x14ac:dyDescent="0.25">
      <c r="A531" s="5"/>
      <c r="C531" s="4"/>
      <c r="D531" s="4"/>
      <c r="P531">
        <f t="shared" si="89"/>
        <v>0</v>
      </c>
      <c r="Q531">
        <f t="shared" si="90"/>
        <v>0</v>
      </c>
      <c r="R531">
        <f t="shared" si="91"/>
        <v>0</v>
      </c>
      <c r="S531">
        <f t="shared" si="92"/>
        <v>0</v>
      </c>
      <c r="T531">
        <f t="shared" si="93"/>
        <v>0</v>
      </c>
    </row>
    <row r="532" spans="1:20" x14ac:dyDescent="0.25">
      <c r="A532" s="5"/>
      <c r="C532" s="4"/>
      <c r="D532" s="4"/>
      <c r="P532">
        <f t="shared" si="89"/>
        <v>0</v>
      </c>
      <c r="Q532">
        <f t="shared" si="90"/>
        <v>0</v>
      </c>
      <c r="R532">
        <f t="shared" si="91"/>
        <v>0</v>
      </c>
      <c r="S532">
        <f t="shared" si="92"/>
        <v>0</v>
      </c>
      <c r="T532">
        <f t="shared" si="93"/>
        <v>0</v>
      </c>
    </row>
    <row r="533" spans="1:20" x14ac:dyDescent="0.25">
      <c r="A533" s="5"/>
      <c r="C533" s="4"/>
      <c r="D533" s="4"/>
      <c r="P533">
        <f t="shared" si="89"/>
        <v>0</v>
      </c>
      <c r="Q533">
        <f t="shared" si="90"/>
        <v>0</v>
      </c>
      <c r="R533">
        <f t="shared" si="91"/>
        <v>0</v>
      </c>
      <c r="S533">
        <f t="shared" si="92"/>
        <v>0</v>
      </c>
      <c r="T533">
        <f t="shared" si="93"/>
        <v>0</v>
      </c>
    </row>
    <row r="534" spans="1:20" x14ac:dyDescent="0.25">
      <c r="A534" s="5"/>
      <c r="C534" s="4"/>
      <c r="D534" s="4"/>
      <c r="P534">
        <f t="shared" si="89"/>
        <v>0</v>
      </c>
      <c r="Q534">
        <f t="shared" si="90"/>
        <v>0</v>
      </c>
      <c r="R534">
        <f t="shared" si="91"/>
        <v>0</v>
      </c>
      <c r="S534">
        <f t="shared" si="92"/>
        <v>0</v>
      </c>
      <c r="T534">
        <f t="shared" si="93"/>
        <v>0</v>
      </c>
    </row>
    <row r="535" spans="1:20" x14ac:dyDescent="0.25">
      <c r="A535" s="5"/>
      <c r="C535" s="4"/>
      <c r="D535" s="4"/>
      <c r="P535">
        <f t="shared" si="89"/>
        <v>0</v>
      </c>
      <c r="Q535">
        <f t="shared" si="90"/>
        <v>0</v>
      </c>
      <c r="R535">
        <f t="shared" si="91"/>
        <v>0</v>
      </c>
      <c r="S535">
        <f t="shared" si="92"/>
        <v>0</v>
      </c>
      <c r="T535">
        <f t="shared" si="93"/>
        <v>0</v>
      </c>
    </row>
    <row r="536" spans="1:20" x14ac:dyDescent="0.25">
      <c r="A536" s="5"/>
      <c r="C536" s="4"/>
      <c r="D536" s="4"/>
      <c r="P536">
        <f t="shared" si="89"/>
        <v>0</v>
      </c>
      <c r="Q536">
        <f t="shared" si="90"/>
        <v>0</v>
      </c>
      <c r="R536">
        <f t="shared" si="91"/>
        <v>0</v>
      </c>
      <c r="S536">
        <f t="shared" si="92"/>
        <v>0</v>
      </c>
      <c r="T536">
        <f t="shared" si="93"/>
        <v>0</v>
      </c>
    </row>
    <row r="537" spans="1:20" x14ac:dyDescent="0.25">
      <c r="A537" s="5"/>
      <c r="C537" s="4"/>
      <c r="D537" s="4"/>
      <c r="P537">
        <f t="shared" si="89"/>
        <v>0</v>
      </c>
      <c r="Q537">
        <f t="shared" si="90"/>
        <v>0</v>
      </c>
      <c r="R537">
        <f t="shared" si="91"/>
        <v>0</v>
      </c>
      <c r="S537">
        <f t="shared" si="92"/>
        <v>0</v>
      </c>
      <c r="T537">
        <f t="shared" si="93"/>
        <v>0</v>
      </c>
    </row>
    <row r="538" spans="1:20" x14ac:dyDescent="0.25">
      <c r="A538" s="5"/>
      <c r="C538" s="4"/>
      <c r="D538" s="4"/>
      <c r="P538">
        <f t="shared" si="89"/>
        <v>0</v>
      </c>
      <c r="Q538">
        <f t="shared" si="90"/>
        <v>0</v>
      </c>
      <c r="R538">
        <f t="shared" si="91"/>
        <v>0</v>
      </c>
      <c r="S538">
        <f t="shared" si="92"/>
        <v>0</v>
      </c>
      <c r="T538">
        <f t="shared" si="93"/>
        <v>0</v>
      </c>
    </row>
    <row r="539" spans="1:20" x14ac:dyDescent="0.25">
      <c r="A539" s="5"/>
      <c r="C539" s="4"/>
      <c r="D539" s="4"/>
      <c r="P539">
        <f t="shared" si="89"/>
        <v>0</v>
      </c>
      <c r="Q539">
        <f t="shared" si="90"/>
        <v>0</v>
      </c>
      <c r="R539">
        <f t="shared" si="91"/>
        <v>0</v>
      </c>
      <c r="S539">
        <f t="shared" si="92"/>
        <v>0</v>
      </c>
      <c r="T539">
        <f t="shared" si="93"/>
        <v>0</v>
      </c>
    </row>
    <row r="540" spans="1:20" x14ac:dyDescent="0.25">
      <c r="A540" s="5"/>
      <c r="C540" s="4"/>
      <c r="D540" s="4"/>
      <c r="P540">
        <f t="shared" si="89"/>
        <v>0</v>
      </c>
      <c r="Q540">
        <f t="shared" si="90"/>
        <v>0</v>
      </c>
      <c r="R540">
        <f t="shared" si="91"/>
        <v>0</v>
      </c>
      <c r="S540">
        <f t="shared" si="92"/>
        <v>0</v>
      </c>
      <c r="T540">
        <f t="shared" si="93"/>
        <v>0</v>
      </c>
    </row>
    <row r="541" spans="1:20" x14ac:dyDescent="0.25">
      <c r="A541" s="5"/>
      <c r="C541" s="4"/>
      <c r="D541" s="4"/>
      <c r="P541">
        <f t="shared" si="89"/>
        <v>0</v>
      </c>
      <c r="Q541">
        <f t="shared" si="90"/>
        <v>0</v>
      </c>
      <c r="R541">
        <f t="shared" si="91"/>
        <v>0</v>
      </c>
      <c r="S541">
        <f t="shared" si="92"/>
        <v>0</v>
      </c>
      <c r="T541">
        <f t="shared" si="93"/>
        <v>0</v>
      </c>
    </row>
    <row r="542" spans="1:20" x14ac:dyDescent="0.25">
      <c r="A542" s="5"/>
      <c r="C542" s="4"/>
      <c r="D542" s="4"/>
      <c r="P542">
        <f t="shared" si="89"/>
        <v>0</v>
      </c>
      <c r="Q542">
        <f t="shared" si="90"/>
        <v>0</v>
      </c>
      <c r="R542">
        <f t="shared" si="91"/>
        <v>0</v>
      </c>
      <c r="S542">
        <f t="shared" si="92"/>
        <v>0</v>
      </c>
      <c r="T542">
        <f t="shared" si="93"/>
        <v>0</v>
      </c>
    </row>
    <row r="543" spans="1:20" x14ac:dyDescent="0.25">
      <c r="A543" s="5"/>
      <c r="C543" s="4"/>
      <c r="D543" s="4"/>
      <c r="P543">
        <f t="shared" si="89"/>
        <v>0</v>
      </c>
      <c r="Q543">
        <f t="shared" si="90"/>
        <v>0</v>
      </c>
      <c r="R543">
        <f t="shared" si="91"/>
        <v>0</v>
      </c>
      <c r="S543">
        <f t="shared" si="92"/>
        <v>0</v>
      </c>
      <c r="T543">
        <f t="shared" si="93"/>
        <v>0</v>
      </c>
    </row>
    <row r="544" spans="1:20" x14ac:dyDescent="0.25">
      <c r="A544" s="5"/>
      <c r="C544" s="4"/>
      <c r="D544" s="4"/>
      <c r="P544">
        <f t="shared" si="89"/>
        <v>0</v>
      </c>
      <c r="Q544">
        <f t="shared" si="90"/>
        <v>0</v>
      </c>
      <c r="R544">
        <f t="shared" si="91"/>
        <v>0</v>
      </c>
      <c r="S544">
        <f t="shared" si="92"/>
        <v>0</v>
      </c>
      <c r="T544">
        <f t="shared" si="93"/>
        <v>0</v>
      </c>
    </row>
    <row r="545" spans="1:20" x14ac:dyDescent="0.25">
      <c r="A545" s="5"/>
      <c r="C545" s="4"/>
      <c r="D545" s="4"/>
      <c r="P545">
        <f t="shared" si="89"/>
        <v>0</v>
      </c>
      <c r="Q545">
        <f t="shared" si="90"/>
        <v>0</v>
      </c>
      <c r="R545">
        <f t="shared" si="91"/>
        <v>0</v>
      </c>
      <c r="S545">
        <f t="shared" si="92"/>
        <v>0</v>
      </c>
      <c r="T545">
        <f t="shared" si="93"/>
        <v>0</v>
      </c>
    </row>
    <row r="546" spans="1:20" x14ac:dyDescent="0.25">
      <c r="A546" s="5"/>
      <c r="C546" s="4"/>
      <c r="D546" s="4"/>
      <c r="P546">
        <f t="shared" si="89"/>
        <v>0</v>
      </c>
      <c r="Q546">
        <f t="shared" si="90"/>
        <v>0</v>
      </c>
      <c r="R546">
        <f t="shared" si="91"/>
        <v>0</v>
      </c>
      <c r="S546">
        <f t="shared" si="92"/>
        <v>0</v>
      </c>
      <c r="T546">
        <f t="shared" si="93"/>
        <v>0</v>
      </c>
    </row>
    <row r="547" spans="1:20" x14ac:dyDescent="0.25">
      <c r="A547" s="5"/>
      <c r="C547" s="4"/>
      <c r="D547" s="4"/>
      <c r="P547">
        <f t="shared" si="89"/>
        <v>0</v>
      </c>
      <c r="Q547">
        <f t="shared" si="90"/>
        <v>0</v>
      </c>
      <c r="R547">
        <f t="shared" si="91"/>
        <v>0</v>
      </c>
      <c r="S547">
        <f t="shared" si="92"/>
        <v>0</v>
      </c>
      <c r="T547">
        <f t="shared" si="93"/>
        <v>0</v>
      </c>
    </row>
    <row r="548" spans="1:20" x14ac:dyDescent="0.25">
      <c r="A548" s="5"/>
      <c r="C548" s="4"/>
      <c r="D548" s="4"/>
      <c r="P548">
        <f t="shared" si="89"/>
        <v>0</v>
      </c>
      <c r="Q548">
        <f t="shared" si="90"/>
        <v>0</v>
      </c>
      <c r="R548">
        <f t="shared" si="91"/>
        <v>0</v>
      </c>
      <c r="S548">
        <f t="shared" si="92"/>
        <v>0</v>
      </c>
      <c r="T548">
        <f t="shared" si="93"/>
        <v>0</v>
      </c>
    </row>
    <row r="549" spans="1:20" x14ac:dyDescent="0.25">
      <c r="A549" s="5"/>
      <c r="C549" s="4"/>
      <c r="D549" s="4"/>
      <c r="P549">
        <f t="shared" si="89"/>
        <v>0</v>
      </c>
      <c r="Q549">
        <f t="shared" si="90"/>
        <v>0</v>
      </c>
      <c r="R549">
        <f t="shared" si="91"/>
        <v>0</v>
      </c>
      <c r="S549">
        <f t="shared" si="92"/>
        <v>0</v>
      </c>
      <c r="T549">
        <f t="shared" si="93"/>
        <v>0</v>
      </c>
    </row>
    <row r="550" spans="1:20" x14ac:dyDescent="0.25">
      <c r="A550" s="5"/>
      <c r="C550" s="4"/>
      <c r="D550" s="4"/>
      <c r="P550">
        <f t="shared" si="89"/>
        <v>0</v>
      </c>
      <c r="Q550">
        <f t="shared" si="90"/>
        <v>0</v>
      </c>
      <c r="R550">
        <f t="shared" si="91"/>
        <v>0</v>
      </c>
      <c r="S550">
        <f t="shared" si="92"/>
        <v>0</v>
      </c>
      <c r="T550">
        <f t="shared" si="93"/>
        <v>0</v>
      </c>
    </row>
    <row r="551" spans="1:20" x14ac:dyDescent="0.25">
      <c r="A551" s="5"/>
      <c r="C551" s="4"/>
      <c r="D551" s="4"/>
      <c r="P551">
        <f t="shared" si="89"/>
        <v>0</v>
      </c>
      <c r="Q551">
        <f t="shared" si="90"/>
        <v>0</v>
      </c>
      <c r="R551">
        <f t="shared" si="91"/>
        <v>0</v>
      </c>
      <c r="S551">
        <f t="shared" si="92"/>
        <v>0</v>
      </c>
      <c r="T551">
        <f t="shared" si="93"/>
        <v>0</v>
      </c>
    </row>
    <row r="552" spans="1:20" x14ac:dyDescent="0.25">
      <c r="A552" s="5"/>
      <c r="C552" s="4"/>
      <c r="D552" s="4"/>
      <c r="P552">
        <f t="shared" si="89"/>
        <v>0</v>
      </c>
      <c r="Q552">
        <f t="shared" si="90"/>
        <v>0</v>
      </c>
      <c r="R552">
        <f t="shared" si="91"/>
        <v>0</v>
      </c>
      <c r="S552">
        <f t="shared" si="92"/>
        <v>0</v>
      </c>
      <c r="T552">
        <f t="shared" si="93"/>
        <v>0</v>
      </c>
    </row>
    <row r="553" spans="1:20" x14ac:dyDescent="0.25">
      <c r="A553" s="5"/>
      <c r="C553" s="4"/>
      <c r="D553" s="4"/>
      <c r="P553">
        <f t="shared" si="89"/>
        <v>0</v>
      </c>
      <c r="Q553">
        <f t="shared" si="90"/>
        <v>0</v>
      </c>
      <c r="R553">
        <f t="shared" si="91"/>
        <v>0</v>
      </c>
      <c r="S553">
        <f t="shared" si="92"/>
        <v>0</v>
      </c>
      <c r="T553">
        <f t="shared" si="93"/>
        <v>0</v>
      </c>
    </row>
    <row r="554" spans="1:20" x14ac:dyDescent="0.25">
      <c r="A554" s="5"/>
      <c r="C554" s="4"/>
      <c r="D554" s="4"/>
      <c r="P554">
        <f t="shared" si="89"/>
        <v>0</v>
      </c>
      <c r="Q554">
        <f t="shared" si="90"/>
        <v>0</v>
      </c>
      <c r="R554">
        <f t="shared" si="91"/>
        <v>0</v>
      </c>
      <c r="S554">
        <f t="shared" si="92"/>
        <v>0</v>
      </c>
      <c r="T554">
        <f t="shared" si="93"/>
        <v>0</v>
      </c>
    </row>
    <row r="555" spans="1:20" x14ac:dyDescent="0.25">
      <c r="A555" s="5"/>
      <c r="C555" s="4"/>
      <c r="D555" s="4"/>
      <c r="P555">
        <f t="shared" si="89"/>
        <v>0</v>
      </c>
      <c r="Q555">
        <f t="shared" si="90"/>
        <v>0</v>
      </c>
      <c r="R555">
        <f t="shared" si="91"/>
        <v>0</v>
      </c>
      <c r="S555">
        <f t="shared" si="92"/>
        <v>0</v>
      </c>
      <c r="T555">
        <f t="shared" si="93"/>
        <v>0</v>
      </c>
    </row>
    <row r="556" spans="1:20" x14ac:dyDescent="0.25">
      <c r="A556" s="5"/>
      <c r="C556" s="4"/>
      <c r="D556" s="4"/>
      <c r="P556">
        <f t="shared" si="89"/>
        <v>0</v>
      </c>
      <c r="Q556">
        <f t="shared" si="90"/>
        <v>0</v>
      </c>
      <c r="R556">
        <f t="shared" si="91"/>
        <v>0</v>
      </c>
      <c r="S556">
        <f t="shared" si="92"/>
        <v>0</v>
      </c>
      <c r="T556">
        <f t="shared" si="93"/>
        <v>0</v>
      </c>
    </row>
    <row r="557" spans="1:20" x14ac:dyDescent="0.25">
      <c r="A557" s="5"/>
      <c r="C557" s="4"/>
      <c r="D557" s="4"/>
      <c r="P557">
        <f t="shared" si="89"/>
        <v>0</v>
      </c>
      <c r="Q557">
        <f t="shared" si="90"/>
        <v>0</v>
      </c>
      <c r="R557">
        <f t="shared" si="91"/>
        <v>0</v>
      </c>
      <c r="S557">
        <f t="shared" si="92"/>
        <v>0</v>
      </c>
      <c r="T557">
        <f t="shared" si="93"/>
        <v>0</v>
      </c>
    </row>
    <row r="558" spans="1:20" x14ac:dyDescent="0.25">
      <c r="A558" s="5"/>
      <c r="C558" s="4"/>
      <c r="D558" s="4"/>
      <c r="P558">
        <f t="shared" si="89"/>
        <v>0</v>
      </c>
      <c r="Q558">
        <f t="shared" si="90"/>
        <v>0</v>
      </c>
      <c r="R558">
        <f t="shared" si="91"/>
        <v>0</v>
      </c>
      <c r="S558">
        <f t="shared" si="92"/>
        <v>0</v>
      </c>
      <c r="T558">
        <f t="shared" si="93"/>
        <v>0</v>
      </c>
    </row>
    <row r="559" spans="1:20" x14ac:dyDescent="0.25">
      <c r="A559" s="5"/>
      <c r="C559" s="4"/>
      <c r="D559" s="4"/>
      <c r="P559">
        <f t="shared" si="89"/>
        <v>0</v>
      </c>
      <c r="Q559">
        <f t="shared" si="90"/>
        <v>0</v>
      </c>
      <c r="R559">
        <f t="shared" si="91"/>
        <v>0</v>
      </c>
      <c r="S559">
        <f t="shared" si="92"/>
        <v>0</v>
      </c>
      <c r="T559">
        <f t="shared" si="93"/>
        <v>0</v>
      </c>
    </row>
    <row r="560" spans="1:20" x14ac:dyDescent="0.25">
      <c r="A560" s="5"/>
      <c r="C560" s="4"/>
      <c r="D560" s="4"/>
      <c r="P560">
        <f t="shared" si="89"/>
        <v>0</v>
      </c>
      <c r="Q560">
        <f t="shared" si="90"/>
        <v>0</v>
      </c>
      <c r="R560">
        <f t="shared" si="91"/>
        <v>0</v>
      </c>
      <c r="S560">
        <f t="shared" si="92"/>
        <v>0</v>
      </c>
      <c r="T560">
        <f t="shared" si="93"/>
        <v>0</v>
      </c>
    </row>
    <row r="561" spans="1:20" x14ac:dyDescent="0.25">
      <c r="A561" s="5"/>
      <c r="C561" s="4"/>
      <c r="D561" s="4"/>
      <c r="P561">
        <f t="shared" si="89"/>
        <v>0</v>
      </c>
      <c r="Q561">
        <f t="shared" si="90"/>
        <v>0</v>
      </c>
      <c r="R561">
        <f t="shared" si="91"/>
        <v>0</v>
      </c>
      <c r="S561">
        <f t="shared" si="92"/>
        <v>0</v>
      </c>
      <c r="T561">
        <f t="shared" si="93"/>
        <v>0</v>
      </c>
    </row>
    <row r="562" spans="1:20" x14ac:dyDescent="0.25">
      <c r="A562" s="5"/>
      <c r="C562" s="4"/>
      <c r="D562" s="4"/>
      <c r="P562">
        <f t="shared" si="89"/>
        <v>0</v>
      </c>
      <c r="Q562">
        <f t="shared" si="90"/>
        <v>0</v>
      </c>
      <c r="R562">
        <f t="shared" si="91"/>
        <v>0</v>
      </c>
      <c r="S562">
        <f t="shared" si="92"/>
        <v>0</v>
      </c>
      <c r="T562">
        <f t="shared" si="93"/>
        <v>0</v>
      </c>
    </row>
    <row r="563" spans="1:20" x14ac:dyDescent="0.25">
      <c r="A563" s="5"/>
      <c r="C563" s="4"/>
      <c r="D563" s="4"/>
      <c r="P563">
        <f t="shared" si="89"/>
        <v>0</v>
      </c>
      <c r="Q563">
        <f t="shared" si="90"/>
        <v>0</v>
      </c>
      <c r="R563">
        <f t="shared" si="91"/>
        <v>0</v>
      </c>
      <c r="S563">
        <f t="shared" si="92"/>
        <v>0</v>
      </c>
      <c r="T563">
        <f t="shared" si="93"/>
        <v>0</v>
      </c>
    </row>
    <row r="564" spans="1:20" x14ac:dyDescent="0.25">
      <c r="A564" s="5"/>
      <c r="C564" s="4"/>
      <c r="D564" s="4"/>
      <c r="P564">
        <f t="shared" si="89"/>
        <v>0</v>
      </c>
      <c r="Q564">
        <f t="shared" si="90"/>
        <v>0</v>
      </c>
      <c r="R564">
        <f t="shared" si="91"/>
        <v>0</v>
      </c>
      <c r="S564">
        <f t="shared" si="92"/>
        <v>0</v>
      </c>
      <c r="T564">
        <f t="shared" si="93"/>
        <v>0</v>
      </c>
    </row>
    <row r="565" spans="1:20" x14ac:dyDescent="0.25">
      <c r="A565" s="5"/>
      <c r="C565" s="4"/>
      <c r="D565" s="4"/>
      <c r="P565">
        <f t="shared" si="89"/>
        <v>0</v>
      </c>
      <c r="Q565">
        <f t="shared" si="90"/>
        <v>0</v>
      </c>
      <c r="R565">
        <f t="shared" si="91"/>
        <v>0</v>
      </c>
      <c r="S565">
        <f t="shared" si="92"/>
        <v>0</v>
      </c>
      <c r="T565">
        <f t="shared" si="93"/>
        <v>0</v>
      </c>
    </row>
    <row r="566" spans="1:20" x14ac:dyDescent="0.25">
      <c r="A566" s="5"/>
      <c r="C566" s="4"/>
      <c r="D566" s="4"/>
      <c r="P566">
        <f t="shared" si="89"/>
        <v>0</v>
      </c>
      <c r="Q566">
        <f t="shared" si="90"/>
        <v>0</v>
      </c>
      <c r="R566">
        <f t="shared" si="91"/>
        <v>0</v>
      </c>
      <c r="S566">
        <f t="shared" si="92"/>
        <v>0</v>
      </c>
      <c r="T566">
        <f t="shared" si="93"/>
        <v>0</v>
      </c>
    </row>
    <row r="567" spans="1:20" x14ac:dyDescent="0.25">
      <c r="A567" s="5"/>
      <c r="C567" s="4"/>
      <c r="D567" s="4"/>
      <c r="P567">
        <f t="shared" si="89"/>
        <v>0</v>
      </c>
      <c r="Q567">
        <f t="shared" si="90"/>
        <v>0</v>
      </c>
      <c r="R567">
        <f t="shared" si="91"/>
        <v>0</v>
      </c>
      <c r="S567">
        <f t="shared" si="92"/>
        <v>0</v>
      </c>
      <c r="T567">
        <f t="shared" si="93"/>
        <v>0</v>
      </c>
    </row>
    <row r="568" spans="1:20" x14ac:dyDescent="0.25">
      <c r="A568" s="5"/>
      <c r="C568" s="4"/>
      <c r="D568" s="4"/>
      <c r="P568">
        <f t="shared" si="89"/>
        <v>0</v>
      </c>
      <c r="Q568">
        <f t="shared" si="90"/>
        <v>0</v>
      </c>
      <c r="R568">
        <f t="shared" si="91"/>
        <v>0</v>
      </c>
      <c r="S568">
        <f t="shared" si="92"/>
        <v>0</v>
      </c>
      <c r="T568">
        <f t="shared" si="93"/>
        <v>0</v>
      </c>
    </row>
    <row r="569" spans="1:20" x14ac:dyDescent="0.25">
      <c r="A569" s="5"/>
      <c r="C569" s="4"/>
      <c r="D569" s="4"/>
      <c r="P569">
        <f t="shared" si="89"/>
        <v>0</v>
      </c>
      <c r="Q569">
        <f t="shared" si="90"/>
        <v>0</v>
      </c>
      <c r="R569">
        <f t="shared" si="91"/>
        <v>0</v>
      </c>
      <c r="S569">
        <f t="shared" si="92"/>
        <v>0</v>
      </c>
      <c r="T569">
        <f t="shared" si="93"/>
        <v>0</v>
      </c>
    </row>
    <row r="570" spans="1:20" x14ac:dyDescent="0.25">
      <c r="A570" s="5"/>
      <c r="C570" s="4"/>
      <c r="D570" s="4"/>
      <c r="P570">
        <f t="shared" si="89"/>
        <v>0</v>
      </c>
      <c r="Q570">
        <f t="shared" si="90"/>
        <v>0</v>
      </c>
      <c r="R570">
        <f t="shared" si="91"/>
        <v>0</v>
      </c>
      <c r="S570">
        <f t="shared" si="92"/>
        <v>0</v>
      </c>
      <c r="T570">
        <f t="shared" si="93"/>
        <v>0</v>
      </c>
    </row>
    <row r="571" spans="1:20" x14ac:dyDescent="0.25">
      <c r="A571" s="5"/>
      <c r="C571" s="4"/>
      <c r="D571" s="4"/>
      <c r="P571">
        <f t="shared" si="89"/>
        <v>0</v>
      </c>
      <c r="Q571">
        <f t="shared" si="90"/>
        <v>0</v>
      </c>
      <c r="R571">
        <f t="shared" si="91"/>
        <v>0</v>
      </c>
      <c r="S571">
        <f t="shared" si="92"/>
        <v>0</v>
      </c>
      <c r="T571">
        <f t="shared" si="93"/>
        <v>0</v>
      </c>
    </row>
    <row r="572" spans="1:20" x14ac:dyDescent="0.25">
      <c r="A572" s="5"/>
      <c r="C572" s="4"/>
      <c r="D572" s="4"/>
      <c r="P572">
        <f t="shared" si="89"/>
        <v>0</v>
      </c>
      <c r="Q572">
        <f t="shared" si="90"/>
        <v>0</v>
      </c>
      <c r="R572">
        <f t="shared" si="91"/>
        <v>0</v>
      </c>
      <c r="S572">
        <f t="shared" si="92"/>
        <v>0</v>
      </c>
      <c r="T572">
        <f t="shared" si="93"/>
        <v>0</v>
      </c>
    </row>
    <row r="573" spans="1:20" x14ac:dyDescent="0.25">
      <c r="A573" s="5"/>
      <c r="C573" s="4"/>
      <c r="D573" s="4"/>
      <c r="P573">
        <f t="shared" si="89"/>
        <v>0</v>
      </c>
      <c r="Q573">
        <f t="shared" si="90"/>
        <v>0</v>
      </c>
      <c r="R573">
        <f t="shared" si="91"/>
        <v>0</v>
      </c>
      <c r="S573">
        <f t="shared" si="92"/>
        <v>0</v>
      </c>
      <c r="T573">
        <f t="shared" si="93"/>
        <v>0</v>
      </c>
    </row>
    <row r="574" spans="1:20" x14ac:dyDescent="0.25">
      <c r="A574" s="5"/>
      <c r="C574" s="4"/>
      <c r="D574" s="4"/>
      <c r="P574">
        <f t="shared" si="89"/>
        <v>0</v>
      </c>
      <c r="Q574">
        <f t="shared" si="90"/>
        <v>0</v>
      </c>
      <c r="R574">
        <f t="shared" si="91"/>
        <v>0</v>
      </c>
      <c r="S574">
        <f t="shared" si="92"/>
        <v>0</v>
      </c>
      <c r="T574">
        <f t="shared" si="93"/>
        <v>0</v>
      </c>
    </row>
    <row r="575" spans="1:20" x14ac:dyDescent="0.25">
      <c r="A575" s="5"/>
      <c r="C575" s="4"/>
      <c r="D575" s="4"/>
      <c r="P575">
        <f t="shared" si="89"/>
        <v>0</v>
      </c>
      <c r="Q575">
        <f t="shared" si="90"/>
        <v>0</v>
      </c>
      <c r="R575">
        <f t="shared" si="91"/>
        <v>0</v>
      </c>
      <c r="S575">
        <f t="shared" si="92"/>
        <v>0</v>
      </c>
      <c r="T575">
        <f t="shared" si="93"/>
        <v>0</v>
      </c>
    </row>
    <row r="576" spans="1:20" x14ac:dyDescent="0.25">
      <c r="A576" s="5"/>
      <c r="C576" s="4"/>
      <c r="D576" s="4"/>
      <c r="P576">
        <f t="shared" si="89"/>
        <v>0</v>
      </c>
      <c r="Q576">
        <f t="shared" si="90"/>
        <v>0</v>
      </c>
      <c r="R576">
        <f t="shared" si="91"/>
        <v>0</v>
      </c>
      <c r="S576">
        <f t="shared" si="92"/>
        <v>0</v>
      </c>
      <c r="T576">
        <f t="shared" si="93"/>
        <v>0</v>
      </c>
    </row>
    <row r="577" spans="1:20" x14ac:dyDescent="0.25">
      <c r="A577" s="5"/>
      <c r="C577" s="4"/>
      <c r="D577" s="4"/>
      <c r="P577">
        <f t="shared" si="89"/>
        <v>0</v>
      </c>
      <c r="Q577">
        <f t="shared" si="90"/>
        <v>0</v>
      </c>
      <c r="R577">
        <f t="shared" si="91"/>
        <v>0</v>
      </c>
      <c r="S577">
        <f t="shared" si="92"/>
        <v>0</v>
      </c>
      <c r="T577">
        <f t="shared" si="93"/>
        <v>0</v>
      </c>
    </row>
    <row r="578" spans="1:20" x14ac:dyDescent="0.25">
      <c r="A578" s="5"/>
      <c r="C578" s="4"/>
      <c r="D578" s="4"/>
      <c r="P578">
        <f t="shared" si="89"/>
        <v>0</v>
      </c>
      <c r="Q578">
        <f t="shared" si="90"/>
        <v>0</v>
      </c>
      <c r="R578">
        <f t="shared" si="91"/>
        <v>0</v>
      </c>
      <c r="S578">
        <f t="shared" si="92"/>
        <v>0</v>
      </c>
      <c r="T578">
        <f t="shared" si="93"/>
        <v>0</v>
      </c>
    </row>
    <row r="579" spans="1:20" x14ac:dyDescent="0.25">
      <c r="A579" s="5"/>
      <c r="C579" s="4"/>
      <c r="D579" s="4"/>
      <c r="P579">
        <f t="shared" si="89"/>
        <v>0</v>
      </c>
      <c r="Q579">
        <f t="shared" si="90"/>
        <v>0</v>
      </c>
      <c r="R579">
        <f t="shared" si="91"/>
        <v>0</v>
      </c>
      <c r="S579">
        <f t="shared" si="92"/>
        <v>0</v>
      </c>
      <c r="T579">
        <f t="shared" si="93"/>
        <v>0</v>
      </c>
    </row>
    <row r="580" spans="1:20" x14ac:dyDescent="0.25">
      <c r="A580" s="5"/>
      <c r="C580" s="4"/>
      <c r="D580" s="4"/>
      <c r="P580">
        <f t="shared" si="89"/>
        <v>0</v>
      </c>
      <c r="Q580">
        <f t="shared" si="90"/>
        <v>0</v>
      </c>
      <c r="R580">
        <f t="shared" si="91"/>
        <v>0</v>
      </c>
      <c r="S580">
        <f t="shared" si="92"/>
        <v>0</v>
      </c>
      <c r="T580">
        <f t="shared" si="93"/>
        <v>0</v>
      </c>
    </row>
    <row r="581" spans="1:20" x14ac:dyDescent="0.25">
      <c r="A581" s="5"/>
      <c r="C581" s="4"/>
      <c r="D581" s="4"/>
      <c r="P581">
        <f t="shared" si="89"/>
        <v>0</v>
      </c>
      <c r="Q581">
        <f t="shared" si="90"/>
        <v>0</v>
      </c>
      <c r="R581">
        <f t="shared" si="91"/>
        <v>0</v>
      </c>
      <c r="S581">
        <f t="shared" si="92"/>
        <v>0</v>
      </c>
      <c r="T581">
        <f t="shared" si="93"/>
        <v>0</v>
      </c>
    </row>
    <row r="582" spans="1:20" x14ac:dyDescent="0.25">
      <c r="A582" s="5"/>
      <c r="C582" s="4"/>
      <c r="D582" s="4"/>
      <c r="P582">
        <f t="shared" si="89"/>
        <v>0</v>
      </c>
      <c r="Q582">
        <f t="shared" si="90"/>
        <v>0</v>
      </c>
      <c r="R582">
        <f t="shared" si="91"/>
        <v>0</v>
      </c>
      <c r="S582">
        <f t="shared" si="92"/>
        <v>0</v>
      </c>
      <c r="T582">
        <f t="shared" si="93"/>
        <v>0</v>
      </c>
    </row>
    <row r="583" spans="1:20" x14ac:dyDescent="0.25">
      <c r="A583" s="5"/>
      <c r="C583" s="4"/>
      <c r="D583" s="4"/>
      <c r="P583">
        <f t="shared" si="89"/>
        <v>0</v>
      </c>
      <c r="Q583">
        <f t="shared" si="90"/>
        <v>0</v>
      </c>
      <c r="R583">
        <f t="shared" si="91"/>
        <v>0</v>
      </c>
      <c r="S583">
        <f t="shared" si="92"/>
        <v>0</v>
      </c>
      <c r="T583">
        <f t="shared" si="93"/>
        <v>0</v>
      </c>
    </row>
    <row r="584" spans="1:20" x14ac:dyDescent="0.25">
      <c r="A584" s="5"/>
      <c r="C584" s="4"/>
      <c r="D584" s="4"/>
      <c r="P584">
        <f t="shared" si="89"/>
        <v>0</v>
      </c>
      <c r="Q584">
        <f t="shared" si="90"/>
        <v>0</v>
      </c>
      <c r="R584">
        <f t="shared" si="91"/>
        <v>0</v>
      </c>
      <c r="S584">
        <f t="shared" si="92"/>
        <v>0</v>
      </c>
      <c r="T584">
        <f t="shared" si="93"/>
        <v>0</v>
      </c>
    </row>
    <row r="585" spans="1:20" x14ac:dyDescent="0.25">
      <c r="A585" s="5"/>
      <c r="C585" s="4"/>
      <c r="D585" s="4"/>
    </row>
    <row r="586" spans="1:20" x14ac:dyDescent="0.25">
      <c r="A586" s="5"/>
      <c r="C586" s="4"/>
      <c r="D586" s="4"/>
    </row>
    <row r="587" spans="1:20" x14ac:dyDescent="0.25">
      <c r="A587" s="5"/>
      <c r="C587" s="4"/>
      <c r="D587" s="4"/>
    </row>
    <row r="588" spans="1:20" x14ac:dyDescent="0.25">
      <c r="A588" s="5"/>
      <c r="C588" s="4"/>
      <c r="D588" s="4"/>
    </row>
    <row r="589" spans="1:20" x14ac:dyDescent="0.25">
      <c r="A589" s="5"/>
      <c r="C589" s="4"/>
      <c r="D589" s="4"/>
    </row>
    <row r="590" spans="1:20" x14ac:dyDescent="0.25">
      <c r="A590" s="5"/>
      <c r="C590" s="4"/>
      <c r="D590" s="4"/>
    </row>
    <row r="591" spans="1:20" x14ac:dyDescent="0.25">
      <c r="A591" s="5"/>
      <c r="C591" s="4"/>
      <c r="D591" s="4"/>
    </row>
    <row r="592" spans="1:20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</row>
    <row r="772" spans="1:4" x14ac:dyDescent="0.25">
      <c r="A772" s="5"/>
    </row>
    <row r="773" spans="1:4" x14ac:dyDescent="0.25">
      <c r="A773" s="5"/>
    </row>
    <row r="774" spans="1:4" x14ac:dyDescent="0.25">
      <c r="A774" s="5"/>
    </row>
    <row r="775" spans="1:4" x14ac:dyDescent="0.25">
      <c r="A775" s="5"/>
    </row>
    <row r="776" spans="1:4" x14ac:dyDescent="0.25">
      <c r="A776" s="5"/>
    </row>
    <row r="777" spans="1:4" x14ac:dyDescent="0.25">
      <c r="A777" s="5"/>
    </row>
    <row r="778" spans="1:4" x14ac:dyDescent="0.25">
      <c r="A778" s="5"/>
    </row>
    <row r="779" spans="1:4" x14ac:dyDescent="0.25">
      <c r="A779" s="5"/>
    </row>
    <row r="780" spans="1:4" x14ac:dyDescent="0.25">
      <c r="A780" s="5"/>
    </row>
    <row r="781" spans="1:4" x14ac:dyDescent="0.25">
      <c r="A781" s="5"/>
    </row>
    <row r="782" spans="1:4" x14ac:dyDescent="0.25">
      <c r="A782" s="5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</sheetData>
  <conditionalFormatting sqref="D1:D4 D20:D1048576 C18:D19 D15:D17">
    <cfRule type="cellIs" dxfId="104" priority="11" operator="lessThan">
      <formula>$A$2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454" zoomScale="70" zoomScaleNormal="70" workbookViewId="0">
      <pane xSplit="4" topLeftCell="R1" activePane="topRight" state="frozen"/>
      <selection activeCell="A109" sqref="A109"/>
      <selection pane="topRight" activeCell="CD499" sqref="CD49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$A$498</v>
      </c>
      <c r="D111" s="1" t="str">
        <f>ADDRESS(C121-1,D121,1,1)</f>
        <v>$CD$498</v>
      </c>
      <c r="E111"/>
    </row>
    <row r="112" spans="1:5" x14ac:dyDescent="0.25">
      <c r="A112" s="7">
        <v>12164.144957890772</v>
      </c>
      <c r="C112" s="1" t="str">
        <f>ADDRESS(C121,1,1,1)</f>
        <v>$A$499</v>
      </c>
      <c r="D112" s="1" t="str">
        <f>ADDRESS(C121,D121-1,1,1)</f>
        <v>$CC$499</v>
      </c>
      <c r="E112"/>
    </row>
    <row r="113" spans="1:5" x14ac:dyDescent="0.25">
      <c r="A113" s="7">
        <v>11925.63231165762</v>
      </c>
      <c r="C113" s="1" t="str">
        <f>ADDRESS(C121+1,1,1,1)</f>
        <v>$A$500</v>
      </c>
      <c r="D113" s="1" t="str">
        <f>ADDRESS(C121-1,D121+1,1,1)</f>
        <v>$CE$498</v>
      </c>
    </row>
    <row r="114" spans="1:5" x14ac:dyDescent="0.25">
      <c r="A114" s="7">
        <v>11691.796383978059</v>
      </c>
      <c r="C114" s="1" t="str">
        <f>ADDRESS(C121,D121,1,1)</f>
        <v>$CD$499</v>
      </c>
      <c r="D114" s="1" t="str">
        <f>ADDRESS(C121+1,D121+1,1,1)</f>
        <v>$CE$500</v>
      </c>
    </row>
    <row r="115" spans="1:5" x14ac:dyDescent="0.25">
      <c r="A115" s="7">
        <v>11462.545474488292</v>
      </c>
      <c r="C115" s="1" t="str">
        <f>ADDRESS(C121+1,D121,1,1)</f>
        <v>$CD$500</v>
      </c>
    </row>
    <row r="116" spans="1:5" x14ac:dyDescent="0.25">
      <c r="A116" s="7">
        <v>11237.789680870874</v>
      </c>
      <c r="C116" s="1">
        <f>C117-1</f>
        <v>498</v>
      </c>
    </row>
    <row r="117" spans="1:5" x14ac:dyDescent="0.25">
      <c r="A117" s="7">
        <v>11017.440863598895</v>
      </c>
      <c r="C117" s="1">
        <f>C121</f>
        <v>499</v>
      </c>
      <c r="D117" s="1">
        <f>D121</f>
        <v>82</v>
      </c>
    </row>
    <row r="118" spans="1:5" x14ac:dyDescent="0.25">
      <c r="A118" s="7">
        <v>10801.412611371465</v>
      </c>
      <c r="C118" s="1">
        <f>C117+1</f>
        <v>500</v>
      </c>
      <c r="D118" s="1">
        <f>D117+1</f>
        <v>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499</v>
      </c>
      <c r="D121" s="19">
        <v>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R499</v>
      </c>
      <c r="D123" s="1" t="str">
        <f>"C"&amp;D121</f>
        <v>C82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5.7123540237461112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31" x14ac:dyDescent="0.25">
      <c r="A417" s="7">
        <v>28.975383953883185</v>
      </c>
      <c r="B417"/>
      <c r="C417"/>
      <c r="D417"/>
      <c r="E417"/>
    </row>
    <row r="418" spans="1:31" x14ac:dyDescent="0.25">
      <c r="A418" s="7">
        <v>28.407239170473709</v>
      </c>
      <c r="B418"/>
      <c r="C418"/>
      <c r="D418"/>
      <c r="E418"/>
    </row>
    <row r="419" spans="1:31" x14ac:dyDescent="0.25">
      <c r="A419" s="7">
        <v>27.850234480856578</v>
      </c>
      <c r="B419"/>
      <c r="C419"/>
      <c r="D419"/>
      <c r="E419"/>
      <c r="M419" s="27" t="s">
        <v>8</v>
      </c>
    </row>
    <row r="420" spans="1:31" x14ac:dyDescent="0.25">
      <c r="A420" s="7">
        <v>27.304151451820175</v>
      </c>
      <c r="B420"/>
      <c r="C420"/>
      <c r="D420"/>
      <c r="E420"/>
      <c r="M420" s="27" t="s">
        <v>8</v>
      </c>
      <c r="N420" s="27" t="s">
        <v>7</v>
      </c>
    </row>
    <row r="421" spans="1:31" x14ac:dyDescent="0.25">
      <c r="A421" s="7">
        <v>26.768775933157034</v>
      </c>
      <c r="B421"/>
      <c r="C421"/>
      <c r="D421"/>
      <c r="E421"/>
      <c r="M421" s="27" t="s">
        <v>8</v>
      </c>
      <c r="N421" s="27" t="s">
        <v>7</v>
      </c>
    </row>
    <row r="422" spans="1:31" x14ac:dyDescent="0.25">
      <c r="A422" s="7">
        <v>26.243897973683367</v>
      </c>
      <c r="B422"/>
      <c r="C422"/>
      <c r="D422"/>
      <c r="E422"/>
      <c r="M422" s="27" t="s">
        <v>8</v>
      </c>
      <c r="N422" s="27" t="s">
        <v>7</v>
      </c>
      <c r="Q422" s="27" t="s">
        <v>8</v>
      </c>
    </row>
    <row r="423" spans="1:31" x14ac:dyDescent="0.25">
      <c r="A423" s="7">
        <v>25.729311738905263</v>
      </c>
      <c r="B423"/>
      <c r="C423"/>
      <c r="D423"/>
      <c r="E423"/>
      <c r="M423" s="27" t="s">
        <v>8</v>
      </c>
      <c r="N423" s="27" t="s">
        <v>7</v>
      </c>
      <c r="Q423" s="27" t="s">
        <v>8</v>
      </c>
      <c r="R423" s="27" t="s">
        <v>7</v>
      </c>
      <c r="U423" s="27" t="s">
        <v>8</v>
      </c>
    </row>
    <row r="424" spans="1:31" x14ac:dyDescent="0.25">
      <c r="A424" s="7">
        <v>25.224815430299277</v>
      </c>
      <c r="B424"/>
      <c r="C424"/>
      <c r="D424"/>
      <c r="E424"/>
      <c r="M424" s="27" t="s">
        <v>8</v>
      </c>
      <c r="N424" s="27" t="s">
        <v>7</v>
      </c>
      <c r="Q424" s="27" t="s">
        <v>8</v>
      </c>
      <c r="R424" s="27" t="s">
        <v>7</v>
      </c>
      <c r="U424" s="27" t="s">
        <v>8</v>
      </c>
      <c r="V424" s="27" t="s">
        <v>7</v>
      </c>
    </row>
    <row r="425" spans="1:31" x14ac:dyDescent="0.25">
      <c r="A425" s="7">
        <v>24.73021120617576</v>
      </c>
      <c r="B425"/>
      <c r="C425"/>
      <c r="D425"/>
      <c r="E425"/>
      <c r="M425" s="27" t="s">
        <v>8</v>
      </c>
      <c r="N425" s="27" t="s">
        <v>7</v>
      </c>
      <c r="Q425" s="27" t="s">
        <v>8</v>
      </c>
      <c r="R425" s="27" t="s">
        <v>7</v>
      </c>
      <c r="S425" s="27" t="s">
        <v>8</v>
      </c>
      <c r="U425" s="27" t="s">
        <v>8</v>
      </c>
      <c r="V425" s="27" t="s">
        <v>7</v>
      </c>
      <c r="W425" s="27" t="s">
        <v>8</v>
      </c>
    </row>
    <row r="426" spans="1:31" x14ac:dyDescent="0.25">
      <c r="A426" s="7">
        <v>24.24530510409388</v>
      </c>
      <c r="B426"/>
      <c r="C426"/>
      <c r="D426"/>
      <c r="E426"/>
      <c r="M426" s="27" t="s">
        <v>8</v>
      </c>
      <c r="N426" s="27" t="s">
        <v>7</v>
      </c>
      <c r="O426" s="27" t="s">
        <v>8</v>
      </c>
      <c r="Q426" s="27" t="s">
        <v>8</v>
      </c>
      <c r="R426" s="27" t="s">
        <v>7</v>
      </c>
      <c r="S426" s="27" t="s">
        <v>8</v>
      </c>
      <c r="T426" s="27" t="s">
        <v>7</v>
      </c>
      <c r="U426" s="27" t="s">
        <v>8</v>
      </c>
      <c r="V426" s="27" t="s">
        <v>7</v>
      </c>
      <c r="W426" s="27" t="s">
        <v>8</v>
      </c>
      <c r="X426" s="27" t="s">
        <v>7</v>
      </c>
      <c r="Y426" s="32" t="s">
        <v>8</v>
      </c>
    </row>
    <row r="427" spans="1:31" x14ac:dyDescent="0.25">
      <c r="A427" s="7">
        <v>23.769906964797922</v>
      </c>
      <c r="B427"/>
      <c r="C427"/>
      <c r="D427"/>
      <c r="E427"/>
      <c r="M427" s="27" t="s">
        <v>8</v>
      </c>
      <c r="N427" s="27" t="s">
        <v>7</v>
      </c>
      <c r="O427" s="27" t="s">
        <v>8</v>
      </c>
      <c r="P427" s="27" t="s">
        <v>7</v>
      </c>
      <c r="Q427" s="27" t="s">
        <v>8</v>
      </c>
      <c r="R427" s="27" t="s">
        <v>7</v>
      </c>
      <c r="S427" s="27" t="s">
        <v>8</v>
      </c>
      <c r="T427" s="27" t="s">
        <v>7</v>
      </c>
      <c r="U427" s="27" t="s">
        <v>8</v>
      </c>
      <c r="V427" s="27" t="s">
        <v>7</v>
      </c>
      <c r="W427" s="27" t="s">
        <v>8</v>
      </c>
      <c r="X427" s="27" t="s">
        <v>7</v>
      </c>
      <c r="Y427" s="27" t="s">
        <v>8</v>
      </c>
      <c r="Z427" s="32" t="s">
        <v>7</v>
      </c>
    </row>
    <row r="428" spans="1:31" x14ac:dyDescent="0.25">
      <c r="A428" s="7">
        <v>23.303830357645023</v>
      </c>
      <c r="B428"/>
      <c r="C428"/>
      <c r="D428"/>
      <c r="E428"/>
      <c r="M428" s="27" t="s">
        <v>8</v>
      </c>
      <c r="N428" s="27" t="s">
        <v>7</v>
      </c>
      <c r="O428" s="27" t="s">
        <v>8</v>
      </c>
      <c r="P428" s="27" t="s">
        <v>7</v>
      </c>
      <c r="Q428" s="27" t="s">
        <v>8</v>
      </c>
      <c r="R428" s="27" t="s">
        <v>7</v>
      </c>
      <c r="S428" s="27" t="s">
        <v>8</v>
      </c>
      <c r="T428" s="27" t="s">
        <v>7</v>
      </c>
      <c r="U428" s="27" t="s">
        <v>8</v>
      </c>
      <c r="V428" s="27" t="s">
        <v>7</v>
      </c>
      <c r="W428" s="27" t="s">
        <v>8</v>
      </c>
      <c r="X428" s="27" t="s">
        <v>7</v>
      </c>
      <c r="Y428" s="27" t="s">
        <v>8</v>
      </c>
      <c r="Z428" s="27" t="s">
        <v>7</v>
      </c>
      <c r="AA428" s="32"/>
    </row>
    <row r="429" spans="1:31" x14ac:dyDescent="0.25">
      <c r="A429" s="7">
        <v>22.84689250749512</v>
      </c>
      <c r="B429"/>
      <c r="C429"/>
      <c r="D429"/>
      <c r="E429"/>
      <c r="M429" s="27" t="s">
        <v>8</v>
      </c>
      <c r="N429" s="27" t="s">
        <v>7</v>
      </c>
      <c r="O429" s="27" t="s">
        <v>8</v>
      </c>
      <c r="P429" s="27" t="s">
        <v>7</v>
      </c>
      <c r="Q429" s="27" t="s">
        <v>8</v>
      </c>
      <c r="R429" s="27" t="s">
        <v>7</v>
      </c>
      <c r="S429" s="27" t="s">
        <v>8</v>
      </c>
      <c r="T429" s="27" t="s">
        <v>7</v>
      </c>
      <c r="U429" s="27" t="s">
        <v>8</v>
      </c>
      <c r="V429" s="27" t="s">
        <v>7</v>
      </c>
      <c r="W429" s="27" t="s">
        <v>8</v>
      </c>
      <c r="X429" s="27" t="s">
        <v>7</v>
      </c>
      <c r="Y429" s="27" t="s">
        <v>8</v>
      </c>
      <c r="Z429" s="27" t="s">
        <v>7</v>
      </c>
      <c r="AB429" s="32"/>
    </row>
    <row r="430" spans="1:31" x14ac:dyDescent="0.25">
      <c r="A430" s="7">
        <v>22.398914223034431</v>
      </c>
      <c r="B430"/>
      <c r="C430"/>
      <c r="D430"/>
      <c r="E430"/>
      <c r="M430" s="27" t="s">
        <v>8</v>
      </c>
      <c r="N430" s="27" t="s">
        <v>7</v>
      </c>
      <c r="O430" s="27" t="s">
        <v>8</v>
      </c>
      <c r="P430" s="27" t="s">
        <v>7</v>
      </c>
      <c r="Q430" s="27" t="s">
        <v>8</v>
      </c>
      <c r="R430" s="27" t="s">
        <v>7</v>
      </c>
      <c r="S430" s="27" t="s">
        <v>8</v>
      </c>
      <c r="T430" s="27" t="s">
        <v>7</v>
      </c>
      <c r="U430" s="27" t="s">
        <v>8</v>
      </c>
      <c r="V430" s="27" t="s">
        <v>7</v>
      </c>
      <c r="W430" s="27" t="s">
        <v>8</v>
      </c>
      <c r="X430" s="27" t="s">
        <v>7</v>
      </c>
      <c r="Z430" s="27" t="s">
        <v>7</v>
      </c>
      <c r="AC430" s="32"/>
    </row>
    <row r="431" spans="1:31" x14ac:dyDescent="0.25">
      <c r="A431" s="7">
        <v>21.959719826504344</v>
      </c>
      <c r="B431"/>
      <c r="C431"/>
      <c r="D431"/>
      <c r="E431"/>
      <c r="M431" s="27" t="s">
        <v>8</v>
      </c>
      <c r="N431" s="27" t="s">
        <v>7</v>
      </c>
      <c r="O431" s="27" t="s">
        <v>8</v>
      </c>
      <c r="P431" s="27" t="s">
        <v>7</v>
      </c>
      <c r="Q431" s="27" t="s">
        <v>8</v>
      </c>
      <c r="R431" s="27" t="s">
        <v>7</v>
      </c>
      <c r="S431" s="27" t="s">
        <v>8</v>
      </c>
      <c r="T431" s="27" t="s">
        <v>7</v>
      </c>
      <c r="U431" s="27" t="s">
        <v>8</v>
      </c>
      <c r="V431" s="27" t="s">
        <v>7</v>
      </c>
      <c r="W431" s="27" t="s">
        <v>8</v>
      </c>
      <c r="Z431" s="27" t="s">
        <v>7</v>
      </c>
      <c r="AD431" s="32"/>
    </row>
    <row r="432" spans="1:31" x14ac:dyDescent="0.25">
      <c r="A432" s="7">
        <v>21.52913708480818</v>
      </c>
      <c r="B432"/>
      <c r="C432"/>
      <c r="D432"/>
      <c r="E432"/>
      <c r="M432" s="27" t="s">
        <v>8</v>
      </c>
      <c r="N432" s="27" t="s">
        <v>7</v>
      </c>
      <c r="P432" s="27" t="s">
        <v>7</v>
      </c>
      <c r="R432" s="27" t="s">
        <v>7</v>
      </c>
      <c r="S432" s="27" t="s">
        <v>8</v>
      </c>
      <c r="T432" s="27" t="s">
        <v>7</v>
      </c>
      <c r="U432" s="27" t="s">
        <v>8</v>
      </c>
      <c r="V432" s="27" t="s">
        <v>7</v>
      </c>
      <c r="Z432" s="27" t="s">
        <v>7</v>
      </c>
      <c r="AE432" s="32"/>
    </row>
    <row r="433" spans="1:49" x14ac:dyDescent="0.25">
      <c r="A433" s="7">
        <v>21.106997141968804</v>
      </c>
      <c r="B433"/>
      <c r="C433"/>
      <c r="D433"/>
      <c r="E433"/>
      <c r="M433" s="27" t="s">
        <v>8</v>
      </c>
      <c r="R433" s="27" t="s">
        <v>7</v>
      </c>
      <c r="S433" s="27" t="s">
        <v>8</v>
      </c>
      <c r="T433" s="27" t="s">
        <v>7</v>
      </c>
      <c r="Z433" s="27" t="s">
        <v>7</v>
      </c>
      <c r="AF433" s="32"/>
    </row>
    <row r="434" spans="1:49" x14ac:dyDescent="0.25">
      <c r="A434" s="7">
        <v>20.693134452910591</v>
      </c>
      <c r="B434"/>
      <c r="C434"/>
      <c r="D434"/>
      <c r="E434"/>
      <c r="M434" s="27" t="s">
        <v>8</v>
      </c>
      <c r="R434" s="27" t="s">
        <v>7</v>
      </c>
      <c r="Z434" s="27" t="s">
        <v>7</v>
      </c>
      <c r="AA434" s="27" t="s">
        <v>8</v>
      </c>
      <c r="AC434" s="27" t="s">
        <v>8</v>
      </c>
      <c r="AG434" s="32"/>
    </row>
    <row r="435" spans="1:49" x14ac:dyDescent="0.25">
      <c r="A435" s="7">
        <v>20.287386718539796</v>
      </c>
      <c r="B435"/>
      <c r="C435"/>
      <c r="D435"/>
      <c r="E435"/>
      <c r="M435" s="27" t="s">
        <v>8</v>
      </c>
      <c r="Z435" s="27" t="s">
        <v>7</v>
      </c>
      <c r="AA435" s="27" t="s">
        <v>8</v>
      </c>
      <c r="AB435" s="27" t="s">
        <v>7</v>
      </c>
      <c r="AC435" s="27" t="s">
        <v>8</v>
      </c>
      <c r="AD435" s="27" t="s">
        <v>7</v>
      </c>
      <c r="AH435" s="32"/>
    </row>
    <row r="436" spans="1:49" x14ac:dyDescent="0.25">
      <c r="A436" s="7">
        <v>19.889594822097838</v>
      </c>
      <c r="B436"/>
      <c r="C436"/>
      <c r="D436"/>
      <c r="E436"/>
      <c r="M436" s="27" t="s">
        <v>8</v>
      </c>
      <c r="Z436" s="27" t="s">
        <v>7</v>
      </c>
      <c r="AA436" s="27" t="s">
        <v>8</v>
      </c>
      <c r="AB436" s="27" t="s">
        <v>7</v>
      </c>
      <c r="AC436" s="27" t="s">
        <v>8</v>
      </c>
      <c r="AD436" s="27" t="s">
        <v>7</v>
      </c>
      <c r="AI436" s="32"/>
    </row>
    <row r="437" spans="1:49" x14ac:dyDescent="0.25">
      <c r="A437" s="7">
        <v>19.499602766762585</v>
      </c>
      <c r="B437"/>
      <c r="C437"/>
      <c r="D437"/>
      <c r="E437"/>
      <c r="M437" s="27" t="s">
        <v>8</v>
      </c>
      <c r="Z437" s="27" t="s">
        <v>7</v>
      </c>
      <c r="AA437" s="27" t="s">
        <v>8</v>
      </c>
      <c r="AB437" s="27" t="s">
        <v>7</v>
      </c>
      <c r="AC437" s="27" t="s">
        <v>8</v>
      </c>
      <c r="AD437" s="27" t="s">
        <v>7</v>
      </c>
      <c r="AJ437" s="32"/>
    </row>
    <row r="438" spans="1:49" x14ac:dyDescent="0.25">
      <c r="A438" s="7">
        <v>19.117257614473122</v>
      </c>
      <c r="B438"/>
      <c r="C438"/>
      <c r="D438"/>
      <c r="E438"/>
      <c r="M438" s="27" t="s">
        <v>8</v>
      </c>
      <c r="Z438" s="27" t="s">
        <v>7</v>
      </c>
      <c r="AA438" s="27" t="s">
        <v>8</v>
      </c>
      <c r="AB438" s="27" t="s">
        <v>7</v>
      </c>
      <c r="AC438" s="27" t="s">
        <v>8</v>
      </c>
      <c r="AD438" s="27" t="s">
        <v>7</v>
      </c>
      <c r="AE438" s="27" t="s">
        <v>8</v>
      </c>
      <c r="AK438" s="32"/>
    </row>
    <row r="439" spans="1:49" x14ac:dyDescent="0.25">
      <c r="A439" s="7">
        <v>18.74240942595404</v>
      </c>
      <c r="B439"/>
      <c r="C439"/>
      <c r="D439"/>
      <c r="E439"/>
      <c r="M439" s="27" t="s">
        <v>8</v>
      </c>
      <c r="Z439" s="27" t="s">
        <v>7</v>
      </c>
      <c r="AB439" s="27" t="s">
        <v>7</v>
      </c>
      <c r="AD439" s="27" t="s">
        <v>7</v>
      </c>
      <c r="AE439" s="27" t="s">
        <v>8</v>
      </c>
      <c r="AF439" s="27" t="s">
        <v>7</v>
      </c>
      <c r="AL439" s="32"/>
    </row>
    <row r="440" spans="1:49" x14ac:dyDescent="0.25">
      <c r="A440" s="7">
        <v>18.374911201915726</v>
      </c>
      <c r="B440"/>
      <c r="C440"/>
      <c r="D440"/>
      <c r="E440"/>
      <c r="I440" s="27" t="s">
        <v>8</v>
      </c>
      <c r="M440" s="27" t="s">
        <v>8</v>
      </c>
      <c r="AD440" s="27" t="s">
        <v>7</v>
      </c>
      <c r="AE440" s="27" t="s">
        <v>8</v>
      </c>
      <c r="AF440" s="27" t="s">
        <v>7</v>
      </c>
      <c r="AK440" s="27" t="s">
        <v>8</v>
      </c>
      <c r="AM440" s="32"/>
    </row>
    <row r="441" spans="1:49" x14ac:dyDescent="0.25">
      <c r="A441" s="7">
        <v>18.014618825407574</v>
      </c>
      <c r="B441"/>
      <c r="C441"/>
      <c r="D441"/>
      <c r="E441"/>
      <c r="I441" s="27" t="s">
        <v>8</v>
      </c>
      <c r="J441" s="27" t="s">
        <v>7</v>
      </c>
      <c r="M441" s="27" t="s">
        <v>8</v>
      </c>
      <c r="AD441" s="27" t="s">
        <v>7</v>
      </c>
      <c r="AE441" s="27" t="s">
        <v>8</v>
      </c>
      <c r="AF441" s="27" t="s">
        <v>7</v>
      </c>
      <c r="AI441" s="27" t="s">
        <v>8</v>
      </c>
      <c r="AK441" s="27" t="s">
        <v>8</v>
      </c>
      <c r="AL441" s="27" t="s">
        <v>7</v>
      </c>
      <c r="AN441" s="32"/>
    </row>
    <row r="442" spans="1:49" x14ac:dyDescent="0.25">
      <c r="A442" s="7">
        <v>17.661391005301542</v>
      </c>
      <c r="B442"/>
      <c r="C442"/>
      <c r="D442"/>
      <c r="E442"/>
      <c r="I442" s="27" t="s">
        <v>8</v>
      </c>
      <c r="J442" s="27" t="s">
        <v>7</v>
      </c>
      <c r="M442" s="27" t="s">
        <v>8</v>
      </c>
      <c r="AD442" s="27" t="s">
        <v>7</v>
      </c>
      <c r="AE442" s="27" t="s">
        <v>8</v>
      </c>
      <c r="AF442" s="27" t="s">
        <v>7</v>
      </c>
      <c r="AI442" s="27" t="s">
        <v>8</v>
      </c>
      <c r="AJ442" s="27" t="s">
        <v>7</v>
      </c>
      <c r="AK442" s="27" t="s">
        <v>8</v>
      </c>
      <c r="AL442" s="27" t="s">
        <v>7</v>
      </c>
      <c r="AO442" s="32"/>
    </row>
    <row r="443" spans="1:49" x14ac:dyDescent="0.25">
      <c r="A443" s="7">
        <v>17.315089220883866</v>
      </c>
      <c r="B443"/>
      <c r="C443"/>
      <c r="D443"/>
      <c r="E443"/>
      <c r="I443" s="27" t="s">
        <v>8</v>
      </c>
      <c r="J443" s="27" t="s">
        <v>7</v>
      </c>
      <c r="M443" s="27" t="s">
        <v>8</v>
      </c>
      <c r="AD443" s="27" t="s">
        <v>7</v>
      </c>
      <c r="AE443" s="27" t="s">
        <v>8</v>
      </c>
      <c r="AF443" s="27" t="s">
        <v>7</v>
      </c>
      <c r="AI443" s="27" t="s">
        <v>8</v>
      </c>
      <c r="AJ443" s="27" t="s">
        <v>7</v>
      </c>
      <c r="AK443" s="27" t="s">
        <v>8</v>
      </c>
      <c r="AL443" s="27" t="s">
        <v>7</v>
      </c>
      <c r="AP443" s="32"/>
    </row>
    <row r="444" spans="1:49" x14ac:dyDescent="0.25">
      <c r="A444" s="7">
        <v>16.975577667533202</v>
      </c>
      <c r="B444"/>
      <c r="C444"/>
      <c r="D444"/>
      <c r="E444"/>
      <c r="I444" s="27" t="s">
        <v>8</v>
      </c>
      <c r="J444" s="27" t="s">
        <v>7</v>
      </c>
      <c r="M444" s="27" t="s">
        <v>8</v>
      </c>
      <c r="AD444" s="27" t="s">
        <v>7</v>
      </c>
      <c r="AF444" s="27" t="s">
        <v>7</v>
      </c>
      <c r="AG444" s="27" t="s">
        <v>8</v>
      </c>
      <c r="AI444" s="27" t="s">
        <v>8</v>
      </c>
      <c r="AJ444" s="27" t="s">
        <v>7</v>
      </c>
      <c r="AK444" s="27" t="s">
        <v>8</v>
      </c>
      <c r="AL444" s="27" t="s">
        <v>7</v>
      </c>
      <c r="AQ444" s="32"/>
    </row>
    <row r="445" spans="1:49" x14ac:dyDescent="0.25">
      <c r="A445" s="7">
        <v>16.642723203463923</v>
      </c>
      <c r="B445"/>
      <c r="C445"/>
      <c r="D445"/>
      <c r="E445"/>
      <c r="I445" s="27" t="s">
        <v>8</v>
      </c>
      <c r="J445" s="27" t="s">
        <v>7</v>
      </c>
      <c r="M445" s="27" t="s">
        <v>8</v>
      </c>
      <c r="AF445" s="27" t="s">
        <v>7</v>
      </c>
      <c r="AG445" s="27" t="s">
        <v>8</v>
      </c>
      <c r="AH445" s="27" t="s">
        <v>7</v>
      </c>
      <c r="AI445" s="27" t="s">
        <v>8</v>
      </c>
      <c r="AJ445" s="27" t="s">
        <v>7</v>
      </c>
      <c r="AK445" s="27" t="s">
        <v>8</v>
      </c>
      <c r="AL445" s="27" t="s">
        <v>7</v>
      </c>
      <c r="AR445" s="32"/>
    </row>
    <row r="446" spans="1:49" x14ac:dyDescent="0.25">
      <c r="A446" s="7">
        <v>16.316395297513651</v>
      </c>
      <c r="B446"/>
      <c r="C446"/>
      <c r="D446"/>
      <c r="E446"/>
      <c r="I446" s="27" t="s">
        <v>8</v>
      </c>
      <c r="J446" s="27" t="s">
        <v>7</v>
      </c>
      <c r="M446" s="27" t="s">
        <v>8</v>
      </c>
      <c r="AF446" s="27" t="s">
        <v>7</v>
      </c>
      <c r="AG446" s="27" t="s">
        <v>8</v>
      </c>
      <c r="AH446" s="27" t="s">
        <v>7</v>
      </c>
      <c r="AI446" s="27" t="s">
        <v>8</v>
      </c>
      <c r="AJ446" s="27" t="s">
        <v>7</v>
      </c>
      <c r="AK446" s="27" t="s">
        <v>8</v>
      </c>
      <c r="AL446" s="27" t="s">
        <v>7</v>
      </c>
      <c r="AS446" s="32"/>
      <c r="AU446" s="27" t="s">
        <v>8</v>
      </c>
    </row>
    <row r="447" spans="1:49" x14ac:dyDescent="0.25">
      <c r="A447" s="7">
        <v>15.996465977954561</v>
      </c>
      <c r="B447"/>
      <c r="C447"/>
      <c r="D447"/>
      <c r="E447"/>
      <c r="I447" s="27" t="s">
        <v>8</v>
      </c>
      <c r="J447" s="27" t="s">
        <v>7</v>
      </c>
      <c r="M447" s="27" t="s">
        <v>8</v>
      </c>
      <c r="AF447" s="27" t="s">
        <v>7</v>
      </c>
      <c r="AG447" s="27" t="s">
        <v>8</v>
      </c>
      <c r="AH447" s="27" t="s">
        <v>7</v>
      </c>
      <c r="AI447" s="27" t="s">
        <v>8</v>
      </c>
      <c r="AJ447" s="27" t="s">
        <v>7</v>
      </c>
      <c r="AK447" s="27" t="s">
        <v>8</v>
      </c>
      <c r="AL447" s="27" t="s">
        <v>7</v>
      </c>
      <c r="AM447" s="27" t="s">
        <v>8</v>
      </c>
      <c r="AT447" s="32"/>
      <c r="AU447" s="27" t="s">
        <v>8</v>
      </c>
      <c r="AV447" s="32" t="s">
        <v>7</v>
      </c>
    </row>
    <row r="448" spans="1:49" x14ac:dyDescent="0.25">
      <c r="A448" s="7">
        <v>15.682809782308393</v>
      </c>
      <c r="B448"/>
      <c r="C448"/>
      <c r="D448"/>
      <c r="E448"/>
      <c r="I448" s="27" t="s">
        <v>8</v>
      </c>
      <c r="J448" s="27" t="s">
        <v>7</v>
      </c>
      <c r="M448" s="27" t="s">
        <v>8</v>
      </c>
      <c r="AF448" s="27" t="s">
        <v>7</v>
      </c>
      <c r="AG448" s="27" t="s">
        <v>8</v>
      </c>
      <c r="AH448" s="27" t="s">
        <v>7</v>
      </c>
      <c r="AI448" s="27" t="s">
        <v>8</v>
      </c>
      <c r="AJ448" s="27" t="s">
        <v>7</v>
      </c>
      <c r="AK448" s="27" t="s">
        <v>8</v>
      </c>
      <c r="AL448" s="27" t="s">
        <v>7</v>
      </c>
      <c r="AM448" s="27" t="s">
        <v>8</v>
      </c>
      <c r="AN448" s="27" t="s">
        <v>7</v>
      </c>
      <c r="AU448" s="32" t="s">
        <v>8</v>
      </c>
      <c r="AV448" s="27" t="s">
        <v>7</v>
      </c>
      <c r="AW448" s="32" t="s">
        <v>8</v>
      </c>
    </row>
    <row r="449" spans="1:65" x14ac:dyDescent="0.25">
      <c r="A449" s="7">
        <v>15.375303708145482</v>
      </c>
      <c r="B449"/>
      <c r="C449"/>
      <c r="D449"/>
      <c r="E449"/>
      <c r="I449" s="27" t="s">
        <v>8</v>
      </c>
      <c r="J449" s="27" t="s">
        <v>7</v>
      </c>
      <c r="M449" s="27" t="s">
        <v>8</v>
      </c>
      <c r="AF449" s="27" t="s">
        <v>7</v>
      </c>
      <c r="AG449" s="27" t="s">
        <v>8</v>
      </c>
      <c r="AH449" s="27" t="s">
        <v>7</v>
      </c>
      <c r="AI449" s="27" t="s">
        <v>8</v>
      </c>
      <c r="AJ449" s="27" t="s">
        <v>7</v>
      </c>
      <c r="AK449" s="27" t="s">
        <v>8</v>
      </c>
      <c r="AL449" s="27" t="s">
        <v>7</v>
      </c>
      <c r="AM449" s="27" t="s">
        <v>8</v>
      </c>
      <c r="AN449" s="27" t="s">
        <v>7</v>
      </c>
      <c r="AO449" s="27" t="s">
        <v>8</v>
      </c>
      <c r="AU449" s="27" t="s">
        <v>8</v>
      </c>
      <c r="AV449" s="27" t="s">
        <v>7</v>
      </c>
      <c r="AW449" s="27" t="s">
        <v>8</v>
      </c>
      <c r="AX449" s="32" t="s">
        <v>7</v>
      </c>
    </row>
    <row r="450" spans="1:65" x14ac:dyDescent="0.25">
      <c r="A450" s="7">
        <v>15.073827164848511</v>
      </c>
      <c r="B450"/>
      <c r="C450"/>
      <c r="D450"/>
      <c r="E450"/>
      <c r="I450" s="27" t="s">
        <v>8</v>
      </c>
      <c r="J450" s="27" t="s">
        <v>7</v>
      </c>
      <c r="M450" s="27" t="s">
        <v>8</v>
      </c>
      <c r="AF450" s="27" t="s">
        <v>7</v>
      </c>
      <c r="AG450" s="27" t="s">
        <v>8</v>
      </c>
      <c r="AH450" s="27" t="s">
        <v>7</v>
      </c>
      <c r="AI450" s="27" t="s">
        <v>8</v>
      </c>
      <c r="AJ450" s="27" t="s">
        <v>7</v>
      </c>
      <c r="AL450" s="27" t="s">
        <v>7</v>
      </c>
      <c r="AM450" s="27" t="s">
        <v>8</v>
      </c>
      <c r="AN450" s="27" t="s">
        <v>7</v>
      </c>
      <c r="AO450" s="27" t="s">
        <v>8</v>
      </c>
      <c r="AP450" s="27" t="s">
        <v>7</v>
      </c>
      <c r="AU450" s="27" t="s">
        <v>8</v>
      </c>
      <c r="AV450" s="27" t="s">
        <v>7</v>
      </c>
      <c r="AW450" s="27" t="s">
        <v>8</v>
      </c>
      <c r="AX450" s="27" t="s">
        <v>7</v>
      </c>
      <c r="AY450" s="32"/>
    </row>
    <row r="451" spans="1:65" x14ac:dyDescent="0.25">
      <c r="A451" s="7">
        <v>14.77826192632207</v>
      </c>
      <c r="B451"/>
      <c r="C451"/>
      <c r="D451"/>
      <c r="E451"/>
      <c r="I451" s="27" t="s">
        <v>8</v>
      </c>
      <c r="J451" s="27" t="s">
        <v>7</v>
      </c>
      <c r="K451" s="27" t="s">
        <v>8</v>
      </c>
      <c r="M451" s="27" t="s">
        <v>8</v>
      </c>
      <c r="AF451" s="27" t="s">
        <v>7</v>
      </c>
      <c r="AG451" s="27" t="s">
        <v>8</v>
      </c>
      <c r="AH451" s="27" t="s">
        <v>7</v>
      </c>
      <c r="AL451" s="27" t="s">
        <v>7</v>
      </c>
      <c r="AM451" s="27" t="s">
        <v>8</v>
      </c>
      <c r="AN451" s="27" t="s">
        <v>7</v>
      </c>
      <c r="AO451" s="27" t="s">
        <v>8</v>
      </c>
      <c r="AP451" s="27" t="s">
        <v>7</v>
      </c>
      <c r="AU451" s="27" t="s">
        <v>8</v>
      </c>
      <c r="AV451" s="27" t="s">
        <v>7</v>
      </c>
      <c r="AW451" s="27" t="s">
        <v>8</v>
      </c>
      <c r="AX451" s="27" t="s">
        <v>7</v>
      </c>
      <c r="AY451" s="27" t="s">
        <v>8</v>
      </c>
      <c r="AZ451" s="32"/>
    </row>
    <row r="452" spans="1:65" x14ac:dyDescent="0.25">
      <c r="A452" s="7">
        <v>14.488492084629481</v>
      </c>
      <c r="B452"/>
      <c r="C452"/>
      <c r="D452"/>
      <c r="E452" t="s">
        <v>8</v>
      </c>
      <c r="I452" s="27" t="s">
        <v>8</v>
      </c>
      <c r="J452" s="27" t="s">
        <v>7</v>
      </c>
      <c r="K452" s="27" t="s">
        <v>8</v>
      </c>
      <c r="L452" s="27" t="s">
        <v>7</v>
      </c>
      <c r="M452" s="27" t="s">
        <v>8</v>
      </c>
      <c r="AF452" s="27" t="s">
        <v>7</v>
      </c>
      <c r="AG452" s="27" t="s">
        <v>8</v>
      </c>
      <c r="AL452" s="27" t="s">
        <v>7</v>
      </c>
      <c r="AM452" s="27" t="s">
        <v>8</v>
      </c>
      <c r="AN452" s="27" t="s">
        <v>7</v>
      </c>
      <c r="AP452" s="27" t="s">
        <v>7</v>
      </c>
      <c r="AS452" s="27" t="s">
        <v>8</v>
      </c>
      <c r="AU452" s="27" t="s">
        <v>8</v>
      </c>
      <c r="AV452" s="27" t="s">
        <v>7</v>
      </c>
      <c r="AW452" s="27" t="s">
        <v>8</v>
      </c>
      <c r="AX452" s="27" t="s">
        <v>7</v>
      </c>
      <c r="AY452" s="27" t="s">
        <v>8</v>
      </c>
      <c r="AZ452" s="27" t="s">
        <v>7</v>
      </c>
      <c r="BA452" s="32"/>
    </row>
    <row r="453" spans="1:65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I453" s="27" t="s">
        <v>8</v>
      </c>
      <c r="J453" s="27" t="s">
        <v>7</v>
      </c>
      <c r="K453" s="27" t="s">
        <v>8</v>
      </c>
      <c r="L453" s="27" t="s">
        <v>7</v>
      </c>
      <c r="M453" s="27" t="s">
        <v>8</v>
      </c>
      <c r="AF453" s="27" t="s">
        <v>7</v>
      </c>
      <c r="AL453" s="27" t="s">
        <v>7</v>
      </c>
      <c r="AM453" s="27" t="s">
        <v>8</v>
      </c>
      <c r="AP453" s="27" t="s">
        <v>7</v>
      </c>
      <c r="AS453" s="27" t="s">
        <v>8</v>
      </c>
      <c r="AT453" s="27" t="s">
        <v>7</v>
      </c>
      <c r="AU453" s="27" t="s">
        <v>8</v>
      </c>
      <c r="AV453" s="27" t="s">
        <v>7</v>
      </c>
      <c r="AX453" s="27" t="s">
        <v>7</v>
      </c>
      <c r="AY453" s="27" t="s">
        <v>8</v>
      </c>
      <c r="AZ453" s="27" t="s">
        <v>7</v>
      </c>
      <c r="BB453" s="32"/>
    </row>
    <row r="454" spans="1:65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I454" s="27" t="s">
        <v>8</v>
      </c>
      <c r="J454" s="27" t="s">
        <v>7</v>
      </c>
      <c r="K454" s="27" t="s">
        <v>8</v>
      </c>
      <c r="L454" s="27" t="s">
        <v>7</v>
      </c>
      <c r="M454" s="27" t="s">
        <v>8</v>
      </c>
      <c r="AL454" s="27" t="s">
        <v>7</v>
      </c>
      <c r="AM454" s="27" t="s">
        <v>8</v>
      </c>
      <c r="AP454" s="27" t="s">
        <v>7</v>
      </c>
      <c r="AS454" s="27" t="s">
        <v>8</v>
      </c>
      <c r="AT454" s="27" t="s">
        <v>7</v>
      </c>
      <c r="AU454" s="27" t="s">
        <v>8</v>
      </c>
      <c r="AX454" s="27" t="s">
        <v>7</v>
      </c>
      <c r="AY454" s="27" t="s">
        <v>8</v>
      </c>
      <c r="AZ454" s="27" t="s">
        <v>7</v>
      </c>
      <c r="BC454" s="32"/>
    </row>
    <row r="455" spans="1:65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I455" s="27" t="s">
        <v>8</v>
      </c>
      <c r="J455" s="27" t="s">
        <v>7</v>
      </c>
      <c r="K455" s="27" t="s">
        <v>8</v>
      </c>
      <c r="L455" s="27" t="s">
        <v>7</v>
      </c>
      <c r="M455" s="27" t="s">
        <v>8</v>
      </c>
      <c r="AL455" s="27" t="s">
        <v>7</v>
      </c>
      <c r="AM455" s="27" t="s">
        <v>8</v>
      </c>
      <c r="AP455" s="27" t="s">
        <v>7</v>
      </c>
      <c r="AQ455" s="27" t="s">
        <v>8</v>
      </c>
      <c r="AS455" s="27" t="s">
        <v>8</v>
      </c>
      <c r="AT455" s="27" t="s">
        <v>7</v>
      </c>
      <c r="AU455" s="27" t="s">
        <v>8</v>
      </c>
      <c r="AX455" s="27" t="s">
        <v>7</v>
      </c>
      <c r="AY455" s="27" t="s">
        <v>8</v>
      </c>
      <c r="AZ455" s="27" t="s">
        <v>7</v>
      </c>
      <c r="BD455" s="32"/>
    </row>
    <row r="456" spans="1:65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I456" s="27" t="s">
        <v>8</v>
      </c>
      <c r="J456" s="27" t="s">
        <v>7</v>
      </c>
      <c r="K456" s="27" t="s">
        <v>8</v>
      </c>
      <c r="L456" s="27" t="s">
        <v>7</v>
      </c>
      <c r="M456" s="27" t="s">
        <v>8</v>
      </c>
      <c r="AL456" s="27" t="s">
        <v>7</v>
      </c>
      <c r="AM456" s="27" t="s">
        <v>8</v>
      </c>
      <c r="AP456" s="27" t="s">
        <v>7</v>
      </c>
      <c r="AQ456" s="27" t="s">
        <v>8</v>
      </c>
      <c r="AR456" s="27" t="s">
        <v>7</v>
      </c>
      <c r="AS456" s="27" t="s">
        <v>8</v>
      </c>
      <c r="AT456" s="27" t="s">
        <v>7</v>
      </c>
      <c r="AU456" s="27" t="s">
        <v>8</v>
      </c>
      <c r="AX456" s="27" t="s">
        <v>7</v>
      </c>
      <c r="AY456" s="27" t="s">
        <v>8</v>
      </c>
      <c r="AZ456" s="27" t="s">
        <v>7</v>
      </c>
      <c r="BE456" s="32"/>
    </row>
    <row r="457" spans="1:65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I457" s="27" t="s">
        <v>8</v>
      </c>
      <c r="J457" s="27" t="s">
        <v>7</v>
      </c>
      <c r="K457" s="27" t="s">
        <v>8</v>
      </c>
      <c r="L457" s="27" t="s">
        <v>7</v>
      </c>
      <c r="M457" s="27" t="s">
        <v>8</v>
      </c>
      <c r="AL457" s="27" t="s">
        <v>7</v>
      </c>
      <c r="AM457" s="27" t="s">
        <v>8</v>
      </c>
      <c r="AP457" s="27" t="s">
        <v>7</v>
      </c>
      <c r="AQ457" s="27" t="s">
        <v>8</v>
      </c>
      <c r="AR457" s="27" t="s">
        <v>7</v>
      </c>
      <c r="AS457" s="27" t="s">
        <v>8</v>
      </c>
      <c r="AT457" s="27" t="s">
        <v>7</v>
      </c>
      <c r="AU457" s="27" t="s">
        <v>8</v>
      </c>
      <c r="AX457" s="27" t="s">
        <v>7</v>
      </c>
      <c r="AY457" s="27" t="s">
        <v>8</v>
      </c>
      <c r="AZ457" s="27" t="s">
        <v>7</v>
      </c>
      <c r="BF457" s="32"/>
    </row>
    <row r="458" spans="1:65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I458" s="27" t="s">
        <v>8</v>
      </c>
      <c r="J458" s="27" t="s">
        <v>7</v>
      </c>
      <c r="K458" s="27" t="s">
        <v>8</v>
      </c>
      <c r="L458" s="27" t="s">
        <v>7</v>
      </c>
      <c r="M458" s="27" t="s">
        <v>8</v>
      </c>
      <c r="AL458" s="27" t="s">
        <v>7</v>
      </c>
      <c r="AP458" s="27" t="s">
        <v>7</v>
      </c>
      <c r="AQ458" s="27" t="s">
        <v>8</v>
      </c>
      <c r="AR458" s="27" t="s">
        <v>7</v>
      </c>
      <c r="AS458" s="27" t="s">
        <v>8</v>
      </c>
      <c r="AT458" s="27" t="s">
        <v>7</v>
      </c>
      <c r="AU458" s="27" t="s">
        <v>8</v>
      </c>
      <c r="AX458" s="27" t="s">
        <v>7</v>
      </c>
      <c r="AY458" s="27" t="s">
        <v>8</v>
      </c>
      <c r="AZ458" s="27" t="s">
        <v>7</v>
      </c>
      <c r="BG458" s="32"/>
    </row>
    <row r="459" spans="1:65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G459" s="27" t="s">
        <v>8</v>
      </c>
      <c r="I459" s="27" t="s">
        <v>8</v>
      </c>
      <c r="J459" s="27" t="s">
        <v>7</v>
      </c>
      <c r="K459" s="27" t="s">
        <v>8</v>
      </c>
      <c r="L459" s="27" t="s">
        <v>7</v>
      </c>
      <c r="M459" s="27" t="s">
        <v>8</v>
      </c>
      <c r="AP459" s="27" t="s">
        <v>7</v>
      </c>
      <c r="AQ459" s="27" t="s">
        <v>8</v>
      </c>
      <c r="AR459" s="27" t="s">
        <v>7</v>
      </c>
      <c r="AS459" s="27" t="s">
        <v>8</v>
      </c>
      <c r="AT459" s="27" t="s">
        <v>7</v>
      </c>
      <c r="AX459" s="27" t="s">
        <v>7</v>
      </c>
      <c r="AY459" s="27" t="s">
        <v>8</v>
      </c>
      <c r="AZ459" s="27" t="s">
        <v>7</v>
      </c>
      <c r="BH459" s="32"/>
    </row>
    <row r="460" spans="1:65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G460" s="27" t="s">
        <v>8</v>
      </c>
      <c r="H460" s="27" t="s">
        <v>7</v>
      </c>
      <c r="I460" s="27" t="s">
        <v>8</v>
      </c>
      <c r="J460" s="27" t="s">
        <v>7</v>
      </c>
      <c r="K460" s="27" t="s">
        <v>8</v>
      </c>
      <c r="L460" s="27" t="s">
        <v>7</v>
      </c>
      <c r="M460" s="27" t="s">
        <v>8</v>
      </c>
      <c r="AP460" s="27" t="s">
        <v>7</v>
      </c>
      <c r="AQ460" s="27" t="s">
        <v>8</v>
      </c>
      <c r="AR460" s="27" t="s">
        <v>7</v>
      </c>
      <c r="AS460" s="27" t="s">
        <v>8</v>
      </c>
      <c r="AX460" s="27" t="s">
        <v>7</v>
      </c>
      <c r="AY460" s="27" t="s">
        <v>8</v>
      </c>
      <c r="AZ460" s="27" t="s">
        <v>7</v>
      </c>
      <c r="BI460" s="32"/>
    </row>
    <row r="461" spans="1:65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G461" s="27" t="s">
        <v>8</v>
      </c>
      <c r="H461" s="27" t="s">
        <v>7</v>
      </c>
      <c r="I461" s="27" t="s">
        <v>8</v>
      </c>
      <c r="J461" s="27" t="s">
        <v>7</v>
      </c>
      <c r="K461" s="27" t="s">
        <v>8</v>
      </c>
      <c r="L461" s="27" t="s">
        <v>7</v>
      </c>
      <c r="M461" s="27" t="s">
        <v>8</v>
      </c>
      <c r="AP461" s="27" t="s">
        <v>7</v>
      </c>
      <c r="AQ461" s="27" t="s">
        <v>8</v>
      </c>
      <c r="AR461" s="27" t="s">
        <v>7</v>
      </c>
      <c r="AS461" s="27" t="s">
        <v>8</v>
      </c>
      <c r="AX461" s="27" t="s">
        <v>7</v>
      </c>
      <c r="AY461" s="27" t="s">
        <v>8</v>
      </c>
      <c r="AZ461" s="27" t="s">
        <v>7</v>
      </c>
      <c r="BJ461" s="32"/>
    </row>
    <row r="462" spans="1:65" x14ac:dyDescent="0.25">
      <c r="A462" s="7">
        <v>11.88560984938044</v>
      </c>
      <c r="B462"/>
      <c r="C462"/>
      <c r="D462"/>
      <c r="E462" t="s">
        <v>8</v>
      </c>
      <c r="F462" s="27" t="s">
        <v>7</v>
      </c>
      <c r="G462" s="27" t="s">
        <v>8</v>
      </c>
      <c r="H462" s="27" t="s">
        <v>7</v>
      </c>
      <c r="I462" s="27" t="s">
        <v>8</v>
      </c>
      <c r="J462" s="27" t="s">
        <v>7</v>
      </c>
      <c r="K462" s="27" t="s">
        <v>8</v>
      </c>
      <c r="L462" s="27" t="s">
        <v>7</v>
      </c>
      <c r="M462" s="27" t="s">
        <v>8</v>
      </c>
      <c r="AP462" s="27" t="s">
        <v>7</v>
      </c>
      <c r="AQ462" s="27" t="s">
        <v>8</v>
      </c>
      <c r="AR462" s="27" t="s">
        <v>7</v>
      </c>
      <c r="AS462" s="27" t="s">
        <v>8</v>
      </c>
      <c r="AX462" s="27" t="s">
        <v>7</v>
      </c>
      <c r="AY462" s="27" t="s">
        <v>8</v>
      </c>
      <c r="AZ462" s="27" t="s">
        <v>7</v>
      </c>
      <c r="BK462" s="32"/>
    </row>
    <row r="463" spans="1:65" x14ac:dyDescent="0.25">
      <c r="A463" s="7">
        <v>11.652558675863176</v>
      </c>
      <c r="B463"/>
      <c r="C463"/>
      <c r="D463"/>
      <c r="E463" t="s">
        <v>8</v>
      </c>
      <c r="F463" s="27" t="s">
        <v>7</v>
      </c>
      <c r="G463" s="27" t="s">
        <v>8</v>
      </c>
      <c r="H463" s="27" t="s">
        <v>7</v>
      </c>
      <c r="I463" s="27" t="s">
        <v>8</v>
      </c>
      <c r="J463" s="27" t="s">
        <v>7</v>
      </c>
      <c r="K463" s="27" t="s">
        <v>8</v>
      </c>
      <c r="L463" s="27" t="s">
        <v>7</v>
      </c>
      <c r="M463" s="27" t="s">
        <v>8</v>
      </c>
      <c r="AP463" s="27" t="s">
        <v>7</v>
      </c>
      <c r="AR463" s="27" t="s">
        <v>7</v>
      </c>
      <c r="AX463" s="27" t="s">
        <v>7</v>
      </c>
      <c r="AY463" s="27" t="s">
        <v>8</v>
      </c>
      <c r="AZ463" s="27" t="s">
        <v>7</v>
      </c>
      <c r="BL463" s="32"/>
    </row>
    <row r="464" spans="1:65" x14ac:dyDescent="0.25">
      <c r="A464" s="7">
        <v>11.424077133199193</v>
      </c>
      <c r="B464"/>
      <c r="C464"/>
      <c r="D464"/>
      <c r="E464" t="s">
        <v>8</v>
      </c>
      <c r="F464" s="27" t="s">
        <v>7</v>
      </c>
      <c r="G464" s="27" t="s">
        <v>8</v>
      </c>
      <c r="H464" s="27" t="s">
        <v>7</v>
      </c>
      <c r="I464" s="27" t="s">
        <v>8</v>
      </c>
      <c r="J464" s="27" t="s">
        <v>7</v>
      </c>
      <c r="K464" s="27" t="s">
        <v>8</v>
      </c>
      <c r="L464" s="27" t="s">
        <v>7</v>
      </c>
      <c r="M464" s="27" t="s">
        <v>8</v>
      </c>
      <c r="AX464" s="27" t="s">
        <v>7</v>
      </c>
      <c r="AZ464" s="27" t="s">
        <v>7</v>
      </c>
      <c r="BM464" s="32"/>
    </row>
    <row r="465" spans="1:78" x14ac:dyDescent="0.25">
      <c r="A465" s="7">
        <v>11.200075620783522</v>
      </c>
      <c r="B465"/>
      <c r="C465"/>
      <c r="D465"/>
      <c r="E465" t="s">
        <v>8</v>
      </c>
      <c r="F465" s="27" t="s">
        <v>7</v>
      </c>
      <c r="G465" s="27" t="s">
        <v>8</v>
      </c>
      <c r="H465" s="27" t="s">
        <v>7</v>
      </c>
      <c r="I465" s="27" t="s">
        <v>8</v>
      </c>
      <c r="J465" s="27" t="s">
        <v>7</v>
      </c>
      <c r="K465" s="27" t="s">
        <v>8</v>
      </c>
      <c r="L465" s="27" t="s">
        <v>7</v>
      </c>
      <c r="AZ465" s="27" t="s">
        <v>7</v>
      </c>
      <c r="BN465" s="32"/>
    </row>
    <row r="466" spans="1:78" x14ac:dyDescent="0.25">
      <c r="A466" s="7">
        <v>10.980466294885806</v>
      </c>
      <c r="B466"/>
      <c r="C466"/>
      <c r="D466"/>
      <c r="E466" t="s">
        <v>8</v>
      </c>
      <c r="F466" s="27" t="s">
        <v>7</v>
      </c>
      <c r="G466" s="27" t="s">
        <v>8</v>
      </c>
      <c r="H466" s="27" t="s">
        <v>7</v>
      </c>
      <c r="I466" s="27" t="s">
        <v>8</v>
      </c>
      <c r="J466" s="27" t="s">
        <v>7</v>
      </c>
      <c r="AZ466" s="27" t="s">
        <v>7</v>
      </c>
      <c r="BO466" s="32"/>
    </row>
    <row r="467" spans="1:78" x14ac:dyDescent="0.25">
      <c r="A467" s="7">
        <v>10.765163034201771</v>
      </c>
      <c r="B467"/>
      <c r="C467"/>
      <c r="D467"/>
      <c r="E467" t="s">
        <v>8</v>
      </c>
      <c r="F467" s="27" t="s">
        <v>7</v>
      </c>
      <c r="G467" s="27" t="s">
        <v>8</v>
      </c>
      <c r="H467" s="27" t="s">
        <v>7</v>
      </c>
      <c r="I467" s="27" t="s">
        <v>8</v>
      </c>
      <c r="AZ467" s="27" t="s">
        <v>7</v>
      </c>
      <c r="BP467" s="32"/>
    </row>
    <row r="468" spans="1:78" x14ac:dyDescent="0.25">
      <c r="A468" s="7">
        <v>10.554081406080169</v>
      </c>
      <c r="B468"/>
      <c r="C468"/>
      <c r="D468"/>
      <c r="E468" t="s">
        <v>8</v>
      </c>
      <c r="F468" s="27" t="s">
        <v>7</v>
      </c>
      <c r="H468" s="27" t="s">
        <v>7</v>
      </c>
      <c r="I468" s="27" t="s">
        <v>8</v>
      </c>
      <c r="AZ468" s="27" t="s">
        <v>7</v>
      </c>
      <c r="BM468" s="27" t="s">
        <v>8</v>
      </c>
      <c r="BQ468" s="32"/>
    </row>
    <row r="469" spans="1:78" x14ac:dyDescent="0.25">
      <c r="A469" s="7">
        <v>10.34713863341193</v>
      </c>
      <c r="B469"/>
      <c r="C469"/>
      <c r="D469"/>
      <c r="E469" t="s">
        <v>8</v>
      </c>
      <c r="H469" s="27" t="s">
        <v>7</v>
      </c>
      <c r="I469" s="27" t="s">
        <v>8</v>
      </c>
      <c r="AZ469" s="27" t="s">
        <v>7</v>
      </c>
      <c r="BM469" s="27" t="s">
        <v>8</v>
      </c>
      <c r="BN469" s="27" t="s">
        <v>7</v>
      </c>
      <c r="BR469" s="32"/>
    </row>
    <row r="470" spans="1:78" x14ac:dyDescent="0.25">
      <c r="A470" s="7">
        <v>10.14425356216856</v>
      </c>
      <c r="B470"/>
      <c r="C470"/>
      <c r="D470"/>
      <c r="E470" t="s">
        <v>8</v>
      </c>
      <c r="H470" s="27" t="s">
        <v>7</v>
      </c>
      <c r="I470" s="27" t="s">
        <v>8</v>
      </c>
      <c r="AZ470" s="27" t="s">
        <v>7</v>
      </c>
      <c r="BM470" s="27" t="s">
        <v>8</v>
      </c>
      <c r="BN470" s="27" t="s">
        <v>7</v>
      </c>
      <c r="BS470" s="32"/>
    </row>
    <row r="471" spans="1:78" x14ac:dyDescent="0.25">
      <c r="A471" s="7">
        <v>9.9453466295770188</v>
      </c>
      <c r="B471"/>
      <c r="C471"/>
      <c r="D471"/>
      <c r="E471" t="s">
        <v>8</v>
      </c>
      <c r="H471" s="27" t="s">
        <v>7</v>
      </c>
      <c r="I471" s="27" t="s">
        <v>8</v>
      </c>
      <c r="AZ471" s="27" t="s">
        <v>7</v>
      </c>
      <c r="BA471" s="27" t="s">
        <v>8</v>
      </c>
      <c r="BM471" s="27" t="s">
        <v>8</v>
      </c>
      <c r="BN471" s="27" t="s">
        <v>7</v>
      </c>
      <c r="BT471" s="32"/>
    </row>
    <row r="472" spans="1:78" x14ac:dyDescent="0.25">
      <c r="A472" s="7">
        <v>9.7503398329186464</v>
      </c>
      <c r="B472"/>
      <c r="C472"/>
      <c r="D472"/>
      <c r="E472" t="s">
        <v>8</v>
      </c>
      <c r="H472" s="27" t="s">
        <v>7</v>
      </c>
      <c r="I472" s="27" t="s">
        <v>8</v>
      </c>
      <c r="AZ472" s="27" t="s">
        <v>7</v>
      </c>
      <c r="BA472" s="27" t="s">
        <v>8</v>
      </c>
      <c r="BB472" s="27" t="s">
        <v>7</v>
      </c>
      <c r="BC472" s="27" t="s">
        <v>8</v>
      </c>
      <c r="BM472" s="27" t="s">
        <v>8</v>
      </c>
      <c r="BN472" s="27" t="s">
        <v>7</v>
      </c>
      <c r="BU472" s="32"/>
    </row>
    <row r="473" spans="1:78" x14ac:dyDescent="0.25">
      <c r="A473" s="7">
        <v>9.5591566989398498</v>
      </c>
      <c r="B473"/>
      <c r="C473"/>
      <c r="D473"/>
      <c r="E473" t="s">
        <v>8</v>
      </c>
      <c r="H473" s="27" t="s">
        <v>7</v>
      </c>
      <c r="I473" s="27" t="s">
        <v>8</v>
      </c>
      <c r="AZ473" s="27" t="s">
        <v>7</v>
      </c>
      <c r="BA473" s="27" t="s">
        <v>8</v>
      </c>
      <c r="BB473" s="27" t="s">
        <v>7</v>
      </c>
      <c r="BC473" s="27" t="s">
        <v>8</v>
      </c>
      <c r="BD473" s="27" t="s">
        <v>7</v>
      </c>
      <c r="BE473" s="27" t="s">
        <v>8</v>
      </c>
      <c r="BM473" s="27" t="s">
        <v>8</v>
      </c>
      <c r="BN473" s="27" t="s">
        <v>7</v>
      </c>
      <c r="BV473" s="32"/>
    </row>
    <row r="474" spans="1:78" x14ac:dyDescent="0.25">
      <c r="A474" s="7">
        <v>9.3717222538625968</v>
      </c>
      <c r="B474"/>
      <c r="C474"/>
      <c r="D474"/>
      <c r="E474" t="s">
        <v>8</v>
      </c>
      <c r="H474" s="27" t="s">
        <v>7</v>
      </c>
      <c r="I474" s="27" t="s">
        <v>8</v>
      </c>
      <c r="AZ474" s="27" t="s">
        <v>7</v>
      </c>
      <c r="BA474" s="27" t="s">
        <v>8</v>
      </c>
      <c r="BB474" s="27" t="s">
        <v>7</v>
      </c>
      <c r="BC474" s="27" t="s">
        <v>8</v>
      </c>
      <c r="BD474" s="27" t="s">
        <v>7</v>
      </c>
      <c r="BE474" s="27" t="s">
        <v>8</v>
      </c>
      <c r="BF474" s="27" t="s">
        <v>7</v>
      </c>
      <c r="BK474" s="27" t="s">
        <v>8</v>
      </c>
      <c r="BM474" s="27" t="s">
        <v>8</v>
      </c>
      <c r="BN474" s="27" t="s">
        <v>7</v>
      </c>
      <c r="BW474" s="32"/>
    </row>
    <row r="475" spans="1:78" x14ac:dyDescent="0.25">
      <c r="A475" s="7">
        <v>9.1879629939829375</v>
      </c>
      <c r="B475"/>
      <c r="C475"/>
      <c r="D475"/>
      <c r="E475" t="s">
        <v>8</v>
      </c>
      <c r="H475" s="27" t="s">
        <v>7</v>
      </c>
      <c r="AZ475" s="27" t="s">
        <v>7</v>
      </c>
      <c r="BA475" s="27" t="s">
        <v>8</v>
      </c>
      <c r="BB475" s="27" t="s">
        <v>7</v>
      </c>
      <c r="BC475" s="27" t="s">
        <v>8</v>
      </c>
      <c r="BD475" s="27" t="s">
        <v>7</v>
      </c>
      <c r="BE475" s="27" t="s">
        <v>8</v>
      </c>
      <c r="BF475" s="27" t="s">
        <v>7</v>
      </c>
      <c r="BK475" s="27" t="s">
        <v>8</v>
      </c>
      <c r="BL475" s="27" t="s">
        <v>7</v>
      </c>
      <c r="BM475" s="27" t="s">
        <v>8</v>
      </c>
      <c r="BN475" s="27" t="s">
        <v>7</v>
      </c>
      <c r="BX475" s="32"/>
    </row>
    <row r="476" spans="1:78" x14ac:dyDescent="0.25">
      <c r="A476" s="7">
        <v>9.0078068568460168</v>
      </c>
      <c r="B476"/>
      <c r="C476"/>
      <c r="D476"/>
      <c r="E476" t="s">
        <v>8</v>
      </c>
      <c r="AZ476" s="27" t="s">
        <v>7</v>
      </c>
      <c r="BA476" s="27" t="s">
        <v>8</v>
      </c>
      <c r="BB476" s="27" t="s">
        <v>7</v>
      </c>
      <c r="BC476" s="27" t="s">
        <v>8</v>
      </c>
      <c r="BD476" s="27" t="s">
        <v>7</v>
      </c>
      <c r="BE476" s="27" t="s">
        <v>8</v>
      </c>
      <c r="BF476" s="27" t="s">
        <v>7</v>
      </c>
      <c r="BK476" s="27" t="s">
        <v>8</v>
      </c>
      <c r="BL476" s="27" t="s">
        <v>7</v>
      </c>
      <c r="BM476" s="27" t="s">
        <v>8</v>
      </c>
      <c r="BN476" s="27" t="s">
        <v>7</v>
      </c>
      <c r="BY476" s="32"/>
    </row>
    <row r="477" spans="1:78" x14ac:dyDescent="0.25">
      <c r="A477" s="7">
        <v>8.8311831929862912</v>
      </c>
      <c r="B477"/>
      <c r="C477"/>
      <c r="D477"/>
      <c r="E477" t="s">
        <v>8</v>
      </c>
      <c r="AZ477" s="27" t="s">
        <v>7</v>
      </c>
      <c r="BA477" s="27" t="s">
        <v>8</v>
      </c>
      <c r="BB477" s="27" t="s">
        <v>7</v>
      </c>
      <c r="BC477" s="27" t="s">
        <v>8</v>
      </c>
      <c r="BD477" s="27" t="s">
        <v>7</v>
      </c>
      <c r="BE477" s="27" t="s">
        <v>8</v>
      </c>
      <c r="BF477" s="27" t="s">
        <v>7</v>
      </c>
      <c r="BG477" s="27" t="s">
        <v>8</v>
      </c>
      <c r="BK477" s="27" t="s">
        <v>8</v>
      </c>
      <c r="BL477" s="27" t="s">
        <v>7</v>
      </c>
      <c r="BM477" s="27" t="s">
        <v>8</v>
      </c>
      <c r="BN477" s="27" t="s">
        <v>7</v>
      </c>
      <c r="BO477" s="27" t="s">
        <v>8</v>
      </c>
      <c r="BY477" s="27" t="s">
        <v>8</v>
      </c>
    </row>
    <row r="478" spans="1:78" x14ac:dyDescent="0.25">
      <c r="A478" s="7">
        <v>8.6580227382218542</v>
      </c>
      <c r="B478"/>
      <c r="C478"/>
      <c r="D478"/>
      <c r="E478" t="s">
        <v>8</v>
      </c>
      <c r="AZ478" s="27" t="s">
        <v>7</v>
      </c>
      <c r="BA478" s="27" t="s">
        <v>8</v>
      </c>
      <c r="BB478" s="27" t="s">
        <v>7</v>
      </c>
      <c r="BC478" s="27" t="s">
        <v>8</v>
      </c>
      <c r="BD478" s="27" t="s">
        <v>7</v>
      </c>
      <c r="BE478" s="27" t="s">
        <v>8</v>
      </c>
      <c r="BF478" s="27" t="s">
        <v>7</v>
      </c>
      <c r="BG478" s="27" t="s">
        <v>8</v>
      </c>
      <c r="BH478" s="27" t="s">
        <v>7</v>
      </c>
      <c r="BK478" s="27" t="s">
        <v>8</v>
      </c>
      <c r="BL478" s="27" t="s">
        <v>7</v>
      </c>
      <c r="BN478" s="27" t="s">
        <v>7</v>
      </c>
      <c r="BO478" s="27" t="s">
        <v>8</v>
      </c>
      <c r="BP478" s="27" t="s">
        <v>7</v>
      </c>
      <c r="BY478" s="27" t="s">
        <v>8</v>
      </c>
      <c r="BZ478" s="27" t="s">
        <v>7</v>
      </c>
    </row>
    <row r="479" spans="1:78" x14ac:dyDescent="0.25">
      <c r="A479" s="7">
        <v>8.4882575864920131</v>
      </c>
      <c r="B479"/>
      <c r="C479"/>
      <c r="D479"/>
      <c r="E479" t="s">
        <v>8</v>
      </c>
      <c r="AZ479" s="27" t="s">
        <v>7</v>
      </c>
      <c r="BA479" s="27" t="s">
        <v>8</v>
      </c>
      <c r="BB479" s="27" t="s">
        <v>7</v>
      </c>
      <c r="BC479" s="27" t="s">
        <v>8</v>
      </c>
      <c r="BD479" s="27" t="s">
        <v>7</v>
      </c>
      <c r="BF479" s="27" t="s">
        <v>7</v>
      </c>
      <c r="BG479" s="27" t="s">
        <v>8</v>
      </c>
      <c r="BH479" s="27" t="s">
        <v>7</v>
      </c>
      <c r="BK479" s="27" t="s">
        <v>8</v>
      </c>
      <c r="BN479" s="27" t="s">
        <v>7</v>
      </c>
      <c r="BO479" s="27" t="s">
        <v>8</v>
      </c>
      <c r="BP479" s="27" t="s">
        <v>7</v>
      </c>
      <c r="BY479" s="27" t="s">
        <v>8</v>
      </c>
      <c r="BZ479" s="27" t="s">
        <v>7</v>
      </c>
    </row>
    <row r="480" spans="1:78" x14ac:dyDescent="0.25">
      <c r="A480" s="7">
        <v>8.3218211632274635</v>
      </c>
      <c r="B480"/>
      <c r="C480"/>
      <c r="D480"/>
      <c r="E480" t="s">
        <v>8</v>
      </c>
      <c r="AZ480" s="27" t="s">
        <v>7</v>
      </c>
      <c r="BA480" s="27" t="s">
        <v>8</v>
      </c>
      <c r="BB480" s="27" t="s">
        <v>7</v>
      </c>
      <c r="BC480" s="27" t="s">
        <v>8</v>
      </c>
      <c r="BF480" s="27" t="s">
        <v>7</v>
      </c>
      <c r="BG480" s="27" t="s">
        <v>8</v>
      </c>
      <c r="BH480" s="27" t="s">
        <v>7</v>
      </c>
      <c r="BI480" s="27" t="s">
        <v>8</v>
      </c>
      <c r="BK480" s="27" t="s">
        <v>8</v>
      </c>
      <c r="BN480" s="27" t="s">
        <v>7</v>
      </c>
      <c r="BO480" s="27" t="s">
        <v>8</v>
      </c>
      <c r="BP480" s="27" t="s">
        <v>7</v>
      </c>
      <c r="BY480" s="27" t="s">
        <v>8</v>
      </c>
      <c r="BZ480" s="27" t="s">
        <v>7</v>
      </c>
    </row>
    <row r="481" spans="1:82" x14ac:dyDescent="0.25">
      <c r="A481" s="7">
        <v>8.1586481992426112</v>
      </c>
      <c r="B481"/>
      <c r="C481"/>
      <c r="D481"/>
      <c r="E481" t="s">
        <v>8</v>
      </c>
      <c r="AZ481" s="27" t="s">
        <v>7</v>
      </c>
      <c r="BA481" s="27" t="s">
        <v>8</v>
      </c>
      <c r="BB481" s="27" t="s">
        <v>7</v>
      </c>
      <c r="BC481" s="27" t="s">
        <v>8</v>
      </c>
      <c r="BF481" s="27" t="s">
        <v>7</v>
      </c>
      <c r="BG481" s="27" t="s">
        <v>8</v>
      </c>
      <c r="BH481" s="27" t="s">
        <v>7</v>
      </c>
      <c r="BI481" s="27" t="s">
        <v>8</v>
      </c>
      <c r="BJ481" s="27" t="s">
        <v>7</v>
      </c>
      <c r="BK481" s="27" t="s">
        <v>8</v>
      </c>
      <c r="BN481" s="27" t="s">
        <v>7</v>
      </c>
      <c r="BO481" s="27" t="s">
        <v>8</v>
      </c>
      <c r="BP481" s="27" t="s">
        <v>7</v>
      </c>
      <c r="BU481" s="27" t="s">
        <v>8</v>
      </c>
      <c r="BY481" s="27" t="s">
        <v>8</v>
      </c>
      <c r="BZ481" s="27" t="s">
        <v>7</v>
      </c>
    </row>
    <row r="482" spans="1:82" x14ac:dyDescent="0.25">
      <c r="A482" s="7">
        <v>7.9986747051398144</v>
      </c>
      <c r="B482"/>
      <c r="C482"/>
      <c r="D482"/>
      <c r="E482" t="s">
        <v>8</v>
      </c>
      <c r="AZ482" s="27" t="s">
        <v>7</v>
      </c>
      <c r="BA482" s="27" t="s">
        <v>8</v>
      </c>
      <c r="BB482" s="27" t="s">
        <v>7</v>
      </c>
      <c r="BC482" s="27" t="s">
        <v>8</v>
      </c>
      <c r="BF482" s="27" t="s">
        <v>7</v>
      </c>
      <c r="BG482" s="27" t="s">
        <v>8</v>
      </c>
      <c r="BH482" s="27" t="s">
        <v>7</v>
      </c>
      <c r="BI482" s="27" t="s">
        <v>8</v>
      </c>
      <c r="BJ482" s="27" t="s">
        <v>7</v>
      </c>
      <c r="BK482" s="27" t="s">
        <v>8</v>
      </c>
      <c r="BN482" s="27" t="s">
        <v>7</v>
      </c>
      <c r="BP482" s="27" t="s">
        <v>7</v>
      </c>
      <c r="BU482" s="27" t="s">
        <v>8</v>
      </c>
      <c r="BV482" s="27" t="s">
        <v>7</v>
      </c>
      <c r="BW482" s="27" t="s">
        <v>8</v>
      </c>
      <c r="BY482" s="27" t="s">
        <v>8</v>
      </c>
      <c r="BZ482" s="27" t="s">
        <v>7</v>
      </c>
    </row>
    <row r="483" spans="1:82" x14ac:dyDescent="0.25">
      <c r="A483" s="7">
        <v>7.8418379462155041</v>
      </c>
      <c r="B483"/>
      <c r="C483"/>
      <c r="D483"/>
      <c r="E483" t="s">
        <v>8</v>
      </c>
      <c r="AZ483" s="27" t="s">
        <v>7</v>
      </c>
      <c r="BA483" s="27" t="s">
        <v>8</v>
      </c>
      <c r="BB483" s="27" t="s">
        <v>7</v>
      </c>
      <c r="BF483" s="27" t="s">
        <v>7</v>
      </c>
      <c r="BG483" s="27" t="s">
        <v>8</v>
      </c>
      <c r="BH483" s="27" t="s">
        <v>7</v>
      </c>
      <c r="BI483" s="27" t="s">
        <v>8</v>
      </c>
      <c r="BJ483" s="27" t="s">
        <v>7</v>
      </c>
      <c r="BK483" s="27" t="s">
        <v>8</v>
      </c>
      <c r="BP483" s="27" t="s">
        <v>7</v>
      </c>
      <c r="BQ483" s="27" t="s">
        <v>8</v>
      </c>
      <c r="BU483" s="27" t="s">
        <v>8</v>
      </c>
      <c r="BV483" s="27" t="s">
        <v>7</v>
      </c>
      <c r="BW483" s="27" t="s">
        <v>8</v>
      </c>
      <c r="BX483" s="27" t="s">
        <v>7</v>
      </c>
      <c r="BY483" s="27" t="s">
        <v>8</v>
      </c>
      <c r="BZ483" s="27" t="s">
        <v>7</v>
      </c>
    </row>
    <row r="484" spans="1:82" x14ac:dyDescent="0.25">
      <c r="A484" s="7">
        <v>7.688076417858337</v>
      </c>
      <c r="B484"/>
      <c r="C484"/>
      <c r="D484"/>
      <c r="E484" t="s">
        <v>8</v>
      </c>
      <c r="AZ484" s="27" t="s">
        <v>7</v>
      </c>
      <c r="BA484" s="27" t="s">
        <v>8</v>
      </c>
      <c r="BF484" s="27" t="s">
        <v>7</v>
      </c>
      <c r="BH484" s="27" t="s">
        <v>7</v>
      </c>
      <c r="BI484" s="27" t="s">
        <v>8</v>
      </c>
      <c r="BJ484" s="27" t="s">
        <v>7</v>
      </c>
      <c r="BK484" s="27" t="s">
        <v>8</v>
      </c>
      <c r="BP484" s="27" t="s">
        <v>7</v>
      </c>
      <c r="BQ484" s="27" t="s">
        <v>8</v>
      </c>
      <c r="BR484" s="27" t="s">
        <v>7</v>
      </c>
      <c r="BU484" s="27" t="s">
        <v>8</v>
      </c>
      <c r="BV484" s="27" t="s">
        <v>7</v>
      </c>
      <c r="BW484" s="27" t="s">
        <v>8</v>
      </c>
      <c r="BX484" s="27" t="s">
        <v>7</v>
      </c>
      <c r="BY484" s="27" t="s">
        <v>8</v>
      </c>
      <c r="BZ484" s="27" t="s">
        <v>7</v>
      </c>
    </row>
    <row r="485" spans="1:82" x14ac:dyDescent="0.25">
      <c r="A485" s="7">
        <v>7.5373298214297417</v>
      </c>
      <c r="B485"/>
      <c r="C485"/>
      <c r="D485"/>
      <c r="E485" t="s">
        <v>8</v>
      </c>
      <c r="AZ485" s="27" t="s">
        <v>7</v>
      </c>
      <c r="BA485" s="27" t="s">
        <v>8</v>
      </c>
      <c r="BH485" s="27" t="s">
        <v>7</v>
      </c>
      <c r="BJ485" s="27" t="s">
        <v>7</v>
      </c>
      <c r="BK485" s="27" t="s">
        <v>8</v>
      </c>
      <c r="BP485" s="27" t="s">
        <v>7</v>
      </c>
      <c r="BQ485" s="27" t="s">
        <v>8</v>
      </c>
      <c r="BR485" s="27" t="s">
        <v>7</v>
      </c>
      <c r="BU485" s="27" t="s">
        <v>8</v>
      </c>
      <c r="BV485" s="27" t="s">
        <v>7</v>
      </c>
      <c r="BX485" s="27" t="s">
        <v>7</v>
      </c>
      <c r="BY485" s="27" t="s">
        <v>8</v>
      </c>
      <c r="BZ485" s="27" t="s">
        <v>7</v>
      </c>
    </row>
    <row r="486" spans="1:82" x14ac:dyDescent="0.25">
      <c r="A486" s="7">
        <v>7.389539040617394</v>
      </c>
      <c r="B486"/>
      <c r="C486"/>
      <c r="D486"/>
      <c r="E486" t="s">
        <v>8</v>
      </c>
      <c r="AZ486" s="27" t="s">
        <v>7</v>
      </c>
      <c r="BA486" s="27" t="s">
        <v>8</v>
      </c>
      <c r="BJ486" s="27" t="s">
        <v>7</v>
      </c>
      <c r="BK486" s="27" t="s">
        <v>8</v>
      </c>
      <c r="BP486" s="27" t="s">
        <v>7</v>
      </c>
      <c r="BR486" s="27" t="s">
        <v>7</v>
      </c>
      <c r="BU486" s="27" t="s">
        <v>8</v>
      </c>
      <c r="BX486" s="27" t="s">
        <v>7</v>
      </c>
      <c r="BY486" s="27" t="s">
        <v>8</v>
      </c>
      <c r="BZ486" s="27" t="s">
        <v>7</v>
      </c>
    </row>
    <row r="487" spans="1:82" x14ac:dyDescent="0.25">
      <c r="A487" s="7">
        <v>7.2446461182523469</v>
      </c>
      <c r="B487"/>
      <c r="C487"/>
      <c r="D487"/>
      <c r="E487" t="s">
        <v>8</v>
      </c>
      <c r="AZ487" s="27" t="s">
        <v>7</v>
      </c>
      <c r="BJ487" s="27" t="s">
        <v>7</v>
      </c>
      <c r="BR487" s="27" t="s">
        <v>7</v>
      </c>
      <c r="BU487" s="27" t="s">
        <v>8</v>
      </c>
      <c r="BX487" s="27" t="s">
        <v>7</v>
      </c>
      <c r="BY487" s="27" t="s">
        <v>8</v>
      </c>
      <c r="BZ487" s="27" t="s">
        <v>7</v>
      </c>
    </row>
    <row r="488" spans="1:82" x14ac:dyDescent="0.25">
      <c r="A488" s="7">
        <v>7.1025942335807324</v>
      </c>
      <c r="B488"/>
      <c r="C488"/>
      <c r="D488"/>
      <c r="E488" t="s">
        <v>8</v>
      </c>
      <c r="BR488" s="27" t="s">
        <v>7</v>
      </c>
      <c r="BU488" s="27" t="s">
        <v>8</v>
      </c>
      <c r="BX488" s="18" t="s">
        <v>7</v>
      </c>
      <c r="BY488" s="27" t="s">
        <v>8</v>
      </c>
      <c r="BZ488" s="27" t="s">
        <v>7</v>
      </c>
    </row>
    <row r="489" spans="1:82" x14ac:dyDescent="0.25">
      <c r="A489" s="7">
        <v>6.9633276799811101</v>
      </c>
      <c r="B489"/>
      <c r="C489"/>
      <c r="D489"/>
      <c r="E489" t="s">
        <v>8</v>
      </c>
      <c r="BR489" s="27" t="s">
        <v>7</v>
      </c>
      <c r="BS489" s="27" t="s">
        <v>8</v>
      </c>
      <c r="BU489" s="27" t="s">
        <v>8</v>
      </c>
      <c r="BX489" s="27" t="s">
        <v>7</v>
      </c>
      <c r="BY489" s="27" t="s">
        <v>8</v>
      </c>
      <c r="BZ489" s="27" t="s">
        <v>7</v>
      </c>
    </row>
    <row r="490" spans="1:82" x14ac:dyDescent="0.25">
      <c r="A490" s="7">
        <v>6.8267918431187349</v>
      </c>
      <c r="B490"/>
      <c r="C490"/>
      <c r="D490"/>
      <c r="E490" t="s">
        <v>8</v>
      </c>
      <c r="BR490" s="27" t="s">
        <v>7</v>
      </c>
      <c r="BS490" s="27" t="s">
        <v>8</v>
      </c>
      <c r="BT490" s="27" t="s">
        <v>7</v>
      </c>
      <c r="BU490" s="27" t="s">
        <v>8</v>
      </c>
      <c r="BX490" s="27" t="s">
        <v>7</v>
      </c>
      <c r="BY490" s="27" t="s">
        <v>8</v>
      </c>
      <c r="BZ490" s="27" t="s">
        <v>7</v>
      </c>
    </row>
    <row r="491" spans="1:82" x14ac:dyDescent="0.25">
      <c r="A491" s="7">
        <v>6.692933179528171</v>
      </c>
      <c r="B491"/>
      <c r="C491"/>
      <c r="D491"/>
      <c r="E491" t="s">
        <v>8</v>
      </c>
      <c r="BR491" s="27" t="s">
        <v>7</v>
      </c>
      <c r="BS491" s="27" t="s">
        <v>8</v>
      </c>
      <c r="BT491" s="27" t="s">
        <v>7</v>
      </c>
      <c r="BU491" s="27" t="s">
        <v>8</v>
      </c>
      <c r="BX491" s="27" t="s">
        <v>7</v>
      </c>
      <c r="BZ491" s="27" t="s">
        <v>7</v>
      </c>
    </row>
    <row r="492" spans="1:82" x14ac:dyDescent="0.25">
      <c r="A492" s="7">
        <v>6.5616991956158541</v>
      </c>
      <c r="B492"/>
      <c r="C492"/>
      <c r="D492"/>
      <c r="E492" t="s">
        <v>8</v>
      </c>
      <c r="BR492" s="27" t="s">
        <v>7</v>
      </c>
      <c r="BS492" s="27" t="s">
        <v>8</v>
      </c>
      <c r="BT492" s="27" t="s">
        <v>7</v>
      </c>
      <c r="BU492" s="27" t="s">
        <v>8</v>
      </c>
      <c r="BZ492" s="27" t="s">
        <v>7</v>
      </c>
      <c r="CA492" s="27" t="s">
        <v>8</v>
      </c>
      <c r="CC492" s="27" t="s">
        <v>8</v>
      </c>
    </row>
    <row r="493" spans="1:82" x14ac:dyDescent="0.25">
      <c r="A493" s="7">
        <v>6.4330384270743668</v>
      </c>
      <c r="B493"/>
      <c r="C493"/>
      <c r="D493"/>
      <c r="E493" t="s">
        <v>8</v>
      </c>
      <c r="BR493" s="27" t="s">
        <v>7</v>
      </c>
      <c r="BT493" s="27" t="s">
        <v>7</v>
      </c>
      <c r="BU493" s="27" t="s">
        <v>8</v>
      </c>
      <c r="BZ493" s="27" t="s">
        <v>7</v>
      </c>
      <c r="CA493" s="27" t="s">
        <v>8</v>
      </c>
      <c r="CB493" s="27" t="s">
        <v>7</v>
      </c>
      <c r="CC493" s="27" t="s">
        <v>8</v>
      </c>
      <c r="CD493" s="27" t="s">
        <v>7</v>
      </c>
    </row>
    <row r="494" spans="1:82" x14ac:dyDescent="0.25">
      <c r="A494" s="7">
        <v>6.3069004187003594</v>
      </c>
      <c r="B494"/>
      <c r="C494"/>
      <c r="D494"/>
      <c r="E494" t="s">
        <v>8</v>
      </c>
      <c r="BT494" s="27" t="s">
        <v>7</v>
      </c>
      <c r="BU494" s="27" t="s">
        <v>8</v>
      </c>
      <c r="BZ494" s="27" t="s">
        <v>7</v>
      </c>
      <c r="CA494" s="27" t="s">
        <v>8</v>
      </c>
      <c r="CB494" s="27" t="s">
        <v>7</v>
      </c>
      <c r="CC494" s="27" t="s">
        <v>8</v>
      </c>
      <c r="CD494" s="27" t="s">
        <v>7</v>
      </c>
    </row>
    <row r="495" spans="1:82" x14ac:dyDescent="0.25">
      <c r="A495" s="7">
        <v>6.1832357046081956</v>
      </c>
      <c r="B495"/>
      <c r="C495"/>
      <c r="D495"/>
      <c r="E495" t="s">
        <v>8</v>
      </c>
      <c r="BT495" s="27" t="s">
        <v>7</v>
      </c>
      <c r="BU495" s="27" t="s">
        <v>8</v>
      </c>
      <c r="BZ495" s="27" t="s">
        <v>7</v>
      </c>
      <c r="CA495" s="27" t="s">
        <v>8</v>
      </c>
      <c r="CB495" s="27" t="s">
        <v>7</v>
      </c>
      <c r="CC495" s="27" t="s">
        <v>8</v>
      </c>
      <c r="CD495" s="27" t="s">
        <v>7</v>
      </c>
    </row>
    <row r="496" spans="1:82" x14ac:dyDescent="0.25">
      <c r="A496" s="7">
        <v>6.0619957888315641</v>
      </c>
      <c r="B496"/>
      <c r="C496"/>
      <c r="D496"/>
      <c r="E496" t="s">
        <v>8</v>
      </c>
      <c r="BT496" s="27" t="s">
        <v>7</v>
      </c>
      <c r="BU496" s="27" t="s">
        <v>8</v>
      </c>
      <c r="BZ496" s="27" t="s">
        <v>7</v>
      </c>
      <c r="CA496" s="27" t="s">
        <v>8</v>
      </c>
      <c r="CB496" s="27" t="s">
        <v>7</v>
      </c>
      <c r="CC496" s="27" t="s">
        <v>8</v>
      </c>
      <c r="CD496" s="27" t="s">
        <v>7</v>
      </c>
    </row>
    <row r="497" spans="1:82" x14ac:dyDescent="0.25">
      <c r="A497" s="7">
        <v>5.9431331263054545</v>
      </c>
      <c r="B497"/>
      <c r="C497"/>
      <c r="D497"/>
      <c r="E497" t="s">
        <v>8</v>
      </c>
      <c r="BT497" s="27" t="s">
        <v>7</v>
      </c>
      <c r="BZ497" s="27" t="s">
        <v>7</v>
      </c>
      <c r="CA497" s="27" t="s">
        <v>8</v>
      </c>
      <c r="CB497" s="27" t="s">
        <v>7</v>
      </c>
      <c r="CC497" s="27" t="s">
        <v>8</v>
      </c>
      <c r="CD497" s="27" t="s">
        <v>7</v>
      </c>
    </row>
    <row r="498" spans="1:82" x14ac:dyDescent="0.25">
      <c r="A498" s="7">
        <v>5.8266011042210337</v>
      </c>
      <c r="B498"/>
      <c r="C498"/>
      <c r="D498"/>
      <c r="E498" t="s">
        <v>8</v>
      </c>
      <c r="BZ498" s="27" t="s">
        <v>7</v>
      </c>
      <c r="CA498" s="27" t="s">
        <v>8</v>
      </c>
      <c r="CB498" s="27" t="s">
        <v>7</v>
      </c>
      <c r="CC498" s="27" t="s">
        <v>8</v>
      </c>
      <c r="CD498" s="27" t="s">
        <v>7</v>
      </c>
    </row>
    <row r="499" spans="1:82" x14ac:dyDescent="0.25">
      <c r="A499" s="7">
        <v>5.7123540237461112</v>
      </c>
      <c r="B499"/>
      <c r="C499"/>
      <c r="D499"/>
      <c r="E499" t="s">
        <v>8</v>
      </c>
      <c r="BZ499" s="27" t="s">
        <v>7</v>
      </c>
      <c r="CA499" s="27" t="s">
        <v>8</v>
      </c>
      <c r="CB499" s="27" t="s">
        <v>7</v>
      </c>
      <c r="CC499" s="27" t="s">
        <v>8</v>
      </c>
      <c r="CD499" s="27" t="s">
        <v>7</v>
      </c>
    </row>
    <row r="500" spans="1:82" x14ac:dyDescent="0.25">
      <c r="A500" s="7">
        <v>5.6003470821040304</v>
      </c>
      <c r="B500"/>
      <c r="C500"/>
      <c r="D500"/>
      <c r="E500" t="s">
        <v>8</v>
      </c>
      <c r="BZ500" s="27" t="s">
        <v>7</v>
      </c>
      <c r="CA500" s="27" t="s">
        <v>8</v>
      </c>
      <c r="CB500" s="27" t="s">
        <v>7</v>
      </c>
      <c r="CC500" s="27" t="s">
        <v>8</v>
      </c>
    </row>
    <row r="501" spans="1:82" x14ac:dyDescent="0.25">
      <c r="A501" s="7">
        <v>5.4905363550039512</v>
      </c>
      <c r="B501"/>
      <c r="C501"/>
      <c r="D501"/>
      <c r="E501" t="s">
        <v>8</v>
      </c>
      <c r="BZ501" s="27" t="s">
        <v>7</v>
      </c>
      <c r="CA501" s="27" t="s">
        <v>8</v>
      </c>
      <c r="CB501" s="27" t="s">
        <v>7</v>
      </c>
      <c r="CC501" s="27" t="s">
        <v>8</v>
      </c>
    </row>
    <row r="502" spans="1:82" x14ac:dyDescent="0.25">
      <c r="A502" s="7">
        <v>5.3828787794156385</v>
      </c>
      <c r="B502"/>
      <c r="C502"/>
      <c r="D502"/>
      <c r="E502" t="s">
        <v>8</v>
      </c>
      <c r="BZ502" s="27" t="s">
        <v>7</v>
      </c>
      <c r="CB502" s="27" t="s">
        <v>7</v>
      </c>
      <c r="CC502" s="27" t="s">
        <v>8</v>
      </c>
    </row>
    <row r="503" spans="1:82" x14ac:dyDescent="0.25">
      <c r="A503" s="7">
        <v>5.2773321366819985</v>
      </c>
      <c r="B503"/>
      <c r="C503"/>
      <c r="D503"/>
      <c r="E503" t="s">
        <v>8</v>
      </c>
      <c r="CB503" s="27" t="s">
        <v>7</v>
      </c>
      <c r="CC503" s="27" t="s">
        <v>8</v>
      </c>
    </row>
    <row r="504" spans="1:82" x14ac:dyDescent="0.25">
      <c r="A504" s="7">
        <v>5.1738550359627435</v>
      </c>
      <c r="B504"/>
      <c r="C504"/>
      <c r="D504"/>
      <c r="E504" t="s">
        <v>8</v>
      </c>
      <c r="CB504" s="27" t="s">
        <v>7</v>
      </c>
    </row>
    <row r="505" spans="1:82" x14ac:dyDescent="0.25">
      <c r="A505" s="7">
        <v>5.07240689800269</v>
      </c>
      <c r="B505"/>
      <c r="C505"/>
      <c r="D505"/>
      <c r="E505" t="s">
        <v>8</v>
      </c>
    </row>
    <row r="506" spans="1:82" x14ac:dyDescent="0.25">
      <c r="A506" s="7">
        <v>4.9729479392183231</v>
      </c>
      <c r="B506"/>
      <c r="C506"/>
      <c r="D506"/>
      <c r="E506" t="s">
        <v>8</v>
      </c>
    </row>
    <row r="507" spans="1:82" x14ac:dyDescent="0.25">
      <c r="A507" s="7">
        <v>4.8754391560963954</v>
      </c>
      <c r="B507"/>
      <c r="C507"/>
      <c r="D507"/>
      <c r="E507" t="s">
        <v>8</v>
      </c>
    </row>
    <row r="508" spans="1:82" x14ac:dyDescent="0.25">
      <c r="A508" s="7">
        <v>4.7798423098984264</v>
      </c>
      <c r="B508"/>
      <c r="C508"/>
      <c r="D508"/>
      <c r="E508" t="s">
        <v>8</v>
      </c>
    </row>
    <row r="509" spans="1:82" x14ac:dyDescent="0.25">
      <c r="A509" s="7">
        <v>4.6861199116651235</v>
      </c>
      <c r="B509"/>
      <c r="C509"/>
      <c r="D509"/>
      <c r="E509" t="s">
        <v>8</v>
      </c>
    </row>
    <row r="510" spans="1:82" x14ac:dyDescent="0.25">
      <c r="A510" s="7">
        <v>4.5942352075148269</v>
      </c>
      <c r="B510"/>
      <c r="C510"/>
      <c r="D510"/>
      <c r="E510" t="s">
        <v>8</v>
      </c>
    </row>
    <row r="511" spans="1:82" x14ac:dyDescent="0.25">
      <c r="A511" s="7">
        <v>4.5041521642302227</v>
      </c>
      <c r="B511"/>
      <c r="C511"/>
      <c r="D511"/>
      <c r="E511" t="s">
        <v>8</v>
      </c>
    </row>
    <row r="512" spans="1:82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82" operator="equal">
      <formula>$U$1</formula>
    </cfRule>
    <cfRule type="cellIs" dxfId="89" priority="183" operator="equal">
      <formula>$S$1</formula>
    </cfRule>
  </conditionalFormatting>
  <conditionalFormatting sqref="D27">
    <cfRule type="cellIs" dxfId="88" priority="180" operator="equal">
      <formula>$S$1</formula>
    </cfRule>
    <cfRule type="cellIs" dxfId="87" priority="181" operator="equal">
      <formula>$U$1</formula>
    </cfRule>
  </conditionalFormatting>
  <conditionalFormatting sqref="C164">
    <cfRule type="cellIs" dxfId="86" priority="178" operator="equal">
      <formula>$U$1</formula>
    </cfRule>
    <cfRule type="cellIs" dxfId="85" priority="179" operator="equal">
      <formula>$S$1</formula>
    </cfRule>
  </conditionalFormatting>
  <conditionalFormatting sqref="D164">
    <cfRule type="cellIs" dxfId="84" priority="176" operator="equal">
      <formula>$S$1</formula>
    </cfRule>
    <cfRule type="cellIs" dxfId="83" priority="177" operator="equal">
      <formula>$U$1</formula>
    </cfRule>
  </conditionalFormatting>
  <conditionalFormatting sqref="C55">
    <cfRule type="cellIs" dxfId="82" priority="174" operator="equal">
      <formula>$U$1</formula>
    </cfRule>
    <cfRule type="cellIs" dxfId="81" priority="175" operator="equal">
      <formula>$S$1</formula>
    </cfRule>
  </conditionalFormatting>
  <conditionalFormatting sqref="D55">
    <cfRule type="cellIs" dxfId="80" priority="172" operator="equal">
      <formula>$S$1</formula>
    </cfRule>
    <cfRule type="cellIs" dxfId="79" priority="173" operator="equal">
      <formula>$U$1</formula>
    </cfRule>
  </conditionalFormatting>
  <conditionalFormatting sqref="C89">
    <cfRule type="cellIs" dxfId="78" priority="170" operator="equal">
      <formula>$U$1</formula>
    </cfRule>
    <cfRule type="cellIs" dxfId="77" priority="171" operator="equal">
      <formula>$S$1</formula>
    </cfRule>
  </conditionalFormatting>
  <conditionalFormatting sqref="D89">
    <cfRule type="cellIs" dxfId="76" priority="168" operator="equal">
      <formula>$S$1</formula>
    </cfRule>
    <cfRule type="cellIs" dxfId="75" priority="169" operator="equal">
      <formula>$U$1</formula>
    </cfRule>
  </conditionalFormatting>
  <conditionalFormatting sqref="C136">
    <cfRule type="cellIs" dxfId="74" priority="166" operator="equal">
      <formula>$U$1</formula>
    </cfRule>
    <cfRule type="cellIs" dxfId="73" priority="167" operator="equal">
      <formula>$S$1</formula>
    </cfRule>
  </conditionalFormatting>
  <conditionalFormatting sqref="D136">
    <cfRule type="cellIs" dxfId="72" priority="164" operator="equal">
      <formula>$S$1</formula>
    </cfRule>
    <cfRule type="cellIs" dxfId="71" priority="165" operator="equal">
      <formula>$U$1</formula>
    </cfRule>
  </conditionalFormatting>
  <conditionalFormatting sqref="C1">
    <cfRule type="cellIs" dxfId="70" priority="16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53" zoomScale="90" zoomScaleNormal="90" workbookViewId="0">
      <pane xSplit="4" topLeftCell="H1" activePane="topRight" state="frozen"/>
      <selection activeCell="A109" sqref="A109"/>
      <selection pane="topRight" activeCell="AU270" sqref="AU270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$A$269</v>
      </c>
      <c r="D111" s="1" t="str">
        <f>ADDRESS(C121-1,D121,1,1)</f>
        <v>$AU$269</v>
      </c>
      <c r="E111"/>
    </row>
    <row r="112" spans="1:5" x14ac:dyDescent="0.25">
      <c r="A112" s="30">
        <v>14226.649032170862</v>
      </c>
      <c r="C112" s="1" t="str">
        <f>ADDRESS(C121,1,1,1)</f>
        <v>$A$270</v>
      </c>
      <c r="D112" s="1" t="str">
        <f>ADDRESS(C121,D121-1,1,1)</f>
        <v>$AT$270</v>
      </c>
      <c r="E112"/>
    </row>
    <row r="113" spans="1:5" x14ac:dyDescent="0.25">
      <c r="A113" s="30">
        <v>13549.18955444844</v>
      </c>
      <c r="C113" s="1" t="str">
        <f>ADDRESS(C121+1,1,1,1)</f>
        <v>$A$271</v>
      </c>
      <c r="D113" s="1" t="str">
        <f>ADDRESS(C121-1,D121+1,1,1)</f>
        <v>$AV$269</v>
      </c>
    </row>
    <row r="114" spans="1:5" x14ac:dyDescent="0.25">
      <c r="A114" s="30">
        <v>12903.990051855657</v>
      </c>
      <c r="C114" s="1" t="str">
        <f>ADDRESS(C121,D121,1,1)</f>
        <v>$AU$270</v>
      </c>
      <c r="D114" s="1" t="str">
        <f>ADDRESS(C121+1,D121+1,1,1)</f>
        <v>$AV$271</v>
      </c>
    </row>
    <row r="115" spans="1:5" x14ac:dyDescent="0.25">
      <c r="A115" s="30">
        <v>12289.514335100625</v>
      </c>
      <c r="C115" s="1" t="str">
        <f>ADDRESS(C121+1,D121,1,1)</f>
        <v>$AU$271</v>
      </c>
    </row>
    <row r="116" spans="1:5" x14ac:dyDescent="0.25">
      <c r="A116" s="30">
        <v>11704.2993667625</v>
      </c>
      <c r="C116" s="1">
        <f>C117-1</f>
        <v>269</v>
      </c>
    </row>
    <row r="117" spans="1:5" x14ac:dyDescent="0.25">
      <c r="A117" s="30">
        <v>11146.951777869046</v>
      </c>
      <c r="C117" s="1">
        <f>C121</f>
        <v>270</v>
      </c>
      <c r="D117" s="1">
        <f>D121</f>
        <v>47</v>
      </c>
    </row>
    <row r="118" spans="1:5" x14ac:dyDescent="0.25">
      <c r="A118" s="30">
        <v>10616.144550351471</v>
      </c>
      <c r="C118" s="1">
        <f>C117+1</f>
        <v>271</v>
      </c>
      <c r="D118" s="1">
        <f>D117+1</f>
        <v>48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270</v>
      </c>
      <c r="D121" s="19">
        <v>47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R270</v>
      </c>
      <c r="D123" s="1" t="str">
        <f>"C"&amp;D121</f>
        <v>C47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6.3854772899089882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15" x14ac:dyDescent="0.25">
      <c r="A225" s="30">
        <v>57.373563215003678</v>
      </c>
      <c r="E225"/>
    </row>
    <row r="226" spans="1:15" x14ac:dyDescent="0.25">
      <c r="A226" s="30">
        <v>54.641488776193974</v>
      </c>
      <c r="E226"/>
    </row>
    <row r="227" spans="1:15" x14ac:dyDescent="0.25">
      <c r="A227" s="30">
        <v>52.039513120184736</v>
      </c>
      <c r="E227"/>
    </row>
    <row r="228" spans="1:15" x14ac:dyDescent="0.25">
      <c r="A228" s="30">
        <v>49.561441066842605</v>
      </c>
      <c r="C228" s="7"/>
      <c r="D228"/>
      <c r="E228"/>
    </row>
    <row r="229" spans="1:15" x14ac:dyDescent="0.25">
      <c r="A229" s="30">
        <v>47.201372444612005</v>
      </c>
      <c r="E229"/>
    </row>
    <row r="230" spans="1:15" x14ac:dyDescent="0.25">
      <c r="A230" s="30">
        <v>44.95368804248762</v>
      </c>
      <c r="E230"/>
    </row>
    <row r="231" spans="1:15" x14ac:dyDescent="0.25">
      <c r="A231" s="30">
        <v>42.81303623094059</v>
      </c>
      <c r="C231"/>
      <c r="D231"/>
      <c r="E231"/>
    </row>
    <row r="232" spans="1:15" x14ac:dyDescent="0.25">
      <c r="A232" s="30">
        <v>40.774320219943419</v>
      </c>
      <c r="E232"/>
    </row>
    <row r="233" spans="1:15" x14ac:dyDescent="0.25">
      <c r="A233" s="30">
        <v>38.832685923755633</v>
      </c>
      <c r="E233"/>
    </row>
    <row r="234" spans="1:15" x14ac:dyDescent="0.25">
      <c r="A234" s="30">
        <v>36.983510403576794</v>
      </c>
      <c r="E234"/>
    </row>
    <row r="235" spans="1:15" x14ac:dyDescent="0.25">
      <c r="A235" s="30">
        <v>35.222390860549325</v>
      </c>
      <c r="C235"/>
      <c r="E235"/>
    </row>
    <row r="236" spans="1:15" x14ac:dyDescent="0.25">
      <c r="A236" s="30">
        <v>33.545134152904119</v>
      </c>
      <c r="E236"/>
    </row>
    <row r="237" spans="1:1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15" x14ac:dyDescent="0.25">
      <c r="A238" s="30">
        <v>30.426425535513939</v>
      </c>
      <c r="E238"/>
    </row>
    <row r="239" spans="1:15" x14ac:dyDescent="0.25">
      <c r="A239" s="30">
        <v>28.977548129060892</v>
      </c>
      <c r="E239"/>
    </row>
    <row r="240" spans="1:15" x14ac:dyDescent="0.25">
      <c r="A240" s="30">
        <v>27.597664884819896</v>
      </c>
      <c r="E240" s="29"/>
      <c r="O240" s="27" t="s">
        <v>8</v>
      </c>
    </row>
    <row r="241" spans="1:36" x14ac:dyDescent="0.25">
      <c r="A241" s="30">
        <v>26.283490366495137</v>
      </c>
      <c r="B241"/>
      <c r="C241"/>
      <c r="D241"/>
      <c r="E241"/>
      <c r="O241" s="27" t="s">
        <v>8</v>
      </c>
      <c r="P241" s="27" t="s">
        <v>7</v>
      </c>
      <c r="Q241" s="27" t="s">
        <v>8</v>
      </c>
    </row>
    <row r="242" spans="1:36" x14ac:dyDescent="0.25">
      <c r="A242" s="30">
        <v>25.031895587138223</v>
      </c>
      <c r="B242"/>
      <c r="C242"/>
      <c r="D242"/>
      <c r="E242"/>
      <c r="O242" s="27" t="s">
        <v>8</v>
      </c>
      <c r="P242" s="27" t="s">
        <v>7</v>
      </c>
      <c r="Q242" s="27" t="s">
        <v>8</v>
      </c>
      <c r="R242" s="27" t="s">
        <v>7</v>
      </c>
      <c r="S242" s="32" t="s">
        <v>8</v>
      </c>
    </row>
    <row r="243" spans="1:36" x14ac:dyDescent="0.25">
      <c r="A243" s="30">
        <v>23.839900559179259</v>
      </c>
      <c r="B243"/>
      <c r="C243"/>
      <c r="D243"/>
      <c r="E243"/>
      <c r="O243" s="27" t="s">
        <v>8</v>
      </c>
      <c r="P243" s="27" t="s">
        <v>7</v>
      </c>
      <c r="Q243" s="27" t="s">
        <v>8</v>
      </c>
      <c r="R243" s="27" t="s">
        <v>7</v>
      </c>
      <c r="S243" s="27" t="s">
        <v>8</v>
      </c>
      <c r="T243" s="32" t="s">
        <v>7</v>
      </c>
    </row>
    <row r="244" spans="1:36" x14ac:dyDescent="0.25">
      <c r="A244" s="30">
        <v>22.704667199218342</v>
      </c>
      <c r="B244"/>
      <c r="C244"/>
      <c r="D244"/>
      <c r="E244"/>
      <c r="M244" s="27" t="s">
        <v>8</v>
      </c>
      <c r="O244" s="27" t="s">
        <v>8</v>
      </c>
      <c r="P244" s="27" t="s">
        <v>7</v>
      </c>
      <c r="Q244" s="27" t="s">
        <v>8</v>
      </c>
      <c r="R244" s="27" t="s">
        <v>7</v>
      </c>
      <c r="S244" s="27" t="s">
        <v>8</v>
      </c>
      <c r="T244" s="27" t="s">
        <v>7</v>
      </c>
      <c r="U244" s="32"/>
    </row>
    <row r="245" spans="1:36" x14ac:dyDescent="0.25">
      <c r="A245" s="30">
        <v>21.623492570684135</v>
      </c>
      <c r="B245"/>
      <c r="C245"/>
      <c r="D245"/>
      <c r="E245"/>
      <c r="M245" s="27" t="s">
        <v>8</v>
      </c>
      <c r="N245" s="27" t="s">
        <v>7</v>
      </c>
      <c r="O245" s="27" t="s">
        <v>8</v>
      </c>
      <c r="P245" s="27" t="s">
        <v>7</v>
      </c>
      <c r="R245" s="27" t="s">
        <v>7</v>
      </c>
      <c r="S245" s="27" t="s">
        <v>8</v>
      </c>
      <c r="T245" s="27" t="s">
        <v>7</v>
      </c>
      <c r="V245" s="32"/>
    </row>
    <row r="246" spans="1:36" x14ac:dyDescent="0.25">
      <c r="A246" s="30">
        <v>20.593802448270605</v>
      </c>
      <c r="B246"/>
      <c r="C246"/>
      <c r="D246"/>
      <c r="E246"/>
      <c r="M246" s="27" t="s">
        <v>8</v>
      </c>
      <c r="N246" s="27" t="s">
        <v>7</v>
      </c>
      <c r="O246" s="27" t="s">
        <v>8</v>
      </c>
      <c r="R246" s="27" t="s">
        <v>7</v>
      </c>
      <c r="T246" s="27" t="s">
        <v>7</v>
      </c>
      <c r="W246" s="32"/>
    </row>
    <row r="247" spans="1:36" x14ac:dyDescent="0.25">
      <c r="A247" s="30">
        <v>19.613145188829147</v>
      </c>
      <c r="B247"/>
      <c r="C247"/>
      <c r="D247"/>
      <c r="E247"/>
      <c r="M247" s="27" t="s">
        <v>8</v>
      </c>
      <c r="N247" s="27" t="s">
        <v>7</v>
      </c>
      <c r="T247" s="27" t="s">
        <v>7</v>
      </c>
      <c r="X247" s="32"/>
    </row>
    <row r="248" spans="1:36" x14ac:dyDescent="0.25">
      <c r="A248" s="30">
        <v>18.679185894122998</v>
      </c>
      <c r="B248"/>
      <c r="C248"/>
      <c r="D248"/>
      <c r="E248"/>
      <c r="M248" s="27" t="s">
        <v>8</v>
      </c>
      <c r="T248" s="27" t="s">
        <v>7</v>
      </c>
      <c r="Y248" s="32"/>
    </row>
    <row r="249" spans="1:36" x14ac:dyDescent="0.25">
      <c r="A249" s="30">
        <v>17.78970085154571</v>
      </c>
      <c r="B249"/>
      <c r="C249"/>
      <c r="D249"/>
      <c r="E249"/>
      <c r="I249" s="27" t="s">
        <v>8</v>
      </c>
      <c r="M249" s="27" t="s">
        <v>8</v>
      </c>
      <c r="T249" s="27" t="s">
        <v>7</v>
      </c>
      <c r="W249" s="27" t="s">
        <v>8</v>
      </c>
      <c r="Y249" s="27" t="s">
        <v>8</v>
      </c>
      <c r="Z249" s="32"/>
    </row>
    <row r="250" spans="1:36" x14ac:dyDescent="0.25">
      <c r="A250" s="30">
        <v>16.942572239567344</v>
      </c>
      <c r="B250"/>
      <c r="C250"/>
      <c r="D250"/>
      <c r="E250"/>
      <c r="I250" s="27" t="s">
        <v>8</v>
      </c>
      <c r="J250" s="27" t="s">
        <v>7</v>
      </c>
      <c r="M250" s="27" t="s">
        <v>8</v>
      </c>
      <c r="T250" s="32" t="s">
        <v>7</v>
      </c>
      <c r="U250" s="27" t="s">
        <v>8</v>
      </c>
      <c r="W250" s="27" t="s">
        <v>8</v>
      </c>
      <c r="X250" s="27" t="s">
        <v>7</v>
      </c>
      <c r="Y250" s="27" t="s">
        <v>8</v>
      </c>
      <c r="Z250" s="27" t="s">
        <v>7</v>
      </c>
      <c r="AA250" s="32"/>
    </row>
    <row r="251" spans="1:36" x14ac:dyDescent="0.25">
      <c r="A251" s="30">
        <v>16.135783085302233</v>
      </c>
      <c r="B251"/>
      <c r="C251"/>
      <c r="D251"/>
      <c r="E251"/>
      <c r="I251" s="27" t="s">
        <v>8</v>
      </c>
      <c r="J251" s="27" t="s">
        <v>7</v>
      </c>
      <c r="M251" s="27" t="s">
        <v>8</v>
      </c>
      <c r="S251" s="32"/>
      <c r="T251" s="27" t="s">
        <v>7</v>
      </c>
      <c r="U251" s="27" t="s">
        <v>8</v>
      </c>
      <c r="V251" s="27" t="s">
        <v>7</v>
      </c>
      <c r="W251" s="27" t="s">
        <v>8</v>
      </c>
      <c r="X251" s="27" t="s">
        <v>7</v>
      </c>
      <c r="Y251" s="27" t="s">
        <v>8</v>
      </c>
      <c r="Z251" s="27" t="s">
        <v>7</v>
      </c>
      <c r="AB251" s="32"/>
      <c r="AE251" s="27" t="s">
        <v>8</v>
      </c>
    </row>
    <row r="252" spans="1:36" x14ac:dyDescent="0.25">
      <c r="A252" s="30">
        <v>15.367412462192602</v>
      </c>
      <c r="B252"/>
      <c r="C252"/>
      <c r="D252"/>
      <c r="E252"/>
      <c r="I252" s="27" t="s">
        <v>8</v>
      </c>
      <c r="J252" s="27" t="s">
        <v>7</v>
      </c>
      <c r="M252" s="27" t="s">
        <v>8</v>
      </c>
      <c r="R252" s="32"/>
      <c r="T252" s="27" t="s">
        <v>7</v>
      </c>
      <c r="U252" s="27" t="s">
        <v>8</v>
      </c>
      <c r="V252" s="27" t="s">
        <v>7</v>
      </c>
      <c r="W252" s="27" t="s">
        <v>8</v>
      </c>
      <c r="X252" s="27" t="s">
        <v>7</v>
      </c>
      <c r="Z252" s="27" t="s">
        <v>7</v>
      </c>
      <c r="AA252" s="27" t="s">
        <v>8</v>
      </c>
      <c r="AC252" s="32"/>
      <c r="AE252" s="27" t="s">
        <v>8</v>
      </c>
      <c r="AF252" s="32" t="s">
        <v>7</v>
      </c>
    </row>
    <row r="253" spans="1:36" x14ac:dyDescent="0.25">
      <c r="A253" s="30">
        <v>14.635630916373906</v>
      </c>
      <c r="B253"/>
      <c r="C253"/>
      <c r="D253"/>
      <c r="E253"/>
      <c r="I253" s="27" t="s">
        <v>8</v>
      </c>
      <c r="J253" s="27" t="s">
        <v>7</v>
      </c>
      <c r="K253" s="27" t="s">
        <v>8</v>
      </c>
      <c r="M253" s="27" t="s">
        <v>8</v>
      </c>
      <c r="Q253" s="32"/>
      <c r="T253" s="27" t="s">
        <v>7</v>
      </c>
      <c r="V253" s="27" t="s">
        <v>7</v>
      </c>
      <c r="Z253" s="27" t="s">
        <v>7</v>
      </c>
      <c r="AA253" s="27" t="s">
        <v>8</v>
      </c>
      <c r="AB253" s="27" t="s">
        <v>7</v>
      </c>
      <c r="AC253" s="27" t="s">
        <v>8</v>
      </c>
      <c r="AD253" s="32"/>
      <c r="AE253" s="27" t="s">
        <v>8</v>
      </c>
      <c r="AF253" s="27" t="s">
        <v>7</v>
      </c>
      <c r="AG253" s="32" t="s">
        <v>8</v>
      </c>
    </row>
    <row r="254" spans="1:36" x14ac:dyDescent="0.25">
      <c r="A254" s="30">
        <v>13.938696110832291</v>
      </c>
      <c r="B254"/>
      <c r="C254"/>
      <c r="D254"/>
      <c r="E254" t="s">
        <v>8</v>
      </c>
      <c r="I254" s="27" t="s">
        <v>8</v>
      </c>
      <c r="J254" s="27" t="s">
        <v>7</v>
      </c>
      <c r="K254" s="27" t="s">
        <v>8</v>
      </c>
      <c r="L254" s="27" t="s">
        <v>7</v>
      </c>
      <c r="M254" s="27" t="s">
        <v>8</v>
      </c>
      <c r="P254" s="32"/>
      <c r="Z254" s="27" t="s">
        <v>7</v>
      </c>
      <c r="AA254" s="27" t="s">
        <v>8</v>
      </c>
      <c r="AB254" s="27" t="s">
        <v>7</v>
      </c>
      <c r="AC254" s="27" t="s">
        <v>8</v>
      </c>
      <c r="AD254" s="27" t="s">
        <v>7</v>
      </c>
      <c r="AE254" s="32" t="s">
        <v>8</v>
      </c>
      <c r="AF254" s="27" t="s">
        <v>7</v>
      </c>
      <c r="AG254" s="27" t="s">
        <v>8</v>
      </c>
      <c r="AH254" s="32" t="s">
        <v>7</v>
      </c>
    </row>
    <row r="255" spans="1:36" x14ac:dyDescent="0.25">
      <c r="A255" s="30">
        <v>13.274948676983135</v>
      </c>
      <c r="E255" t="s">
        <v>8</v>
      </c>
      <c r="F255" s="27" t="s">
        <v>7</v>
      </c>
      <c r="I255" s="27" t="s">
        <v>8</v>
      </c>
      <c r="J255" s="27" t="s">
        <v>7</v>
      </c>
      <c r="K255" s="27" t="s">
        <v>8</v>
      </c>
      <c r="L255" s="27" t="s">
        <v>7</v>
      </c>
      <c r="M255" s="27" t="s">
        <v>8</v>
      </c>
      <c r="O255" s="32"/>
      <c r="Z255" s="27" t="s">
        <v>7</v>
      </c>
      <c r="AA255" s="27" t="s">
        <v>8</v>
      </c>
      <c r="AB255" s="27" t="s">
        <v>7</v>
      </c>
      <c r="AC255" s="27" t="s">
        <v>8</v>
      </c>
      <c r="AD255" s="27" t="s">
        <v>7</v>
      </c>
      <c r="AE255" s="27" t="s">
        <v>8</v>
      </c>
      <c r="AF255" s="27" t="s">
        <v>7</v>
      </c>
      <c r="AG255" s="27" t="s">
        <v>8</v>
      </c>
      <c r="AH255" s="27" t="s">
        <v>7</v>
      </c>
      <c r="AI255" s="32"/>
    </row>
    <row r="256" spans="1:36" x14ac:dyDescent="0.25">
      <c r="A256" s="30">
        <v>12.64280826379346</v>
      </c>
      <c r="E256" t="s">
        <v>8</v>
      </c>
      <c r="F256" s="27" t="s">
        <v>7</v>
      </c>
      <c r="G256" s="27" t="s">
        <v>8</v>
      </c>
      <c r="I256" s="27" t="s">
        <v>8</v>
      </c>
      <c r="J256" s="27" t="s">
        <v>7</v>
      </c>
      <c r="K256" s="27" t="s">
        <v>8</v>
      </c>
      <c r="L256" s="27" t="s">
        <v>7</v>
      </c>
      <c r="M256" s="27" t="s">
        <v>8</v>
      </c>
      <c r="N256" s="32"/>
      <c r="Z256" s="27" t="s">
        <v>7</v>
      </c>
      <c r="AB256" s="27" t="s">
        <v>7</v>
      </c>
      <c r="AC256" s="27" t="s">
        <v>8</v>
      </c>
      <c r="AD256" s="27" t="s">
        <v>7</v>
      </c>
      <c r="AF256" s="27" t="s">
        <v>7</v>
      </c>
      <c r="AG256" s="27" t="s">
        <v>8</v>
      </c>
      <c r="AH256" s="27" t="s">
        <v>7</v>
      </c>
      <c r="AJ256" s="32"/>
    </row>
    <row r="257" spans="1:47" x14ac:dyDescent="0.25">
      <c r="A257" s="30">
        <v>12.04076977504139</v>
      </c>
      <c r="B257"/>
      <c r="C257"/>
      <c r="D257"/>
      <c r="E257" t="s">
        <v>8</v>
      </c>
      <c r="F257" s="27" t="s">
        <v>7</v>
      </c>
      <c r="G257" s="27" t="s">
        <v>8</v>
      </c>
      <c r="H257" s="27" t="s">
        <v>7</v>
      </c>
      <c r="I257" s="27" t="s">
        <v>8</v>
      </c>
      <c r="J257" s="27" t="s">
        <v>7</v>
      </c>
      <c r="K257" s="27" t="s">
        <v>8</v>
      </c>
      <c r="L257" s="27" t="s">
        <v>7</v>
      </c>
      <c r="M257" s="32" t="s">
        <v>8</v>
      </c>
      <c r="AB257" s="27" t="s">
        <v>7</v>
      </c>
      <c r="AC257" s="27" t="s">
        <v>8</v>
      </c>
      <c r="AF257" s="27" t="s">
        <v>7</v>
      </c>
      <c r="AG257" s="27" t="s">
        <v>8</v>
      </c>
      <c r="AH257" s="27" t="s">
        <v>7</v>
      </c>
      <c r="AK257" s="32"/>
    </row>
    <row r="258" spans="1:47" x14ac:dyDescent="0.25">
      <c r="A258" s="30">
        <v>11.467399785753704</v>
      </c>
      <c r="B258"/>
      <c r="C258"/>
      <c r="D258"/>
      <c r="E258" t="s">
        <v>8</v>
      </c>
      <c r="F258" s="27" t="s">
        <v>7</v>
      </c>
      <c r="G258" s="27" t="s">
        <v>8</v>
      </c>
      <c r="H258" s="27" t="s">
        <v>7</v>
      </c>
      <c r="I258" s="27" t="s">
        <v>8</v>
      </c>
      <c r="J258" s="27" t="s">
        <v>7</v>
      </c>
      <c r="K258" s="27" t="s">
        <v>8</v>
      </c>
      <c r="L258" s="32" t="s">
        <v>7</v>
      </c>
      <c r="AB258" s="27" t="s">
        <v>7</v>
      </c>
      <c r="AF258" s="27" t="s">
        <v>7</v>
      </c>
      <c r="AH258" s="27" t="s">
        <v>7</v>
      </c>
      <c r="AL258" s="32"/>
    </row>
    <row r="259" spans="1:47" x14ac:dyDescent="0.25">
      <c r="A259" s="30">
        <v>10.921333129289241</v>
      </c>
      <c r="B259"/>
      <c r="C259"/>
      <c r="D259"/>
      <c r="E259" t="s">
        <v>8</v>
      </c>
      <c r="F259" s="27" t="s">
        <v>7</v>
      </c>
      <c r="H259" s="27" t="s">
        <v>7</v>
      </c>
      <c r="I259" s="27" t="s">
        <v>8</v>
      </c>
      <c r="J259" s="27" t="s">
        <v>7</v>
      </c>
      <c r="K259" s="32"/>
      <c r="AH259" s="27" t="s">
        <v>7</v>
      </c>
      <c r="AM259" s="32"/>
    </row>
    <row r="260" spans="1:47" x14ac:dyDescent="0.25">
      <c r="A260" s="30">
        <v>10.401269646942135</v>
      </c>
      <c r="B260"/>
      <c r="C260"/>
      <c r="D260"/>
      <c r="E260" t="s">
        <v>8</v>
      </c>
      <c r="H260" s="27" t="s">
        <v>7</v>
      </c>
      <c r="I260" s="27" t="s">
        <v>8</v>
      </c>
      <c r="J260" s="32"/>
      <c r="AH260" s="27" t="s">
        <v>7</v>
      </c>
      <c r="AM260" s="27" t="s">
        <v>8</v>
      </c>
      <c r="AN260" s="32"/>
    </row>
    <row r="261" spans="1:47" x14ac:dyDescent="0.25">
      <c r="A261" s="30">
        <v>9.9059710923258422</v>
      </c>
      <c r="B261"/>
      <c r="C261"/>
      <c r="D261"/>
      <c r="E261" t="s">
        <v>8</v>
      </c>
      <c r="H261" s="27" t="s">
        <v>7</v>
      </c>
      <c r="I261" s="32" t="s">
        <v>8</v>
      </c>
      <c r="AH261" s="27" t="s">
        <v>7</v>
      </c>
      <c r="AI261" s="27" t="s">
        <v>8</v>
      </c>
      <c r="AM261" s="27" t="s">
        <v>8</v>
      </c>
      <c r="AN261" s="27" t="s">
        <v>7</v>
      </c>
      <c r="AO261" s="32"/>
    </row>
    <row r="262" spans="1:47" x14ac:dyDescent="0.25">
      <c r="A262" s="30">
        <v>9.4342581831674686</v>
      </c>
      <c r="B262"/>
      <c r="C262"/>
      <c r="D262"/>
      <c r="E262" t="s">
        <v>8</v>
      </c>
      <c r="H262" s="32" t="s">
        <v>7</v>
      </c>
      <c r="AH262" s="27" t="s">
        <v>7</v>
      </c>
      <c r="AI262" s="27" t="s">
        <v>8</v>
      </c>
      <c r="AJ262" s="27" t="s">
        <v>7</v>
      </c>
      <c r="AK262" s="27" t="s">
        <v>8</v>
      </c>
      <c r="AM262" s="27" t="s">
        <v>8</v>
      </c>
      <c r="AN262" s="27" t="s">
        <v>7</v>
      </c>
    </row>
    <row r="263" spans="1:47" x14ac:dyDescent="0.25">
      <c r="A263" s="30">
        <v>8.9850077934928265</v>
      </c>
      <c r="B263"/>
      <c r="C263"/>
      <c r="D263"/>
      <c r="E263" t="s">
        <v>8</v>
      </c>
      <c r="AH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M263" s="27" t="s">
        <v>8</v>
      </c>
      <c r="AN263" s="27" t="s">
        <v>7</v>
      </c>
    </row>
    <row r="264" spans="1:47" x14ac:dyDescent="0.25">
      <c r="A264" s="30">
        <v>8.5571502795169767</v>
      </c>
      <c r="B264"/>
      <c r="C264"/>
      <c r="D264"/>
      <c r="E264" t="s">
        <v>8</v>
      </c>
      <c r="AH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M264" s="27" t="s">
        <v>8</v>
      </c>
      <c r="AN264" s="27" t="s">
        <v>7</v>
      </c>
      <c r="AQ264" s="27" t="s">
        <v>8</v>
      </c>
    </row>
    <row r="265" spans="1:47" x14ac:dyDescent="0.25">
      <c r="A265" s="30">
        <v>8.1496669328733109</v>
      </c>
      <c r="B265"/>
      <c r="C265"/>
      <c r="D265"/>
      <c r="E265" t="s">
        <v>8</v>
      </c>
      <c r="AH265" s="27" t="s">
        <v>7</v>
      </c>
      <c r="AI265" s="27" t="s">
        <v>8</v>
      </c>
      <c r="AJ265" s="27" t="s">
        <v>7</v>
      </c>
      <c r="AL265" s="27" t="s">
        <v>7</v>
      </c>
      <c r="AM265" s="27" t="s">
        <v>8</v>
      </c>
      <c r="AN265" s="27" t="s">
        <v>7</v>
      </c>
      <c r="AO265" s="18" t="s">
        <v>8</v>
      </c>
      <c r="AQ265" s="27" t="s">
        <v>8</v>
      </c>
      <c r="AR265" s="27" t="s">
        <v>7</v>
      </c>
    </row>
    <row r="266" spans="1:47" x14ac:dyDescent="0.25">
      <c r="A266" s="30">
        <v>7.7615875551174378</v>
      </c>
      <c r="B266"/>
      <c r="C266"/>
      <c r="D266"/>
      <c r="E266" t="s">
        <v>8</v>
      </c>
      <c r="AH266" s="27" t="s">
        <v>7</v>
      </c>
      <c r="AI266" s="27" t="s">
        <v>8</v>
      </c>
      <c r="AL266" s="27" t="s">
        <v>7</v>
      </c>
      <c r="AM266" s="27" t="s">
        <v>8</v>
      </c>
      <c r="AN266" s="27" t="s">
        <v>7</v>
      </c>
      <c r="AO266" s="27" t="s">
        <v>8</v>
      </c>
      <c r="AP266" s="27" t="s">
        <v>7</v>
      </c>
      <c r="AQ266" s="27" t="s">
        <v>8</v>
      </c>
      <c r="AR266" s="27" t="s">
        <v>7</v>
      </c>
    </row>
    <row r="267" spans="1:47" x14ac:dyDescent="0.25">
      <c r="A267" s="30">
        <v>7.3919881477308929</v>
      </c>
      <c r="B267"/>
      <c r="C267"/>
      <c r="D267"/>
      <c r="E267" t="s">
        <v>8</v>
      </c>
      <c r="AH267" s="27" t="s">
        <v>7</v>
      </c>
      <c r="AL267" s="27" t="s">
        <v>7</v>
      </c>
      <c r="AN267" s="27" t="s">
        <v>7</v>
      </c>
      <c r="AO267" s="27" t="s">
        <v>8</v>
      </c>
      <c r="AP267" s="27" t="s">
        <v>7</v>
      </c>
      <c r="AQ267" s="27" t="s">
        <v>8</v>
      </c>
      <c r="AR267" s="27" t="s">
        <v>7</v>
      </c>
    </row>
    <row r="268" spans="1:47" x14ac:dyDescent="0.25">
      <c r="A268" s="30">
        <v>7.0399887121246598</v>
      </c>
      <c r="B268"/>
      <c r="C268"/>
      <c r="D268"/>
      <c r="E268" t="s">
        <v>8</v>
      </c>
      <c r="AN268" s="27" t="s">
        <v>7</v>
      </c>
      <c r="AO268" s="27" t="s">
        <v>8</v>
      </c>
      <c r="AP268" s="27" t="s">
        <v>7</v>
      </c>
      <c r="AQ268" s="27" t="s">
        <v>8</v>
      </c>
      <c r="AR268" s="27" t="s">
        <v>7</v>
      </c>
    </row>
    <row r="269" spans="1:47" x14ac:dyDescent="0.25">
      <c r="A269" s="30">
        <v>6.7047511544044376</v>
      </c>
      <c r="B269"/>
      <c r="C269"/>
      <c r="D269"/>
      <c r="E269" t="s">
        <v>8</v>
      </c>
      <c r="AN269" s="27" t="s">
        <v>7</v>
      </c>
      <c r="AO269" s="27" t="s">
        <v>8</v>
      </c>
      <c r="AP269" s="27" t="s">
        <v>7</v>
      </c>
      <c r="AR269" s="27" t="s">
        <v>7</v>
      </c>
    </row>
    <row r="270" spans="1:47" x14ac:dyDescent="0.25">
      <c r="A270" s="30">
        <v>6.3854772899089882</v>
      </c>
      <c r="B270"/>
      <c r="C270"/>
      <c r="D270"/>
      <c r="E270" t="s">
        <v>8</v>
      </c>
      <c r="AN270" s="27" t="s">
        <v>7</v>
      </c>
      <c r="AO270" s="27" t="s">
        <v>8</v>
      </c>
      <c r="AR270" s="27" t="s">
        <v>7</v>
      </c>
      <c r="AS270" s="27" t="s">
        <v>8</v>
      </c>
      <c r="AU270" s="27" t="s">
        <v>8</v>
      </c>
    </row>
    <row r="271" spans="1:47" x14ac:dyDescent="0.25">
      <c r="A271" s="30">
        <v>6.0814069427704647</v>
      </c>
      <c r="B271"/>
      <c r="C271"/>
      <c r="D271"/>
      <c r="E271" t="s">
        <v>8</v>
      </c>
      <c r="AN271" s="27" t="s">
        <v>7</v>
      </c>
      <c r="AR271" s="27" t="s">
        <v>7</v>
      </c>
      <c r="AS271" s="27" t="s">
        <v>8</v>
      </c>
      <c r="AT271" s="27" t="s">
        <v>7</v>
      </c>
      <c r="AU271" s="27" t="s">
        <v>8</v>
      </c>
    </row>
    <row r="272" spans="1:47" x14ac:dyDescent="0.25">
      <c r="A272" s="30">
        <v>5.7918161359718709</v>
      </c>
      <c r="B272"/>
      <c r="C272"/>
      <c r="D272"/>
      <c r="E272" t="s">
        <v>8</v>
      </c>
      <c r="AR272" s="27" t="s">
        <v>7</v>
      </c>
      <c r="AS272" s="27" t="s">
        <v>8</v>
      </c>
      <c r="AT272" s="27" t="s">
        <v>7</v>
      </c>
      <c r="AU272" s="27" t="s">
        <v>8</v>
      </c>
    </row>
    <row r="273" spans="1:47" x14ac:dyDescent="0.25">
      <c r="A273" s="30">
        <v>5.5160153675922574</v>
      </c>
      <c r="B273"/>
      <c r="C273"/>
      <c r="D273"/>
      <c r="E273" t="s">
        <v>8</v>
      </c>
      <c r="AR273" s="27" t="s">
        <v>7</v>
      </c>
      <c r="AT273" s="27" t="s">
        <v>7</v>
      </c>
      <c r="AU273" s="27" t="s">
        <v>8</v>
      </c>
    </row>
    <row r="274" spans="1:47" x14ac:dyDescent="0.25">
      <c r="A274" s="30">
        <v>5.2533479691354827</v>
      </c>
      <c r="B274"/>
      <c r="C274"/>
      <c r="D274"/>
      <c r="E274" t="s">
        <v>8</v>
      </c>
      <c r="AT274" s="27" t="s">
        <v>7</v>
      </c>
    </row>
    <row r="275" spans="1:47" x14ac:dyDescent="0.25">
      <c r="A275" s="30">
        <v>5.0031885420337927</v>
      </c>
      <c r="B275"/>
      <c r="C275"/>
      <c r="D275"/>
      <c r="E275" t="s">
        <v>8</v>
      </c>
    </row>
    <row r="276" spans="1:47" x14ac:dyDescent="0.25">
      <c r="A276" s="30">
        <v>4.7649414686036122</v>
      </c>
      <c r="B276"/>
      <c r="C276"/>
      <c r="D276"/>
      <c r="E276" t="s">
        <v>8</v>
      </c>
    </row>
    <row r="277" spans="1:47" x14ac:dyDescent="0.25">
      <c r="A277" s="30">
        <v>4.5380394939082018</v>
      </c>
      <c r="B277"/>
      <c r="C277"/>
      <c r="D277"/>
      <c r="E277" t="s">
        <v>8</v>
      </c>
    </row>
    <row r="278" spans="1:47" x14ac:dyDescent="0.25">
      <c r="A278" s="30">
        <v>4.3219423751506678</v>
      </c>
      <c r="B278"/>
      <c r="C278"/>
      <c r="D278"/>
      <c r="E278" t="s">
        <v>8</v>
      </c>
    </row>
    <row r="279" spans="1:47" x14ac:dyDescent="0.25">
      <c r="A279" s="30">
        <v>4.1161355953815884</v>
      </c>
      <c r="B279"/>
      <c r="C279"/>
      <c r="D279"/>
      <c r="E279" t="s">
        <v>8</v>
      </c>
    </row>
    <row r="280" spans="1:47" x14ac:dyDescent="0.25">
      <c r="A280" s="30">
        <v>3.9201291384586554</v>
      </c>
      <c r="B280"/>
      <c r="C280"/>
      <c r="D280"/>
      <c r="E280" t="s">
        <v>8</v>
      </c>
    </row>
    <row r="281" spans="1:47" x14ac:dyDescent="0.25">
      <c r="A281" s="30">
        <v>3.7334563223415764</v>
      </c>
      <c r="B281"/>
      <c r="C281"/>
      <c r="D281"/>
      <c r="E281" t="s">
        <v>8</v>
      </c>
    </row>
    <row r="282" spans="1:47" x14ac:dyDescent="0.25">
      <c r="A282" s="30">
        <v>3.5556726879443583</v>
      </c>
      <c r="B282"/>
      <c r="C282"/>
      <c r="D282"/>
      <c r="E282" t="s">
        <v>8</v>
      </c>
    </row>
    <row r="283" spans="1:47" x14ac:dyDescent="0.25">
      <c r="A283" s="30">
        <v>3.3863549408993889</v>
      </c>
      <c r="B283"/>
      <c r="C283"/>
      <c r="D283"/>
      <c r="E283" t="s">
        <v>8</v>
      </c>
    </row>
    <row r="284" spans="1:47" x14ac:dyDescent="0.25">
      <c r="A284" s="30">
        <v>3.2250999437137038</v>
      </c>
      <c r="B284"/>
      <c r="C284"/>
      <c r="D284"/>
      <c r="E284" t="s">
        <v>8</v>
      </c>
    </row>
    <row r="285" spans="1:47" x14ac:dyDescent="0.25">
      <c r="A285" s="30">
        <v>3.0715237559178128</v>
      </c>
      <c r="B285"/>
      <c r="C285"/>
      <c r="D285"/>
      <c r="E285" t="s">
        <v>8</v>
      </c>
    </row>
    <row r="286" spans="1:47" x14ac:dyDescent="0.25">
      <c r="A286" s="30">
        <v>2.9252607199217264</v>
      </c>
      <c r="B286"/>
      <c r="C286"/>
      <c r="D286"/>
      <c r="E286" t="s">
        <v>8</v>
      </c>
    </row>
    <row r="287" spans="1:47" x14ac:dyDescent="0.25">
      <c r="A287" s="30">
        <v>2.7859625904016441</v>
      </c>
      <c r="B287"/>
      <c r="C287"/>
      <c r="D287"/>
      <c r="E287" t="s">
        <v>8</v>
      </c>
    </row>
    <row r="288" spans="1:47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197" operator="equal">
      <formula>$U$1</formula>
    </cfRule>
    <cfRule type="cellIs" dxfId="67" priority="198" operator="equal">
      <formula>$S$1</formula>
    </cfRule>
  </conditionalFormatting>
  <conditionalFormatting sqref="D136">
    <cfRule type="cellIs" dxfId="66" priority="195" operator="equal">
      <formula>$S$1</formula>
    </cfRule>
    <cfRule type="cellIs" dxfId="65" priority="196" operator="equal">
      <formula>$U$1</formula>
    </cfRule>
  </conditionalFormatting>
  <conditionalFormatting sqref="C162">
    <cfRule type="cellIs" dxfId="64" priority="193" operator="equal">
      <formula>$U$1</formula>
    </cfRule>
    <cfRule type="cellIs" dxfId="63" priority="194" operator="equal">
      <formula>$S$1</formula>
    </cfRule>
  </conditionalFormatting>
  <conditionalFormatting sqref="D162">
    <cfRule type="cellIs" dxfId="62" priority="191" operator="equal">
      <formula>$S$1</formula>
    </cfRule>
    <cfRule type="cellIs" dxfId="61" priority="192" operator="equal">
      <formula>$U$1</formula>
    </cfRule>
  </conditionalFormatting>
  <conditionalFormatting sqref="C187">
    <cfRule type="cellIs" dxfId="60" priority="189" operator="equal">
      <formula>$U$1</formula>
    </cfRule>
    <cfRule type="cellIs" dxfId="59" priority="190" operator="equal">
      <formula>$S$1</formula>
    </cfRule>
  </conditionalFormatting>
  <conditionalFormatting sqref="D187">
    <cfRule type="cellIs" dxfId="58" priority="187" operator="equal">
      <formula>$S$1</formula>
    </cfRule>
    <cfRule type="cellIs" dxfId="57" priority="188" operator="equal">
      <formula>$U$1</formula>
    </cfRule>
  </conditionalFormatting>
  <conditionalFormatting sqref="C212">
    <cfRule type="cellIs" dxfId="56" priority="185" operator="equal">
      <formula>$U$1</formula>
    </cfRule>
    <cfRule type="cellIs" dxfId="55" priority="186" operator="equal">
      <formula>$S$1</formula>
    </cfRule>
  </conditionalFormatting>
  <conditionalFormatting sqref="D212">
    <cfRule type="cellIs" dxfId="54" priority="183" operator="equal">
      <formula>$S$1</formula>
    </cfRule>
    <cfRule type="cellIs" dxfId="53" priority="184" operator="equal">
      <formula>$U$1</formula>
    </cfRule>
  </conditionalFormatting>
  <conditionalFormatting sqref="C237">
    <cfRule type="cellIs" dxfId="52" priority="181" operator="equal">
      <formula>$U$1</formula>
    </cfRule>
    <cfRule type="cellIs" dxfId="51" priority="182" operator="equal">
      <formula>$S$1</formula>
    </cfRule>
  </conditionalFormatting>
  <conditionalFormatting sqref="D237">
    <cfRule type="cellIs" dxfId="50" priority="179" operator="equal">
      <formula>$S$1</formula>
    </cfRule>
    <cfRule type="cellIs" dxfId="49" priority="180" operator="equal">
      <formula>$U$1</formula>
    </cfRule>
  </conditionalFormatting>
  <conditionalFormatting sqref="C106">
    <cfRule type="cellIs" dxfId="48" priority="177" operator="equal">
      <formula>$U$1</formula>
    </cfRule>
    <cfRule type="cellIs" dxfId="47" priority="178" operator="equal">
      <formula>$S$1</formula>
    </cfRule>
  </conditionalFormatting>
  <conditionalFormatting sqref="D106">
    <cfRule type="cellIs" dxfId="46" priority="175" operator="equal">
      <formula>$S$1</formula>
    </cfRule>
    <cfRule type="cellIs" dxfId="45" priority="176" operator="equal">
      <formula>$U$1</formula>
    </cfRule>
  </conditionalFormatting>
  <conditionalFormatting sqref="C81">
    <cfRule type="cellIs" dxfId="44" priority="173" operator="equal">
      <formula>$U$1</formula>
    </cfRule>
    <cfRule type="cellIs" dxfId="43" priority="174" operator="equal">
      <formula>$S$1</formula>
    </cfRule>
  </conditionalFormatting>
  <conditionalFormatting sqref="D81">
    <cfRule type="cellIs" dxfId="42" priority="171" operator="equal">
      <formula>$S$1</formula>
    </cfRule>
    <cfRule type="cellIs" dxfId="41" priority="172" operator="equal">
      <formula>$U$1</formula>
    </cfRule>
  </conditionalFormatting>
  <conditionalFormatting sqref="C56">
    <cfRule type="cellIs" dxfId="40" priority="169" operator="equal">
      <formula>$U$1</formula>
    </cfRule>
    <cfRule type="cellIs" dxfId="39" priority="170" operator="equal">
      <formula>$S$1</formula>
    </cfRule>
  </conditionalFormatting>
  <conditionalFormatting sqref="D56">
    <cfRule type="cellIs" dxfId="38" priority="167" operator="equal">
      <formula>$S$1</formula>
    </cfRule>
    <cfRule type="cellIs" dxfId="37" priority="168" operator="equal">
      <formula>$U$1</formula>
    </cfRule>
  </conditionalFormatting>
  <conditionalFormatting sqref="C31">
    <cfRule type="cellIs" dxfId="36" priority="165" operator="equal">
      <formula>$U$1</formula>
    </cfRule>
    <cfRule type="cellIs" dxfId="35" priority="166" operator="equal">
      <formula>$S$1</formula>
    </cfRule>
  </conditionalFormatting>
  <conditionalFormatting sqref="D31">
    <cfRule type="cellIs" dxfId="34" priority="163" operator="equal">
      <formula>$S$1</formula>
    </cfRule>
    <cfRule type="cellIs" dxfId="33" priority="16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11" zoomScale="90" zoomScaleNormal="90" workbookViewId="0">
      <pane xSplit="4" topLeftCell="H1" activePane="topRight" state="frozen"/>
      <selection activeCell="A109" sqref="A109"/>
      <selection pane="topRight" activeCell="R140" sqref="R140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$A$139</v>
      </c>
      <c r="D111" s="1" t="str">
        <f>ADDRESS(C121-1,D121,1,1)</f>
        <v>$R$139</v>
      </c>
      <c r="E111"/>
    </row>
    <row r="112" spans="1:5" x14ac:dyDescent="0.25">
      <c r="A112" s="30">
        <v>80.179532053613613</v>
      </c>
      <c r="C112" s="1" t="str">
        <f>ADDRESS(C121,1,1,1)</f>
        <v>$A$140</v>
      </c>
      <c r="D112" s="1" t="str">
        <f>ADDRESS(C121,D121-1,1,1)</f>
        <v>$Q$140</v>
      </c>
      <c r="E112"/>
    </row>
    <row r="113" spans="1:13" x14ac:dyDescent="0.25">
      <c r="A113" s="30">
        <v>72.890483685103277</v>
      </c>
      <c r="C113" s="1" t="str">
        <f>ADDRESS(C121+1,1,1,1)</f>
        <v>$A$141</v>
      </c>
      <c r="D113" s="1" t="str">
        <f>ADDRESS(C121-1,D121+1,1,1)</f>
        <v>$S$139</v>
      </c>
    </row>
    <row r="114" spans="1:13" x14ac:dyDescent="0.25">
      <c r="A114" s="30">
        <v>66.26407607736661</v>
      </c>
      <c r="C114" s="1" t="str">
        <f>ADDRESS(C121,D121,1,1)</f>
        <v>$R$140</v>
      </c>
      <c r="D114" s="1" t="str">
        <f>ADDRESS(C121+1,D121+1,1,1)</f>
        <v>$S$141</v>
      </c>
    </row>
    <row r="115" spans="1:13" x14ac:dyDescent="0.25">
      <c r="A115" s="30">
        <v>60.240069161242367</v>
      </c>
      <c r="C115" s="1" t="str">
        <f>ADDRESS(C121+1,D121,1,1)</f>
        <v>$R$141</v>
      </c>
    </row>
    <row r="116" spans="1:13" x14ac:dyDescent="0.25">
      <c r="A116" s="30">
        <v>54.763699237493057</v>
      </c>
      <c r="C116" s="1">
        <f>C117-1</f>
        <v>139</v>
      </c>
    </row>
    <row r="117" spans="1:13" x14ac:dyDescent="0.25">
      <c r="A117" s="30">
        <v>49.785181124993684</v>
      </c>
      <c r="C117" s="1">
        <f>C121</f>
        <v>140</v>
      </c>
      <c r="D117" s="1">
        <f>D121</f>
        <v>18</v>
      </c>
    </row>
    <row r="118" spans="1:13" x14ac:dyDescent="0.25">
      <c r="A118" s="30">
        <v>45.259255568176073</v>
      </c>
      <c r="C118" s="1">
        <f>C117+1</f>
        <v>141</v>
      </c>
      <c r="D118" s="1">
        <f>D117+1</f>
        <v>19</v>
      </c>
    </row>
    <row r="119" spans="1:13" x14ac:dyDescent="0.25">
      <c r="A119" s="30">
        <v>41.144777789250973</v>
      </c>
    </row>
    <row r="120" spans="1:13" x14ac:dyDescent="0.25">
      <c r="A120" s="30">
        <v>37.404343444773609</v>
      </c>
      <c r="C120" s="1" t="s">
        <v>9</v>
      </c>
    </row>
    <row r="121" spans="1:13" x14ac:dyDescent="0.25">
      <c r="A121" s="30">
        <v>34.003948586157826</v>
      </c>
      <c r="C121" s="18">
        <v>140</v>
      </c>
      <c r="D121" s="19">
        <v>18</v>
      </c>
      <c r="E121" s="18"/>
    </row>
    <row r="122" spans="1:13" x14ac:dyDescent="0.25">
      <c r="A122" s="30">
        <v>30.912680532870748</v>
      </c>
      <c r="C122" s="1" t="str">
        <f>INDEX(1:1048576,C117,D117)</f>
        <v>O</v>
      </c>
    </row>
    <row r="123" spans="1:13" x14ac:dyDescent="0.25">
      <c r="A123" s="30">
        <v>28.102436848064315</v>
      </c>
      <c r="C123" s="1" t="str">
        <f>"R"&amp;C121</f>
        <v>R140</v>
      </c>
      <c r="D123" s="1" t="str">
        <f>"C"&amp;D121</f>
        <v>C18</v>
      </c>
    </row>
    <row r="124" spans="1:13" x14ac:dyDescent="0.25">
      <c r="A124" s="30">
        <v>25.547669861876649</v>
      </c>
      <c r="C124" s="1">
        <f>SUM(C130:D130)</f>
        <v>0</v>
      </c>
      <c r="D124" s="1">
        <f>IF(C124=0,0,1)</f>
        <v>0</v>
      </c>
      <c r="I124" s="32" t="s">
        <v>8</v>
      </c>
    </row>
    <row r="125" spans="1:13" x14ac:dyDescent="0.25">
      <c r="A125" s="30">
        <v>23.225154419887861</v>
      </c>
      <c r="I125" s="27" t="s">
        <v>8</v>
      </c>
      <c r="J125" s="32" t="s">
        <v>7</v>
      </c>
    </row>
    <row r="126" spans="1:13" x14ac:dyDescent="0.25">
      <c r="A126" s="30">
        <v>21.113776745352599</v>
      </c>
      <c r="C126" s="1" t="s">
        <v>10</v>
      </c>
      <c r="I126" s="27" t="s">
        <v>8</v>
      </c>
      <c r="J126" s="27" t="s">
        <v>7</v>
      </c>
      <c r="K126" s="32"/>
    </row>
    <row r="127" spans="1:13" x14ac:dyDescent="0.25">
      <c r="A127" s="30">
        <v>19.194342495775089</v>
      </c>
      <c r="C127" s="30">
        <v>5.5599173134922388</v>
      </c>
      <c r="D127"/>
      <c r="I127" s="27" t="s">
        <v>8</v>
      </c>
      <c r="J127" s="27" t="s">
        <v>7</v>
      </c>
      <c r="L127" s="32"/>
    </row>
    <row r="128" spans="1:13" x14ac:dyDescent="0.25">
      <c r="A128" s="30">
        <v>17.449402268886445</v>
      </c>
      <c r="G128" s="27" t="s">
        <v>8</v>
      </c>
      <c r="I128" s="27" t="s">
        <v>8</v>
      </c>
      <c r="J128" s="27" t="s">
        <v>7</v>
      </c>
      <c r="M128" s="32"/>
    </row>
    <row r="129" spans="1:18" x14ac:dyDescent="0.25">
      <c r="A129" s="30">
        <v>15.863092971714948</v>
      </c>
      <c r="C129" s="1" t="s">
        <v>11</v>
      </c>
      <c r="D129" s="1" t="s">
        <v>12</v>
      </c>
      <c r="E129"/>
      <c r="G129" s="27" t="s">
        <v>8</v>
      </c>
      <c r="H129" s="27" t="s">
        <v>7</v>
      </c>
      <c r="I129" s="27" t="s">
        <v>8</v>
      </c>
      <c r="J129" s="27" t="s">
        <v>7</v>
      </c>
      <c r="K129" s="27" t="s">
        <v>8</v>
      </c>
      <c r="N129" s="32"/>
    </row>
    <row r="130" spans="1:18" x14ac:dyDescent="0.25">
      <c r="A130" s="30">
        <v>14.420993610649951</v>
      </c>
      <c r="C130" s="6"/>
      <c r="D130" s="6"/>
      <c r="E130" t="s">
        <v>8</v>
      </c>
      <c r="G130" s="27" t="s">
        <v>8</v>
      </c>
      <c r="H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O130" s="32"/>
    </row>
    <row r="131" spans="1:18" x14ac:dyDescent="0.25">
      <c r="A131" s="30">
        <v>13.109994191499954</v>
      </c>
      <c r="E131" t="s">
        <v>8</v>
      </c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P131" s="32"/>
    </row>
    <row r="132" spans="1:18" x14ac:dyDescent="0.25">
      <c r="A132" s="30">
        <v>11.918176537727231</v>
      </c>
      <c r="C132" s="1" t="s">
        <v>13</v>
      </c>
      <c r="E132" t="s">
        <v>8</v>
      </c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L132" s="27" t="s">
        <v>7</v>
      </c>
      <c r="Q132" s="32"/>
    </row>
    <row r="133" spans="1:18" x14ac:dyDescent="0.25">
      <c r="A133" s="30">
        <v>10.834705943388391</v>
      </c>
      <c r="C133" s="1" t="str">
        <f>C122</f>
        <v>O</v>
      </c>
      <c r="E133" t="s">
        <v>8</v>
      </c>
      <c r="F133" s="27" t="s">
        <v>7</v>
      </c>
      <c r="G133" s="27" t="s">
        <v>8</v>
      </c>
      <c r="H133" s="27" t="s">
        <v>7</v>
      </c>
      <c r="L133" s="27" t="s">
        <v>7</v>
      </c>
    </row>
    <row r="134" spans="1:18" x14ac:dyDescent="0.25">
      <c r="A134" s="30">
        <v>9.849732675807628</v>
      </c>
      <c r="C134"/>
      <c r="D134"/>
      <c r="E134" t="s">
        <v>8</v>
      </c>
      <c r="F134" s="27" t="s">
        <v>7</v>
      </c>
      <c r="L134" s="27" t="s">
        <v>7</v>
      </c>
      <c r="M134" s="27" t="s">
        <v>8</v>
      </c>
      <c r="O134" s="27" t="s">
        <v>8</v>
      </c>
    </row>
    <row r="135" spans="1:18" x14ac:dyDescent="0.25">
      <c r="A135" s="30">
        <v>8.9543024325523888</v>
      </c>
      <c r="C135" s="1" t="s">
        <v>14</v>
      </c>
      <c r="E135" t="s">
        <v>8</v>
      </c>
      <c r="L135" s="27" t="s">
        <v>7</v>
      </c>
      <c r="M135" s="27" t="s">
        <v>8</v>
      </c>
      <c r="N135" s="27" t="s">
        <v>7</v>
      </c>
      <c r="O135" s="27" t="s">
        <v>8</v>
      </c>
      <c r="P135" s="27" t="s">
        <v>7</v>
      </c>
    </row>
    <row r="136" spans="1:18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  <c r="L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  <c r="Q136" s="18" t="s">
        <v>8</v>
      </c>
    </row>
    <row r="137" spans="1:18" x14ac:dyDescent="0.25">
      <c r="A137" s="30">
        <v>7.4002499442581717</v>
      </c>
      <c r="E137" t="s">
        <v>8</v>
      </c>
      <c r="L137" s="27" t="s">
        <v>7</v>
      </c>
      <c r="N137" s="27" t="s">
        <v>7</v>
      </c>
      <c r="P137" s="27" t="s">
        <v>7</v>
      </c>
      <c r="Q137" s="27" t="s">
        <v>8</v>
      </c>
      <c r="R137" s="27" t="s">
        <v>7</v>
      </c>
    </row>
    <row r="138" spans="1:18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  <c r="P138" s="27" t="s">
        <v>7</v>
      </c>
      <c r="Q138" s="27" t="s">
        <v>8</v>
      </c>
      <c r="R138" s="27" t="s">
        <v>7</v>
      </c>
    </row>
    <row r="139" spans="1:18" x14ac:dyDescent="0.25">
      <c r="A139" s="30">
        <v>6.1159090448414632</v>
      </c>
      <c r="E139" t="s">
        <v>8</v>
      </c>
      <c r="P139" s="27" t="s">
        <v>7</v>
      </c>
      <c r="R139" s="27" t="s">
        <v>7</v>
      </c>
    </row>
    <row r="140" spans="1:18" x14ac:dyDescent="0.25">
      <c r="A140" s="30">
        <v>5.5599173134922388</v>
      </c>
      <c r="C140" s="1">
        <v>0</v>
      </c>
      <c r="E140" t="s">
        <v>8</v>
      </c>
      <c r="R140" s="27" t="s">
        <v>7</v>
      </c>
    </row>
    <row r="141" spans="1:18" x14ac:dyDescent="0.25">
      <c r="A141" s="30">
        <v>5.0544702849929442</v>
      </c>
      <c r="C141" s="1">
        <v>1</v>
      </c>
      <c r="E141" t="s">
        <v>8</v>
      </c>
    </row>
    <row r="142" spans="1:18" x14ac:dyDescent="0.25">
      <c r="A142" s="30">
        <v>4.594972986357222</v>
      </c>
      <c r="C142" s="1">
        <v>2</v>
      </c>
      <c r="E142" t="s">
        <v>8</v>
      </c>
    </row>
    <row r="143" spans="1:18" x14ac:dyDescent="0.25">
      <c r="A143" s="30">
        <v>4.1772481694156562</v>
      </c>
      <c r="C143" s="1">
        <v>3</v>
      </c>
      <c r="E143" t="s">
        <v>8</v>
      </c>
    </row>
    <row r="144" spans="1:18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181" operator="equal">
      <formula>$U$1</formula>
    </cfRule>
    <cfRule type="cellIs" dxfId="30" priority="182" operator="equal">
      <formula>$S$1</formula>
    </cfRule>
  </conditionalFormatting>
  <conditionalFormatting sqref="D136">
    <cfRule type="cellIs" dxfId="29" priority="179" operator="equal">
      <formula>$S$1</formula>
    </cfRule>
    <cfRule type="cellIs" dxfId="28" priority="180" operator="equal">
      <formula>$U$1</formula>
    </cfRule>
  </conditionalFormatting>
  <conditionalFormatting sqref="C102">
    <cfRule type="cellIs" dxfId="27" priority="177" operator="equal">
      <formula>$U$1</formula>
    </cfRule>
    <cfRule type="cellIs" dxfId="26" priority="178" operator="equal">
      <formula>$S$1</formula>
    </cfRule>
  </conditionalFormatting>
  <conditionalFormatting sqref="D102">
    <cfRule type="cellIs" dxfId="25" priority="175" operator="equal">
      <formula>$S$1</formula>
    </cfRule>
    <cfRule type="cellIs" dxfId="24" priority="176" operator="equal">
      <formula>$U$1</formula>
    </cfRule>
  </conditionalFormatting>
  <conditionalFormatting sqref="C77">
    <cfRule type="cellIs" dxfId="23" priority="173" operator="equal">
      <formula>$U$1</formula>
    </cfRule>
    <cfRule type="cellIs" dxfId="22" priority="174" operator="equal">
      <formula>$S$1</formula>
    </cfRule>
  </conditionalFormatting>
  <conditionalFormatting sqref="D77">
    <cfRule type="cellIs" dxfId="21" priority="171" operator="equal">
      <formula>$S$1</formula>
    </cfRule>
    <cfRule type="cellIs" dxfId="20" priority="172" operator="equal">
      <formula>$U$1</formula>
    </cfRule>
  </conditionalFormatting>
  <conditionalFormatting sqref="C52">
    <cfRule type="cellIs" dxfId="19" priority="169" operator="equal">
      <formula>$U$1</formula>
    </cfRule>
    <cfRule type="cellIs" dxfId="18" priority="170" operator="equal">
      <formula>$S$1</formula>
    </cfRule>
  </conditionalFormatting>
  <conditionalFormatting sqref="D52">
    <cfRule type="cellIs" dxfId="17" priority="167" operator="equal">
      <formula>$S$1</formula>
    </cfRule>
    <cfRule type="cellIs" dxfId="16" priority="168" operator="equal">
      <formula>$U$1</formula>
    </cfRule>
  </conditionalFormatting>
  <conditionalFormatting sqref="C26">
    <cfRule type="cellIs" dxfId="15" priority="165" operator="equal">
      <formula>$U$1</formula>
    </cfRule>
    <cfRule type="cellIs" dxfId="14" priority="166" operator="equal">
      <formula>$S$1</formula>
    </cfRule>
  </conditionalFormatting>
  <conditionalFormatting sqref="D26">
    <cfRule type="cellIs" dxfId="13" priority="163" operator="equal">
      <formula>$S$1</formula>
    </cfRule>
    <cfRule type="cellIs" dxfId="12" priority="16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2022-01-28T01:16:11Z</dcterms:modified>
</cp:coreProperties>
</file>