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52538F5-2AC8-45B1-BF5D-AFA717E12D7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8" i="4"/>
  <c r="C122" i="3"/>
  <c r="C133" i="3" s="1"/>
  <c r="D136" i="3" s="1"/>
  <c r="C116" i="3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<sst xmlns="http://schemas.openxmlformats.org/spreadsheetml/2006/main" count="4961" uniqueCount="34">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</sst>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10.25</c:v>
                </c:pt>
                <c:pt idx="1">
                  <c:v>10.58</c:v>
                </c:pt>
                <c:pt idx="2">
                  <c:v>10.58</c:v>
                </c:pt>
                <c:pt idx="3">
                  <c:v>10.68</c:v>
                </c:pt>
                <c:pt idx="4">
                  <c:v>11.42</c:v>
                </c:pt>
                <c:pt idx="5">
                  <c:v>11.15</c:v>
                </c:pt>
                <c:pt idx="6">
                  <c:v>12.64</c:v>
                </c:pt>
                <c:pt idx="7">
                  <c:v>14.46</c:v>
                </c:pt>
                <c:pt idx="8">
                  <c:v>15.11</c:v>
                </c:pt>
                <c:pt idx="9">
                  <c:v>15.98</c:v>
                </c:pt>
                <c:pt idx="10">
                  <c:v>16.63</c:v>
                </c:pt>
                <c:pt idx="11">
                  <c:v>17.829999999999998</c:v>
                </c:pt>
                <c:pt idx="12">
                  <c:v>16.47</c:v>
                </c:pt>
                <c:pt idx="13">
                  <c:v>15.86</c:v>
                </c:pt>
                <c:pt idx="14">
                  <c:v>15.45</c:v>
                </c:pt>
                <c:pt idx="15">
                  <c:v>16.28</c:v>
                </c:pt>
                <c:pt idx="16">
                  <c:v>15.96</c:v>
                </c:pt>
                <c:pt idx="17">
                  <c:v>15.11</c:v>
                </c:pt>
                <c:pt idx="18">
                  <c:v>15.8</c:v>
                </c:pt>
                <c:pt idx="19">
                  <c:v>14.92</c:v>
                </c:pt>
                <c:pt idx="20">
                  <c:v>15.76</c:v>
                </c:pt>
                <c:pt idx="21">
                  <c:v>17.059999999999999</c:v>
                </c:pt>
                <c:pt idx="22">
                  <c:v>17.11</c:v>
                </c:pt>
                <c:pt idx="23">
                  <c:v>18.21</c:v>
                </c:pt>
                <c:pt idx="24">
                  <c:v>18.46</c:v>
                </c:pt>
                <c:pt idx="25">
                  <c:v>18.399999999999999</c:v>
                </c:pt>
                <c:pt idx="26">
                  <c:v>17.48</c:v>
                </c:pt>
                <c:pt idx="27">
                  <c:v>17</c:v>
                </c:pt>
                <c:pt idx="28">
                  <c:v>17.8</c:v>
                </c:pt>
                <c:pt idx="29">
                  <c:v>17.13</c:v>
                </c:pt>
                <c:pt idx="30">
                  <c:v>18.39</c:v>
                </c:pt>
                <c:pt idx="31">
                  <c:v>19.12</c:v>
                </c:pt>
                <c:pt idx="32">
                  <c:v>18.66</c:v>
                </c:pt>
                <c:pt idx="33">
                  <c:v>17.46</c:v>
                </c:pt>
                <c:pt idx="34">
                  <c:v>17.489999999999998</c:v>
                </c:pt>
                <c:pt idx="35">
                  <c:v>18.170000000000002</c:v>
                </c:pt>
                <c:pt idx="36">
                  <c:v>16.23</c:v>
                </c:pt>
                <c:pt idx="37">
                  <c:v>15.05</c:v>
                </c:pt>
                <c:pt idx="38">
                  <c:v>14.51</c:v>
                </c:pt>
                <c:pt idx="39">
                  <c:v>14.97</c:v>
                </c:pt>
                <c:pt idx="40">
                  <c:v>15.56</c:v>
                </c:pt>
                <c:pt idx="41">
                  <c:v>14.97</c:v>
                </c:pt>
                <c:pt idx="42">
                  <c:v>14.42</c:v>
                </c:pt>
                <c:pt idx="43">
                  <c:v>15.19</c:v>
                </c:pt>
                <c:pt idx="44">
                  <c:v>15</c:v>
                </c:pt>
                <c:pt idx="45">
                  <c:v>14.16</c:v>
                </c:pt>
                <c:pt idx="46">
                  <c:v>16</c:v>
                </c:pt>
                <c:pt idx="47">
                  <c:v>15.4</c:v>
                </c:pt>
                <c:pt idx="48">
                  <c:v>15.15</c:v>
                </c:pt>
                <c:pt idx="49">
                  <c:v>16.170000000000002</c:v>
                </c:pt>
                <c:pt idx="50">
                  <c:v>18.73</c:v>
                </c:pt>
                <c:pt idx="51">
                  <c:v>17.14</c:v>
                </c:pt>
                <c:pt idx="52">
                  <c:v>17.3</c:v>
                </c:pt>
                <c:pt idx="53">
                  <c:v>16.53</c:v>
                </c:pt>
                <c:pt idx="54">
                  <c:v>17.190000000000001</c:v>
                </c:pt>
                <c:pt idx="55">
                  <c:v>19.96</c:v>
                </c:pt>
                <c:pt idx="56">
                  <c:v>22.44</c:v>
                </c:pt>
                <c:pt idx="57">
                  <c:v>20.95</c:v>
                </c:pt>
                <c:pt idx="58">
                  <c:v>21.25</c:v>
                </c:pt>
                <c:pt idx="59">
                  <c:v>20.260000000000002</c:v>
                </c:pt>
                <c:pt idx="60">
                  <c:v>20.12</c:v>
                </c:pt>
                <c:pt idx="61">
                  <c:v>19.489999999999998</c:v>
                </c:pt>
                <c:pt idx="62">
                  <c:v>19.27</c:v>
                </c:pt>
                <c:pt idx="63">
                  <c:v>21.39</c:v>
                </c:pt>
                <c:pt idx="64">
                  <c:v>21.77</c:v>
                </c:pt>
                <c:pt idx="65">
                  <c:v>22.2</c:v>
                </c:pt>
                <c:pt idx="66">
                  <c:v>20.95</c:v>
                </c:pt>
                <c:pt idx="67">
                  <c:v>21.62</c:v>
                </c:pt>
                <c:pt idx="68">
                  <c:v>22.02</c:v>
                </c:pt>
                <c:pt idx="69">
                  <c:v>21.2</c:v>
                </c:pt>
                <c:pt idx="70">
                  <c:v>20.09</c:v>
                </c:pt>
                <c:pt idx="71">
                  <c:v>21.88</c:v>
                </c:pt>
                <c:pt idx="72">
                  <c:v>21.68</c:v>
                </c:pt>
                <c:pt idx="73">
                  <c:v>24</c:v>
                </c:pt>
                <c:pt idx="74">
                  <c:v>24.57</c:v>
                </c:pt>
                <c:pt idx="75">
                  <c:v>24.65</c:v>
                </c:pt>
                <c:pt idx="76">
                  <c:v>24.56</c:v>
                </c:pt>
                <c:pt idx="77">
                  <c:v>25.38</c:v>
                </c:pt>
                <c:pt idx="78">
                  <c:v>25.26</c:v>
                </c:pt>
                <c:pt idx="79">
                  <c:v>26.36</c:v>
                </c:pt>
                <c:pt idx="80">
                  <c:v>26.25</c:v>
                </c:pt>
                <c:pt idx="81">
                  <c:v>25.33</c:v>
                </c:pt>
                <c:pt idx="82">
                  <c:v>25.16</c:v>
                </c:pt>
                <c:pt idx="83">
                  <c:v>25.57</c:v>
                </c:pt>
                <c:pt idx="84">
                  <c:v>25.73</c:v>
                </c:pt>
                <c:pt idx="85">
                  <c:v>26.89</c:v>
                </c:pt>
                <c:pt idx="86">
                  <c:v>26.18</c:v>
                </c:pt>
                <c:pt idx="87">
                  <c:v>25.62</c:v>
                </c:pt>
                <c:pt idx="88">
                  <c:v>24.98</c:v>
                </c:pt>
                <c:pt idx="89">
                  <c:v>24.91</c:v>
                </c:pt>
                <c:pt idx="90">
                  <c:v>25.53</c:v>
                </c:pt>
                <c:pt idx="91">
                  <c:v>24.89</c:v>
                </c:pt>
                <c:pt idx="92">
                  <c:v>24.17</c:v>
                </c:pt>
                <c:pt idx="93">
                  <c:v>26.55</c:v>
                </c:pt>
                <c:pt idx="94">
                  <c:v>26.75</c:v>
                </c:pt>
                <c:pt idx="95">
                  <c:v>25.79</c:v>
                </c:pt>
                <c:pt idx="96">
                  <c:v>26.84</c:v>
                </c:pt>
                <c:pt idx="97">
                  <c:v>25.63</c:v>
                </c:pt>
                <c:pt idx="98">
                  <c:v>26.11</c:v>
                </c:pt>
                <c:pt idx="99">
                  <c:v>27.12</c:v>
                </c:pt>
                <c:pt idx="100">
                  <c:v>26.02</c:v>
                </c:pt>
                <c:pt idx="101">
                  <c:v>25.64</c:v>
                </c:pt>
                <c:pt idx="102">
                  <c:v>25.91</c:v>
                </c:pt>
                <c:pt idx="103">
                  <c:v>27.06</c:v>
                </c:pt>
                <c:pt idx="104">
                  <c:v>25.9</c:v>
                </c:pt>
                <c:pt idx="105">
                  <c:v>26.43</c:v>
                </c:pt>
                <c:pt idx="106">
                  <c:v>24.68</c:v>
                </c:pt>
                <c:pt idx="107">
                  <c:v>23.46</c:v>
                </c:pt>
                <c:pt idx="108">
                  <c:v>24.16</c:v>
                </c:pt>
                <c:pt idx="109">
                  <c:v>24.17</c:v>
                </c:pt>
                <c:pt idx="110">
                  <c:v>25.12</c:v>
                </c:pt>
                <c:pt idx="111">
                  <c:v>24.76</c:v>
                </c:pt>
                <c:pt idx="112">
                  <c:v>25.52</c:v>
                </c:pt>
                <c:pt idx="113">
                  <c:v>25.25</c:v>
                </c:pt>
                <c:pt idx="114">
                  <c:v>25.64</c:v>
                </c:pt>
                <c:pt idx="115">
                  <c:v>25.4</c:v>
                </c:pt>
                <c:pt idx="116">
                  <c:v>25.93</c:v>
                </c:pt>
                <c:pt idx="117">
                  <c:v>26.15</c:v>
                </c:pt>
                <c:pt idx="118">
                  <c:v>25.64</c:v>
                </c:pt>
                <c:pt idx="119">
                  <c:v>23.53</c:v>
                </c:pt>
                <c:pt idx="120">
                  <c:v>23.01</c:v>
                </c:pt>
                <c:pt idx="121">
                  <c:v>23.07</c:v>
                </c:pt>
                <c:pt idx="122">
                  <c:v>22.38</c:v>
                </c:pt>
                <c:pt idx="123">
                  <c:v>24.04</c:v>
                </c:pt>
                <c:pt idx="124">
                  <c:v>19.47</c:v>
                </c:pt>
                <c:pt idx="125">
                  <c:v>19.649999999999999</c:v>
                </c:pt>
                <c:pt idx="126">
                  <c:v>21.5</c:v>
                </c:pt>
                <c:pt idx="127">
                  <c:v>21.62</c:v>
                </c:pt>
                <c:pt idx="128">
                  <c:v>19.059999999999999</c:v>
                </c:pt>
                <c:pt idx="129">
                  <c:v>22.52</c:v>
                </c:pt>
                <c:pt idx="130">
                  <c:v>23.87</c:v>
                </c:pt>
                <c:pt idx="131">
                  <c:v>24.54</c:v>
                </c:pt>
                <c:pt idx="132">
                  <c:v>24.32</c:v>
                </c:pt>
                <c:pt idx="133">
                  <c:v>26.23</c:v>
                </c:pt>
                <c:pt idx="134">
                  <c:v>27.47</c:v>
                </c:pt>
                <c:pt idx="135">
                  <c:v>25.68</c:v>
                </c:pt>
                <c:pt idx="136">
                  <c:v>22.66</c:v>
                </c:pt>
                <c:pt idx="137">
                  <c:v>23.74</c:v>
                </c:pt>
                <c:pt idx="138">
                  <c:v>22.73</c:v>
                </c:pt>
                <c:pt idx="139">
                  <c:v>22.31</c:v>
                </c:pt>
                <c:pt idx="140">
                  <c:v>23.32</c:v>
                </c:pt>
                <c:pt idx="141">
                  <c:v>23.15</c:v>
                </c:pt>
                <c:pt idx="142">
                  <c:v>24.32</c:v>
                </c:pt>
                <c:pt idx="143">
                  <c:v>28.84</c:v>
                </c:pt>
                <c:pt idx="144">
                  <c:v>29.37</c:v>
                </c:pt>
                <c:pt idx="145">
                  <c:v>28.56</c:v>
                </c:pt>
                <c:pt idx="146">
                  <c:v>28.65</c:v>
                </c:pt>
                <c:pt idx="147">
                  <c:v>29.93</c:v>
                </c:pt>
                <c:pt idx="148">
                  <c:v>31.35</c:v>
                </c:pt>
                <c:pt idx="149">
                  <c:v>29.38</c:v>
                </c:pt>
                <c:pt idx="150">
                  <c:v>26.84</c:v>
                </c:pt>
                <c:pt idx="151">
                  <c:v>26.78</c:v>
                </c:pt>
                <c:pt idx="152">
                  <c:v>26.81</c:v>
                </c:pt>
                <c:pt idx="153">
                  <c:v>27.41</c:v>
                </c:pt>
                <c:pt idx="154">
                  <c:v>25.51</c:v>
                </c:pt>
                <c:pt idx="155">
                  <c:v>27.064</c:v>
                </c:pt>
                <c:pt idx="156">
                  <c:v>26.609000000000002</c:v>
                </c:pt>
                <c:pt idx="157">
                  <c:v>28.8</c:v>
                </c:pt>
                <c:pt idx="158">
                  <c:v>28.811</c:v>
                </c:pt>
                <c:pt idx="159">
                  <c:v>28.236999999999998</c:v>
                </c:pt>
                <c:pt idx="160">
                  <c:v>28.885999999999999</c:v>
                </c:pt>
                <c:pt idx="161">
                  <c:v>27.962</c:v>
                </c:pt>
                <c:pt idx="162">
                  <c:v>26.312999999999999</c:v>
                </c:pt>
                <c:pt idx="163">
                  <c:v>26.416</c:v>
                </c:pt>
                <c:pt idx="164">
                  <c:v>29.071999999999999</c:v>
                </c:pt>
                <c:pt idx="165">
                  <c:v>30.239000000000001</c:v>
                </c:pt>
                <c:pt idx="166">
                  <c:v>30.11</c:v>
                </c:pt>
                <c:pt idx="167">
                  <c:v>30.507000000000001</c:v>
                </c:pt>
                <c:pt idx="168">
                  <c:v>28.087</c:v>
                </c:pt>
                <c:pt idx="169">
                  <c:v>28.95</c:v>
                </c:pt>
                <c:pt idx="170">
                  <c:v>28.754999999999999</c:v>
                </c:pt>
                <c:pt idx="171">
                  <c:v>28.352</c:v>
                </c:pt>
                <c:pt idx="172">
                  <c:v>26.722000000000001</c:v>
                </c:pt>
                <c:pt idx="173">
                  <c:v>28.3</c:v>
                </c:pt>
                <c:pt idx="174">
                  <c:v>26.178000000000001</c:v>
                </c:pt>
                <c:pt idx="175">
                  <c:v>25.44</c:v>
                </c:pt>
                <c:pt idx="176">
                  <c:v>23.536000000000001</c:v>
                </c:pt>
                <c:pt idx="177">
                  <c:v>21.326000000000001</c:v>
                </c:pt>
                <c:pt idx="178">
                  <c:v>22.382000000000001</c:v>
                </c:pt>
                <c:pt idx="179">
                  <c:v>21.978999999999999</c:v>
                </c:pt>
                <c:pt idx="180">
                  <c:v>21.766999999999999</c:v>
                </c:pt>
                <c:pt idx="181">
                  <c:v>20.917000000000002</c:v>
                </c:pt>
                <c:pt idx="182">
                  <c:v>19.579999999999998</c:v>
                </c:pt>
                <c:pt idx="183">
                  <c:v>19.065000000000001</c:v>
                </c:pt>
                <c:pt idx="184">
                  <c:v>18.887</c:v>
                </c:pt>
                <c:pt idx="185">
                  <c:v>18.527000000000001</c:v>
                </c:pt>
                <c:pt idx="186">
                  <c:v>18.285</c:v>
                </c:pt>
                <c:pt idx="187">
                  <c:v>18.239000000000001</c:v>
                </c:pt>
                <c:pt idx="188">
                  <c:v>18.603000000000002</c:v>
                </c:pt>
                <c:pt idx="189">
                  <c:v>17.579000000000001</c:v>
                </c:pt>
                <c:pt idx="190">
                  <c:v>16.727</c:v>
                </c:pt>
                <c:pt idx="191">
                  <c:v>14.554</c:v>
                </c:pt>
                <c:pt idx="192">
                  <c:v>15.742000000000001</c:v>
                </c:pt>
                <c:pt idx="193">
                  <c:v>16.305</c:v>
                </c:pt>
                <c:pt idx="194">
                  <c:v>16.097999999999999</c:v>
                </c:pt>
                <c:pt idx="195">
                  <c:v>16.337</c:v>
                </c:pt>
                <c:pt idx="196">
                  <c:v>17.068000000000001</c:v>
                </c:pt>
                <c:pt idx="197">
                  <c:v>17.885000000000002</c:v>
                </c:pt>
                <c:pt idx="198">
                  <c:v>18.47</c:v>
                </c:pt>
                <c:pt idx="199">
                  <c:v>19.527999999999999</c:v>
                </c:pt>
                <c:pt idx="200">
                  <c:v>20.7</c:v>
                </c:pt>
                <c:pt idx="201">
                  <c:v>20.244</c:v>
                </c:pt>
                <c:pt idx="202">
                  <c:v>20.986000000000001</c:v>
                </c:pt>
                <c:pt idx="203">
                  <c:v>20.353000000000002</c:v>
                </c:pt>
                <c:pt idx="204">
                  <c:v>22.253</c:v>
                </c:pt>
                <c:pt idx="205">
                  <c:v>22.376000000000001</c:v>
                </c:pt>
                <c:pt idx="206">
                  <c:v>20.062999999999999</c:v>
                </c:pt>
                <c:pt idx="207">
                  <c:v>20.757000000000001</c:v>
                </c:pt>
                <c:pt idx="208">
                  <c:v>19.474</c:v>
                </c:pt>
                <c:pt idx="209">
                  <c:v>18.213000000000001</c:v>
                </c:pt>
                <c:pt idx="210">
                  <c:v>17.779</c:v>
                </c:pt>
                <c:pt idx="211">
                  <c:v>19.277999999999999</c:v>
                </c:pt>
                <c:pt idx="212">
                  <c:v>18.652000000000001</c:v>
                </c:pt>
                <c:pt idx="213">
                  <c:v>17.727</c:v>
                </c:pt>
                <c:pt idx="214">
                  <c:v>17.097000000000001</c:v>
                </c:pt>
                <c:pt idx="215">
                  <c:v>16.122</c:v>
                </c:pt>
                <c:pt idx="216">
                  <c:v>15.821999999999999</c:v>
                </c:pt>
                <c:pt idx="217">
                  <c:v>18.050999999999998</c:v>
                </c:pt>
                <c:pt idx="218">
                  <c:v>17.802</c:v>
                </c:pt>
                <c:pt idx="219">
                  <c:v>16.420999999999999</c:v>
                </c:pt>
                <c:pt idx="220">
                  <c:v>15.773999999999999</c:v>
                </c:pt>
                <c:pt idx="221">
                  <c:v>20.704000000000001</c:v>
                </c:pt>
                <c:pt idx="222">
                  <c:v>19.760000000000002</c:v>
                </c:pt>
                <c:pt idx="223">
                  <c:v>20.388000000000002</c:v>
                </c:pt>
                <c:pt idx="224">
                  <c:v>22.184000000000001</c:v>
                </c:pt>
                <c:pt idx="225">
                  <c:v>21.827999999999999</c:v>
                </c:pt>
                <c:pt idx="226">
                  <c:v>23.417000000000002</c:v>
                </c:pt>
                <c:pt idx="227">
                  <c:v>24.16</c:v>
                </c:pt>
                <c:pt idx="228">
                  <c:v>23.254999999999999</c:v>
                </c:pt>
                <c:pt idx="229">
                  <c:v>21.295999999999999</c:v>
                </c:pt>
                <c:pt idx="230">
                  <c:v>21.847999999999999</c:v>
                </c:pt>
                <c:pt idx="231">
                  <c:v>23.582000000000001</c:v>
                </c:pt>
                <c:pt idx="232">
                  <c:v>25.096</c:v>
                </c:pt>
                <c:pt idx="233">
                  <c:v>23.423999999999999</c:v>
                </c:pt>
                <c:pt idx="234">
                  <c:v>24.268999999999998</c:v>
                </c:pt>
                <c:pt idx="235">
                  <c:v>25.861000000000001</c:v>
                </c:pt>
                <c:pt idx="236">
                  <c:v>25.640999999999998</c:v>
                </c:pt>
                <c:pt idx="237">
                  <c:v>26.422000000000001</c:v>
                </c:pt>
                <c:pt idx="238">
                  <c:v>28.687000000000001</c:v>
                </c:pt>
                <c:pt idx="239">
                  <c:v>27.626000000000001</c:v>
                </c:pt>
                <c:pt idx="240">
                  <c:v>27.425999999999998</c:v>
                </c:pt>
                <c:pt idx="241">
                  <c:v>28.239000000000001</c:v>
                </c:pt>
                <c:pt idx="242">
                  <c:v>25.716000000000001</c:v>
                </c:pt>
                <c:pt idx="243">
                  <c:v>23.169</c:v>
                </c:pt>
                <c:pt idx="244">
                  <c:v>25.875</c:v>
                </c:pt>
                <c:pt idx="245">
                  <c:v>28.548999999999999</c:v>
                </c:pt>
                <c:pt idx="246">
                  <c:v>29.42</c:v>
                </c:pt>
                <c:pt idx="247">
                  <c:v>25.106000000000002</c:v>
                </c:pt>
                <c:pt idx="248">
                  <c:v>24.684000000000001</c:v>
                </c:pt>
                <c:pt idx="249">
                  <c:v>16.709</c:v>
                </c:pt>
                <c:pt idx="250">
                  <c:v>20.338000000000001</c:v>
                </c:pt>
                <c:pt idx="251">
                  <c:v>21.945</c:v>
                </c:pt>
                <c:pt idx="252">
                  <c:v>26.332999999999998</c:v>
                </c:pt>
                <c:pt idx="253">
                  <c:v>23.169</c:v>
                </c:pt>
                <c:pt idx="254">
                  <c:v>35.027999999999999</c:v>
                </c:pt>
                <c:pt idx="255">
                  <c:v>33.231999999999999</c:v>
                </c:pt>
                <c:pt idx="256">
                  <c:v>36.597999999999999</c:v>
                </c:pt>
                <c:pt idx="257">
                  <c:v>36.606999999999999</c:v>
                </c:pt>
                <c:pt idx="258">
                  <c:v>40.4</c:v>
                </c:pt>
                <c:pt idx="259">
                  <c:v>37.344999999999999</c:v>
                </c:pt>
                <c:pt idx="260">
                  <c:v>36.869999999999997</c:v>
                </c:pt>
                <c:pt idx="261">
                  <c:v>38.515000000000001</c:v>
                </c:pt>
                <c:pt idx="262">
                  <c:v>36.372</c:v>
                </c:pt>
                <c:pt idx="263">
                  <c:v>39.43</c:v>
                </c:pt>
                <c:pt idx="264">
                  <c:v>40.497999999999998</c:v>
                </c:pt>
                <c:pt idx="265">
                  <c:v>39.74</c:v>
                </c:pt>
                <c:pt idx="266">
                  <c:v>40.222000000000001</c:v>
                </c:pt>
                <c:pt idx="267">
                  <c:v>42.423000000000002</c:v>
                </c:pt>
                <c:pt idx="268">
                  <c:v>43.107999999999997</c:v>
                </c:pt>
                <c:pt idx="269">
                  <c:v>42.277000000000001</c:v>
                </c:pt>
                <c:pt idx="270">
                  <c:v>42.62</c:v>
                </c:pt>
                <c:pt idx="271">
                  <c:v>40.338999999999999</c:v>
                </c:pt>
                <c:pt idx="272">
                  <c:v>40.624000000000002</c:v>
                </c:pt>
                <c:pt idx="273">
                  <c:v>41.05</c:v>
                </c:pt>
                <c:pt idx="274">
                  <c:v>42.901000000000003</c:v>
                </c:pt>
                <c:pt idx="275">
                  <c:v>39.630000000000003</c:v>
                </c:pt>
                <c:pt idx="276">
                  <c:v>38.164999999999999</c:v>
                </c:pt>
                <c:pt idx="277">
                  <c:v>34.351999999999997</c:v>
                </c:pt>
                <c:pt idx="278">
                  <c:v>30.147300000000001</c:v>
                </c:pt>
                <c:pt idx="279">
                  <c:v>32.950200000000002</c:v>
                </c:pt>
                <c:pt idx="280">
                  <c:v>33.9099</c:v>
                </c:pt>
                <c:pt idx="281">
                  <c:v>33.4146</c:v>
                </c:pt>
                <c:pt idx="282">
                  <c:v>31.954699999999999</c:v>
                </c:pt>
                <c:pt idx="283">
                  <c:v>31.357199999999999</c:v>
                </c:pt>
                <c:pt idx="284">
                  <c:v>31.622499999999999</c:v>
                </c:pt>
                <c:pt idx="285">
                  <c:v>34.734299999999998</c:v>
                </c:pt>
                <c:pt idx="286">
                  <c:v>36.135899999999999</c:v>
                </c:pt>
                <c:pt idx="287">
                  <c:v>37.744700000000002</c:v>
                </c:pt>
                <c:pt idx="288">
                  <c:v>36.062600000000003</c:v>
                </c:pt>
                <c:pt idx="289">
                  <c:v>35.429299999999998</c:v>
                </c:pt>
                <c:pt idx="290">
                  <c:v>36.684399999999997</c:v>
                </c:pt>
                <c:pt idx="291">
                  <c:v>29.906300000000002</c:v>
                </c:pt>
                <c:pt idx="292">
                  <c:v>29.764900000000001</c:v>
                </c:pt>
                <c:pt idx="293">
                  <c:v>29.5199</c:v>
                </c:pt>
                <c:pt idx="294">
                  <c:v>30.203299999999999</c:v>
                </c:pt>
                <c:pt idx="295">
                  <c:v>28.572199999999999</c:v>
                </c:pt>
                <c:pt idx="296">
                  <c:v>31.233000000000001</c:v>
                </c:pt>
                <c:pt idx="297">
                  <c:v>30.8292</c:v>
                </c:pt>
                <c:pt idx="298">
                  <c:v>30.9131</c:v>
                </c:pt>
                <c:pt idx="299">
                  <c:v>29.3874</c:v>
                </c:pt>
                <c:pt idx="300">
                  <c:v>30.208400000000001</c:v>
                </c:pt>
                <c:pt idx="301">
                  <c:v>28.663799999999998</c:v>
                </c:pt>
                <c:pt idx="302">
                  <c:v>28.031600000000001</c:v>
                </c:pt>
                <c:pt idx="303">
                  <c:v>28.55</c:v>
                </c:pt>
                <c:pt idx="304">
                  <c:v>29.015499999999999</c:v>
                </c:pt>
                <c:pt idx="305">
                  <c:v>27.868500000000001</c:v>
                </c:pt>
                <c:pt idx="306">
                  <c:v>28.189699999999998</c:v>
                </c:pt>
                <c:pt idx="307">
                  <c:v>28.88</c:v>
                </c:pt>
                <c:pt idx="308">
                  <c:v>26.5</c:v>
                </c:pt>
                <c:pt idx="309">
                  <c:v>27.224299999999999</c:v>
                </c:pt>
                <c:pt idx="310">
                  <c:v>30.9878</c:v>
                </c:pt>
                <c:pt idx="311">
                  <c:v>32.7958</c:v>
                </c:pt>
                <c:pt idx="312">
                  <c:v>32.939500000000002</c:v>
                </c:pt>
                <c:pt idx="313">
                  <c:v>32.039900000000003</c:v>
                </c:pt>
                <c:pt idx="314">
                  <c:v>33.262</c:v>
                </c:pt>
                <c:pt idx="315">
                  <c:v>29.9785</c:v>
                </c:pt>
                <c:pt idx="316">
                  <c:v>31.287800000000001</c:v>
                </c:pt>
                <c:pt idx="317">
                  <c:v>30.024699999999999</c:v>
                </c:pt>
                <c:pt idx="318">
                  <c:v>29.798300000000001</c:v>
                </c:pt>
                <c:pt idx="319">
                  <c:v>30.6509</c:v>
                </c:pt>
                <c:pt idx="320">
                  <c:v>32.443899999999999</c:v>
                </c:pt>
                <c:pt idx="321">
                  <c:v>30.919799999999999</c:v>
                </c:pt>
                <c:pt idx="322">
                  <c:v>30.994399999999999</c:v>
                </c:pt>
                <c:pt idx="323">
                  <c:v>30.887699999999999</c:v>
                </c:pt>
                <c:pt idx="324">
                  <c:v>32.872199999999999</c:v>
                </c:pt>
                <c:pt idx="325">
                  <c:v>33.234400000000001</c:v>
                </c:pt>
                <c:pt idx="326">
                  <c:v>34.265099999999997</c:v>
                </c:pt>
                <c:pt idx="327">
                  <c:v>28.514800000000001</c:v>
                </c:pt>
                <c:pt idx="328">
                  <c:v>28.2866</c:v>
                </c:pt>
                <c:pt idx="329">
                  <c:v>28.2681</c:v>
                </c:pt>
                <c:pt idx="330">
                  <c:v>25.3565</c:v>
                </c:pt>
                <c:pt idx="331">
                  <c:v>25.525300000000001</c:v>
                </c:pt>
                <c:pt idx="332">
                  <c:v>25.7058</c:v>
                </c:pt>
                <c:pt idx="333">
                  <c:v>22.209800000000001</c:v>
                </c:pt>
                <c:pt idx="334">
                  <c:v>23.533799999999999</c:v>
                </c:pt>
                <c:pt idx="335">
                  <c:v>23.1082</c:v>
                </c:pt>
                <c:pt idx="336">
                  <c:v>23.478100000000001</c:v>
                </c:pt>
                <c:pt idx="337">
                  <c:v>25.250900000000001</c:v>
                </c:pt>
                <c:pt idx="338">
                  <c:v>24.808599999999998</c:v>
                </c:pt>
                <c:pt idx="339">
                  <c:v>27.683499999999999</c:v>
                </c:pt>
                <c:pt idx="340">
                  <c:v>28.776299999999999</c:v>
                </c:pt>
                <c:pt idx="341">
                  <c:v>28.753299999999999</c:v>
                </c:pt>
                <c:pt idx="342">
                  <c:v>20.075600000000001</c:v>
                </c:pt>
                <c:pt idx="343">
                  <c:v>21.173300000000001</c:v>
                </c:pt>
                <c:pt idx="344">
                  <c:v>21.517499999999998</c:v>
                </c:pt>
                <c:pt idx="345">
                  <c:v>20.4846</c:v>
                </c:pt>
                <c:pt idx="346">
                  <c:v>20.067499999999999</c:v>
                </c:pt>
                <c:pt idx="347">
                  <c:v>20.8245</c:v>
                </c:pt>
                <c:pt idx="348">
                  <c:v>21.773800000000001</c:v>
                </c:pt>
                <c:pt idx="349">
                  <c:v>22.6236</c:v>
                </c:pt>
                <c:pt idx="350">
                  <c:v>21.453600000000002</c:v>
                </c:pt>
                <c:pt idx="351">
                  <c:v>20.680199999999999</c:v>
                </c:pt>
                <c:pt idx="352">
                  <c:v>19.517499999999998</c:v>
                </c:pt>
                <c:pt idx="353">
                  <c:v>19.319800000000001</c:v>
                </c:pt>
                <c:pt idx="354">
                  <c:v>18.659199999999998</c:v>
                </c:pt>
                <c:pt idx="355">
                  <c:v>19.2499</c:v>
                </c:pt>
                <c:pt idx="356">
                  <c:v>21.145</c:v>
                </c:pt>
                <c:pt idx="357">
                  <c:v>20.129899999999999</c:v>
                </c:pt>
                <c:pt idx="358">
                  <c:v>19.711400000000001</c:v>
                </c:pt>
                <c:pt idx="359">
                  <c:v>18.951699999999999</c:v>
                </c:pt>
                <c:pt idx="360">
                  <c:v>20.450199999999999</c:v>
                </c:pt>
                <c:pt idx="361">
                  <c:v>17.724599999999999</c:v>
                </c:pt>
                <c:pt idx="362">
                  <c:v>19.537600000000001</c:v>
                </c:pt>
                <c:pt idx="363">
                  <c:v>15.6418</c:v>
                </c:pt>
                <c:pt idx="364">
                  <c:v>14.100300000000001</c:v>
                </c:pt>
                <c:pt idx="365">
                  <c:v>14.7493</c:v>
                </c:pt>
                <c:pt idx="366">
                  <c:v>13.9086</c:v>
                </c:pt>
                <c:pt idx="367">
                  <c:v>11.3177</c:v>
                </c:pt>
                <c:pt idx="368">
                  <c:v>12.0505</c:v>
                </c:pt>
                <c:pt idx="369">
                  <c:v>9.3428000000000004</c:v>
                </c:pt>
                <c:pt idx="370">
                  <c:v>8.6834000000000007</c:v>
                </c:pt>
                <c:pt idx="371">
                  <c:v>7.5872999999999999</c:v>
                </c:pt>
                <c:pt idx="372">
                  <c:v>8.9646000000000008</c:v>
                </c:pt>
                <c:pt idx="373">
                  <c:v>8.5767000000000007</c:v>
                </c:pt>
                <c:pt idx="374">
                  <c:v>9.1904000000000003</c:v>
                </c:pt>
                <c:pt idx="375">
                  <c:v>8.6890000000000001</c:v>
                </c:pt>
                <c:pt idx="376">
                  <c:v>8.3908000000000005</c:v>
                </c:pt>
                <c:pt idx="377">
                  <c:v>7.3761999999999999</c:v>
                </c:pt>
                <c:pt idx="378">
                  <c:v>6.9592999999999998</c:v>
                </c:pt>
                <c:pt idx="379">
                  <c:v>6.3311000000000002</c:v>
                </c:pt>
                <c:pt idx="380">
                  <c:v>5.5877999999999997</c:v>
                </c:pt>
                <c:pt idx="381">
                  <c:v>5.2447999999999997</c:v>
                </c:pt>
                <c:pt idx="382">
                  <c:v>5.9802</c:v>
                </c:pt>
                <c:pt idx="383">
                  <c:v>6.22</c:v>
                </c:pt>
                <c:pt idx="384">
                  <c:v>5.8807</c:v>
                </c:pt>
                <c:pt idx="385">
                  <c:v>6.2545000000000002</c:v>
                </c:pt>
                <c:pt idx="386">
                  <c:v>6.4157000000000002</c:v>
                </c:pt>
                <c:pt idx="387">
                  <c:v>6.2518000000000002</c:v>
                </c:pt>
                <c:pt idx="388">
                  <c:v>5.4238</c:v>
                </c:pt>
                <c:pt idx="389">
                  <c:v>5.5155000000000003</c:v>
                </c:pt>
                <c:pt idx="390">
                  <c:v>4.8563999999999998</c:v>
                </c:pt>
                <c:pt idx="391">
                  <c:v>4.7352999999999996</c:v>
                </c:pt>
                <c:pt idx="392">
                  <c:v>5.1501000000000001</c:v>
                </c:pt>
                <c:pt idx="393">
                  <c:v>4.1531000000000002</c:v>
                </c:pt>
                <c:pt idx="394">
                  <c:v>3.6695000000000002</c:v>
                </c:pt>
                <c:pt idx="395">
                  <c:v>3.7311000000000001</c:v>
                </c:pt>
                <c:pt idx="396">
                  <c:v>3.5964999999999998</c:v>
                </c:pt>
                <c:pt idx="397">
                  <c:v>3.4171</c:v>
                </c:pt>
                <c:pt idx="398">
                  <c:v>3.5038</c:v>
                </c:pt>
                <c:pt idx="399">
                  <c:v>3.5226999999999999</c:v>
                </c:pt>
                <c:pt idx="400">
                  <c:v>3.3111000000000002</c:v>
                </c:pt>
                <c:pt idx="401">
                  <c:v>3.7330999999999999</c:v>
                </c:pt>
                <c:pt idx="402">
                  <c:v>3.5093999999999999</c:v>
                </c:pt>
                <c:pt idx="403">
                  <c:v>3.7616999999999998</c:v>
                </c:pt>
                <c:pt idx="404">
                  <c:v>3.9621</c:v>
                </c:pt>
                <c:pt idx="405">
                  <c:v>3.7652000000000001</c:v>
                </c:pt>
                <c:pt idx="406">
                  <c:v>3.6913999999999998</c:v>
                </c:pt>
                <c:pt idx="407">
                  <c:v>3.5356999999999998</c:v>
                </c:pt>
                <c:pt idx="408">
                  <c:v>3.3292000000000002</c:v>
                </c:pt>
                <c:pt idx="409">
                  <c:v>3.4803000000000002</c:v>
                </c:pt>
                <c:pt idx="410">
                  <c:v>3.3439999999999999</c:v>
                </c:pt>
                <c:pt idx="411">
                  <c:v>3.1225000000000001</c:v>
                </c:pt>
                <c:pt idx="412">
                  <c:v>2.9622999999999999</c:v>
                </c:pt>
                <c:pt idx="413">
                  <c:v>3.2389999999999999</c:v>
                </c:pt>
                <c:pt idx="414">
                  <c:v>3.3511000000000002</c:v>
                </c:pt>
                <c:pt idx="415">
                  <c:v>3.2982</c:v>
                </c:pt>
                <c:pt idx="416">
                  <c:v>3.7574000000000001</c:v>
                </c:pt>
                <c:pt idx="417">
                  <c:v>3.6482000000000001</c:v>
                </c:pt>
                <c:pt idx="418">
                  <c:v>3.6833999999999998</c:v>
                </c:pt>
                <c:pt idx="419">
                  <c:v>3.516</c:v>
                </c:pt>
                <c:pt idx="420">
                  <c:v>3.8828999999999998</c:v>
                </c:pt>
                <c:pt idx="421">
                  <c:v>3.9483999999999999</c:v>
                </c:pt>
                <c:pt idx="422">
                  <c:v>3.55</c:v>
                </c:pt>
                <c:pt idx="423">
                  <c:v>3.7824</c:v>
                </c:pt>
                <c:pt idx="424">
                  <c:v>3.5514000000000001</c:v>
                </c:pt>
                <c:pt idx="425">
                  <c:v>3.4615999999999998</c:v>
                </c:pt>
                <c:pt idx="426">
                  <c:v>3.3067000000000002</c:v>
                </c:pt>
                <c:pt idx="427">
                  <c:v>3.43</c:v>
                </c:pt>
                <c:pt idx="428">
                  <c:v>3.6772999999999998</c:v>
                </c:pt>
                <c:pt idx="429">
                  <c:v>4.0627000000000004</c:v>
                </c:pt>
                <c:pt idx="430">
                  <c:v>4.1841999999999997</c:v>
                </c:pt>
                <c:pt idx="431">
                  <c:v>3.6762999999999999</c:v>
                </c:pt>
                <c:pt idx="432">
                  <c:v>3.8365999999999998</c:v>
                </c:pt>
                <c:pt idx="433">
                  <c:v>3.8552</c:v>
                </c:pt>
                <c:pt idx="434">
                  <c:v>3.7416999999999998</c:v>
                </c:pt>
                <c:pt idx="435">
                  <c:v>3.4607000000000001</c:v>
                </c:pt>
                <c:pt idx="436">
                  <c:v>3.8104</c:v>
                </c:pt>
                <c:pt idx="437">
                  <c:v>3.5634000000000001</c:v>
                </c:pt>
                <c:pt idx="438">
                  <c:v>3.8458000000000001</c:v>
                </c:pt>
                <c:pt idx="439">
                  <c:v>3.8165</c:v>
                </c:pt>
                <c:pt idx="440">
                  <c:v>3.8614000000000002</c:v>
                </c:pt>
                <c:pt idx="441">
                  <c:v>2.9582000000000002</c:v>
                </c:pt>
                <c:pt idx="442">
                  <c:v>2.9308000000000001</c:v>
                </c:pt>
                <c:pt idx="443">
                  <c:v>3.0758999999999999</c:v>
                </c:pt>
                <c:pt idx="444">
                  <c:v>2.6821999999999999</c:v>
                </c:pt>
                <c:pt idx="445">
                  <c:v>2.8653</c:v>
                </c:pt>
                <c:pt idx="446">
                  <c:v>2.4754999999999998</c:v>
                </c:pt>
                <c:pt idx="447">
                  <c:v>2.5657000000000001</c:v>
                </c:pt>
                <c:pt idx="448">
                  <c:v>2.1901000000000002</c:v>
                </c:pt>
                <c:pt idx="449">
                  <c:v>1.9280999999999999</c:v>
                </c:pt>
                <c:pt idx="450">
                  <c:v>2.1379999999999999</c:v>
                </c:pt>
                <c:pt idx="451">
                  <c:v>2.254</c:v>
                </c:pt>
                <c:pt idx="452">
                  <c:v>2.3765000000000001</c:v>
                </c:pt>
                <c:pt idx="453">
                  <c:v>2.2662</c:v>
                </c:pt>
                <c:pt idx="454">
                  <c:v>2.4134000000000002</c:v>
                </c:pt>
                <c:pt idx="455">
                  <c:v>2.5390999999999999</c:v>
                </c:pt>
                <c:pt idx="456">
                  <c:v>2.6610999999999998</c:v>
                </c:pt>
                <c:pt idx="457">
                  <c:v>2.8096000000000001</c:v>
                </c:pt>
                <c:pt idx="458">
                  <c:v>2.7113999999999998</c:v>
                </c:pt>
                <c:pt idx="459">
                  <c:v>2.7726000000000002</c:v>
                </c:pt>
                <c:pt idx="460">
                  <c:v>2.9399000000000002</c:v>
                </c:pt>
                <c:pt idx="461">
                  <c:v>3.0110000000000001</c:v>
                </c:pt>
                <c:pt idx="462">
                  <c:v>3.0432000000000001</c:v>
                </c:pt>
                <c:pt idx="463">
                  <c:v>2.9371</c:v>
                </c:pt>
                <c:pt idx="464">
                  <c:v>2.8582000000000001</c:v>
                </c:pt>
                <c:pt idx="465">
                  <c:v>3.1703000000000001</c:v>
                </c:pt>
                <c:pt idx="466">
                  <c:v>3.2810999999999999</c:v>
                </c:pt>
                <c:pt idx="467">
                  <c:v>3.0566</c:v>
                </c:pt>
                <c:pt idx="468">
                  <c:v>3.0426000000000002</c:v>
                </c:pt>
                <c:pt idx="469">
                  <c:v>3.0792999999999999</c:v>
                </c:pt>
                <c:pt idx="470">
                  <c:v>3.1122999999999998</c:v>
                </c:pt>
                <c:pt idx="471">
                  <c:v>3.3546</c:v>
                </c:pt>
                <c:pt idx="472">
                  <c:v>3.4599000000000002</c:v>
                </c:pt>
                <c:pt idx="473">
                  <c:v>3.3626</c:v>
                </c:pt>
                <c:pt idx="474">
                  <c:v>3.2989000000000002</c:v>
                </c:pt>
                <c:pt idx="475">
                  <c:v>3.3834</c:v>
                </c:pt>
                <c:pt idx="476">
                  <c:v>3.3498999999999999</c:v>
                </c:pt>
                <c:pt idx="477">
                  <c:v>2.9621</c:v>
                </c:pt>
                <c:pt idx="478">
                  <c:v>2.7143000000000002</c:v>
                </c:pt>
                <c:pt idx="479">
                  <c:v>3.319</c:v>
                </c:pt>
                <c:pt idx="480">
                  <c:v>3.7262</c:v>
                </c:pt>
                <c:pt idx="481">
                  <c:v>3.9041000000000001</c:v>
                </c:pt>
                <c:pt idx="482">
                  <c:v>3.8904000000000001</c:v>
                </c:pt>
                <c:pt idx="483">
                  <c:v>4.2397</c:v>
                </c:pt>
                <c:pt idx="484">
                  <c:v>4.1554000000000002</c:v>
                </c:pt>
                <c:pt idx="485">
                  <c:v>4.3826000000000001</c:v>
                </c:pt>
                <c:pt idx="486">
                  <c:v>4.2503000000000002</c:v>
                </c:pt>
                <c:pt idx="487">
                  <c:v>4.8457999999999997</c:v>
                </c:pt>
                <c:pt idx="488">
                  <c:v>4.8684000000000003</c:v>
                </c:pt>
                <c:pt idx="489">
                  <c:v>4.9145000000000003</c:v>
                </c:pt>
                <c:pt idx="490">
                  <c:v>5.1639999999999997</c:v>
                </c:pt>
                <c:pt idx="491">
                  <c:v>4.38</c:v>
                </c:pt>
                <c:pt idx="492">
                  <c:v>3.9104999999999999</c:v>
                </c:pt>
                <c:pt idx="493">
                  <c:v>4.2470999999999997</c:v>
                </c:pt>
                <c:pt idx="494">
                  <c:v>5.2229999999999999</c:v>
                </c:pt>
                <c:pt idx="495">
                  <c:v>5.7244000000000002</c:v>
                </c:pt>
                <c:pt idx="496">
                  <c:v>6.9</c:v>
                </c:pt>
                <c:pt idx="497">
                  <c:v>3.4617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D-449C-A71D-6C5FF5223A8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0.43243733654125721</c:v>
                </c:pt>
                <c:pt idx="1">
                  <c:v>0.43380080410295929</c:v>
                </c:pt>
                <c:pt idx="2">
                  <c:v>0.44749257647479029</c:v>
                </c:pt>
                <c:pt idx="3">
                  <c:v>0.44988042708769355</c:v>
                </c:pt>
                <c:pt idx="4">
                  <c:v>0.44150506651927246</c:v>
                </c:pt>
                <c:pt idx="5">
                  <c:v>0.43959612908413737</c:v>
                </c:pt>
                <c:pt idx="6">
                  <c:v>0.45774915309075392</c:v>
                </c:pt>
                <c:pt idx="7">
                  <c:v>0.47833746013143191</c:v>
                </c:pt>
                <c:pt idx="8">
                  <c:v>0.49020753530286043</c:v>
                </c:pt>
                <c:pt idx="9">
                  <c:v>0.5014888305223294</c:v>
                </c:pt>
                <c:pt idx="10">
                  <c:v>0.51568166105947233</c:v>
                </c:pt>
                <c:pt idx="11">
                  <c:v>0.52444301597218912</c:v>
                </c:pt>
                <c:pt idx="12">
                  <c:v>0.51274327690797861</c:v>
                </c:pt>
                <c:pt idx="13">
                  <c:v>0.50714607230797859</c:v>
                </c:pt>
                <c:pt idx="14">
                  <c:v>0.4998666957127979</c:v>
                </c:pt>
                <c:pt idx="15">
                  <c:v>0.51253415179279782</c:v>
                </c:pt>
                <c:pt idx="16">
                  <c:v>0.51253415179279782</c:v>
                </c:pt>
                <c:pt idx="17">
                  <c:v>0.50461994937339483</c:v>
                </c:pt>
                <c:pt idx="18">
                  <c:v>0.51682238785251566</c:v>
                </c:pt>
                <c:pt idx="19">
                  <c:v>0.51245011732634127</c:v>
                </c:pt>
                <c:pt idx="20">
                  <c:v>0.52063519077185016</c:v>
                </c:pt>
                <c:pt idx="21">
                  <c:v>0.53312086437029571</c:v>
                </c:pt>
                <c:pt idx="22">
                  <c:v>0.51538664264826195</c:v>
                </c:pt>
                <c:pt idx="23">
                  <c:v>0.53996907567859909</c:v>
                </c:pt>
                <c:pt idx="24">
                  <c:v>0.54652119400036769</c:v>
                </c:pt>
                <c:pt idx="25">
                  <c:v>0.54829569848544235</c:v>
                </c:pt>
                <c:pt idx="26">
                  <c:v>0.53759584096763413</c:v>
                </c:pt>
                <c:pt idx="27">
                  <c:v>0.52808766604455715</c:v>
                </c:pt>
                <c:pt idx="28">
                  <c:v>0.54472782886476989</c:v>
                </c:pt>
                <c:pt idx="29">
                  <c:v>0.5315824810197699</c:v>
                </c:pt>
                <c:pt idx="30">
                  <c:v>0.56077481551748865</c:v>
                </c:pt>
                <c:pt idx="31">
                  <c:v>0.57646534820839757</c:v>
                </c:pt>
                <c:pt idx="32">
                  <c:v>0.58272870988631975</c:v>
                </c:pt>
                <c:pt idx="33">
                  <c:v>0.56664540611131964</c:v>
                </c:pt>
                <c:pt idx="34">
                  <c:v>0.56648733566586507</c:v>
                </c:pt>
                <c:pt idx="35">
                  <c:v>0.57818933770737468</c:v>
                </c:pt>
                <c:pt idx="36">
                  <c:v>0.5400092317996823</c:v>
                </c:pt>
                <c:pt idx="37">
                  <c:v>0.54407625737534027</c:v>
                </c:pt>
                <c:pt idx="38">
                  <c:v>0.53448309977154274</c:v>
                </c:pt>
                <c:pt idx="39">
                  <c:v>0.53613882812608815</c:v>
                </c:pt>
                <c:pt idx="40">
                  <c:v>0.54813318785064957</c:v>
                </c:pt>
                <c:pt idx="41">
                  <c:v>0.5415208753366636</c:v>
                </c:pt>
                <c:pt idx="42">
                  <c:v>0.52687656420029982</c:v>
                </c:pt>
                <c:pt idx="43">
                  <c:v>0.54515210018767857</c:v>
                </c:pt>
                <c:pt idx="44">
                  <c:v>0.53377927826140126</c:v>
                </c:pt>
                <c:pt idx="45">
                  <c:v>0.52210724960413635</c:v>
                </c:pt>
                <c:pt idx="46">
                  <c:v>0.53513852298739806</c:v>
                </c:pt>
                <c:pt idx="47">
                  <c:v>0.52931984467000681</c:v>
                </c:pt>
                <c:pt idx="48">
                  <c:v>0.52821089528539145</c:v>
                </c:pt>
                <c:pt idx="49">
                  <c:v>0.54981977506872481</c:v>
                </c:pt>
                <c:pt idx="50">
                  <c:v>0.56990318953789765</c:v>
                </c:pt>
                <c:pt idx="51">
                  <c:v>0.54955869094851217</c:v>
                </c:pt>
                <c:pt idx="52">
                  <c:v>0.55651351493499868</c:v>
                </c:pt>
                <c:pt idx="53">
                  <c:v>0.53766452512126472</c:v>
                </c:pt>
                <c:pt idx="54">
                  <c:v>0.54189911259001478</c:v>
                </c:pt>
                <c:pt idx="55">
                  <c:v>0.52893883965154753</c:v>
                </c:pt>
                <c:pt idx="56">
                  <c:v>0.54709116093934596</c:v>
                </c:pt>
                <c:pt idx="57">
                  <c:v>0.52494085016611758</c:v>
                </c:pt>
                <c:pt idx="58">
                  <c:v>0.53920279610729416</c:v>
                </c:pt>
                <c:pt idx="59">
                  <c:v>0.52627073075651687</c:v>
                </c:pt>
                <c:pt idx="60">
                  <c:v>0.5205723028565169</c:v>
                </c:pt>
                <c:pt idx="61">
                  <c:v>0.50831111036433818</c:v>
                </c:pt>
                <c:pt idx="62">
                  <c:v>0.51187636534306158</c:v>
                </c:pt>
                <c:pt idx="63">
                  <c:v>0.5234485279569302</c:v>
                </c:pt>
                <c:pt idx="64">
                  <c:v>0.51624909925322648</c:v>
                </c:pt>
                <c:pt idx="65">
                  <c:v>0.51813087935322655</c:v>
                </c:pt>
                <c:pt idx="66">
                  <c:v>0.50693201306208735</c:v>
                </c:pt>
                <c:pt idx="67">
                  <c:v>0.52019334787906835</c:v>
                </c:pt>
                <c:pt idx="68">
                  <c:v>0.52371243436767601</c:v>
                </c:pt>
                <c:pt idx="69">
                  <c:v>0.51162428340281119</c:v>
                </c:pt>
                <c:pt idx="70">
                  <c:v>0.50092688828852538</c:v>
                </c:pt>
                <c:pt idx="71">
                  <c:v>0.51426067917807772</c:v>
                </c:pt>
                <c:pt idx="72">
                  <c:v>0.50000894252423156</c:v>
                </c:pt>
                <c:pt idx="73">
                  <c:v>0.51257398280291999</c:v>
                </c:pt>
                <c:pt idx="74">
                  <c:v>0.52729621018126116</c:v>
                </c:pt>
                <c:pt idx="75">
                  <c:v>0.52627319034858788</c:v>
                </c:pt>
                <c:pt idx="76">
                  <c:v>0.52165072213040597</c:v>
                </c:pt>
                <c:pt idx="77">
                  <c:v>0.52639462973814077</c:v>
                </c:pt>
                <c:pt idx="78">
                  <c:v>0.53042507082174739</c:v>
                </c:pt>
                <c:pt idx="79">
                  <c:v>0.55602385921950503</c:v>
                </c:pt>
                <c:pt idx="80">
                  <c:v>0.57343598458314149</c:v>
                </c:pt>
                <c:pt idx="81">
                  <c:v>0.55489713403104068</c:v>
                </c:pt>
                <c:pt idx="82">
                  <c:v>0.55118138729029986</c:v>
                </c:pt>
                <c:pt idx="83">
                  <c:v>0.5499954330033433</c:v>
                </c:pt>
                <c:pt idx="84">
                  <c:v>0.55564606346845968</c:v>
                </c:pt>
                <c:pt idx="85">
                  <c:v>0.57121350835314433</c:v>
                </c:pt>
                <c:pt idx="86">
                  <c:v>0.54892729428667042</c:v>
                </c:pt>
                <c:pt idx="87">
                  <c:v>0.53704817878667033</c:v>
                </c:pt>
                <c:pt idx="88">
                  <c:v>0.53092496066006079</c:v>
                </c:pt>
                <c:pt idx="89">
                  <c:v>0.52440238103215397</c:v>
                </c:pt>
                <c:pt idx="90">
                  <c:v>0.52609318983715392</c:v>
                </c:pt>
                <c:pt idx="91">
                  <c:v>0.51784989330150166</c:v>
                </c:pt>
                <c:pt idx="92">
                  <c:v>0.50894332658917285</c:v>
                </c:pt>
                <c:pt idx="93">
                  <c:v>0.54201163238480699</c:v>
                </c:pt>
                <c:pt idx="94">
                  <c:v>0.56325422955946758</c:v>
                </c:pt>
                <c:pt idx="95">
                  <c:v>0.55078184597068247</c:v>
                </c:pt>
                <c:pt idx="96">
                  <c:v>0.55884162619278788</c:v>
                </c:pt>
                <c:pt idx="97">
                  <c:v>0.54622140936579411</c:v>
                </c:pt>
                <c:pt idx="98">
                  <c:v>0.55503251474814708</c:v>
                </c:pt>
                <c:pt idx="99">
                  <c:v>0.5685732357510882</c:v>
                </c:pt>
                <c:pt idx="100">
                  <c:v>0.55070531379986865</c:v>
                </c:pt>
                <c:pt idx="101">
                  <c:v>0.54434190407764638</c:v>
                </c:pt>
                <c:pt idx="102">
                  <c:v>0.54233783632081189</c:v>
                </c:pt>
                <c:pt idx="103">
                  <c:v>0.54576716388716706</c:v>
                </c:pt>
                <c:pt idx="104">
                  <c:v>0.53987078454203441</c:v>
                </c:pt>
                <c:pt idx="105">
                  <c:v>0.54800256904203437</c:v>
                </c:pt>
                <c:pt idx="106">
                  <c:v>0.52964302744767955</c:v>
                </c:pt>
                <c:pt idx="107">
                  <c:v>0.52065229868737994</c:v>
                </c:pt>
                <c:pt idx="108">
                  <c:v>0.51652102756397567</c:v>
                </c:pt>
                <c:pt idx="109">
                  <c:v>0.51976357385600025</c:v>
                </c:pt>
                <c:pt idx="110">
                  <c:v>0.53832686009975017</c:v>
                </c:pt>
                <c:pt idx="111">
                  <c:v>0.54059651642087692</c:v>
                </c:pt>
                <c:pt idx="112">
                  <c:v>0.55605537185330933</c:v>
                </c:pt>
                <c:pt idx="113">
                  <c:v>0.55252307148234159</c:v>
                </c:pt>
                <c:pt idx="114">
                  <c:v>0.5453754846525638</c:v>
                </c:pt>
                <c:pt idx="115">
                  <c:v>0.53256222780480256</c:v>
                </c:pt>
                <c:pt idx="116">
                  <c:v>0.52483794922258042</c:v>
                </c:pt>
                <c:pt idx="117">
                  <c:v>0.53260420672258035</c:v>
                </c:pt>
                <c:pt idx="118">
                  <c:v>0.53823412055236775</c:v>
                </c:pt>
                <c:pt idx="119">
                  <c:v>0.50316916476755746</c:v>
                </c:pt>
                <c:pt idx="120">
                  <c:v>0.49233130433770678</c:v>
                </c:pt>
                <c:pt idx="121">
                  <c:v>0.5064010207448133</c:v>
                </c:pt>
                <c:pt idx="122">
                  <c:v>0.53697345530972551</c:v>
                </c:pt>
                <c:pt idx="123">
                  <c:v>0.6174476575465957</c:v>
                </c:pt>
                <c:pt idx="124">
                  <c:v>0.51843501953715054</c:v>
                </c:pt>
                <c:pt idx="125">
                  <c:v>0.52010273880439195</c:v>
                </c:pt>
                <c:pt idx="126">
                  <c:v>0.5248541939330047</c:v>
                </c:pt>
                <c:pt idx="127">
                  <c:v>0.52004612449550458</c:v>
                </c:pt>
                <c:pt idx="128">
                  <c:v>0.49231765293856516</c:v>
                </c:pt>
                <c:pt idx="129">
                  <c:v>0.51305686687089147</c:v>
                </c:pt>
                <c:pt idx="130">
                  <c:v>0.52047641970422476</c:v>
                </c:pt>
                <c:pt idx="131">
                  <c:v>0.52439939068857255</c:v>
                </c:pt>
                <c:pt idx="132">
                  <c:v>0.5251267362374098</c:v>
                </c:pt>
                <c:pt idx="133">
                  <c:v>0.54678257021740984</c:v>
                </c:pt>
                <c:pt idx="134">
                  <c:v>0.55248955916157649</c:v>
                </c:pt>
                <c:pt idx="135">
                  <c:v>0.51467961236157644</c:v>
                </c:pt>
                <c:pt idx="136">
                  <c:v>0.48470886714307931</c:v>
                </c:pt>
                <c:pt idx="137">
                  <c:v>0.48564242951621367</c:v>
                </c:pt>
                <c:pt idx="138">
                  <c:v>0.47468770401432692</c:v>
                </c:pt>
                <c:pt idx="139">
                  <c:v>0.48088381742623165</c:v>
                </c:pt>
                <c:pt idx="140">
                  <c:v>0.49030885615350439</c:v>
                </c:pt>
                <c:pt idx="141">
                  <c:v>0.50355726351984109</c:v>
                </c:pt>
                <c:pt idx="142">
                  <c:v>0.50394258866777497</c:v>
                </c:pt>
                <c:pt idx="143">
                  <c:v>0.52143440296719878</c:v>
                </c:pt>
                <c:pt idx="144">
                  <c:v>0.53409259106719875</c:v>
                </c:pt>
                <c:pt idx="145">
                  <c:v>0.51948581228719881</c:v>
                </c:pt>
                <c:pt idx="146">
                  <c:v>0.52900249778719877</c:v>
                </c:pt>
                <c:pt idx="147">
                  <c:v>0.57657151441064702</c:v>
                </c:pt>
                <c:pt idx="148">
                  <c:v>0.58749156333681285</c:v>
                </c:pt>
                <c:pt idx="149">
                  <c:v>0.54067569796343629</c:v>
                </c:pt>
                <c:pt idx="150">
                  <c:v>0.50716444825656815</c:v>
                </c:pt>
                <c:pt idx="151">
                  <c:v>0.50798579749825357</c:v>
                </c:pt>
                <c:pt idx="152">
                  <c:v>0.5106368155295693</c:v>
                </c:pt>
                <c:pt idx="153">
                  <c:v>0.51748721007650822</c:v>
                </c:pt>
                <c:pt idx="154">
                  <c:v>0.49952410357300125</c:v>
                </c:pt>
                <c:pt idx="155">
                  <c:v>0.51125773607451497</c:v>
                </c:pt>
                <c:pt idx="156">
                  <c:v>0.50079054351073471</c:v>
                </c:pt>
                <c:pt idx="157">
                  <c:v>0.5205921459811732</c:v>
                </c:pt>
                <c:pt idx="158">
                  <c:v>0.52765562181123637</c:v>
                </c:pt>
                <c:pt idx="159">
                  <c:v>0.52463006644151411</c:v>
                </c:pt>
                <c:pt idx="160">
                  <c:v>0.54632803006062336</c:v>
                </c:pt>
                <c:pt idx="161">
                  <c:v>0.53072882169776714</c:v>
                </c:pt>
                <c:pt idx="162">
                  <c:v>0.5029400206396597</c:v>
                </c:pt>
                <c:pt idx="163">
                  <c:v>0.50473535509080125</c:v>
                </c:pt>
                <c:pt idx="164">
                  <c:v>0.53270290820611077</c:v>
                </c:pt>
                <c:pt idx="165">
                  <c:v>0.5588686804682742</c:v>
                </c:pt>
                <c:pt idx="166">
                  <c:v>0.54063184618905535</c:v>
                </c:pt>
                <c:pt idx="167">
                  <c:v>0.52993179540525603</c:v>
                </c:pt>
                <c:pt idx="168">
                  <c:v>0.50742523564430364</c:v>
                </c:pt>
                <c:pt idx="169">
                  <c:v>0.51281052506636493</c:v>
                </c:pt>
                <c:pt idx="170">
                  <c:v>0.53387073344255531</c:v>
                </c:pt>
                <c:pt idx="171">
                  <c:v>0.55018308826201801</c:v>
                </c:pt>
                <c:pt idx="172">
                  <c:v>0.52799325417411092</c:v>
                </c:pt>
                <c:pt idx="173">
                  <c:v>0.53885353760928889</c:v>
                </c:pt>
                <c:pt idx="174">
                  <c:v>0.51630969407553895</c:v>
                </c:pt>
                <c:pt idx="175">
                  <c:v>0.50696551682086088</c:v>
                </c:pt>
                <c:pt idx="176">
                  <c:v>0.47111171666860646</c:v>
                </c:pt>
                <c:pt idx="177">
                  <c:v>0.44522720233913282</c:v>
                </c:pt>
                <c:pt idx="178">
                  <c:v>0.45551373051603256</c:v>
                </c:pt>
                <c:pt idx="179">
                  <c:v>0.4511759092504119</c:v>
                </c:pt>
                <c:pt idx="180">
                  <c:v>0.46739221395812997</c:v>
                </c:pt>
                <c:pt idx="181">
                  <c:v>0.44846864288873844</c:v>
                </c:pt>
                <c:pt idx="182">
                  <c:v>0.41865847061750866</c:v>
                </c:pt>
                <c:pt idx="183">
                  <c:v>0.40686385737160735</c:v>
                </c:pt>
                <c:pt idx="184">
                  <c:v>0.40358643829229363</c:v>
                </c:pt>
                <c:pt idx="185">
                  <c:v>0.39005528016696028</c:v>
                </c:pt>
                <c:pt idx="186">
                  <c:v>0.41922604201235414</c:v>
                </c:pt>
                <c:pt idx="187">
                  <c:v>0.40589110820874952</c:v>
                </c:pt>
                <c:pt idx="188">
                  <c:v>0.41835784292760658</c:v>
                </c:pt>
                <c:pt idx="189">
                  <c:v>0.39525602198526993</c:v>
                </c:pt>
                <c:pt idx="190">
                  <c:v>0.36713480136357424</c:v>
                </c:pt>
                <c:pt idx="191">
                  <c:v>0.33408212680726967</c:v>
                </c:pt>
                <c:pt idx="192">
                  <c:v>0.36019763494158441</c:v>
                </c:pt>
                <c:pt idx="193">
                  <c:v>0.3754036399386052</c:v>
                </c:pt>
                <c:pt idx="194">
                  <c:v>0.38886751658531854</c:v>
                </c:pt>
                <c:pt idx="195">
                  <c:v>0.40196022230698525</c:v>
                </c:pt>
                <c:pt idx="196">
                  <c:v>0.41456755546256191</c:v>
                </c:pt>
                <c:pt idx="197">
                  <c:v>0.43619085966136845</c:v>
                </c:pt>
                <c:pt idx="198">
                  <c:v>0.42287469820673901</c:v>
                </c:pt>
                <c:pt idx="199">
                  <c:v>0.43747573487442748</c:v>
                </c:pt>
                <c:pt idx="200">
                  <c:v>0.45061558458940743</c:v>
                </c:pt>
                <c:pt idx="201">
                  <c:v>0.44418096854332678</c:v>
                </c:pt>
                <c:pt idx="202">
                  <c:v>0.45295488750858548</c:v>
                </c:pt>
                <c:pt idx="203">
                  <c:v>0.44622710416547956</c:v>
                </c:pt>
                <c:pt idx="204">
                  <c:v>0.46589842469066467</c:v>
                </c:pt>
                <c:pt idx="205">
                  <c:v>0.47615819237505003</c:v>
                </c:pt>
                <c:pt idx="206">
                  <c:v>0.44872935485939625</c:v>
                </c:pt>
                <c:pt idx="207">
                  <c:v>0.44564547244947256</c:v>
                </c:pt>
                <c:pt idx="208">
                  <c:v>0.43128973838352008</c:v>
                </c:pt>
                <c:pt idx="209">
                  <c:v>0.41348231601063878</c:v>
                </c:pt>
                <c:pt idx="210">
                  <c:v>0.39798392792730541</c:v>
                </c:pt>
                <c:pt idx="211">
                  <c:v>0.4137285686969614</c:v>
                </c:pt>
                <c:pt idx="212">
                  <c:v>0.38826739675895217</c:v>
                </c:pt>
                <c:pt idx="213">
                  <c:v>0.38013564409430201</c:v>
                </c:pt>
                <c:pt idx="214">
                  <c:v>0.37289594303145379</c:v>
                </c:pt>
                <c:pt idx="215">
                  <c:v>0.3544987486421815</c:v>
                </c:pt>
                <c:pt idx="216">
                  <c:v>0.34418067099650906</c:v>
                </c:pt>
                <c:pt idx="217">
                  <c:v>0.37324994760635055</c:v>
                </c:pt>
                <c:pt idx="218">
                  <c:v>0.36054505337268228</c:v>
                </c:pt>
                <c:pt idx="219">
                  <c:v>0.34183492419848521</c:v>
                </c:pt>
                <c:pt idx="220">
                  <c:v>0.30741820597746999</c:v>
                </c:pt>
                <c:pt idx="221">
                  <c:v>0.35412775436802135</c:v>
                </c:pt>
                <c:pt idx="222">
                  <c:v>0.33646119880140463</c:v>
                </c:pt>
                <c:pt idx="223">
                  <c:v>0.35373300068199287</c:v>
                </c:pt>
                <c:pt idx="224">
                  <c:v>0.36212267859272101</c:v>
                </c:pt>
                <c:pt idx="225">
                  <c:v>0.36189734728255191</c:v>
                </c:pt>
                <c:pt idx="226">
                  <c:v>0.37548207554619967</c:v>
                </c:pt>
                <c:pt idx="227">
                  <c:v>0.38478463633811832</c:v>
                </c:pt>
                <c:pt idx="228">
                  <c:v>0.36392768241211132</c:v>
                </c:pt>
                <c:pt idx="229">
                  <c:v>0.35068161187109187</c:v>
                </c:pt>
                <c:pt idx="230">
                  <c:v>0.34718143125442519</c:v>
                </c:pt>
                <c:pt idx="231">
                  <c:v>0.36204285147664012</c:v>
                </c:pt>
                <c:pt idx="232">
                  <c:v>0.37575045487744013</c:v>
                </c:pt>
                <c:pt idx="233">
                  <c:v>0.33427424908341974</c:v>
                </c:pt>
                <c:pt idx="234">
                  <c:v>0.31703904298711921</c:v>
                </c:pt>
                <c:pt idx="235">
                  <c:v>0.34738731325808864</c:v>
                </c:pt>
                <c:pt idx="236">
                  <c:v>0.34791848232511557</c:v>
                </c:pt>
                <c:pt idx="237">
                  <c:v>0.36319020016303705</c:v>
                </c:pt>
                <c:pt idx="238">
                  <c:v>0.3724878689718964</c:v>
                </c:pt>
                <c:pt idx="239">
                  <c:v>0.35629351268634302</c:v>
                </c:pt>
                <c:pt idx="240">
                  <c:v>0.35456402491384703</c:v>
                </c:pt>
                <c:pt idx="241">
                  <c:v>0.35165012802356266</c:v>
                </c:pt>
                <c:pt idx="242">
                  <c:v>0.28132548243831995</c:v>
                </c:pt>
                <c:pt idx="243">
                  <c:v>0.24627750806982152</c:v>
                </c:pt>
                <c:pt idx="244">
                  <c:v>0.2775847317412406</c:v>
                </c:pt>
                <c:pt idx="245">
                  <c:v>0.32032181732869047</c:v>
                </c:pt>
                <c:pt idx="246">
                  <c:v>0.30433455558257855</c:v>
                </c:pt>
                <c:pt idx="247">
                  <c:v>0.23813945371927725</c:v>
                </c:pt>
                <c:pt idx="248">
                  <c:v>0.19829108721525018</c:v>
                </c:pt>
                <c:pt idx="249">
                  <c:v>9.9637799236166447E-2</c:v>
                </c:pt>
                <c:pt idx="250">
                  <c:v>0.11193186324829932</c:v>
                </c:pt>
                <c:pt idx="251">
                  <c:v>0.11586626667031245</c:v>
                </c:pt>
                <c:pt idx="252">
                  <c:v>0.13827845137359759</c:v>
                </c:pt>
                <c:pt idx="253">
                  <c:v>0.10139466509777996</c:v>
                </c:pt>
                <c:pt idx="254">
                  <c:v>0.13648833565428151</c:v>
                </c:pt>
                <c:pt idx="255">
                  <c:v>0.13186034835653535</c:v>
                </c:pt>
                <c:pt idx="256">
                  <c:v>0.14749654251907687</c:v>
                </c:pt>
                <c:pt idx="257">
                  <c:v>0.15173729770789757</c:v>
                </c:pt>
                <c:pt idx="258">
                  <c:v>0.18505768940324621</c:v>
                </c:pt>
                <c:pt idx="259">
                  <c:v>0.16508030491383943</c:v>
                </c:pt>
                <c:pt idx="260">
                  <c:v>0.16115313363562525</c:v>
                </c:pt>
                <c:pt idx="261">
                  <c:v>0.22060823884113545</c:v>
                </c:pt>
                <c:pt idx="262">
                  <c:v>0.19390507647756305</c:v>
                </c:pt>
                <c:pt idx="263">
                  <c:v>0.20426289543964918</c:v>
                </c:pt>
                <c:pt idx="264">
                  <c:v>0.20354395047089074</c:v>
                </c:pt>
                <c:pt idx="265">
                  <c:v>0.19058376625363616</c:v>
                </c:pt>
                <c:pt idx="266">
                  <c:v>0.19276450060784925</c:v>
                </c:pt>
                <c:pt idx="267">
                  <c:v>0.22522010162754613</c:v>
                </c:pt>
                <c:pt idx="268">
                  <c:v>0.25588374100984107</c:v>
                </c:pt>
                <c:pt idx="269">
                  <c:v>0.22616719994806267</c:v>
                </c:pt>
                <c:pt idx="270">
                  <c:v>0.24712335703828375</c:v>
                </c:pt>
                <c:pt idx="271">
                  <c:v>0.21936790188618777</c:v>
                </c:pt>
                <c:pt idx="272">
                  <c:v>0.21635070740001042</c:v>
                </c:pt>
                <c:pt idx="273">
                  <c:v>0.20151338388239434</c:v>
                </c:pt>
                <c:pt idx="274">
                  <c:v>0.21636189250656962</c:v>
                </c:pt>
                <c:pt idx="275">
                  <c:v>0.14627796555636102</c:v>
                </c:pt>
                <c:pt idx="276">
                  <c:v>0.12473677838801001</c:v>
                </c:pt>
                <c:pt idx="277">
                  <c:v>7.9890508918656331E-2</c:v>
                </c:pt>
                <c:pt idx="278">
                  <c:v>4.2980636444223265E-2</c:v>
                </c:pt>
                <c:pt idx="279">
                  <c:v>6.7359313599787168E-2</c:v>
                </c:pt>
                <c:pt idx="280">
                  <c:v>4.3121715949694731E-2</c:v>
                </c:pt>
                <c:pt idx="281">
                  <c:v>0.10684763594806819</c:v>
                </c:pt>
                <c:pt idx="282">
                  <c:v>0.10965950122105626</c:v>
                </c:pt>
                <c:pt idx="283">
                  <c:v>7.8897972705029712E-2</c:v>
                </c:pt>
                <c:pt idx="284">
                  <c:v>6.9995634872282456E-2</c:v>
                </c:pt>
                <c:pt idx="285">
                  <c:v>6.0377411339212657E-2</c:v>
                </c:pt>
                <c:pt idx="286">
                  <c:v>8.5561316626074455E-2</c:v>
                </c:pt>
                <c:pt idx="287">
                  <c:v>8.4696678055224767E-2</c:v>
                </c:pt>
                <c:pt idx="288">
                  <c:v>8.0511866484771585E-2</c:v>
                </c:pt>
                <c:pt idx="289">
                  <c:v>5.6037729310165263E-2</c:v>
                </c:pt>
                <c:pt idx="290">
                  <c:v>5.7483294458084214E-2</c:v>
                </c:pt>
                <c:pt idx="291">
                  <c:v>-1.1495663704290273E-2</c:v>
                </c:pt>
                <c:pt idx="292">
                  <c:v>-1.0751789331363606E-2</c:v>
                </c:pt>
                <c:pt idx="293">
                  <c:v>-4.3571229116853424E-3</c:v>
                </c:pt>
                <c:pt idx="294">
                  <c:v>4.7761025576385152E-3</c:v>
                </c:pt>
                <c:pt idx="295">
                  <c:v>-9.9851766465206063E-3</c:v>
                </c:pt>
                <c:pt idx="296">
                  <c:v>5.8706098874084381E-3</c:v>
                </c:pt>
                <c:pt idx="297">
                  <c:v>5.8936092970328161E-3</c:v>
                </c:pt>
                <c:pt idx="298">
                  <c:v>-3.7039474354412429E-3</c:v>
                </c:pt>
                <c:pt idx="299">
                  <c:v>-1.3137007171433037E-2</c:v>
                </c:pt>
                <c:pt idx="300">
                  <c:v>2.801095025411969E-2</c:v>
                </c:pt>
                <c:pt idx="301">
                  <c:v>7.2412638600816157E-3</c:v>
                </c:pt>
                <c:pt idx="302">
                  <c:v>2.2611829797331985E-2</c:v>
                </c:pt>
                <c:pt idx="303">
                  <c:v>1.8338592766175995E-2</c:v>
                </c:pt>
                <c:pt idx="304">
                  <c:v>2.9977712218212813E-2</c:v>
                </c:pt>
                <c:pt idx="305">
                  <c:v>1.5508881302972928E-2</c:v>
                </c:pt>
                <c:pt idx="306">
                  <c:v>2.2199243247800472E-2</c:v>
                </c:pt>
                <c:pt idx="307">
                  <c:v>3.4915972133100465E-2</c:v>
                </c:pt>
                <c:pt idx="308">
                  <c:v>5.9188526549105438E-3</c:v>
                </c:pt>
                <c:pt idx="309">
                  <c:v>1.8396807045533904E-2</c:v>
                </c:pt>
                <c:pt idx="310">
                  <c:v>5.0367125512786833E-2</c:v>
                </c:pt>
                <c:pt idx="311">
                  <c:v>0.11188552373064949</c:v>
                </c:pt>
                <c:pt idx="312">
                  <c:v>0.13814696587737432</c:v>
                </c:pt>
                <c:pt idx="313">
                  <c:v>0.12728893420804088</c:v>
                </c:pt>
                <c:pt idx="314">
                  <c:v>0.16310669159399815</c:v>
                </c:pt>
                <c:pt idx="315">
                  <c:v>0.14201993297340582</c:v>
                </c:pt>
                <c:pt idx="316">
                  <c:v>0.1543753725742964</c:v>
                </c:pt>
                <c:pt idx="317">
                  <c:v>0.13130208317235464</c:v>
                </c:pt>
                <c:pt idx="318">
                  <c:v>0.10720886831210373</c:v>
                </c:pt>
                <c:pt idx="319">
                  <c:v>0.12767591032752368</c:v>
                </c:pt>
                <c:pt idx="320">
                  <c:v>0.1534858087560462</c:v>
                </c:pt>
                <c:pt idx="321">
                  <c:v>0.13903816886668743</c:v>
                </c:pt>
                <c:pt idx="322">
                  <c:v>0.1319087347647174</c:v>
                </c:pt>
                <c:pt idx="323">
                  <c:v>0.12288442950178599</c:v>
                </c:pt>
                <c:pt idx="324">
                  <c:v>0.14750044024447792</c:v>
                </c:pt>
                <c:pt idx="325">
                  <c:v>0.17358301124729394</c:v>
                </c:pt>
                <c:pt idx="326">
                  <c:v>0.18480251757779412</c:v>
                </c:pt>
                <c:pt idx="327">
                  <c:v>0.11467271306302916</c:v>
                </c:pt>
                <c:pt idx="328">
                  <c:v>9.9302244556099248E-2</c:v>
                </c:pt>
                <c:pt idx="329">
                  <c:v>5.1535138340982355E-2</c:v>
                </c:pt>
                <c:pt idx="330">
                  <c:v>1.0310878469108503E-2</c:v>
                </c:pt>
                <c:pt idx="331">
                  <c:v>5.1929827321726477E-2</c:v>
                </c:pt>
                <c:pt idx="332">
                  <c:v>7.2607354715666886E-2</c:v>
                </c:pt>
                <c:pt idx="333">
                  <c:v>2.7701029460334609E-2</c:v>
                </c:pt>
                <c:pt idx="334">
                  <c:v>3.0397310690588882E-2</c:v>
                </c:pt>
                <c:pt idx="335">
                  <c:v>3.1594620875857057E-2</c:v>
                </c:pt>
                <c:pt idx="336">
                  <c:v>3.131543220465012E-2</c:v>
                </c:pt>
                <c:pt idx="337">
                  <c:v>7.7269641341108156E-2</c:v>
                </c:pt>
                <c:pt idx="338">
                  <c:v>7.6028779505254107E-2</c:v>
                </c:pt>
                <c:pt idx="339">
                  <c:v>1.2889076959932204E-2</c:v>
                </c:pt>
                <c:pt idx="340">
                  <c:v>-6.0091852935321551E-2</c:v>
                </c:pt>
                <c:pt idx="341">
                  <c:v>4.2985574311198852E-3</c:v>
                </c:pt>
                <c:pt idx="342">
                  <c:v>-8.4039216855800986E-2</c:v>
                </c:pt>
                <c:pt idx="343">
                  <c:v>-6.2929272847924489E-2</c:v>
                </c:pt>
                <c:pt idx="344">
                  <c:v>-5.1161016671913563E-2</c:v>
                </c:pt>
                <c:pt idx="345">
                  <c:v>-7.9541983426137233E-2</c:v>
                </c:pt>
                <c:pt idx="346">
                  <c:v>-8.4741080677474143E-2</c:v>
                </c:pt>
                <c:pt idx="347">
                  <c:v>-0.10593108421640726</c:v>
                </c:pt>
                <c:pt idx="348">
                  <c:v>-8.3431342395646049E-2</c:v>
                </c:pt>
                <c:pt idx="349">
                  <c:v>-5.8995913001839491E-2</c:v>
                </c:pt>
                <c:pt idx="350">
                  <c:v>-6.3157406806541846E-2</c:v>
                </c:pt>
                <c:pt idx="351">
                  <c:v>-7.9232090587377221E-2</c:v>
                </c:pt>
                <c:pt idx="352">
                  <c:v>-7.6051379321240037E-2</c:v>
                </c:pt>
                <c:pt idx="353">
                  <c:v>-8.894831848959095E-2</c:v>
                </c:pt>
                <c:pt idx="354">
                  <c:v>-9.8967728977270242E-2</c:v>
                </c:pt>
                <c:pt idx="355">
                  <c:v>-0.11087263688476082</c:v>
                </c:pt>
                <c:pt idx="356">
                  <c:v>-6.0047731437800303E-2</c:v>
                </c:pt>
                <c:pt idx="357">
                  <c:v>-6.3802840424178386E-2</c:v>
                </c:pt>
                <c:pt idx="358">
                  <c:v>-4.6927873187392548E-2</c:v>
                </c:pt>
                <c:pt idx="359">
                  <c:v>-5.4288305013230169E-2</c:v>
                </c:pt>
                <c:pt idx="360">
                  <c:v>-3.0133771847906408E-2</c:v>
                </c:pt>
                <c:pt idx="361">
                  <c:v>-0.13388819149576484</c:v>
                </c:pt>
                <c:pt idx="362">
                  <c:v>-8.9898975877807652E-3</c:v>
                </c:pt>
                <c:pt idx="363">
                  <c:v>-0.13690060272633267</c:v>
                </c:pt>
                <c:pt idx="364">
                  <c:v>-0.24575232142949044</c:v>
                </c:pt>
                <c:pt idx="365">
                  <c:v>-0.19287632049408568</c:v>
                </c:pt>
                <c:pt idx="366">
                  <c:v>-0.27351203962299331</c:v>
                </c:pt>
                <c:pt idx="367">
                  <c:v>-0.41466358657155461</c:v>
                </c:pt>
                <c:pt idx="368">
                  <c:v>-0.3403869441802897</c:v>
                </c:pt>
                <c:pt idx="369">
                  <c:v>-0.44739717315184957</c:v>
                </c:pt>
                <c:pt idx="370">
                  <c:v>-0.48129641038331356</c:v>
                </c:pt>
                <c:pt idx="371">
                  <c:v>-0.53127093789064306</c:v>
                </c:pt>
                <c:pt idx="372">
                  <c:v>-0.47096701818675329</c:v>
                </c:pt>
                <c:pt idx="373">
                  <c:v>-0.55628629427502407</c:v>
                </c:pt>
                <c:pt idx="374">
                  <c:v>-0.48305388276498812</c:v>
                </c:pt>
                <c:pt idx="375">
                  <c:v>-0.49606442767692732</c:v>
                </c:pt>
                <c:pt idx="376">
                  <c:v>-0.51407731415278701</c:v>
                </c:pt>
                <c:pt idx="377">
                  <c:v>-0.5301614338845152</c:v>
                </c:pt>
                <c:pt idx="378">
                  <c:v>-0.66396738090908558</c:v>
                </c:pt>
                <c:pt idx="379">
                  <c:v>-0.73094276470999897</c:v>
                </c:pt>
                <c:pt idx="380">
                  <c:v>-0.79260362066473877</c:v>
                </c:pt>
                <c:pt idx="381">
                  <c:v>-0.83012552275983198</c:v>
                </c:pt>
                <c:pt idx="382">
                  <c:v>-0.83896194485430853</c:v>
                </c:pt>
                <c:pt idx="383">
                  <c:v>-0.82710041188845318</c:v>
                </c:pt>
                <c:pt idx="384">
                  <c:v>-0.86472399311502057</c:v>
                </c:pt>
                <c:pt idx="385">
                  <c:v>-0.86234583453074798</c:v>
                </c:pt>
                <c:pt idx="386">
                  <c:v>-0.82771660601867914</c:v>
                </c:pt>
                <c:pt idx="387">
                  <c:v>-0.86096629296700156</c:v>
                </c:pt>
                <c:pt idx="388">
                  <c:v>-0.93413407473419352</c:v>
                </c:pt>
                <c:pt idx="389">
                  <c:v>-0.90669113716204242</c:v>
                </c:pt>
                <c:pt idx="390">
                  <c:v>-1.0250692281393001</c:v>
                </c:pt>
                <c:pt idx="391">
                  <c:v>-1.032095245669411</c:v>
                </c:pt>
                <c:pt idx="392">
                  <c:v>-0.95806866892464115</c:v>
                </c:pt>
                <c:pt idx="393">
                  <c:v>-1.1330274750603944</c:v>
                </c:pt>
                <c:pt idx="394">
                  <c:v>-1.1822714420832825</c:v>
                </c:pt>
                <c:pt idx="395">
                  <c:v>-1.1824084954421819</c:v>
                </c:pt>
                <c:pt idx="396">
                  <c:v>-1.1652873985957268</c:v>
                </c:pt>
                <c:pt idx="397">
                  <c:v>-1.17195943727193</c:v>
                </c:pt>
                <c:pt idx="398">
                  <c:v>-1.1426278538668271</c:v>
                </c:pt>
                <c:pt idx="399">
                  <c:v>-1.1425735129606345</c:v>
                </c:pt>
                <c:pt idx="400">
                  <c:v>-1.2042564518955521</c:v>
                </c:pt>
                <c:pt idx="401">
                  <c:v>-1.1847318850181832</c:v>
                </c:pt>
                <c:pt idx="402">
                  <c:v>-1.2666711802085411</c:v>
                </c:pt>
                <c:pt idx="403">
                  <c:v>-1.2115129047393089</c:v>
                </c:pt>
                <c:pt idx="404">
                  <c:v>-1.1670802316915594</c:v>
                </c:pt>
                <c:pt idx="405">
                  <c:v>-1.1823168752767117</c:v>
                </c:pt>
                <c:pt idx="406">
                  <c:v>-1.2118745789534278</c:v>
                </c:pt>
                <c:pt idx="407">
                  <c:v>-1.1992415045448241</c:v>
                </c:pt>
                <c:pt idx="408">
                  <c:v>-1.2582114930010553</c:v>
                </c:pt>
                <c:pt idx="409">
                  <c:v>-1.219269294006899</c:v>
                </c:pt>
                <c:pt idx="410">
                  <c:v>-1.2442025765142226</c:v>
                </c:pt>
                <c:pt idx="411">
                  <c:v>-1.2719246375299584</c:v>
                </c:pt>
                <c:pt idx="412">
                  <c:v>-1.2908453375307833</c:v>
                </c:pt>
                <c:pt idx="413">
                  <c:v>-1.2557088722452052</c:v>
                </c:pt>
                <c:pt idx="414">
                  <c:v>-1.24164049905313</c:v>
                </c:pt>
                <c:pt idx="415">
                  <c:v>-1.286672454250076</c:v>
                </c:pt>
                <c:pt idx="416">
                  <c:v>-1.2208778232681639</c:v>
                </c:pt>
                <c:pt idx="417">
                  <c:v>-1.2344990196178336</c:v>
                </c:pt>
                <c:pt idx="418">
                  <c:v>-1.234511584485515</c:v>
                </c:pt>
                <c:pt idx="419">
                  <c:v>-1.2689426207651999</c:v>
                </c:pt>
                <c:pt idx="420">
                  <c:v>-1.225844020573873</c:v>
                </c:pt>
                <c:pt idx="421">
                  <c:v>-1.2083166140726682</c:v>
                </c:pt>
                <c:pt idx="422">
                  <c:v>-1.2720576503629848</c:v>
                </c:pt>
                <c:pt idx="423">
                  <c:v>-1.2274014003846048</c:v>
                </c:pt>
                <c:pt idx="424">
                  <c:v>-1.2930752202253215</c:v>
                </c:pt>
                <c:pt idx="425">
                  <c:v>-1.3314110426360761</c:v>
                </c:pt>
                <c:pt idx="426">
                  <c:v>-1.3586250675014289</c:v>
                </c:pt>
                <c:pt idx="427">
                  <c:v>-1.3397250494281596</c:v>
                </c:pt>
                <c:pt idx="428">
                  <c:v>-1.3375653224321093</c:v>
                </c:pt>
                <c:pt idx="429">
                  <c:v>-1.279010410716573</c:v>
                </c:pt>
                <c:pt idx="430">
                  <c:v>-1.184247144438497</c:v>
                </c:pt>
                <c:pt idx="431">
                  <c:v>-1.319807457535487</c:v>
                </c:pt>
                <c:pt idx="432">
                  <c:v>-1.3186210309486581</c:v>
                </c:pt>
                <c:pt idx="433">
                  <c:v>-1.3826566615849178</c:v>
                </c:pt>
                <c:pt idx="434">
                  <c:v>-1.3596761642983155</c:v>
                </c:pt>
                <c:pt idx="435">
                  <c:v>-1.4653176358441213</c:v>
                </c:pt>
                <c:pt idx="436">
                  <c:v>-1.4121117282225977</c:v>
                </c:pt>
                <c:pt idx="437">
                  <c:v>-1.5363250470517016</c:v>
                </c:pt>
                <c:pt idx="438">
                  <c:v>-1.4046721074644213</c:v>
                </c:pt>
                <c:pt idx="439">
                  <c:v>-1.3406827658076383</c:v>
                </c:pt>
                <c:pt idx="440">
                  <c:v>-1.4158133110852824</c:v>
                </c:pt>
                <c:pt idx="441">
                  <c:v>-1.6000574907240208</c:v>
                </c:pt>
                <c:pt idx="442">
                  <c:v>-1.5819862478437328</c:v>
                </c:pt>
                <c:pt idx="443">
                  <c:v>-1.4973403550306514</c:v>
                </c:pt>
                <c:pt idx="444">
                  <c:v>-1.6037186739953719</c:v>
                </c:pt>
                <c:pt idx="445">
                  <c:v>-1.5722167800097793</c:v>
                </c:pt>
                <c:pt idx="446">
                  <c:v>-1.6718498984136883</c:v>
                </c:pt>
                <c:pt idx="447">
                  <c:v>-1.3578764397605809</c:v>
                </c:pt>
                <c:pt idx="448">
                  <c:v>-1.5144008590274811</c:v>
                </c:pt>
                <c:pt idx="449">
                  <c:v>-1.6012467390462004</c:v>
                </c:pt>
                <c:pt idx="450">
                  <c:v>-1.5366772334481276</c:v>
                </c:pt>
                <c:pt idx="451">
                  <c:v>-1.5173060288944038</c:v>
                </c:pt>
                <c:pt idx="452">
                  <c:v>-1.4732471130595142</c:v>
                </c:pt>
                <c:pt idx="453">
                  <c:v>-1.4927721207735747</c:v>
                </c:pt>
                <c:pt idx="454">
                  <c:v>-1.4622263120033787</c:v>
                </c:pt>
                <c:pt idx="455">
                  <c:v>-1.4719713940495838</c:v>
                </c:pt>
                <c:pt idx="456">
                  <c:v>-1.4463599506288805</c:v>
                </c:pt>
                <c:pt idx="457">
                  <c:v>-1.4140162712650786</c:v>
                </c:pt>
                <c:pt idx="458">
                  <c:v>-1.4163602258812076</c:v>
                </c:pt>
                <c:pt idx="459">
                  <c:v>-1.4213349787569616</c:v>
                </c:pt>
                <c:pt idx="460">
                  <c:v>-1.3962266573638784</c:v>
                </c:pt>
                <c:pt idx="461">
                  <c:v>-1.3675673843243346</c:v>
                </c:pt>
                <c:pt idx="462">
                  <c:v>-1.3508110417761492</c:v>
                </c:pt>
                <c:pt idx="463">
                  <c:v>-1.3552139987935292</c:v>
                </c:pt>
                <c:pt idx="464">
                  <c:v>-1.3345515258435494</c:v>
                </c:pt>
                <c:pt idx="465">
                  <c:v>-1.2703997104496489</c:v>
                </c:pt>
                <c:pt idx="466">
                  <c:v>-1.2560919829009094</c:v>
                </c:pt>
                <c:pt idx="467">
                  <c:v>-1.3079325031043547</c:v>
                </c:pt>
                <c:pt idx="468">
                  <c:v>-1.3142093624394131</c:v>
                </c:pt>
                <c:pt idx="469">
                  <c:v>-1.2661407728964071</c:v>
                </c:pt>
                <c:pt idx="470">
                  <c:v>-1.2899760076675639</c:v>
                </c:pt>
                <c:pt idx="471">
                  <c:v>-1.2449704787645848</c:v>
                </c:pt>
                <c:pt idx="472">
                  <c:v>-1.2223204552884128</c:v>
                </c:pt>
                <c:pt idx="473">
                  <c:v>-1.2331199229390746</c:v>
                </c:pt>
                <c:pt idx="474">
                  <c:v>-1.2631699560864775</c:v>
                </c:pt>
                <c:pt idx="475">
                  <c:v>-1.1726145393007852</c:v>
                </c:pt>
                <c:pt idx="476">
                  <c:v>-1.1695222752541372</c:v>
                </c:pt>
                <c:pt idx="477">
                  <c:v>-1.3542015493636925</c:v>
                </c:pt>
                <c:pt idx="478">
                  <c:v>-1.5610025596266115</c:v>
                </c:pt>
                <c:pt idx="479">
                  <c:v>-1.3817006140345311</c:v>
                </c:pt>
                <c:pt idx="480">
                  <c:v>-1.3004320490160772</c:v>
                </c:pt>
                <c:pt idx="481">
                  <c:v>-1.2721502993373202</c:v>
                </c:pt>
                <c:pt idx="482">
                  <c:v>-1.2401374640242631</c:v>
                </c:pt>
                <c:pt idx="483">
                  <c:v>-1.2349910427463329</c:v>
                </c:pt>
                <c:pt idx="484">
                  <c:v>-1.2539451901512491</c:v>
                </c:pt>
                <c:pt idx="485">
                  <c:v>-1.2492376986128937</c:v>
                </c:pt>
                <c:pt idx="486">
                  <c:v>-1.340431879535892</c:v>
                </c:pt>
                <c:pt idx="487">
                  <c:v>-1.2116662319188534</c:v>
                </c:pt>
                <c:pt idx="488">
                  <c:v>-1.1483322518276198</c:v>
                </c:pt>
                <c:pt idx="489">
                  <c:v>-1.1826728821212604</c:v>
                </c:pt>
                <c:pt idx="490">
                  <c:v>-0.98827926499903829</c:v>
                </c:pt>
                <c:pt idx="491">
                  <c:v>-1.3280369042517595</c:v>
                </c:pt>
                <c:pt idx="492">
                  <c:v>-1.1306323901310711</c:v>
                </c:pt>
                <c:pt idx="493">
                  <c:v>-0.93583006707879823</c:v>
                </c:pt>
                <c:pt idx="494">
                  <c:v>-0.50677880197026992</c:v>
                </c:pt>
                <c:pt idx="495">
                  <c:v>-0.39750936216276966</c:v>
                </c:pt>
                <c:pt idx="496">
                  <c:v>3.0754342382389232E-2</c:v>
                </c:pt>
                <c:pt idx="497">
                  <c:v>-0.58463666309346529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D-449C-A71D-6C5FF5223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035552"/>
        <c:axId val="2034035968"/>
      </c:lineChart>
      <c:dateAx>
        <c:axId val="203403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035968"/>
        <c:crosses val="autoZero"/>
        <c:auto val="1"/>
        <c:lblOffset val="100"/>
        <c:baseTimeUnit val="days"/>
      </c:dateAx>
      <c:valAx>
        <c:axId val="203403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03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92383A6-B36C-49D4-963F-36FE1147A86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E990D-D3A0-49DF-AE1E-E3051AA1B13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45</v>
      </c>
      <c r="D2" s="4">
        <f>MIN(D3:D1912)</f>
        <v>0.3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10.59</v>
      </c>
      <c r="C5">
        <v>10.69</v>
      </c>
      <c r="D5">
        <v>10.220000000000001</v>
      </c>
      <c r="E5">
        <v>10.25</v>
      </c>
      <c r="F5">
        <v>156299.94</v>
      </c>
      <c r="G5">
        <v>10.25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-0.87234042553191726</v>
      </c>
      <c r="Q5">
        <f t="shared" ref="Q5" si="1">F5*P5</f>
        <v>-136346.75617021314</v>
      </c>
      <c r="R5">
        <f t="shared" ref="R5" si="2">R6+Q5</f>
        <v>43243733.65412572</v>
      </c>
      <c r="S5">
        <f t="shared" ref="S5" si="3">R5/100000</f>
        <v>432.4373365412572</v>
      </c>
      <c r="T5">
        <f t="shared" ref="T5" si="4">S5/1000</f>
        <v>0.43243733654125721</v>
      </c>
    </row>
    <row r="6" spans="1:20" x14ac:dyDescent="0.25">
      <c r="A6" s="5">
        <v>44587</v>
      </c>
      <c r="B6">
        <v>10.59</v>
      </c>
      <c r="C6">
        <v>11.77</v>
      </c>
      <c r="D6">
        <v>10.35</v>
      </c>
      <c r="E6">
        <v>10.58</v>
      </c>
      <c r="F6">
        <v>2025241.33</v>
      </c>
      <c r="G6">
        <v>10.58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-0.67605633802816845</v>
      </c>
      <c r="Q6">
        <f t="shared" ref="Q6" si="6">F6*P6</f>
        <v>-1369177.2371830975</v>
      </c>
      <c r="R6">
        <f t="shared" ref="R6" si="7">R7+Q6</f>
        <v>43380080.410295933</v>
      </c>
      <c r="S6">
        <f t="shared" ref="S6" si="8">R6/100000</f>
        <v>433.80080410295932</v>
      </c>
      <c r="T6">
        <f t="shared" ref="T6" si="9">S6/1000</f>
        <v>0.43380080410295929</v>
      </c>
    </row>
    <row r="7" spans="1:20" x14ac:dyDescent="0.25">
      <c r="A7" s="5">
        <v>44586</v>
      </c>
      <c r="B7">
        <v>10.69</v>
      </c>
      <c r="C7">
        <v>10.94</v>
      </c>
      <c r="D7">
        <v>10.32</v>
      </c>
      <c r="E7">
        <v>10.58</v>
      </c>
      <c r="F7">
        <v>1480467.38</v>
      </c>
      <c r="G7">
        <v>10.58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-0.1612903225806448</v>
      </c>
      <c r="Q7">
        <f t="shared" ref="Q7" si="11">F7*P7</f>
        <v>-238785.06129032202</v>
      </c>
      <c r="R7">
        <f t="shared" ref="R7" si="12">R8+Q7</f>
        <v>44749257.647479028</v>
      </c>
      <c r="S7">
        <f t="shared" ref="S7" si="13">R7/100000</f>
        <v>447.49257647479027</v>
      </c>
      <c r="T7">
        <f t="shared" ref="T7" si="14">S7/1000</f>
        <v>0.44749257647479029</v>
      </c>
    </row>
    <row r="8" spans="1:20" x14ac:dyDescent="0.25">
      <c r="A8" s="5">
        <v>44585</v>
      </c>
      <c r="B8">
        <v>11.42</v>
      </c>
      <c r="C8">
        <v>11.43</v>
      </c>
      <c r="D8">
        <v>9.5299999999999994</v>
      </c>
      <c r="E8">
        <v>10.68</v>
      </c>
      <c r="F8">
        <v>3978296.27</v>
      </c>
      <c r="G8">
        <v>10.68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0.21052631578947384</v>
      </c>
      <c r="Q8">
        <f t="shared" ref="Q8" si="16">F8*P8</f>
        <v>837536.05684210593</v>
      </c>
      <c r="R8">
        <f t="shared" ref="R8" si="17">R9+Q8</f>
        <v>44988042.708769351</v>
      </c>
      <c r="S8">
        <f t="shared" ref="S8" si="18">R8/100000</f>
        <v>449.88042708769353</v>
      </c>
      <c r="T8">
        <f t="shared" ref="T8" si="19">S8/1000</f>
        <v>0.44988042708769355</v>
      </c>
    </row>
    <row r="9" spans="1:20" x14ac:dyDescent="0.25">
      <c r="A9" s="5">
        <v>44584</v>
      </c>
      <c r="B9">
        <v>11.14</v>
      </c>
      <c r="C9">
        <v>11.93</v>
      </c>
      <c r="D9">
        <v>10.82</v>
      </c>
      <c r="E9">
        <v>11.42</v>
      </c>
      <c r="F9">
        <v>2354356.17</v>
      </c>
      <c r="G9">
        <v>11.42</v>
      </c>
      <c r="L9" t="s">
        <v>8</v>
      </c>
      <c r="M9" t="s">
        <v>7</v>
      </c>
      <c r="N9" t="s">
        <v>7</v>
      </c>
      <c r="P9">
        <f t="shared" ref="P9" si="20">IF(C9=D9,0,((E9-D9)-(C9-E9))/(C9-D9))</f>
        <v>8.1081081081080988E-2</v>
      </c>
      <c r="Q9">
        <f t="shared" ref="Q9" si="21">F9*P9</f>
        <v>190893.7435135133</v>
      </c>
      <c r="R9">
        <f t="shared" ref="R9" si="22">R10+Q9</f>
        <v>44150506.651927248</v>
      </c>
      <c r="S9">
        <f t="shared" ref="S9" si="23">R9/100000</f>
        <v>441.50506651927248</v>
      </c>
      <c r="T9">
        <f t="shared" ref="T9" si="24">S9/1000</f>
        <v>0.44150506651927246</v>
      </c>
    </row>
    <row r="10" spans="1:20" x14ac:dyDescent="0.25">
      <c r="A10" s="5">
        <v>44583</v>
      </c>
      <c r="B10">
        <v>12.64</v>
      </c>
      <c r="C10">
        <v>13.01</v>
      </c>
      <c r="D10">
        <v>10.35</v>
      </c>
      <c r="E10">
        <v>11.15</v>
      </c>
      <c r="F10">
        <v>4555381.4960000003</v>
      </c>
      <c r="G10">
        <v>11.15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-0.39849624060150324</v>
      </c>
      <c r="Q10">
        <f t="shared" ref="Q10" si="26">F10*P10</f>
        <v>-1815302.400661652</v>
      </c>
      <c r="R10">
        <f t="shared" ref="R10" si="27">R11+Q10</f>
        <v>43959612.908413738</v>
      </c>
      <c r="S10">
        <f t="shared" ref="S10" si="28">R10/100000</f>
        <v>439.59612908413737</v>
      </c>
      <c r="T10">
        <f t="shared" ref="T10" si="29">S10/1000</f>
        <v>0.43959612908413737</v>
      </c>
    </row>
    <row r="11" spans="1:20" x14ac:dyDescent="0.25">
      <c r="A11" s="5">
        <v>44582</v>
      </c>
      <c r="B11">
        <v>14.45</v>
      </c>
      <c r="C11">
        <v>14.67</v>
      </c>
      <c r="D11">
        <v>12.31</v>
      </c>
      <c r="E11">
        <v>12.64</v>
      </c>
      <c r="F11">
        <v>2858141.4479999999</v>
      </c>
      <c r="G11">
        <v>12.64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-0.72033898305084731</v>
      </c>
      <c r="Q11">
        <f t="shared" ref="Q11" si="31">F11*P11</f>
        <v>-2058830.704067796</v>
      </c>
      <c r="R11">
        <f t="shared" ref="R11" si="32">R12+Q11</f>
        <v>45774915.309075393</v>
      </c>
      <c r="S11">
        <f t="shared" ref="S11" si="33">R11/100000</f>
        <v>457.74915309075391</v>
      </c>
      <c r="T11">
        <f t="shared" ref="T11" si="34">S11/1000</f>
        <v>0.45774915309075392</v>
      </c>
    </row>
    <row r="12" spans="1:20" x14ac:dyDescent="0.25">
      <c r="A12" s="5">
        <v>44581</v>
      </c>
      <c r="B12">
        <v>15.12</v>
      </c>
      <c r="C12">
        <v>16.190000000000001</v>
      </c>
      <c r="D12">
        <v>14.37</v>
      </c>
      <c r="E12">
        <v>14.46</v>
      </c>
      <c r="F12">
        <v>1317288.83</v>
      </c>
      <c r="G12">
        <v>14.46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-0.90109890109889945</v>
      </c>
      <c r="Q12">
        <f t="shared" ref="Q12" si="36">F12*P12</f>
        <v>-1187007.5171428551</v>
      </c>
      <c r="R12">
        <f t="shared" ref="R12" si="37">R13+Q12</f>
        <v>47833746.013143189</v>
      </c>
      <c r="S12">
        <f t="shared" ref="S12" si="38">R12/100000</f>
        <v>478.3374601314319</v>
      </c>
      <c r="T12">
        <f t="shared" ref="T12" si="39">S12/1000</f>
        <v>0.47833746013143191</v>
      </c>
    </row>
    <row r="13" spans="1:20" x14ac:dyDescent="0.25">
      <c r="A13" s="5">
        <v>44580</v>
      </c>
      <c r="B13">
        <v>15.97</v>
      </c>
      <c r="C13">
        <v>16.23</v>
      </c>
      <c r="D13">
        <v>15.1</v>
      </c>
      <c r="E13">
        <v>15.11</v>
      </c>
      <c r="F13">
        <v>1148456.18</v>
      </c>
      <c r="G13">
        <v>15.11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-0.98230088495575263</v>
      </c>
      <c r="Q13">
        <f t="shared" ref="Q13" si="41">F13*P13</f>
        <v>-1128129.5219469031</v>
      </c>
      <c r="R13">
        <f t="shared" ref="R13" si="42">R14+Q13</f>
        <v>49020753.530286044</v>
      </c>
      <c r="S13">
        <f t="shared" ref="S13" si="43">R13/100000</f>
        <v>490.20753530286044</v>
      </c>
      <c r="T13">
        <f t="shared" ref="T13" si="44">S13/1000</f>
        <v>0.49020753530286043</v>
      </c>
    </row>
    <row r="14" spans="1:20" x14ac:dyDescent="0.25">
      <c r="A14" s="5">
        <v>44579</v>
      </c>
      <c r="B14">
        <v>16.64</v>
      </c>
      <c r="C14">
        <v>17.72</v>
      </c>
      <c r="D14">
        <v>15.62</v>
      </c>
      <c r="E14">
        <v>15.98</v>
      </c>
      <c r="F14">
        <v>2159778.56</v>
      </c>
      <c r="G14">
        <v>15.98</v>
      </c>
      <c r="L14" t="s">
        <v>7</v>
      </c>
      <c r="M14" t="s">
        <v>8</v>
      </c>
      <c r="N14" t="s">
        <v>8</v>
      </c>
      <c r="P14">
        <f t="shared" ref="P14" si="45">IF(C14=D14,0,((E14-D14)-(C14-E14))/(C14-D14))</f>
        <v>-0.65714285714285592</v>
      </c>
      <c r="Q14">
        <f t="shared" ref="Q14" si="46">F14*P14</f>
        <v>-1419283.053714283</v>
      </c>
      <c r="R14">
        <f t="shared" ref="R14" si="47">R15+Q14</f>
        <v>50148883.052232943</v>
      </c>
      <c r="S14">
        <f t="shared" ref="S14" si="48">R14/100000</f>
        <v>501.48883052232941</v>
      </c>
      <c r="T14">
        <f t="shared" ref="T14" si="49">S14/1000</f>
        <v>0.5014888305223294</v>
      </c>
    </row>
    <row r="15" spans="1:20" x14ac:dyDescent="0.25">
      <c r="A15" s="5">
        <v>44578</v>
      </c>
      <c r="B15">
        <v>17.829999999999998</v>
      </c>
      <c r="C15">
        <v>17.96</v>
      </c>
      <c r="D15">
        <v>16.23</v>
      </c>
      <c r="E15">
        <v>16.63</v>
      </c>
      <c r="F15">
        <v>1629800.43</v>
      </c>
      <c r="G15">
        <v>16.63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-0.5375722543352619</v>
      </c>
      <c r="Q15">
        <f t="shared" ref="Q15" si="51">F15*P15</f>
        <v>-876135.49127167917</v>
      </c>
      <c r="R15">
        <f t="shared" ref="R15" si="52">R16+Q15</f>
        <v>51568166.105947226</v>
      </c>
      <c r="S15">
        <f t="shared" ref="S15" si="53">R15/100000</f>
        <v>515.68166105947228</v>
      </c>
      <c r="T15">
        <f t="shared" ref="T15" si="54">S15/1000</f>
        <v>0.51568166105947233</v>
      </c>
    </row>
    <row r="16" spans="1:20" x14ac:dyDescent="0.25">
      <c r="A16" s="5">
        <v>44577</v>
      </c>
      <c r="B16">
        <v>16.47</v>
      </c>
      <c r="C16">
        <v>18.190000000000001</v>
      </c>
      <c r="D16">
        <v>16.29</v>
      </c>
      <c r="E16">
        <v>17.829999999999998</v>
      </c>
      <c r="F16">
        <v>1883856.29</v>
      </c>
      <c r="G16">
        <v>17.829999999999998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0.62105263157894464</v>
      </c>
      <c r="Q16">
        <f t="shared" ref="Q16" si="56">F16*P16</f>
        <v>1169973.9064210474</v>
      </c>
      <c r="R16">
        <f t="shared" ref="R16" si="57">R17+Q16</f>
        <v>52444301.597218908</v>
      </c>
      <c r="S16">
        <f t="shared" ref="S16" si="58">R16/100000</f>
        <v>524.44301597218907</v>
      </c>
      <c r="T16">
        <f t="shared" ref="T16" si="59">S16/1000</f>
        <v>0.52444301597218912</v>
      </c>
    </row>
    <row r="17" spans="1:20" x14ac:dyDescent="0.25">
      <c r="A17" s="5">
        <v>44576</v>
      </c>
      <c r="B17">
        <v>15.85</v>
      </c>
      <c r="C17">
        <v>16.72</v>
      </c>
      <c r="D17">
        <v>15.7</v>
      </c>
      <c r="E17">
        <v>16.47</v>
      </c>
      <c r="F17">
        <v>1097913.21</v>
      </c>
      <c r="G17">
        <v>16.47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0.50980392156862719</v>
      </c>
      <c r="Q17">
        <f t="shared" ref="Q17" si="61">F17*P17</f>
        <v>559720.45999999973</v>
      </c>
      <c r="R17">
        <f t="shared" ref="R17" si="62">R18+Q17</f>
        <v>51274327.690797858</v>
      </c>
      <c r="S17">
        <f t="shared" ref="S17" si="63">R17/100000</f>
        <v>512.74327690797861</v>
      </c>
      <c r="T17">
        <f t="shared" ref="T17" si="64">S17/1000</f>
        <v>0.51274327690797861</v>
      </c>
    </row>
    <row r="18" spans="1:20" x14ac:dyDescent="0.25">
      <c r="A18" s="5">
        <v>44575</v>
      </c>
      <c r="B18">
        <v>15.46</v>
      </c>
      <c r="C18">
        <v>15.96</v>
      </c>
      <c r="D18">
        <v>15.13</v>
      </c>
      <c r="E18">
        <v>15.86</v>
      </c>
      <c r="F18">
        <v>959028.98</v>
      </c>
      <c r="G18">
        <v>15.86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0.75903614457830981</v>
      </c>
      <c r="Q18">
        <f t="shared" ref="Q18" si="66">F18*P18</f>
        <v>727937.65951806901</v>
      </c>
      <c r="R18">
        <f t="shared" ref="R18" si="67">R19+Q18</f>
        <v>50714607.230797857</v>
      </c>
      <c r="S18">
        <f t="shared" ref="S18" si="68">R18/100000</f>
        <v>507.14607230797856</v>
      </c>
      <c r="T18">
        <f t="shared" ref="T18" si="69">S18/1000</f>
        <v>0.50714607230797859</v>
      </c>
    </row>
    <row r="19" spans="1:20" x14ac:dyDescent="0.25">
      <c r="A19" s="5">
        <v>44574</v>
      </c>
      <c r="B19">
        <v>16.29</v>
      </c>
      <c r="C19">
        <v>16.59</v>
      </c>
      <c r="D19">
        <v>15.39</v>
      </c>
      <c r="E19">
        <v>15.45</v>
      </c>
      <c r="F19">
        <v>1407495.12</v>
      </c>
      <c r="G19">
        <v>15.45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-0.90000000000000202</v>
      </c>
      <c r="Q19">
        <f t="shared" ref="Q19" si="71">F19*P19</f>
        <v>-1266745.608000003</v>
      </c>
      <c r="R19">
        <f t="shared" ref="R19" si="72">R20+Q19</f>
        <v>49986669.571279787</v>
      </c>
      <c r="S19">
        <f t="shared" ref="S19" si="73">R19/100000</f>
        <v>499.86669571279788</v>
      </c>
      <c r="T19">
        <f t="shared" ref="T19" si="74">S19/1000</f>
        <v>0.4998666957127979</v>
      </c>
    </row>
    <row r="20" spans="1:20" x14ac:dyDescent="0.25">
      <c r="A20" s="5">
        <v>44573</v>
      </c>
      <c r="B20">
        <v>15.97</v>
      </c>
      <c r="C20">
        <v>16.61</v>
      </c>
      <c r="D20">
        <v>15.95</v>
      </c>
      <c r="E20">
        <v>16.28</v>
      </c>
      <c r="F20">
        <v>1250210.31</v>
      </c>
      <c r="G20">
        <v>16.28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5.3828995133340915E-15</v>
      </c>
      <c r="Q20">
        <f t="shared" ref="Q20" si="76">F20*P20</f>
        <v>6.7297564692642637E-9</v>
      </c>
      <c r="R20">
        <f t="shared" ref="R20" si="77">R21+Q20</f>
        <v>51253415.179279789</v>
      </c>
      <c r="S20">
        <f t="shared" ref="S20" si="78">R20/100000</f>
        <v>512.53415179279784</v>
      </c>
      <c r="T20">
        <f t="shared" ref="T20" si="79">S20/1000</f>
        <v>0.51253415179279782</v>
      </c>
    </row>
    <row r="21" spans="1:20" x14ac:dyDescent="0.25">
      <c r="A21" s="5">
        <v>44572</v>
      </c>
      <c r="B21">
        <v>15.12</v>
      </c>
      <c r="C21">
        <v>16.32</v>
      </c>
      <c r="D21">
        <v>14.98</v>
      </c>
      <c r="E21">
        <v>15.96</v>
      </c>
      <c r="F21">
        <v>1710488.91</v>
      </c>
      <c r="G21">
        <v>15.96</v>
      </c>
      <c r="L21" t="s">
        <v>7</v>
      </c>
      <c r="M21" t="s">
        <v>7</v>
      </c>
      <c r="N21" t="s">
        <v>8</v>
      </c>
      <c r="P21">
        <f t="shared" ref="P21" si="80">IF(C21=D21,0,((E21-D21)-(C21-E21))/(C21-D21))</f>
        <v>0.46268656716417988</v>
      </c>
      <c r="Q21">
        <f t="shared" ref="Q21" si="81">F21*P21</f>
        <v>791420.24194029975</v>
      </c>
      <c r="R21">
        <f t="shared" ref="R21" si="82">R22+Q21</f>
        <v>51253415.179279782</v>
      </c>
      <c r="S21">
        <f t="shared" ref="S21" si="83">R21/100000</f>
        <v>512.53415179279784</v>
      </c>
      <c r="T21">
        <f t="shared" ref="T21" si="84">S21/1000</f>
        <v>0.51253415179279782</v>
      </c>
    </row>
    <row r="22" spans="1:20" x14ac:dyDescent="0.25">
      <c r="A22" s="5">
        <v>44571</v>
      </c>
      <c r="B22">
        <v>15.8</v>
      </c>
      <c r="C22">
        <v>16.46</v>
      </c>
      <c r="D22">
        <v>14.64</v>
      </c>
      <c r="E22">
        <v>15.11</v>
      </c>
      <c r="F22">
        <v>2523686.14</v>
      </c>
      <c r="G22">
        <v>15.11</v>
      </c>
      <c r="L22" t="s">
        <v>8</v>
      </c>
      <c r="M22" t="s">
        <v>7</v>
      </c>
      <c r="N22" t="s">
        <v>8</v>
      </c>
      <c r="P22">
        <f t="shared" ref="P22" si="85">IF(C22=D22,0,((E22-D22)-(C22-E22))/(C22-D22))</f>
        <v>-0.48351648351648485</v>
      </c>
      <c r="Q22">
        <f t="shared" ref="Q22" si="86">F22*P22</f>
        <v>-1220243.8479120913</v>
      </c>
      <c r="R22">
        <f t="shared" ref="R22" si="87">R23+Q22</f>
        <v>50461994.937339485</v>
      </c>
      <c r="S22">
        <f t="shared" ref="S22" si="88">R22/100000</f>
        <v>504.61994937339483</v>
      </c>
      <c r="T22">
        <f t="shared" ref="T22" si="89">S22/1000</f>
        <v>0.50461994937339483</v>
      </c>
    </row>
    <row r="23" spans="1:20" x14ac:dyDescent="0.25">
      <c r="A23" s="5">
        <v>44570</v>
      </c>
      <c r="B23">
        <v>14.93</v>
      </c>
      <c r="C23">
        <v>16.3</v>
      </c>
      <c r="D23">
        <v>14.81</v>
      </c>
      <c r="E23">
        <v>15.8</v>
      </c>
      <c r="F23">
        <v>1329527.1599999999</v>
      </c>
      <c r="G23">
        <v>15.8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0.32885906040268464</v>
      </c>
      <c r="Q23">
        <f t="shared" ref="Q23" si="91">F23*P23</f>
        <v>437227.05261744972</v>
      </c>
      <c r="R23">
        <f t="shared" ref="R23" si="92">R24+Q23</f>
        <v>51682238.785251573</v>
      </c>
      <c r="S23">
        <f t="shared" ref="S23" si="93">R23/100000</f>
        <v>516.8223878525157</v>
      </c>
      <c r="T23">
        <f t="shared" ref="T23" si="94">S23/1000</f>
        <v>0.51682238785251566</v>
      </c>
    </row>
    <row r="24" spans="1:20" x14ac:dyDescent="0.25">
      <c r="A24" s="5">
        <v>44569</v>
      </c>
      <c r="B24">
        <v>15.77</v>
      </c>
      <c r="C24">
        <v>16.2</v>
      </c>
      <c r="D24">
        <v>14.53</v>
      </c>
      <c r="E24">
        <v>14.92</v>
      </c>
      <c r="F24">
        <v>1535850.86</v>
      </c>
      <c r="G24">
        <v>14.92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-0.53293413173652626</v>
      </c>
      <c r="Q24">
        <f t="shared" ref="Q24" si="96">F24*P24</f>
        <v>-818507.34455089725</v>
      </c>
      <c r="R24">
        <f t="shared" ref="R24" si="97">R25+Q24</f>
        <v>51245011.73263412</v>
      </c>
      <c r="S24">
        <f t="shared" ref="S24" si="98">R24/100000</f>
        <v>512.45011732634123</v>
      </c>
      <c r="T24">
        <f t="shared" ref="T24" si="99">S24/1000</f>
        <v>0.51245011732634127</v>
      </c>
    </row>
    <row r="25" spans="1:20" x14ac:dyDescent="0.25">
      <c r="A25" s="5">
        <v>44568</v>
      </c>
      <c r="B25">
        <v>17.07</v>
      </c>
      <c r="C25">
        <v>17.16</v>
      </c>
      <c r="D25">
        <v>15.23</v>
      </c>
      <c r="E25">
        <v>15.76</v>
      </c>
      <c r="F25">
        <v>2769810.35</v>
      </c>
      <c r="G25">
        <v>15.76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-0.45077720207253946</v>
      </c>
      <c r="Q25">
        <f t="shared" ref="Q25" si="101">F25*P25</f>
        <v>-1248567.3598445612</v>
      </c>
      <c r="R25">
        <f t="shared" ref="R25" si="102">R26+Q25</f>
        <v>52063519.07718502</v>
      </c>
      <c r="S25">
        <f t="shared" ref="S25" si="103">R25/100000</f>
        <v>520.63519077185015</v>
      </c>
      <c r="T25">
        <f t="shared" ref="T25" si="104">S25/1000</f>
        <v>0.52063519077185016</v>
      </c>
    </row>
    <row r="26" spans="1:20" x14ac:dyDescent="0.25">
      <c r="A26" s="5">
        <v>44567</v>
      </c>
      <c r="B26">
        <v>17.12</v>
      </c>
      <c r="C26">
        <v>17.260000000000002</v>
      </c>
      <c r="D26">
        <v>16.079999999999998</v>
      </c>
      <c r="E26">
        <v>17.059999999999999</v>
      </c>
      <c r="F26">
        <v>2682869.44</v>
      </c>
      <c r="G26">
        <v>17.059999999999999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0.6610169491525385</v>
      </c>
      <c r="Q26">
        <f t="shared" ref="Q26" si="106">F26*P26</f>
        <v>1773422.1722033795</v>
      </c>
      <c r="R26">
        <f t="shared" ref="R26" si="107">R27+Q26</f>
        <v>53312086.437029578</v>
      </c>
      <c r="S26">
        <f t="shared" ref="S26" si="108">R26/100000</f>
        <v>533.12086437029575</v>
      </c>
      <c r="T26">
        <f t="shared" ref="T26" si="109">S26/1000</f>
        <v>0.53312086437029571</v>
      </c>
    </row>
    <row r="27" spans="1:20" x14ac:dyDescent="0.25">
      <c r="A27" s="5">
        <v>44566</v>
      </c>
      <c r="B27">
        <v>18.21</v>
      </c>
      <c r="C27">
        <v>19.87</v>
      </c>
      <c r="D27">
        <v>16.309999999999999</v>
      </c>
      <c r="E27">
        <v>17.11</v>
      </c>
      <c r="F27">
        <v>4464972.53</v>
      </c>
      <c r="G27">
        <v>17.11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-0.55056179775280889</v>
      </c>
      <c r="Q27">
        <f t="shared" ref="Q27" si="111">F27*P27</f>
        <v>-2458243.3030337077</v>
      </c>
      <c r="R27">
        <f t="shared" ref="R27" si="112">R28+Q27</f>
        <v>51538664.264826201</v>
      </c>
      <c r="S27">
        <f t="shared" ref="S27" si="113">R27/100000</f>
        <v>515.38664264826195</v>
      </c>
      <c r="T27">
        <f t="shared" ref="T27" si="114">S27/1000</f>
        <v>0.51538664264826195</v>
      </c>
    </row>
    <row r="28" spans="1:20" x14ac:dyDescent="0.25">
      <c r="A28" s="5">
        <v>44565</v>
      </c>
      <c r="B28">
        <v>18.47</v>
      </c>
      <c r="C28">
        <v>19.149999999999999</v>
      </c>
      <c r="D28">
        <v>17.68</v>
      </c>
      <c r="E28">
        <v>18.21</v>
      </c>
      <c r="F28">
        <v>2349174.13</v>
      </c>
      <c r="G28">
        <v>18.21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-0.27891156462584826</v>
      </c>
      <c r="Q28">
        <f t="shared" ref="Q28" si="116">F28*P28</f>
        <v>-655211.83217686589</v>
      </c>
      <c r="R28">
        <f t="shared" ref="R28" si="117">R29+Q28</f>
        <v>53996907.56785991</v>
      </c>
      <c r="S28">
        <f t="shared" ref="S28" si="118">R28/100000</f>
        <v>539.9690756785991</v>
      </c>
      <c r="T28">
        <f t="shared" ref="T28" si="119">S28/1000</f>
        <v>0.53996907567859909</v>
      </c>
    </row>
    <row r="29" spans="1:20" x14ac:dyDescent="0.25">
      <c r="A29" s="5">
        <v>44564</v>
      </c>
      <c r="B29">
        <v>18.39</v>
      </c>
      <c r="C29">
        <v>19.18</v>
      </c>
      <c r="D29">
        <v>17.84</v>
      </c>
      <c r="E29">
        <v>18.46</v>
      </c>
      <c r="F29">
        <v>2377836.0099999998</v>
      </c>
      <c r="G29">
        <v>18.46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-7.4626865671640202E-2</v>
      </c>
      <c r="Q29">
        <f t="shared" ref="Q29" si="121">F29*P29</f>
        <v>-177450.4485074589</v>
      </c>
      <c r="R29">
        <f t="shared" ref="R29" si="122">R30+Q29</f>
        <v>54652119.400036775</v>
      </c>
      <c r="S29">
        <f t="shared" ref="S29" si="123">R29/100000</f>
        <v>546.5211940003677</v>
      </c>
      <c r="T29">
        <f t="shared" ref="T29" si="124">S29/1000</f>
        <v>0.54652119400036769</v>
      </c>
    </row>
    <row r="30" spans="1:20" x14ac:dyDescent="0.25">
      <c r="A30" s="5">
        <v>44563</v>
      </c>
      <c r="B30">
        <v>17.48</v>
      </c>
      <c r="C30">
        <v>18.5</v>
      </c>
      <c r="D30">
        <v>17.04</v>
      </c>
      <c r="E30">
        <v>18.399999999999999</v>
      </c>
      <c r="F30">
        <v>1239824.76</v>
      </c>
      <c r="G30">
        <v>18.399999999999999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0.86301369863013511</v>
      </c>
      <c r="Q30">
        <f t="shared" ref="Q30" si="126">F30*P30</f>
        <v>1069985.7517808196</v>
      </c>
      <c r="R30">
        <f t="shared" ref="R30" si="127">R31+Q30</f>
        <v>54829569.848544233</v>
      </c>
      <c r="S30">
        <f t="shared" ref="S30" si="128">R30/100000</f>
        <v>548.29569848544236</v>
      </c>
      <c r="T30">
        <f t="shared" ref="T30" si="129">S30/1000</f>
        <v>0.54829569848544235</v>
      </c>
    </row>
    <row r="31" spans="1:20" x14ac:dyDescent="0.25">
      <c r="A31" s="5">
        <v>44562</v>
      </c>
      <c r="B31">
        <v>17.010000000000002</v>
      </c>
      <c r="C31">
        <v>17.57</v>
      </c>
      <c r="D31">
        <v>16.79</v>
      </c>
      <c r="E31">
        <v>17.48</v>
      </c>
      <c r="F31">
        <v>1236062.74</v>
      </c>
      <c r="G31">
        <v>17.48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0.76923076923076994</v>
      </c>
      <c r="Q31">
        <f t="shared" ref="Q31" si="131">F31*P31</f>
        <v>950817.49230769323</v>
      </c>
      <c r="R31">
        <f t="shared" ref="R31" si="132">R32+Q31</f>
        <v>53759584.09676341</v>
      </c>
      <c r="S31">
        <f t="shared" ref="S31" si="133">R31/100000</f>
        <v>537.5958409676341</v>
      </c>
      <c r="T31">
        <f t="shared" ref="T31" si="134">S31/1000</f>
        <v>0.53759584096763413</v>
      </c>
    </row>
    <row r="32" spans="1:20" x14ac:dyDescent="0.25">
      <c r="A32" s="5">
        <v>44561</v>
      </c>
      <c r="B32">
        <v>17.8</v>
      </c>
      <c r="C32">
        <v>18.649999999999999</v>
      </c>
      <c r="D32">
        <v>16.77</v>
      </c>
      <c r="E32">
        <v>17</v>
      </c>
      <c r="F32">
        <v>2203063.81</v>
      </c>
      <c r="G32">
        <v>17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-0.75531914893616958</v>
      </c>
      <c r="Q32">
        <f t="shared" ref="Q32" si="136">F32*P32</f>
        <v>-1664016.2820212753</v>
      </c>
      <c r="R32">
        <f t="shared" ref="R32" si="137">R33+Q32</f>
        <v>52808766.604455717</v>
      </c>
      <c r="S32">
        <f t="shared" ref="S32" si="138">R32/100000</f>
        <v>528.08766604455718</v>
      </c>
      <c r="T32">
        <f t="shared" ref="T32" si="139">S32/1000</f>
        <v>0.52808766604455715</v>
      </c>
    </row>
    <row r="33" spans="1:20" x14ac:dyDescent="0.25">
      <c r="A33" s="5">
        <v>44560</v>
      </c>
      <c r="B33">
        <v>17.12</v>
      </c>
      <c r="C33">
        <v>17.91</v>
      </c>
      <c r="D33">
        <v>16.71</v>
      </c>
      <c r="E33">
        <v>17.8</v>
      </c>
      <c r="F33">
        <v>1609634.43</v>
      </c>
      <c r="G33">
        <v>17.8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0.81666666666666754</v>
      </c>
      <c r="Q33">
        <f t="shared" ref="Q33" si="141">F33*P33</f>
        <v>1314534.7845000015</v>
      </c>
      <c r="R33">
        <f t="shared" ref="R33" si="142">R34+Q33</f>
        <v>54472782.886476994</v>
      </c>
      <c r="S33">
        <f t="shared" ref="S33" si="143">R33/100000</f>
        <v>544.72782886476989</v>
      </c>
      <c r="T33">
        <f t="shared" ref="T33" si="144">S33/1000</f>
        <v>0.54472782886476989</v>
      </c>
    </row>
    <row r="34" spans="1:20" x14ac:dyDescent="0.25">
      <c r="A34" s="5">
        <v>44559</v>
      </c>
      <c r="B34">
        <v>18.399999999999999</v>
      </c>
      <c r="C34">
        <v>19.5</v>
      </c>
      <c r="D34">
        <v>16.87</v>
      </c>
      <c r="E34">
        <v>17.13</v>
      </c>
      <c r="F34">
        <v>3638665.39</v>
      </c>
      <c r="G34">
        <v>17.13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-0.80228136882129419</v>
      </c>
      <c r="Q34">
        <f t="shared" ref="Q34" si="146">F34*P34</f>
        <v>-2919233.4497718685</v>
      </c>
      <c r="R34">
        <f t="shared" ref="R34" si="147">R35+Q34</f>
        <v>53158248.101976991</v>
      </c>
      <c r="S34">
        <f t="shared" ref="S34" si="148">R34/100000</f>
        <v>531.58248101976994</v>
      </c>
      <c r="T34">
        <f t="shared" ref="T34" si="149">S34/1000</f>
        <v>0.5315824810197699</v>
      </c>
    </row>
    <row r="35" spans="1:20" x14ac:dyDescent="0.25">
      <c r="A35" s="5">
        <v>44558</v>
      </c>
      <c r="B35">
        <v>19.13</v>
      </c>
      <c r="C35">
        <v>19.920000000000002</v>
      </c>
      <c r="D35">
        <v>17.72</v>
      </c>
      <c r="E35">
        <v>18.39</v>
      </c>
      <c r="F35">
        <v>4013857.2</v>
      </c>
      <c r="G35">
        <v>18.39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-0.39090909090909015</v>
      </c>
      <c r="Q35">
        <f t="shared" ref="Q35" si="151">F35*P35</f>
        <v>-1569053.269090906</v>
      </c>
      <c r="R35">
        <f t="shared" ref="R35" si="152">R36+Q35</f>
        <v>56077481.551748857</v>
      </c>
      <c r="S35">
        <f t="shared" ref="S35" si="153">R35/100000</f>
        <v>560.77481551748861</v>
      </c>
      <c r="T35">
        <f t="shared" ref="T35" si="154">S35/1000</f>
        <v>0.56077481551748865</v>
      </c>
    </row>
    <row r="36" spans="1:20" x14ac:dyDescent="0.25">
      <c r="A36" s="5">
        <v>44557</v>
      </c>
      <c r="B36">
        <v>18.649999999999999</v>
      </c>
      <c r="C36">
        <v>20.07</v>
      </c>
      <c r="D36">
        <v>18.53</v>
      </c>
      <c r="E36">
        <v>19.12</v>
      </c>
      <c r="F36">
        <v>2679326.94</v>
      </c>
      <c r="G36">
        <v>19.12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-0.23376623376623354</v>
      </c>
      <c r="Q36">
        <f t="shared" ref="Q36" si="156">F36*P36</f>
        <v>-626336.16779220721</v>
      </c>
      <c r="R36">
        <f t="shared" ref="R36" si="157">R37+Q36</f>
        <v>57646534.820839763</v>
      </c>
      <c r="S36">
        <f t="shared" ref="S36" si="158">R36/100000</f>
        <v>576.46534820839759</v>
      </c>
      <c r="T36">
        <f t="shared" ref="T36" si="159">S36/1000</f>
        <v>0.57646534820839757</v>
      </c>
    </row>
    <row r="37" spans="1:20" x14ac:dyDescent="0.25">
      <c r="A37" s="5">
        <v>44556</v>
      </c>
      <c r="B37">
        <v>17.47</v>
      </c>
      <c r="C37">
        <v>18.79</v>
      </c>
      <c r="D37">
        <v>16.71</v>
      </c>
      <c r="E37">
        <v>18.66</v>
      </c>
      <c r="F37">
        <v>1838091.86</v>
      </c>
      <c r="G37">
        <v>18.66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0.87500000000000089</v>
      </c>
      <c r="Q37">
        <f t="shared" ref="Q37" si="161">F37*P37</f>
        <v>1608330.3775000018</v>
      </c>
      <c r="R37">
        <f t="shared" ref="R37" si="162">R38+Q37</f>
        <v>58272870.988631971</v>
      </c>
      <c r="S37">
        <f t="shared" ref="S37" si="163">R37/100000</f>
        <v>582.72870988631973</v>
      </c>
      <c r="T37">
        <f t="shared" ref="T37" si="164">S37/1000</f>
        <v>0.58272870988631975</v>
      </c>
    </row>
    <row r="38" spans="1:20" x14ac:dyDescent="0.25">
      <c r="A38" s="5">
        <v>44555</v>
      </c>
      <c r="B38">
        <v>17.510000000000002</v>
      </c>
      <c r="C38">
        <v>17.84</v>
      </c>
      <c r="D38">
        <v>17.07</v>
      </c>
      <c r="E38">
        <v>17.46</v>
      </c>
      <c r="F38">
        <v>1217142.43</v>
      </c>
      <c r="G38">
        <v>17.46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1.2987012987015024E-2</v>
      </c>
      <c r="Q38">
        <f t="shared" ref="Q38" si="166">F38*P38</f>
        <v>15807.044545457024</v>
      </c>
      <c r="R38">
        <f t="shared" ref="R38" si="167">R39+Q38</f>
        <v>56664540.611131966</v>
      </c>
      <c r="S38">
        <f t="shared" ref="S38" si="168">R38/100000</f>
        <v>566.64540611131963</v>
      </c>
      <c r="T38">
        <f t="shared" ref="T38" si="169">S38/1000</f>
        <v>0.56664540611131964</v>
      </c>
    </row>
    <row r="39" spans="1:20" x14ac:dyDescent="0.25">
      <c r="A39" s="5">
        <v>44554</v>
      </c>
      <c r="B39">
        <v>18.18</v>
      </c>
      <c r="C39">
        <v>18.29</v>
      </c>
      <c r="D39">
        <v>17.23</v>
      </c>
      <c r="E39">
        <v>17.489999999999998</v>
      </c>
      <c r="F39">
        <v>2297059.66</v>
      </c>
      <c r="G39">
        <v>17.489999999999998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-0.50943396226415405</v>
      </c>
      <c r="Q39">
        <f t="shared" ref="Q39" si="171">F39*P39</f>
        <v>-1170200.2041509505</v>
      </c>
      <c r="R39">
        <f t="shared" ref="R39" si="172">R40+Q39</f>
        <v>56648733.566586509</v>
      </c>
      <c r="S39">
        <f t="shared" ref="S39" si="173">R39/100000</f>
        <v>566.48733566586509</v>
      </c>
      <c r="T39">
        <f t="shared" ref="T39" si="174">S39/1000</f>
        <v>0.56648733566586507</v>
      </c>
    </row>
    <row r="40" spans="1:20" x14ac:dyDescent="0.25">
      <c r="A40" s="5">
        <v>44553</v>
      </c>
      <c r="B40">
        <v>16.22</v>
      </c>
      <c r="C40">
        <v>18.260000000000002</v>
      </c>
      <c r="D40">
        <v>15.92</v>
      </c>
      <c r="E40">
        <v>18.170000000000002</v>
      </c>
      <c r="F40">
        <v>4136178.14</v>
      </c>
      <c r="G40">
        <v>18.170000000000002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0.92307692307692324</v>
      </c>
      <c r="Q40">
        <f t="shared" ref="Q40" si="176">F40*P40</f>
        <v>3818010.5907692318</v>
      </c>
      <c r="R40">
        <f t="shared" ref="R40" si="177">R41+Q40</f>
        <v>57818933.770737462</v>
      </c>
      <c r="S40">
        <f t="shared" ref="S40" si="178">R40/100000</f>
        <v>578.18933770737465</v>
      </c>
      <c r="T40">
        <f t="shared" ref="T40" si="179">S40/1000</f>
        <v>0.57818933770737468</v>
      </c>
    </row>
    <row r="41" spans="1:20" x14ac:dyDescent="0.25">
      <c r="A41" s="5">
        <v>44552</v>
      </c>
      <c r="B41">
        <v>15.05</v>
      </c>
      <c r="C41">
        <v>18</v>
      </c>
      <c r="D41">
        <v>14.96</v>
      </c>
      <c r="E41">
        <v>16.23</v>
      </c>
      <c r="F41">
        <v>2472751.5499999998</v>
      </c>
      <c r="G41">
        <v>16.23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-0.16447368421052636</v>
      </c>
      <c r="Q41">
        <f t="shared" ref="Q41" si="181">F41*P41</f>
        <v>-406702.55756578955</v>
      </c>
      <c r="R41">
        <f t="shared" ref="R41" si="182">R42+Q41</f>
        <v>54000923.17996823</v>
      </c>
      <c r="S41">
        <f t="shared" ref="S41" si="183">R41/100000</f>
        <v>540.00923179968231</v>
      </c>
      <c r="T41">
        <f t="shared" ref="T41" si="184">S41/1000</f>
        <v>0.5400092317996823</v>
      </c>
    </row>
    <row r="42" spans="1:20" x14ac:dyDescent="0.25">
      <c r="A42" s="5">
        <v>44551</v>
      </c>
      <c r="B42">
        <v>14.51</v>
      </c>
      <c r="C42">
        <v>15.1</v>
      </c>
      <c r="D42">
        <v>14.31</v>
      </c>
      <c r="E42">
        <v>15.05</v>
      </c>
      <c r="F42">
        <v>1098347.03</v>
      </c>
      <c r="G42">
        <v>15.05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0.87341772151898989</v>
      </c>
      <c r="Q42">
        <f t="shared" ref="Q42" si="186">F42*P42</f>
        <v>959315.7603797497</v>
      </c>
      <c r="R42">
        <f t="shared" ref="R42" si="187">R43+Q42</f>
        <v>54407625.737534016</v>
      </c>
      <c r="S42">
        <f t="shared" ref="S42" si="188">R42/100000</f>
        <v>544.07625737534022</v>
      </c>
      <c r="T42">
        <f t="shared" ref="T42" si="189">S42/1000</f>
        <v>0.54407625737534027</v>
      </c>
    </row>
    <row r="43" spans="1:20" x14ac:dyDescent="0.25">
      <c r="A43" s="5">
        <v>44550</v>
      </c>
      <c r="B43">
        <v>14.96</v>
      </c>
      <c r="C43">
        <v>15.17</v>
      </c>
      <c r="D43">
        <v>13.96</v>
      </c>
      <c r="E43">
        <v>14.51</v>
      </c>
      <c r="F43">
        <v>1821301.19</v>
      </c>
      <c r="G43">
        <v>14.51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-9.090909090909198E-2</v>
      </c>
      <c r="Q43">
        <f t="shared" ref="Q43" si="191">F43*P43</f>
        <v>-165572.8354545474</v>
      </c>
      <c r="R43">
        <f t="shared" ref="R43" si="192">R44+Q43</f>
        <v>53448309.97715427</v>
      </c>
      <c r="S43">
        <f t="shared" ref="S43" si="193">R43/100000</f>
        <v>534.4830997715427</v>
      </c>
      <c r="T43">
        <f t="shared" ref="T43" si="194">S43/1000</f>
        <v>0.53448309977154274</v>
      </c>
    </row>
    <row r="44" spans="1:20" x14ac:dyDescent="0.25">
      <c r="A44" s="5">
        <v>44549</v>
      </c>
      <c r="B44">
        <v>15.57</v>
      </c>
      <c r="C44">
        <v>15.97</v>
      </c>
      <c r="D44">
        <v>14.83</v>
      </c>
      <c r="E44">
        <v>14.97</v>
      </c>
      <c r="F44">
        <v>1589950.01</v>
      </c>
      <c r="G44">
        <v>14.97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-0.75438596491227983</v>
      </c>
      <c r="Q44">
        <f t="shared" ref="Q44" si="196">F44*P44</f>
        <v>-1199435.972456139</v>
      </c>
      <c r="R44">
        <f t="shared" ref="R44" si="197">R45+Q44</f>
        <v>53613882.812608816</v>
      </c>
      <c r="S44">
        <f t="shared" ref="S44" si="198">R44/100000</f>
        <v>536.13882812608813</v>
      </c>
      <c r="T44">
        <f t="shared" ref="T44" si="199">S44/1000</f>
        <v>0.53613882812608815</v>
      </c>
    </row>
    <row r="45" spans="1:20" x14ac:dyDescent="0.25">
      <c r="A45" s="5">
        <v>44548</v>
      </c>
      <c r="B45">
        <v>14.97</v>
      </c>
      <c r="C45">
        <v>16.100000000000001</v>
      </c>
      <c r="D45">
        <v>14.67</v>
      </c>
      <c r="E45">
        <v>15.56</v>
      </c>
      <c r="F45">
        <v>2701601.97</v>
      </c>
      <c r="G45">
        <v>15.56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0.24475524475524424</v>
      </c>
      <c r="Q45">
        <f t="shared" ref="Q45" si="201">F45*P45</f>
        <v>661231.25139860006</v>
      </c>
      <c r="R45">
        <f t="shared" ref="R45" si="202">R46+Q45</f>
        <v>54813318.785064958</v>
      </c>
      <c r="S45">
        <f t="shared" ref="S45" si="203">R45/100000</f>
        <v>548.13318785064962</v>
      </c>
      <c r="T45">
        <f t="shared" ref="T45" si="204">S45/1000</f>
        <v>0.54813318785064957</v>
      </c>
    </row>
    <row r="46" spans="1:20" x14ac:dyDescent="0.25">
      <c r="A46" s="5">
        <v>44547</v>
      </c>
      <c r="B46">
        <v>14.41</v>
      </c>
      <c r="C46">
        <v>15.1</v>
      </c>
      <c r="D46">
        <v>13.67</v>
      </c>
      <c r="E46">
        <v>14.97</v>
      </c>
      <c r="F46">
        <v>1789860.25</v>
      </c>
      <c r="G46">
        <v>14.97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0.81818181818181956</v>
      </c>
      <c r="Q46">
        <f t="shared" ref="Q46" si="206">F46*P46</f>
        <v>1464431.1136363661</v>
      </c>
      <c r="R46">
        <f t="shared" ref="R46" si="207">R47+Q46</f>
        <v>54152087.533666357</v>
      </c>
      <c r="S46">
        <f t="shared" ref="S46" si="208">R46/100000</f>
        <v>541.52087533666361</v>
      </c>
      <c r="T46">
        <f t="shared" ref="T46" si="209">S46/1000</f>
        <v>0.5415208753366636</v>
      </c>
    </row>
    <row r="47" spans="1:20" x14ac:dyDescent="0.25">
      <c r="A47" s="5">
        <v>44546</v>
      </c>
      <c r="B47">
        <v>15.19</v>
      </c>
      <c r="C47">
        <v>15.37</v>
      </c>
      <c r="D47">
        <v>14.34</v>
      </c>
      <c r="E47">
        <v>14.42</v>
      </c>
      <c r="F47">
        <v>2163655.41</v>
      </c>
      <c r="G47">
        <v>14.42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-0.84466019417475702</v>
      </c>
      <c r="Q47">
        <f t="shared" ref="Q47" si="211">F47*P47</f>
        <v>-1827553.5987378636</v>
      </c>
      <c r="R47">
        <f t="shared" ref="R47" si="212">R48+Q47</f>
        <v>52687656.42002999</v>
      </c>
      <c r="S47">
        <f t="shared" ref="S47" si="213">R47/100000</f>
        <v>526.87656420029987</v>
      </c>
      <c r="T47">
        <f t="shared" ref="T47" si="214">S47/1000</f>
        <v>0.52687656420029982</v>
      </c>
    </row>
    <row r="48" spans="1:20" x14ac:dyDescent="0.25">
      <c r="A48" s="5">
        <v>44545</v>
      </c>
      <c r="B48">
        <v>14.98</v>
      </c>
      <c r="C48">
        <v>15.52</v>
      </c>
      <c r="D48">
        <v>14.15</v>
      </c>
      <c r="E48">
        <v>15.19</v>
      </c>
      <c r="F48">
        <v>2194474.09</v>
      </c>
      <c r="G48">
        <v>15.19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0.51824817518248134</v>
      </c>
      <c r="Q48">
        <f t="shared" ref="Q48" si="216">F48*P48</f>
        <v>1137282.1926277361</v>
      </c>
      <c r="R48">
        <f t="shared" ref="R48" si="217">R49+Q48</f>
        <v>54515210.018767856</v>
      </c>
      <c r="S48">
        <f t="shared" ref="S48" si="218">R48/100000</f>
        <v>545.15210018767857</v>
      </c>
      <c r="T48">
        <f t="shared" ref="T48" si="219">S48/1000</f>
        <v>0.54515210018767857</v>
      </c>
    </row>
    <row r="49" spans="1:20" x14ac:dyDescent="0.25">
      <c r="A49" s="5">
        <v>44544</v>
      </c>
      <c r="B49">
        <v>14.16</v>
      </c>
      <c r="C49">
        <v>15.08</v>
      </c>
      <c r="D49">
        <v>13.91</v>
      </c>
      <c r="E49">
        <v>15</v>
      </c>
      <c r="F49">
        <v>1352106.29</v>
      </c>
      <c r="G49">
        <v>15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0.86324786324786307</v>
      </c>
      <c r="Q49">
        <f t="shared" ref="Q49" si="221">F49*P49</f>
        <v>1167202.8657264956</v>
      </c>
      <c r="R49">
        <f t="shared" ref="R49" si="222">R50+Q49</f>
        <v>53377927.826140121</v>
      </c>
      <c r="S49">
        <f t="shared" ref="S49" si="223">R49/100000</f>
        <v>533.77927826140126</v>
      </c>
      <c r="T49">
        <f t="shared" ref="T49" si="224">S49/1000</f>
        <v>0.53377927826140126</v>
      </c>
    </row>
    <row r="50" spans="1:20" x14ac:dyDescent="0.25">
      <c r="A50" s="5">
        <v>44543</v>
      </c>
      <c r="B50">
        <v>16</v>
      </c>
      <c r="C50">
        <v>16.09</v>
      </c>
      <c r="D50">
        <v>13.76</v>
      </c>
      <c r="E50">
        <v>14.16</v>
      </c>
      <c r="F50">
        <v>1984501.11</v>
      </c>
      <c r="G50">
        <v>14.16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-0.65665236051502118</v>
      </c>
      <c r="Q50">
        <f t="shared" ref="Q50" si="226">F50*P50</f>
        <v>-1303127.3383261799</v>
      </c>
      <c r="R50">
        <f t="shared" ref="R50" si="227">R51+Q50</f>
        <v>52210724.960413627</v>
      </c>
      <c r="S50">
        <f t="shared" ref="S50" si="228">R50/100000</f>
        <v>522.10724960413631</v>
      </c>
      <c r="T50">
        <f t="shared" ref="T50" si="229">S50/1000</f>
        <v>0.52210724960413635</v>
      </c>
    </row>
    <row r="51" spans="1:20" x14ac:dyDescent="0.25">
      <c r="A51" s="5">
        <v>44542</v>
      </c>
      <c r="B51">
        <v>15.9</v>
      </c>
      <c r="C51">
        <v>16.190000000000001</v>
      </c>
      <c r="D51">
        <v>15.27</v>
      </c>
      <c r="E51">
        <v>16</v>
      </c>
      <c r="F51">
        <v>991330.38</v>
      </c>
      <c r="G51">
        <v>16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0.58695652173912838</v>
      </c>
      <c r="Q51">
        <f t="shared" ref="Q51" si="231">F51*P51</f>
        <v>581867.83173912845</v>
      </c>
      <c r="R51">
        <f t="shared" ref="R51" si="232">R52+Q51</f>
        <v>53513852.298739806</v>
      </c>
      <c r="S51">
        <f t="shared" ref="S51" si="233">R51/100000</f>
        <v>535.13852298739801</v>
      </c>
      <c r="T51">
        <f t="shared" ref="T51" si="234">S51/1000</f>
        <v>0.53513852298739806</v>
      </c>
    </row>
    <row r="52" spans="1:20" x14ac:dyDescent="0.25">
      <c r="A52" s="5">
        <v>44541</v>
      </c>
      <c r="B52">
        <v>15.14</v>
      </c>
      <c r="C52">
        <v>15.46</v>
      </c>
      <c r="D52">
        <v>14.94</v>
      </c>
      <c r="E52">
        <v>15.4</v>
      </c>
      <c r="F52">
        <v>144163.42000000001</v>
      </c>
      <c r="G52">
        <v>15.4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0.76923076923076794</v>
      </c>
      <c r="Q52">
        <f t="shared" ref="Q52" si="236">F52*P52</f>
        <v>110894.93846153829</v>
      </c>
      <c r="R52">
        <f t="shared" ref="R52" si="237">R53+Q52</f>
        <v>52931984.467000678</v>
      </c>
      <c r="S52">
        <f t="shared" ref="S52" si="238">R52/100000</f>
        <v>529.31984467000677</v>
      </c>
      <c r="T52">
        <f t="shared" ref="T52" si="239">S52/1000</f>
        <v>0.52931984467000681</v>
      </c>
    </row>
    <row r="53" spans="1:20" x14ac:dyDescent="0.25">
      <c r="A53" s="5">
        <v>44540</v>
      </c>
      <c r="B53">
        <v>16.170000000000002</v>
      </c>
      <c r="C53">
        <v>16.53</v>
      </c>
      <c r="D53">
        <v>15.09</v>
      </c>
      <c r="E53">
        <v>15.15</v>
      </c>
      <c r="F53">
        <v>2357332.34</v>
      </c>
      <c r="G53">
        <v>15.15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-0.91666666666666607</v>
      </c>
      <c r="Q53">
        <f t="shared" ref="Q53" si="241">F53*P53</f>
        <v>-2160887.9783333316</v>
      </c>
      <c r="R53">
        <f t="shared" ref="R53" si="242">R54+Q53</f>
        <v>52821089.528539144</v>
      </c>
      <c r="S53">
        <f t="shared" ref="S53" si="243">R53/100000</f>
        <v>528.21089528539142</v>
      </c>
      <c r="T53">
        <f t="shared" ref="T53" si="244">S53/1000</f>
        <v>0.52821089528539145</v>
      </c>
    </row>
    <row r="54" spans="1:20" x14ac:dyDescent="0.25">
      <c r="A54" s="5">
        <v>44539</v>
      </c>
      <c r="B54">
        <v>18.73</v>
      </c>
      <c r="C54">
        <v>18.77</v>
      </c>
      <c r="D54">
        <v>16.11</v>
      </c>
      <c r="E54">
        <v>16.170000000000002</v>
      </c>
      <c r="F54">
        <v>2103223.7200000002</v>
      </c>
      <c r="G54">
        <v>16.170000000000002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-0.95488721804511112</v>
      </c>
      <c r="Q54">
        <f t="shared" ref="Q54" si="246">F54*P54</f>
        <v>-2008341.4469172899</v>
      </c>
      <c r="R54">
        <f t="shared" ref="R54" si="247">R55+Q54</f>
        <v>54981977.506872475</v>
      </c>
      <c r="S54">
        <f t="shared" ref="S54" si="248">R54/100000</f>
        <v>549.81977506872477</v>
      </c>
      <c r="T54">
        <f t="shared" ref="T54" si="249">S54/1000</f>
        <v>0.54981977506872481</v>
      </c>
    </row>
    <row r="55" spans="1:20" x14ac:dyDescent="0.25">
      <c r="A55" s="5">
        <v>44538</v>
      </c>
      <c r="B55">
        <v>17.149999999999999</v>
      </c>
      <c r="C55">
        <v>18.75</v>
      </c>
      <c r="D55">
        <v>16.96</v>
      </c>
      <c r="E55">
        <v>18.73</v>
      </c>
      <c r="F55">
        <v>2080951.57</v>
      </c>
      <c r="G55">
        <v>18.73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0.97765363128491667</v>
      </c>
      <c r="Q55">
        <f t="shared" ref="Q55" si="251">F55*P55</f>
        <v>2034449.8589385485</v>
      </c>
      <c r="R55">
        <f t="shared" ref="R55" si="252">R56+Q55</f>
        <v>56990318.953789763</v>
      </c>
      <c r="S55">
        <f t="shared" ref="S55" si="253">R55/100000</f>
        <v>569.90318953789767</v>
      </c>
      <c r="T55">
        <f t="shared" ref="T55" si="254">S55/1000</f>
        <v>0.56990318953789765</v>
      </c>
    </row>
    <row r="56" spans="1:20" x14ac:dyDescent="0.25">
      <c r="A56" s="5">
        <v>44537</v>
      </c>
      <c r="B56">
        <v>17.3</v>
      </c>
      <c r="C56">
        <v>17.66</v>
      </c>
      <c r="D56">
        <v>16.920000000000002</v>
      </c>
      <c r="E56">
        <v>17.14</v>
      </c>
      <c r="F56">
        <v>1715523.25</v>
      </c>
      <c r="G56">
        <v>17.14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-0.4054054054054072</v>
      </c>
      <c r="Q56">
        <f t="shared" ref="Q56" si="256">F56*P56</f>
        <v>-695482.39864865178</v>
      </c>
      <c r="R56">
        <f t="shared" ref="R56" si="257">R57+Q56</f>
        <v>54955869.094851218</v>
      </c>
      <c r="S56">
        <f t="shared" ref="S56" si="258">R56/100000</f>
        <v>549.55869094851221</v>
      </c>
      <c r="T56">
        <f t="shared" ref="T56" si="259">S56/1000</f>
        <v>0.54955869094851217</v>
      </c>
    </row>
    <row r="57" spans="1:20" x14ac:dyDescent="0.25">
      <c r="A57" s="5">
        <v>44536</v>
      </c>
      <c r="B57">
        <v>16.54</v>
      </c>
      <c r="C57">
        <v>17.5</v>
      </c>
      <c r="D57">
        <v>15.17</v>
      </c>
      <c r="E57">
        <v>17.3</v>
      </c>
      <c r="F57">
        <v>2275551.62</v>
      </c>
      <c r="G57">
        <v>17.3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0.82832618025751137</v>
      </c>
      <c r="Q57">
        <f t="shared" ref="Q57" si="261">F57*P57</f>
        <v>1884898.981373392</v>
      </c>
      <c r="R57">
        <f t="shared" ref="R57" si="262">R58+Q57</f>
        <v>55651351.493499868</v>
      </c>
      <c r="S57">
        <f t="shared" ref="S57" si="263">R57/100000</f>
        <v>556.51351493499862</v>
      </c>
      <c r="T57">
        <f t="shared" ref="T57" si="264">S57/1000</f>
        <v>0.55651351493499868</v>
      </c>
    </row>
    <row r="58" spans="1:20" x14ac:dyDescent="0.25">
      <c r="A58" s="5">
        <v>44535</v>
      </c>
      <c r="B58">
        <v>17.18</v>
      </c>
      <c r="C58">
        <v>17.48</v>
      </c>
      <c r="D58">
        <v>15.88</v>
      </c>
      <c r="E58">
        <v>16.53</v>
      </c>
      <c r="F58">
        <v>2258446.65</v>
      </c>
      <c r="G58">
        <v>16.53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-0.18749999999999939</v>
      </c>
      <c r="Q58">
        <f t="shared" ref="Q58" si="266">F58*P58</f>
        <v>-423458.74687499861</v>
      </c>
      <c r="R58">
        <f t="shared" ref="R58" si="267">R59+Q58</f>
        <v>53766452.512126476</v>
      </c>
      <c r="S58">
        <f t="shared" ref="S58" si="268">R58/100000</f>
        <v>537.66452512126477</v>
      </c>
      <c r="T58">
        <f t="shared" ref="T58" si="269">S58/1000</f>
        <v>0.53766452512126472</v>
      </c>
    </row>
    <row r="59" spans="1:20" x14ac:dyDescent="0.25">
      <c r="A59" s="5">
        <v>44534</v>
      </c>
      <c r="B59">
        <v>19.95</v>
      </c>
      <c r="C59">
        <v>20.03</v>
      </c>
      <c r="D59">
        <v>13.18</v>
      </c>
      <c r="E59">
        <v>17.190000000000001</v>
      </c>
      <c r="F59">
        <v>7587852.1050000004</v>
      </c>
      <c r="G59">
        <v>17.190000000000001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0.17080291970802941</v>
      </c>
      <c r="Q59">
        <f t="shared" ref="Q59" si="271">F59*P59</f>
        <v>1296027.2938467171</v>
      </c>
      <c r="R59">
        <f t="shared" ref="R59" si="272">R60+Q59</f>
        <v>54189911.259001471</v>
      </c>
      <c r="S59">
        <f t="shared" ref="S59" si="273">R59/100000</f>
        <v>541.89911259001474</v>
      </c>
      <c r="T59">
        <f t="shared" ref="T59" si="274">S59/1000</f>
        <v>0.54189911259001478</v>
      </c>
    </row>
    <row r="60" spans="1:20" x14ac:dyDescent="0.25">
      <c r="A60" s="5">
        <v>44533</v>
      </c>
      <c r="B60">
        <v>22.41</v>
      </c>
      <c r="C60">
        <v>23.03</v>
      </c>
      <c r="D60">
        <v>19.260000000000002</v>
      </c>
      <c r="E60">
        <v>19.96</v>
      </c>
      <c r="F60">
        <v>2887521.15</v>
      </c>
      <c r="G60">
        <v>19.96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-0.62864721485411179</v>
      </c>
      <c r="Q60">
        <f t="shared" ref="Q60" si="276">F60*P60</f>
        <v>-1815232.1287798418</v>
      </c>
      <c r="R60">
        <f t="shared" ref="R60" si="277">R61+Q60</f>
        <v>52893883.965154752</v>
      </c>
      <c r="S60">
        <f t="shared" ref="S60" si="278">R60/100000</f>
        <v>528.93883965154748</v>
      </c>
      <c r="T60">
        <f t="shared" ref="T60" si="279">S60/1000</f>
        <v>0.52893883965154753</v>
      </c>
    </row>
    <row r="61" spans="1:20" x14ac:dyDescent="0.25">
      <c r="A61" s="5">
        <v>44532</v>
      </c>
      <c r="B61">
        <v>20.95</v>
      </c>
      <c r="C61">
        <v>23.05</v>
      </c>
      <c r="D61">
        <v>20.51</v>
      </c>
      <c r="E61">
        <v>22.44</v>
      </c>
      <c r="F61">
        <v>4262256.7699999996</v>
      </c>
      <c r="G61">
        <v>22.44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0.51968503937007904</v>
      </c>
      <c r="Q61">
        <f t="shared" ref="Q61" si="281">F61*P61</f>
        <v>2215031.0773228356</v>
      </c>
      <c r="R61">
        <f t="shared" ref="R61" si="282">R62+Q61</f>
        <v>54709116.093934596</v>
      </c>
      <c r="S61">
        <f t="shared" ref="S61" si="283">R61/100000</f>
        <v>547.09116093934597</v>
      </c>
      <c r="T61">
        <f t="shared" ref="T61" si="284">S61/1000</f>
        <v>0.54709116093934596</v>
      </c>
    </row>
    <row r="62" spans="1:20" x14ac:dyDescent="0.25">
      <c r="A62" s="5">
        <v>44531</v>
      </c>
      <c r="B62">
        <v>21.25</v>
      </c>
      <c r="C62">
        <v>22.3</v>
      </c>
      <c r="D62">
        <v>20.77</v>
      </c>
      <c r="E62">
        <v>20.95</v>
      </c>
      <c r="F62">
        <v>1865023.7</v>
      </c>
      <c r="G62">
        <v>20.95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-0.76470588235294168</v>
      </c>
      <c r="Q62">
        <f t="shared" ref="Q62" si="286">F62*P62</f>
        <v>-1426194.594117648</v>
      </c>
      <c r="R62">
        <f t="shared" ref="R62" si="287">R63+Q62</f>
        <v>52494085.016611762</v>
      </c>
      <c r="S62">
        <f t="shared" ref="S62" si="288">R62/100000</f>
        <v>524.94085016611757</v>
      </c>
      <c r="T62">
        <f t="shared" ref="T62" si="289">S62/1000</f>
        <v>0.52494085016611758</v>
      </c>
    </row>
    <row r="63" spans="1:20" x14ac:dyDescent="0.25">
      <c r="A63" s="5">
        <v>44530</v>
      </c>
      <c r="B63">
        <v>20.260000000000002</v>
      </c>
      <c r="C63">
        <v>21.48</v>
      </c>
      <c r="D63">
        <v>19.55</v>
      </c>
      <c r="E63">
        <v>21.25</v>
      </c>
      <c r="F63">
        <v>1697883.41</v>
      </c>
      <c r="G63">
        <v>21.25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0.76165803108808239</v>
      </c>
      <c r="Q63">
        <f t="shared" ref="Q63" si="291">F63*P63</f>
        <v>1293206.5350777193</v>
      </c>
      <c r="R63">
        <f t="shared" ref="R63" si="292">R64+Q63</f>
        <v>53920279.610729411</v>
      </c>
      <c r="S63">
        <f t="shared" ref="S63" si="293">R63/100000</f>
        <v>539.20279610729415</v>
      </c>
      <c r="T63">
        <f t="shared" ref="T63" si="294">S63/1000</f>
        <v>0.53920279610729416</v>
      </c>
    </row>
    <row r="64" spans="1:20" x14ac:dyDescent="0.25">
      <c r="A64" s="5">
        <v>44529</v>
      </c>
      <c r="B64">
        <v>20.12</v>
      </c>
      <c r="C64">
        <v>20.48</v>
      </c>
      <c r="D64">
        <v>19.600000000000001</v>
      </c>
      <c r="E64">
        <v>20.260000000000002</v>
      </c>
      <c r="F64">
        <v>1139685.58</v>
      </c>
      <c r="G64">
        <v>20.260000000000002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0.500000000000002</v>
      </c>
      <c r="Q64">
        <f t="shared" ref="Q64" si="296">F64*P64</f>
        <v>569842.79000000237</v>
      </c>
      <c r="R64">
        <f t="shared" ref="R64" si="297">R65+Q64</f>
        <v>52627073.07565169</v>
      </c>
      <c r="S64">
        <f t="shared" ref="S64" si="298">R64/100000</f>
        <v>526.27073075651685</v>
      </c>
      <c r="T64">
        <f t="shared" ref="T64" si="299">S64/1000</f>
        <v>0.52627073075651687</v>
      </c>
    </row>
    <row r="65" spans="1:20" x14ac:dyDescent="0.25">
      <c r="A65" s="5">
        <v>44528</v>
      </c>
      <c r="B65">
        <v>19.489999999999998</v>
      </c>
      <c r="C65">
        <v>20.260000000000002</v>
      </c>
      <c r="D65">
        <v>18.47</v>
      </c>
      <c r="E65">
        <v>20.12</v>
      </c>
      <c r="F65">
        <v>1453479.11</v>
      </c>
      <c r="G65">
        <v>20.12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0.84357541899441302</v>
      </c>
      <c r="Q65">
        <f t="shared" ref="Q65" si="301">F65*P65</f>
        <v>1226119.2492178767</v>
      </c>
      <c r="R65">
        <f t="shared" ref="R65" si="302">R66+Q65</f>
        <v>52057230.285651691</v>
      </c>
      <c r="S65">
        <f t="shared" ref="S65" si="303">R65/100000</f>
        <v>520.5723028565169</v>
      </c>
      <c r="T65">
        <f t="shared" ref="T65" si="304">S65/1000</f>
        <v>0.5205723028565169</v>
      </c>
    </row>
    <row r="66" spans="1:20" x14ac:dyDescent="0.25">
      <c r="A66" s="5">
        <v>44527</v>
      </c>
      <c r="B66">
        <v>19.25</v>
      </c>
      <c r="C66">
        <v>20.16</v>
      </c>
      <c r="D66">
        <v>19.22</v>
      </c>
      <c r="E66">
        <v>19.489999999999998</v>
      </c>
      <c r="F66">
        <v>837834.92</v>
      </c>
      <c r="G66">
        <v>19.489999999999998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-0.42553191489361869</v>
      </c>
      <c r="Q66">
        <f t="shared" ref="Q66" si="306">F66*P66</f>
        <v>-356525.49787234183</v>
      </c>
      <c r="R66">
        <f t="shared" ref="R66" si="307">R67+Q66</f>
        <v>50831111.036433816</v>
      </c>
      <c r="S66">
        <f t="shared" ref="S66" si="308">R66/100000</f>
        <v>508.31111036433816</v>
      </c>
      <c r="T66">
        <f t="shared" ref="T66" si="309">S66/1000</f>
        <v>0.50831111036433818</v>
      </c>
    </row>
    <row r="67" spans="1:20" x14ac:dyDescent="0.25">
      <c r="A67" s="5">
        <v>44526</v>
      </c>
      <c r="B67">
        <v>21.4</v>
      </c>
      <c r="C67">
        <v>21.45</v>
      </c>
      <c r="D67">
        <v>18.71</v>
      </c>
      <c r="E67">
        <v>19.27</v>
      </c>
      <c r="F67">
        <v>1957267.01</v>
      </c>
      <c r="G67">
        <v>19.27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-0.59124087591240948</v>
      </c>
      <c r="Q67">
        <f t="shared" ref="Q67" si="311">F67*P67</f>
        <v>-1157216.2613868627</v>
      </c>
      <c r="R67">
        <f t="shared" ref="R67" si="312">R68+Q67</f>
        <v>51187636.534306161</v>
      </c>
      <c r="S67">
        <f t="shared" ref="S67" si="313">R67/100000</f>
        <v>511.87636534306159</v>
      </c>
      <c r="T67">
        <f t="shared" ref="T67" si="314">S67/1000</f>
        <v>0.51187636534306158</v>
      </c>
    </row>
    <row r="68" spans="1:20" x14ac:dyDescent="0.25">
      <c r="A68" s="5">
        <v>44525</v>
      </c>
      <c r="B68">
        <v>20.8</v>
      </c>
      <c r="C68">
        <v>21.65</v>
      </c>
      <c r="D68">
        <v>20.57</v>
      </c>
      <c r="E68">
        <v>21.39</v>
      </c>
      <c r="F68">
        <v>1388461.25</v>
      </c>
      <c r="G68">
        <v>21.39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0.51851851851852149</v>
      </c>
      <c r="Q68">
        <f t="shared" ref="Q68" si="316">F68*P68</f>
        <v>719942.87037037453</v>
      </c>
      <c r="R68">
        <f t="shared" ref="R68" si="317">R69+Q68</f>
        <v>52344852.795693025</v>
      </c>
      <c r="S68">
        <f t="shared" ref="S68" si="318">R68/100000</f>
        <v>523.44852795693021</v>
      </c>
      <c r="T68">
        <f t="shared" ref="T68" si="319">S68/1000</f>
        <v>0.5234485279569302</v>
      </c>
    </row>
    <row r="69" spans="1:20" x14ac:dyDescent="0.25">
      <c r="A69" s="5">
        <v>44524</v>
      </c>
      <c r="B69">
        <v>22.21</v>
      </c>
      <c r="C69">
        <v>22.31</v>
      </c>
      <c r="D69">
        <v>21.59</v>
      </c>
      <c r="E69">
        <v>21.77</v>
      </c>
      <c r="F69">
        <v>376356.02</v>
      </c>
      <c r="G69">
        <v>21.77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-0.5</v>
      </c>
      <c r="Q69">
        <f t="shared" ref="Q69" si="321">F69*P69</f>
        <v>-188178.01</v>
      </c>
      <c r="R69">
        <f t="shared" ref="R69" si="322">R70+Q69</f>
        <v>51624909.925322652</v>
      </c>
      <c r="S69">
        <f t="shared" ref="S69" si="323">R69/100000</f>
        <v>516.24909925322652</v>
      </c>
      <c r="T69">
        <f t="shared" ref="T69" si="324">S69/1000</f>
        <v>0.51624909925322648</v>
      </c>
    </row>
    <row r="70" spans="1:20" x14ac:dyDescent="0.25">
      <c r="A70" s="5">
        <v>44523</v>
      </c>
      <c r="B70">
        <v>20.96</v>
      </c>
      <c r="C70">
        <v>22.34</v>
      </c>
      <c r="D70">
        <v>20.76</v>
      </c>
      <c r="E70">
        <v>22.2</v>
      </c>
      <c r="F70">
        <v>1361092.98</v>
      </c>
      <c r="G70">
        <v>22.2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0.82278481012658133</v>
      </c>
      <c r="Q70">
        <f t="shared" ref="Q70" si="326">F70*P70</f>
        <v>1119886.6291139228</v>
      </c>
      <c r="R70">
        <f t="shared" ref="R70" si="327">R71+Q70</f>
        <v>51813087.93532265</v>
      </c>
      <c r="S70">
        <f t="shared" ref="S70" si="328">R70/100000</f>
        <v>518.13087935322653</v>
      </c>
      <c r="T70">
        <f t="shared" ref="T70" si="329">S70/1000</f>
        <v>0.51813087935322655</v>
      </c>
    </row>
    <row r="71" spans="1:20" x14ac:dyDescent="0.25">
      <c r="A71" s="5">
        <v>44522</v>
      </c>
      <c r="B71">
        <v>21.62</v>
      </c>
      <c r="C71">
        <v>22.31</v>
      </c>
      <c r="D71">
        <v>20.72</v>
      </c>
      <c r="E71">
        <v>20.95</v>
      </c>
      <c r="F71">
        <v>1865975.43</v>
      </c>
      <c r="G71">
        <v>20.95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-0.71069182389937047</v>
      </c>
      <c r="Q71">
        <f t="shared" ref="Q71" si="331">F71*P71</f>
        <v>-1326133.4816981121</v>
      </c>
      <c r="R71">
        <f t="shared" ref="R71" si="332">R72+Q71</f>
        <v>50693201.30620873</v>
      </c>
      <c r="S71">
        <f t="shared" ref="S71" si="333">R71/100000</f>
        <v>506.93201306208732</v>
      </c>
      <c r="T71">
        <f t="shared" ref="T71" si="334">S71/1000</f>
        <v>0.50693201306208735</v>
      </c>
    </row>
    <row r="72" spans="1:20" x14ac:dyDescent="0.25">
      <c r="A72" s="5">
        <v>44521</v>
      </c>
      <c r="B72">
        <v>22.03</v>
      </c>
      <c r="C72">
        <v>22.17</v>
      </c>
      <c r="D72">
        <v>21.38</v>
      </c>
      <c r="E72">
        <v>21.62</v>
      </c>
      <c r="F72">
        <v>896799.46</v>
      </c>
      <c r="G72">
        <v>21.62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-0.39240506329113628</v>
      </c>
      <c r="Q72">
        <f t="shared" ref="Q72" si="336">F72*P72</f>
        <v>-351908.64886075683</v>
      </c>
      <c r="R72">
        <f t="shared" ref="R72" si="337">R73+Q72</f>
        <v>52019334.78790684</v>
      </c>
      <c r="S72">
        <f t="shared" ref="S72" si="338">R72/100000</f>
        <v>520.19334787906837</v>
      </c>
      <c r="T72">
        <f t="shared" ref="T72" si="339">S72/1000</f>
        <v>0.52019334787906835</v>
      </c>
    </row>
    <row r="73" spans="1:20" x14ac:dyDescent="0.25">
      <c r="A73" s="5">
        <v>44520</v>
      </c>
      <c r="B73">
        <v>21.2</v>
      </c>
      <c r="C73">
        <v>22.03</v>
      </c>
      <c r="D73">
        <v>20.92</v>
      </c>
      <c r="E73">
        <v>22.02</v>
      </c>
      <c r="F73">
        <v>1230995.19</v>
      </c>
      <c r="G73">
        <v>22.02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0.98198198198197917</v>
      </c>
      <c r="Q73">
        <f t="shared" ref="Q73" si="341">F73*P73</f>
        <v>1208815.096486483</v>
      </c>
      <c r="R73">
        <f t="shared" ref="R73" si="342">R74+Q73</f>
        <v>52371243.4367676</v>
      </c>
      <c r="S73">
        <f t="shared" ref="S73" si="343">R73/100000</f>
        <v>523.712434367676</v>
      </c>
      <c r="T73">
        <f t="shared" ref="T73" si="344">S73/1000</f>
        <v>0.52371243436767601</v>
      </c>
    </row>
    <row r="74" spans="1:20" x14ac:dyDescent="0.25">
      <c r="A74" s="5">
        <v>44519</v>
      </c>
      <c r="B74">
        <v>20.09</v>
      </c>
      <c r="C74">
        <v>21.31</v>
      </c>
      <c r="D74">
        <v>19.77</v>
      </c>
      <c r="E74">
        <v>21.2</v>
      </c>
      <c r="F74">
        <v>1248029.43</v>
      </c>
      <c r="G74">
        <v>21.2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0.85714285714285776</v>
      </c>
      <c r="Q74">
        <f t="shared" ref="Q74" si="346">F74*P74</f>
        <v>1069739.5114285722</v>
      </c>
      <c r="R74">
        <f t="shared" ref="R74" si="347">R75+Q74</f>
        <v>51162428.340281114</v>
      </c>
      <c r="S74">
        <f t="shared" ref="S74" si="348">R74/100000</f>
        <v>511.62428340281116</v>
      </c>
      <c r="T74">
        <f t="shared" ref="T74" si="349">S74/1000</f>
        <v>0.51162428340281119</v>
      </c>
    </row>
    <row r="75" spans="1:20" x14ac:dyDescent="0.25">
      <c r="A75" s="5">
        <v>44518</v>
      </c>
      <c r="B75">
        <v>21.86</v>
      </c>
      <c r="C75">
        <v>22.25</v>
      </c>
      <c r="D75">
        <v>19.57</v>
      </c>
      <c r="E75">
        <v>20.09</v>
      </c>
      <c r="F75">
        <v>2178936.56</v>
      </c>
      <c r="G75">
        <v>20.09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-0.61194029850746301</v>
      </c>
      <c r="Q75">
        <f t="shared" ref="Q75" si="351">F75*P75</f>
        <v>-1333379.0889552247</v>
      </c>
      <c r="R75">
        <f t="shared" ref="R75" si="352">R76+Q75</f>
        <v>50092688.828852542</v>
      </c>
      <c r="S75">
        <f t="shared" ref="S75" si="353">R75/100000</f>
        <v>500.92688828852539</v>
      </c>
      <c r="T75">
        <f t="shared" ref="T75" si="354">S75/1000</f>
        <v>0.50092688828852538</v>
      </c>
    </row>
    <row r="76" spans="1:20" x14ac:dyDescent="0.25">
      <c r="A76" s="5">
        <v>44517</v>
      </c>
      <c r="B76">
        <v>21.69</v>
      </c>
      <c r="C76">
        <v>21.95</v>
      </c>
      <c r="D76">
        <v>21.04</v>
      </c>
      <c r="E76">
        <v>21.88</v>
      </c>
      <c r="F76">
        <v>1684296.15</v>
      </c>
      <c r="G76">
        <v>21.88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0.84615384615384559</v>
      </c>
      <c r="Q76">
        <f t="shared" ref="Q76" si="356">F76*P76</f>
        <v>1425173.6653846144</v>
      </c>
      <c r="R76">
        <f t="shared" ref="R76" si="357">R77+Q76</f>
        <v>51426067.917807765</v>
      </c>
      <c r="S76">
        <f t="shared" ref="S76" si="358">R76/100000</f>
        <v>514.26067917807768</v>
      </c>
      <c r="T76">
        <f t="shared" ref="T76" si="359">S76/1000</f>
        <v>0.51426067917807772</v>
      </c>
    </row>
    <row r="77" spans="1:20" x14ac:dyDescent="0.25">
      <c r="A77" s="5">
        <v>44516</v>
      </c>
      <c r="B77">
        <v>24</v>
      </c>
      <c r="C77">
        <v>24</v>
      </c>
      <c r="D77">
        <v>20.34</v>
      </c>
      <c r="E77">
        <v>21.68</v>
      </c>
      <c r="F77">
        <v>4692657.9000000004</v>
      </c>
      <c r="G77">
        <v>21.68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-0.26775956284153019</v>
      </c>
      <c r="Q77">
        <f t="shared" ref="Q77" si="361">F77*P77</f>
        <v>-1256504.0278688532</v>
      </c>
      <c r="R77">
        <f t="shared" ref="R77" si="362">R78+Q77</f>
        <v>50000894.252423152</v>
      </c>
      <c r="S77">
        <f t="shared" ref="S77" si="363">R77/100000</f>
        <v>500.00894252423154</v>
      </c>
      <c r="T77">
        <f t="shared" ref="T77" si="364">S77/1000</f>
        <v>0.50000894252423156</v>
      </c>
    </row>
    <row r="78" spans="1:20" x14ac:dyDescent="0.25">
      <c r="A78" s="5">
        <v>44515</v>
      </c>
      <c r="B78">
        <v>24.57</v>
      </c>
      <c r="C78">
        <v>25.9</v>
      </c>
      <c r="D78">
        <v>23.73</v>
      </c>
      <c r="E78">
        <v>24</v>
      </c>
      <c r="F78">
        <v>1959952.97</v>
      </c>
      <c r="G78">
        <v>24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-0.75115207373271908</v>
      </c>
      <c r="Q78">
        <f t="shared" ref="Q78" si="366">F78*P78</f>
        <v>-1472222.7378341018</v>
      </c>
      <c r="R78">
        <f t="shared" ref="R78" si="367">R79+Q78</f>
        <v>51257398.280292004</v>
      </c>
      <c r="S78">
        <f t="shared" ref="S78" si="368">R78/100000</f>
        <v>512.57398280292</v>
      </c>
      <c r="T78">
        <f t="shared" ref="T78" si="369">S78/1000</f>
        <v>0.51257398280291999</v>
      </c>
    </row>
    <row r="79" spans="1:20" x14ac:dyDescent="0.25">
      <c r="A79" s="5">
        <v>44514</v>
      </c>
      <c r="B79">
        <v>24.66</v>
      </c>
      <c r="C79">
        <v>25.02</v>
      </c>
      <c r="D79">
        <v>24.01</v>
      </c>
      <c r="E79">
        <v>24.57</v>
      </c>
      <c r="F79">
        <v>939318.21</v>
      </c>
      <c r="G79">
        <v>24.57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0.10891089108910856</v>
      </c>
      <c r="Q79">
        <f t="shared" ref="Q79" si="371">F79*P79</f>
        <v>102301.9832673264</v>
      </c>
      <c r="R79">
        <f t="shared" ref="R79" si="372">R80+Q79</f>
        <v>52729621.018126108</v>
      </c>
      <c r="S79">
        <f t="shared" ref="S79" si="373">R79/100000</f>
        <v>527.29621018126113</v>
      </c>
      <c r="T79">
        <f t="shared" ref="T79" si="374">S79/1000</f>
        <v>0.52729621018126116</v>
      </c>
    </row>
    <row r="80" spans="1:20" x14ac:dyDescent="0.25">
      <c r="A80" s="5">
        <v>44513</v>
      </c>
      <c r="B80">
        <v>24.57</v>
      </c>
      <c r="C80">
        <v>24.82</v>
      </c>
      <c r="D80">
        <v>24.16</v>
      </c>
      <c r="E80">
        <v>24.65</v>
      </c>
      <c r="F80">
        <v>953384.07</v>
      </c>
      <c r="G80">
        <v>24.65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0.48484848484847981</v>
      </c>
      <c r="Q80">
        <f t="shared" ref="Q80" si="376">F80*P80</f>
        <v>462246.82181817701</v>
      </c>
      <c r="R80">
        <f t="shared" ref="R80" si="377">R81+Q80</f>
        <v>52627319.034858778</v>
      </c>
      <c r="S80">
        <f t="shared" ref="S80" si="378">R80/100000</f>
        <v>526.27319034858783</v>
      </c>
      <c r="T80">
        <f t="shared" ref="T80" si="379">S80/1000</f>
        <v>0.52627319034858788</v>
      </c>
    </row>
    <row r="81" spans="1:20" x14ac:dyDescent="0.25">
      <c r="A81" s="5">
        <v>44512</v>
      </c>
      <c r="B81">
        <v>25.38</v>
      </c>
      <c r="C81">
        <v>25.7</v>
      </c>
      <c r="D81">
        <v>23.89</v>
      </c>
      <c r="E81">
        <v>24.56</v>
      </c>
      <c r="F81">
        <v>1826909.1</v>
      </c>
      <c r="G81">
        <v>24.56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-0.25966850828729432</v>
      </c>
      <c r="Q81">
        <f t="shared" ref="Q81" si="381">F81*P81</f>
        <v>-474390.76077348343</v>
      </c>
      <c r="R81">
        <f t="shared" ref="R81" si="382">R82+Q81</f>
        <v>52165072.213040598</v>
      </c>
      <c r="S81">
        <f t="shared" ref="S81" si="383">R81/100000</f>
        <v>521.65072213040594</v>
      </c>
      <c r="T81">
        <f t="shared" ref="T81" si="384">S81/1000</f>
        <v>0.52165072213040597</v>
      </c>
    </row>
    <row r="82" spans="1:20" x14ac:dyDescent="0.25">
      <c r="A82" s="5">
        <v>44511</v>
      </c>
      <c r="B82">
        <v>25.26</v>
      </c>
      <c r="C82">
        <v>26.12</v>
      </c>
      <c r="D82">
        <v>24.9</v>
      </c>
      <c r="E82">
        <v>25.38</v>
      </c>
      <c r="F82">
        <v>1891206.97</v>
      </c>
      <c r="G82">
        <v>25.38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-0.2131147540983615</v>
      </c>
      <c r="Q82">
        <f t="shared" ref="Q82" si="386">F82*P82</f>
        <v>-403044.10836065735</v>
      </c>
      <c r="R82">
        <f t="shared" ref="R82" si="387">R83+Q82</f>
        <v>52639462.973814078</v>
      </c>
      <c r="S82">
        <f t="shared" ref="S82" si="388">R82/100000</f>
        <v>526.39462973814079</v>
      </c>
      <c r="T82">
        <f t="shared" ref="T82" si="389">S82/1000</f>
        <v>0.52639462973814077</v>
      </c>
    </row>
    <row r="83" spans="1:20" x14ac:dyDescent="0.25">
      <c r="A83" s="5">
        <v>44510</v>
      </c>
      <c r="B83">
        <v>26.37</v>
      </c>
      <c r="C83">
        <v>28.48</v>
      </c>
      <c r="D83">
        <v>24.02</v>
      </c>
      <c r="E83">
        <v>25.26</v>
      </c>
      <c r="F83">
        <v>5766191.7300000004</v>
      </c>
      <c r="G83">
        <v>25.26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-0.4439461883408064</v>
      </c>
      <c r="Q83">
        <f t="shared" ref="Q83" si="391">F83*P83</f>
        <v>-2559878.8397757807</v>
      </c>
      <c r="R83">
        <f t="shared" ref="R83" si="392">R84+Q83</f>
        <v>53042507.082174733</v>
      </c>
      <c r="S83">
        <f t="shared" ref="S83" si="393">R83/100000</f>
        <v>530.42507082174734</v>
      </c>
      <c r="T83">
        <f t="shared" ref="T83" si="394">S83/1000</f>
        <v>0.53042507082174739</v>
      </c>
    </row>
    <row r="84" spans="1:20" x14ac:dyDescent="0.25">
      <c r="A84" s="5">
        <v>44509</v>
      </c>
      <c r="B84">
        <v>26.25</v>
      </c>
      <c r="C84">
        <v>27.8</v>
      </c>
      <c r="D84">
        <v>25.82</v>
      </c>
      <c r="E84">
        <v>26.36</v>
      </c>
      <c r="F84">
        <v>3830667.58</v>
      </c>
      <c r="G84">
        <v>26.36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-0.45454545454545553</v>
      </c>
      <c r="Q84">
        <f t="shared" ref="Q84" si="396">F84*P84</f>
        <v>-1741212.5363636401</v>
      </c>
      <c r="R84">
        <f t="shared" ref="R84" si="397">R85+Q84</f>
        <v>55602385.921950512</v>
      </c>
      <c r="S84">
        <f t="shared" ref="S84" si="398">R84/100000</f>
        <v>556.02385921950508</v>
      </c>
      <c r="T84">
        <f t="shared" ref="T84" si="399">S84/1000</f>
        <v>0.55602385921950503</v>
      </c>
    </row>
    <row r="85" spans="1:20" x14ac:dyDescent="0.25">
      <c r="A85" s="5">
        <v>44508</v>
      </c>
      <c r="B85">
        <v>25.33</v>
      </c>
      <c r="C85">
        <v>26.4</v>
      </c>
      <c r="D85">
        <v>25.21</v>
      </c>
      <c r="E85">
        <v>26.25</v>
      </c>
      <c r="F85">
        <v>2478790.13</v>
      </c>
      <c r="G85">
        <v>26.25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0.74789915966386744</v>
      </c>
      <c r="Q85">
        <f t="shared" ref="Q85" si="401">F85*P85</f>
        <v>1853885.0552100886</v>
      </c>
      <c r="R85">
        <f t="shared" ref="R85" si="402">R86+Q85</f>
        <v>57343598.458314151</v>
      </c>
      <c r="S85">
        <f t="shared" ref="S85" si="403">R85/100000</f>
        <v>573.43598458314148</v>
      </c>
      <c r="T85">
        <f t="shared" ref="T85" si="404">S85/1000</f>
        <v>0.57343598458314149</v>
      </c>
    </row>
    <row r="86" spans="1:20" x14ac:dyDescent="0.25">
      <c r="A86" s="5">
        <v>44507</v>
      </c>
      <c r="B86">
        <v>25.16</v>
      </c>
      <c r="C86">
        <v>25.5</v>
      </c>
      <c r="D86">
        <v>24.96</v>
      </c>
      <c r="E86">
        <v>25.33</v>
      </c>
      <c r="F86">
        <v>1003251.62</v>
      </c>
      <c r="G86">
        <v>25.33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0.37037037037036308</v>
      </c>
      <c r="Q86">
        <f t="shared" ref="Q86" si="406">F86*P86</f>
        <v>371574.67407406674</v>
      </c>
      <c r="R86">
        <f t="shared" ref="R86" si="407">R87+Q86</f>
        <v>55489713.403104059</v>
      </c>
      <c r="S86">
        <f t="shared" ref="S86" si="408">R86/100000</f>
        <v>554.89713403104065</v>
      </c>
      <c r="T86">
        <f t="shared" ref="T86" si="409">S86/1000</f>
        <v>0.55489713403104068</v>
      </c>
    </row>
    <row r="87" spans="1:20" x14ac:dyDescent="0.25">
      <c r="A87" s="5">
        <v>44506</v>
      </c>
      <c r="B87">
        <v>25.58</v>
      </c>
      <c r="C87">
        <v>25.79</v>
      </c>
      <c r="D87">
        <v>24.41</v>
      </c>
      <c r="E87">
        <v>25.16</v>
      </c>
      <c r="F87">
        <v>1363847.43</v>
      </c>
      <c r="G87">
        <v>25.16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8.6956521739131223E-2</v>
      </c>
      <c r="Q87">
        <f t="shared" ref="Q87" si="411">F87*P87</f>
        <v>118595.42869565325</v>
      </c>
      <c r="R87">
        <f t="shared" ref="R87" si="412">R88+Q87</f>
        <v>55118138.729029991</v>
      </c>
      <c r="S87">
        <f t="shared" ref="S87" si="413">R87/100000</f>
        <v>551.18138729029988</v>
      </c>
      <c r="T87">
        <f t="shared" ref="T87" si="414">S87/1000</f>
        <v>0.55118138729029986</v>
      </c>
    </row>
    <row r="88" spans="1:20" x14ac:dyDescent="0.25">
      <c r="A88" s="5">
        <v>44505</v>
      </c>
      <c r="B88">
        <v>25.72</v>
      </c>
      <c r="C88">
        <v>26.12</v>
      </c>
      <c r="D88">
        <v>25.26</v>
      </c>
      <c r="E88">
        <v>25.57</v>
      </c>
      <c r="F88">
        <v>2024809.25</v>
      </c>
      <c r="G88">
        <v>25.57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-0.27906976744186296</v>
      </c>
      <c r="Q88">
        <f t="shared" ref="Q88" si="416">F88*P88</f>
        <v>-565063.04651163297</v>
      </c>
      <c r="R88">
        <f t="shared" ref="R88" si="417">R89+Q88</f>
        <v>54999543.300334334</v>
      </c>
      <c r="S88">
        <f t="shared" ref="S88" si="418">R88/100000</f>
        <v>549.99543300334335</v>
      </c>
      <c r="T88">
        <f t="shared" ref="T88" si="419">S88/1000</f>
        <v>0.5499954330033433</v>
      </c>
    </row>
    <row r="89" spans="1:20" x14ac:dyDescent="0.25">
      <c r="A89" s="5">
        <v>44504</v>
      </c>
      <c r="B89">
        <v>26.89</v>
      </c>
      <c r="C89">
        <v>27.46</v>
      </c>
      <c r="D89">
        <v>25.24</v>
      </c>
      <c r="E89">
        <v>25.73</v>
      </c>
      <c r="F89">
        <v>2787074.81</v>
      </c>
      <c r="G89">
        <v>25.73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-0.55855855855855729</v>
      </c>
      <c r="Q89">
        <f t="shared" ref="Q89" si="421">F89*P89</f>
        <v>-1556744.4884684649</v>
      </c>
      <c r="R89">
        <f t="shared" ref="R89" si="422">R90+Q89</f>
        <v>55564606.34684597</v>
      </c>
      <c r="S89">
        <f t="shared" ref="S89" si="423">R89/100000</f>
        <v>555.64606346845972</v>
      </c>
      <c r="T89">
        <f t="shared" ref="T89" si="424">S89/1000</f>
        <v>0.55564606346845968</v>
      </c>
    </row>
    <row r="90" spans="1:20" x14ac:dyDescent="0.25">
      <c r="A90" s="5">
        <v>44503</v>
      </c>
      <c r="B90">
        <v>26.17</v>
      </c>
      <c r="C90">
        <v>27.07</v>
      </c>
      <c r="D90">
        <v>25.34</v>
      </c>
      <c r="E90">
        <v>26.89</v>
      </c>
      <c r="F90">
        <v>2814244.55</v>
      </c>
      <c r="G90">
        <v>26.89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0.79190751445086738</v>
      </c>
      <c r="Q90">
        <f t="shared" ref="Q90" si="426">F90*P90</f>
        <v>2228621.4066473995</v>
      </c>
      <c r="R90">
        <f t="shared" ref="R90" si="427">R91+Q90</f>
        <v>57121350.835314438</v>
      </c>
      <c r="S90">
        <f t="shared" ref="S90" si="428">R90/100000</f>
        <v>571.21350835314433</v>
      </c>
      <c r="T90">
        <f t="shared" ref="T90" si="429">S90/1000</f>
        <v>0.57121350835314433</v>
      </c>
    </row>
    <row r="91" spans="1:20" x14ac:dyDescent="0.25">
      <c r="A91" s="5">
        <v>44502</v>
      </c>
      <c r="B91">
        <v>25.61</v>
      </c>
      <c r="C91">
        <v>26.31</v>
      </c>
      <c r="D91">
        <v>25.14</v>
      </c>
      <c r="E91">
        <v>26.18</v>
      </c>
      <c r="F91">
        <v>1527314.85</v>
      </c>
      <c r="G91">
        <v>26.18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0.77777777777777912</v>
      </c>
      <c r="Q91">
        <f t="shared" ref="Q91" si="431">F91*P91</f>
        <v>1187911.5500000021</v>
      </c>
      <c r="R91">
        <f t="shared" ref="R91" si="432">R92+Q91</f>
        <v>54892729.428667039</v>
      </c>
      <c r="S91">
        <f t="shared" ref="S91" si="433">R91/100000</f>
        <v>548.92729428667042</v>
      </c>
      <c r="T91">
        <f t="shared" ref="T91" si="434">S91/1000</f>
        <v>0.54892729428667042</v>
      </c>
    </row>
    <row r="92" spans="1:20" x14ac:dyDescent="0.25">
      <c r="A92" s="5">
        <v>44501</v>
      </c>
      <c r="B92">
        <v>24.99</v>
      </c>
      <c r="C92">
        <v>26.46</v>
      </c>
      <c r="D92">
        <v>24.13</v>
      </c>
      <c r="E92">
        <v>25.62</v>
      </c>
      <c r="F92">
        <v>2194938.19</v>
      </c>
      <c r="G92">
        <v>25.62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0.27896995708154576</v>
      </c>
      <c r="Q92">
        <f t="shared" ref="Q92" si="436">F92*P92</f>
        <v>612321.8126609457</v>
      </c>
      <c r="R92">
        <f t="shared" ref="R92" si="437">R93+Q92</f>
        <v>53704817.878667034</v>
      </c>
      <c r="S92">
        <f t="shared" ref="S92" si="438">R92/100000</f>
        <v>537.04817878667029</v>
      </c>
      <c r="T92">
        <f t="shared" ref="T92" si="439">S92/1000</f>
        <v>0.53704817878667033</v>
      </c>
    </row>
    <row r="93" spans="1:20" x14ac:dyDescent="0.25">
      <c r="A93" s="5">
        <v>44500</v>
      </c>
      <c r="B93">
        <v>24.91</v>
      </c>
      <c r="C93">
        <v>25.28</v>
      </c>
      <c r="D93">
        <v>23.99</v>
      </c>
      <c r="E93">
        <v>24.98</v>
      </c>
      <c r="F93">
        <v>1219438.8</v>
      </c>
      <c r="G93">
        <v>24.98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0.5348837209302324</v>
      </c>
      <c r="Q93">
        <f t="shared" ref="Q93" si="441">F93*P93</f>
        <v>652257.96279069746</v>
      </c>
      <c r="R93">
        <f t="shared" ref="R93" si="442">R94+Q93</f>
        <v>53092496.066006087</v>
      </c>
      <c r="S93">
        <f t="shared" ref="S93" si="443">R93/100000</f>
        <v>530.92496066006083</v>
      </c>
      <c r="T93">
        <f t="shared" ref="T93" si="444">S93/1000</f>
        <v>0.53092496066006079</v>
      </c>
    </row>
    <row r="94" spans="1:20" x14ac:dyDescent="0.25">
      <c r="A94" s="5">
        <v>44499</v>
      </c>
      <c r="B94">
        <v>25.54</v>
      </c>
      <c r="C94">
        <v>25.6</v>
      </c>
      <c r="D94">
        <v>24.4</v>
      </c>
      <c r="E94">
        <v>24.91</v>
      </c>
      <c r="F94">
        <v>1127205.8700000001</v>
      </c>
      <c r="G94">
        <v>24.91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-0.14999999999999941</v>
      </c>
      <c r="Q94">
        <f t="shared" ref="Q94" si="446">F94*P94</f>
        <v>-169080.88049999936</v>
      </c>
      <c r="R94">
        <f t="shared" ref="R94" si="447">R95+Q94</f>
        <v>52440238.103215389</v>
      </c>
      <c r="S94">
        <f t="shared" ref="S94" si="448">R94/100000</f>
        <v>524.40238103215393</v>
      </c>
      <c r="T94">
        <f t="shared" ref="T94" si="449">S94/1000</f>
        <v>0.52440238103215397</v>
      </c>
    </row>
    <row r="95" spans="1:20" x14ac:dyDescent="0.25">
      <c r="A95" s="5">
        <v>44498</v>
      </c>
      <c r="B95">
        <v>24.9</v>
      </c>
      <c r="C95">
        <v>25.81</v>
      </c>
      <c r="D95">
        <v>24.66</v>
      </c>
      <c r="E95">
        <v>25.53</v>
      </c>
      <c r="F95">
        <v>1606744.24</v>
      </c>
      <c r="G95">
        <v>25.53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0.51304347826087315</v>
      </c>
      <c r="Q95">
        <f t="shared" ref="Q95" si="451">F95*P95</f>
        <v>824329.6535652231</v>
      </c>
      <c r="R95">
        <f t="shared" ref="R95" si="452">R96+Q95</f>
        <v>52609318.983715385</v>
      </c>
      <c r="S95">
        <f t="shared" ref="S95" si="453">R95/100000</f>
        <v>526.09318983715389</v>
      </c>
      <c r="T95">
        <f t="shared" ref="T95" si="454">S95/1000</f>
        <v>0.52609318983715392</v>
      </c>
    </row>
    <row r="96" spans="1:20" x14ac:dyDescent="0.25">
      <c r="A96" s="5">
        <v>44497</v>
      </c>
      <c r="B96">
        <v>24.16</v>
      </c>
      <c r="C96">
        <v>25.37</v>
      </c>
      <c r="D96">
        <v>23.91</v>
      </c>
      <c r="E96">
        <v>24.89</v>
      </c>
      <c r="F96">
        <v>2600717.48</v>
      </c>
      <c r="G96">
        <v>24.89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0.34246575342465735</v>
      </c>
      <c r="Q96">
        <f t="shared" ref="Q96" si="456">F96*P96</f>
        <v>890656.67123287625</v>
      </c>
      <c r="R96">
        <f t="shared" ref="R96" si="457">R97+Q96</f>
        <v>51784989.330150165</v>
      </c>
      <c r="S96">
        <f t="shared" ref="S96" si="458">R96/100000</f>
        <v>517.84989330150165</v>
      </c>
      <c r="T96">
        <f t="shared" ref="T96" si="459">S96/1000</f>
        <v>0.51784989330150166</v>
      </c>
    </row>
    <row r="97" spans="1:20" x14ac:dyDescent="0.25">
      <c r="A97" s="5">
        <v>44496</v>
      </c>
      <c r="B97">
        <v>26.57</v>
      </c>
      <c r="C97">
        <v>28.31</v>
      </c>
      <c r="D97">
        <v>23.5</v>
      </c>
      <c r="E97">
        <v>24.17</v>
      </c>
      <c r="F97">
        <v>4583819.91</v>
      </c>
      <c r="G97">
        <v>24.17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-0.72141372141372062</v>
      </c>
      <c r="Q97">
        <f t="shared" ref="Q97" si="461">F97*P97</f>
        <v>-3306830.5795634058</v>
      </c>
      <c r="R97">
        <f t="shared" ref="R97" si="462">R98+Q97</f>
        <v>50894332.658917286</v>
      </c>
      <c r="S97">
        <f t="shared" ref="S97" si="463">R97/100000</f>
        <v>508.94332658917284</v>
      </c>
      <c r="T97">
        <f t="shared" ref="T97" si="464">S97/1000</f>
        <v>0.50894332658917285</v>
      </c>
    </row>
    <row r="98" spans="1:20" x14ac:dyDescent="0.25">
      <c r="A98" s="5">
        <v>44495</v>
      </c>
      <c r="B98">
        <v>26.75</v>
      </c>
      <c r="C98">
        <v>28.3</v>
      </c>
      <c r="D98">
        <v>26.09</v>
      </c>
      <c r="E98">
        <v>26.55</v>
      </c>
      <c r="F98">
        <v>3639235.64</v>
      </c>
      <c r="G98">
        <v>26.55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-0.58371040723981837</v>
      </c>
      <c r="Q98">
        <f t="shared" ref="Q98" si="466">F98*P98</f>
        <v>-2124259.717466061</v>
      </c>
      <c r="R98">
        <f t="shared" ref="R98" si="467">R99+Q98</f>
        <v>54201163.238480695</v>
      </c>
      <c r="S98">
        <f t="shared" ref="S98" si="468">R98/100000</f>
        <v>542.01163238480694</v>
      </c>
      <c r="T98">
        <f t="shared" ref="T98" si="469">S98/1000</f>
        <v>0.54201163238480699</v>
      </c>
    </row>
    <row r="99" spans="1:20" x14ac:dyDescent="0.25">
      <c r="A99" s="5">
        <v>44494</v>
      </c>
      <c r="B99">
        <v>25.78</v>
      </c>
      <c r="C99">
        <v>26.76</v>
      </c>
      <c r="D99">
        <v>25.69</v>
      </c>
      <c r="E99">
        <v>26.75</v>
      </c>
      <c r="F99">
        <v>1270995.28</v>
      </c>
      <c r="G99">
        <v>26.75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0.98130841121495038</v>
      </c>
      <c r="Q99">
        <f t="shared" ref="Q99" si="471">F99*P99</f>
        <v>1247238.358878501</v>
      </c>
      <c r="R99">
        <f t="shared" ref="R99" si="472">R100+Q99</f>
        <v>56325422.955946758</v>
      </c>
      <c r="S99">
        <f t="shared" ref="S99" si="473">R99/100000</f>
        <v>563.2542295594676</v>
      </c>
      <c r="T99">
        <f t="shared" ref="T99" si="474">S99/1000</f>
        <v>0.56325422955946758</v>
      </c>
    </row>
    <row r="100" spans="1:20" x14ac:dyDescent="0.25">
      <c r="A100" s="5">
        <v>44493</v>
      </c>
      <c r="B100">
        <v>26.85</v>
      </c>
      <c r="C100">
        <v>27.25</v>
      </c>
      <c r="D100">
        <v>25.35</v>
      </c>
      <c r="E100">
        <v>25.79</v>
      </c>
      <c r="F100">
        <v>1501331.61</v>
      </c>
      <c r="G100">
        <v>25.79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-0.5368421052631599</v>
      </c>
      <c r="Q100">
        <f t="shared" ref="Q100" si="476">F100*P100</f>
        <v>-805978.02221052942</v>
      </c>
      <c r="R100">
        <f t="shared" ref="R100" si="477">R101+Q100</f>
        <v>55078184.597068258</v>
      </c>
      <c r="S100">
        <f t="shared" ref="S100" si="478">R100/100000</f>
        <v>550.78184597068253</v>
      </c>
      <c r="T100">
        <f t="shared" ref="T100" si="479">S100/1000</f>
        <v>0.55078184597068247</v>
      </c>
    </row>
    <row r="101" spans="1:20" x14ac:dyDescent="0.25">
      <c r="A101" s="5">
        <v>44492</v>
      </c>
      <c r="B101">
        <v>25.63</v>
      </c>
      <c r="C101">
        <v>26.89</v>
      </c>
      <c r="D101">
        <v>25.26</v>
      </c>
      <c r="E101">
        <v>26.84</v>
      </c>
      <c r="F101">
        <v>1344506.76</v>
      </c>
      <c r="G101">
        <v>26.84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0.93865030674846539</v>
      </c>
      <c r="Q101">
        <f t="shared" ref="Q101" si="481">F101*P101</f>
        <v>1262021.6826993853</v>
      </c>
      <c r="R101">
        <f t="shared" ref="R101" si="482">R102+Q101</f>
        <v>55884162.619278789</v>
      </c>
      <c r="S101">
        <f t="shared" ref="S101" si="483">R101/100000</f>
        <v>558.84162619278788</v>
      </c>
      <c r="T101">
        <f t="shared" ref="T101" si="484">S101/1000</f>
        <v>0.55884162619278788</v>
      </c>
    </row>
    <row r="102" spans="1:20" x14ac:dyDescent="0.25">
      <c r="A102" s="5">
        <v>44491</v>
      </c>
      <c r="B102">
        <v>26.1</v>
      </c>
      <c r="C102">
        <v>26.86</v>
      </c>
      <c r="D102">
        <v>25.33</v>
      </c>
      <c r="E102">
        <v>25.63</v>
      </c>
      <c r="F102">
        <v>1449568.95</v>
      </c>
      <c r="G102">
        <v>25.63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-0.60784313725490136</v>
      </c>
      <c r="Q102">
        <f t="shared" ref="Q102" si="486">F102*P102</f>
        <v>-881110.53823529324</v>
      </c>
      <c r="R102">
        <f t="shared" ref="R102" si="487">R103+Q102</f>
        <v>54622140.936579406</v>
      </c>
      <c r="S102">
        <f t="shared" ref="S102" si="488">R102/100000</f>
        <v>546.2214093657941</v>
      </c>
      <c r="T102">
        <f t="shared" ref="T102" si="489">S102/1000</f>
        <v>0.54622140936579411</v>
      </c>
    </row>
    <row r="103" spans="1:20" x14ac:dyDescent="0.25">
      <c r="A103" s="5">
        <v>44490</v>
      </c>
      <c r="B103">
        <v>27.12</v>
      </c>
      <c r="C103">
        <v>27.76</v>
      </c>
      <c r="D103">
        <v>25.72</v>
      </c>
      <c r="E103">
        <v>26.11</v>
      </c>
      <c r="F103">
        <v>2192307.21</v>
      </c>
      <c r="G103">
        <v>26.11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-0.61764705882352933</v>
      </c>
      <c r="Q103">
        <f t="shared" ref="Q103" si="491">F103*P103</f>
        <v>-1354072.1002941174</v>
      </c>
      <c r="R103">
        <f t="shared" ref="R103" si="492">R104+Q103</f>
        <v>55503251.474814698</v>
      </c>
      <c r="S103">
        <f t="shared" ref="S103" si="493">R103/100000</f>
        <v>555.03251474814704</v>
      </c>
      <c r="T103">
        <f t="shared" ref="T103" si="494">S103/1000</f>
        <v>0.55503251474814708</v>
      </c>
    </row>
    <row r="104" spans="1:20" x14ac:dyDescent="0.25">
      <c r="A104" s="5">
        <v>44489</v>
      </c>
      <c r="B104">
        <v>26.03</v>
      </c>
      <c r="C104">
        <v>27.14</v>
      </c>
      <c r="D104">
        <v>25.5</v>
      </c>
      <c r="E104">
        <v>27.12</v>
      </c>
      <c r="F104">
        <v>1831462</v>
      </c>
      <c r="G104">
        <v>27.12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0.97560975609756151</v>
      </c>
      <c r="Q104">
        <f t="shared" ref="Q104" si="496">F104*P104</f>
        <v>1786792.1951219521</v>
      </c>
      <c r="R104">
        <f t="shared" ref="R104" si="497">R105+Q104</f>
        <v>56857323.575108819</v>
      </c>
      <c r="S104">
        <f t="shared" ref="S104" si="498">R104/100000</f>
        <v>568.57323575108819</v>
      </c>
      <c r="T104">
        <f t="shared" ref="T104" si="499">S104/1000</f>
        <v>0.5685732357510882</v>
      </c>
    </row>
    <row r="105" spans="1:20" x14ac:dyDescent="0.25">
      <c r="A105" s="5">
        <v>44488</v>
      </c>
      <c r="B105">
        <v>25.64</v>
      </c>
      <c r="C105">
        <v>26.31</v>
      </c>
      <c r="D105">
        <v>25.23</v>
      </c>
      <c r="E105">
        <v>26.02</v>
      </c>
      <c r="F105">
        <v>1374496.5</v>
      </c>
      <c r="G105">
        <v>26.02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0.46296296296296369</v>
      </c>
      <c r="Q105">
        <f t="shared" ref="Q105" si="501">F105*P105</f>
        <v>636340.97222222318</v>
      </c>
      <c r="R105">
        <f t="shared" ref="R105" si="502">R106+Q105</f>
        <v>55070531.379986867</v>
      </c>
      <c r="S105">
        <f t="shared" ref="S105" si="503">R105/100000</f>
        <v>550.70531379986869</v>
      </c>
      <c r="T105">
        <f t="shared" ref="T105" si="504">S105/1000</f>
        <v>0.55070531379986865</v>
      </c>
    </row>
    <row r="106" spans="1:20" x14ac:dyDescent="0.25">
      <c r="A106" s="5">
        <v>44487</v>
      </c>
      <c r="B106">
        <v>25.92</v>
      </c>
      <c r="C106">
        <v>26.24</v>
      </c>
      <c r="D106">
        <v>24.85</v>
      </c>
      <c r="E106">
        <v>25.64</v>
      </c>
      <c r="F106">
        <v>1466133.78</v>
      </c>
      <c r="G106">
        <v>25.64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0.13669064748201559</v>
      </c>
      <c r="Q106">
        <f t="shared" ref="Q106" si="506">F106*P106</f>
        <v>200406.77568345499</v>
      </c>
      <c r="R106">
        <f t="shared" ref="R106" si="507">R107+Q106</f>
        <v>54434190.407764643</v>
      </c>
      <c r="S106">
        <f t="shared" ref="S106" si="508">R106/100000</f>
        <v>544.3419040776464</v>
      </c>
      <c r="T106">
        <f t="shared" ref="T106" si="509">S106/1000</f>
        <v>0.54434190407764638</v>
      </c>
    </row>
    <row r="107" spans="1:20" x14ac:dyDescent="0.25">
      <c r="A107" s="5">
        <v>44486</v>
      </c>
      <c r="B107">
        <v>27.06</v>
      </c>
      <c r="C107">
        <v>27.14</v>
      </c>
      <c r="D107">
        <v>25</v>
      </c>
      <c r="E107">
        <v>25.91</v>
      </c>
      <c r="F107">
        <v>2293362.81</v>
      </c>
      <c r="G107">
        <v>25.91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-0.14953271028037393</v>
      </c>
      <c r="Q107">
        <f t="shared" ref="Q107" si="511">F107*P107</f>
        <v>-342932.75663551426</v>
      </c>
      <c r="R107">
        <f t="shared" ref="R107" si="512">R108+Q107</f>
        <v>54233783.632081188</v>
      </c>
      <c r="S107">
        <f t="shared" ref="S107" si="513">R107/100000</f>
        <v>542.3378363208119</v>
      </c>
      <c r="T107">
        <f t="shared" ref="T107" si="514">S107/1000</f>
        <v>0.54233783632081189</v>
      </c>
    </row>
    <row r="108" spans="1:20" x14ac:dyDescent="0.25">
      <c r="A108" s="5">
        <v>44485</v>
      </c>
      <c r="B108">
        <v>25.88</v>
      </c>
      <c r="C108">
        <v>27.99</v>
      </c>
      <c r="D108">
        <v>25.73</v>
      </c>
      <c r="E108">
        <v>27.06</v>
      </c>
      <c r="F108">
        <v>3331454.33</v>
      </c>
      <c r="G108">
        <v>27.06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0.1769911504424774</v>
      </c>
      <c r="Q108">
        <f t="shared" ref="Q108" si="516">F108*P108</f>
        <v>589637.93451327272</v>
      </c>
      <c r="R108">
        <f t="shared" ref="R108" si="517">R109+Q108</f>
        <v>54576716.388716705</v>
      </c>
      <c r="S108">
        <f t="shared" ref="S108" si="518">R108/100000</f>
        <v>545.76716388716704</v>
      </c>
      <c r="T108">
        <f t="shared" ref="T108" si="519">S108/1000</f>
        <v>0.54576716388716706</v>
      </c>
    </row>
    <row r="109" spans="1:20" x14ac:dyDescent="0.25">
      <c r="A109" s="5">
        <v>44484</v>
      </c>
      <c r="B109">
        <v>26.44</v>
      </c>
      <c r="C109">
        <v>26.86</v>
      </c>
      <c r="D109">
        <v>25.34</v>
      </c>
      <c r="E109">
        <v>25.9</v>
      </c>
      <c r="F109">
        <v>3090078.11</v>
      </c>
      <c r="G109">
        <v>25.9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-0.26315789473684359</v>
      </c>
      <c r="Q109">
        <f t="shared" ref="Q109" si="521">F109*P109</f>
        <v>-813178.45000000461</v>
      </c>
      <c r="R109">
        <f t="shared" ref="R109" si="522">R110+Q109</f>
        <v>53987078.454203434</v>
      </c>
      <c r="S109">
        <f t="shared" ref="S109" si="523">R109/100000</f>
        <v>539.87078454203436</v>
      </c>
      <c r="T109">
        <f t="shared" ref="T109" si="524">S109/1000</f>
        <v>0.53987078454203441</v>
      </c>
    </row>
    <row r="110" spans="1:20" x14ac:dyDescent="0.25">
      <c r="A110" s="5">
        <v>44483</v>
      </c>
      <c r="B110">
        <v>24.7</v>
      </c>
      <c r="C110">
        <v>27</v>
      </c>
      <c r="D110">
        <v>24.52</v>
      </c>
      <c r="E110">
        <v>26.43</v>
      </c>
      <c r="F110">
        <v>3397885.31</v>
      </c>
      <c r="G110">
        <v>26.43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0.54032258064516114</v>
      </c>
      <c r="Q110">
        <f t="shared" ref="Q110" si="526">F110*P110</f>
        <v>1835954.1594354834</v>
      </c>
      <c r="R110">
        <f t="shared" ref="R110" si="527">R111+Q110</f>
        <v>54800256.904203437</v>
      </c>
      <c r="S110">
        <f t="shared" ref="S110" si="528">R110/100000</f>
        <v>548.00256904203434</v>
      </c>
      <c r="T110">
        <f t="shared" ref="T110" si="529">S110/1000</f>
        <v>0.54800256904203437</v>
      </c>
    </row>
    <row r="111" spans="1:20" x14ac:dyDescent="0.25">
      <c r="A111" s="5">
        <v>44482</v>
      </c>
      <c r="B111">
        <v>23.47</v>
      </c>
      <c r="C111">
        <v>25.8</v>
      </c>
      <c r="D111">
        <v>23.13</v>
      </c>
      <c r="E111">
        <v>24.68</v>
      </c>
      <c r="F111">
        <v>5582615.2999999998</v>
      </c>
      <c r="G111">
        <v>24.68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0.16104868913857656</v>
      </c>
      <c r="Q111">
        <f t="shared" ref="Q111" si="531">F111*P111</f>
        <v>899072.87602996128</v>
      </c>
      <c r="R111">
        <f t="shared" ref="R111" si="532">R112+Q111</f>
        <v>52964302.744767956</v>
      </c>
      <c r="S111">
        <f t="shared" ref="S111" si="533">R111/100000</f>
        <v>529.64302744767951</v>
      </c>
      <c r="T111">
        <f t="shared" ref="T111" si="534">S111/1000</f>
        <v>0.52964302744767955</v>
      </c>
    </row>
    <row r="112" spans="1:20" x14ac:dyDescent="0.25">
      <c r="A112" s="5">
        <v>44481</v>
      </c>
      <c r="B112">
        <v>24.16</v>
      </c>
      <c r="C112">
        <v>24.18</v>
      </c>
      <c r="D112">
        <v>22.3</v>
      </c>
      <c r="E112">
        <v>23.46</v>
      </c>
      <c r="F112">
        <v>1765179.48</v>
      </c>
      <c r="G112">
        <v>23.46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0.23404255319149017</v>
      </c>
      <c r="Q112">
        <f t="shared" ref="Q112" si="536">F112*P112</f>
        <v>413127.11234042695</v>
      </c>
      <c r="R112">
        <f t="shared" ref="R112" si="537">R113+Q112</f>
        <v>52065229.868737996</v>
      </c>
      <c r="S112">
        <f t="shared" ref="S112" si="538">R112/100000</f>
        <v>520.65229868737993</v>
      </c>
      <c r="T112">
        <f t="shared" ref="T112" si="539">S112/1000</f>
        <v>0.52065229868737994</v>
      </c>
    </row>
    <row r="113" spans="1:20" x14ac:dyDescent="0.25">
      <c r="A113" s="5">
        <v>44480</v>
      </c>
      <c r="B113">
        <v>24.15</v>
      </c>
      <c r="C113">
        <v>25.13</v>
      </c>
      <c r="D113">
        <v>23.5</v>
      </c>
      <c r="E113">
        <v>24.16</v>
      </c>
      <c r="F113">
        <v>1704951.76</v>
      </c>
      <c r="G113">
        <v>24.16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-0.19018404907975392</v>
      </c>
      <c r="Q113">
        <f t="shared" ref="Q113" si="541">F113*P113</f>
        <v>-324254.62920245284</v>
      </c>
      <c r="R113">
        <f t="shared" ref="R113" si="542">R114+Q113</f>
        <v>51652102.756397568</v>
      </c>
      <c r="S113">
        <f t="shared" ref="S113" si="543">R113/100000</f>
        <v>516.52102756397562</v>
      </c>
      <c r="T113">
        <f t="shared" ref="T113" si="544">S113/1000</f>
        <v>0.51652102756397567</v>
      </c>
    </row>
    <row r="114" spans="1:20" x14ac:dyDescent="0.25">
      <c r="A114" s="5">
        <v>44479</v>
      </c>
      <c r="B114">
        <v>25.15</v>
      </c>
      <c r="C114">
        <v>26</v>
      </c>
      <c r="D114">
        <v>24.08</v>
      </c>
      <c r="E114">
        <v>24.17</v>
      </c>
      <c r="F114">
        <v>2048362.62</v>
      </c>
      <c r="G114">
        <v>24.17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-0.90624999999999656</v>
      </c>
      <c r="Q114">
        <f t="shared" ref="Q114" si="546">F114*P114</f>
        <v>-1856328.6243749931</v>
      </c>
      <c r="R114">
        <f t="shared" ref="R114" si="547">R115+Q114</f>
        <v>51976357.385600023</v>
      </c>
      <c r="S114">
        <f t="shared" ref="S114" si="548">R114/100000</f>
        <v>519.76357385600022</v>
      </c>
      <c r="T114">
        <f t="shared" ref="T114" si="549">S114/1000</f>
        <v>0.51976357385600025</v>
      </c>
    </row>
    <row r="115" spans="1:20" x14ac:dyDescent="0.25">
      <c r="A115" s="5">
        <v>44478</v>
      </c>
      <c r="B115">
        <v>24.77</v>
      </c>
      <c r="C115">
        <v>25.95</v>
      </c>
      <c r="D115">
        <v>24.53</v>
      </c>
      <c r="E115">
        <v>25.12</v>
      </c>
      <c r="F115">
        <v>1342879.99</v>
      </c>
      <c r="G115">
        <v>25.12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-0.16901408450704136</v>
      </c>
      <c r="Q115">
        <f t="shared" ref="Q115" si="551">F115*P115</f>
        <v>-226965.63211267485</v>
      </c>
      <c r="R115">
        <f t="shared" ref="R115" si="552">R116+Q115</f>
        <v>53832686.009975016</v>
      </c>
      <c r="S115">
        <f t="shared" ref="S115" si="553">R115/100000</f>
        <v>538.32686009975021</v>
      </c>
      <c r="T115">
        <f t="shared" ref="T115" si="554">S115/1000</f>
        <v>0.53832686009975017</v>
      </c>
    </row>
    <row r="116" spans="1:20" x14ac:dyDescent="0.25">
      <c r="A116" s="5">
        <v>44477</v>
      </c>
      <c r="B116">
        <v>25.53</v>
      </c>
      <c r="C116">
        <v>26.1</v>
      </c>
      <c r="D116">
        <v>24.62</v>
      </c>
      <c r="E116">
        <v>24.76</v>
      </c>
      <c r="F116">
        <v>1906592.17</v>
      </c>
      <c r="G116">
        <v>24.76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-0.81081081081081008</v>
      </c>
      <c r="Q116">
        <f t="shared" ref="Q116" si="556">F116*P116</f>
        <v>-1545885.5432432417</v>
      </c>
      <c r="R116">
        <f t="shared" ref="R116" si="557">R117+Q116</f>
        <v>54059651.642087691</v>
      </c>
      <c r="S116">
        <f t="shared" ref="S116" si="558">R116/100000</f>
        <v>540.59651642087692</v>
      </c>
      <c r="T116">
        <f t="shared" ref="T116" si="559">S116/1000</f>
        <v>0.54059651642087692</v>
      </c>
    </row>
    <row r="117" spans="1:20" x14ac:dyDescent="0.25">
      <c r="A117" s="5">
        <v>44476</v>
      </c>
      <c r="B117">
        <v>25.24</v>
      </c>
      <c r="C117">
        <v>26.3</v>
      </c>
      <c r="D117">
        <v>24.44</v>
      </c>
      <c r="E117">
        <v>25.52</v>
      </c>
      <c r="F117">
        <v>2190026.23</v>
      </c>
      <c r="G117">
        <v>25.52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0.16129032258064369</v>
      </c>
      <c r="Q117">
        <f t="shared" ref="Q117" si="561">F117*P117</f>
        <v>353230.03709677095</v>
      </c>
      <c r="R117">
        <f t="shared" ref="R117" si="562">R118+Q117</f>
        <v>55605537.185330935</v>
      </c>
      <c r="S117">
        <f t="shared" ref="S117" si="563">R117/100000</f>
        <v>556.05537185330934</v>
      </c>
      <c r="T117">
        <f t="shared" ref="T117" si="564">S117/1000</f>
        <v>0.55605537185330933</v>
      </c>
    </row>
    <row r="118" spans="1:20" x14ac:dyDescent="0.25">
      <c r="A118" s="5">
        <v>44475</v>
      </c>
      <c r="B118">
        <v>25.64</v>
      </c>
      <c r="C118">
        <v>26.04</v>
      </c>
      <c r="D118">
        <v>23.79</v>
      </c>
      <c r="E118">
        <v>25.25</v>
      </c>
      <c r="F118">
        <v>2400309.0099999998</v>
      </c>
      <c r="G118">
        <v>25.25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0.29777777777777853</v>
      </c>
      <c r="Q118">
        <f t="shared" ref="Q118" si="566">F118*P118</f>
        <v>714758.68297777954</v>
      </c>
      <c r="R118">
        <f t="shared" ref="R118" si="567">R119+Q118</f>
        <v>55252307.148234166</v>
      </c>
      <c r="S118">
        <f t="shared" ref="S118" si="568">R118/100000</f>
        <v>552.52307148234161</v>
      </c>
      <c r="T118">
        <f t="shared" ref="T118" si="569">S118/1000</f>
        <v>0.55252307148234159</v>
      </c>
    </row>
    <row r="119" spans="1:20" x14ac:dyDescent="0.25">
      <c r="A119" s="5">
        <v>44474</v>
      </c>
      <c r="B119">
        <v>25.33</v>
      </c>
      <c r="C119">
        <v>25.9</v>
      </c>
      <c r="D119">
        <v>24.56</v>
      </c>
      <c r="E119">
        <v>25.64</v>
      </c>
      <c r="F119">
        <v>2093873.68</v>
      </c>
      <c r="G119">
        <v>25.64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0.61194029850746556</v>
      </c>
      <c r="Q119">
        <f t="shared" ref="Q119" si="571">F119*P119</f>
        <v>1281325.6847761255</v>
      </c>
      <c r="R119">
        <f t="shared" ref="R119" si="572">R120+Q119</f>
        <v>54537548.465256386</v>
      </c>
      <c r="S119">
        <f t="shared" ref="S119" si="573">R119/100000</f>
        <v>545.37548465256384</v>
      </c>
      <c r="T119">
        <f t="shared" ref="T119" si="574">S119/1000</f>
        <v>0.5453754846525638</v>
      </c>
    </row>
    <row r="120" spans="1:20" x14ac:dyDescent="0.25">
      <c r="A120" s="5">
        <v>44473</v>
      </c>
      <c r="B120">
        <v>26.01</v>
      </c>
      <c r="C120">
        <v>26.02</v>
      </c>
      <c r="D120">
        <v>24.22</v>
      </c>
      <c r="E120">
        <v>25.4</v>
      </c>
      <c r="F120">
        <v>2482803.83</v>
      </c>
      <c r="G120">
        <v>25.4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0.31111111111111028</v>
      </c>
      <c r="Q120">
        <f t="shared" ref="Q120" si="576">F120*P120</f>
        <v>772427.85822222021</v>
      </c>
      <c r="R120">
        <f t="shared" ref="R120" si="577">R121+Q120</f>
        <v>53256222.780480258</v>
      </c>
      <c r="S120">
        <f t="shared" ref="S120" si="578">R120/100000</f>
        <v>532.56222780480255</v>
      </c>
      <c r="T120">
        <f t="shared" ref="T120" si="579">S120/1000</f>
        <v>0.53256222780480256</v>
      </c>
    </row>
    <row r="121" spans="1:20" x14ac:dyDescent="0.25">
      <c r="A121" s="5">
        <v>44472</v>
      </c>
      <c r="B121">
        <v>26.14</v>
      </c>
      <c r="C121">
        <v>26.61</v>
      </c>
      <c r="D121">
        <v>25.61</v>
      </c>
      <c r="E121">
        <v>25.93</v>
      </c>
      <c r="F121">
        <v>2157293.75</v>
      </c>
      <c r="G121">
        <v>25.93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-0.35999999999999943</v>
      </c>
      <c r="Q121">
        <f t="shared" ref="Q121" si="581">F121*P121</f>
        <v>-776625.74999999872</v>
      </c>
      <c r="R121">
        <f t="shared" ref="R121" si="582">R122+Q121</f>
        <v>52483794.922258034</v>
      </c>
      <c r="S121">
        <f t="shared" ref="S121" si="583">R121/100000</f>
        <v>524.83794922258039</v>
      </c>
      <c r="T121">
        <f t="shared" ref="T121" si="584">S121/1000</f>
        <v>0.52483794922258042</v>
      </c>
    </row>
    <row r="122" spans="1:20" x14ac:dyDescent="0.25">
      <c r="A122" s="5">
        <v>44471</v>
      </c>
      <c r="B122">
        <v>25.63</v>
      </c>
      <c r="C122">
        <v>27.23</v>
      </c>
      <c r="D122">
        <v>25.35</v>
      </c>
      <c r="E122">
        <v>26.15</v>
      </c>
      <c r="F122">
        <v>3780085</v>
      </c>
      <c r="G122">
        <v>26.15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-0.14893617021276853</v>
      </c>
      <c r="Q122">
        <f t="shared" ref="Q122" si="586">F122*P122</f>
        <v>-562991.38297873316</v>
      </c>
      <c r="R122">
        <f t="shared" ref="R122" si="587">R123+Q122</f>
        <v>53260420.672258034</v>
      </c>
      <c r="S122">
        <f t="shared" ref="S122" si="588">R122/100000</f>
        <v>532.60420672258033</v>
      </c>
      <c r="T122">
        <f t="shared" ref="T122" si="589">S122/1000</f>
        <v>0.53260420672258035</v>
      </c>
    </row>
    <row r="123" spans="1:20" x14ac:dyDescent="0.25">
      <c r="A123" s="5">
        <v>44470</v>
      </c>
      <c r="B123">
        <v>23.53</v>
      </c>
      <c r="C123">
        <v>25.85</v>
      </c>
      <c r="D123">
        <v>23.48</v>
      </c>
      <c r="E123">
        <v>25.64</v>
      </c>
      <c r="F123">
        <v>4261740.78</v>
      </c>
      <c r="G123">
        <v>25.64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0.82278481012658167</v>
      </c>
      <c r="Q123">
        <f t="shared" ref="Q123" si="591">F123*P123</f>
        <v>3506495.5784810102</v>
      </c>
      <c r="R123">
        <f t="shared" ref="R123" si="592">R124+Q123</f>
        <v>53823412.055236764</v>
      </c>
      <c r="S123">
        <f t="shared" ref="S123" si="593">R123/100000</f>
        <v>538.2341205523677</v>
      </c>
      <c r="T123">
        <f t="shared" ref="T123" si="594">S123/1000</f>
        <v>0.53823412055236775</v>
      </c>
    </row>
    <row r="124" spans="1:20" x14ac:dyDescent="0.25">
      <c r="A124" s="5">
        <v>44469</v>
      </c>
      <c r="B124">
        <v>23.01</v>
      </c>
      <c r="C124">
        <v>23.96</v>
      </c>
      <c r="D124">
        <v>22.62</v>
      </c>
      <c r="E124">
        <v>23.53</v>
      </c>
      <c r="F124">
        <v>3025569.37</v>
      </c>
      <c r="G124">
        <v>23.53</v>
      </c>
      <c r="L124" t="s">
        <v>7</v>
      </c>
      <c r="M124" t="s">
        <v>8</v>
      </c>
      <c r="N124" t="s">
        <v>8</v>
      </c>
      <c r="P124">
        <f t="shared" ref="P124" si="595">IF(C124=D124,0,((E124-D124)-(C124-E124))/(C124-D124))</f>
        <v>0.35820895522388096</v>
      </c>
      <c r="Q124">
        <f t="shared" ref="Q124" si="596">F124*P124</f>
        <v>1083786.0429850759</v>
      </c>
      <c r="R124">
        <f t="shared" ref="R124" si="597">R125+Q124</f>
        <v>50316916.476755753</v>
      </c>
      <c r="S124">
        <f t="shared" ref="S124" si="598">R124/100000</f>
        <v>503.1691647675575</v>
      </c>
      <c r="T124">
        <f t="shared" ref="T124" si="599">S124/1000</f>
        <v>0.50316916476755746</v>
      </c>
    </row>
    <row r="125" spans="1:20" x14ac:dyDescent="0.25">
      <c r="A125" s="5">
        <v>44468</v>
      </c>
      <c r="B125">
        <v>23.07</v>
      </c>
      <c r="C125">
        <v>24.28</v>
      </c>
      <c r="D125">
        <v>22.31</v>
      </c>
      <c r="E125">
        <v>23.01</v>
      </c>
      <c r="F125">
        <v>4862691.46</v>
      </c>
      <c r="G125">
        <v>23.01</v>
      </c>
      <c r="L125" t="s">
        <v>8</v>
      </c>
      <c r="M125" t="s">
        <v>8</v>
      </c>
      <c r="N125" t="s">
        <v>8</v>
      </c>
      <c r="P125">
        <f t="shared" ref="P125" si="600">IF(C125=D125,0,((E125-D125)-(C125-E125))/(C125-D125))</f>
        <v>-0.28934010152284062</v>
      </c>
      <c r="Q125">
        <f t="shared" ref="Q125" si="601">F125*P125</f>
        <v>-1406971.64071065</v>
      </c>
      <c r="R125">
        <f t="shared" ref="R125" si="602">R126+Q125</f>
        <v>49233130.433770679</v>
      </c>
      <c r="S125">
        <f t="shared" ref="S125" si="603">R125/100000</f>
        <v>492.3313043377068</v>
      </c>
      <c r="T125">
        <f t="shared" ref="T125" si="604">S125/1000</f>
        <v>0.49233130433770678</v>
      </c>
    </row>
    <row r="126" spans="1:20" x14ac:dyDescent="0.25">
      <c r="A126" s="5">
        <v>44467</v>
      </c>
      <c r="B126">
        <v>22.39</v>
      </c>
      <c r="C126">
        <v>25</v>
      </c>
      <c r="D126">
        <v>22.15</v>
      </c>
      <c r="E126">
        <v>23.07</v>
      </c>
      <c r="F126">
        <v>8626875.0999999996</v>
      </c>
      <c r="G126">
        <v>23.07</v>
      </c>
      <c r="L126" t="s">
        <v>7</v>
      </c>
      <c r="M126" t="s">
        <v>8</v>
      </c>
      <c r="N126" t="s">
        <v>8</v>
      </c>
      <c r="P126">
        <f t="shared" ref="P126" si="605">IF(C126=D126,0,((E126-D126)-(C126-E126))/(C126-D126))</f>
        <v>-0.35438596491227981</v>
      </c>
      <c r="Q126">
        <f t="shared" ref="Q126" si="606">F126*P126</f>
        <v>-3057243.4564912203</v>
      </c>
      <c r="R126">
        <f t="shared" ref="R126" si="607">R127+Q126</f>
        <v>50640102.074481331</v>
      </c>
      <c r="S126">
        <f t="shared" ref="S126" si="608">R126/100000</f>
        <v>506.40102074481331</v>
      </c>
      <c r="T126">
        <f t="shared" ref="T126" si="609">S126/1000</f>
        <v>0.5064010207448133</v>
      </c>
    </row>
    <row r="127" spans="1:20" x14ac:dyDescent="0.25">
      <c r="A127" s="5">
        <v>44466</v>
      </c>
      <c r="B127">
        <v>24.04</v>
      </c>
      <c r="C127">
        <v>26.03</v>
      </c>
      <c r="D127">
        <v>22.26</v>
      </c>
      <c r="E127">
        <v>22.38</v>
      </c>
      <c r="F127">
        <v>8594553.6099999994</v>
      </c>
      <c r="G127">
        <v>22.38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-0.9363395225464205</v>
      </c>
      <c r="Q127">
        <f t="shared" ref="Q127" si="611">F127*P127</f>
        <v>-8047420.2236870145</v>
      </c>
      <c r="R127">
        <f t="shared" ref="R127" si="612">R128+Q127</f>
        <v>53697345.530972548</v>
      </c>
      <c r="S127">
        <f t="shared" ref="S127" si="613">R127/100000</f>
        <v>536.97345530972552</v>
      </c>
      <c r="T127">
        <f t="shared" ref="T127" si="614">S127/1000</f>
        <v>0.53697345530972551</v>
      </c>
    </row>
    <row r="128" spans="1:20" x14ac:dyDescent="0.25">
      <c r="A128" s="5">
        <v>44465</v>
      </c>
      <c r="B128">
        <v>19.47</v>
      </c>
      <c r="C128">
        <v>24.76</v>
      </c>
      <c r="D128">
        <v>17.73</v>
      </c>
      <c r="E128">
        <v>24.04</v>
      </c>
      <c r="F128">
        <v>12451857.696</v>
      </c>
      <c r="G128">
        <v>24.04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0.79516358463726822</v>
      </c>
      <c r="Q128">
        <f t="shared" ref="Q128" si="616">F128*P128</f>
        <v>9901263.8009445164</v>
      </c>
      <c r="R128">
        <f t="shared" ref="R128" si="617">R129+Q128</f>
        <v>61744765.754659563</v>
      </c>
      <c r="S128">
        <f t="shared" ref="S128" si="618">R128/100000</f>
        <v>617.44765754659568</v>
      </c>
      <c r="T128">
        <f t="shared" ref="T128" si="619">S128/1000</f>
        <v>0.6174476575465957</v>
      </c>
    </row>
    <row r="129" spans="1:20" x14ac:dyDescent="0.25">
      <c r="A129" s="5">
        <v>44464</v>
      </c>
      <c r="B129">
        <v>19.649999999999999</v>
      </c>
      <c r="C129">
        <v>20.100000000000001</v>
      </c>
      <c r="D129">
        <v>18.940000000000001</v>
      </c>
      <c r="E129">
        <v>19.47</v>
      </c>
      <c r="F129">
        <v>1934554.35</v>
      </c>
      <c r="G129">
        <v>19.47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-8.6206896551728418E-2</v>
      </c>
      <c r="Q129">
        <f t="shared" ref="Q129" si="621">F129*P129</f>
        <v>-166771.92672414621</v>
      </c>
      <c r="R129">
        <f t="shared" ref="R129" si="622">R130+Q129</f>
        <v>51843501.953715049</v>
      </c>
      <c r="S129">
        <f t="shared" ref="S129" si="623">R129/100000</f>
        <v>518.43501953715054</v>
      </c>
      <c r="T129">
        <f t="shared" ref="T129" si="624">S129/1000</f>
        <v>0.51843501953715054</v>
      </c>
    </row>
    <row r="130" spans="1:20" x14ac:dyDescent="0.25">
      <c r="A130" s="5">
        <v>44463</v>
      </c>
      <c r="B130">
        <v>21.5</v>
      </c>
      <c r="C130">
        <v>21.63</v>
      </c>
      <c r="D130">
        <v>18.170000000000002</v>
      </c>
      <c r="E130">
        <v>19.649999999999999</v>
      </c>
      <c r="F130">
        <v>3288006.949</v>
      </c>
      <c r="G130">
        <v>19.649999999999999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-0.14450867052023236</v>
      </c>
      <c r="Q130">
        <f t="shared" ref="Q130" si="626">F130*P130</f>
        <v>-475145.51286127546</v>
      </c>
      <c r="R130">
        <f t="shared" ref="R130" si="627">R131+Q130</f>
        <v>52010273.880439192</v>
      </c>
      <c r="S130">
        <f t="shared" ref="S130" si="628">R130/100000</f>
        <v>520.10273880439195</v>
      </c>
      <c r="T130">
        <f t="shared" ref="T130" si="629">S130/1000</f>
        <v>0.52010273880439195</v>
      </c>
    </row>
    <row r="131" spans="1:20" x14ac:dyDescent="0.25">
      <c r="A131" s="5">
        <v>44462</v>
      </c>
      <c r="B131">
        <v>21.62</v>
      </c>
      <c r="C131">
        <v>21.84</v>
      </c>
      <c r="D131">
        <v>20.88</v>
      </c>
      <c r="E131">
        <v>21.5</v>
      </c>
      <c r="F131">
        <v>1648480.95</v>
      </c>
      <c r="G131">
        <v>21.5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0.29166666666666757</v>
      </c>
      <c r="Q131">
        <f t="shared" ref="Q131" si="631">F131*P131</f>
        <v>480806.94375000149</v>
      </c>
      <c r="R131">
        <f t="shared" ref="R131" si="632">R132+Q131</f>
        <v>52485419.393300466</v>
      </c>
      <c r="S131">
        <f t="shared" ref="S131" si="633">R131/100000</f>
        <v>524.85419393300469</v>
      </c>
      <c r="T131">
        <f t="shared" ref="T131" si="634">S131/1000</f>
        <v>0.5248541939330047</v>
      </c>
    </row>
    <row r="132" spans="1:20" x14ac:dyDescent="0.25">
      <c r="A132" s="5">
        <v>44461</v>
      </c>
      <c r="B132">
        <v>19.07</v>
      </c>
      <c r="C132">
        <v>21.66</v>
      </c>
      <c r="D132">
        <v>18.850000000000001</v>
      </c>
      <c r="E132">
        <v>21.62</v>
      </c>
      <c r="F132">
        <v>2854102.75</v>
      </c>
      <c r="G132">
        <v>21.62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0.97153024911032093</v>
      </c>
      <c r="Q132">
        <f t="shared" ref="Q132" si="636">F132*P132</f>
        <v>2772847.155693952</v>
      </c>
      <c r="R132">
        <f t="shared" ref="R132" si="637">R133+Q132</f>
        <v>52004612.449550465</v>
      </c>
      <c r="S132">
        <f t="shared" ref="S132" si="638">R132/100000</f>
        <v>520.04612449550461</v>
      </c>
      <c r="T132">
        <f t="shared" ref="T132" si="639">S132/1000</f>
        <v>0.52004612449550458</v>
      </c>
    </row>
    <row r="133" spans="1:20" x14ac:dyDescent="0.25">
      <c r="A133" s="5">
        <v>44460</v>
      </c>
      <c r="B133">
        <v>20.89</v>
      </c>
      <c r="C133">
        <v>21.64</v>
      </c>
      <c r="D133">
        <v>18.329999999999998</v>
      </c>
      <c r="E133">
        <v>19.059999999999999</v>
      </c>
      <c r="F133">
        <v>3710637.736</v>
      </c>
      <c r="G133">
        <v>19.059999999999999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-0.55891238670694865</v>
      </c>
      <c r="Q133">
        <f t="shared" ref="Q133" si="641">F133*P133</f>
        <v>-2073921.3932326285</v>
      </c>
      <c r="R133">
        <f t="shared" ref="R133" si="642">R134+Q133</f>
        <v>49231765.293856516</v>
      </c>
      <c r="S133">
        <f t="shared" ref="S133" si="643">R133/100000</f>
        <v>492.31765293856517</v>
      </c>
      <c r="T133">
        <f t="shared" ref="T133" si="644">S133/1000</f>
        <v>0.49231765293856516</v>
      </c>
    </row>
    <row r="134" spans="1:20" x14ac:dyDescent="0.25">
      <c r="A134" s="5">
        <v>44459</v>
      </c>
      <c r="B134">
        <v>23.89</v>
      </c>
      <c r="C134">
        <v>23.99</v>
      </c>
      <c r="D134">
        <v>22.1</v>
      </c>
      <c r="E134">
        <v>22.52</v>
      </c>
      <c r="F134">
        <v>1335519.51</v>
      </c>
      <c r="G134">
        <v>22.52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-0.5555555555555568</v>
      </c>
      <c r="Q134">
        <f t="shared" ref="Q134" si="646">F134*P134</f>
        <v>-741955.28333333496</v>
      </c>
      <c r="R134">
        <f t="shared" ref="R134" si="647">R135+Q134</f>
        <v>51305686.687089145</v>
      </c>
      <c r="S134">
        <f t="shared" ref="S134" si="648">R134/100000</f>
        <v>513.05686687089144</v>
      </c>
      <c r="T134">
        <f t="shared" ref="T134" si="649">S134/1000</f>
        <v>0.51305686687089147</v>
      </c>
    </row>
    <row r="135" spans="1:20" x14ac:dyDescent="0.25">
      <c r="A135" s="5">
        <v>44458</v>
      </c>
      <c r="B135">
        <v>24.53</v>
      </c>
      <c r="C135">
        <v>24.65</v>
      </c>
      <c r="D135">
        <v>23.5</v>
      </c>
      <c r="E135">
        <v>23.87</v>
      </c>
      <c r="F135">
        <v>1100345.52</v>
      </c>
      <c r="G135">
        <v>23.87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-0.35652173913043228</v>
      </c>
      <c r="Q135">
        <f t="shared" ref="Q135" si="651">F135*P135</f>
        <v>-392297.09843477985</v>
      </c>
      <c r="R135">
        <f t="shared" ref="R135" si="652">R136+Q135</f>
        <v>52047641.970422477</v>
      </c>
      <c r="S135">
        <f t="shared" ref="S135" si="653">R135/100000</f>
        <v>520.47641970422478</v>
      </c>
      <c r="T135">
        <f t="shared" ref="T135" si="654">S135/1000</f>
        <v>0.52047641970422476</v>
      </c>
    </row>
    <row r="136" spans="1:20" x14ac:dyDescent="0.25">
      <c r="A136" s="5">
        <v>44457</v>
      </c>
      <c r="B136">
        <v>24.33</v>
      </c>
      <c r="C136">
        <v>25.22</v>
      </c>
      <c r="D136">
        <v>23.93</v>
      </c>
      <c r="E136">
        <v>24.54</v>
      </c>
      <c r="F136">
        <v>1340393.94</v>
      </c>
      <c r="G136">
        <v>24.54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-5.4263565891473124E-2</v>
      </c>
      <c r="Q136">
        <f t="shared" ref="Q136" si="656">F136*P136</f>
        <v>-72734.55488372127</v>
      </c>
      <c r="R136">
        <f t="shared" ref="R136" si="657">R137+Q136</f>
        <v>52439939.06885726</v>
      </c>
      <c r="S136">
        <f t="shared" ref="S136" si="658">R136/100000</f>
        <v>524.39939068857257</v>
      </c>
      <c r="T136">
        <f t="shared" ref="T136" si="659">S136/1000</f>
        <v>0.52439939068857255</v>
      </c>
    </row>
    <row r="137" spans="1:20" x14ac:dyDescent="0.25">
      <c r="A137" s="5">
        <v>44456</v>
      </c>
      <c r="B137">
        <v>26.24</v>
      </c>
      <c r="C137">
        <v>26.4</v>
      </c>
      <c r="D137">
        <v>24</v>
      </c>
      <c r="E137">
        <v>24.32</v>
      </c>
      <c r="F137">
        <v>2953068.27</v>
      </c>
      <c r="G137">
        <v>24.32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-0.73333333333333295</v>
      </c>
      <c r="Q137">
        <f t="shared" ref="Q137" si="661">F137*P137</f>
        <v>-2165583.3979999986</v>
      </c>
      <c r="R137">
        <f t="shared" ref="R137" si="662">R138+Q137</f>
        <v>52512673.623740979</v>
      </c>
      <c r="S137">
        <f t="shared" ref="S137" si="663">R137/100000</f>
        <v>525.12673623740977</v>
      </c>
      <c r="T137">
        <f t="shared" ref="T137" si="664">S137/1000</f>
        <v>0.5251267362374098</v>
      </c>
    </row>
    <row r="138" spans="1:20" x14ac:dyDescent="0.25">
      <c r="A138" s="5">
        <v>44455</v>
      </c>
      <c r="B138">
        <v>27.48</v>
      </c>
      <c r="C138">
        <v>27.62</v>
      </c>
      <c r="D138">
        <v>25.22</v>
      </c>
      <c r="E138">
        <v>26.23</v>
      </c>
      <c r="F138">
        <v>3604414.07</v>
      </c>
      <c r="G138">
        <v>26.23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-0.15833333333333277</v>
      </c>
      <c r="Q138">
        <f t="shared" ref="Q138" si="666">F138*P138</f>
        <v>-570698.89441666461</v>
      </c>
      <c r="R138">
        <f t="shared" ref="R138" si="667">R139+Q138</f>
        <v>54678257.02174098</v>
      </c>
      <c r="S138">
        <f t="shared" ref="S138" si="668">R138/100000</f>
        <v>546.78257021740978</v>
      </c>
      <c r="T138">
        <f t="shared" ref="T138" si="669">S138/1000</f>
        <v>0.54678257021740984</v>
      </c>
    </row>
    <row r="139" spans="1:20" x14ac:dyDescent="0.25">
      <c r="A139" s="5">
        <v>44454</v>
      </c>
      <c r="B139">
        <v>25.67</v>
      </c>
      <c r="C139">
        <v>27.47</v>
      </c>
      <c r="D139">
        <v>24.69</v>
      </c>
      <c r="E139">
        <v>27.47</v>
      </c>
      <c r="F139">
        <v>3780994.68</v>
      </c>
      <c r="G139">
        <v>27.47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1</v>
      </c>
      <c r="Q139">
        <f t="shared" ref="Q139" si="671">F139*P139</f>
        <v>3780994.68</v>
      </c>
      <c r="R139">
        <f t="shared" ref="R139" si="672">R140+Q139</f>
        <v>55248955.916157648</v>
      </c>
      <c r="S139">
        <f t="shared" ref="S139" si="673">R139/100000</f>
        <v>552.48955916157649</v>
      </c>
      <c r="T139">
        <f t="shared" ref="T139" si="674">S139/1000</f>
        <v>0.55248955916157649</v>
      </c>
    </row>
    <row r="140" spans="1:20" x14ac:dyDescent="0.25">
      <c r="A140" s="5">
        <v>44453</v>
      </c>
      <c r="B140">
        <v>22.66</v>
      </c>
      <c r="C140">
        <v>25.93</v>
      </c>
      <c r="D140">
        <v>22.47</v>
      </c>
      <c r="E140">
        <v>25.68</v>
      </c>
      <c r="F140">
        <v>3503337.11</v>
      </c>
      <c r="G140">
        <v>25.68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0.8554913294797688</v>
      </c>
      <c r="Q140">
        <f t="shared" ref="Q140" si="676">F140*P140</f>
        <v>2997074.521849711</v>
      </c>
      <c r="R140">
        <f t="shared" ref="R140" si="677">R141+Q140</f>
        <v>51467961.236157648</v>
      </c>
      <c r="S140">
        <f t="shared" ref="S140" si="678">R140/100000</f>
        <v>514.67961236157646</v>
      </c>
      <c r="T140">
        <f t="shared" ref="T140" si="679">S140/1000</f>
        <v>0.51467961236157644</v>
      </c>
    </row>
    <row r="141" spans="1:20" x14ac:dyDescent="0.25">
      <c r="A141" s="5">
        <v>44452</v>
      </c>
      <c r="B141">
        <v>23.74</v>
      </c>
      <c r="C141">
        <v>24.05</v>
      </c>
      <c r="D141">
        <v>21.37</v>
      </c>
      <c r="E141">
        <v>22.66</v>
      </c>
      <c r="F141">
        <v>2501947.16</v>
      </c>
      <c r="G141">
        <v>22.66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-3.7313432835821427E-2</v>
      </c>
      <c r="Q141">
        <f t="shared" ref="Q141" si="681">F141*P141</f>
        <v>-93356.237313434176</v>
      </c>
      <c r="R141">
        <f t="shared" ref="R141" si="682">R142+Q141</f>
        <v>48470886.714307934</v>
      </c>
      <c r="S141">
        <f t="shared" ref="S141" si="683">R141/100000</f>
        <v>484.70886714307932</v>
      </c>
      <c r="T141">
        <f t="shared" ref="T141" si="684">S141/1000</f>
        <v>0.48470886714307931</v>
      </c>
    </row>
    <row r="142" spans="1:20" x14ac:dyDescent="0.25">
      <c r="A142" s="5">
        <v>44451</v>
      </c>
      <c r="B142">
        <v>22.73</v>
      </c>
      <c r="C142">
        <v>24.28</v>
      </c>
      <c r="D142">
        <v>22.16</v>
      </c>
      <c r="E142">
        <v>23.74</v>
      </c>
      <c r="F142">
        <v>2233078.66</v>
      </c>
      <c r="G142">
        <v>23.74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0.49056603773584673</v>
      </c>
      <c r="Q142">
        <f t="shared" ref="Q142" si="686">F142*P142</f>
        <v>1095472.5501886741</v>
      </c>
      <c r="R142">
        <f t="shared" ref="R142" si="687">R143+Q142</f>
        <v>48564242.951621369</v>
      </c>
      <c r="S142">
        <f t="shared" ref="S142" si="688">R142/100000</f>
        <v>485.64242951621367</v>
      </c>
      <c r="T142">
        <f t="shared" ref="T142" si="689">S142/1000</f>
        <v>0.48564242951621367</v>
      </c>
    </row>
    <row r="143" spans="1:20" x14ac:dyDescent="0.25">
      <c r="A143" s="5">
        <v>44450</v>
      </c>
      <c r="B143">
        <v>22.3</v>
      </c>
      <c r="C143">
        <v>23.91</v>
      </c>
      <c r="D143">
        <v>22.23</v>
      </c>
      <c r="E143">
        <v>22.73</v>
      </c>
      <c r="F143">
        <v>1530804.49</v>
      </c>
      <c r="G143">
        <v>22.73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-0.40476190476190466</v>
      </c>
      <c r="Q143">
        <f t="shared" ref="Q143" si="691">F143*P143</f>
        <v>-619611.34119047597</v>
      </c>
      <c r="R143">
        <f t="shared" ref="R143" si="692">R144+Q143</f>
        <v>47468770.401432693</v>
      </c>
      <c r="S143">
        <f t="shared" ref="S143" si="693">R143/100000</f>
        <v>474.68770401432693</v>
      </c>
      <c r="T143">
        <f t="shared" ref="T143" si="694">S143/1000</f>
        <v>0.47468770401432692</v>
      </c>
    </row>
    <row r="144" spans="1:20" x14ac:dyDescent="0.25">
      <c r="A144" s="5">
        <v>44449</v>
      </c>
      <c r="B144">
        <v>23.31</v>
      </c>
      <c r="C144">
        <v>24.26</v>
      </c>
      <c r="D144">
        <v>21.4</v>
      </c>
      <c r="E144">
        <v>22.31</v>
      </c>
      <c r="F144">
        <v>2591885.65</v>
      </c>
      <c r="G144">
        <v>22.31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-0.3636363636363642</v>
      </c>
      <c r="Q144">
        <f t="shared" ref="Q144" si="696">F144*P144</f>
        <v>-942503.8727272742</v>
      </c>
      <c r="R144">
        <f t="shared" ref="R144" si="697">R145+Q144</f>
        <v>48088381.742623165</v>
      </c>
      <c r="S144">
        <f t="shared" ref="S144" si="698">R144/100000</f>
        <v>480.88381742623164</v>
      </c>
      <c r="T144">
        <f t="shared" ref="T144" si="699">S144/1000</f>
        <v>0.48088381742623165</v>
      </c>
    </row>
    <row r="145" spans="1:20" x14ac:dyDescent="0.25">
      <c r="A145" s="5">
        <v>44448</v>
      </c>
      <c r="B145">
        <v>23.15</v>
      </c>
      <c r="C145">
        <v>24.73</v>
      </c>
      <c r="D145">
        <v>22.71</v>
      </c>
      <c r="E145">
        <v>23.32</v>
      </c>
      <c r="F145">
        <v>3345222.86</v>
      </c>
      <c r="G145">
        <v>23.32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-0.3960396039603965</v>
      </c>
      <c r="Q145">
        <f t="shared" ref="Q145" si="701">F145*P145</f>
        <v>-1324840.7366336649</v>
      </c>
      <c r="R145">
        <f t="shared" ref="R145" si="702">R146+Q145</f>
        <v>49030885.61535044</v>
      </c>
      <c r="S145">
        <f t="shared" ref="S145" si="703">R145/100000</f>
        <v>490.30885615350439</v>
      </c>
      <c r="T145">
        <f t="shared" ref="T145" si="704">S145/1000</f>
        <v>0.49030885615350439</v>
      </c>
    </row>
    <row r="146" spans="1:20" x14ac:dyDescent="0.25">
      <c r="A146" s="5">
        <v>44447</v>
      </c>
      <c r="B146">
        <v>24.34</v>
      </c>
      <c r="C146">
        <v>24.98</v>
      </c>
      <c r="D146">
        <v>21.35</v>
      </c>
      <c r="E146">
        <v>23.15</v>
      </c>
      <c r="F146">
        <v>4662434.29</v>
      </c>
      <c r="G146">
        <v>23.15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-8.2644628099186497E-3</v>
      </c>
      <c r="Q146">
        <f t="shared" ref="Q146" si="706">F146*P146</f>
        <v>-38532.514793394468</v>
      </c>
      <c r="R146">
        <f t="shared" ref="R146" si="707">R147+Q146</f>
        <v>50355726.351984106</v>
      </c>
      <c r="S146">
        <f t="shared" ref="S146" si="708">R146/100000</f>
        <v>503.55726351984106</v>
      </c>
      <c r="T146">
        <f t="shared" ref="T146" si="709">S146/1000</f>
        <v>0.50355726351984109</v>
      </c>
    </row>
    <row r="147" spans="1:20" x14ac:dyDescent="0.25">
      <c r="A147" s="5">
        <v>44446</v>
      </c>
      <c r="B147">
        <v>28.84</v>
      </c>
      <c r="C147">
        <v>29.33</v>
      </c>
      <c r="D147">
        <v>21</v>
      </c>
      <c r="E147">
        <v>24.32</v>
      </c>
      <c r="F147">
        <v>8621704.9179999996</v>
      </c>
      <c r="G147">
        <v>24.32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-0.20288115246098415</v>
      </c>
      <c r="Q147">
        <f t="shared" ref="Q147" si="711">F147*P147</f>
        <v>-1749181.4299423748</v>
      </c>
      <c r="R147">
        <f t="shared" ref="R147" si="712">R148+Q147</f>
        <v>50394258.866777502</v>
      </c>
      <c r="S147">
        <f t="shared" ref="S147" si="713">R147/100000</f>
        <v>503.942588667775</v>
      </c>
      <c r="T147">
        <f t="shared" ref="T147" si="714">S147/1000</f>
        <v>0.50394258866777497</v>
      </c>
    </row>
    <row r="148" spans="1:20" x14ac:dyDescent="0.25">
      <c r="A148" s="5">
        <v>44445</v>
      </c>
      <c r="B148">
        <v>29.35</v>
      </c>
      <c r="C148">
        <v>30.3</v>
      </c>
      <c r="D148">
        <v>28.11</v>
      </c>
      <c r="E148">
        <v>28.84</v>
      </c>
      <c r="F148">
        <v>3797456.43</v>
      </c>
      <c r="G148">
        <v>28.84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-0.33333333333333331</v>
      </c>
      <c r="Q148">
        <f t="shared" ref="Q148" si="716">F148*P148</f>
        <v>-1265818.81</v>
      </c>
      <c r="R148">
        <f t="shared" ref="R148" si="717">R149+Q148</f>
        <v>52143440.296719879</v>
      </c>
      <c r="S148">
        <f t="shared" ref="S148" si="718">R148/100000</f>
        <v>521.43440296719882</v>
      </c>
      <c r="T148">
        <f t="shared" ref="T148" si="719">S148/1000</f>
        <v>0.52143440296719878</v>
      </c>
    </row>
    <row r="149" spans="1:20" x14ac:dyDescent="0.25">
      <c r="A149" s="5">
        <v>44444</v>
      </c>
      <c r="B149">
        <v>28.57</v>
      </c>
      <c r="C149">
        <v>29.5</v>
      </c>
      <c r="D149">
        <v>28.25</v>
      </c>
      <c r="E149">
        <v>29.37</v>
      </c>
      <c r="F149">
        <v>1844290.25</v>
      </c>
      <c r="G149">
        <v>29.37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0.79200000000000159</v>
      </c>
      <c r="Q149">
        <f t="shared" ref="Q149" si="721">F149*P149</f>
        <v>1460677.8780000028</v>
      </c>
      <c r="R149">
        <f t="shared" ref="R149" si="722">R150+Q149</f>
        <v>53409259.106719881</v>
      </c>
      <c r="S149">
        <f t="shared" ref="S149" si="723">R149/100000</f>
        <v>534.09259106719878</v>
      </c>
      <c r="T149">
        <f t="shared" ref="T149" si="724">S149/1000</f>
        <v>0.53409259106719875</v>
      </c>
    </row>
    <row r="150" spans="1:20" x14ac:dyDescent="0.25">
      <c r="A150" s="5">
        <v>44443</v>
      </c>
      <c r="B150">
        <v>28.66</v>
      </c>
      <c r="C150">
        <v>29.48</v>
      </c>
      <c r="D150">
        <v>28.2</v>
      </c>
      <c r="E150">
        <v>28.56</v>
      </c>
      <c r="F150">
        <v>2175242.4</v>
      </c>
      <c r="G150">
        <v>28.56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-0.43750000000000139</v>
      </c>
      <c r="Q150">
        <f t="shared" ref="Q150" si="726">F150*P150</f>
        <v>-951668.55000000296</v>
      </c>
      <c r="R150">
        <f t="shared" ref="R150" si="727">R151+Q150</f>
        <v>51948581.228719875</v>
      </c>
      <c r="S150">
        <f t="shared" ref="S150" si="728">R150/100000</f>
        <v>519.48581228719877</v>
      </c>
      <c r="T150">
        <f t="shared" ref="T150" si="729">S150/1000</f>
        <v>0.51948581228719881</v>
      </c>
    </row>
    <row r="151" spans="1:20" x14ac:dyDescent="0.25">
      <c r="A151" s="5">
        <v>44442</v>
      </c>
      <c r="B151">
        <v>29.93</v>
      </c>
      <c r="C151">
        <v>31.21</v>
      </c>
      <c r="D151">
        <v>28.31</v>
      </c>
      <c r="E151">
        <v>28.65</v>
      </c>
      <c r="F151">
        <v>6213970.6399999997</v>
      </c>
      <c r="G151">
        <v>28.65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-0.76551724137931065</v>
      </c>
      <c r="Q151">
        <f t="shared" ref="Q151" si="731">F151*P151</f>
        <v>-4756901.6623448292</v>
      </c>
      <c r="R151">
        <f t="shared" ref="R151" si="732">R152+Q151</f>
        <v>52900249.77871988</v>
      </c>
      <c r="S151">
        <f t="shared" ref="S151" si="733">R151/100000</f>
        <v>529.00249778719876</v>
      </c>
      <c r="T151">
        <f t="shared" ref="T151" si="734">S151/1000</f>
        <v>0.52900249778719877</v>
      </c>
    </row>
    <row r="152" spans="1:20" x14ac:dyDescent="0.25">
      <c r="A152" s="5">
        <v>44441</v>
      </c>
      <c r="B152">
        <v>31.33</v>
      </c>
      <c r="C152">
        <v>31.41</v>
      </c>
      <c r="D152">
        <v>29.48</v>
      </c>
      <c r="E152">
        <v>29.93</v>
      </c>
      <c r="F152">
        <v>2046183.925</v>
      </c>
      <c r="G152">
        <v>29.93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-0.53367875647668461</v>
      </c>
      <c r="Q152">
        <f t="shared" ref="Q152" si="736">F152*P152</f>
        <v>-1092004.8926165816</v>
      </c>
      <c r="R152">
        <f t="shared" ref="R152" si="737">R153+Q152</f>
        <v>57657151.441064708</v>
      </c>
      <c r="S152">
        <f t="shared" ref="S152" si="738">R152/100000</f>
        <v>576.57151441064707</v>
      </c>
      <c r="T152">
        <f t="shared" ref="T152" si="739">S152/1000</f>
        <v>0.57657151441064702</v>
      </c>
    </row>
    <row r="153" spans="1:20" x14ac:dyDescent="0.25">
      <c r="A153" s="5">
        <v>44440</v>
      </c>
      <c r="B153">
        <v>29.37</v>
      </c>
      <c r="C153">
        <v>31.385000000000002</v>
      </c>
      <c r="D153">
        <v>28.69</v>
      </c>
      <c r="E153">
        <v>31.35</v>
      </c>
      <c r="F153">
        <v>4806428.8449999997</v>
      </c>
      <c r="G153">
        <v>31.35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0.97402597402597391</v>
      </c>
      <c r="Q153">
        <f t="shared" ref="Q153" si="741">F153*P153</f>
        <v>4681586.5373376617</v>
      </c>
      <c r="R153">
        <f t="shared" ref="R153" si="742">R154+Q153</f>
        <v>58749156.333681293</v>
      </c>
      <c r="S153">
        <f t="shared" ref="S153" si="743">R153/100000</f>
        <v>587.49156333681287</v>
      </c>
      <c r="T153">
        <f t="shared" ref="T153" si="744">S153/1000</f>
        <v>0.58749156333681285</v>
      </c>
    </row>
    <row r="154" spans="1:20" x14ac:dyDescent="0.25">
      <c r="A154" s="5">
        <v>44439</v>
      </c>
      <c r="B154">
        <v>26.84</v>
      </c>
      <c r="C154">
        <v>29.79</v>
      </c>
      <c r="D154">
        <v>26.15</v>
      </c>
      <c r="E154">
        <v>29.38</v>
      </c>
      <c r="F154">
        <v>4325565.5650000004</v>
      </c>
      <c r="G154">
        <v>29.38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0.77472527472527464</v>
      </c>
      <c r="Q154">
        <f t="shared" ref="Q154" si="746">F154*P154</f>
        <v>3351124.9706868134</v>
      </c>
      <c r="R154">
        <f t="shared" ref="R154" si="747">R155+Q154</f>
        <v>54067569.796343632</v>
      </c>
      <c r="S154">
        <f t="shared" ref="S154" si="748">R154/100000</f>
        <v>540.67569796343628</v>
      </c>
      <c r="T154">
        <f t="shared" ref="T154" si="749">S154/1000</f>
        <v>0.54067569796343629</v>
      </c>
    </row>
    <row r="155" spans="1:20" x14ac:dyDescent="0.25">
      <c r="A155" s="5">
        <v>44438</v>
      </c>
      <c r="B155">
        <v>26.8</v>
      </c>
      <c r="C155">
        <v>28.22</v>
      </c>
      <c r="D155">
        <v>25.55</v>
      </c>
      <c r="E155">
        <v>26.84</v>
      </c>
      <c r="F155">
        <v>2436669.4169999999</v>
      </c>
      <c r="G155">
        <v>26.84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-3.3707865168539297E-2</v>
      </c>
      <c r="Q155">
        <f t="shared" ref="Q155" si="751">F155*P155</f>
        <v>-82134.924168539248</v>
      </c>
      <c r="R155">
        <f t="shared" ref="R155" si="752">R156+Q155</f>
        <v>50716444.825656816</v>
      </c>
      <c r="S155">
        <f t="shared" ref="S155" si="753">R155/100000</f>
        <v>507.16444825656816</v>
      </c>
      <c r="T155">
        <f t="shared" ref="T155" si="754">S155/1000</f>
        <v>0.50716444825656815</v>
      </c>
    </row>
    <row r="156" spans="1:20" x14ac:dyDescent="0.25">
      <c r="A156" s="5">
        <v>44437</v>
      </c>
      <c r="B156">
        <v>26.84</v>
      </c>
      <c r="C156">
        <v>27.67</v>
      </c>
      <c r="D156">
        <v>26.15</v>
      </c>
      <c r="E156">
        <v>26.78</v>
      </c>
      <c r="F156">
        <v>1549825.926</v>
      </c>
      <c r="G156">
        <v>26.78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-0.17105263157894571</v>
      </c>
      <c r="Q156">
        <f t="shared" ref="Q156" si="756">F156*P156</f>
        <v>-265101.80313157639</v>
      </c>
      <c r="R156">
        <f t="shared" ref="R156" si="757">R157+Q156</f>
        <v>50798579.749825358</v>
      </c>
      <c r="S156">
        <f t="shared" ref="S156" si="758">R156/100000</f>
        <v>507.98579749825359</v>
      </c>
      <c r="T156">
        <f t="shared" ref="T156" si="759">S156/1000</f>
        <v>0.50798579749825357</v>
      </c>
    </row>
    <row r="157" spans="1:20" x14ac:dyDescent="0.25">
      <c r="A157" s="5">
        <v>44436</v>
      </c>
      <c r="B157">
        <v>27.43</v>
      </c>
      <c r="C157">
        <v>27.6</v>
      </c>
      <c r="D157">
        <v>26.62</v>
      </c>
      <c r="E157">
        <v>26.81</v>
      </c>
      <c r="F157">
        <v>1118897.7760000001</v>
      </c>
      <c r="G157">
        <v>26.81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-0.61224489795918846</v>
      </c>
      <c r="Q157">
        <f t="shared" ref="Q157" si="761">F157*P157</f>
        <v>-685039.45469388296</v>
      </c>
      <c r="R157">
        <f t="shared" ref="R157" si="762">R158+Q157</f>
        <v>51063681.552956931</v>
      </c>
      <c r="S157">
        <f t="shared" ref="S157" si="763">R157/100000</f>
        <v>510.63681552956933</v>
      </c>
      <c r="T157">
        <f t="shared" ref="T157" si="764">S157/1000</f>
        <v>0.5106368155295693</v>
      </c>
    </row>
    <row r="158" spans="1:20" x14ac:dyDescent="0.25">
      <c r="A158" s="5">
        <v>44435</v>
      </c>
      <c r="B158">
        <v>25.52</v>
      </c>
      <c r="C158">
        <v>27.478000000000002</v>
      </c>
      <c r="D158">
        <v>25.02</v>
      </c>
      <c r="E158">
        <v>27.41</v>
      </c>
      <c r="F158">
        <v>1901520.9210000001</v>
      </c>
      <c r="G158">
        <v>27.41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0.9446704637916995</v>
      </c>
      <c r="Q158">
        <f t="shared" ref="Q158" si="766">F158*P158</f>
        <v>1796310.6503506897</v>
      </c>
      <c r="R158">
        <f t="shared" ref="R158" si="767">R159+Q158</f>
        <v>51748721.007650815</v>
      </c>
      <c r="S158">
        <f t="shared" ref="S158" si="768">R158/100000</f>
        <v>517.48721007650818</v>
      </c>
      <c r="T158">
        <f t="shared" ref="T158" si="769">S158/1000</f>
        <v>0.51748721007650822</v>
      </c>
    </row>
    <row r="159" spans="1:20" x14ac:dyDescent="0.25">
      <c r="A159" s="5">
        <v>44434</v>
      </c>
      <c r="B159">
        <v>27.052</v>
      </c>
      <c r="C159">
        <v>27.669</v>
      </c>
      <c r="D159">
        <v>25.02</v>
      </c>
      <c r="E159">
        <v>25.51</v>
      </c>
      <c r="F159">
        <v>1862336.2790000001</v>
      </c>
      <c r="G159">
        <v>25.51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-0.63004907512268649</v>
      </c>
      <c r="Q159">
        <f t="shared" ref="Q159" si="771">F159*P159</f>
        <v>-1173363.2501513755</v>
      </c>
      <c r="R159">
        <f t="shared" ref="R159" si="772">R160+Q159</f>
        <v>49952410.357300125</v>
      </c>
      <c r="S159">
        <f t="shared" ref="S159" si="773">R159/100000</f>
        <v>499.52410357300124</v>
      </c>
      <c r="T159">
        <f t="shared" ref="T159" si="774">S159/1000</f>
        <v>0.49952410357300125</v>
      </c>
    </row>
    <row r="160" spans="1:20" x14ac:dyDescent="0.25">
      <c r="A160" s="5">
        <v>44433</v>
      </c>
      <c r="B160">
        <v>26.614000000000001</v>
      </c>
      <c r="C160">
        <v>27.454999999999998</v>
      </c>
      <c r="D160">
        <v>25.68</v>
      </c>
      <c r="E160">
        <v>27.064</v>
      </c>
      <c r="F160">
        <v>1871023.8470000001</v>
      </c>
      <c r="G160">
        <v>27.064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0.55943661971831149</v>
      </c>
      <c r="Q160">
        <f t="shared" ref="Q160" si="776">F160*P160</f>
        <v>1046719.2563780312</v>
      </c>
      <c r="R160">
        <f t="shared" ref="R160" si="777">R161+Q160</f>
        <v>51125773.607451499</v>
      </c>
      <c r="S160">
        <f t="shared" ref="S160" si="778">R160/100000</f>
        <v>511.25773607451498</v>
      </c>
      <c r="T160">
        <f t="shared" ref="T160" si="779">S160/1000</f>
        <v>0.51125773607451497</v>
      </c>
    </row>
    <row r="161" spans="1:20" x14ac:dyDescent="0.25">
      <c r="A161" s="5">
        <v>44432</v>
      </c>
      <c r="B161">
        <v>28.79</v>
      </c>
      <c r="C161">
        <v>29.236000000000001</v>
      </c>
      <c r="D161">
        <v>26.5</v>
      </c>
      <c r="E161">
        <v>26.609000000000002</v>
      </c>
      <c r="F161">
        <v>2151595.8840000001</v>
      </c>
      <c r="G161">
        <v>26.609000000000002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-0.92032163742689932</v>
      </c>
      <c r="Q161">
        <f t="shared" ref="Q161" si="781">F161*P161</f>
        <v>-1980160.2470438569</v>
      </c>
      <c r="R161">
        <f t="shared" ref="R161" si="782">R162+Q161</f>
        <v>50079054.351073466</v>
      </c>
      <c r="S161">
        <f t="shared" ref="S161" si="783">R161/100000</f>
        <v>500.79054351073466</v>
      </c>
      <c r="T161">
        <f t="shared" ref="T161" si="784">S161/1000</f>
        <v>0.50079054351073471</v>
      </c>
    </row>
    <row r="162" spans="1:20" x14ac:dyDescent="0.25">
      <c r="A162" s="5">
        <v>44431</v>
      </c>
      <c r="B162">
        <v>28.4</v>
      </c>
      <c r="C162">
        <v>29.626999999999999</v>
      </c>
      <c r="D162">
        <v>28.363</v>
      </c>
      <c r="E162">
        <v>28.8</v>
      </c>
      <c r="F162">
        <v>2289290.628</v>
      </c>
      <c r="G162">
        <v>28.8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-0.30854430379746617</v>
      </c>
      <c r="Q162">
        <f t="shared" ref="Q162" si="786">F162*P162</f>
        <v>-706347.58300632413</v>
      </c>
      <c r="R162">
        <f t="shared" ref="R162" si="787">R163+Q162</f>
        <v>52059214.598117322</v>
      </c>
      <c r="S162">
        <f t="shared" ref="S162" si="788">R162/100000</f>
        <v>520.59214598117319</v>
      </c>
      <c r="T162">
        <f t="shared" ref="T162" si="789">S162/1000</f>
        <v>0.5205921459811732</v>
      </c>
    </row>
    <row r="163" spans="1:20" x14ac:dyDescent="0.25">
      <c r="A163" s="5">
        <v>44430</v>
      </c>
      <c r="B163">
        <v>28.228999999999999</v>
      </c>
      <c r="C163">
        <v>28.917999999999999</v>
      </c>
      <c r="D163">
        <v>28.126000000000001</v>
      </c>
      <c r="E163">
        <v>28.811</v>
      </c>
      <c r="F163">
        <v>414574.36900000001</v>
      </c>
      <c r="G163">
        <v>28.811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0.72979797979798089</v>
      </c>
      <c r="Q163">
        <f t="shared" ref="Q163" si="791">F163*P163</f>
        <v>302555.53697222268</v>
      </c>
      <c r="R163">
        <f t="shared" ref="R163" si="792">R164+Q163</f>
        <v>52765562.181123644</v>
      </c>
      <c r="S163">
        <f t="shared" ref="S163" si="793">R163/100000</f>
        <v>527.65562181123641</v>
      </c>
      <c r="T163">
        <f t="shared" ref="T163" si="794">S163/1000</f>
        <v>0.52765562181123637</v>
      </c>
    </row>
    <row r="164" spans="1:20" x14ac:dyDescent="0.25">
      <c r="A164" s="5">
        <v>44429</v>
      </c>
      <c r="B164">
        <v>28.887</v>
      </c>
      <c r="C164">
        <v>29.724</v>
      </c>
      <c r="D164">
        <v>28.175000000000001</v>
      </c>
      <c r="E164">
        <v>28.236999999999998</v>
      </c>
      <c r="F164">
        <v>2358606.7119999998</v>
      </c>
      <c r="G164">
        <v>28.236999999999998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-0.91994835377663309</v>
      </c>
      <c r="Q164">
        <f t="shared" ref="Q164" si="796">F164*P164</f>
        <v>-2169796.3619109173</v>
      </c>
      <c r="R164">
        <f t="shared" ref="R164" si="797">R165+Q164</f>
        <v>52463006.644151419</v>
      </c>
      <c r="S164">
        <f t="shared" ref="S164" si="798">R164/100000</f>
        <v>524.63006644151415</v>
      </c>
      <c r="T164">
        <f t="shared" ref="T164" si="799">S164/1000</f>
        <v>0.52463006644151411</v>
      </c>
    </row>
    <row r="165" spans="1:20" x14ac:dyDescent="0.25">
      <c r="A165" s="5">
        <v>44428</v>
      </c>
      <c r="B165">
        <v>27.959</v>
      </c>
      <c r="C165">
        <v>29.233000000000001</v>
      </c>
      <c r="D165">
        <v>27.513999999999999</v>
      </c>
      <c r="E165">
        <v>28.885999999999999</v>
      </c>
      <c r="F165">
        <v>2616101.3829999999</v>
      </c>
      <c r="G165">
        <v>28.885999999999999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0.59627690517742749</v>
      </c>
      <c r="Q165">
        <f t="shared" ref="Q165" si="801">F165*P165</f>
        <v>1559920.8362856279</v>
      </c>
      <c r="R165">
        <f t="shared" ref="R165" si="802">R166+Q165</f>
        <v>54632803.006062336</v>
      </c>
      <c r="S165">
        <f t="shared" ref="S165" si="803">R165/100000</f>
        <v>546.32803006062341</v>
      </c>
      <c r="T165">
        <f t="shared" ref="T165" si="804">S165/1000</f>
        <v>0.54632803006062336</v>
      </c>
    </row>
    <row r="166" spans="1:20" x14ac:dyDescent="0.25">
      <c r="A166" s="5">
        <v>44427</v>
      </c>
      <c r="B166">
        <v>26.318999999999999</v>
      </c>
      <c r="C166">
        <v>27.99</v>
      </c>
      <c r="D166">
        <v>25.306000000000001</v>
      </c>
      <c r="E166">
        <v>27.962</v>
      </c>
      <c r="F166">
        <v>2838095.2069999999</v>
      </c>
      <c r="G166">
        <v>27.962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0.97913561847988173</v>
      </c>
      <c r="Q166">
        <f t="shared" ref="Q166" si="806">F166*P166</f>
        <v>2778880.105810733</v>
      </c>
      <c r="R166">
        <f t="shared" ref="R166" si="807">R167+Q166</f>
        <v>53072882.169776708</v>
      </c>
      <c r="S166">
        <f t="shared" ref="S166" si="808">R166/100000</f>
        <v>530.7288216977671</v>
      </c>
      <c r="T166">
        <f t="shared" ref="T166" si="809">S166/1000</f>
        <v>0.53072882169776714</v>
      </c>
    </row>
    <row r="167" spans="1:20" x14ac:dyDescent="0.25">
      <c r="A167" s="5">
        <v>44426</v>
      </c>
      <c r="B167">
        <v>26.404</v>
      </c>
      <c r="C167">
        <v>27.35</v>
      </c>
      <c r="D167">
        <v>25.37</v>
      </c>
      <c r="E167">
        <v>26.312999999999999</v>
      </c>
      <c r="F167">
        <v>3781661.929</v>
      </c>
      <c r="G167">
        <v>26.312999999999999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-4.7474747474749862E-2</v>
      </c>
      <c r="Q167">
        <f t="shared" ref="Q167" si="811">F167*P167</f>
        <v>-179533.44511415044</v>
      </c>
      <c r="R167">
        <f t="shared" ref="R167" si="812">R168+Q167</f>
        <v>50294002.063965976</v>
      </c>
      <c r="S167">
        <f t="shared" ref="S167" si="813">R167/100000</f>
        <v>502.94002063965974</v>
      </c>
      <c r="T167">
        <f t="shared" ref="T167" si="814">S167/1000</f>
        <v>0.5029400206396597</v>
      </c>
    </row>
    <row r="168" spans="1:20" x14ac:dyDescent="0.25">
      <c r="A168" s="5">
        <v>44425</v>
      </c>
      <c r="B168">
        <v>29.071999999999999</v>
      </c>
      <c r="C168">
        <v>30.809000000000001</v>
      </c>
      <c r="D168">
        <v>25.882000000000001</v>
      </c>
      <c r="E168">
        <v>26.416</v>
      </c>
      <c r="F168">
        <v>3570773.1069999998</v>
      </c>
      <c r="G168">
        <v>26.416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-0.78323523442256993</v>
      </c>
      <c r="Q168">
        <f t="shared" ref="Q168" si="816">F168*P168</f>
        <v>-2796755.3115309533</v>
      </c>
      <c r="R168">
        <f t="shared" ref="R168" si="817">R169+Q168</f>
        <v>50473535.509080127</v>
      </c>
      <c r="S168">
        <f t="shared" ref="S168" si="818">R168/100000</f>
        <v>504.73535509080125</v>
      </c>
      <c r="T168">
        <f t="shared" ref="T168" si="819">S168/1000</f>
        <v>0.50473535509080125</v>
      </c>
    </row>
    <row r="169" spans="1:20" x14ac:dyDescent="0.25">
      <c r="A169" s="5">
        <v>44424</v>
      </c>
      <c r="B169">
        <v>30.239000000000001</v>
      </c>
      <c r="C169">
        <v>31.257000000000001</v>
      </c>
      <c r="D169">
        <v>28.992000000000001</v>
      </c>
      <c r="E169">
        <v>29.071999999999999</v>
      </c>
      <c r="F169">
        <v>2815461.9559999998</v>
      </c>
      <c r="G169">
        <v>29.071999999999999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-0.92935982339956003</v>
      </c>
      <c r="Q169">
        <f t="shared" ref="Q169" si="821">F169*P169</f>
        <v>-2616577.2262163395</v>
      </c>
      <c r="R169">
        <f t="shared" ref="R169" si="822">R170+Q169</f>
        <v>53270290.820611082</v>
      </c>
      <c r="S169">
        <f t="shared" ref="S169" si="823">R169/100000</f>
        <v>532.70290820611081</v>
      </c>
      <c r="T169">
        <f t="shared" ref="T169" si="824">S169/1000</f>
        <v>0.53270290820611077</v>
      </c>
    </row>
    <row r="170" spans="1:20" x14ac:dyDescent="0.25">
      <c r="A170" s="5">
        <v>44423</v>
      </c>
      <c r="B170">
        <v>30.113</v>
      </c>
      <c r="C170">
        <v>30.456</v>
      </c>
      <c r="D170">
        <v>28.28</v>
      </c>
      <c r="E170">
        <v>30.239000000000001</v>
      </c>
      <c r="F170">
        <v>2278033.949</v>
      </c>
      <c r="G170">
        <v>30.239000000000001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0.80055147058823628</v>
      </c>
      <c r="Q170">
        <f t="shared" ref="Q170" si="826">F170*P170</f>
        <v>1823683.4279218772</v>
      </c>
      <c r="R170">
        <f t="shared" ref="R170" si="827">R171+Q170</f>
        <v>55886868.046827421</v>
      </c>
      <c r="S170">
        <f t="shared" ref="S170" si="828">R170/100000</f>
        <v>558.86868046827419</v>
      </c>
      <c r="T170">
        <f t="shared" ref="T170" si="829">S170/1000</f>
        <v>0.5588686804682742</v>
      </c>
    </row>
    <row r="171" spans="1:20" x14ac:dyDescent="0.25">
      <c r="A171" s="5">
        <v>44422</v>
      </c>
      <c r="B171">
        <v>30.513999999999999</v>
      </c>
      <c r="C171">
        <v>30.65</v>
      </c>
      <c r="D171">
        <v>28.675999999999998</v>
      </c>
      <c r="E171">
        <v>30.11</v>
      </c>
      <c r="F171">
        <v>2362628.6630000002</v>
      </c>
      <c r="G171">
        <v>30.11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0.4528875379939219</v>
      </c>
      <c r="Q171">
        <f t="shared" ref="Q171" si="831">F171*P171</f>
        <v>1070005.0783799414</v>
      </c>
      <c r="R171">
        <f t="shared" ref="R171" si="832">R172+Q171</f>
        <v>54063184.618905544</v>
      </c>
      <c r="S171">
        <f t="shared" ref="S171" si="833">R171/100000</f>
        <v>540.63184618905541</v>
      </c>
      <c r="T171">
        <f t="shared" ref="T171" si="834">S171/1000</f>
        <v>0.54063184618905535</v>
      </c>
    </row>
    <row r="172" spans="1:20" x14ac:dyDescent="0.25">
      <c r="A172" s="5">
        <v>44421</v>
      </c>
      <c r="B172">
        <v>28.091999999999999</v>
      </c>
      <c r="C172">
        <v>30.617000000000001</v>
      </c>
      <c r="D172">
        <v>27.844999999999999</v>
      </c>
      <c r="E172">
        <v>30.507000000000001</v>
      </c>
      <c r="F172">
        <v>2444678.0430000001</v>
      </c>
      <c r="G172">
        <v>30.507000000000001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0.92063492063492114</v>
      </c>
      <c r="Q172">
        <f t="shared" ref="Q172" si="836">F172*P172</f>
        <v>2250655.9760952392</v>
      </c>
      <c r="R172">
        <f t="shared" ref="R172" si="837">R173+Q172</f>
        <v>52993179.5405256</v>
      </c>
      <c r="S172">
        <f t="shared" ref="S172" si="838">R172/100000</f>
        <v>529.93179540525603</v>
      </c>
      <c r="T172">
        <f t="shared" ref="T172" si="839">S172/1000</f>
        <v>0.52993179540525603</v>
      </c>
    </row>
    <row r="173" spans="1:20" x14ac:dyDescent="0.25">
      <c r="A173" s="5">
        <v>44420</v>
      </c>
      <c r="B173">
        <v>28.937999999999999</v>
      </c>
      <c r="C173">
        <v>29.898</v>
      </c>
      <c r="D173">
        <v>26.861000000000001</v>
      </c>
      <c r="E173">
        <v>28.087</v>
      </c>
      <c r="F173">
        <v>2795747.6880000001</v>
      </c>
      <c r="G173">
        <v>28.087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-0.19262430029634542</v>
      </c>
      <c r="Q173">
        <f t="shared" ref="Q173" si="841">F173*P173</f>
        <v>-538528.94220612547</v>
      </c>
      <c r="R173">
        <f t="shared" ref="R173" si="842">R174+Q173</f>
        <v>50742523.564430363</v>
      </c>
      <c r="S173">
        <f t="shared" ref="S173" si="843">R173/100000</f>
        <v>507.42523564430365</v>
      </c>
      <c r="T173">
        <f t="shared" ref="T173" si="844">S173/1000</f>
        <v>0.50742523564430364</v>
      </c>
    </row>
    <row r="174" spans="1:20" x14ac:dyDescent="0.25">
      <c r="A174" s="5">
        <v>44419</v>
      </c>
      <c r="B174">
        <v>28.756</v>
      </c>
      <c r="C174">
        <v>30.425999999999998</v>
      </c>
      <c r="D174">
        <v>28.725000000000001</v>
      </c>
      <c r="E174">
        <v>28.95</v>
      </c>
      <c r="F174">
        <v>2863582.29</v>
      </c>
      <c r="G174">
        <v>28.95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-0.73544973544973746</v>
      </c>
      <c r="Q174">
        <f t="shared" ref="Q174" si="846">F174*P174</f>
        <v>-2106020.8376190532</v>
      </c>
      <c r="R174">
        <f t="shared" ref="R174" si="847">R175+Q174</f>
        <v>51281052.506636485</v>
      </c>
      <c r="S174">
        <f t="shared" ref="S174" si="848">R174/100000</f>
        <v>512.8105250663649</v>
      </c>
      <c r="T174">
        <f t="shared" ref="T174" si="849">S174/1000</f>
        <v>0.51281052506636493</v>
      </c>
    </row>
    <row r="175" spans="1:20" x14ac:dyDescent="0.25">
      <c r="A175" s="5">
        <v>44418</v>
      </c>
      <c r="B175">
        <v>28.350999999999999</v>
      </c>
      <c r="C175">
        <v>30.212</v>
      </c>
      <c r="D175">
        <v>28.164999999999999</v>
      </c>
      <c r="E175">
        <v>28.754999999999999</v>
      </c>
      <c r="F175">
        <v>3851371.432</v>
      </c>
      <c r="G175">
        <v>28.754999999999999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-0.42354665363947269</v>
      </c>
      <c r="Q175">
        <f t="shared" ref="Q175" si="851">F175*P175</f>
        <v>-1631235.4819462639</v>
      </c>
      <c r="R175">
        <f t="shared" ref="R175" si="852">R176+Q175</f>
        <v>53387073.344255537</v>
      </c>
      <c r="S175">
        <f t="shared" ref="S175" si="853">R175/100000</f>
        <v>533.87073344255532</v>
      </c>
      <c r="T175">
        <f t="shared" ref="T175" si="854">S175/1000</f>
        <v>0.53387073344255531</v>
      </c>
    </row>
    <row r="176" spans="1:20" x14ac:dyDescent="0.25">
      <c r="A176" s="5">
        <v>44417</v>
      </c>
      <c r="B176">
        <v>26.696999999999999</v>
      </c>
      <c r="C176">
        <v>28.78</v>
      </c>
      <c r="D176">
        <v>25.378</v>
      </c>
      <c r="E176">
        <v>28.352</v>
      </c>
      <c r="F176">
        <v>2965035.9610000001</v>
      </c>
      <c r="G176">
        <v>28.352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0.7483833039388591</v>
      </c>
      <c r="Q176">
        <f t="shared" ref="Q176" si="856">F176*P176</f>
        <v>2218983.4087907104</v>
      </c>
      <c r="R176">
        <f t="shared" ref="R176" si="857">R177+Q176</f>
        <v>55018308.826201804</v>
      </c>
      <c r="S176">
        <f t="shared" ref="S176" si="858">R176/100000</f>
        <v>550.18308826201803</v>
      </c>
      <c r="T176">
        <f t="shared" ref="T176" si="859">S176/1000</f>
        <v>0.55018308826201801</v>
      </c>
    </row>
    <row r="177" spans="1:20" x14ac:dyDescent="0.25">
      <c r="A177" s="5">
        <v>44416</v>
      </c>
      <c r="B177">
        <v>28.302</v>
      </c>
      <c r="C177">
        <v>28.702999999999999</v>
      </c>
      <c r="D177">
        <v>25.949000000000002</v>
      </c>
      <c r="E177">
        <v>26.722000000000001</v>
      </c>
      <c r="F177">
        <v>2475928.8560000001</v>
      </c>
      <c r="G177">
        <v>26.722000000000001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-0.43863471314451685</v>
      </c>
      <c r="Q177">
        <f t="shared" ref="Q177" si="861">F177*P177</f>
        <v>-1086028.3435177919</v>
      </c>
      <c r="R177">
        <f t="shared" ref="R177" si="862">R178+Q177</f>
        <v>52799325.417411096</v>
      </c>
      <c r="S177">
        <f t="shared" ref="S177" si="863">R177/100000</f>
        <v>527.99325417411092</v>
      </c>
      <c r="T177">
        <f t="shared" ref="T177" si="864">S177/1000</f>
        <v>0.52799325417411092</v>
      </c>
    </row>
    <row r="178" spans="1:20" x14ac:dyDescent="0.25">
      <c r="A178" s="5">
        <v>44415</v>
      </c>
      <c r="B178">
        <v>26.178000000000001</v>
      </c>
      <c r="C178">
        <v>29</v>
      </c>
      <c r="D178">
        <v>25.8</v>
      </c>
      <c r="E178">
        <v>28.3</v>
      </c>
      <c r="F178">
        <v>4007794.406</v>
      </c>
      <c r="G178">
        <v>28.3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0.56250000000000033</v>
      </c>
      <c r="Q178">
        <f t="shared" ref="Q178" si="866">F178*P178</f>
        <v>2254384.3533750013</v>
      </c>
      <c r="R178">
        <f t="shared" ref="R178" si="867">R179+Q178</f>
        <v>53885353.760928892</v>
      </c>
      <c r="S178">
        <f t="shared" ref="S178" si="868">R178/100000</f>
        <v>538.85353760928888</v>
      </c>
      <c r="T178">
        <f t="shared" ref="T178" si="869">S178/1000</f>
        <v>0.53885353760928889</v>
      </c>
    </row>
    <row r="179" spans="1:20" x14ac:dyDescent="0.25">
      <c r="A179" s="5">
        <v>44414</v>
      </c>
      <c r="B179">
        <v>25.431000000000001</v>
      </c>
      <c r="C179">
        <v>27.004999999999999</v>
      </c>
      <c r="D179">
        <v>24.536000000000001</v>
      </c>
      <c r="E179">
        <v>26.178000000000001</v>
      </c>
      <c r="F179">
        <v>2830769.7719999999</v>
      </c>
      <c r="G179">
        <v>26.178000000000001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0.3300931551235326</v>
      </c>
      <c r="Q179">
        <f t="shared" ref="Q179" si="871">F179*P179</f>
        <v>934417.72546780296</v>
      </c>
      <c r="R179">
        <f t="shared" ref="R179" si="872">R180+Q179</f>
        <v>51630969.407553889</v>
      </c>
      <c r="S179">
        <f t="shared" ref="S179" si="873">R179/100000</f>
        <v>516.30969407553891</v>
      </c>
      <c r="T179">
        <f t="shared" ref="T179" si="874">S179/1000</f>
        <v>0.51630969407553895</v>
      </c>
    </row>
    <row r="180" spans="1:20" x14ac:dyDescent="0.25">
      <c r="A180" s="5">
        <v>44413</v>
      </c>
      <c r="B180">
        <v>23.53</v>
      </c>
      <c r="C180">
        <v>25.579000000000001</v>
      </c>
      <c r="D180">
        <v>22.056999999999999</v>
      </c>
      <c r="E180">
        <v>25.44</v>
      </c>
      <c r="F180">
        <v>3892635.1460000002</v>
      </c>
      <c r="G180">
        <v>25.44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0.92106757524134053</v>
      </c>
      <c r="Q180">
        <f t="shared" ref="Q180" si="876">F180*P180</f>
        <v>3585380.0152254417</v>
      </c>
      <c r="R180">
        <f t="shared" ref="R180" si="877">R181+Q180</f>
        <v>50696551.682086088</v>
      </c>
      <c r="S180">
        <f t="shared" ref="S180" si="878">R180/100000</f>
        <v>506.9655168208609</v>
      </c>
      <c r="T180">
        <f t="shared" ref="T180" si="879">S180/1000</f>
        <v>0.50696551682086088</v>
      </c>
    </row>
    <row r="181" spans="1:20" x14ac:dyDescent="0.25">
      <c r="A181" s="5">
        <v>44412</v>
      </c>
      <c r="B181">
        <v>21.338999999999999</v>
      </c>
      <c r="C181">
        <v>23.731000000000002</v>
      </c>
      <c r="D181">
        <v>20.766999999999999</v>
      </c>
      <c r="E181">
        <v>23.536000000000001</v>
      </c>
      <c r="F181">
        <v>2980641.0440000002</v>
      </c>
      <c r="G181">
        <v>23.536000000000001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0.86842105263157887</v>
      </c>
      <c r="Q181">
        <f t="shared" ref="Q181" si="881">F181*P181</f>
        <v>2588451.4329473684</v>
      </c>
      <c r="R181">
        <f t="shared" ref="R181" si="882">R182+Q181</f>
        <v>47111171.666860647</v>
      </c>
      <c r="S181">
        <f t="shared" ref="S181" si="883">R181/100000</f>
        <v>471.11171666860645</v>
      </c>
      <c r="T181">
        <f t="shared" ref="T181" si="884">S181/1000</f>
        <v>0.47111171666860646</v>
      </c>
    </row>
    <row r="182" spans="1:20" x14ac:dyDescent="0.25">
      <c r="A182" s="5">
        <v>44411</v>
      </c>
      <c r="B182">
        <v>22.382000000000001</v>
      </c>
      <c r="C182">
        <v>22.74</v>
      </c>
      <c r="D182">
        <v>20.623999999999999</v>
      </c>
      <c r="E182">
        <v>21.326000000000001</v>
      </c>
      <c r="F182">
        <v>3057063.7110000001</v>
      </c>
      <c r="G182">
        <v>21.326000000000001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-0.33648393194706822</v>
      </c>
      <c r="Q182">
        <f t="shared" ref="Q182" si="886">F182*P182</f>
        <v>-1028652.8176899758</v>
      </c>
      <c r="R182">
        <f t="shared" ref="R182" si="887">R183+Q182</f>
        <v>44522720.23391328</v>
      </c>
      <c r="S182">
        <f t="shared" ref="S182" si="888">R182/100000</f>
        <v>445.22720233913282</v>
      </c>
      <c r="T182">
        <f t="shared" ref="T182" si="889">S182/1000</f>
        <v>0.44522720233913282</v>
      </c>
    </row>
    <row r="183" spans="1:20" x14ac:dyDescent="0.25">
      <c r="A183" s="5">
        <v>44410</v>
      </c>
      <c r="B183">
        <v>21.975999999999999</v>
      </c>
      <c r="C183">
        <v>23.099</v>
      </c>
      <c r="D183">
        <v>21.390999999999998</v>
      </c>
      <c r="E183">
        <v>22.382000000000001</v>
      </c>
      <c r="F183">
        <v>2704014.1320000002</v>
      </c>
      <c r="G183">
        <v>22.382000000000001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0.16042154566744973</v>
      </c>
      <c r="Q183">
        <f t="shared" ref="Q183" si="891">F183*P183</f>
        <v>433782.12656206748</v>
      </c>
      <c r="R183">
        <f t="shared" ref="R183" si="892">R184+Q183</f>
        <v>45551373.051603258</v>
      </c>
      <c r="S183">
        <f t="shared" ref="S183" si="893">R183/100000</f>
        <v>455.51373051603258</v>
      </c>
      <c r="T183">
        <f t="shared" ref="T183" si="894">S183/1000</f>
        <v>0.45551373051603256</v>
      </c>
    </row>
    <row r="184" spans="1:20" x14ac:dyDescent="0.25">
      <c r="A184" s="5">
        <v>44409</v>
      </c>
      <c r="B184">
        <v>21.763999999999999</v>
      </c>
      <c r="C184">
        <v>23.22</v>
      </c>
      <c r="D184">
        <v>21.545999999999999</v>
      </c>
      <c r="E184">
        <v>21.978999999999999</v>
      </c>
      <c r="F184">
        <v>3359665.1090000002</v>
      </c>
      <c r="G184">
        <v>21.978999999999999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-0.4826762246117085</v>
      </c>
      <c r="Q184">
        <f t="shared" ref="Q184" si="896">F184*P184</f>
        <v>-1621630.4707718042</v>
      </c>
      <c r="R184">
        <f t="shared" ref="R184" si="897">R185+Q184</f>
        <v>45117590.925041191</v>
      </c>
      <c r="S184">
        <f t="shared" ref="S184" si="898">R184/100000</f>
        <v>451.17590925041191</v>
      </c>
      <c r="T184">
        <f t="shared" ref="T184" si="899">S184/1000</f>
        <v>0.4511759092504119</v>
      </c>
    </row>
    <row r="185" spans="1:20" x14ac:dyDescent="0.25">
      <c r="A185" s="5">
        <v>44408</v>
      </c>
      <c r="B185">
        <v>20.919</v>
      </c>
      <c r="C185">
        <v>21.954000000000001</v>
      </c>
      <c r="D185">
        <v>20.672000000000001</v>
      </c>
      <c r="E185">
        <v>21.766999999999999</v>
      </c>
      <c r="F185">
        <v>2671808.162</v>
      </c>
      <c r="G185">
        <v>21.766999999999999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0.70826833073322748</v>
      </c>
      <c r="Q185">
        <f t="shared" ref="Q185" si="901">F185*P185</f>
        <v>1892357.1069391526</v>
      </c>
      <c r="R185">
        <f t="shared" ref="R185" si="902">R186+Q185</f>
        <v>46739221.395812996</v>
      </c>
      <c r="S185">
        <f t="shared" ref="S185" si="903">R185/100000</f>
        <v>467.39221395812996</v>
      </c>
      <c r="T185">
        <f t="shared" ref="T185" si="904">S185/1000</f>
        <v>0.46739221395812997</v>
      </c>
    </row>
    <row r="186" spans="1:20" x14ac:dyDescent="0.25">
      <c r="A186" s="5">
        <v>44407</v>
      </c>
      <c r="B186">
        <v>19.576000000000001</v>
      </c>
      <c r="C186">
        <v>21.064</v>
      </c>
      <c r="D186">
        <v>19.34</v>
      </c>
      <c r="E186">
        <v>20.917000000000002</v>
      </c>
      <c r="F186">
        <v>3593897.6919999998</v>
      </c>
      <c r="G186">
        <v>20.917000000000002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0.82946635730858653</v>
      </c>
      <c r="Q186">
        <f t="shared" ref="Q186" si="906">F186*P186</f>
        <v>2981017.2271229764</v>
      </c>
      <c r="R186">
        <f t="shared" ref="R186" si="907">R187+Q186</f>
        <v>44846864.288873844</v>
      </c>
      <c r="S186">
        <f t="shared" ref="S186" si="908">R186/100000</f>
        <v>448.46864288873843</v>
      </c>
      <c r="T186">
        <f t="shared" ref="T186" si="909">S186/1000</f>
        <v>0.44846864288873844</v>
      </c>
    </row>
    <row r="187" spans="1:20" x14ac:dyDescent="0.25">
      <c r="A187" s="5">
        <v>44406</v>
      </c>
      <c r="B187">
        <v>19.061</v>
      </c>
      <c r="C187">
        <v>19.808</v>
      </c>
      <c r="D187">
        <v>18.571000000000002</v>
      </c>
      <c r="E187">
        <v>19.579999999999998</v>
      </c>
      <c r="F187">
        <v>1868109.6780000001</v>
      </c>
      <c r="G187">
        <v>19.579999999999998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0.63136620856911585</v>
      </c>
      <c r="Q187">
        <f t="shared" ref="Q187" si="911">F187*P187</f>
        <v>1179461.3245901319</v>
      </c>
      <c r="R187">
        <f t="shared" ref="R187" si="912">R188+Q187</f>
        <v>41865847.061750866</v>
      </c>
      <c r="S187">
        <f t="shared" ref="S187" si="913">R187/100000</f>
        <v>418.65847061750867</v>
      </c>
      <c r="T187">
        <f t="shared" ref="T187" si="914">S187/1000</f>
        <v>0.41865847061750866</v>
      </c>
    </row>
    <row r="188" spans="1:20" x14ac:dyDescent="0.25">
      <c r="A188" s="5">
        <v>44405</v>
      </c>
      <c r="B188">
        <v>18.89</v>
      </c>
      <c r="C188">
        <v>19.466999999999999</v>
      </c>
      <c r="D188">
        <v>18.52</v>
      </c>
      <c r="E188">
        <v>19.065000000000001</v>
      </c>
      <c r="F188">
        <v>2170430.6770000001</v>
      </c>
      <c r="G188">
        <v>19.065000000000001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0.15100316789863186</v>
      </c>
      <c r="Q188">
        <f t="shared" ref="Q188" si="916">F188*P188</f>
        <v>327741.90793137223</v>
      </c>
      <c r="R188">
        <f t="shared" ref="R188" si="917">R189+Q188</f>
        <v>40686385.737160735</v>
      </c>
      <c r="S188">
        <f t="shared" ref="S188" si="918">R188/100000</f>
        <v>406.86385737160737</v>
      </c>
      <c r="T188">
        <f t="shared" ref="T188" si="919">S188/1000</f>
        <v>0.40686385737160735</v>
      </c>
    </row>
    <row r="189" spans="1:20" x14ac:dyDescent="0.25">
      <c r="A189" s="5">
        <v>44404</v>
      </c>
      <c r="B189">
        <v>18.524999999999999</v>
      </c>
      <c r="C189">
        <v>19.245000000000001</v>
      </c>
      <c r="D189">
        <v>17.670000000000002</v>
      </c>
      <c r="E189">
        <v>18.887</v>
      </c>
      <c r="F189">
        <v>2480974.86</v>
      </c>
      <c r="G189">
        <v>18.887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0.54539682539682455</v>
      </c>
      <c r="Q189">
        <f t="shared" ref="Q189" si="921">F189*P189</f>
        <v>1353115.8125333311</v>
      </c>
      <c r="R189">
        <f t="shared" ref="R189" si="922">R190+Q189</f>
        <v>40358643.829229362</v>
      </c>
      <c r="S189">
        <f t="shared" ref="S189" si="923">R189/100000</f>
        <v>403.58643829229362</v>
      </c>
      <c r="T189">
        <f t="shared" ref="T189" si="924">S189/1000</f>
        <v>0.40358643829229363</v>
      </c>
    </row>
    <row r="190" spans="1:20" x14ac:dyDescent="0.25">
      <c r="A190" s="5">
        <v>44403</v>
      </c>
      <c r="B190">
        <v>18.273</v>
      </c>
      <c r="C190">
        <v>20.318999999999999</v>
      </c>
      <c r="D190">
        <v>18.173999999999999</v>
      </c>
      <c r="E190">
        <v>18.527000000000001</v>
      </c>
      <c r="F190">
        <v>4348247.6830000002</v>
      </c>
      <c r="G190">
        <v>18.527000000000001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-0.67086247086246942</v>
      </c>
      <c r="Q190">
        <f t="shared" ref="Q190" si="926">F190*P190</f>
        <v>-2917076.1845393879</v>
      </c>
      <c r="R190">
        <f t="shared" ref="R190" si="927">R191+Q190</f>
        <v>39005528.016696028</v>
      </c>
      <c r="S190">
        <f t="shared" ref="S190" si="928">R190/100000</f>
        <v>390.0552801669603</v>
      </c>
      <c r="T190">
        <f t="shared" ref="T190" si="929">S190/1000</f>
        <v>0.39005528016696028</v>
      </c>
    </row>
    <row r="191" spans="1:20" x14ac:dyDescent="0.25">
      <c r="A191" s="5">
        <v>44402</v>
      </c>
      <c r="B191">
        <v>18.242999999999999</v>
      </c>
      <c r="C191">
        <v>18.446000000000002</v>
      </c>
      <c r="D191">
        <v>17.242000000000001</v>
      </c>
      <c r="E191">
        <v>18.285</v>
      </c>
      <c r="F191">
        <v>1820324.297</v>
      </c>
      <c r="G191">
        <v>18.285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0.73255813953488158</v>
      </c>
      <c r="Q191">
        <f t="shared" ref="Q191" si="931">F191*P191</f>
        <v>1333493.3803604613</v>
      </c>
      <c r="R191">
        <f t="shared" ref="R191" si="932">R192+Q191</f>
        <v>41922604.201235414</v>
      </c>
      <c r="S191">
        <f t="shared" ref="S191" si="933">R191/100000</f>
        <v>419.22604201235413</v>
      </c>
      <c r="T191">
        <f t="shared" ref="T191:T197" si="934">S191/1000</f>
        <v>0.41922604201235414</v>
      </c>
    </row>
    <row r="192" spans="1:20" x14ac:dyDescent="0.25">
      <c r="A192" s="5">
        <v>44401</v>
      </c>
      <c r="B192">
        <v>18.600000000000001</v>
      </c>
      <c r="C192">
        <v>18.940999999999999</v>
      </c>
      <c r="D192">
        <v>18.030999999999999</v>
      </c>
      <c r="E192">
        <v>18.239000000000001</v>
      </c>
      <c r="F192">
        <v>2296503.764</v>
      </c>
      <c r="G192">
        <v>18.239000000000001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-0.5428571428571386</v>
      </c>
      <c r="Q192">
        <f t="shared" ref="Q192" si="936">F192*P192</f>
        <v>-1246673.4718857044</v>
      </c>
      <c r="R192">
        <f t="shared" ref="R192" si="937">R193+Q192</f>
        <v>40589110.820874952</v>
      </c>
      <c r="S192">
        <f t="shared" ref="S192" si="938">R192/100000</f>
        <v>405.89110820874953</v>
      </c>
      <c r="T192">
        <f t="shared" si="934"/>
        <v>0.40589110820874952</v>
      </c>
    </row>
    <row r="193" spans="1:20" x14ac:dyDescent="0.25">
      <c r="A193" s="5">
        <v>44400</v>
      </c>
      <c r="B193">
        <v>17.571999999999999</v>
      </c>
      <c r="C193">
        <v>18.692</v>
      </c>
      <c r="D193">
        <v>16.933</v>
      </c>
      <c r="E193">
        <v>18.603000000000002</v>
      </c>
      <c r="F193">
        <v>2570278.497</v>
      </c>
      <c r="G193">
        <v>18.603000000000002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0.89880613985219027</v>
      </c>
      <c r="Q193">
        <f t="shared" ref="Q193" si="940">F193*P193</f>
        <v>2310182.0942336596</v>
      </c>
      <c r="R193">
        <f t="shared" ref="R193" si="941">R194+Q193</f>
        <v>41835784.292760655</v>
      </c>
      <c r="S193">
        <f t="shared" ref="S193" si="942">R193/100000</f>
        <v>418.35784292760655</v>
      </c>
      <c r="T193">
        <f t="shared" si="934"/>
        <v>0.41835784292760658</v>
      </c>
    </row>
    <row r="194" spans="1:20" x14ac:dyDescent="0.25">
      <c r="A194" s="5">
        <v>44399</v>
      </c>
      <c r="B194">
        <v>16.727</v>
      </c>
      <c r="C194">
        <v>17.617000000000001</v>
      </c>
      <c r="D194">
        <v>16.065999999999999</v>
      </c>
      <c r="E194">
        <v>17.579000000000001</v>
      </c>
      <c r="F194">
        <v>2957017.8429999999</v>
      </c>
      <c r="G194">
        <v>17.579000000000001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0.95099935525467416</v>
      </c>
      <c r="Q194">
        <f t="shared" ref="Q194" si="944">F194*P194</f>
        <v>2812122.0621695672</v>
      </c>
      <c r="R194">
        <f t="shared" ref="R194" si="945">R195+Q194</f>
        <v>39525602.198526993</v>
      </c>
      <c r="S194">
        <f t="shared" ref="S194" si="946">R194/100000</f>
        <v>395.25602198526991</v>
      </c>
      <c r="T194">
        <f t="shared" si="934"/>
        <v>0.39525602198526993</v>
      </c>
    </row>
    <row r="195" spans="1:20" x14ac:dyDescent="0.25">
      <c r="A195" s="5">
        <v>44398</v>
      </c>
      <c r="B195">
        <v>14.569000000000001</v>
      </c>
      <c r="C195">
        <v>16.876000000000001</v>
      </c>
      <c r="D195">
        <v>14.013</v>
      </c>
      <c r="E195">
        <v>16.727</v>
      </c>
      <c r="F195">
        <v>3689271.2379999999</v>
      </c>
      <c r="G195">
        <v>16.727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0.89591337757596867</v>
      </c>
      <c r="Q195">
        <f t="shared" ref="Q195" si="948">F195*P195</f>
        <v>3305267.4556304552</v>
      </c>
      <c r="R195">
        <f t="shared" ref="R195" si="949">R196+Q195</f>
        <v>36713480.136357427</v>
      </c>
      <c r="S195">
        <f t="shared" ref="S195" si="950">R195/100000</f>
        <v>367.13480136357424</v>
      </c>
      <c r="T195">
        <f t="shared" si="934"/>
        <v>0.36713480136357424</v>
      </c>
    </row>
    <row r="196" spans="1:20" x14ac:dyDescent="0.25">
      <c r="A196" s="5">
        <v>44397</v>
      </c>
      <c r="B196">
        <v>15.734999999999999</v>
      </c>
      <c r="C196">
        <v>15.97</v>
      </c>
      <c r="D196">
        <v>14.394</v>
      </c>
      <c r="E196">
        <v>14.554</v>
      </c>
      <c r="F196">
        <v>3276914.0780000002</v>
      </c>
      <c r="G196">
        <v>14.554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-0.79695431472081202</v>
      </c>
      <c r="Q196">
        <f t="shared" ref="Q196" si="952">F196*P196</f>
        <v>-2611550.8134314716</v>
      </c>
      <c r="R196">
        <f t="shared" ref="R196" si="953">R197+Q196</f>
        <v>33408212.680726968</v>
      </c>
      <c r="S196">
        <f t="shared" ref="S196" si="954">R196/100000</f>
        <v>334.08212680726967</v>
      </c>
      <c r="T196">
        <f t="shared" si="934"/>
        <v>0.33408212680726967</v>
      </c>
    </row>
    <row r="197" spans="1:20" x14ac:dyDescent="0.25">
      <c r="A197" s="5">
        <v>44396</v>
      </c>
      <c r="B197">
        <v>16.311</v>
      </c>
      <c r="C197">
        <v>16.791</v>
      </c>
      <c r="D197">
        <v>15.398</v>
      </c>
      <c r="E197">
        <v>15.742000000000001</v>
      </c>
      <c r="F197">
        <v>3004534.037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-0.50610193826274086</v>
      </c>
      <c r="Q197">
        <f t="shared" ref="Q197" si="956">F197*P197</f>
        <v>-1520600.4997020776</v>
      </c>
      <c r="R197">
        <f t="shared" ref="R197" si="957">R198+Q197</f>
        <v>36019763.494158439</v>
      </c>
      <c r="S197">
        <f t="shared" ref="S197" si="958">R197/100000</f>
        <v>360.1976349415844</v>
      </c>
      <c r="T197">
        <f t="shared" si="934"/>
        <v>0.36019763494158441</v>
      </c>
    </row>
    <row r="198" spans="1:20" x14ac:dyDescent="0.25">
      <c r="A198" s="5">
        <v>44395</v>
      </c>
      <c r="B198">
        <v>16.111999999999998</v>
      </c>
      <c r="C198">
        <v>17.167999999999999</v>
      </c>
      <c r="D198">
        <v>16.024000000000001</v>
      </c>
      <c r="E198">
        <v>16.305</v>
      </c>
      <c r="F198">
        <v>2646507.7119999998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-0.50874125874126008</v>
      </c>
      <c r="Q198">
        <f t="shared" ref="Q198:Q261" si="960">F198*P198</f>
        <v>-1346387.6646713321</v>
      </c>
      <c r="R198">
        <f t="shared" ref="R198:R261" si="961">R199+Q198</f>
        <v>37540363.99386052</v>
      </c>
      <c r="S198">
        <f t="shared" ref="S198:S261" si="962">R198/100000</f>
        <v>375.40363993860518</v>
      </c>
      <c r="T198">
        <f t="shared" ref="T198:T261" si="963">S198/1000</f>
        <v>0.3754036399386052</v>
      </c>
    </row>
    <row r="199" spans="1:20" x14ac:dyDescent="0.25">
      <c r="A199" s="5">
        <v>44394</v>
      </c>
      <c r="B199">
        <v>16.353000000000002</v>
      </c>
      <c r="C199">
        <v>16.744</v>
      </c>
      <c r="D199">
        <v>15.928000000000001</v>
      </c>
      <c r="E199">
        <v>16.097999999999999</v>
      </c>
      <c r="F199">
        <v>2244463.838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-0.58333333333333737</v>
      </c>
      <c r="Q199">
        <f t="shared" si="960"/>
        <v>-1309270.5721666757</v>
      </c>
      <c r="R199">
        <f t="shared" si="961"/>
        <v>38886751.658531852</v>
      </c>
      <c r="S199">
        <f t="shared" si="962"/>
        <v>388.86751658531853</v>
      </c>
      <c r="T199">
        <f t="shared" si="963"/>
        <v>0.38886751658531854</v>
      </c>
    </row>
    <row r="200" spans="1:20" x14ac:dyDescent="0.25">
      <c r="A200" s="5">
        <v>44393</v>
      </c>
      <c r="B200">
        <v>17.07</v>
      </c>
      <c r="C200">
        <v>17.600000000000001</v>
      </c>
      <c r="D200">
        <v>15.917999999999999</v>
      </c>
      <c r="E200">
        <v>16.337</v>
      </c>
      <c r="F200">
        <v>2512504.0720000002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-0.50178359096313918</v>
      </c>
      <c r="Q200">
        <f t="shared" si="960"/>
        <v>-1260733.3155576696</v>
      </c>
      <c r="R200">
        <f t="shared" si="961"/>
        <v>40196022.230698526</v>
      </c>
      <c r="S200">
        <f t="shared" si="962"/>
        <v>401.96022230698526</v>
      </c>
      <c r="T200">
        <f t="shared" si="963"/>
        <v>0.40196022230698525</v>
      </c>
    </row>
    <row r="201" spans="1:20" x14ac:dyDescent="0.25">
      <c r="A201" s="5">
        <v>44392</v>
      </c>
      <c r="B201">
        <v>17.888999999999999</v>
      </c>
      <c r="C201">
        <v>18.388999999999999</v>
      </c>
      <c r="D201">
        <v>16.797000000000001</v>
      </c>
      <c r="E201">
        <v>17.068000000000001</v>
      </c>
      <c r="F201">
        <v>3278504.7889999999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-0.65954773869346606</v>
      </c>
      <c r="Q201">
        <f t="shared" si="960"/>
        <v>-2162330.4198806491</v>
      </c>
      <c r="R201">
        <f t="shared" si="961"/>
        <v>41456755.546256192</v>
      </c>
      <c r="S201">
        <f t="shared" si="962"/>
        <v>414.56755546256193</v>
      </c>
      <c r="T201">
        <f t="shared" si="963"/>
        <v>0.41456755546256191</v>
      </c>
    </row>
    <row r="202" spans="1:20" x14ac:dyDescent="0.25">
      <c r="A202" s="5">
        <v>44391</v>
      </c>
      <c r="B202">
        <v>18.460999999999999</v>
      </c>
      <c r="C202">
        <v>18.542000000000002</v>
      </c>
      <c r="D202">
        <v>16.721</v>
      </c>
      <c r="E202">
        <v>17.885000000000002</v>
      </c>
      <c r="F202">
        <v>4782786.9840000002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0.27841845140033006</v>
      </c>
      <c r="Q202">
        <f t="shared" si="960"/>
        <v>1331616.1454629353</v>
      </c>
      <c r="R202">
        <f t="shared" si="961"/>
        <v>43619085.966136843</v>
      </c>
      <c r="S202">
        <f t="shared" si="962"/>
        <v>436.19085966136845</v>
      </c>
      <c r="T202">
        <f t="shared" si="963"/>
        <v>0.43619085966136845</v>
      </c>
    </row>
    <row r="203" spans="1:20" x14ac:dyDescent="0.25">
      <c r="A203" s="5">
        <v>44390</v>
      </c>
      <c r="B203">
        <v>19.530999999999999</v>
      </c>
      <c r="C203">
        <v>19.738</v>
      </c>
      <c r="D203">
        <v>18.172000000000001</v>
      </c>
      <c r="E203">
        <v>18.47</v>
      </c>
      <c r="F203">
        <v>2357239.5279999999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-0.61941251596424207</v>
      </c>
      <c r="Q203">
        <f t="shared" si="960"/>
        <v>-1460103.6667688424</v>
      </c>
      <c r="R203">
        <f t="shared" si="961"/>
        <v>42287469.820673905</v>
      </c>
      <c r="S203">
        <f t="shared" si="962"/>
        <v>422.87469820673903</v>
      </c>
      <c r="T203">
        <f t="shared" si="963"/>
        <v>0.42287469820673901</v>
      </c>
    </row>
    <row r="204" spans="1:20" x14ac:dyDescent="0.25">
      <c r="A204" s="5">
        <v>44389</v>
      </c>
      <c r="B204">
        <v>20.7</v>
      </c>
      <c r="C204">
        <v>21.45</v>
      </c>
      <c r="D204">
        <v>19.204999999999998</v>
      </c>
      <c r="E204">
        <v>19.527999999999999</v>
      </c>
      <c r="F204">
        <v>1844838.1869999999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-0.71224944320712669</v>
      </c>
      <c r="Q204">
        <f t="shared" si="960"/>
        <v>-1313984.9714979951</v>
      </c>
      <c r="R204">
        <f t="shared" si="961"/>
        <v>43747573.487442747</v>
      </c>
      <c r="S204">
        <f t="shared" si="962"/>
        <v>437.47573487442747</v>
      </c>
      <c r="T204">
        <f t="shared" si="963"/>
        <v>0.43747573487442748</v>
      </c>
    </row>
    <row r="205" spans="1:20" x14ac:dyDescent="0.25">
      <c r="A205" s="5">
        <v>44388</v>
      </c>
      <c r="B205">
        <v>20.245000000000001</v>
      </c>
      <c r="C205">
        <v>20.946999999999999</v>
      </c>
      <c r="D205">
        <v>19.98</v>
      </c>
      <c r="E205">
        <v>20.7</v>
      </c>
      <c r="F205">
        <v>1315491.2720000001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0.48914167528438429</v>
      </c>
      <c r="Q205">
        <f t="shared" si="960"/>
        <v>643461.60460806568</v>
      </c>
      <c r="R205">
        <f t="shared" si="961"/>
        <v>45061558.458940744</v>
      </c>
      <c r="S205">
        <f t="shared" si="962"/>
        <v>450.61558458940743</v>
      </c>
      <c r="T205">
        <f t="shared" si="963"/>
        <v>0.45061558458940743</v>
      </c>
    </row>
    <row r="206" spans="1:20" x14ac:dyDescent="0.25">
      <c r="A206" s="5">
        <v>44387</v>
      </c>
      <c r="B206">
        <v>20.978000000000002</v>
      </c>
      <c r="C206">
        <v>21.515000000000001</v>
      </c>
      <c r="D206">
        <v>19.95</v>
      </c>
      <c r="E206">
        <v>20.244</v>
      </c>
      <c r="F206">
        <v>1405443.5190000001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-0.62428115015974406</v>
      </c>
      <c r="Q206">
        <f t="shared" si="960"/>
        <v>-877391.89652587811</v>
      </c>
      <c r="R206">
        <f t="shared" si="961"/>
        <v>44418096.854332678</v>
      </c>
      <c r="S206">
        <f t="shared" si="962"/>
        <v>444.1809685433268</v>
      </c>
      <c r="T206">
        <f t="shared" si="963"/>
        <v>0.44418096854332678</v>
      </c>
    </row>
    <row r="207" spans="1:20" x14ac:dyDescent="0.25">
      <c r="A207" s="5">
        <v>44386</v>
      </c>
      <c r="B207">
        <v>20.341999999999999</v>
      </c>
      <c r="C207">
        <v>21.686</v>
      </c>
      <c r="D207">
        <v>19.78</v>
      </c>
      <c r="E207">
        <v>20.986000000000001</v>
      </c>
      <c r="F207">
        <v>2534220.3659999999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0.26547743966421855</v>
      </c>
      <c r="Q207">
        <f t="shared" si="960"/>
        <v>672778.33431059879</v>
      </c>
      <c r="R207">
        <f t="shared" si="961"/>
        <v>45295488.750858553</v>
      </c>
      <c r="S207">
        <f t="shared" si="962"/>
        <v>452.9548875085855</v>
      </c>
      <c r="T207">
        <f t="shared" si="963"/>
        <v>0.45295488750858548</v>
      </c>
    </row>
    <row r="208" spans="1:20" x14ac:dyDescent="0.25">
      <c r="A208" s="5">
        <v>44385</v>
      </c>
      <c r="B208">
        <v>22.254000000000001</v>
      </c>
      <c r="C208">
        <v>22.311</v>
      </c>
      <c r="D208">
        <v>19.908000000000001</v>
      </c>
      <c r="E208">
        <v>20.353000000000002</v>
      </c>
      <c r="F208">
        <v>3124268.554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-0.62962962962962921</v>
      </c>
      <c r="Q208">
        <f t="shared" si="960"/>
        <v>-1967132.0525185172</v>
      </c>
      <c r="R208">
        <f t="shared" si="961"/>
        <v>44622710.416547954</v>
      </c>
      <c r="S208">
        <f t="shared" si="962"/>
        <v>446.22710416547955</v>
      </c>
      <c r="T208">
        <f t="shared" si="963"/>
        <v>0.44622710416547956</v>
      </c>
    </row>
    <row r="209" spans="1:20" x14ac:dyDescent="0.25">
      <c r="A209" s="5">
        <v>44384</v>
      </c>
      <c r="B209">
        <v>22.373000000000001</v>
      </c>
      <c r="C209">
        <v>23.456</v>
      </c>
      <c r="D209">
        <v>21.65</v>
      </c>
      <c r="E209">
        <v>22.253</v>
      </c>
      <c r="F209">
        <v>3088190.0729999999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-0.33222591362126108</v>
      </c>
      <c r="Q209">
        <f t="shared" si="960"/>
        <v>-1025976.7684385339</v>
      </c>
      <c r="R209">
        <f t="shared" si="961"/>
        <v>46589842.469066471</v>
      </c>
      <c r="S209">
        <f t="shared" si="962"/>
        <v>465.89842469066468</v>
      </c>
      <c r="T209">
        <f t="shared" si="963"/>
        <v>0.46589842469066467</v>
      </c>
    </row>
    <row r="210" spans="1:20" x14ac:dyDescent="0.25">
      <c r="A210" s="5">
        <v>44383</v>
      </c>
      <c r="B210">
        <v>20.062000000000001</v>
      </c>
      <c r="C210">
        <v>23.234999999999999</v>
      </c>
      <c r="D210">
        <v>20.03</v>
      </c>
      <c r="E210">
        <v>22.376000000000001</v>
      </c>
      <c r="F210">
        <v>5911864.4409999996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0.46396255850234092</v>
      </c>
      <c r="Q210">
        <f t="shared" si="960"/>
        <v>2742883.7515653712</v>
      </c>
      <c r="R210">
        <f t="shared" si="961"/>
        <v>47615819.237505004</v>
      </c>
      <c r="S210">
        <f t="shared" si="962"/>
        <v>476.15819237505002</v>
      </c>
      <c r="T210">
        <f t="shared" si="963"/>
        <v>0.47615819237505003</v>
      </c>
    </row>
    <row r="211" spans="1:20" x14ac:dyDescent="0.25">
      <c r="A211" s="5">
        <v>44382</v>
      </c>
      <c r="B211">
        <v>20.751000000000001</v>
      </c>
      <c r="C211">
        <v>20.905999999999999</v>
      </c>
      <c r="D211">
        <v>19.068000000000001</v>
      </c>
      <c r="E211">
        <v>20.062999999999999</v>
      </c>
      <c r="F211">
        <v>3729063.0720000002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8.2698585418932366E-2</v>
      </c>
      <c r="Q211">
        <f t="shared" si="960"/>
        <v>308388.24099237833</v>
      </c>
      <c r="R211">
        <f t="shared" si="961"/>
        <v>44872935.485939629</v>
      </c>
      <c r="S211">
        <f t="shared" si="962"/>
        <v>448.72935485939627</v>
      </c>
      <c r="T211">
        <f t="shared" si="963"/>
        <v>0.44872935485939625</v>
      </c>
    </row>
    <row r="212" spans="1:20" x14ac:dyDescent="0.25">
      <c r="A212" s="5">
        <v>44381</v>
      </c>
      <c r="B212">
        <v>19.474</v>
      </c>
      <c r="C212">
        <v>21.498000000000001</v>
      </c>
      <c r="D212">
        <v>18.931000000000001</v>
      </c>
      <c r="E212">
        <v>20.757000000000001</v>
      </c>
      <c r="F212">
        <v>3396421.1379999998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0.42267238021036257</v>
      </c>
      <c r="Q212">
        <f t="shared" si="960"/>
        <v>1435573.4065952483</v>
      </c>
      <c r="R212">
        <f t="shared" si="961"/>
        <v>44564547.244947255</v>
      </c>
      <c r="S212">
        <f t="shared" si="962"/>
        <v>445.64547244947255</v>
      </c>
      <c r="T212">
        <f t="shared" si="963"/>
        <v>0.44564547244947256</v>
      </c>
    </row>
    <row r="213" spans="1:20" x14ac:dyDescent="0.25">
      <c r="A213" s="5">
        <v>44380</v>
      </c>
      <c r="B213">
        <v>18.216000000000001</v>
      </c>
      <c r="C213">
        <v>19.559000000000001</v>
      </c>
      <c r="D213">
        <v>17.789000000000001</v>
      </c>
      <c r="E213">
        <v>19.474</v>
      </c>
      <c r="F213">
        <v>1969946.1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0.903954802259886</v>
      </c>
      <c r="Q213">
        <f t="shared" si="960"/>
        <v>1780742.2372881337</v>
      </c>
      <c r="R213">
        <f t="shared" si="961"/>
        <v>43128973.83835201</v>
      </c>
      <c r="S213">
        <f t="shared" si="962"/>
        <v>431.2897383835201</v>
      </c>
      <c r="T213">
        <f t="shared" si="963"/>
        <v>0.43128973838352008</v>
      </c>
    </row>
    <row r="214" spans="1:20" x14ac:dyDescent="0.25">
      <c r="A214" s="5">
        <v>44379</v>
      </c>
      <c r="B214">
        <v>17.780999999999999</v>
      </c>
      <c r="C214">
        <v>18.262</v>
      </c>
      <c r="D214">
        <v>16.939</v>
      </c>
      <c r="E214">
        <v>18.213000000000001</v>
      </c>
      <c r="F214">
        <v>1673825.9129999999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0.92592592592592671</v>
      </c>
      <c r="Q214">
        <f t="shared" si="960"/>
        <v>1549838.8083333345</v>
      </c>
      <c r="R214">
        <f t="shared" si="961"/>
        <v>41348231.601063877</v>
      </c>
      <c r="S214">
        <f t="shared" si="962"/>
        <v>413.48231601063878</v>
      </c>
      <c r="T214">
        <f t="shared" si="963"/>
        <v>0.41348231601063878</v>
      </c>
    </row>
    <row r="215" spans="1:20" x14ac:dyDescent="0.25">
      <c r="A215" s="5">
        <v>44378</v>
      </c>
      <c r="B215">
        <v>19.279</v>
      </c>
      <c r="C215">
        <v>19.288</v>
      </c>
      <c r="D215">
        <v>17.544</v>
      </c>
      <c r="E215">
        <v>17.779</v>
      </c>
      <c r="F215">
        <v>2155310.3220000002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-0.73050458715596389</v>
      </c>
      <c r="Q215">
        <f t="shared" si="960"/>
        <v>-1574464.0769655977</v>
      </c>
      <c r="R215">
        <f t="shared" si="961"/>
        <v>39798392.79273054</v>
      </c>
      <c r="S215">
        <f t="shared" si="962"/>
        <v>397.98392792730539</v>
      </c>
      <c r="T215">
        <f t="shared" si="963"/>
        <v>0.39798392792730541</v>
      </c>
    </row>
    <row r="216" spans="1:20" x14ac:dyDescent="0.25">
      <c r="A216" s="5">
        <v>44377</v>
      </c>
      <c r="B216">
        <v>18.64</v>
      </c>
      <c r="C216">
        <v>19.298999999999999</v>
      </c>
      <c r="D216">
        <v>17.149000000000001</v>
      </c>
      <c r="E216">
        <v>19.277999999999999</v>
      </c>
      <c r="F216">
        <v>2596846.284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0.98046511627906896</v>
      </c>
      <c r="Q216">
        <f t="shared" si="960"/>
        <v>2546117.1938009281</v>
      </c>
      <c r="R216">
        <f t="shared" si="961"/>
        <v>41372856.86969614</v>
      </c>
      <c r="S216">
        <f t="shared" si="962"/>
        <v>413.72856869696142</v>
      </c>
      <c r="T216">
        <f t="shared" si="963"/>
        <v>0.4137285686969614</v>
      </c>
    </row>
    <row r="217" spans="1:20" x14ac:dyDescent="0.25">
      <c r="A217" s="5">
        <v>44376</v>
      </c>
      <c r="B217">
        <v>17.734000000000002</v>
      </c>
      <c r="C217">
        <v>19.189</v>
      </c>
      <c r="D217">
        <v>17.66</v>
      </c>
      <c r="E217">
        <v>18.652000000000001</v>
      </c>
      <c r="F217">
        <v>2732626.335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0.29758011772400383</v>
      </c>
      <c r="Q217">
        <f t="shared" si="960"/>
        <v>813175.26646501315</v>
      </c>
      <c r="R217">
        <f t="shared" si="961"/>
        <v>38826739.675895214</v>
      </c>
      <c r="S217">
        <f t="shared" si="962"/>
        <v>388.26739675895215</v>
      </c>
      <c r="T217">
        <f t="shared" si="963"/>
        <v>0.38826739675895217</v>
      </c>
    </row>
    <row r="218" spans="1:20" x14ac:dyDescent="0.25">
      <c r="A218" s="5">
        <v>44375</v>
      </c>
      <c r="B218">
        <v>17.082000000000001</v>
      </c>
      <c r="C218">
        <v>18.148</v>
      </c>
      <c r="D218">
        <v>16.87</v>
      </c>
      <c r="E218">
        <v>17.727</v>
      </c>
      <c r="F218">
        <v>2122095.8620000002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0.34115805946791894</v>
      </c>
      <c r="Q218">
        <f t="shared" si="960"/>
        <v>723970.10628482082</v>
      </c>
      <c r="R218">
        <f t="shared" si="961"/>
        <v>38013564.409430198</v>
      </c>
      <c r="S218">
        <f t="shared" si="962"/>
        <v>380.13564409430199</v>
      </c>
      <c r="T218">
        <f t="shared" si="963"/>
        <v>0.38013564409430201</v>
      </c>
    </row>
    <row r="219" spans="1:20" x14ac:dyDescent="0.25">
      <c r="A219" s="5">
        <v>44374</v>
      </c>
      <c r="B219">
        <v>16.119</v>
      </c>
      <c r="C219">
        <v>17.100999999999999</v>
      </c>
      <c r="D219">
        <v>15.617000000000001</v>
      </c>
      <c r="E219">
        <v>17.097000000000001</v>
      </c>
      <c r="F219">
        <v>1849690.818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0.99460916442048819</v>
      </c>
      <c r="Q219">
        <f t="shared" si="960"/>
        <v>1839719.4389272293</v>
      </c>
      <c r="R219">
        <f t="shared" si="961"/>
        <v>37289594.303145379</v>
      </c>
      <c r="S219">
        <f t="shared" si="962"/>
        <v>372.89594303145378</v>
      </c>
      <c r="T219">
        <f t="shared" si="963"/>
        <v>0.37289594303145379</v>
      </c>
    </row>
    <row r="220" spans="1:20" x14ac:dyDescent="0.25">
      <c r="A220" s="5">
        <v>44373</v>
      </c>
      <c r="B220">
        <v>15.821</v>
      </c>
      <c r="C220">
        <v>16.472000000000001</v>
      </c>
      <c r="D220">
        <v>15.103999999999999</v>
      </c>
      <c r="E220">
        <v>16.122</v>
      </c>
      <c r="F220">
        <v>2113043.446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0.48830409356725019</v>
      </c>
      <c r="Q220">
        <f t="shared" si="960"/>
        <v>1031807.7645672488</v>
      </c>
      <c r="R220">
        <f t="shared" si="961"/>
        <v>35449874.864218153</v>
      </c>
      <c r="S220">
        <f t="shared" si="962"/>
        <v>354.49874864218151</v>
      </c>
      <c r="T220">
        <f t="shared" si="963"/>
        <v>0.3544987486421815</v>
      </c>
    </row>
    <row r="221" spans="1:20" x14ac:dyDescent="0.25">
      <c r="A221" s="5">
        <v>44372</v>
      </c>
      <c r="B221">
        <v>18.052</v>
      </c>
      <c r="C221">
        <v>18.353999999999999</v>
      </c>
      <c r="D221">
        <v>15.704000000000001</v>
      </c>
      <c r="E221">
        <v>15.821999999999999</v>
      </c>
      <c r="F221">
        <v>3191117.7719999999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-0.91094339622641618</v>
      </c>
      <c r="Q221">
        <f t="shared" si="960"/>
        <v>-2906927.6609841543</v>
      </c>
      <c r="R221">
        <f t="shared" si="961"/>
        <v>34418067.099650905</v>
      </c>
      <c r="S221">
        <f t="shared" si="962"/>
        <v>344.18067099650904</v>
      </c>
      <c r="T221">
        <f t="shared" si="963"/>
        <v>0.34418067099650906</v>
      </c>
    </row>
    <row r="222" spans="1:20" x14ac:dyDescent="0.25">
      <c r="A222" s="5">
        <v>44371</v>
      </c>
      <c r="B222">
        <v>17.803999999999998</v>
      </c>
      <c r="C222">
        <v>18.600999999999999</v>
      </c>
      <c r="D222">
        <v>16.611000000000001</v>
      </c>
      <c r="E222">
        <v>18.050999999999998</v>
      </c>
      <c r="F222">
        <v>2840757.25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0.44723618090452144</v>
      </c>
      <c r="Q222">
        <f t="shared" si="960"/>
        <v>1270489.4233668309</v>
      </c>
      <c r="R222">
        <f t="shared" si="961"/>
        <v>37324994.760635056</v>
      </c>
      <c r="S222">
        <f t="shared" si="962"/>
        <v>373.24994760635053</v>
      </c>
      <c r="T222">
        <f t="shared" si="963"/>
        <v>0.37324994760635055</v>
      </c>
    </row>
    <row r="223" spans="1:20" x14ac:dyDescent="0.25">
      <c r="A223" s="5">
        <v>44370</v>
      </c>
      <c r="B223">
        <v>16.411000000000001</v>
      </c>
      <c r="C223">
        <v>18.492999999999999</v>
      </c>
      <c r="D223">
        <v>15.772</v>
      </c>
      <c r="E223">
        <v>17.802</v>
      </c>
      <c r="F223">
        <v>3802110.6409999998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0.4920984932010295</v>
      </c>
      <c r="Q223">
        <f t="shared" si="960"/>
        <v>1871012.9174197004</v>
      </c>
      <c r="R223">
        <f t="shared" si="961"/>
        <v>36054505.337268226</v>
      </c>
      <c r="S223">
        <f t="shared" si="962"/>
        <v>360.54505337268228</v>
      </c>
      <c r="T223">
        <f t="shared" si="963"/>
        <v>0.36054505337268228</v>
      </c>
    </row>
    <row r="224" spans="1:20" x14ac:dyDescent="0.25">
      <c r="A224" s="5">
        <v>44369</v>
      </c>
      <c r="B224">
        <v>15.787000000000001</v>
      </c>
      <c r="C224">
        <v>17.2</v>
      </c>
      <c r="D224">
        <v>13.93</v>
      </c>
      <c r="E224">
        <v>16.420999999999999</v>
      </c>
      <c r="F224">
        <v>6573754.0060000001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0.52354740061162075</v>
      </c>
      <c r="Q224">
        <f t="shared" si="960"/>
        <v>3441671.8221015288</v>
      </c>
      <c r="R224">
        <f t="shared" si="961"/>
        <v>34183492.419848524</v>
      </c>
      <c r="S224">
        <f t="shared" si="962"/>
        <v>341.83492419848523</v>
      </c>
      <c r="T224">
        <f t="shared" si="963"/>
        <v>0.34183492419848521</v>
      </c>
    </row>
    <row r="225" spans="1:20" x14ac:dyDescent="0.25">
      <c r="A225" s="5">
        <v>44368</v>
      </c>
      <c r="B225">
        <v>20.704999999999998</v>
      </c>
      <c r="C225">
        <v>20.873000000000001</v>
      </c>
      <c r="D225">
        <v>15.74</v>
      </c>
      <c r="E225">
        <v>15.773999999999999</v>
      </c>
      <c r="F225">
        <v>4733664.5980000002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-0.98675238651860553</v>
      </c>
      <c r="Q225">
        <f t="shared" si="960"/>
        <v>-4670954.8390551358</v>
      </c>
      <c r="R225">
        <f t="shared" si="961"/>
        <v>30741820.597746998</v>
      </c>
      <c r="S225">
        <f t="shared" si="962"/>
        <v>307.41820597747</v>
      </c>
      <c r="T225">
        <f t="shared" si="963"/>
        <v>0.30741820597746999</v>
      </c>
    </row>
    <row r="226" spans="1:20" x14ac:dyDescent="0.25">
      <c r="A226" s="5">
        <v>44367</v>
      </c>
      <c r="B226">
        <v>19.763000000000002</v>
      </c>
      <c r="C226">
        <v>21.024999999999999</v>
      </c>
      <c r="D226">
        <v>18.622</v>
      </c>
      <c r="E226">
        <v>20.704000000000001</v>
      </c>
      <c r="F226">
        <v>2410717.378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0.73283395755306024</v>
      </c>
      <c r="Q226">
        <f t="shared" si="960"/>
        <v>1766655.5566616766</v>
      </c>
      <c r="R226">
        <f t="shared" si="961"/>
        <v>35412775.436802134</v>
      </c>
      <c r="S226">
        <f t="shared" si="962"/>
        <v>354.12775436802133</v>
      </c>
      <c r="T226">
        <f t="shared" si="963"/>
        <v>0.35412775436802135</v>
      </c>
    </row>
    <row r="227" spans="1:20" x14ac:dyDescent="0.25">
      <c r="A227" s="5">
        <v>44366</v>
      </c>
      <c r="B227">
        <v>20.399999999999999</v>
      </c>
      <c r="C227">
        <v>20.978000000000002</v>
      </c>
      <c r="D227">
        <v>19.754000000000001</v>
      </c>
      <c r="E227">
        <v>19.760000000000002</v>
      </c>
      <c r="F227">
        <v>1744280.9820000001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-0.99019607843137214</v>
      </c>
      <c r="Q227">
        <f t="shared" si="960"/>
        <v>-1727180.1880588229</v>
      </c>
      <c r="R227">
        <f t="shared" si="961"/>
        <v>33646119.880140461</v>
      </c>
      <c r="S227">
        <f t="shared" si="962"/>
        <v>336.46119880140463</v>
      </c>
      <c r="T227">
        <f t="shared" si="963"/>
        <v>0.33646119880140463</v>
      </c>
    </row>
    <row r="228" spans="1:20" x14ac:dyDescent="0.25">
      <c r="A228" s="5">
        <v>44365</v>
      </c>
      <c r="B228">
        <v>22.181999999999999</v>
      </c>
      <c r="C228">
        <v>22.268999999999998</v>
      </c>
      <c r="D228">
        <v>19.55</v>
      </c>
      <c r="E228">
        <v>20.388000000000002</v>
      </c>
      <c r="F228">
        <v>2187107.7889999999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-0.38359691062890644</v>
      </c>
      <c r="Q228">
        <f t="shared" si="960"/>
        <v>-838967.7910728181</v>
      </c>
      <c r="R228">
        <f t="shared" si="961"/>
        <v>35373300.068199284</v>
      </c>
      <c r="S228">
        <f t="shared" si="962"/>
        <v>353.73300068199285</v>
      </c>
      <c r="T228">
        <f t="shared" si="963"/>
        <v>0.35373300068199287</v>
      </c>
    </row>
    <row r="229" spans="1:20" x14ac:dyDescent="0.25">
      <c r="A229" s="5">
        <v>44364</v>
      </c>
      <c r="B229">
        <v>21.827999999999999</v>
      </c>
      <c r="C229">
        <v>22.940999999999999</v>
      </c>
      <c r="D229">
        <v>21.402999999999999</v>
      </c>
      <c r="E229">
        <v>22.184000000000001</v>
      </c>
      <c r="F229">
        <v>1443998.1459999999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1.5604681404424225E-2</v>
      </c>
      <c r="Q229">
        <f t="shared" si="960"/>
        <v>22533.131016909258</v>
      </c>
      <c r="R229">
        <f t="shared" si="961"/>
        <v>36212267.8592721</v>
      </c>
      <c r="S229">
        <f t="shared" si="962"/>
        <v>362.122678592721</v>
      </c>
      <c r="T229">
        <f t="shared" si="963"/>
        <v>0.36212267859272101</v>
      </c>
    </row>
    <row r="230" spans="1:20" x14ac:dyDescent="0.25">
      <c r="A230" s="5">
        <v>44363</v>
      </c>
      <c r="B230">
        <v>23.416</v>
      </c>
      <c r="C230">
        <v>23.55</v>
      </c>
      <c r="D230">
        <v>21.641999999999999</v>
      </c>
      <c r="E230">
        <v>21.827999999999999</v>
      </c>
      <c r="F230">
        <v>1687477.9639999999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-0.80503144654088066</v>
      </c>
      <c r="Q230">
        <f t="shared" si="960"/>
        <v>-1358472.8263647801</v>
      </c>
      <c r="R230">
        <f t="shared" si="961"/>
        <v>36189734.72825519</v>
      </c>
      <c r="S230">
        <f t="shared" si="962"/>
        <v>361.89734728255189</v>
      </c>
      <c r="T230">
        <f t="shared" si="963"/>
        <v>0.36189734728255191</v>
      </c>
    </row>
    <row r="231" spans="1:20" x14ac:dyDescent="0.25">
      <c r="A231" s="5">
        <v>44362</v>
      </c>
      <c r="B231">
        <v>24.158999999999999</v>
      </c>
      <c r="C231">
        <v>24.69</v>
      </c>
      <c r="D231">
        <v>23.116</v>
      </c>
      <c r="E231">
        <v>23.417000000000002</v>
      </c>
      <c r="F231">
        <v>1506402.334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-0.61753494282083654</v>
      </c>
      <c r="Q231">
        <f t="shared" si="960"/>
        <v>-930256.0791918647</v>
      </c>
      <c r="R231">
        <f t="shared" si="961"/>
        <v>37548207.554619968</v>
      </c>
      <c r="S231">
        <f t="shared" si="962"/>
        <v>375.48207554619967</v>
      </c>
      <c r="T231">
        <f t="shared" si="963"/>
        <v>0.37548207554619967</v>
      </c>
    </row>
    <row r="232" spans="1:20" x14ac:dyDescent="0.25">
      <c r="A232" s="5">
        <v>44361</v>
      </c>
      <c r="B232">
        <v>23.254999999999999</v>
      </c>
      <c r="C232">
        <v>24.207000000000001</v>
      </c>
      <c r="D232">
        <v>22.494</v>
      </c>
      <c r="E232">
        <v>24.16</v>
      </c>
      <c r="F232">
        <v>2206791.9750000001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0.94512551079976581</v>
      </c>
      <c r="Q232">
        <f t="shared" si="960"/>
        <v>2085695.3926006991</v>
      </c>
      <c r="R232">
        <f t="shared" si="961"/>
        <v>38478463.633811831</v>
      </c>
      <c r="S232">
        <f t="shared" si="962"/>
        <v>384.78463633811833</v>
      </c>
      <c r="T232">
        <f t="shared" si="963"/>
        <v>0.38478463633811832</v>
      </c>
    </row>
    <row r="233" spans="1:20" x14ac:dyDescent="0.25">
      <c r="A233" s="5">
        <v>44360</v>
      </c>
      <c r="B233">
        <v>21.280999999999999</v>
      </c>
      <c r="C233">
        <v>24</v>
      </c>
      <c r="D233">
        <v>20.449000000000002</v>
      </c>
      <c r="E233">
        <v>23.254999999999999</v>
      </c>
      <c r="F233">
        <v>2282231.7560000001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0.58039988735567372</v>
      </c>
      <c r="Q233">
        <f t="shared" si="960"/>
        <v>1324607.0541019414</v>
      </c>
      <c r="R233">
        <f t="shared" si="961"/>
        <v>36392768.241211131</v>
      </c>
      <c r="S233">
        <f t="shared" si="962"/>
        <v>363.92768241211132</v>
      </c>
      <c r="T233">
        <f t="shared" si="963"/>
        <v>0.36392768241211132</v>
      </c>
    </row>
    <row r="234" spans="1:20" x14ac:dyDescent="0.25">
      <c r="A234" s="5">
        <v>44359</v>
      </c>
      <c r="B234">
        <v>21.847999999999999</v>
      </c>
      <c r="C234">
        <v>22.062999999999999</v>
      </c>
      <c r="D234">
        <v>20.239000000000001</v>
      </c>
      <c r="E234">
        <v>21.295999999999999</v>
      </c>
      <c r="F234">
        <v>2201492.912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0.15899122807017513</v>
      </c>
      <c r="Q234">
        <f t="shared" si="960"/>
        <v>350018.06166666601</v>
      </c>
      <c r="R234">
        <f t="shared" si="961"/>
        <v>35068161.187109187</v>
      </c>
      <c r="S234">
        <f t="shared" si="962"/>
        <v>350.68161187109189</v>
      </c>
      <c r="T234">
        <f t="shared" si="963"/>
        <v>0.35068161187109187</v>
      </c>
    </row>
    <row r="235" spans="1:20" x14ac:dyDescent="0.25">
      <c r="A235" s="5">
        <v>44358</v>
      </c>
      <c r="B235">
        <v>23.577000000000002</v>
      </c>
      <c r="C235">
        <v>23.867999999999999</v>
      </c>
      <c r="D235">
        <v>21.298999999999999</v>
      </c>
      <c r="E235">
        <v>21.847999999999999</v>
      </c>
      <c r="F235">
        <v>2595444.497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-0.57259634098871182</v>
      </c>
      <c r="Q235">
        <f t="shared" si="960"/>
        <v>-1486142.0222214877</v>
      </c>
      <c r="R235">
        <f t="shared" si="961"/>
        <v>34718143.12544252</v>
      </c>
      <c r="S235">
        <f t="shared" si="962"/>
        <v>347.18143125442521</v>
      </c>
      <c r="T235">
        <f t="shared" si="963"/>
        <v>0.34718143125442519</v>
      </c>
    </row>
    <row r="236" spans="1:20" x14ac:dyDescent="0.25">
      <c r="A236" s="5">
        <v>44357</v>
      </c>
      <c r="B236">
        <v>25.094000000000001</v>
      </c>
      <c r="C236">
        <v>25.26</v>
      </c>
      <c r="D236">
        <v>23.085000000000001</v>
      </c>
      <c r="E236">
        <v>23.582000000000001</v>
      </c>
      <c r="F236">
        <v>2524473.9539999999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-0.54298850574712665</v>
      </c>
      <c r="Q236">
        <f t="shared" si="960"/>
        <v>-1370760.3400800005</v>
      </c>
      <c r="R236">
        <f t="shared" si="961"/>
        <v>36204285.147664011</v>
      </c>
      <c r="S236">
        <f t="shared" si="962"/>
        <v>362.04285147664012</v>
      </c>
      <c r="T236">
        <f t="shared" si="963"/>
        <v>0.36204285147664012</v>
      </c>
    </row>
    <row r="237" spans="1:20" x14ac:dyDescent="0.25">
      <c r="A237" s="5">
        <v>44356</v>
      </c>
      <c r="B237">
        <v>23.411999999999999</v>
      </c>
      <c r="C237">
        <v>25.241</v>
      </c>
      <c r="D237">
        <v>22.097000000000001</v>
      </c>
      <c r="E237">
        <v>25.096</v>
      </c>
      <c r="F237">
        <v>4569067.66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0.90776081424936406</v>
      </c>
      <c r="Q237">
        <f t="shared" si="960"/>
        <v>4147620.5794020365</v>
      </c>
      <c r="R237">
        <f t="shared" si="961"/>
        <v>37575045.487744011</v>
      </c>
      <c r="S237">
        <f t="shared" si="962"/>
        <v>375.75045487744012</v>
      </c>
      <c r="T237">
        <f t="shared" si="963"/>
        <v>0.37575045487744013</v>
      </c>
    </row>
    <row r="238" spans="1:20" x14ac:dyDescent="0.25">
      <c r="A238" s="5">
        <v>44355</v>
      </c>
      <c r="B238">
        <v>24.263000000000002</v>
      </c>
      <c r="C238">
        <v>24.643999999999998</v>
      </c>
      <c r="D238">
        <v>20.465</v>
      </c>
      <c r="E238">
        <v>23.423999999999999</v>
      </c>
      <c r="F238">
        <v>4141801.3960000002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0.41612826034936623</v>
      </c>
      <c r="Q238">
        <f t="shared" si="960"/>
        <v>1723520.6096300567</v>
      </c>
      <c r="R238">
        <f t="shared" si="961"/>
        <v>33427424.908341978</v>
      </c>
      <c r="S238">
        <f t="shared" si="962"/>
        <v>334.27424908341976</v>
      </c>
      <c r="T238">
        <f t="shared" si="963"/>
        <v>0.33427424908341974</v>
      </c>
    </row>
    <row r="239" spans="1:20" x14ac:dyDescent="0.25">
      <c r="A239" s="5">
        <v>44354</v>
      </c>
      <c r="B239">
        <v>25.863</v>
      </c>
      <c r="C239">
        <v>27.335000000000001</v>
      </c>
      <c r="D239">
        <v>23.91</v>
      </c>
      <c r="E239">
        <v>24.268999999999998</v>
      </c>
      <c r="F239">
        <v>3839779.301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-0.79036496350365071</v>
      </c>
      <c r="Q239">
        <f t="shared" si="960"/>
        <v>-3034827.0270969383</v>
      </c>
      <c r="R239">
        <f t="shared" si="961"/>
        <v>31703904.298711922</v>
      </c>
      <c r="S239">
        <f t="shared" si="962"/>
        <v>317.03904298711922</v>
      </c>
      <c r="T239">
        <f t="shared" si="963"/>
        <v>0.31703904298711921</v>
      </c>
    </row>
    <row r="240" spans="1:20" x14ac:dyDescent="0.25">
      <c r="A240" s="5">
        <v>44353</v>
      </c>
      <c r="B240">
        <v>25.628</v>
      </c>
      <c r="C240">
        <v>26.45</v>
      </c>
      <c r="D240">
        <v>25.303000000000001</v>
      </c>
      <c r="E240">
        <v>25.861000000000001</v>
      </c>
      <c r="F240">
        <v>1965325.548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-2.7027027027026022E-2</v>
      </c>
      <c r="Q240">
        <f t="shared" si="960"/>
        <v>-53116.906702700726</v>
      </c>
      <c r="R240">
        <f t="shared" si="961"/>
        <v>34738731.32580886</v>
      </c>
      <c r="S240">
        <f t="shared" si="962"/>
        <v>347.38731325808862</v>
      </c>
      <c r="T240">
        <f t="shared" si="963"/>
        <v>0.34738731325808864</v>
      </c>
    </row>
    <row r="241" spans="1:20" x14ac:dyDescent="0.25">
      <c r="A241" s="5">
        <v>44352</v>
      </c>
      <c r="B241">
        <v>26.422999999999998</v>
      </c>
      <c r="C241">
        <v>27.84</v>
      </c>
      <c r="D241">
        <v>25.04</v>
      </c>
      <c r="E241">
        <v>25.640999999999998</v>
      </c>
      <c r="F241">
        <v>2675895.4909999999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-0.57071428571428651</v>
      </c>
      <c r="Q241">
        <f t="shared" si="960"/>
        <v>-1527171.7837921449</v>
      </c>
      <c r="R241">
        <f t="shared" si="961"/>
        <v>34791848.232511558</v>
      </c>
      <c r="S241">
        <f t="shared" si="962"/>
        <v>347.91848232511558</v>
      </c>
      <c r="T241">
        <f t="shared" si="963"/>
        <v>0.34791848232511557</v>
      </c>
    </row>
    <row r="242" spans="1:20" x14ac:dyDescent="0.25">
      <c r="A242" s="5">
        <v>44351</v>
      </c>
      <c r="B242">
        <v>28.68</v>
      </c>
      <c r="C242">
        <v>28.696000000000002</v>
      </c>
      <c r="D242">
        <v>25.004999999999999</v>
      </c>
      <c r="E242">
        <v>26.422000000000001</v>
      </c>
      <c r="F242">
        <v>4004398.55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-0.23218639934976937</v>
      </c>
      <c r="Q242">
        <f t="shared" si="960"/>
        <v>-929766.88088593737</v>
      </c>
      <c r="R242">
        <f t="shared" si="961"/>
        <v>36319020.016303703</v>
      </c>
      <c r="S242">
        <f t="shared" si="962"/>
        <v>363.19020016303705</v>
      </c>
      <c r="T242">
        <f t="shared" si="963"/>
        <v>0.36319020016303705</v>
      </c>
    </row>
    <row r="243" spans="1:20" x14ac:dyDescent="0.25">
      <c r="A243" s="5">
        <v>44350</v>
      </c>
      <c r="B243">
        <v>27.626000000000001</v>
      </c>
      <c r="C243">
        <v>29.382000000000001</v>
      </c>
      <c r="D243">
        <v>26.896999999999998</v>
      </c>
      <c r="E243">
        <v>28.687000000000001</v>
      </c>
      <c r="F243">
        <v>3675157.568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0.44064386317907489</v>
      </c>
      <c r="Q243">
        <f t="shared" si="960"/>
        <v>1619435.6285553337</v>
      </c>
      <c r="R243">
        <f t="shared" si="961"/>
        <v>37248786.89718964</v>
      </c>
      <c r="S243">
        <f t="shared" si="962"/>
        <v>372.48786897189638</v>
      </c>
      <c r="T243">
        <f t="shared" si="963"/>
        <v>0.3724878689718964</v>
      </c>
    </row>
    <row r="244" spans="1:20" x14ac:dyDescent="0.25">
      <c r="A244" s="5">
        <v>44349</v>
      </c>
      <c r="B244">
        <v>27.413</v>
      </c>
      <c r="C244">
        <v>28.803000000000001</v>
      </c>
      <c r="D244">
        <v>26.335000000000001</v>
      </c>
      <c r="E244">
        <v>27.626000000000001</v>
      </c>
      <c r="F244">
        <v>3744189.318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4.6191247974068386E-2</v>
      </c>
      <c r="Q244">
        <f t="shared" si="960"/>
        <v>172948.77724959599</v>
      </c>
      <c r="R244">
        <f t="shared" si="961"/>
        <v>35629351.268634304</v>
      </c>
      <c r="S244">
        <f t="shared" si="962"/>
        <v>356.29351268634304</v>
      </c>
      <c r="T244">
        <f t="shared" si="963"/>
        <v>0.35629351268634302</v>
      </c>
    </row>
    <row r="245" spans="1:20" x14ac:dyDescent="0.25">
      <c r="A245" s="5">
        <v>44348</v>
      </c>
      <c r="B245">
        <v>28.239000000000001</v>
      </c>
      <c r="C245">
        <v>28.754000000000001</v>
      </c>
      <c r="D245">
        <v>25.942</v>
      </c>
      <c r="E245">
        <v>27.425999999999998</v>
      </c>
      <c r="F245">
        <v>5252485.9330000002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5.5476529160737975E-2</v>
      </c>
      <c r="Q245">
        <f t="shared" si="960"/>
        <v>291389.68902844051</v>
      </c>
      <c r="R245">
        <f t="shared" si="961"/>
        <v>35456402.491384707</v>
      </c>
      <c r="S245">
        <f t="shared" si="962"/>
        <v>354.56402491384705</v>
      </c>
      <c r="T245">
        <f t="shared" si="963"/>
        <v>0.35456402491384703</v>
      </c>
    </row>
    <row r="246" spans="1:20" x14ac:dyDescent="0.25">
      <c r="A246" s="5">
        <v>44347</v>
      </c>
      <c r="B246">
        <v>25.7</v>
      </c>
      <c r="C246">
        <v>28.4</v>
      </c>
      <c r="D246">
        <v>23.433</v>
      </c>
      <c r="E246">
        <v>28.239000000000001</v>
      </c>
      <c r="F246">
        <v>7519968.0219999999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0.93517213609824934</v>
      </c>
      <c r="Q246">
        <f t="shared" si="960"/>
        <v>7032464.5585242668</v>
      </c>
      <c r="R246">
        <f t="shared" si="961"/>
        <v>35165012.802356265</v>
      </c>
      <c r="S246">
        <f t="shared" si="962"/>
        <v>351.65012802356267</v>
      </c>
      <c r="T246">
        <f t="shared" si="963"/>
        <v>0.35165012802356266</v>
      </c>
    </row>
    <row r="247" spans="1:20" x14ac:dyDescent="0.25">
      <c r="A247" s="5">
        <v>44346</v>
      </c>
      <c r="B247">
        <v>23.170999999999999</v>
      </c>
      <c r="C247">
        <v>26.667999999999999</v>
      </c>
      <c r="D247">
        <v>21.66</v>
      </c>
      <c r="E247">
        <v>25.716000000000001</v>
      </c>
      <c r="F247">
        <v>5654647.4110000003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0.61980830670926579</v>
      </c>
      <c r="Q247">
        <f t="shared" si="960"/>
        <v>3504797.4368498437</v>
      </c>
      <c r="R247">
        <f t="shared" si="961"/>
        <v>28132548.243831996</v>
      </c>
      <c r="S247">
        <f t="shared" si="962"/>
        <v>281.32548243831997</v>
      </c>
      <c r="T247">
        <f t="shared" si="963"/>
        <v>0.28132548243831995</v>
      </c>
    </row>
    <row r="248" spans="1:20" x14ac:dyDescent="0.25">
      <c r="A248" s="5">
        <v>44345</v>
      </c>
      <c r="B248">
        <v>25.885999999999999</v>
      </c>
      <c r="C248">
        <v>27.530999999999999</v>
      </c>
      <c r="D248">
        <v>21.809000000000001</v>
      </c>
      <c r="E248">
        <v>23.169</v>
      </c>
      <c r="F248">
        <v>5967352.8930000002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-0.52464173365955957</v>
      </c>
      <c r="Q248">
        <f t="shared" si="960"/>
        <v>-3130722.3671419085</v>
      </c>
      <c r="R248">
        <f t="shared" si="961"/>
        <v>24627750.806982152</v>
      </c>
      <c r="S248">
        <f t="shared" si="962"/>
        <v>246.27750806982152</v>
      </c>
      <c r="T248">
        <f t="shared" si="963"/>
        <v>0.24627750806982152</v>
      </c>
    </row>
    <row r="249" spans="1:20" x14ac:dyDescent="0.25">
      <c r="A249" s="5">
        <v>44344</v>
      </c>
      <c r="B249">
        <v>28.538</v>
      </c>
      <c r="C249">
        <v>29.398</v>
      </c>
      <c r="D249">
        <v>24.861000000000001</v>
      </c>
      <c r="E249">
        <v>25.875</v>
      </c>
      <c r="F249">
        <v>7728105.1140000001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-0.55300859598853891</v>
      </c>
      <c r="Q249">
        <f t="shared" si="960"/>
        <v>-4273708.5587449875</v>
      </c>
      <c r="R249">
        <f t="shared" si="961"/>
        <v>27758473.174124062</v>
      </c>
      <c r="S249">
        <f t="shared" si="962"/>
        <v>277.5847317412406</v>
      </c>
      <c r="T249">
        <f t="shared" si="963"/>
        <v>0.2775847317412406</v>
      </c>
    </row>
    <row r="250" spans="1:20" x14ac:dyDescent="0.25">
      <c r="A250" s="5">
        <v>44343</v>
      </c>
      <c r="B250">
        <v>29.382000000000001</v>
      </c>
      <c r="C250">
        <v>30</v>
      </c>
      <c r="D250">
        <v>26.106000000000002</v>
      </c>
      <c r="E250">
        <v>28.548999999999999</v>
      </c>
      <c r="F250">
        <v>6275644.8830000004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0.25475089881869484</v>
      </c>
      <c r="Q250">
        <f t="shared" si="960"/>
        <v>1598726.1746111931</v>
      </c>
      <c r="R250">
        <f t="shared" si="961"/>
        <v>32032181.732869048</v>
      </c>
      <c r="S250">
        <f t="shared" si="962"/>
        <v>320.32181732869049</v>
      </c>
      <c r="T250">
        <f t="shared" si="963"/>
        <v>0.32032181732869047</v>
      </c>
    </row>
    <row r="251" spans="1:20" x14ac:dyDescent="0.25">
      <c r="A251" s="5">
        <v>44342</v>
      </c>
      <c r="B251">
        <v>25.097000000000001</v>
      </c>
      <c r="C251">
        <v>29.428000000000001</v>
      </c>
      <c r="D251">
        <v>24.436</v>
      </c>
      <c r="E251">
        <v>29.42</v>
      </c>
      <c r="F251">
        <v>6640794.7850000001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0.99679487179487214</v>
      </c>
      <c r="Q251">
        <f t="shared" si="960"/>
        <v>6619510.1863301303</v>
      </c>
      <c r="R251">
        <f t="shared" si="961"/>
        <v>30433455.558257855</v>
      </c>
      <c r="S251">
        <f t="shared" si="962"/>
        <v>304.33455558257856</v>
      </c>
      <c r="T251">
        <f t="shared" si="963"/>
        <v>0.30433455558257855</v>
      </c>
    </row>
    <row r="252" spans="1:20" x14ac:dyDescent="0.25">
      <c r="A252" s="5">
        <v>44341</v>
      </c>
      <c r="B252">
        <v>24.68</v>
      </c>
      <c r="C252">
        <v>26.7</v>
      </c>
      <c r="D252">
        <v>21.504999999999999</v>
      </c>
      <c r="E252">
        <v>25.106000000000002</v>
      </c>
      <c r="F252">
        <v>10314512.405999999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0.38633301251203173</v>
      </c>
      <c r="Q252">
        <f t="shared" si="960"/>
        <v>3984836.6504027043</v>
      </c>
      <c r="R252">
        <f t="shared" si="961"/>
        <v>23813945.371927723</v>
      </c>
      <c r="S252">
        <f t="shared" si="962"/>
        <v>238.13945371927724</v>
      </c>
      <c r="T252">
        <f t="shared" si="963"/>
        <v>0.23813945371927725</v>
      </c>
    </row>
    <row r="253" spans="1:20" x14ac:dyDescent="0.25">
      <c r="A253" s="5">
        <v>44340</v>
      </c>
      <c r="B253">
        <v>16.709</v>
      </c>
      <c r="C253">
        <v>25.18</v>
      </c>
      <c r="D253">
        <v>16.492999999999999</v>
      </c>
      <c r="E253">
        <v>24.684000000000001</v>
      </c>
      <c r="F253">
        <v>11137116.473999999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0.88580637734545908</v>
      </c>
      <c r="Q253">
        <f t="shared" si="960"/>
        <v>9865328.7979083732</v>
      </c>
      <c r="R253">
        <f t="shared" si="961"/>
        <v>19829108.721525017</v>
      </c>
      <c r="S253">
        <f t="shared" si="962"/>
        <v>198.29108721525017</v>
      </c>
      <c r="T253">
        <f t="shared" si="963"/>
        <v>0.19829108721525018</v>
      </c>
    </row>
    <row r="254" spans="1:20" x14ac:dyDescent="0.25">
      <c r="A254" s="5">
        <v>44339</v>
      </c>
      <c r="B254">
        <v>20.370999999999999</v>
      </c>
      <c r="C254">
        <v>21.308</v>
      </c>
      <c r="D254">
        <v>13</v>
      </c>
      <c r="E254">
        <v>16.709</v>
      </c>
      <c r="F254">
        <v>11476301.551999999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-0.10712566201251812</v>
      </c>
      <c r="Q254">
        <f t="shared" si="960"/>
        <v>-1229406.401213289</v>
      </c>
      <c r="R254">
        <f t="shared" si="961"/>
        <v>9963779.923616644</v>
      </c>
      <c r="S254">
        <f t="shared" si="962"/>
        <v>99.637799236166444</v>
      </c>
      <c r="T254">
        <f t="shared" si="963"/>
        <v>9.9637799236166447E-2</v>
      </c>
    </row>
    <row r="255" spans="1:20" x14ac:dyDescent="0.25">
      <c r="A255" s="5">
        <v>44338</v>
      </c>
      <c r="B255">
        <v>21.943000000000001</v>
      </c>
      <c r="C255">
        <v>22.623999999999999</v>
      </c>
      <c r="D255">
        <v>18.372</v>
      </c>
      <c r="E255">
        <v>20.338000000000001</v>
      </c>
      <c r="F255">
        <v>5227838.5470000003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-7.5258701787393412E-2</v>
      </c>
      <c r="Q255">
        <f t="shared" si="960"/>
        <v>-393440.34220131312</v>
      </c>
      <c r="R255">
        <f t="shared" si="961"/>
        <v>11193186.324829932</v>
      </c>
      <c r="S255">
        <f t="shared" si="962"/>
        <v>111.93186324829932</v>
      </c>
      <c r="T255">
        <f t="shared" si="963"/>
        <v>0.11193186324829932</v>
      </c>
    </row>
    <row r="256" spans="1:20" x14ac:dyDescent="0.25">
      <c r="A256" s="5">
        <v>44337</v>
      </c>
      <c r="B256">
        <v>26.347000000000001</v>
      </c>
      <c r="C256">
        <v>27.951000000000001</v>
      </c>
      <c r="D256">
        <v>18.818999999999999</v>
      </c>
      <c r="E256">
        <v>21.945</v>
      </c>
      <c r="F256">
        <v>7106530.233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-0.31537450722733229</v>
      </c>
      <c r="Q256">
        <f t="shared" si="960"/>
        <v>-2241218.470328514</v>
      </c>
      <c r="R256">
        <f t="shared" si="961"/>
        <v>11586626.667031245</v>
      </c>
      <c r="S256">
        <f t="shared" si="962"/>
        <v>115.86626667031246</v>
      </c>
      <c r="T256">
        <f t="shared" si="963"/>
        <v>0.11586626667031245</v>
      </c>
    </row>
    <row r="257" spans="1:20" x14ac:dyDescent="0.25">
      <c r="A257" s="5">
        <v>44336</v>
      </c>
      <c r="B257">
        <v>23.117999999999999</v>
      </c>
      <c r="C257">
        <v>28.457000000000001</v>
      </c>
      <c r="D257">
        <v>20</v>
      </c>
      <c r="E257">
        <v>26.332999999999998</v>
      </c>
      <c r="F257">
        <v>7410933.2510000002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0.49769421780773271</v>
      </c>
      <c r="Q257">
        <f t="shared" si="960"/>
        <v>3688378.6275817626</v>
      </c>
      <c r="R257">
        <f t="shared" si="961"/>
        <v>13827845.137359759</v>
      </c>
      <c r="S257">
        <f t="shared" si="962"/>
        <v>138.27845137359759</v>
      </c>
      <c r="T257">
        <f t="shared" si="963"/>
        <v>0.13827845137359759</v>
      </c>
    </row>
    <row r="258" spans="1:20" x14ac:dyDescent="0.25">
      <c r="A258" s="5">
        <v>44335</v>
      </c>
      <c r="B258">
        <v>35.009</v>
      </c>
      <c r="C258">
        <v>35.5</v>
      </c>
      <c r="D258">
        <v>16</v>
      </c>
      <c r="E258">
        <v>23.169</v>
      </c>
      <c r="F258">
        <v>13257004.569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-0.26471794871794868</v>
      </c>
      <c r="Q258">
        <f t="shared" si="960"/>
        <v>-3509367.0556501532</v>
      </c>
      <c r="R258">
        <f t="shared" si="961"/>
        <v>10139466.509777997</v>
      </c>
      <c r="S258">
        <f t="shared" si="962"/>
        <v>101.39466509777996</v>
      </c>
      <c r="T258">
        <f t="shared" si="963"/>
        <v>0.10139466509777996</v>
      </c>
    </row>
    <row r="259" spans="1:20" x14ac:dyDescent="0.25">
      <c r="A259" s="5">
        <v>44334</v>
      </c>
      <c r="B259">
        <v>33.250999999999998</v>
      </c>
      <c r="C259">
        <v>36.630000000000003</v>
      </c>
      <c r="D259">
        <v>32.973999999999997</v>
      </c>
      <c r="E259">
        <v>35.027999999999999</v>
      </c>
      <c r="F259">
        <v>3743345.4780000001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0.12363238512034941</v>
      </c>
      <c r="Q259">
        <f t="shared" si="960"/>
        <v>462798.72977461445</v>
      </c>
      <c r="R259">
        <f t="shared" si="961"/>
        <v>13648833.565428151</v>
      </c>
      <c r="S259">
        <f t="shared" si="962"/>
        <v>136.48833565428151</v>
      </c>
      <c r="T259">
        <f t="shared" si="963"/>
        <v>0.13648833565428151</v>
      </c>
    </row>
    <row r="260" spans="1:20" x14ac:dyDescent="0.25">
      <c r="A260" s="5">
        <v>44333</v>
      </c>
      <c r="B260">
        <v>36.597000000000001</v>
      </c>
      <c r="C260">
        <v>36.597000000000001</v>
      </c>
      <c r="D260">
        <v>31.780999999999999</v>
      </c>
      <c r="E260">
        <v>33.231999999999999</v>
      </c>
      <c r="F260">
        <v>3934373.62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-0.39742524916943534</v>
      </c>
      <c r="Q260">
        <f t="shared" si="960"/>
        <v>-1563619.4162541532</v>
      </c>
      <c r="R260">
        <f t="shared" si="961"/>
        <v>13186034.835653536</v>
      </c>
      <c r="S260">
        <f t="shared" si="962"/>
        <v>131.86034835653535</v>
      </c>
      <c r="T260">
        <f t="shared" si="963"/>
        <v>0.13186034835653535</v>
      </c>
    </row>
    <row r="261" spans="1:20" x14ac:dyDescent="0.25">
      <c r="A261" s="5">
        <v>44332</v>
      </c>
      <c r="B261">
        <v>36.593000000000004</v>
      </c>
      <c r="C261">
        <v>39.417999999999999</v>
      </c>
      <c r="D261">
        <v>34.5</v>
      </c>
      <c r="E261">
        <v>36.597999999999999</v>
      </c>
      <c r="F261">
        <v>2888647.3709999998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-0.14680764538430285</v>
      </c>
      <c r="Q261">
        <f t="shared" si="960"/>
        <v>-424075.51888206671</v>
      </c>
      <c r="R261">
        <f t="shared" si="961"/>
        <v>14749654.251907689</v>
      </c>
      <c r="S261">
        <f t="shared" si="962"/>
        <v>147.49654251907688</v>
      </c>
      <c r="T261">
        <f t="shared" si="963"/>
        <v>0.14749654251907687</v>
      </c>
    </row>
    <row r="262" spans="1:20" x14ac:dyDescent="0.25">
      <c r="A262" s="5">
        <v>44331</v>
      </c>
      <c r="B262">
        <v>40.405999999999999</v>
      </c>
      <c r="C262">
        <v>42.4</v>
      </c>
      <c r="D262">
        <v>36.505000000000003</v>
      </c>
      <c r="E262">
        <v>36.606999999999999</v>
      </c>
      <c r="F262">
        <v>3451479.6880000001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-0.96539440203562443</v>
      </c>
      <c r="Q262">
        <f t="shared" ref="Q262:Q325" si="965">F262*P262</f>
        <v>-3332039.1695348634</v>
      </c>
      <c r="R262">
        <f t="shared" ref="R262:R325" si="966">R263+Q262</f>
        <v>15173729.770789756</v>
      </c>
      <c r="S262">
        <f t="shared" ref="S262:S325" si="967">R262/100000</f>
        <v>151.73729770789757</v>
      </c>
      <c r="T262">
        <f t="shared" ref="T262:T325" si="968">S262/1000</f>
        <v>0.15173729770789757</v>
      </c>
    </row>
    <row r="263" spans="1:20" x14ac:dyDescent="0.25">
      <c r="A263" s="5">
        <v>44330</v>
      </c>
      <c r="B263">
        <v>37.341000000000001</v>
      </c>
      <c r="C263">
        <v>40.887999999999998</v>
      </c>
      <c r="D263">
        <v>37.112000000000002</v>
      </c>
      <c r="E263">
        <v>40.4</v>
      </c>
      <c r="F263">
        <v>2694092.9939999999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0.74152542372881358</v>
      </c>
      <c r="Q263">
        <f t="shared" si="965"/>
        <v>1997738.448940678</v>
      </c>
      <c r="R263">
        <f t="shared" si="966"/>
        <v>18505768.940324619</v>
      </c>
      <c r="S263">
        <f t="shared" si="967"/>
        <v>185.0576894032462</v>
      </c>
      <c r="T263">
        <f t="shared" si="968"/>
        <v>0.18505768940324621</v>
      </c>
    </row>
    <row r="264" spans="1:20" x14ac:dyDescent="0.25">
      <c r="A264" s="5">
        <v>44329</v>
      </c>
      <c r="B264">
        <v>37.079000000000001</v>
      </c>
      <c r="C264">
        <v>40.328000000000003</v>
      </c>
      <c r="D264">
        <v>33.905000000000001</v>
      </c>
      <c r="E264">
        <v>37.344999999999999</v>
      </c>
      <c r="F264">
        <v>5519523.2209999999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7.1150552701228942E-2</v>
      </c>
      <c r="Q264">
        <f t="shared" si="965"/>
        <v>392717.12782141741</v>
      </c>
      <c r="R264">
        <f t="shared" si="966"/>
        <v>16508030.491383942</v>
      </c>
      <c r="S264">
        <f t="shared" si="967"/>
        <v>165.08030491383943</v>
      </c>
      <c r="T264">
        <f t="shared" si="968"/>
        <v>0.16508030491383943</v>
      </c>
    </row>
    <row r="265" spans="1:20" x14ac:dyDescent="0.25">
      <c r="A265" s="5">
        <v>44328</v>
      </c>
      <c r="B265">
        <v>38.518999999999998</v>
      </c>
      <c r="C265">
        <v>44.043999999999997</v>
      </c>
      <c r="D265">
        <v>35.713999999999999</v>
      </c>
      <c r="E265">
        <v>36.869999999999997</v>
      </c>
      <c r="F265">
        <v>8229661.4550000001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-0.72244897959183696</v>
      </c>
      <c r="Q265">
        <f t="shared" si="965"/>
        <v>-5945510.5205510221</v>
      </c>
      <c r="R265">
        <f t="shared" si="966"/>
        <v>16115313.363562524</v>
      </c>
      <c r="S265">
        <f t="shared" si="967"/>
        <v>161.15313363562524</v>
      </c>
      <c r="T265">
        <f t="shared" si="968"/>
        <v>0.16115313363562525</v>
      </c>
    </row>
    <row r="266" spans="1:20" x14ac:dyDescent="0.25">
      <c r="A266" s="5">
        <v>44327</v>
      </c>
      <c r="B266">
        <v>36.378</v>
      </c>
      <c r="C266">
        <v>38.543999999999997</v>
      </c>
      <c r="D266">
        <v>35.448</v>
      </c>
      <c r="E266">
        <v>38.515000000000001</v>
      </c>
      <c r="F266">
        <v>2721296.5989999999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0.98126614987080341</v>
      </c>
      <c r="Q266">
        <f t="shared" si="965"/>
        <v>2670316.2363572414</v>
      </c>
      <c r="R266">
        <f t="shared" si="966"/>
        <v>22060823.884113546</v>
      </c>
      <c r="S266">
        <f t="shared" si="967"/>
        <v>220.60823884113546</v>
      </c>
      <c r="T266">
        <f t="shared" si="968"/>
        <v>0.22060823884113545</v>
      </c>
    </row>
    <row r="267" spans="1:20" x14ac:dyDescent="0.25">
      <c r="A267" s="5">
        <v>44326</v>
      </c>
      <c r="B267">
        <v>39.421999999999997</v>
      </c>
      <c r="C267">
        <v>41.167999999999999</v>
      </c>
      <c r="D267">
        <v>33.46</v>
      </c>
      <c r="E267">
        <v>36.372</v>
      </c>
      <c r="F267">
        <v>4237689.4139999999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-0.2444213803840167</v>
      </c>
      <c r="Q267">
        <f t="shared" si="965"/>
        <v>-1035781.8962086148</v>
      </c>
      <c r="R267">
        <f t="shared" si="966"/>
        <v>19390507.647756305</v>
      </c>
      <c r="S267">
        <f t="shared" si="967"/>
        <v>193.90507647756306</v>
      </c>
      <c r="T267">
        <f t="shared" si="968"/>
        <v>0.19390507647756305</v>
      </c>
    </row>
    <row r="268" spans="1:20" x14ac:dyDescent="0.25">
      <c r="A268" s="5">
        <v>44325</v>
      </c>
      <c r="B268">
        <v>40.479999999999997</v>
      </c>
      <c r="C268">
        <v>40.722000000000001</v>
      </c>
      <c r="D268">
        <v>38.064</v>
      </c>
      <c r="E268">
        <v>39.43</v>
      </c>
      <c r="F268">
        <v>2582372.6039999998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2.7840481565085791E-2</v>
      </c>
      <c r="Q268">
        <f t="shared" si="965"/>
        <v>71894.49687584459</v>
      </c>
      <c r="R268">
        <f t="shared" si="966"/>
        <v>20426289.543964919</v>
      </c>
      <c r="S268">
        <f t="shared" si="967"/>
        <v>204.26289543964918</v>
      </c>
      <c r="T268">
        <f t="shared" si="968"/>
        <v>0.20426289543964918</v>
      </c>
    </row>
    <row r="269" spans="1:20" x14ac:dyDescent="0.25">
      <c r="A269" s="5">
        <v>44324</v>
      </c>
      <c r="B269">
        <v>39.732999999999997</v>
      </c>
      <c r="C269">
        <v>41.26</v>
      </c>
      <c r="D269">
        <v>38.549999999999997</v>
      </c>
      <c r="E269">
        <v>40.497999999999998</v>
      </c>
      <c r="F269">
        <v>2961391.1660000002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0.43763837638376368</v>
      </c>
      <c r="Q269">
        <f t="shared" si="965"/>
        <v>1296018.4217254608</v>
      </c>
      <c r="R269">
        <f t="shared" si="966"/>
        <v>20354395.047089074</v>
      </c>
      <c r="S269">
        <f t="shared" si="967"/>
        <v>203.54395047089074</v>
      </c>
      <c r="T269">
        <f t="shared" si="968"/>
        <v>0.20354395047089074</v>
      </c>
    </row>
    <row r="270" spans="1:20" x14ac:dyDescent="0.25">
      <c r="A270" s="5">
        <v>44323</v>
      </c>
      <c r="B270">
        <v>40.223999999999997</v>
      </c>
      <c r="C270">
        <v>41.377000000000002</v>
      </c>
      <c r="D270">
        <v>38.270000000000003</v>
      </c>
      <c r="E270">
        <v>39.74</v>
      </c>
      <c r="F270">
        <v>4057210.5619999999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-5.3749597682652597E-2</v>
      </c>
      <c r="Q270">
        <f t="shared" si="965"/>
        <v>-218073.43542130885</v>
      </c>
      <c r="R270">
        <f t="shared" si="966"/>
        <v>19058376.625363614</v>
      </c>
      <c r="S270">
        <f t="shared" si="967"/>
        <v>190.58376625363616</v>
      </c>
      <c r="T270">
        <f t="shared" si="968"/>
        <v>0.19058376625363616</v>
      </c>
    </row>
    <row r="271" spans="1:20" x14ac:dyDescent="0.25">
      <c r="A271" s="5">
        <v>44322</v>
      </c>
      <c r="B271">
        <v>42.408999999999999</v>
      </c>
      <c r="C271">
        <v>42.536999999999999</v>
      </c>
      <c r="D271">
        <v>39.731999999999999</v>
      </c>
      <c r="E271">
        <v>40.222000000000001</v>
      </c>
      <c r="F271">
        <v>4988381.4170000004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-0.65062388591800213</v>
      </c>
      <c r="Q271">
        <f t="shared" si="965"/>
        <v>-3245560.1019696901</v>
      </c>
      <c r="R271">
        <f t="shared" si="966"/>
        <v>19276450.060784925</v>
      </c>
      <c r="S271">
        <f t="shared" si="967"/>
        <v>192.76450060784924</v>
      </c>
      <c r="T271">
        <f t="shared" si="968"/>
        <v>0.19276450060784925</v>
      </c>
    </row>
    <row r="272" spans="1:20" x14ac:dyDescent="0.25">
      <c r="A272" s="5">
        <v>44321</v>
      </c>
      <c r="B272">
        <v>43.091000000000001</v>
      </c>
      <c r="C272">
        <v>44.9</v>
      </c>
      <c r="D272">
        <v>41.497</v>
      </c>
      <c r="E272">
        <v>42.423000000000002</v>
      </c>
      <c r="F272">
        <v>6727812.0449999999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-0.45577431677931102</v>
      </c>
      <c r="Q272">
        <f t="shared" si="965"/>
        <v>-3066363.9382294943</v>
      </c>
      <c r="R272">
        <f t="shared" si="966"/>
        <v>22522010.162754614</v>
      </c>
      <c r="S272">
        <f t="shared" si="967"/>
        <v>225.22010162754614</v>
      </c>
      <c r="T272">
        <f t="shared" si="968"/>
        <v>0.22522010162754613</v>
      </c>
    </row>
    <row r="273" spans="1:20" x14ac:dyDescent="0.25">
      <c r="A273" s="5">
        <v>44320</v>
      </c>
      <c r="B273">
        <v>42.281999999999996</v>
      </c>
      <c r="C273">
        <v>44.631</v>
      </c>
      <c r="D273">
        <v>39.520000000000003</v>
      </c>
      <c r="E273">
        <v>43.107999999999997</v>
      </c>
      <c r="F273">
        <v>7355023.7949999999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0.4040305224026593</v>
      </c>
      <c r="Q273">
        <f t="shared" si="965"/>
        <v>2971654.1061778395</v>
      </c>
      <c r="R273">
        <f t="shared" si="966"/>
        <v>25588374.100984108</v>
      </c>
      <c r="S273">
        <f t="shared" si="967"/>
        <v>255.88374100984109</v>
      </c>
      <c r="T273">
        <f t="shared" si="968"/>
        <v>0.25588374100984107</v>
      </c>
    </row>
    <row r="274" spans="1:20" x14ac:dyDescent="0.25">
      <c r="A274" s="5">
        <v>44319</v>
      </c>
      <c r="B274">
        <v>42.619</v>
      </c>
      <c r="C274">
        <v>45</v>
      </c>
      <c r="D274">
        <v>41.2</v>
      </c>
      <c r="E274">
        <v>42.277000000000001</v>
      </c>
      <c r="F274">
        <v>4837994.9539999999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-0.43315789473684263</v>
      </c>
      <c r="Q274">
        <f t="shared" si="965"/>
        <v>-2095615.7090221078</v>
      </c>
      <c r="R274">
        <f t="shared" si="966"/>
        <v>22616719.994806267</v>
      </c>
      <c r="S274">
        <f t="shared" si="967"/>
        <v>226.16719994806266</v>
      </c>
      <c r="T274">
        <f t="shared" si="968"/>
        <v>0.22616719994806267</v>
      </c>
    </row>
    <row r="275" spans="1:20" x14ac:dyDescent="0.25">
      <c r="A275" s="5">
        <v>44318</v>
      </c>
      <c r="B275">
        <v>40.345999999999997</v>
      </c>
      <c r="C275">
        <v>43.302999999999997</v>
      </c>
      <c r="D275">
        <v>39.200000000000003</v>
      </c>
      <c r="E275">
        <v>42.62</v>
      </c>
      <c r="F275">
        <v>4160783.0649999999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0.66707287350718947</v>
      </c>
      <c r="Q275">
        <f t="shared" si="965"/>
        <v>2775545.5152096013</v>
      </c>
      <c r="R275">
        <f t="shared" si="966"/>
        <v>24712335.703828376</v>
      </c>
      <c r="S275">
        <f t="shared" si="967"/>
        <v>247.12335703828376</v>
      </c>
      <c r="T275">
        <f t="shared" si="968"/>
        <v>0.24712335703828375</v>
      </c>
    </row>
    <row r="276" spans="1:20" x14ac:dyDescent="0.25">
      <c r="A276" s="5">
        <v>44317</v>
      </c>
      <c r="B276">
        <v>40.646000000000001</v>
      </c>
      <c r="C276">
        <v>41.287999999999997</v>
      </c>
      <c r="D276">
        <v>39.19</v>
      </c>
      <c r="E276">
        <v>40.338999999999999</v>
      </c>
      <c r="F276">
        <v>3165037.0159999998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9.5328884652050971E-2</v>
      </c>
      <c r="Q276">
        <f t="shared" si="965"/>
        <v>301719.44861773559</v>
      </c>
      <c r="R276">
        <f t="shared" si="966"/>
        <v>21936790.188618775</v>
      </c>
      <c r="S276">
        <f t="shared" si="967"/>
        <v>219.36790188618775</v>
      </c>
      <c r="T276">
        <f t="shared" si="968"/>
        <v>0.21936790188618777</v>
      </c>
    </row>
    <row r="277" spans="1:20" x14ac:dyDescent="0.25">
      <c r="A277" s="5">
        <v>44316</v>
      </c>
      <c r="B277">
        <v>41.027999999999999</v>
      </c>
      <c r="C277">
        <v>41.415999999999997</v>
      </c>
      <c r="D277">
        <v>39</v>
      </c>
      <c r="E277">
        <v>40.624000000000002</v>
      </c>
      <c r="F277">
        <v>4308530.483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0.34437086092715602</v>
      </c>
      <c r="Q277">
        <f t="shared" si="965"/>
        <v>1483732.3517616054</v>
      </c>
      <c r="R277">
        <f t="shared" si="966"/>
        <v>21635070.740001041</v>
      </c>
      <c r="S277">
        <f t="shared" si="967"/>
        <v>216.35070740001041</v>
      </c>
      <c r="T277">
        <f t="shared" si="968"/>
        <v>0.21635070740001042</v>
      </c>
    </row>
    <row r="278" spans="1:20" x14ac:dyDescent="0.25">
      <c r="A278" s="5">
        <v>44315</v>
      </c>
      <c r="B278">
        <v>42.875999999999998</v>
      </c>
      <c r="C278">
        <v>44</v>
      </c>
      <c r="D278">
        <v>39.581000000000003</v>
      </c>
      <c r="E278">
        <v>41.05</v>
      </c>
      <c r="F278">
        <v>4430490.1830000002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-0.33514369766915814</v>
      </c>
      <c r="Q278">
        <f t="shared" si="965"/>
        <v>-1484850.8624175251</v>
      </c>
      <c r="R278">
        <f t="shared" si="966"/>
        <v>20151338.388239436</v>
      </c>
      <c r="S278">
        <f t="shared" si="967"/>
        <v>201.51338388239435</v>
      </c>
      <c r="T278">
        <f t="shared" si="968"/>
        <v>0.20151338388239434</v>
      </c>
    </row>
    <row r="279" spans="1:20" x14ac:dyDescent="0.25">
      <c r="A279" s="5">
        <v>44314</v>
      </c>
      <c r="B279">
        <v>39.630000000000003</v>
      </c>
      <c r="C279">
        <v>42.948999999999998</v>
      </c>
      <c r="D279">
        <v>37.624000000000002</v>
      </c>
      <c r="E279">
        <v>42.901000000000003</v>
      </c>
      <c r="F279">
        <v>7137060.8339999998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0.98197183098591745</v>
      </c>
      <c r="Q279">
        <f t="shared" si="965"/>
        <v>7008392.6950208591</v>
      </c>
      <c r="R279">
        <f t="shared" si="966"/>
        <v>21636189.250656962</v>
      </c>
      <c r="S279">
        <f t="shared" si="967"/>
        <v>216.36189250656963</v>
      </c>
      <c r="T279">
        <f t="shared" si="968"/>
        <v>0.21636189250656962</v>
      </c>
    </row>
    <row r="280" spans="1:20" x14ac:dyDescent="0.25">
      <c r="A280" s="5">
        <v>44313</v>
      </c>
      <c r="B280">
        <v>38.164999999999999</v>
      </c>
      <c r="C280">
        <v>40.628999999999998</v>
      </c>
      <c r="D280">
        <v>37.299999999999997</v>
      </c>
      <c r="E280">
        <v>39.630000000000003</v>
      </c>
      <c r="F280">
        <v>5387724.4239999996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0.399819765695407</v>
      </c>
      <c r="Q280">
        <f t="shared" si="965"/>
        <v>2154118.7168351016</v>
      </c>
      <c r="R280">
        <f t="shared" si="966"/>
        <v>14627796.555636102</v>
      </c>
      <c r="S280">
        <f t="shared" si="967"/>
        <v>146.27796555636101</v>
      </c>
      <c r="T280">
        <f t="shared" si="968"/>
        <v>0.14627796555636102</v>
      </c>
    </row>
    <row r="281" spans="1:20" x14ac:dyDescent="0.25">
      <c r="A281" s="5">
        <v>44312</v>
      </c>
      <c r="B281">
        <v>34.357999999999997</v>
      </c>
      <c r="C281">
        <v>38.5</v>
      </c>
      <c r="D281">
        <v>34.043999999999997</v>
      </c>
      <c r="E281">
        <v>38.164999999999999</v>
      </c>
      <c r="F281">
        <v>5278261.4040000001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0.84964093357271064</v>
      </c>
      <c r="Q281">
        <f t="shared" si="965"/>
        <v>4484626.9469353668</v>
      </c>
      <c r="R281">
        <f t="shared" si="966"/>
        <v>12473677.838801</v>
      </c>
      <c r="S281">
        <f t="shared" si="967"/>
        <v>124.73677838801001</v>
      </c>
      <c r="T281">
        <f t="shared" si="968"/>
        <v>0.12473677838801001</v>
      </c>
    </row>
    <row r="282" spans="1:20" x14ac:dyDescent="0.25">
      <c r="A282" s="5">
        <v>44311</v>
      </c>
      <c r="B282">
        <v>30.167999999999999</v>
      </c>
      <c r="C282">
        <v>34.863399999999999</v>
      </c>
      <c r="D282">
        <v>30</v>
      </c>
      <c r="E282">
        <v>34.351999999999997</v>
      </c>
      <c r="F282">
        <v>4673943.4929999998</v>
      </c>
      <c r="G282">
        <v>0</v>
      </c>
      <c r="L282" t="s">
        <v>8</v>
      </c>
      <c r="M282" t="s">
        <v>7</v>
      </c>
      <c r="N282" t="s">
        <v>8</v>
      </c>
      <c r="P282">
        <f t="shared" si="964"/>
        <v>0.78969445244067848</v>
      </c>
      <c r="Q282">
        <f t="shared" si="965"/>
        <v>3690987.2474433072</v>
      </c>
      <c r="R282">
        <f t="shared" si="966"/>
        <v>7989050.8918656334</v>
      </c>
      <c r="S282">
        <f t="shared" si="967"/>
        <v>79.890508918656337</v>
      </c>
      <c r="T282">
        <f t="shared" si="968"/>
        <v>7.9890508918656331E-2</v>
      </c>
    </row>
    <row r="283" spans="1:20" x14ac:dyDescent="0.25">
      <c r="A283" s="5">
        <v>44310</v>
      </c>
      <c r="B283">
        <v>32.951799999999999</v>
      </c>
      <c r="C283">
        <v>32.9998</v>
      </c>
      <c r="D283">
        <v>29.806000000000001</v>
      </c>
      <c r="E283">
        <v>30.147300000000001</v>
      </c>
      <c r="F283">
        <v>3100534.37</v>
      </c>
      <c r="G283">
        <v>0</v>
      </c>
      <c r="L283" t="s">
        <v>8</v>
      </c>
      <c r="M283" t="s">
        <v>7</v>
      </c>
      <c r="N283" t="s">
        <v>8</v>
      </c>
      <c r="P283">
        <f t="shared" si="964"/>
        <v>-0.78627340472164797</v>
      </c>
      <c r="Q283">
        <f t="shared" si="965"/>
        <v>-2437867.7155563901</v>
      </c>
      <c r="R283">
        <f t="shared" si="966"/>
        <v>4298063.6444223262</v>
      </c>
      <c r="S283">
        <f t="shared" si="967"/>
        <v>42.980636444223265</v>
      </c>
      <c r="T283">
        <f t="shared" si="968"/>
        <v>4.2980636444223265E-2</v>
      </c>
    </row>
    <row r="284" spans="1:20" x14ac:dyDescent="0.25">
      <c r="A284" s="5">
        <v>44309</v>
      </c>
      <c r="B284">
        <v>33.932200000000002</v>
      </c>
      <c r="C284">
        <v>34.930700000000002</v>
      </c>
      <c r="D284">
        <v>29.518699999999999</v>
      </c>
      <c r="E284">
        <v>32.950200000000002</v>
      </c>
      <c r="F284">
        <v>9040239.7300000004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0.26810790835181142</v>
      </c>
      <c r="Q284">
        <f t="shared" si="965"/>
        <v>2423759.7650092444</v>
      </c>
      <c r="R284">
        <f t="shared" si="966"/>
        <v>6735931.3599787168</v>
      </c>
      <c r="S284">
        <f t="shared" si="967"/>
        <v>67.359313599787171</v>
      </c>
      <c r="T284">
        <f t="shared" si="968"/>
        <v>6.7359313599787168E-2</v>
      </c>
    </row>
    <row r="285" spans="1:20" x14ac:dyDescent="0.25">
      <c r="A285" s="5">
        <v>44308</v>
      </c>
      <c r="B285">
        <v>33.442500000000003</v>
      </c>
      <c r="C285">
        <v>38.457900000000002</v>
      </c>
      <c r="D285">
        <v>32.659999999999997</v>
      </c>
      <c r="E285">
        <v>33.9099</v>
      </c>
      <c r="F285">
        <v>11202707.970000001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-0.56884389175391004</v>
      </c>
      <c r="Q285">
        <f t="shared" si="965"/>
        <v>-6372591.9998373454</v>
      </c>
      <c r="R285">
        <f t="shared" si="966"/>
        <v>4312171.5949694728</v>
      </c>
      <c r="S285">
        <f t="shared" si="967"/>
        <v>43.121715949694732</v>
      </c>
      <c r="T285">
        <f t="shared" si="968"/>
        <v>4.3121715949694731E-2</v>
      </c>
    </row>
    <row r="286" spans="1:20" x14ac:dyDescent="0.25">
      <c r="A286" s="5">
        <v>44307</v>
      </c>
      <c r="B286">
        <v>31.9574</v>
      </c>
      <c r="C286">
        <v>36.564399999999999</v>
      </c>
      <c r="D286">
        <v>30.513000000000002</v>
      </c>
      <c r="E286">
        <v>33.4146</v>
      </c>
      <c r="F286">
        <v>6855649.2800000003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-4.1015302244108924E-2</v>
      </c>
      <c r="Q286">
        <f t="shared" si="965"/>
        <v>-281186.52729880775</v>
      </c>
      <c r="R286">
        <f t="shared" si="966"/>
        <v>10684763.594806818</v>
      </c>
      <c r="S286">
        <f t="shared" si="967"/>
        <v>106.84763594806819</v>
      </c>
      <c r="T286">
        <f t="shared" si="968"/>
        <v>0.10684763594806819</v>
      </c>
    </row>
    <row r="287" spans="1:20" x14ac:dyDescent="0.25">
      <c r="A287" s="5">
        <v>44306</v>
      </c>
      <c r="B287">
        <v>31.385400000000001</v>
      </c>
      <c r="C287">
        <v>32.298499999999997</v>
      </c>
      <c r="D287">
        <v>28</v>
      </c>
      <c r="E287">
        <v>31.954699999999999</v>
      </c>
      <c r="F287">
        <v>3661924.46</v>
      </c>
      <c r="G287">
        <v>0</v>
      </c>
      <c r="L287" t="s">
        <v>7</v>
      </c>
      <c r="M287" t="s">
        <v>8</v>
      </c>
      <c r="N287" t="s">
        <v>7</v>
      </c>
      <c r="P287">
        <f t="shared" si="964"/>
        <v>0.84003722228684508</v>
      </c>
      <c r="Q287">
        <f t="shared" si="965"/>
        <v>3076152.8516026549</v>
      </c>
      <c r="R287">
        <f t="shared" si="966"/>
        <v>10965950.122105626</v>
      </c>
      <c r="S287">
        <f t="shared" si="967"/>
        <v>109.65950122105626</v>
      </c>
      <c r="T287">
        <f t="shared" si="968"/>
        <v>0.10965950122105626</v>
      </c>
    </row>
    <row r="288" spans="1:20" x14ac:dyDescent="0.25">
      <c r="A288" s="5">
        <v>44305</v>
      </c>
      <c r="B288">
        <v>31.636399999999998</v>
      </c>
      <c r="C288">
        <v>32.729999999999997</v>
      </c>
      <c r="D288">
        <v>29.181000000000001</v>
      </c>
      <c r="E288">
        <v>31.357199999999999</v>
      </c>
      <c r="F288">
        <v>3932586.13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0.2263736263736266</v>
      </c>
      <c r="Q288">
        <f t="shared" si="965"/>
        <v>890233.78327472613</v>
      </c>
      <c r="R288">
        <f t="shared" si="966"/>
        <v>7889797.2705029715</v>
      </c>
      <c r="S288">
        <f t="shared" si="967"/>
        <v>78.897972705029716</v>
      </c>
      <c r="T288">
        <f t="shared" si="968"/>
        <v>7.8897972705029712E-2</v>
      </c>
    </row>
    <row r="289" spans="1:20" x14ac:dyDescent="0.25">
      <c r="A289" s="5">
        <v>44304</v>
      </c>
      <c r="B289">
        <v>34.741199999999999</v>
      </c>
      <c r="C289">
        <v>35.1</v>
      </c>
      <c r="D289">
        <v>26.9787</v>
      </c>
      <c r="E289">
        <v>31.622499999999999</v>
      </c>
      <c r="F289">
        <v>6697460.2400000002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0.14361001317523006</v>
      </c>
      <c r="Q289">
        <f t="shared" si="965"/>
        <v>961822.35330697952</v>
      </c>
      <c r="R289">
        <f t="shared" si="966"/>
        <v>6999563.4872282455</v>
      </c>
      <c r="S289">
        <f t="shared" si="967"/>
        <v>69.995634872282452</v>
      </c>
      <c r="T289">
        <f t="shared" si="968"/>
        <v>6.9995634872282456E-2</v>
      </c>
    </row>
    <row r="290" spans="1:20" x14ac:dyDescent="0.25">
      <c r="A290" s="5">
        <v>44303</v>
      </c>
      <c r="B290">
        <v>36.128399999999999</v>
      </c>
      <c r="C290">
        <v>37.526699999999998</v>
      </c>
      <c r="D290">
        <v>34.622199999999999</v>
      </c>
      <c r="E290">
        <v>34.734299999999998</v>
      </c>
      <c r="F290">
        <v>2729047.23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-0.92280943363746037</v>
      </c>
      <c r="Q290">
        <f t="shared" si="965"/>
        <v>-2518390.5286861802</v>
      </c>
      <c r="R290">
        <f t="shared" si="966"/>
        <v>6037741.1339212656</v>
      </c>
      <c r="S290">
        <f t="shared" si="967"/>
        <v>60.377411339212657</v>
      </c>
      <c r="T290">
        <f t="shared" si="968"/>
        <v>6.0377411339212657E-2</v>
      </c>
    </row>
    <row r="291" spans="1:20" x14ac:dyDescent="0.25">
      <c r="A291" s="5">
        <v>44302</v>
      </c>
      <c r="B291">
        <v>37.728499999999997</v>
      </c>
      <c r="C291">
        <v>38.197699999999998</v>
      </c>
      <c r="D291">
        <v>33.982999999999997</v>
      </c>
      <c r="E291">
        <v>36.135899999999999</v>
      </c>
      <c r="F291">
        <v>4000210.96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2.1614824305408308E-2</v>
      </c>
      <c r="Q291">
        <f t="shared" si="965"/>
        <v>86463.857084968695</v>
      </c>
      <c r="R291">
        <f t="shared" si="966"/>
        <v>8556131.6626074463</v>
      </c>
      <c r="S291">
        <f t="shared" si="967"/>
        <v>85.561316626074458</v>
      </c>
      <c r="T291">
        <f t="shared" si="968"/>
        <v>8.5561316626074455E-2</v>
      </c>
    </row>
    <row r="292" spans="1:20" x14ac:dyDescent="0.25">
      <c r="A292" s="5">
        <v>44301</v>
      </c>
      <c r="B292">
        <v>36.063099999999999</v>
      </c>
      <c r="C292">
        <v>39.6</v>
      </c>
      <c r="D292">
        <v>35.581299999999999</v>
      </c>
      <c r="E292">
        <v>37.744700000000002</v>
      </c>
      <c r="F292">
        <v>5458455.7800000003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7.6666583721104575E-2</v>
      </c>
      <c r="Q292">
        <f t="shared" si="965"/>
        <v>418481.15704531717</v>
      </c>
      <c r="R292">
        <f t="shared" si="966"/>
        <v>8469667.8055224773</v>
      </c>
      <c r="S292">
        <f t="shared" si="967"/>
        <v>84.696678055224766</v>
      </c>
      <c r="T292">
        <f t="shared" si="968"/>
        <v>8.4696678055224767E-2</v>
      </c>
    </row>
    <row r="293" spans="1:20" x14ac:dyDescent="0.25">
      <c r="A293" s="5">
        <v>44300</v>
      </c>
      <c r="B293">
        <v>35.433599999999998</v>
      </c>
      <c r="C293">
        <v>36.93</v>
      </c>
      <c r="D293">
        <v>33.222000000000001</v>
      </c>
      <c r="E293">
        <v>36.062600000000003</v>
      </c>
      <c r="F293">
        <v>4599133.42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0.53214670981661449</v>
      </c>
      <c r="Q293">
        <f t="shared" si="965"/>
        <v>2447413.7174606337</v>
      </c>
      <c r="R293">
        <f t="shared" si="966"/>
        <v>8051186.6484771594</v>
      </c>
      <c r="S293">
        <f t="shared" si="967"/>
        <v>80.511866484771588</v>
      </c>
      <c r="T293">
        <f t="shared" si="968"/>
        <v>8.0511866484771585E-2</v>
      </c>
    </row>
    <row r="294" spans="1:20" x14ac:dyDescent="0.25">
      <c r="A294" s="5">
        <v>44299</v>
      </c>
      <c r="B294">
        <v>36.668999999999997</v>
      </c>
      <c r="C294">
        <v>37.200000000000003</v>
      </c>
      <c r="D294">
        <v>33.75</v>
      </c>
      <c r="E294">
        <v>35.429299999999998</v>
      </c>
      <c r="F294">
        <v>5456454.8799999999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-2.6492753623190486E-2</v>
      </c>
      <c r="Q294">
        <f t="shared" si="965"/>
        <v>-144556.5147918954</v>
      </c>
      <c r="R294">
        <f t="shared" si="966"/>
        <v>5603772.9310165262</v>
      </c>
      <c r="S294">
        <f t="shared" si="967"/>
        <v>56.037729310165261</v>
      </c>
      <c r="T294">
        <f t="shared" si="968"/>
        <v>5.6037729310165263E-2</v>
      </c>
    </row>
    <row r="295" spans="1:20" x14ac:dyDescent="0.25">
      <c r="A295" s="5">
        <v>44298</v>
      </c>
      <c r="B295">
        <v>29.9131</v>
      </c>
      <c r="C295">
        <v>38.163899999999998</v>
      </c>
      <c r="D295">
        <v>29.5458</v>
      </c>
      <c r="E295">
        <v>36.684399999999997</v>
      </c>
      <c r="F295">
        <v>10504630.76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0.65665285851869859</v>
      </c>
      <c r="Q295">
        <f t="shared" si="965"/>
        <v>6897895.8162374487</v>
      </c>
      <c r="R295">
        <f t="shared" si="966"/>
        <v>5748329.4458084218</v>
      </c>
      <c r="S295">
        <f t="shared" si="967"/>
        <v>57.483294458084217</v>
      </c>
      <c r="T295">
        <f t="shared" si="968"/>
        <v>5.7483294458084214E-2</v>
      </c>
    </row>
    <row r="296" spans="1:20" x14ac:dyDescent="0.25">
      <c r="A296" s="5">
        <v>44297</v>
      </c>
      <c r="B296">
        <v>29.7743</v>
      </c>
      <c r="C296">
        <v>30.665900000000001</v>
      </c>
      <c r="D296">
        <v>29.1936</v>
      </c>
      <c r="E296">
        <v>29.906300000000002</v>
      </c>
      <c r="F296">
        <v>2335194.54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-3.185492087210301E-2</v>
      </c>
      <c r="Q296">
        <f t="shared" si="965"/>
        <v>-74387.437292666989</v>
      </c>
      <c r="R296">
        <f t="shared" si="966"/>
        <v>-1149566.3704290274</v>
      </c>
      <c r="S296">
        <f t="shared" si="967"/>
        <v>-11.495663704290273</v>
      </c>
      <c r="T296">
        <f t="shared" si="968"/>
        <v>-1.1495663704290273E-2</v>
      </c>
    </row>
    <row r="297" spans="1:20" x14ac:dyDescent="0.25">
      <c r="A297" s="5">
        <v>44296</v>
      </c>
      <c r="B297">
        <v>29.5199</v>
      </c>
      <c r="C297">
        <v>30.983899999999998</v>
      </c>
      <c r="D297">
        <v>29.168700000000001</v>
      </c>
      <c r="E297">
        <v>29.764900000000001</v>
      </c>
      <c r="F297">
        <v>1863776.25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-0.34310268840899016</v>
      </c>
      <c r="Q297">
        <f t="shared" si="965"/>
        <v>-639466.64196782617</v>
      </c>
      <c r="R297">
        <f t="shared" si="966"/>
        <v>-1075178.9331363605</v>
      </c>
      <c r="S297">
        <f t="shared" si="967"/>
        <v>-10.751789331363605</v>
      </c>
      <c r="T297">
        <f t="shared" si="968"/>
        <v>-1.0751789331363606E-2</v>
      </c>
    </row>
    <row r="298" spans="1:20" x14ac:dyDescent="0.25">
      <c r="A298" s="5">
        <v>44295</v>
      </c>
      <c r="B298">
        <v>30.191099999999999</v>
      </c>
      <c r="C298">
        <v>30.671299999999999</v>
      </c>
      <c r="D298">
        <v>29.25</v>
      </c>
      <c r="E298">
        <v>29.5199</v>
      </c>
      <c r="F298">
        <v>1472609.57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-0.62020685288116506</v>
      </c>
      <c r="Q298">
        <f t="shared" si="965"/>
        <v>-913322.54693238577</v>
      </c>
      <c r="R298">
        <f t="shared" si="966"/>
        <v>-435712.29116853431</v>
      </c>
      <c r="S298">
        <f t="shared" si="967"/>
        <v>-4.3571229116853427</v>
      </c>
      <c r="T298">
        <f t="shared" si="968"/>
        <v>-4.3571229116853424E-3</v>
      </c>
    </row>
    <row r="299" spans="1:20" x14ac:dyDescent="0.25">
      <c r="A299" s="5">
        <v>44294</v>
      </c>
      <c r="B299">
        <v>28.564599999999999</v>
      </c>
      <c r="C299">
        <v>30.331600000000002</v>
      </c>
      <c r="D299">
        <v>28.331199999999999</v>
      </c>
      <c r="E299">
        <v>30.203299999999999</v>
      </c>
      <c r="F299">
        <v>1693340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0.87172565486902343</v>
      </c>
      <c r="Q299">
        <f t="shared" si="965"/>
        <v>1476127.9204159121</v>
      </c>
      <c r="R299">
        <f t="shared" si="966"/>
        <v>477610.25576385146</v>
      </c>
      <c r="S299">
        <f t="shared" si="967"/>
        <v>4.7761025576385148</v>
      </c>
      <c r="T299">
        <f t="shared" si="968"/>
        <v>4.7761025576385152E-3</v>
      </c>
    </row>
    <row r="300" spans="1:20" x14ac:dyDescent="0.25">
      <c r="A300" s="5">
        <v>44293</v>
      </c>
      <c r="B300">
        <v>31.251200000000001</v>
      </c>
      <c r="C300">
        <v>31.4</v>
      </c>
      <c r="D300">
        <v>27.790700000000001</v>
      </c>
      <c r="E300">
        <v>28.572199999999999</v>
      </c>
      <c r="F300">
        <v>2796671.57</v>
      </c>
      <c r="G300">
        <v>0</v>
      </c>
      <c r="L300" t="s">
        <v>7</v>
      </c>
      <c r="M300" t="s">
        <v>8</v>
      </c>
      <c r="N300" t="s">
        <v>7</v>
      </c>
      <c r="P300">
        <f t="shared" si="964"/>
        <v>-0.56695204056188286</v>
      </c>
      <c r="Q300">
        <f t="shared" si="965"/>
        <v>-1585578.6533929044</v>
      </c>
      <c r="R300">
        <f t="shared" si="966"/>
        <v>-998517.6646520606</v>
      </c>
      <c r="S300">
        <f t="shared" si="967"/>
        <v>-9.9851766465206069</v>
      </c>
      <c r="T300">
        <f t="shared" si="968"/>
        <v>-9.9851766465206063E-3</v>
      </c>
    </row>
    <row r="301" spans="1:20" x14ac:dyDescent="0.25">
      <c r="A301" s="5">
        <v>44292</v>
      </c>
      <c r="B301">
        <v>30.8292</v>
      </c>
      <c r="C301">
        <v>32.450800000000001</v>
      </c>
      <c r="D301">
        <v>30.017399999999999</v>
      </c>
      <c r="E301">
        <v>31.233000000000001</v>
      </c>
      <c r="F301">
        <v>2543943.79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-9.0408481959333578E-4</v>
      </c>
      <c r="Q301">
        <f t="shared" si="965"/>
        <v>-2299.9409624377367</v>
      </c>
      <c r="R301">
        <f t="shared" si="966"/>
        <v>587060.98874084384</v>
      </c>
      <c r="S301">
        <f t="shared" si="967"/>
        <v>5.8706098874084383</v>
      </c>
      <c r="T301">
        <f t="shared" si="968"/>
        <v>5.8706098874084381E-3</v>
      </c>
    </row>
    <row r="302" spans="1:20" x14ac:dyDescent="0.25">
      <c r="A302" s="5">
        <v>44291</v>
      </c>
      <c r="B302">
        <v>30.913399999999999</v>
      </c>
      <c r="C302">
        <v>31.230599999999999</v>
      </c>
      <c r="D302">
        <v>29.671199999999999</v>
      </c>
      <c r="E302">
        <v>30.8292</v>
      </c>
      <c r="F302">
        <v>1978116.57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0.48518661023470716</v>
      </c>
      <c r="Q302">
        <f t="shared" si="965"/>
        <v>959755.67324740591</v>
      </c>
      <c r="R302">
        <f t="shared" si="966"/>
        <v>589360.92970328161</v>
      </c>
      <c r="S302">
        <f t="shared" si="967"/>
        <v>5.8936092970328158</v>
      </c>
      <c r="T302">
        <f t="shared" si="968"/>
        <v>5.8936092970328161E-3</v>
      </c>
    </row>
    <row r="303" spans="1:20" x14ac:dyDescent="0.25">
      <c r="A303" s="5">
        <v>44290</v>
      </c>
      <c r="B303">
        <v>29.385899999999999</v>
      </c>
      <c r="C303">
        <v>31.5</v>
      </c>
      <c r="D303">
        <v>28.918299999999999</v>
      </c>
      <c r="E303">
        <v>30.9131</v>
      </c>
      <c r="F303">
        <v>1729762.79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0.54533834295231853</v>
      </c>
      <c r="Q303">
        <f t="shared" si="965"/>
        <v>943305.97359917942</v>
      </c>
      <c r="R303">
        <f t="shared" si="966"/>
        <v>-370394.7435441243</v>
      </c>
      <c r="S303">
        <f t="shared" si="967"/>
        <v>-3.7039474354412429</v>
      </c>
      <c r="T303">
        <f t="shared" si="968"/>
        <v>-3.7039474354412429E-3</v>
      </c>
    </row>
    <row r="304" spans="1:20" x14ac:dyDescent="0.25">
      <c r="A304" s="5">
        <v>44289</v>
      </c>
      <c r="B304">
        <v>30.193999999999999</v>
      </c>
      <c r="C304">
        <v>32.5</v>
      </c>
      <c r="D304">
        <v>29.3293</v>
      </c>
      <c r="E304">
        <v>29.3874</v>
      </c>
      <c r="F304">
        <v>4271331.76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-0.96335194121172008</v>
      </c>
      <c r="Q304">
        <f t="shared" si="965"/>
        <v>-4114795.7425552728</v>
      </c>
      <c r="R304">
        <f t="shared" si="966"/>
        <v>-1313700.7171433037</v>
      </c>
      <c r="S304">
        <f t="shared" si="967"/>
        <v>-13.137007171433037</v>
      </c>
      <c r="T304">
        <f t="shared" si="968"/>
        <v>-1.3137007171433037E-2</v>
      </c>
    </row>
    <row r="305" spans="1:20" x14ac:dyDescent="0.25">
      <c r="A305" s="5">
        <v>44288</v>
      </c>
      <c r="B305">
        <v>28.663799999999998</v>
      </c>
      <c r="C305">
        <v>30.2803</v>
      </c>
      <c r="D305">
        <v>28.4252</v>
      </c>
      <c r="E305">
        <v>30.208400000000001</v>
      </c>
      <c r="F305">
        <v>2251495.66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0.92248396312867298</v>
      </c>
      <c r="Q305">
        <f t="shared" si="965"/>
        <v>2076968.6394038075</v>
      </c>
      <c r="R305">
        <f t="shared" si="966"/>
        <v>2801095.0254119691</v>
      </c>
      <c r="S305">
        <f t="shared" si="967"/>
        <v>28.010950254119692</v>
      </c>
      <c r="T305">
        <f t="shared" si="968"/>
        <v>2.801095025411969E-2</v>
      </c>
    </row>
    <row r="306" spans="1:20" x14ac:dyDescent="0.25">
      <c r="A306" s="5">
        <v>44287</v>
      </c>
      <c r="B306">
        <v>28.0776</v>
      </c>
      <c r="C306">
        <v>30.305499999999999</v>
      </c>
      <c r="D306">
        <v>28.0776</v>
      </c>
      <c r="E306">
        <v>28.663799999999998</v>
      </c>
      <c r="F306">
        <v>3244347.12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-0.47376453162170784</v>
      </c>
      <c r="Q306">
        <f t="shared" si="965"/>
        <v>-1537056.5937250368</v>
      </c>
      <c r="R306">
        <f t="shared" si="966"/>
        <v>724126.38600816159</v>
      </c>
      <c r="S306">
        <f t="shared" si="967"/>
        <v>7.2412638600816157</v>
      </c>
      <c r="T306">
        <f t="shared" si="968"/>
        <v>7.2412638600816157E-3</v>
      </c>
    </row>
    <row r="307" spans="1:20" x14ac:dyDescent="0.25">
      <c r="A307" s="5">
        <v>44286</v>
      </c>
      <c r="B307">
        <v>28.5487</v>
      </c>
      <c r="C307">
        <v>29.025099999999998</v>
      </c>
      <c r="D307">
        <v>26.666</v>
      </c>
      <c r="E307">
        <v>28.031600000000001</v>
      </c>
      <c r="F307">
        <v>2709216.2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0.15772964266033807</v>
      </c>
      <c r="Q307">
        <f t="shared" si="965"/>
        <v>427323.703115599</v>
      </c>
      <c r="R307">
        <f t="shared" si="966"/>
        <v>2261182.9797331984</v>
      </c>
      <c r="S307">
        <f t="shared" si="967"/>
        <v>22.611829797331986</v>
      </c>
      <c r="T307">
        <f t="shared" si="968"/>
        <v>2.2611829797331985E-2</v>
      </c>
    </row>
    <row r="308" spans="1:20" x14ac:dyDescent="0.25">
      <c r="A308" s="5">
        <v>44285</v>
      </c>
      <c r="B308">
        <v>29.018599999999999</v>
      </c>
      <c r="C308">
        <v>29.269300000000001</v>
      </c>
      <c r="D308">
        <v>28.28</v>
      </c>
      <c r="E308">
        <v>28.55</v>
      </c>
      <c r="F308">
        <v>2562782.2999999998</v>
      </c>
      <c r="G308">
        <v>0</v>
      </c>
      <c r="L308" t="s">
        <v>8</v>
      </c>
      <c r="M308" t="s">
        <v>7</v>
      </c>
      <c r="N308" t="s">
        <v>7</v>
      </c>
      <c r="P308">
        <f t="shared" si="964"/>
        <v>-0.45415950672192551</v>
      </c>
      <c r="Q308">
        <f t="shared" si="965"/>
        <v>-1163911.9452036817</v>
      </c>
      <c r="R308">
        <f t="shared" si="966"/>
        <v>1833859.2766175994</v>
      </c>
      <c r="S308">
        <f t="shared" si="967"/>
        <v>18.338592766175996</v>
      </c>
      <c r="T308">
        <f t="shared" si="968"/>
        <v>1.8338592766175995E-2</v>
      </c>
    </row>
    <row r="309" spans="1:20" x14ac:dyDescent="0.25">
      <c r="A309" s="5">
        <v>44284</v>
      </c>
      <c r="B309">
        <v>27.871400000000001</v>
      </c>
      <c r="C309">
        <v>29.5</v>
      </c>
      <c r="D309">
        <v>27.501300000000001</v>
      </c>
      <c r="E309">
        <v>29.015499999999999</v>
      </c>
      <c r="F309">
        <v>2808473.57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0.51518487016560688</v>
      </c>
      <c r="Q309">
        <f t="shared" si="965"/>
        <v>1446883.0915239884</v>
      </c>
      <c r="R309">
        <f t="shared" si="966"/>
        <v>2997771.2218212811</v>
      </c>
      <c r="S309">
        <f t="shared" si="967"/>
        <v>29.977712218212812</v>
      </c>
      <c r="T309">
        <f t="shared" si="968"/>
        <v>2.9977712218212813E-2</v>
      </c>
    </row>
    <row r="310" spans="1:20" x14ac:dyDescent="0.25">
      <c r="A310" s="5">
        <v>44283</v>
      </c>
      <c r="B310">
        <v>28.189299999999999</v>
      </c>
      <c r="C310">
        <v>28.887</v>
      </c>
      <c r="D310">
        <v>27.355799999999999</v>
      </c>
      <c r="E310">
        <v>27.868500000000001</v>
      </c>
      <c r="F310">
        <v>2025362.24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-0.33032915360501341</v>
      </c>
      <c r="Q310">
        <f t="shared" si="965"/>
        <v>-669036.19448275398</v>
      </c>
      <c r="R310">
        <f t="shared" si="966"/>
        <v>1550888.130297293</v>
      </c>
      <c r="S310">
        <f t="shared" si="967"/>
        <v>15.508881302972929</v>
      </c>
      <c r="T310">
        <f t="shared" si="968"/>
        <v>1.5508881302972928E-2</v>
      </c>
    </row>
    <row r="311" spans="1:20" x14ac:dyDescent="0.25">
      <c r="A311" s="5">
        <v>44282</v>
      </c>
      <c r="B311">
        <v>28.88</v>
      </c>
      <c r="C311">
        <v>29.470600000000001</v>
      </c>
      <c r="D311">
        <v>27.795100000000001</v>
      </c>
      <c r="E311">
        <v>28.189699999999998</v>
      </c>
      <c r="F311">
        <v>2404025.64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-0.5289764249477803</v>
      </c>
      <c r="Q311">
        <f t="shared" si="965"/>
        <v>-1271672.8885299996</v>
      </c>
      <c r="R311">
        <f t="shared" si="966"/>
        <v>2219924.3247800469</v>
      </c>
      <c r="S311">
        <f t="shared" si="967"/>
        <v>22.199243247800471</v>
      </c>
      <c r="T311">
        <f t="shared" si="968"/>
        <v>2.2199243247800472E-2</v>
      </c>
    </row>
    <row r="312" spans="1:20" x14ac:dyDescent="0.25">
      <c r="A312" s="5">
        <v>44281</v>
      </c>
      <c r="B312">
        <v>26.500499999999999</v>
      </c>
      <c r="C312">
        <v>29</v>
      </c>
      <c r="D312">
        <v>26.4498</v>
      </c>
      <c r="E312">
        <v>28.88</v>
      </c>
      <c r="F312">
        <v>3200954.64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0.90588973413849816</v>
      </c>
      <c r="Q312">
        <f t="shared" si="965"/>
        <v>2899711.9478189922</v>
      </c>
      <c r="R312">
        <f t="shared" si="966"/>
        <v>3491597.2133100466</v>
      </c>
      <c r="S312">
        <f t="shared" si="967"/>
        <v>34.915972133100468</v>
      </c>
      <c r="T312">
        <f t="shared" si="968"/>
        <v>3.4915972133100465E-2</v>
      </c>
    </row>
    <row r="313" spans="1:20" x14ac:dyDescent="0.25">
      <c r="A313" s="5">
        <v>44280</v>
      </c>
      <c r="B313">
        <v>27.221299999999999</v>
      </c>
      <c r="C313">
        <v>28.07</v>
      </c>
      <c r="D313">
        <v>25.565899999999999</v>
      </c>
      <c r="E313">
        <v>26.5</v>
      </c>
      <c r="F313">
        <v>4913672.84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-0.25394353260652497</v>
      </c>
      <c r="Q313">
        <f t="shared" si="965"/>
        <v>-1247795.439062336</v>
      </c>
      <c r="R313">
        <f t="shared" si="966"/>
        <v>591885.26549105439</v>
      </c>
      <c r="S313">
        <f t="shared" si="967"/>
        <v>5.9188526549105438</v>
      </c>
      <c r="T313">
        <f t="shared" si="968"/>
        <v>5.9188526549105438E-3</v>
      </c>
    </row>
    <row r="314" spans="1:20" x14ac:dyDescent="0.25">
      <c r="A314" s="5">
        <v>44279</v>
      </c>
      <c r="B314">
        <v>31.016999999999999</v>
      </c>
      <c r="C314">
        <v>31.8813</v>
      </c>
      <c r="D314">
        <v>25.524699999999999</v>
      </c>
      <c r="E314">
        <v>27.224299999999999</v>
      </c>
      <c r="F314">
        <v>6871661.8099999996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-0.46524871786804262</v>
      </c>
      <c r="Q314">
        <f t="shared" si="965"/>
        <v>-3197031.846725293</v>
      </c>
      <c r="R314">
        <f t="shared" si="966"/>
        <v>1839680.7045533904</v>
      </c>
      <c r="S314">
        <f t="shared" si="967"/>
        <v>18.396807045533905</v>
      </c>
      <c r="T314">
        <f t="shared" si="968"/>
        <v>1.8396807045533904E-2</v>
      </c>
    </row>
    <row r="315" spans="1:20" x14ac:dyDescent="0.25">
      <c r="A315" s="5">
        <v>44278</v>
      </c>
      <c r="B315">
        <v>32.828000000000003</v>
      </c>
      <c r="C315">
        <v>36.799999999999997</v>
      </c>
      <c r="D315">
        <v>30.088799999999999</v>
      </c>
      <c r="E315">
        <v>30.9878</v>
      </c>
      <c r="F315">
        <v>8403123.7100000009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-0.73208964119680497</v>
      </c>
      <c r="Q315">
        <f t="shared" si="965"/>
        <v>-6151839.8217862649</v>
      </c>
      <c r="R315">
        <f t="shared" si="966"/>
        <v>5036712.5512786834</v>
      </c>
      <c r="S315">
        <f t="shared" si="967"/>
        <v>50.367125512786835</v>
      </c>
      <c r="T315">
        <f t="shared" si="968"/>
        <v>5.0367125512786833E-2</v>
      </c>
    </row>
    <row r="316" spans="1:20" x14ac:dyDescent="0.25">
      <c r="A316" s="5">
        <v>44277</v>
      </c>
      <c r="B316">
        <v>32.939900000000002</v>
      </c>
      <c r="C316">
        <v>35.853099999999998</v>
      </c>
      <c r="D316">
        <v>31.749500000000001</v>
      </c>
      <c r="E316">
        <v>32.7958</v>
      </c>
      <c r="F316">
        <v>5358849.03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-0.49005751047860435</v>
      </c>
      <c r="Q316">
        <f t="shared" si="965"/>
        <v>-2626144.214672484</v>
      </c>
      <c r="R316">
        <f t="shared" si="966"/>
        <v>11188552.373064948</v>
      </c>
      <c r="S316">
        <f t="shared" si="967"/>
        <v>111.88552373064948</v>
      </c>
      <c r="T316">
        <f t="shared" si="968"/>
        <v>0.11188552373064949</v>
      </c>
    </row>
    <row r="317" spans="1:20" x14ac:dyDescent="0.25">
      <c r="A317" s="5">
        <v>44276</v>
      </c>
      <c r="B317">
        <v>32.04</v>
      </c>
      <c r="C317">
        <v>33.299999999999997</v>
      </c>
      <c r="D317">
        <v>31.5</v>
      </c>
      <c r="E317">
        <v>32.939500000000002</v>
      </c>
      <c r="F317">
        <v>1811349.12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0.59944444444444966</v>
      </c>
      <c r="Q317">
        <f t="shared" si="965"/>
        <v>1085803.1669333428</v>
      </c>
      <c r="R317">
        <f t="shared" si="966"/>
        <v>13814696.587737432</v>
      </c>
      <c r="S317">
        <f t="shared" si="967"/>
        <v>138.14696587737433</v>
      </c>
      <c r="T317">
        <f t="shared" si="968"/>
        <v>0.13814696587737432</v>
      </c>
    </row>
    <row r="318" spans="1:20" x14ac:dyDescent="0.25">
      <c r="A318" s="5">
        <v>44275</v>
      </c>
      <c r="B318">
        <v>33.256599999999999</v>
      </c>
      <c r="C318">
        <v>35.200499999999998</v>
      </c>
      <c r="D318">
        <v>31.85</v>
      </c>
      <c r="E318">
        <v>32.039900000000003</v>
      </c>
      <c r="F318">
        <v>4039700.95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-0.88664378450977366</v>
      </c>
      <c r="Q318">
        <f t="shared" si="965"/>
        <v>-3581775.7385957283</v>
      </c>
      <c r="R318">
        <f t="shared" si="966"/>
        <v>12728893.420804089</v>
      </c>
      <c r="S318">
        <f t="shared" si="967"/>
        <v>127.28893420804089</v>
      </c>
      <c r="T318">
        <f t="shared" si="968"/>
        <v>0.12728893420804088</v>
      </c>
    </row>
    <row r="319" spans="1:20" x14ac:dyDescent="0.25">
      <c r="A319" s="5">
        <v>44274</v>
      </c>
      <c r="B319">
        <v>29.975200000000001</v>
      </c>
      <c r="C319">
        <v>34.200000000000003</v>
      </c>
      <c r="D319">
        <v>29.4497</v>
      </c>
      <c r="E319">
        <v>33.262</v>
      </c>
      <c r="F319">
        <v>3484967.8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0.60507757404795415</v>
      </c>
      <c r="Q319">
        <f t="shared" si="965"/>
        <v>2108675.8620592356</v>
      </c>
      <c r="R319">
        <f t="shared" si="966"/>
        <v>16310669.159399817</v>
      </c>
      <c r="S319">
        <f t="shared" si="967"/>
        <v>163.10669159399816</v>
      </c>
      <c r="T319">
        <f t="shared" si="968"/>
        <v>0.16310669159399815</v>
      </c>
    </row>
    <row r="320" spans="1:20" x14ac:dyDescent="0.25">
      <c r="A320" s="5">
        <v>44273</v>
      </c>
      <c r="B320">
        <v>31.3261</v>
      </c>
      <c r="C320">
        <v>31.6</v>
      </c>
      <c r="D320">
        <v>29.7136</v>
      </c>
      <c r="E320">
        <v>29.9785</v>
      </c>
      <c r="F320">
        <v>1718067.32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-0.71914758269720047</v>
      </c>
      <c r="Q320">
        <f t="shared" si="965"/>
        <v>-1235543.9600890577</v>
      </c>
      <c r="R320">
        <f t="shared" si="966"/>
        <v>14201993.297340581</v>
      </c>
      <c r="S320">
        <f t="shared" si="967"/>
        <v>142.01993297340582</v>
      </c>
      <c r="T320">
        <f t="shared" si="968"/>
        <v>0.14201993297340582</v>
      </c>
    </row>
    <row r="321" spans="1:20" x14ac:dyDescent="0.25">
      <c r="A321" s="5">
        <v>44272</v>
      </c>
      <c r="B321">
        <v>30.024699999999999</v>
      </c>
      <c r="C321">
        <v>31.68</v>
      </c>
      <c r="D321">
        <v>29.4191</v>
      </c>
      <c r="E321">
        <v>31.287800000000001</v>
      </c>
      <c r="F321">
        <v>3533112.09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0.65305851651997071</v>
      </c>
      <c r="Q321">
        <f t="shared" si="965"/>
        <v>2307328.9401941733</v>
      </c>
      <c r="R321">
        <f t="shared" si="966"/>
        <v>15437537.257429639</v>
      </c>
      <c r="S321">
        <f t="shared" si="967"/>
        <v>154.37537257429639</v>
      </c>
      <c r="T321">
        <f t="shared" si="968"/>
        <v>0.1543753725742964</v>
      </c>
    </row>
    <row r="322" spans="1:20" x14ac:dyDescent="0.25">
      <c r="A322" s="5">
        <v>44271</v>
      </c>
      <c r="B322">
        <v>29.805800000000001</v>
      </c>
      <c r="C322">
        <v>30.0501</v>
      </c>
      <c r="D322">
        <v>27.978100000000001</v>
      </c>
      <c r="E322">
        <v>30.024699999999999</v>
      </c>
      <c r="F322">
        <v>2469876.37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0.97548262548262432</v>
      </c>
      <c r="Q322">
        <f t="shared" si="965"/>
        <v>2409321.4860250936</v>
      </c>
      <c r="R322">
        <f t="shared" si="966"/>
        <v>13130208.317235466</v>
      </c>
      <c r="S322">
        <f t="shared" si="967"/>
        <v>131.30208317235466</v>
      </c>
      <c r="T322">
        <f t="shared" si="968"/>
        <v>0.13130208317235464</v>
      </c>
    </row>
    <row r="323" spans="1:20" x14ac:dyDescent="0.25">
      <c r="A323" s="5">
        <v>44270</v>
      </c>
      <c r="B323">
        <v>30.6494</v>
      </c>
      <c r="C323">
        <v>31.533999999999999</v>
      </c>
      <c r="D323">
        <v>29.533999999999999</v>
      </c>
      <c r="E323">
        <v>29.798300000000001</v>
      </c>
      <c r="F323">
        <v>2781982.06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-0.7356999999999978</v>
      </c>
      <c r="Q323">
        <f t="shared" si="965"/>
        <v>-2046704.201541994</v>
      </c>
      <c r="R323">
        <f t="shared" si="966"/>
        <v>10720886.831210373</v>
      </c>
      <c r="S323">
        <f t="shared" si="967"/>
        <v>107.20886831210373</v>
      </c>
      <c r="T323">
        <f t="shared" si="968"/>
        <v>0.10720886831210373</v>
      </c>
    </row>
    <row r="324" spans="1:20" x14ac:dyDescent="0.25">
      <c r="A324" s="5">
        <v>44269</v>
      </c>
      <c r="B324">
        <v>32.4726</v>
      </c>
      <c r="C324">
        <v>33.896500000000003</v>
      </c>
      <c r="D324">
        <v>30.626100000000001</v>
      </c>
      <c r="E324">
        <v>30.6509</v>
      </c>
      <c r="F324">
        <v>2620736.83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-0.98483365949119428</v>
      </c>
      <c r="Q324">
        <f t="shared" si="965"/>
        <v>-2580989.8428522521</v>
      </c>
      <c r="R324">
        <f t="shared" si="966"/>
        <v>12767591.032752367</v>
      </c>
      <c r="S324">
        <f t="shared" si="967"/>
        <v>127.67591032752367</v>
      </c>
      <c r="T324">
        <f t="shared" si="968"/>
        <v>0.12767591032752368</v>
      </c>
    </row>
    <row r="325" spans="1:20" x14ac:dyDescent="0.25">
      <c r="A325" s="5">
        <v>44268</v>
      </c>
      <c r="B325">
        <v>30.9117</v>
      </c>
      <c r="C325">
        <v>33.358499999999999</v>
      </c>
      <c r="D325">
        <v>30.184999999999999</v>
      </c>
      <c r="E325">
        <v>32.443899999999999</v>
      </c>
      <c r="F325">
        <v>3410666.16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0.42360170159130306</v>
      </c>
      <c r="Q325">
        <f t="shared" si="965"/>
        <v>1444763.9889358755</v>
      </c>
      <c r="R325">
        <f t="shared" si="966"/>
        <v>15348580.875604618</v>
      </c>
      <c r="S325">
        <f t="shared" si="967"/>
        <v>153.4858087560462</v>
      </c>
      <c r="T325">
        <f t="shared" si="968"/>
        <v>0.1534858087560462</v>
      </c>
    </row>
    <row r="326" spans="1:20" x14ac:dyDescent="0.25">
      <c r="A326" s="5">
        <v>44267</v>
      </c>
      <c r="B326">
        <v>31.0093</v>
      </c>
      <c r="C326">
        <v>31.971900000000002</v>
      </c>
      <c r="D326">
        <v>29.154800000000002</v>
      </c>
      <c r="E326">
        <v>30.919799999999999</v>
      </c>
      <c r="F326">
        <v>2817271.54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0.25306165915302764</v>
      </c>
      <c r="Q326">
        <f t="shared" ref="Q326:Q389" si="970">F326*P326</f>
        <v>712943.41019700526</v>
      </c>
      <c r="R326">
        <f t="shared" ref="R326:R389" si="971">R327+Q326</f>
        <v>13903816.886668744</v>
      </c>
      <c r="S326">
        <f t="shared" ref="S326:S389" si="972">R326/100000</f>
        <v>139.03816886668744</v>
      </c>
      <c r="T326">
        <f t="shared" ref="T326:T389" si="973">S326/1000</f>
        <v>0.13903816886668743</v>
      </c>
    </row>
    <row r="327" spans="1:20" x14ac:dyDescent="0.25">
      <c r="A327" s="5">
        <v>44266</v>
      </c>
      <c r="B327">
        <v>30.878699999999998</v>
      </c>
      <c r="C327">
        <v>31.823799999999999</v>
      </c>
      <c r="D327">
        <v>29.5</v>
      </c>
      <c r="E327">
        <v>30.994399999999999</v>
      </c>
      <c r="F327">
        <v>3153485.8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0.28616920561149822</v>
      </c>
      <c r="Q327">
        <f t="shared" si="970"/>
        <v>902430.5262931399</v>
      </c>
      <c r="R327">
        <f t="shared" si="971"/>
        <v>13190873.476471739</v>
      </c>
      <c r="S327">
        <f t="shared" si="972"/>
        <v>131.90873476471739</v>
      </c>
      <c r="T327">
        <f t="shared" si="973"/>
        <v>0.1319087347647174</v>
      </c>
    </row>
    <row r="328" spans="1:20" x14ac:dyDescent="0.25">
      <c r="A328" s="5">
        <v>44265</v>
      </c>
      <c r="B328">
        <v>32.869599999999998</v>
      </c>
      <c r="C328">
        <v>33.5</v>
      </c>
      <c r="D328">
        <v>30.3186</v>
      </c>
      <c r="E328">
        <v>30.887699999999999</v>
      </c>
      <c r="F328">
        <v>3832878.65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-0.64223297919155165</v>
      </c>
      <c r="Q328">
        <f t="shared" si="970"/>
        <v>-2461601.0742691923</v>
      </c>
      <c r="R328">
        <f t="shared" si="971"/>
        <v>12288442.950178599</v>
      </c>
      <c r="S328">
        <f t="shared" si="972"/>
        <v>122.88442950178599</v>
      </c>
      <c r="T328">
        <f t="shared" si="973"/>
        <v>0.12288442950178599</v>
      </c>
    </row>
    <row r="329" spans="1:20" x14ac:dyDescent="0.25">
      <c r="A329" s="5">
        <v>44264</v>
      </c>
      <c r="B329">
        <v>33.222000000000001</v>
      </c>
      <c r="C329">
        <v>34.764800000000001</v>
      </c>
      <c r="D329">
        <v>32.35</v>
      </c>
      <c r="E329">
        <v>32.872199999999999</v>
      </c>
      <c r="F329">
        <v>4596044.4000000004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-0.56750041411297159</v>
      </c>
      <c r="Q329">
        <f t="shared" si="970"/>
        <v>-2608257.1002816041</v>
      </c>
      <c r="R329">
        <f t="shared" si="971"/>
        <v>14750044.024447791</v>
      </c>
      <c r="S329">
        <f t="shared" si="972"/>
        <v>147.50044024447791</v>
      </c>
      <c r="T329">
        <f t="shared" si="973"/>
        <v>0.14750044024447792</v>
      </c>
    </row>
    <row r="330" spans="1:20" x14ac:dyDescent="0.25">
      <c r="A330" s="5">
        <v>44263</v>
      </c>
      <c r="B330">
        <v>34.245899999999999</v>
      </c>
      <c r="C330">
        <v>34.927700000000002</v>
      </c>
      <c r="D330">
        <v>32.033299999999997</v>
      </c>
      <c r="E330">
        <v>33.234400000000001</v>
      </c>
      <c r="F330">
        <v>6597671.5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-0.17005251520176759</v>
      </c>
      <c r="Q330">
        <f t="shared" si="970"/>
        <v>-1121950.6330500187</v>
      </c>
      <c r="R330">
        <f t="shared" si="971"/>
        <v>17358301.124729395</v>
      </c>
      <c r="S330">
        <f t="shared" si="972"/>
        <v>173.58301124729394</v>
      </c>
      <c r="T330">
        <f t="shared" si="973"/>
        <v>0.17358301124729394</v>
      </c>
    </row>
    <row r="331" spans="1:20" x14ac:dyDescent="0.25">
      <c r="A331" s="5">
        <v>44262</v>
      </c>
      <c r="B331">
        <v>28.531099999999999</v>
      </c>
      <c r="C331">
        <v>34.880000000000003</v>
      </c>
      <c r="D331">
        <v>28.3599</v>
      </c>
      <c r="E331">
        <v>34.265099999999997</v>
      </c>
      <c r="F331">
        <v>8643240.2400000002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0.8113832609929279</v>
      </c>
      <c r="Q331">
        <f t="shared" si="970"/>
        <v>7012980.4514764966</v>
      </c>
      <c r="R331">
        <f t="shared" si="971"/>
        <v>18480251.757779412</v>
      </c>
      <c r="S331">
        <f t="shared" si="972"/>
        <v>184.80251757779411</v>
      </c>
      <c r="T331">
        <f t="shared" si="973"/>
        <v>0.18480251757779412</v>
      </c>
    </row>
    <row r="332" spans="1:20" x14ac:dyDescent="0.25">
      <c r="A332" s="5">
        <v>44261</v>
      </c>
      <c r="B332">
        <v>28.288499999999999</v>
      </c>
      <c r="C332">
        <v>29.0502</v>
      </c>
      <c r="D332">
        <v>27.145399999999999</v>
      </c>
      <c r="E332">
        <v>28.514800000000001</v>
      </c>
      <c r="F332">
        <v>3510511.8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0.43784124317513778</v>
      </c>
      <c r="Q332">
        <f t="shared" si="970"/>
        <v>1537046.8506929905</v>
      </c>
      <c r="R332">
        <f t="shared" si="971"/>
        <v>11467271.306302916</v>
      </c>
      <c r="S332">
        <f t="shared" si="972"/>
        <v>114.67271306302916</v>
      </c>
      <c r="T332">
        <f t="shared" si="973"/>
        <v>0.11467271306302916</v>
      </c>
    </row>
    <row r="333" spans="1:20" x14ac:dyDescent="0.25">
      <c r="A333" s="5">
        <v>44260</v>
      </c>
      <c r="B333">
        <v>28.2471</v>
      </c>
      <c r="C333">
        <v>28.77</v>
      </c>
      <c r="D333">
        <v>25.822299999999998</v>
      </c>
      <c r="E333">
        <v>28.2866</v>
      </c>
      <c r="F333">
        <v>7108036.7000000002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0.67201546968823189</v>
      </c>
      <c r="Q333">
        <f t="shared" si="970"/>
        <v>4776710.6215116903</v>
      </c>
      <c r="R333">
        <f t="shared" si="971"/>
        <v>9930224.4556099251</v>
      </c>
      <c r="S333">
        <f t="shared" si="972"/>
        <v>99.302244556099254</v>
      </c>
      <c r="T333">
        <f t="shared" si="973"/>
        <v>9.9302244556099248E-2</v>
      </c>
    </row>
    <row r="334" spans="1:20" x14ac:dyDescent="0.25">
      <c r="A334" s="5">
        <v>44259</v>
      </c>
      <c r="B334">
        <v>25.3401</v>
      </c>
      <c r="C334">
        <v>29.773800000000001</v>
      </c>
      <c r="D334">
        <v>24.75</v>
      </c>
      <c r="E334">
        <v>28.2681</v>
      </c>
      <c r="F334">
        <v>10291315.68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0.40057327122894998</v>
      </c>
      <c r="Q334">
        <f t="shared" si="970"/>
        <v>4122425.9871873856</v>
      </c>
      <c r="R334">
        <f t="shared" si="971"/>
        <v>5153513.8340982357</v>
      </c>
      <c r="S334">
        <f t="shared" si="972"/>
        <v>51.535138340982357</v>
      </c>
      <c r="T334">
        <f t="shared" si="973"/>
        <v>5.1535138340982355E-2</v>
      </c>
    </row>
    <row r="335" spans="1:20" x14ac:dyDescent="0.25">
      <c r="A335" s="5">
        <v>44258</v>
      </c>
      <c r="B335">
        <v>25.525300000000001</v>
      </c>
      <c r="C335">
        <v>27.5855</v>
      </c>
      <c r="D335">
        <v>25.265000000000001</v>
      </c>
      <c r="E335">
        <v>25.3565</v>
      </c>
      <c r="F335">
        <v>4518211.5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-0.92113768584356825</v>
      </c>
      <c r="Q335">
        <f t="shared" si="970"/>
        <v>-4161894.8852617973</v>
      </c>
      <c r="R335">
        <f t="shared" si="971"/>
        <v>1031087.8469108501</v>
      </c>
      <c r="S335">
        <f t="shared" si="972"/>
        <v>10.310878469108502</v>
      </c>
      <c r="T335">
        <f t="shared" si="973"/>
        <v>1.0310878469108503E-2</v>
      </c>
    </row>
    <row r="336" spans="1:20" x14ac:dyDescent="0.25">
      <c r="A336" s="5">
        <v>44257</v>
      </c>
      <c r="B336">
        <v>25.7164</v>
      </c>
      <c r="C336">
        <v>27.4389</v>
      </c>
      <c r="D336">
        <v>24.514600000000002</v>
      </c>
      <c r="E336">
        <v>25.525300000000001</v>
      </c>
      <c r="F336">
        <v>6697008.9000000004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-0.3087576514037545</v>
      </c>
      <c r="Q336">
        <f t="shared" si="970"/>
        <v>-2067752.7393940415</v>
      </c>
      <c r="R336">
        <f t="shared" si="971"/>
        <v>5192982.7321726475</v>
      </c>
      <c r="S336">
        <f t="shared" si="972"/>
        <v>51.929827321726478</v>
      </c>
      <c r="T336">
        <f t="shared" si="973"/>
        <v>5.1929827321726477E-2</v>
      </c>
    </row>
    <row r="337" spans="1:20" x14ac:dyDescent="0.25">
      <c r="A337" s="5">
        <v>44256</v>
      </c>
      <c r="B337">
        <v>22.215199999999999</v>
      </c>
      <c r="C337">
        <v>25.72</v>
      </c>
      <c r="D337">
        <v>22.052700000000002</v>
      </c>
      <c r="E337">
        <v>25.7058</v>
      </c>
      <c r="F337">
        <v>4525679.92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0.99225588307474222</v>
      </c>
      <c r="Q337">
        <f t="shared" si="970"/>
        <v>4490632.5255332282</v>
      </c>
      <c r="R337">
        <f t="shared" si="971"/>
        <v>7260735.4715666892</v>
      </c>
      <c r="S337">
        <f t="shared" si="972"/>
        <v>72.607354715666887</v>
      </c>
      <c r="T337">
        <f t="shared" si="973"/>
        <v>7.2607354715666886E-2</v>
      </c>
    </row>
    <row r="338" spans="1:20" x14ac:dyDescent="0.25">
      <c r="A338" s="5">
        <v>44255</v>
      </c>
      <c r="B338">
        <v>23.553799999999999</v>
      </c>
      <c r="C338">
        <v>24.126999999999999</v>
      </c>
      <c r="D338">
        <v>20.474299999999999</v>
      </c>
      <c r="E338">
        <v>22.209800000000001</v>
      </c>
      <c r="F338">
        <v>5420311.75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-4.9744024967830862E-2</v>
      </c>
      <c r="Q338">
        <f t="shared" si="970"/>
        <v>-269628.12302542699</v>
      </c>
      <c r="R338">
        <f t="shared" si="971"/>
        <v>2770102.946033461</v>
      </c>
      <c r="S338">
        <f t="shared" si="972"/>
        <v>27.70102946033461</v>
      </c>
      <c r="T338">
        <f t="shared" si="973"/>
        <v>2.7701029460334609E-2</v>
      </c>
    </row>
    <row r="339" spans="1:20" x14ac:dyDescent="0.25">
      <c r="A339" s="5">
        <v>44254</v>
      </c>
      <c r="B339">
        <v>23.126000000000001</v>
      </c>
      <c r="C339">
        <v>24.840900000000001</v>
      </c>
      <c r="D339">
        <v>22.295400000000001</v>
      </c>
      <c r="E339">
        <v>23.533799999999999</v>
      </c>
      <c r="F339">
        <v>4436321.8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-2.6988803771362521E-2</v>
      </c>
      <c r="Q339">
        <f t="shared" si="970"/>
        <v>-119731.01852681776</v>
      </c>
      <c r="R339">
        <f t="shared" si="971"/>
        <v>3039731.0690588881</v>
      </c>
      <c r="S339">
        <f t="shared" si="972"/>
        <v>30.397310690588881</v>
      </c>
      <c r="T339">
        <f t="shared" si="973"/>
        <v>3.0397310690588882E-2</v>
      </c>
    </row>
    <row r="340" spans="1:20" x14ac:dyDescent="0.25">
      <c r="A340" s="5">
        <v>44253</v>
      </c>
      <c r="B340">
        <v>23.478000000000002</v>
      </c>
      <c r="C340">
        <v>25.186699999999998</v>
      </c>
      <c r="D340">
        <v>21.01</v>
      </c>
      <c r="E340">
        <v>23.1082</v>
      </c>
      <c r="F340">
        <v>5919224.9900000002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4.7166423252807928E-3</v>
      </c>
      <c r="Q340">
        <f t="shared" si="970"/>
        <v>27918.86712069378</v>
      </c>
      <c r="R340">
        <f t="shared" si="971"/>
        <v>3159462.0875857058</v>
      </c>
      <c r="S340">
        <f t="shared" si="972"/>
        <v>31.594620875857057</v>
      </c>
      <c r="T340">
        <f t="shared" si="973"/>
        <v>3.1594620875857057E-2</v>
      </c>
    </row>
    <row r="341" spans="1:20" x14ac:dyDescent="0.25">
      <c r="A341" s="5">
        <v>44252</v>
      </c>
      <c r="B341">
        <v>25.250900000000001</v>
      </c>
      <c r="C341">
        <v>26.99</v>
      </c>
      <c r="D341">
        <v>23.080300000000001</v>
      </c>
      <c r="E341">
        <v>23.478100000000001</v>
      </c>
      <c r="F341">
        <v>5769473.4100000001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-0.79650612578970237</v>
      </c>
      <c r="Q341">
        <f t="shared" si="970"/>
        <v>-4595420.913645803</v>
      </c>
      <c r="R341">
        <f t="shared" si="971"/>
        <v>3131543.2204650119</v>
      </c>
      <c r="S341">
        <f t="shared" si="972"/>
        <v>31.315432204650119</v>
      </c>
      <c r="T341">
        <f t="shared" si="973"/>
        <v>3.131543220465012E-2</v>
      </c>
    </row>
    <row r="342" spans="1:20" x14ac:dyDescent="0.25">
      <c r="A342" s="5">
        <v>44251</v>
      </c>
      <c r="B342">
        <v>24.8325</v>
      </c>
      <c r="C342">
        <v>27.36</v>
      </c>
      <c r="D342">
        <v>23.0701</v>
      </c>
      <c r="E342">
        <v>25.250900000000001</v>
      </c>
      <c r="F342">
        <v>7424230.3899999997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1.6713676309471886E-2</v>
      </c>
      <c r="Q342">
        <f t="shared" si="970"/>
        <v>124086.18358540421</v>
      </c>
      <c r="R342">
        <f t="shared" si="971"/>
        <v>7726964.1341108149</v>
      </c>
      <c r="S342">
        <f t="shared" si="972"/>
        <v>77.269641341108155</v>
      </c>
      <c r="T342">
        <f t="shared" si="973"/>
        <v>7.7269641341108156E-2</v>
      </c>
    </row>
    <row r="343" spans="1:20" x14ac:dyDescent="0.25">
      <c r="A343" s="5">
        <v>44250</v>
      </c>
      <c r="B343">
        <v>27.6861</v>
      </c>
      <c r="C343">
        <v>27.799499999999998</v>
      </c>
      <c r="D343">
        <v>18.100000000000001</v>
      </c>
      <c r="E343">
        <v>24.808599999999998</v>
      </c>
      <c r="F343">
        <v>16473183.550000001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0.38328779834012044</v>
      </c>
      <c r="Q343">
        <f t="shared" si="970"/>
        <v>6313970.25453219</v>
      </c>
      <c r="R343">
        <f t="shared" si="971"/>
        <v>7602877.9505254105</v>
      </c>
      <c r="S343">
        <f t="shared" si="972"/>
        <v>76.028779505254107</v>
      </c>
      <c r="T343">
        <f t="shared" si="973"/>
        <v>7.6028779505254107E-2</v>
      </c>
    </row>
    <row r="344" spans="1:20" x14ac:dyDescent="0.25">
      <c r="A344" s="5">
        <v>44249</v>
      </c>
      <c r="B344">
        <v>28.7958</v>
      </c>
      <c r="C344">
        <v>29.145800000000001</v>
      </c>
      <c r="D344">
        <v>21.8157</v>
      </c>
      <c r="E344">
        <v>27.683499999999999</v>
      </c>
      <c r="F344">
        <v>12142946.640000001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0.60101499297417438</v>
      </c>
      <c r="Q344">
        <f t="shared" si="970"/>
        <v>7298092.989525375</v>
      </c>
      <c r="R344">
        <f t="shared" si="971"/>
        <v>1288907.6959932204</v>
      </c>
      <c r="S344">
        <f t="shared" si="972"/>
        <v>12.889076959932204</v>
      </c>
      <c r="T344">
        <f t="shared" si="973"/>
        <v>1.2889076959932204E-2</v>
      </c>
    </row>
    <row r="345" spans="1:20" x14ac:dyDescent="0.25">
      <c r="A345" s="5">
        <v>44248</v>
      </c>
      <c r="B345">
        <v>28.7315</v>
      </c>
      <c r="C345">
        <v>32.122</v>
      </c>
      <c r="D345">
        <v>27.714200000000002</v>
      </c>
      <c r="E345">
        <v>28.776299999999999</v>
      </c>
      <c r="F345">
        <v>12428623.699999999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-0.51808158264894155</v>
      </c>
      <c r="Q345">
        <f t="shared" si="970"/>
        <v>-6439041.0366441431</v>
      </c>
      <c r="R345">
        <f t="shared" si="971"/>
        <v>-6009185.2935321545</v>
      </c>
      <c r="S345">
        <f t="shared" si="972"/>
        <v>-60.091852935321548</v>
      </c>
      <c r="T345">
        <f t="shared" si="973"/>
        <v>-6.0091852935321551E-2</v>
      </c>
    </row>
    <row r="346" spans="1:20" x14ac:dyDescent="0.25">
      <c r="A346" s="5">
        <v>44247</v>
      </c>
      <c r="B346">
        <v>20.074400000000001</v>
      </c>
      <c r="C346">
        <v>32.999000000000002</v>
      </c>
      <c r="D346">
        <v>19.502600000000001</v>
      </c>
      <c r="E346">
        <v>28.753299999999999</v>
      </c>
      <c r="F346">
        <v>23821017.719999999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0.37083963130908948</v>
      </c>
      <c r="Q346">
        <f t="shared" si="970"/>
        <v>8833777.4286920875</v>
      </c>
      <c r="R346">
        <f t="shared" si="971"/>
        <v>429855.74311198853</v>
      </c>
      <c r="S346">
        <f t="shared" si="972"/>
        <v>4.2985574311198853</v>
      </c>
      <c r="T346">
        <f t="shared" si="973"/>
        <v>4.2985574311198852E-3</v>
      </c>
    </row>
    <row r="347" spans="1:20" x14ac:dyDescent="0.25">
      <c r="A347" s="5">
        <v>44246</v>
      </c>
      <c r="B347">
        <v>21.174199999999999</v>
      </c>
      <c r="C347">
        <v>21.544</v>
      </c>
      <c r="D347">
        <v>19.323499999999999</v>
      </c>
      <c r="E347">
        <v>20.075600000000001</v>
      </c>
      <c r="F347">
        <v>6543994.2300000004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-0.32258500337761603</v>
      </c>
      <c r="Q347">
        <f t="shared" si="970"/>
        <v>-2110994.4007876501</v>
      </c>
      <c r="R347">
        <f t="shared" si="971"/>
        <v>-8403921.685580099</v>
      </c>
      <c r="S347">
        <f t="shared" si="972"/>
        <v>-84.039216855800987</v>
      </c>
      <c r="T347">
        <f t="shared" si="973"/>
        <v>-8.4039216855800986E-2</v>
      </c>
    </row>
    <row r="348" spans="1:20" x14ac:dyDescent="0.25">
      <c r="A348" s="5">
        <v>44245</v>
      </c>
      <c r="B348">
        <v>21.538399999999999</v>
      </c>
      <c r="C348">
        <v>22.27</v>
      </c>
      <c r="D348">
        <v>20.566299999999998</v>
      </c>
      <c r="E348">
        <v>21.173300000000001</v>
      </c>
      <c r="F348">
        <v>4094257.31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-0.28743323355050493</v>
      </c>
      <c r="Q348">
        <f t="shared" si="970"/>
        <v>-1176825.617601092</v>
      </c>
      <c r="R348">
        <f t="shared" si="971"/>
        <v>-6292927.2847924484</v>
      </c>
      <c r="S348">
        <f t="shared" si="972"/>
        <v>-62.929272847924487</v>
      </c>
      <c r="T348">
        <f t="shared" si="973"/>
        <v>-6.2929272847924489E-2</v>
      </c>
    </row>
    <row r="349" spans="1:20" x14ac:dyDescent="0.25">
      <c r="A349" s="5">
        <v>44244</v>
      </c>
      <c r="B349">
        <v>20.484400000000001</v>
      </c>
      <c r="C349">
        <v>21.816800000000001</v>
      </c>
      <c r="D349">
        <v>19.1663</v>
      </c>
      <c r="E349">
        <v>21.517499999999998</v>
      </c>
      <c r="F349">
        <v>3666053.53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0.77415581965666691</v>
      </c>
      <c r="Q349">
        <f t="shared" si="970"/>
        <v>2838096.6754223672</v>
      </c>
      <c r="R349">
        <f t="shared" si="971"/>
        <v>-5116101.6671913564</v>
      </c>
      <c r="S349">
        <f t="shared" si="972"/>
        <v>-51.161016671913565</v>
      </c>
      <c r="T349">
        <f t="shared" si="973"/>
        <v>-5.1161016671913563E-2</v>
      </c>
    </row>
    <row r="350" spans="1:20" x14ac:dyDescent="0.25">
      <c r="A350" s="5">
        <v>44243</v>
      </c>
      <c r="B350">
        <v>20.076899999999998</v>
      </c>
      <c r="C350">
        <v>21.32</v>
      </c>
      <c r="D350">
        <v>19.3752</v>
      </c>
      <c r="E350">
        <v>20.4846</v>
      </c>
      <c r="F350">
        <v>3690220.56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0.14088852324146484</v>
      </c>
      <c r="Q350">
        <f t="shared" si="970"/>
        <v>519909.72513369139</v>
      </c>
      <c r="R350">
        <f t="shared" si="971"/>
        <v>-7954198.3426137231</v>
      </c>
      <c r="S350">
        <f t="shared" si="972"/>
        <v>-79.541983426137236</v>
      </c>
      <c r="T350">
        <f t="shared" si="973"/>
        <v>-7.9541983426137233E-2</v>
      </c>
    </row>
    <row r="351" spans="1:20" x14ac:dyDescent="0.25">
      <c r="A351" s="5">
        <v>44242</v>
      </c>
      <c r="B351">
        <v>20.829499999999999</v>
      </c>
      <c r="C351">
        <v>21.539899999999999</v>
      </c>
      <c r="D351">
        <v>16.842099999999999</v>
      </c>
      <c r="E351">
        <v>20.067499999999999</v>
      </c>
      <c r="F351">
        <v>5678630.8399999999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0.37315339094895478</v>
      </c>
      <c r="Q351">
        <f t="shared" si="970"/>
        <v>2119000.3538933112</v>
      </c>
      <c r="R351">
        <f t="shared" si="971"/>
        <v>-8474108.0677474141</v>
      </c>
      <c r="S351">
        <f t="shared" si="972"/>
        <v>-84.741080677474145</v>
      </c>
      <c r="T351">
        <f t="shared" si="973"/>
        <v>-8.4741080677474143E-2</v>
      </c>
    </row>
    <row r="352" spans="1:20" x14ac:dyDescent="0.25">
      <c r="A352" s="5">
        <v>44241</v>
      </c>
      <c r="B352">
        <v>21.7744</v>
      </c>
      <c r="C352">
        <v>22.6</v>
      </c>
      <c r="D352">
        <v>20.663699999999999</v>
      </c>
      <c r="E352">
        <v>20.8245</v>
      </c>
      <c r="F352">
        <v>2698101.82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-0.83391003460207447</v>
      </c>
      <c r="Q352">
        <f t="shared" si="970"/>
        <v>-2249974.1820761198</v>
      </c>
      <c r="R352">
        <f t="shared" si="971"/>
        <v>-10593108.421640726</v>
      </c>
      <c r="S352">
        <f t="shared" si="972"/>
        <v>-105.93108421640726</v>
      </c>
      <c r="T352">
        <f t="shared" si="973"/>
        <v>-0.10593108421640726</v>
      </c>
    </row>
    <row r="353" spans="1:20" x14ac:dyDescent="0.25">
      <c r="A353" s="5">
        <v>44240</v>
      </c>
      <c r="B353">
        <v>22.6374</v>
      </c>
      <c r="C353">
        <v>23.8</v>
      </c>
      <c r="D353">
        <v>21.203700000000001</v>
      </c>
      <c r="E353">
        <v>21.773800000000001</v>
      </c>
      <c r="F353">
        <v>4356960.74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-0.56083657512614093</v>
      </c>
      <c r="Q353">
        <f t="shared" si="970"/>
        <v>-2443542.9393806569</v>
      </c>
      <c r="R353">
        <f t="shared" si="971"/>
        <v>-8343134.239564606</v>
      </c>
      <c r="S353">
        <f t="shared" si="972"/>
        <v>-83.431342395646055</v>
      </c>
      <c r="T353">
        <f t="shared" si="973"/>
        <v>-8.3431342395646049E-2</v>
      </c>
    </row>
    <row r="354" spans="1:20" x14ac:dyDescent="0.25">
      <c r="A354" s="5">
        <v>44239</v>
      </c>
      <c r="B354">
        <v>21.461500000000001</v>
      </c>
      <c r="C354">
        <v>23.83</v>
      </c>
      <c r="D354">
        <v>21.231300000000001</v>
      </c>
      <c r="E354">
        <v>22.6236</v>
      </c>
      <c r="F354">
        <v>5817360.9199999999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7.1535767883942114E-2</v>
      </c>
      <c r="Q354">
        <f t="shared" si="970"/>
        <v>416149.38047023595</v>
      </c>
      <c r="R354">
        <f t="shared" si="971"/>
        <v>-5899591.3001839491</v>
      </c>
      <c r="S354">
        <f t="shared" si="972"/>
        <v>-58.99591300183949</v>
      </c>
      <c r="T354">
        <f t="shared" si="973"/>
        <v>-5.8995913001839491E-2</v>
      </c>
    </row>
    <row r="355" spans="1:20" x14ac:dyDescent="0.25">
      <c r="A355" s="5">
        <v>44238</v>
      </c>
      <c r="B355">
        <v>20.680800000000001</v>
      </c>
      <c r="C355">
        <v>22.013500000000001</v>
      </c>
      <c r="D355">
        <v>20.122</v>
      </c>
      <c r="E355">
        <v>21.453600000000002</v>
      </c>
      <c r="F355">
        <v>3940036.85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0.40798308220988766</v>
      </c>
      <c r="Q355">
        <f t="shared" si="970"/>
        <v>1607468.3780835369</v>
      </c>
      <c r="R355">
        <f t="shared" si="971"/>
        <v>-6315740.6806541849</v>
      </c>
      <c r="S355">
        <f t="shared" si="972"/>
        <v>-63.15740680654185</v>
      </c>
      <c r="T355">
        <f t="shared" si="973"/>
        <v>-6.3157406806541846E-2</v>
      </c>
    </row>
    <row r="356" spans="1:20" x14ac:dyDescent="0.25">
      <c r="A356" s="5">
        <v>44237</v>
      </c>
      <c r="B356">
        <v>19.5075</v>
      </c>
      <c r="C356">
        <v>22.5</v>
      </c>
      <c r="D356">
        <v>19</v>
      </c>
      <c r="E356">
        <v>20.680199999999999</v>
      </c>
      <c r="F356">
        <v>7974562.6299999999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-3.9885714285714712E-2</v>
      </c>
      <c r="Q356">
        <f t="shared" si="970"/>
        <v>-318071.1266137177</v>
      </c>
      <c r="R356">
        <f t="shared" si="971"/>
        <v>-7923209.0587377213</v>
      </c>
      <c r="S356">
        <f t="shared" si="972"/>
        <v>-79.232090587377215</v>
      </c>
      <c r="T356">
        <f t="shared" si="973"/>
        <v>-7.9232090587377221E-2</v>
      </c>
    </row>
    <row r="357" spans="1:20" x14ac:dyDescent="0.25">
      <c r="A357" s="5">
        <v>44236</v>
      </c>
      <c r="B357">
        <v>19.317699999999999</v>
      </c>
      <c r="C357">
        <v>19.902999999999999</v>
      </c>
      <c r="D357">
        <v>18.814499999999999</v>
      </c>
      <c r="E357">
        <v>19.517499999999998</v>
      </c>
      <c r="F357">
        <v>4421517.57</v>
      </c>
      <c r="G357">
        <v>0</v>
      </c>
      <c r="L357" t="s">
        <v>8</v>
      </c>
      <c r="M357" t="s">
        <v>7</v>
      </c>
      <c r="N357" t="s">
        <v>8</v>
      </c>
      <c r="P357">
        <f t="shared" si="969"/>
        <v>0.29168580615525869</v>
      </c>
      <c r="Q357">
        <f t="shared" si="970"/>
        <v>1289693.9168350906</v>
      </c>
      <c r="R357">
        <f t="shared" si="971"/>
        <v>-7605137.9321240038</v>
      </c>
      <c r="S357">
        <f t="shared" si="972"/>
        <v>-76.051379321240034</v>
      </c>
      <c r="T357">
        <f t="shared" si="973"/>
        <v>-7.6051379321240037E-2</v>
      </c>
    </row>
    <row r="358" spans="1:20" x14ac:dyDescent="0.25">
      <c r="A358" s="5">
        <v>44235</v>
      </c>
      <c r="B358">
        <v>18.674499999999998</v>
      </c>
      <c r="C358">
        <v>20.1738</v>
      </c>
      <c r="D358">
        <v>18.116299999999999</v>
      </c>
      <c r="E358">
        <v>19.319800000000001</v>
      </c>
      <c r="F358">
        <v>5898408.3200000003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0.16986634264884687</v>
      </c>
      <c r="Q358">
        <f t="shared" si="970"/>
        <v>1001941.0487679293</v>
      </c>
      <c r="R358">
        <f t="shared" si="971"/>
        <v>-8894831.8489590939</v>
      </c>
      <c r="S358">
        <f t="shared" si="972"/>
        <v>-88.948318489590946</v>
      </c>
      <c r="T358">
        <f t="shared" si="973"/>
        <v>-8.894831848959095E-2</v>
      </c>
    </row>
    <row r="359" spans="1:20" x14ac:dyDescent="0.25">
      <c r="A359" s="5">
        <v>44234</v>
      </c>
      <c r="B359">
        <v>19.2499</v>
      </c>
      <c r="C359">
        <v>19.73</v>
      </c>
      <c r="D359">
        <v>17.059999999999999</v>
      </c>
      <c r="E359">
        <v>18.659199999999998</v>
      </c>
      <c r="F359">
        <v>6015538.25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0.19790262172284548</v>
      </c>
      <c r="Q359">
        <f t="shared" si="970"/>
        <v>1190490.7907490579</v>
      </c>
      <c r="R359">
        <f t="shared" si="971"/>
        <v>-9896772.8977270238</v>
      </c>
      <c r="S359">
        <f t="shared" si="972"/>
        <v>-98.967728977270241</v>
      </c>
      <c r="T359">
        <f t="shared" si="973"/>
        <v>-9.8967728977270242E-2</v>
      </c>
    </row>
    <row r="360" spans="1:20" x14ac:dyDescent="0.25">
      <c r="A360" s="5">
        <v>44233</v>
      </c>
      <c r="B360">
        <v>21.145</v>
      </c>
      <c r="C360">
        <v>21.675999999999998</v>
      </c>
      <c r="D360">
        <v>19.164100000000001</v>
      </c>
      <c r="E360">
        <v>19.2499</v>
      </c>
      <c r="F360">
        <v>5455158.7400000002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-0.93168517855010224</v>
      </c>
      <c r="Q360">
        <f t="shared" si="970"/>
        <v>-5082490.5446960507</v>
      </c>
      <c r="R360">
        <f t="shared" si="971"/>
        <v>-11087263.688476082</v>
      </c>
      <c r="S360">
        <f t="shared" si="972"/>
        <v>-110.87263688476082</v>
      </c>
      <c r="T360">
        <f t="shared" si="973"/>
        <v>-0.11087263688476082</v>
      </c>
    </row>
    <row r="361" spans="1:20" x14ac:dyDescent="0.25">
      <c r="A361" s="5">
        <v>44232</v>
      </c>
      <c r="B361">
        <v>20.104299999999999</v>
      </c>
      <c r="C361">
        <v>22.5</v>
      </c>
      <c r="D361">
        <v>19.633299999999998</v>
      </c>
      <c r="E361">
        <v>21.145</v>
      </c>
      <c r="F361">
        <v>6869668.75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5.4662155091220091E-2</v>
      </c>
      <c r="Q361">
        <f t="shared" si="970"/>
        <v>375510.89863780804</v>
      </c>
      <c r="R361">
        <f t="shared" si="971"/>
        <v>-6004773.1437800303</v>
      </c>
      <c r="S361">
        <f t="shared" si="972"/>
        <v>-60.047731437800302</v>
      </c>
      <c r="T361">
        <f t="shared" si="973"/>
        <v>-6.0047731437800303E-2</v>
      </c>
    </row>
    <row r="362" spans="1:20" x14ac:dyDescent="0.25">
      <c r="A362" s="5">
        <v>44231</v>
      </c>
      <c r="B362">
        <v>19.723800000000001</v>
      </c>
      <c r="C362">
        <v>21.596</v>
      </c>
      <c r="D362">
        <v>19.132000000000001</v>
      </c>
      <c r="E362">
        <v>20.129899999999999</v>
      </c>
      <c r="F362">
        <v>8880802.9199999999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-0.19001623376623511</v>
      </c>
      <c r="Q362">
        <f t="shared" si="970"/>
        <v>-1687496.7236785833</v>
      </c>
      <c r="R362">
        <f t="shared" si="971"/>
        <v>-6380284.0424178382</v>
      </c>
      <c r="S362">
        <f t="shared" si="972"/>
        <v>-63.802840424178385</v>
      </c>
      <c r="T362">
        <f t="shared" si="973"/>
        <v>-6.3802840424178386E-2</v>
      </c>
    </row>
    <row r="363" spans="1:20" x14ac:dyDescent="0.25">
      <c r="A363" s="5">
        <v>44230</v>
      </c>
      <c r="B363">
        <v>18.967500000000001</v>
      </c>
      <c r="C363">
        <v>20.558499999999999</v>
      </c>
      <c r="D363">
        <v>18.689900000000002</v>
      </c>
      <c r="E363">
        <v>19.711400000000001</v>
      </c>
      <c r="F363">
        <v>7886297.54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9.3331906239967025E-2</v>
      </c>
      <c r="Q363">
        <f t="shared" si="970"/>
        <v>736043.18258376257</v>
      </c>
      <c r="R363">
        <f t="shared" si="971"/>
        <v>-4692787.318739255</v>
      </c>
      <c r="S363">
        <f t="shared" si="972"/>
        <v>-46.927873187392549</v>
      </c>
      <c r="T363">
        <f t="shared" si="973"/>
        <v>-4.6927873187392548E-2</v>
      </c>
    </row>
    <row r="364" spans="1:20" x14ac:dyDescent="0.25">
      <c r="A364" s="5">
        <v>44229</v>
      </c>
      <c r="B364">
        <v>20.4542</v>
      </c>
      <c r="C364">
        <v>20.606200000000001</v>
      </c>
      <c r="D364">
        <v>18.004999999999999</v>
      </c>
      <c r="E364">
        <v>18.951699999999999</v>
      </c>
      <c r="F364">
        <v>8876910.3800000008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-0.27210518222358981</v>
      </c>
      <c r="Q364">
        <f t="shared" si="970"/>
        <v>-2415453.3165323762</v>
      </c>
      <c r="R364">
        <f t="shared" si="971"/>
        <v>-5428830.5013230173</v>
      </c>
      <c r="S364">
        <f t="shared" si="972"/>
        <v>-54.288305013230172</v>
      </c>
      <c r="T364">
        <f t="shared" si="973"/>
        <v>-5.4288305013230169E-2</v>
      </c>
    </row>
    <row r="365" spans="1:20" x14ac:dyDescent="0.25">
      <c r="A365" s="5">
        <v>44228</v>
      </c>
      <c r="B365">
        <v>17.733499999999999</v>
      </c>
      <c r="C365">
        <v>20.758299999999998</v>
      </c>
      <c r="D365">
        <v>16.667899999999999</v>
      </c>
      <c r="E365">
        <v>20.450199999999999</v>
      </c>
      <c r="F365">
        <v>12215677.800000001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0.84935458634852357</v>
      </c>
      <c r="Q365">
        <f t="shared" si="970"/>
        <v>10375441.964785842</v>
      </c>
      <c r="R365">
        <f t="shared" si="971"/>
        <v>-3013377.1847906411</v>
      </c>
      <c r="S365">
        <f t="shared" si="972"/>
        <v>-30.133771847906409</v>
      </c>
      <c r="T365">
        <f t="shared" si="973"/>
        <v>-3.0133771847906408E-2</v>
      </c>
    </row>
    <row r="366" spans="1:20" x14ac:dyDescent="0.25">
      <c r="A366" s="5">
        <v>44227</v>
      </c>
      <c r="B366">
        <v>19.571300000000001</v>
      </c>
      <c r="C366">
        <v>20.561199999999999</v>
      </c>
      <c r="D366">
        <v>17.399899999999999</v>
      </c>
      <c r="E366">
        <v>17.724599999999999</v>
      </c>
      <c r="F366">
        <v>15718817.49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-0.79457817986271473</v>
      </c>
      <c r="Q366">
        <f t="shared" si="970"/>
        <v>-12489829.390798407</v>
      </c>
      <c r="R366">
        <f t="shared" si="971"/>
        <v>-13388819.149576483</v>
      </c>
      <c r="S366">
        <f t="shared" si="972"/>
        <v>-133.88819149576483</v>
      </c>
      <c r="T366">
        <f t="shared" si="973"/>
        <v>-0.13388819149576484</v>
      </c>
    </row>
    <row r="367" spans="1:20" x14ac:dyDescent="0.25">
      <c r="A367" s="5">
        <v>44226</v>
      </c>
      <c r="B367">
        <v>15.6418</v>
      </c>
      <c r="C367">
        <v>19.62</v>
      </c>
      <c r="D367">
        <v>15.09</v>
      </c>
      <c r="E367">
        <v>19.537600000000001</v>
      </c>
      <c r="F367">
        <v>13273973.57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0.96362030905077267</v>
      </c>
      <c r="Q367">
        <f t="shared" si="970"/>
        <v>12791070.513855189</v>
      </c>
      <c r="R367">
        <f t="shared" si="971"/>
        <v>-898989.75877807662</v>
      </c>
      <c r="S367">
        <f t="shared" si="972"/>
        <v>-8.9898975877807654</v>
      </c>
      <c r="T367">
        <f t="shared" si="973"/>
        <v>-8.9898975877807652E-3</v>
      </c>
    </row>
    <row r="368" spans="1:20" x14ac:dyDescent="0.25">
      <c r="A368" s="5">
        <v>44225</v>
      </c>
      <c r="B368">
        <v>14.1121</v>
      </c>
      <c r="C368">
        <v>15.8</v>
      </c>
      <c r="D368">
        <v>14.071</v>
      </c>
      <c r="E368">
        <v>15.6418</v>
      </c>
      <c r="F368">
        <v>13323277.76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0.81700404858299513</v>
      </c>
      <c r="Q368">
        <f t="shared" si="970"/>
        <v>10885171.870315779</v>
      </c>
      <c r="R368">
        <f t="shared" si="971"/>
        <v>-13690060.272633266</v>
      </c>
      <c r="S368">
        <f t="shared" si="972"/>
        <v>-136.90060272633266</v>
      </c>
      <c r="T368">
        <f t="shared" si="973"/>
        <v>-0.13690060272633267</v>
      </c>
    </row>
    <row r="369" spans="1:20" x14ac:dyDescent="0.25">
      <c r="A369" s="5">
        <v>44224</v>
      </c>
      <c r="B369">
        <v>14.7493</v>
      </c>
      <c r="C369">
        <v>15.399699999999999</v>
      </c>
      <c r="D369">
        <v>13.4994</v>
      </c>
      <c r="E369">
        <v>14.100300000000001</v>
      </c>
      <c r="F369">
        <v>14385148.83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-0.36757354101983769</v>
      </c>
      <c r="Q369">
        <f t="shared" si="970"/>
        <v>-5287600.0935404748</v>
      </c>
      <c r="R369">
        <f t="shared" si="971"/>
        <v>-24575232.142949045</v>
      </c>
      <c r="S369">
        <f t="shared" si="972"/>
        <v>-245.75232142949045</v>
      </c>
      <c r="T369">
        <f t="shared" si="973"/>
        <v>-0.24575232142949044</v>
      </c>
    </row>
    <row r="370" spans="1:20" x14ac:dyDescent="0.25">
      <c r="A370" s="5">
        <v>44223</v>
      </c>
      <c r="B370">
        <v>13.9086</v>
      </c>
      <c r="C370">
        <v>15.493399999999999</v>
      </c>
      <c r="D370">
        <v>13.02</v>
      </c>
      <c r="E370">
        <v>14.7493</v>
      </c>
      <c r="F370">
        <v>20244050.719999999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0.39831810463329864</v>
      </c>
      <c r="Q370">
        <f t="shared" si="970"/>
        <v>8063571.912890764</v>
      </c>
      <c r="R370">
        <f t="shared" si="971"/>
        <v>-19287632.04940857</v>
      </c>
      <c r="S370">
        <f t="shared" si="972"/>
        <v>-192.87632049408569</v>
      </c>
      <c r="T370">
        <f t="shared" si="973"/>
        <v>-0.19287632049408568</v>
      </c>
    </row>
    <row r="371" spans="1:20" x14ac:dyDescent="0.25">
      <c r="A371" s="5">
        <v>44222</v>
      </c>
      <c r="B371">
        <v>11.309699999999999</v>
      </c>
      <c r="C371">
        <v>14.3148</v>
      </c>
      <c r="D371">
        <v>11.1557</v>
      </c>
      <c r="E371">
        <v>13.9086</v>
      </c>
      <c r="F371">
        <v>19001655.600000001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0.74283815010604282</v>
      </c>
      <c r="Q371">
        <f t="shared" si="970"/>
        <v>14115154.69485613</v>
      </c>
      <c r="R371">
        <f t="shared" si="971"/>
        <v>-27351203.962299332</v>
      </c>
      <c r="S371">
        <f t="shared" si="972"/>
        <v>-273.51203962299331</v>
      </c>
      <c r="T371">
        <f t="shared" si="973"/>
        <v>-0.27351203962299331</v>
      </c>
    </row>
    <row r="372" spans="1:20" x14ac:dyDescent="0.25">
      <c r="A372" s="5">
        <v>44221</v>
      </c>
      <c r="B372">
        <v>12.039</v>
      </c>
      <c r="C372">
        <v>12.898300000000001</v>
      </c>
      <c r="D372">
        <v>10.88</v>
      </c>
      <c r="E372">
        <v>11.3177</v>
      </c>
      <c r="F372">
        <v>13116856.01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-0.56626864192637416</v>
      </c>
      <c r="Q372">
        <f t="shared" si="970"/>
        <v>-7427664.2391264988</v>
      </c>
      <c r="R372">
        <f t="shared" si="971"/>
        <v>-41466358.657155462</v>
      </c>
      <c r="S372">
        <f t="shared" si="972"/>
        <v>-414.66358657155462</v>
      </c>
      <c r="T372">
        <f t="shared" si="973"/>
        <v>-0.41466358657155461</v>
      </c>
    </row>
    <row r="373" spans="1:20" x14ac:dyDescent="0.25">
      <c r="A373" s="5">
        <v>44220</v>
      </c>
      <c r="B373">
        <v>9.3356999999999992</v>
      </c>
      <c r="C373">
        <v>12.3</v>
      </c>
      <c r="D373">
        <v>9.1583000000000006</v>
      </c>
      <c r="E373">
        <v>12.0505</v>
      </c>
      <c r="F373">
        <v>12721611.85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0.84116879396505007</v>
      </c>
      <c r="Q373">
        <f t="shared" si="970"/>
        <v>10701022.897155989</v>
      </c>
      <c r="R373">
        <f t="shared" si="971"/>
        <v>-34038694.418028966</v>
      </c>
      <c r="S373">
        <f t="shared" si="972"/>
        <v>-340.38694418028967</v>
      </c>
      <c r="T373">
        <f t="shared" si="973"/>
        <v>-0.3403869441802897</v>
      </c>
    </row>
    <row r="374" spans="1:20" x14ac:dyDescent="0.25">
      <c r="A374" s="5">
        <v>44219</v>
      </c>
      <c r="B374">
        <v>8.6965000000000003</v>
      </c>
      <c r="C374">
        <v>9.5338999999999992</v>
      </c>
      <c r="D374">
        <v>8.4908000000000001</v>
      </c>
      <c r="E374">
        <v>9.3428000000000004</v>
      </c>
      <c r="F374">
        <v>5350324.46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0.63359217716422411</v>
      </c>
      <c r="Q374">
        <f t="shared" si="970"/>
        <v>3389923.7231464018</v>
      </c>
      <c r="R374">
        <f t="shared" si="971"/>
        <v>-44739717.315184958</v>
      </c>
      <c r="S374">
        <f t="shared" si="972"/>
        <v>-447.39717315184959</v>
      </c>
      <c r="T374">
        <f t="shared" si="973"/>
        <v>-0.44739717315184957</v>
      </c>
    </row>
    <row r="375" spans="1:20" x14ac:dyDescent="0.25">
      <c r="A375" s="5">
        <v>44218</v>
      </c>
      <c r="B375">
        <v>7.5865</v>
      </c>
      <c r="C375">
        <v>9.0966000000000005</v>
      </c>
      <c r="D375">
        <v>7.0404999999999998</v>
      </c>
      <c r="E375">
        <v>8.6834000000000007</v>
      </c>
      <c r="F375">
        <v>8355910.0599999996</v>
      </c>
      <c r="G375">
        <v>0</v>
      </c>
      <c r="L375" t="s">
        <v>7</v>
      </c>
      <c r="M375" t="s">
        <v>8</v>
      </c>
      <c r="N375" t="s">
        <v>7</v>
      </c>
      <c r="P375">
        <f t="shared" si="969"/>
        <v>0.59807402363698303</v>
      </c>
      <c r="Q375">
        <f t="shared" si="970"/>
        <v>4997452.7507329443</v>
      </c>
      <c r="R375">
        <f t="shared" si="971"/>
        <v>-48129641.03833136</v>
      </c>
      <c r="S375">
        <f t="shared" si="972"/>
        <v>-481.29641038331357</v>
      </c>
      <c r="T375">
        <f t="shared" si="973"/>
        <v>-0.48129641038331356</v>
      </c>
    </row>
    <row r="376" spans="1:20" x14ac:dyDescent="0.25">
      <c r="A376" s="5">
        <v>44217</v>
      </c>
      <c r="B376">
        <v>8.9673999999999996</v>
      </c>
      <c r="C376">
        <v>9.0368999999999993</v>
      </c>
      <c r="D376">
        <v>7.3247</v>
      </c>
      <c r="E376">
        <v>7.5872999999999999</v>
      </c>
      <c r="F376">
        <v>8698599.0999999996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-0.69326013316201374</v>
      </c>
      <c r="Q376">
        <f t="shared" si="970"/>
        <v>-6030391.9703889722</v>
      </c>
      <c r="R376">
        <f t="shared" si="971"/>
        <v>-53127093.789064303</v>
      </c>
      <c r="S376">
        <f t="shared" si="972"/>
        <v>-531.27093789064304</v>
      </c>
      <c r="T376">
        <f t="shared" si="973"/>
        <v>-0.53127093789064306</v>
      </c>
    </row>
    <row r="377" spans="1:20" x14ac:dyDescent="0.25">
      <c r="A377" s="5">
        <v>44216</v>
      </c>
      <c r="B377">
        <v>8.5787999999999993</v>
      </c>
      <c r="C377">
        <v>9.0465</v>
      </c>
      <c r="D377">
        <v>7.65</v>
      </c>
      <c r="E377">
        <v>8.9646000000000008</v>
      </c>
      <c r="F377">
        <v>9665642.0099999998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0.88270676691729433</v>
      </c>
      <c r="Q377">
        <f t="shared" si="970"/>
        <v>8531927.6088270787</v>
      </c>
      <c r="R377">
        <f t="shared" si="971"/>
        <v>-47096701.818675332</v>
      </c>
      <c r="S377">
        <f t="shared" si="972"/>
        <v>-470.96701818675331</v>
      </c>
      <c r="T377">
        <f t="shared" si="973"/>
        <v>-0.47096701818675329</v>
      </c>
    </row>
    <row r="378" spans="1:20" x14ac:dyDescent="0.25">
      <c r="A378" s="5">
        <v>44215</v>
      </c>
      <c r="B378">
        <v>9.1983999999999995</v>
      </c>
      <c r="C378">
        <v>9.9388000000000005</v>
      </c>
      <c r="D378">
        <v>8.4641000000000002</v>
      </c>
      <c r="E378">
        <v>8.5767000000000007</v>
      </c>
      <c r="F378">
        <v>8643124.2300000004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-0.84729097443547774</v>
      </c>
      <c r="Q378">
        <f t="shared" si="970"/>
        <v>-7323241.1510035889</v>
      </c>
      <c r="R378">
        <f t="shared" si="971"/>
        <v>-55628629.427502409</v>
      </c>
      <c r="S378">
        <f t="shared" si="972"/>
        <v>-556.28629427502403</v>
      </c>
      <c r="T378">
        <f t="shared" si="973"/>
        <v>-0.55628629427502407</v>
      </c>
    </row>
    <row r="379" spans="1:20" x14ac:dyDescent="0.25">
      <c r="A379" s="5">
        <v>44214</v>
      </c>
      <c r="B379">
        <v>8.6837999999999997</v>
      </c>
      <c r="C379">
        <v>9.8780000000000001</v>
      </c>
      <c r="D379">
        <v>8.3000000000000007</v>
      </c>
      <c r="E379">
        <v>9.1904000000000003</v>
      </c>
      <c r="F379">
        <v>10123589.68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0.12851711026615967</v>
      </c>
      <c r="Q379">
        <f t="shared" si="970"/>
        <v>1301054.491193916</v>
      </c>
      <c r="R379">
        <f t="shared" si="971"/>
        <v>-48305388.276498817</v>
      </c>
      <c r="S379">
        <f t="shared" si="972"/>
        <v>-483.05388276498815</v>
      </c>
      <c r="T379">
        <f t="shared" si="973"/>
        <v>-0.48305388276498812</v>
      </c>
    </row>
    <row r="380" spans="1:20" x14ac:dyDescent="0.25">
      <c r="A380" s="5">
        <v>44213</v>
      </c>
      <c r="B380">
        <v>8.3986999999999998</v>
      </c>
      <c r="C380">
        <v>9.18</v>
      </c>
      <c r="D380">
        <v>8.0283999999999995</v>
      </c>
      <c r="E380">
        <v>8.6890000000000001</v>
      </c>
      <c r="F380">
        <v>12230919.85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0.14727335880514139</v>
      </c>
      <c r="Q380">
        <f t="shared" si="970"/>
        <v>1801288.6475859762</v>
      </c>
      <c r="R380">
        <f t="shared" si="971"/>
        <v>-49606442.76769273</v>
      </c>
      <c r="S380">
        <f t="shared" si="972"/>
        <v>-496.06442767692732</v>
      </c>
      <c r="T380">
        <f t="shared" si="973"/>
        <v>-0.49606442767692732</v>
      </c>
    </row>
    <row r="381" spans="1:20" x14ac:dyDescent="0.25">
      <c r="A381" s="5">
        <v>44212</v>
      </c>
      <c r="B381">
        <v>7.3761000000000001</v>
      </c>
      <c r="C381">
        <v>9.3775999999999993</v>
      </c>
      <c r="D381">
        <v>7.1931000000000003</v>
      </c>
      <c r="E381">
        <v>8.3908000000000005</v>
      </c>
      <c r="F381">
        <v>16659914.439999999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9.6543831540398958E-2</v>
      </c>
      <c r="Q381">
        <f t="shared" si="970"/>
        <v>1608411.9731728199</v>
      </c>
      <c r="R381">
        <f t="shared" si="971"/>
        <v>-51407731.415278703</v>
      </c>
      <c r="S381">
        <f t="shared" si="972"/>
        <v>-514.07731415278704</v>
      </c>
      <c r="T381">
        <f t="shared" si="973"/>
        <v>-0.51407731415278701</v>
      </c>
    </row>
    <row r="382" spans="1:20" x14ac:dyDescent="0.25">
      <c r="A382" s="5">
        <v>44211</v>
      </c>
      <c r="B382">
        <v>6.9603000000000002</v>
      </c>
      <c r="C382">
        <v>7.49</v>
      </c>
      <c r="D382">
        <v>6.3609999999999998</v>
      </c>
      <c r="E382">
        <v>7.3761999999999999</v>
      </c>
      <c r="F382">
        <v>16759142.91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0.7984056687333918</v>
      </c>
      <c r="Q382">
        <f t="shared" si="970"/>
        <v>13380594.702457031</v>
      </c>
      <c r="R382">
        <f t="shared" si="971"/>
        <v>-53016143.388451524</v>
      </c>
      <c r="S382">
        <f t="shared" si="972"/>
        <v>-530.16143388451519</v>
      </c>
      <c r="T382">
        <f t="shared" si="973"/>
        <v>-0.5301614338845152</v>
      </c>
    </row>
    <row r="383" spans="1:20" x14ac:dyDescent="0.25">
      <c r="A383" s="5">
        <v>44210</v>
      </c>
      <c r="B383">
        <v>6.3406000000000002</v>
      </c>
      <c r="C383">
        <v>7.13</v>
      </c>
      <c r="D383">
        <v>6.1775000000000002</v>
      </c>
      <c r="E383">
        <v>6.9592999999999998</v>
      </c>
      <c r="F383">
        <v>10439216.67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0.64157480314960602</v>
      </c>
      <c r="Q383">
        <f t="shared" si="970"/>
        <v>6697538.3800913356</v>
      </c>
      <c r="R383">
        <f t="shared" si="971"/>
        <v>-66396738.090908557</v>
      </c>
      <c r="S383">
        <f t="shared" si="972"/>
        <v>-663.96738090908559</v>
      </c>
      <c r="T383">
        <f t="shared" si="973"/>
        <v>-0.66396738090908558</v>
      </c>
    </row>
    <row r="384" spans="1:20" x14ac:dyDescent="0.25">
      <c r="A384" s="5">
        <v>44209</v>
      </c>
      <c r="B384">
        <v>5.5877999999999997</v>
      </c>
      <c r="C384">
        <v>6.3825000000000003</v>
      </c>
      <c r="D384">
        <v>5.2601000000000004</v>
      </c>
      <c r="E384">
        <v>6.3311000000000002</v>
      </c>
      <c r="F384">
        <v>6787774.0999999996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0.90841054882394845</v>
      </c>
      <c r="Q384">
        <f t="shared" si="970"/>
        <v>6166085.5954739824</v>
      </c>
      <c r="R384">
        <f t="shared" si="971"/>
        <v>-73094276.470999897</v>
      </c>
      <c r="S384">
        <f t="shared" si="972"/>
        <v>-730.94276470999898</v>
      </c>
      <c r="T384">
        <f t="shared" si="973"/>
        <v>-0.73094276470999897</v>
      </c>
    </row>
    <row r="385" spans="1:20" x14ac:dyDescent="0.25">
      <c r="A385" s="5">
        <v>44208</v>
      </c>
      <c r="B385">
        <v>5.2427000000000001</v>
      </c>
      <c r="C385">
        <v>5.8211000000000004</v>
      </c>
      <c r="D385">
        <v>4.9650999999999996</v>
      </c>
      <c r="E385">
        <v>5.5877999999999997</v>
      </c>
      <c r="F385">
        <v>8248266.0999999996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0.45490654205607356</v>
      </c>
      <c r="Q385">
        <f t="shared" si="970"/>
        <v>3752190.2095093355</v>
      </c>
      <c r="R385">
        <f t="shared" si="971"/>
        <v>-79260362.066473871</v>
      </c>
      <c r="S385">
        <f t="shared" si="972"/>
        <v>-792.60362066473874</v>
      </c>
      <c r="T385">
        <f t="shared" si="973"/>
        <v>-0.79260362066473877</v>
      </c>
    </row>
    <row r="386" spans="1:20" x14ac:dyDescent="0.25">
      <c r="A386" s="5">
        <v>44207</v>
      </c>
      <c r="B386">
        <v>5.9801000000000002</v>
      </c>
      <c r="C386">
        <v>6.0034999999999998</v>
      </c>
      <c r="D386">
        <v>4.3903999999999996</v>
      </c>
      <c r="E386">
        <v>5.2447999999999997</v>
      </c>
      <c r="F386">
        <v>14894495.800000001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5.9326762135019459E-2</v>
      </c>
      <c r="Q386">
        <f t="shared" si="970"/>
        <v>883642.2094476464</v>
      </c>
      <c r="R386">
        <f t="shared" si="971"/>
        <v>-83012552.275983199</v>
      </c>
      <c r="S386">
        <f t="shared" si="972"/>
        <v>-830.12552275983194</v>
      </c>
      <c r="T386">
        <f t="shared" si="973"/>
        <v>-0.83012552275983198</v>
      </c>
    </row>
    <row r="387" spans="1:20" x14ac:dyDescent="0.25">
      <c r="A387" s="5">
        <v>44206</v>
      </c>
      <c r="B387">
        <v>6.2201000000000004</v>
      </c>
      <c r="C387">
        <v>6.58</v>
      </c>
      <c r="D387">
        <v>5.5446999999999997</v>
      </c>
      <c r="E387">
        <v>5.9802</v>
      </c>
      <c r="F387">
        <v>7474281.8499999996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-0.15869796194339789</v>
      </c>
      <c r="Q387">
        <f t="shared" si="970"/>
        <v>-1186153.2965855296</v>
      </c>
      <c r="R387">
        <f t="shared" si="971"/>
        <v>-83896194.485430852</v>
      </c>
      <c r="S387">
        <f t="shared" si="972"/>
        <v>-838.96194485430851</v>
      </c>
      <c r="T387">
        <f t="shared" si="973"/>
        <v>-0.83896194485430853</v>
      </c>
    </row>
    <row r="388" spans="1:20" x14ac:dyDescent="0.25">
      <c r="A388" s="5">
        <v>44205</v>
      </c>
      <c r="B388">
        <v>5.8737000000000004</v>
      </c>
      <c r="C388">
        <v>6.3460999999999999</v>
      </c>
      <c r="D388">
        <v>5.6618000000000004</v>
      </c>
      <c r="E388">
        <v>6.22</v>
      </c>
      <c r="F388">
        <v>5958300.54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0.63144819523600704</v>
      </c>
      <c r="Q388">
        <f t="shared" si="970"/>
        <v>3762358.1226567263</v>
      </c>
      <c r="R388">
        <f t="shared" si="971"/>
        <v>-82710041.188845322</v>
      </c>
      <c r="S388">
        <f t="shared" si="972"/>
        <v>-827.10041188845321</v>
      </c>
      <c r="T388">
        <f t="shared" si="973"/>
        <v>-0.82710041188845318</v>
      </c>
    </row>
    <row r="389" spans="1:20" x14ac:dyDescent="0.25">
      <c r="A389" s="5">
        <v>44204</v>
      </c>
      <c r="B389">
        <v>6.2656999999999998</v>
      </c>
      <c r="C389">
        <v>6.37</v>
      </c>
      <c r="D389">
        <v>5.4188000000000001</v>
      </c>
      <c r="E389">
        <v>5.8807</v>
      </c>
      <c r="F389">
        <v>8255855.6399999997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-2.880571909167377E-2</v>
      </c>
      <c r="Q389">
        <f t="shared" si="970"/>
        <v>-237815.85842725055</v>
      </c>
      <c r="R389">
        <f t="shared" si="971"/>
        <v>-86472399.311502054</v>
      </c>
      <c r="S389">
        <f t="shared" si="972"/>
        <v>-864.72399311502056</v>
      </c>
      <c r="T389">
        <f t="shared" si="973"/>
        <v>-0.86472399311502057</v>
      </c>
    </row>
    <row r="390" spans="1:20" x14ac:dyDescent="0.25">
      <c r="A390" s="5">
        <v>44203</v>
      </c>
      <c r="B390">
        <v>6.4157000000000002</v>
      </c>
      <c r="C390">
        <v>6.84</v>
      </c>
      <c r="D390">
        <v>6.0279999999999996</v>
      </c>
      <c r="E390">
        <v>6.2545000000000002</v>
      </c>
      <c r="F390">
        <v>7832572.0199999996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-0.44211822660098393</v>
      </c>
      <c r="Q390">
        <f t="shared" ref="Q390:Q453" si="975">F390*P390</f>
        <v>-3462922.8512068861</v>
      </c>
      <c r="R390">
        <f t="shared" ref="R390:R453" si="976">R391+Q390</f>
        <v>-86234583.453074798</v>
      </c>
      <c r="S390">
        <f t="shared" ref="S390:S453" si="977">R390/100000</f>
        <v>-862.34583453074799</v>
      </c>
      <c r="T390">
        <f t="shared" ref="T390:T453" si="978">S390/1000</f>
        <v>-0.86234583453074798</v>
      </c>
    </row>
    <row r="391" spans="1:20" x14ac:dyDescent="0.25">
      <c r="A391" s="5">
        <v>44202</v>
      </c>
      <c r="B391">
        <v>6.2518000000000002</v>
      </c>
      <c r="C391">
        <v>6.5911</v>
      </c>
      <c r="D391">
        <v>6.0039999999999996</v>
      </c>
      <c r="E391">
        <v>6.4157000000000002</v>
      </c>
      <c r="F391">
        <v>8261062.7199999997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0.4024867995230807</v>
      </c>
      <c r="Q391">
        <f t="shared" si="975"/>
        <v>3324968.6948322356</v>
      </c>
      <c r="R391">
        <f t="shared" si="976"/>
        <v>-82771660.601867914</v>
      </c>
      <c r="S391">
        <f t="shared" si="977"/>
        <v>-827.71660601867916</v>
      </c>
      <c r="T391">
        <f t="shared" si="978"/>
        <v>-0.82771660601867914</v>
      </c>
    </row>
    <row r="392" spans="1:20" x14ac:dyDescent="0.25">
      <c r="A392" s="5">
        <v>44201</v>
      </c>
      <c r="B392">
        <v>5.4309000000000003</v>
      </c>
      <c r="C392">
        <v>6.56</v>
      </c>
      <c r="D392">
        <v>5.1639999999999997</v>
      </c>
      <c r="E392">
        <v>6.2518000000000002</v>
      </c>
      <c r="F392">
        <v>13101875.75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0.55845272206303809</v>
      </c>
      <c r="Q392">
        <f t="shared" si="975"/>
        <v>7316778.1767192082</v>
      </c>
      <c r="R392">
        <f t="shared" si="976"/>
        <v>-86096629.29670015</v>
      </c>
      <c r="S392">
        <f t="shared" si="977"/>
        <v>-860.96629296700155</v>
      </c>
      <c r="T392">
        <f t="shared" si="978"/>
        <v>-0.86096629296700156</v>
      </c>
    </row>
    <row r="393" spans="1:20" x14ac:dyDescent="0.25">
      <c r="A393" s="5">
        <v>44200</v>
      </c>
      <c r="B393">
        <v>5.5117000000000003</v>
      </c>
      <c r="C393">
        <v>6.2</v>
      </c>
      <c r="D393">
        <v>4.8555999999999999</v>
      </c>
      <c r="E393">
        <v>5.4238</v>
      </c>
      <c r="F393">
        <v>17737637.149999999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-0.1547158583754836</v>
      </c>
      <c r="Q393">
        <f t="shared" si="975"/>
        <v>-2744293.7572151162</v>
      </c>
      <c r="R393">
        <f t="shared" si="976"/>
        <v>-93413407.473419353</v>
      </c>
      <c r="S393">
        <f t="shared" si="977"/>
        <v>-934.13407473419352</v>
      </c>
      <c r="T393">
        <f t="shared" si="978"/>
        <v>-0.93413407473419352</v>
      </c>
    </row>
    <row r="394" spans="1:20" x14ac:dyDescent="0.25">
      <c r="A394" s="5">
        <v>44199</v>
      </c>
      <c r="B394">
        <v>4.8573000000000004</v>
      </c>
      <c r="C394">
        <v>5.6412000000000004</v>
      </c>
      <c r="D394">
        <v>4.6756000000000002</v>
      </c>
      <c r="E394">
        <v>5.5155000000000003</v>
      </c>
      <c r="F394">
        <v>16004744.42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0.73964374482187223</v>
      </c>
      <c r="Q394">
        <f t="shared" si="975"/>
        <v>11837809.097725764</v>
      </c>
      <c r="R394">
        <f t="shared" si="976"/>
        <v>-90669113.716204241</v>
      </c>
      <c r="S394">
        <f t="shared" si="977"/>
        <v>-906.69113716204242</v>
      </c>
      <c r="T394">
        <f t="shared" si="978"/>
        <v>-0.90669113716204242</v>
      </c>
    </row>
    <row r="395" spans="1:20" x14ac:dyDescent="0.25">
      <c r="A395" s="5">
        <v>44198</v>
      </c>
      <c r="B395">
        <v>4.7363999999999997</v>
      </c>
      <c r="C395">
        <v>5.2</v>
      </c>
      <c r="D395">
        <v>4.4800000000000004</v>
      </c>
      <c r="E395">
        <v>4.8563999999999998</v>
      </c>
      <c r="F395">
        <v>15422965.310000001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4.5555555555554253E-2</v>
      </c>
      <c r="Q395">
        <f t="shared" si="975"/>
        <v>702601.75301109103</v>
      </c>
      <c r="R395">
        <f t="shared" si="976"/>
        <v>-102506922.81393</v>
      </c>
      <c r="S395">
        <f t="shared" si="977"/>
        <v>-1025.0692281393001</v>
      </c>
      <c r="T395">
        <f t="shared" si="978"/>
        <v>-1.0250692281393001</v>
      </c>
    </row>
    <row r="396" spans="1:20" x14ac:dyDescent="0.25">
      <c r="A396" s="5">
        <v>44197</v>
      </c>
      <c r="B396">
        <v>5.15</v>
      </c>
      <c r="C396">
        <v>5.2797000000000001</v>
      </c>
      <c r="D396">
        <v>4.5895000000000001</v>
      </c>
      <c r="E396">
        <v>4.7352999999999996</v>
      </c>
      <c r="F396">
        <v>12818149.34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-0.57751376412634159</v>
      </c>
      <c r="Q396">
        <f t="shared" si="975"/>
        <v>-7402657.6744769812</v>
      </c>
      <c r="R396">
        <f t="shared" si="976"/>
        <v>-103209524.5669411</v>
      </c>
      <c r="S396">
        <f t="shared" si="977"/>
        <v>-1032.095245669411</v>
      </c>
      <c r="T396">
        <f t="shared" si="978"/>
        <v>-1.032095245669411</v>
      </c>
    </row>
    <row r="397" spans="1:20" x14ac:dyDescent="0.25">
      <c r="A397" s="5">
        <v>44196</v>
      </c>
      <c r="B397">
        <v>4.1513</v>
      </c>
      <c r="C397">
        <v>5.29</v>
      </c>
      <c r="D397">
        <v>3.9346000000000001</v>
      </c>
      <c r="E397">
        <v>5.1501000000000001</v>
      </c>
      <c r="F397">
        <v>22047151.899999999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0.79356647484137532</v>
      </c>
      <c r="Q397">
        <f t="shared" si="975"/>
        <v>17495880.613575328</v>
      </c>
      <c r="R397">
        <f t="shared" si="976"/>
        <v>-95806866.892464116</v>
      </c>
      <c r="S397">
        <f t="shared" si="977"/>
        <v>-958.0686689246412</v>
      </c>
      <c r="T397">
        <f t="shared" si="978"/>
        <v>-0.95806866892464115</v>
      </c>
    </row>
    <row r="398" spans="1:20" x14ac:dyDescent="0.25">
      <c r="A398" s="5">
        <v>44195</v>
      </c>
      <c r="B398">
        <v>3.6751999999999998</v>
      </c>
      <c r="C398">
        <v>4.38</v>
      </c>
      <c r="D398">
        <v>3.6307</v>
      </c>
      <c r="E398">
        <v>4.1531000000000002</v>
      </c>
      <c r="F398">
        <v>12486803.550000001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0.39436807687174774</v>
      </c>
      <c r="Q398">
        <f t="shared" si="975"/>
        <v>4924396.702288813</v>
      </c>
      <c r="R398">
        <f t="shared" si="976"/>
        <v>-113302747.50603944</v>
      </c>
      <c r="S398">
        <f t="shared" si="977"/>
        <v>-1133.0274750603944</v>
      </c>
      <c r="T398">
        <f t="shared" si="978"/>
        <v>-1.1330274750603944</v>
      </c>
    </row>
    <row r="399" spans="1:20" x14ac:dyDescent="0.25">
      <c r="A399" s="5">
        <v>44194</v>
      </c>
      <c r="B399">
        <v>3.7277</v>
      </c>
      <c r="C399">
        <v>3.8435000000000001</v>
      </c>
      <c r="D399">
        <v>3.4946000000000002</v>
      </c>
      <c r="E399">
        <v>3.6695000000000002</v>
      </c>
      <c r="F399">
        <v>5313101.88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2.5795356835773085E-3</v>
      </c>
      <c r="Q399">
        <f t="shared" si="975"/>
        <v>13705.335889941682</v>
      </c>
      <c r="R399">
        <f t="shared" si="976"/>
        <v>-118227144.20832825</v>
      </c>
      <c r="S399">
        <f t="shared" si="977"/>
        <v>-1182.2714420832824</v>
      </c>
      <c r="T399">
        <f t="shared" si="978"/>
        <v>-1.1822714420832825</v>
      </c>
    </row>
    <row r="400" spans="1:20" x14ac:dyDescent="0.25">
      <c r="A400" s="5">
        <v>44193</v>
      </c>
      <c r="B400">
        <v>3.6</v>
      </c>
      <c r="C400">
        <v>4</v>
      </c>
      <c r="D400">
        <v>3.5655999999999999</v>
      </c>
      <c r="E400">
        <v>3.7311000000000001</v>
      </c>
      <c r="F400">
        <v>7192847.6500000004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-0.2380294659300177</v>
      </c>
      <c r="Q400">
        <f t="shared" si="975"/>
        <v>-1712109.684645483</v>
      </c>
      <c r="R400">
        <f t="shared" si="976"/>
        <v>-118240849.54421818</v>
      </c>
      <c r="S400">
        <f t="shared" si="977"/>
        <v>-1182.4084954421819</v>
      </c>
      <c r="T400">
        <f t="shared" si="978"/>
        <v>-1.1824084954421819</v>
      </c>
    </row>
    <row r="401" spans="1:20" x14ac:dyDescent="0.25">
      <c r="A401" s="5">
        <v>44192</v>
      </c>
      <c r="B401">
        <v>3.4176000000000002</v>
      </c>
      <c r="C401">
        <v>3.8050000000000002</v>
      </c>
      <c r="D401">
        <v>3.3561999999999999</v>
      </c>
      <c r="E401">
        <v>3.5964999999999998</v>
      </c>
      <c r="F401">
        <v>9416386.6600000001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7.0855614973261108E-2</v>
      </c>
      <c r="Q401">
        <f t="shared" si="975"/>
        <v>667203.86762031214</v>
      </c>
      <c r="R401">
        <f t="shared" si="976"/>
        <v>-116528739.85957269</v>
      </c>
      <c r="S401">
        <f t="shared" si="977"/>
        <v>-1165.2873985957269</v>
      </c>
      <c r="T401">
        <f t="shared" si="978"/>
        <v>-1.1652873985957268</v>
      </c>
    </row>
    <row r="402" spans="1:20" x14ac:dyDescent="0.25">
      <c r="A402" s="5">
        <v>44191</v>
      </c>
      <c r="B402">
        <v>3.5019</v>
      </c>
      <c r="C402">
        <v>3.6</v>
      </c>
      <c r="D402">
        <v>3.3570000000000002</v>
      </c>
      <c r="E402">
        <v>3.4171</v>
      </c>
      <c r="F402">
        <v>5804213.9800000004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-0.50534979423868431</v>
      </c>
      <c r="Q402">
        <f t="shared" si="975"/>
        <v>-2933158.3405102952</v>
      </c>
      <c r="R402">
        <f t="shared" si="976"/>
        <v>-117195943.72719301</v>
      </c>
      <c r="S402">
        <f t="shared" si="977"/>
        <v>-1171.95943727193</v>
      </c>
      <c r="T402">
        <f t="shared" si="978"/>
        <v>-1.17195943727193</v>
      </c>
    </row>
    <row r="403" spans="1:20" x14ac:dyDescent="0.25">
      <c r="A403" s="5">
        <v>44190</v>
      </c>
      <c r="B403">
        <v>3.5263</v>
      </c>
      <c r="C403">
        <v>3.6516999999999999</v>
      </c>
      <c r="D403">
        <v>3.3561999999999999</v>
      </c>
      <c r="E403">
        <v>3.5038</v>
      </c>
      <c r="F403">
        <v>5352579.26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-1.0152284263950755E-3</v>
      </c>
      <c r="Q403">
        <f t="shared" si="975"/>
        <v>-5434.0906192847169</v>
      </c>
      <c r="R403">
        <f t="shared" si="976"/>
        <v>-114262785.38668272</v>
      </c>
      <c r="S403">
        <f t="shared" si="977"/>
        <v>-1142.6278538668271</v>
      </c>
      <c r="T403">
        <f t="shared" si="978"/>
        <v>-1.1426278538668271</v>
      </c>
    </row>
    <row r="404" spans="1:20" x14ac:dyDescent="0.25">
      <c r="A404" s="5">
        <v>44189</v>
      </c>
      <c r="B404">
        <v>3.3126000000000002</v>
      </c>
      <c r="C404">
        <v>3.5280999999999998</v>
      </c>
      <c r="D404">
        <v>3.1577999999999999</v>
      </c>
      <c r="E404">
        <v>3.5226999999999999</v>
      </c>
      <c r="F404">
        <v>6353600.0800000001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0.9708344585471248</v>
      </c>
      <c r="Q404">
        <f t="shared" si="975"/>
        <v>6168293.8934917692</v>
      </c>
      <c r="R404">
        <f t="shared" si="976"/>
        <v>-114257351.29606344</v>
      </c>
      <c r="S404">
        <f t="shared" si="977"/>
        <v>-1142.5735129606344</v>
      </c>
      <c r="T404">
        <f t="shared" si="978"/>
        <v>-1.1425735129606345</v>
      </c>
    </row>
    <row r="405" spans="1:20" x14ac:dyDescent="0.25">
      <c r="A405" s="5">
        <v>44188</v>
      </c>
      <c r="B405">
        <v>3.7290000000000001</v>
      </c>
      <c r="C405">
        <v>3.7770000000000001</v>
      </c>
      <c r="D405">
        <v>3.0108000000000001</v>
      </c>
      <c r="E405">
        <v>3.3111000000000002</v>
      </c>
      <c r="F405">
        <v>9033649.2400000002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-0.216131558339859</v>
      </c>
      <c r="Q405">
        <f t="shared" si="975"/>
        <v>-1952456.6877368831</v>
      </c>
      <c r="R405">
        <f t="shared" si="976"/>
        <v>-120425645.18955521</v>
      </c>
      <c r="S405">
        <f t="shared" si="977"/>
        <v>-1204.2564518955521</v>
      </c>
      <c r="T405">
        <f t="shared" si="978"/>
        <v>-1.2042564518955521</v>
      </c>
    </row>
    <row r="406" spans="1:20" x14ac:dyDescent="0.25">
      <c r="A406" s="5">
        <v>44187</v>
      </c>
      <c r="B406">
        <v>3.5102000000000002</v>
      </c>
      <c r="C406">
        <v>3.7759999999999998</v>
      </c>
      <c r="D406">
        <v>3.2812999999999999</v>
      </c>
      <c r="E406">
        <v>3.7330999999999999</v>
      </c>
      <c r="F406">
        <v>9913272.0299999993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0.82656155245603413</v>
      </c>
      <c r="Q406">
        <f t="shared" si="975"/>
        <v>8193929.5190357808</v>
      </c>
      <c r="R406">
        <f t="shared" si="976"/>
        <v>-118473188.50181833</v>
      </c>
      <c r="S406">
        <f t="shared" si="977"/>
        <v>-1184.7318850181832</v>
      </c>
      <c r="T406">
        <f t="shared" si="978"/>
        <v>-1.1847318850181832</v>
      </c>
    </row>
    <row r="407" spans="1:20" x14ac:dyDescent="0.25">
      <c r="A407" s="5">
        <v>44186</v>
      </c>
      <c r="B407">
        <v>3.7606000000000002</v>
      </c>
      <c r="C407">
        <v>3.9249000000000001</v>
      </c>
      <c r="D407">
        <v>3.4156</v>
      </c>
      <c r="E407">
        <v>3.5093999999999999</v>
      </c>
      <c r="F407">
        <v>8732393.4399999995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-0.63165128607893239</v>
      </c>
      <c r="Q407">
        <f t="shared" si="975"/>
        <v>-5515827.5469232323</v>
      </c>
      <c r="R407">
        <f t="shared" si="976"/>
        <v>-126667118.02085412</v>
      </c>
      <c r="S407">
        <f t="shared" si="977"/>
        <v>-1266.671180208541</v>
      </c>
      <c r="T407">
        <f t="shared" si="978"/>
        <v>-1.2666711802085411</v>
      </c>
    </row>
    <row r="408" spans="1:20" x14ac:dyDescent="0.25">
      <c r="A408" s="5">
        <v>44185</v>
      </c>
      <c r="B408">
        <v>3.9621</v>
      </c>
      <c r="C408">
        <v>4.0273000000000003</v>
      </c>
      <c r="D408">
        <v>3.6873999999999998</v>
      </c>
      <c r="E408">
        <v>3.7616999999999998</v>
      </c>
      <c r="F408">
        <v>7894754.6100000003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-0.56281259193880606</v>
      </c>
      <c r="Q408">
        <f t="shared" si="975"/>
        <v>-4443267.3047749382</v>
      </c>
      <c r="R408">
        <f t="shared" si="976"/>
        <v>-121151290.47393088</v>
      </c>
      <c r="S408">
        <f t="shared" si="977"/>
        <v>-1211.5129047393089</v>
      </c>
      <c r="T408">
        <f t="shared" si="978"/>
        <v>-1.2115129047393089</v>
      </c>
    </row>
    <row r="409" spans="1:20" x14ac:dyDescent="0.25">
      <c r="A409" s="5">
        <v>44184</v>
      </c>
      <c r="B409">
        <v>3.7692999999999999</v>
      </c>
      <c r="C409">
        <v>4.2432999999999996</v>
      </c>
      <c r="D409">
        <v>3.6230000000000002</v>
      </c>
      <c r="E409">
        <v>3.9621</v>
      </c>
      <c r="F409">
        <v>16323471.529999999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9.3341931323553312E-2</v>
      </c>
      <c r="Q409">
        <f t="shared" si="975"/>
        <v>1523664.3585152377</v>
      </c>
      <c r="R409">
        <f t="shared" si="976"/>
        <v>-116708023.16915594</v>
      </c>
      <c r="S409">
        <f t="shared" si="977"/>
        <v>-1167.0802316915594</v>
      </c>
      <c r="T409">
        <f t="shared" si="978"/>
        <v>-1.1670802316915594</v>
      </c>
    </row>
    <row r="410" spans="1:20" x14ac:dyDescent="0.25">
      <c r="A410" s="5">
        <v>44183</v>
      </c>
      <c r="B410">
        <v>3.6913999999999998</v>
      </c>
      <c r="C410">
        <v>3.8571</v>
      </c>
      <c r="D410">
        <v>3.5453000000000001</v>
      </c>
      <c r="E410">
        <v>3.7652000000000001</v>
      </c>
      <c r="F410">
        <v>7200071.8799999999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0.41051956382296401</v>
      </c>
      <c r="Q410">
        <f t="shared" si="975"/>
        <v>2955770.3676715884</v>
      </c>
      <c r="R410">
        <f t="shared" si="976"/>
        <v>-118231687.52767117</v>
      </c>
      <c r="S410">
        <f t="shared" si="977"/>
        <v>-1182.3168752767117</v>
      </c>
      <c r="T410">
        <f t="shared" si="978"/>
        <v>-1.1823168752767117</v>
      </c>
    </row>
    <row r="411" spans="1:20" x14ac:dyDescent="0.25">
      <c r="A411" s="5">
        <v>44182</v>
      </c>
      <c r="B411">
        <v>3.5339999999999998</v>
      </c>
      <c r="C411">
        <v>3.9990000000000001</v>
      </c>
      <c r="D411">
        <v>3.4340999999999999</v>
      </c>
      <c r="E411">
        <v>3.6913999999999998</v>
      </c>
      <c r="F411">
        <v>14187721.140000001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-8.9042308373164167E-2</v>
      </c>
      <c r="Q411">
        <f t="shared" si="975"/>
        <v>-1263307.4408603404</v>
      </c>
      <c r="R411">
        <f t="shared" si="976"/>
        <v>-121187457.89534277</v>
      </c>
      <c r="S411">
        <f t="shared" si="977"/>
        <v>-1211.8745789534278</v>
      </c>
      <c r="T411">
        <f t="shared" si="978"/>
        <v>-1.2118745789534278</v>
      </c>
    </row>
    <row r="412" spans="1:20" x14ac:dyDescent="0.25">
      <c r="A412" s="5">
        <v>44181</v>
      </c>
      <c r="B412">
        <v>3.3258000000000001</v>
      </c>
      <c r="C412">
        <v>3.5415000000000001</v>
      </c>
      <c r="D412">
        <v>3.2437999999999998</v>
      </c>
      <c r="E412">
        <v>3.5356999999999998</v>
      </c>
      <c r="F412">
        <v>6136094.2199999997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0.96103459858918205</v>
      </c>
      <c r="Q412">
        <f t="shared" si="975"/>
        <v>5896998.8456231002</v>
      </c>
      <c r="R412">
        <f t="shared" si="976"/>
        <v>-119924150.45448242</v>
      </c>
      <c r="S412">
        <f t="shared" si="977"/>
        <v>-1199.2415045448242</v>
      </c>
      <c r="T412">
        <f t="shared" si="978"/>
        <v>-1.1992415045448241</v>
      </c>
    </row>
    <row r="413" spans="1:20" x14ac:dyDescent="0.25">
      <c r="A413" s="5">
        <v>44180</v>
      </c>
      <c r="B413">
        <v>3.4777999999999998</v>
      </c>
      <c r="C413">
        <v>3.5177</v>
      </c>
      <c r="D413">
        <v>3.3054999999999999</v>
      </c>
      <c r="E413">
        <v>3.3292000000000002</v>
      </c>
      <c r="F413">
        <v>5014280.72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-0.7766258246936828</v>
      </c>
      <c r="Q413">
        <f t="shared" si="975"/>
        <v>-3894219.8994156332</v>
      </c>
      <c r="R413">
        <f t="shared" si="976"/>
        <v>-125821149.30010553</v>
      </c>
      <c r="S413">
        <f t="shared" si="977"/>
        <v>-1258.2114930010553</v>
      </c>
      <c r="T413">
        <f t="shared" si="978"/>
        <v>-1.2582114930010553</v>
      </c>
    </row>
    <row r="414" spans="1:20" x14ac:dyDescent="0.25">
      <c r="A414" s="5">
        <v>44179</v>
      </c>
      <c r="B414">
        <v>3.3395999999999999</v>
      </c>
      <c r="C414">
        <v>3.5453999999999999</v>
      </c>
      <c r="D414">
        <v>3.2368000000000001</v>
      </c>
      <c r="E414">
        <v>3.4803000000000002</v>
      </c>
      <c r="F414">
        <v>4313010.6399999997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0.57809462086843966</v>
      </c>
      <c r="Q414">
        <f t="shared" si="975"/>
        <v>2493328.250732346</v>
      </c>
      <c r="R414">
        <f t="shared" si="976"/>
        <v>-121926929.4006899</v>
      </c>
      <c r="S414">
        <f t="shared" si="977"/>
        <v>-1219.2692940068989</v>
      </c>
      <c r="T414">
        <f t="shared" si="978"/>
        <v>-1.219269294006899</v>
      </c>
    </row>
    <row r="415" spans="1:20" x14ac:dyDescent="0.25">
      <c r="A415" s="5">
        <v>44178</v>
      </c>
      <c r="B415">
        <v>3.1223999999999998</v>
      </c>
      <c r="C415">
        <v>3.3675999999999999</v>
      </c>
      <c r="D415">
        <v>3.0720999999999998</v>
      </c>
      <c r="E415">
        <v>3.3439999999999999</v>
      </c>
      <c r="F415">
        <v>3299182.05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0.84027072758037191</v>
      </c>
      <c r="Q415">
        <f t="shared" si="975"/>
        <v>2772206.1015736028</v>
      </c>
      <c r="R415">
        <f t="shared" si="976"/>
        <v>-124420257.65142225</v>
      </c>
      <c r="S415">
        <f t="shared" si="977"/>
        <v>-1244.2025765142225</v>
      </c>
      <c r="T415">
        <f t="shared" si="978"/>
        <v>-1.2442025765142226</v>
      </c>
    </row>
    <row r="416" spans="1:20" x14ac:dyDescent="0.25">
      <c r="A416" s="5">
        <v>44177</v>
      </c>
      <c r="B416">
        <v>2.9617</v>
      </c>
      <c r="C416">
        <v>3.1785000000000001</v>
      </c>
      <c r="D416">
        <v>2.9603000000000002</v>
      </c>
      <c r="E416">
        <v>3.1225000000000001</v>
      </c>
      <c r="F416">
        <v>3887473.39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0.48670944087992613</v>
      </c>
      <c r="Q416">
        <f t="shared" si="975"/>
        <v>1892070.000082491</v>
      </c>
      <c r="R416">
        <f t="shared" si="976"/>
        <v>-127192463.75299585</v>
      </c>
      <c r="S416">
        <f t="shared" si="977"/>
        <v>-1271.9246375299585</v>
      </c>
      <c r="T416">
        <f t="shared" si="978"/>
        <v>-1.2719246375299584</v>
      </c>
    </row>
    <row r="417" spans="1:20" x14ac:dyDescent="0.25">
      <c r="A417" s="5">
        <v>44176</v>
      </c>
      <c r="B417">
        <v>3.2395999999999998</v>
      </c>
      <c r="C417">
        <v>3.2463000000000002</v>
      </c>
      <c r="D417">
        <v>2.91</v>
      </c>
      <c r="E417">
        <v>2.9622999999999999</v>
      </c>
      <c r="F417">
        <v>5099867.62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-0.68896818316979014</v>
      </c>
      <c r="Q417">
        <f t="shared" si="975"/>
        <v>-3513646.5285578417</v>
      </c>
      <c r="R417">
        <f t="shared" si="976"/>
        <v>-129084533.75307834</v>
      </c>
      <c r="S417">
        <f t="shared" si="977"/>
        <v>-1290.8453375307834</v>
      </c>
      <c r="T417">
        <f t="shared" si="978"/>
        <v>-1.2908453375307833</v>
      </c>
    </row>
    <row r="418" spans="1:20" x14ac:dyDescent="0.25">
      <c r="A418" s="5">
        <v>44175</v>
      </c>
      <c r="B418">
        <v>3.3502000000000001</v>
      </c>
      <c r="C418">
        <v>3.3715999999999999</v>
      </c>
      <c r="D418">
        <v>3.1899000000000002</v>
      </c>
      <c r="E418">
        <v>3.2389999999999999</v>
      </c>
      <c r="F418">
        <v>3061345.4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-0.45954870665933112</v>
      </c>
      <c r="Q418">
        <f t="shared" si="975"/>
        <v>-1406837.3192074928</v>
      </c>
      <c r="R418">
        <f t="shared" si="976"/>
        <v>-125570887.2245205</v>
      </c>
      <c r="S418">
        <f t="shared" si="977"/>
        <v>-1255.7088722452052</v>
      </c>
      <c r="T418">
        <f t="shared" si="978"/>
        <v>-1.2557088722452052</v>
      </c>
    </row>
    <row r="419" spans="1:20" x14ac:dyDescent="0.25">
      <c r="A419" s="5">
        <v>44174</v>
      </c>
      <c r="B419">
        <v>3.3007</v>
      </c>
      <c r="C419">
        <v>3.3942999999999999</v>
      </c>
      <c r="D419">
        <v>3.1160000000000001</v>
      </c>
      <c r="E419">
        <v>3.3511000000000002</v>
      </c>
      <c r="F419">
        <v>6530689.4900000002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0.68954365792310657</v>
      </c>
      <c r="Q419">
        <f t="shared" si="975"/>
        <v>4503195.5196945872</v>
      </c>
      <c r="R419">
        <f t="shared" si="976"/>
        <v>-124164049.90531301</v>
      </c>
      <c r="S419">
        <f t="shared" si="977"/>
        <v>-1241.64049905313</v>
      </c>
      <c r="T419">
        <f t="shared" si="978"/>
        <v>-1.24164049905313</v>
      </c>
    </row>
    <row r="420" spans="1:20" x14ac:dyDescent="0.25">
      <c r="A420" s="5">
        <v>44173</v>
      </c>
      <c r="B420">
        <v>3.7568999999999999</v>
      </c>
      <c r="C420">
        <v>3.7618</v>
      </c>
      <c r="D420">
        <v>3.2774999999999999</v>
      </c>
      <c r="E420">
        <v>3.2982</v>
      </c>
      <c r="F420">
        <v>7194477.2599999998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-0.91451579599421784</v>
      </c>
      <c r="Q420">
        <f t="shared" si="975"/>
        <v>-6579463.0981911989</v>
      </c>
      <c r="R420">
        <f t="shared" si="976"/>
        <v>-128667245.4250076</v>
      </c>
      <c r="S420">
        <f t="shared" si="977"/>
        <v>-1286.672454250076</v>
      </c>
      <c r="T420">
        <f t="shared" si="978"/>
        <v>-1.286672454250076</v>
      </c>
    </row>
    <row r="421" spans="1:20" x14ac:dyDescent="0.25">
      <c r="A421" s="5">
        <v>44172</v>
      </c>
      <c r="B421">
        <v>3.6482000000000001</v>
      </c>
      <c r="C421">
        <v>3.8794</v>
      </c>
      <c r="D421">
        <v>3.5617000000000001</v>
      </c>
      <c r="E421">
        <v>3.7574000000000001</v>
      </c>
      <c r="F421">
        <v>5871715.1699999999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0.23197985520931738</v>
      </c>
      <c r="Q421">
        <f t="shared" si="975"/>
        <v>1362119.6349669525</v>
      </c>
      <c r="R421">
        <f t="shared" si="976"/>
        <v>-122087782.32681639</v>
      </c>
      <c r="S421">
        <f t="shared" si="977"/>
        <v>-1220.8778232681639</v>
      </c>
      <c r="T421">
        <f t="shared" si="978"/>
        <v>-1.2208778232681639</v>
      </c>
    </row>
    <row r="422" spans="1:20" x14ac:dyDescent="0.25">
      <c r="A422" s="5">
        <v>44171</v>
      </c>
      <c r="B422">
        <v>3.6785000000000001</v>
      </c>
      <c r="C422">
        <v>3.7894000000000001</v>
      </c>
      <c r="D422">
        <v>3.5068999999999999</v>
      </c>
      <c r="E422">
        <v>3.6482000000000001</v>
      </c>
      <c r="F422">
        <v>3549575.12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3.539823008857025E-4</v>
      </c>
      <c r="Q422">
        <f t="shared" si="975"/>
        <v>1256.4867681442436</v>
      </c>
      <c r="R422">
        <f t="shared" si="976"/>
        <v>-123449901.96178335</v>
      </c>
      <c r="S422">
        <f t="shared" si="977"/>
        <v>-1234.4990196178335</v>
      </c>
      <c r="T422">
        <f t="shared" si="978"/>
        <v>-1.2344990196178336</v>
      </c>
    </row>
    <row r="423" spans="1:20" x14ac:dyDescent="0.25">
      <c r="A423" s="5">
        <v>44170</v>
      </c>
      <c r="B423">
        <v>3.5160999999999998</v>
      </c>
      <c r="C423">
        <v>3.6981999999999999</v>
      </c>
      <c r="D423">
        <v>3.4441999999999999</v>
      </c>
      <c r="E423">
        <v>3.6833999999999998</v>
      </c>
      <c r="F423">
        <v>3897274.16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0.88346456692913267</v>
      </c>
      <c r="Q423">
        <f t="shared" si="975"/>
        <v>3443103.6279684994</v>
      </c>
      <c r="R423">
        <f t="shared" si="976"/>
        <v>-123451158.44855149</v>
      </c>
      <c r="S423">
        <f t="shared" si="977"/>
        <v>-1234.511584485515</v>
      </c>
      <c r="T423">
        <f t="shared" si="978"/>
        <v>-1.234511584485515</v>
      </c>
    </row>
    <row r="424" spans="1:20" x14ac:dyDescent="0.25">
      <c r="A424" s="5">
        <v>44169</v>
      </c>
      <c r="B424">
        <v>3.8811</v>
      </c>
      <c r="C424">
        <v>3.9207000000000001</v>
      </c>
      <c r="D424">
        <v>3.4964</v>
      </c>
      <c r="E424">
        <v>3.516</v>
      </c>
      <c r="F424">
        <v>4748568.18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-0.90761253829837352</v>
      </c>
      <c r="Q424">
        <f t="shared" si="975"/>
        <v>-4309860.0191326877</v>
      </c>
      <c r="R424">
        <f t="shared" si="976"/>
        <v>-126894262.07652</v>
      </c>
      <c r="S424">
        <f t="shared" si="977"/>
        <v>-1268.9426207652</v>
      </c>
      <c r="T424">
        <f t="shared" si="978"/>
        <v>-1.2689426207651999</v>
      </c>
    </row>
    <row r="425" spans="1:20" x14ac:dyDescent="0.25">
      <c r="A425" s="5">
        <v>44168</v>
      </c>
      <c r="B425">
        <v>3.9455</v>
      </c>
      <c r="C425">
        <v>4.0232999999999999</v>
      </c>
      <c r="D425">
        <v>3.7991999999999999</v>
      </c>
      <c r="E425">
        <v>3.8828999999999998</v>
      </c>
      <c r="F425">
        <v>6927498.7599999998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-0.25301204819277201</v>
      </c>
      <c r="Q425">
        <f t="shared" si="975"/>
        <v>-1752740.6501204884</v>
      </c>
      <c r="R425">
        <f t="shared" si="976"/>
        <v>-122584402.05738731</v>
      </c>
      <c r="S425">
        <f t="shared" si="977"/>
        <v>-1225.844020573873</v>
      </c>
      <c r="T425">
        <f t="shared" si="978"/>
        <v>-1.225844020573873</v>
      </c>
    </row>
    <row r="426" spans="1:20" x14ac:dyDescent="0.25">
      <c r="A426" s="5">
        <v>44167</v>
      </c>
      <c r="B426">
        <v>3.5455999999999999</v>
      </c>
      <c r="C426">
        <v>4.17</v>
      </c>
      <c r="D426">
        <v>3.2250999999999999</v>
      </c>
      <c r="E426">
        <v>3.9483999999999999</v>
      </c>
      <c r="F426">
        <v>12004964.16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0.53095565668324685</v>
      </c>
      <c r="Q426">
        <f t="shared" si="975"/>
        <v>6374103.6290316433</v>
      </c>
      <c r="R426">
        <f t="shared" si="976"/>
        <v>-120831661.40726683</v>
      </c>
      <c r="S426">
        <f t="shared" si="977"/>
        <v>-1208.3166140726682</v>
      </c>
      <c r="T426">
        <f t="shared" si="978"/>
        <v>-1.2083166140726682</v>
      </c>
    </row>
    <row r="427" spans="1:20" x14ac:dyDescent="0.25">
      <c r="A427" s="5">
        <v>44166</v>
      </c>
      <c r="B427">
        <v>3.7765</v>
      </c>
      <c r="C427">
        <v>3.9851000000000001</v>
      </c>
      <c r="D427">
        <v>3.3852000000000002</v>
      </c>
      <c r="E427">
        <v>3.55</v>
      </c>
      <c r="F427">
        <v>9910945.0099999998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-0.45057509584930938</v>
      </c>
      <c r="Q427">
        <f t="shared" si="975"/>
        <v>-4465624.997837984</v>
      </c>
      <c r="R427">
        <f t="shared" si="976"/>
        <v>-127205765.03629847</v>
      </c>
      <c r="S427">
        <f t="shared" si="977"/>
        <v>-1272.0576503629848</v>
      </c>
      <c r="T427">
        <f t="shared" si="978"/>
        <v>-1.2720576503629848</v>
      </c>
    </row>
    <row r="428" spans="1:20" x14ac:dyDescent="0.25">
      <c r="A428" s="5">
        <v>44165</v>
      </c>
      <c r="B428">
        <v>3.5524</v>
      </c>
      <c r="C428">
        <v>3.8105000000000002</v>
      </c>
      <c r="D428">
        <v>3.5314999999999999</v>
      </c>
      <c r="E428">
        <v>3.7824</v>
      </c>
      <c r="F428">
        <v>8223965.7699999996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0.79856630824372621</v>
      </c>
      <c r="Q428">
        <f t="shared" si="975"/>
        <v>6567381.9840716729</v>
      </c>
      <c r="R428">
        <f t="shared" si="976"/>
        <v>-122740140.03846048</v>
      </c>
      <c r="S428">
        <f t="shared" si="977"/>
        <v>-1227.4014003846048</v>
      </c>
      <c r="T428">
        <f t="shared" si="978"/>
        <v>-1.2274014003846048</v>
      </c>
    </row>
    <row r="429" spans="1:20" x14ac:dyDescent="0.25">
      <c r="A429" s="5">
        <v>44164</v>
      </c>
      <c r="B429">
        <v>3.4584000000000001</v>
      </c>
      <c r="C429">
        <v>3.5720000000000001</v>
      </c>
      <c r="D429">
        <v>3.36</v>
      </c>
      <c r="E429">
        <v>3.5514000000000001</v>
      </c>
      <c r="F429">
        <v>4758310.51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0.80566037735849116</v>
      </c>
      <c r="Q429">
        <f t="shared" si="975"/>
        <v>3833582.2410754743</v>
      </c>
      <c r="R429">
        <f t="shared" si="976"/>
        <v>-129307522.02253215</v>
      </c>
      <c r="S429">
        <f t="shared" si="977"/>
        <v>-1293.0752202253216</v>
      </c>
      <c r="T429">
        <f t="shared" si="978"/>
        <v>-1.2930752202253215</v>
      </c>
    </row>
    <row r="430" spans="1:20" x14ac:dyDescent="0.25">
      <c r="A430" s="5">
        <v>44163</v>
      </c>
      <c r="B430">
        <v>3.3056999999999999</v>
      </c>
      <c r="C430">
        <v>3.5350000000000001</v>
      </c>
      <c r="D430">
        <v>3.2559</v>
      </c>
      <c r="E430">
        <v>3.4615999999999998</v>
      </c>
      <c r="F430">
        <v>5741069.04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0.47402364743819192</v>
      </c>
      <c r="Q430">
        <f t="shared" si="975"/>
        <v>2721402.4865352791</v>
      </c>
      <c r="R430">
        <f t="shared" si="976"/>
        <v>-133141104.26360762</v>
      </c>
      <c r="S430">
        <f t="shared" si="977"/>
        <v>-1331.4110426360762</v>
      </c>
      <c r="T430">
        <f t="shared" si="978"/>
        <v>-1.3314110426360761</v>
      </c>
    </row>
    <row r="431" spans="1:20" x14ac:dyDescent="0.25">
      <c r="A431" s="5">
        <v>44162</v>
      </c>
      <c r="B431">
        <v>3.4323999999999999</v>
      </c>
      <c r="C431">
        <v>3.5369000000000002</v>
      </c>
      <c r="D431">
        <v>3.1613000000000002</v>
      </c>
      <c r="E431">
        <v>3.3067000000000002</v>
      </c>
      <c r="F431">
        <v>8371281.5899999999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-0.22577209797657083</v>
      </c>
      <c r="Q431">
        <f t="shared" si="975"/>
        <v>-1890001.8073269436</v>
      </c>
      <c r="R431">
        <f t="shared" si="976"/>
        <v>-135862506.7501429</v>
      </c>
      <c r="S431">
        <f t="shared" si="977"/>
        <v>-1358.6250675014289</v>
      </c>
      <c r="T431">
        <f t="shared" si="978"/>
        <v>-1.3586250675014289</v>
      </c>
    </row>
    <row r="432" spans="1:20" x14ac:dyDescent="0.25">
      <c r="A432" s="5">
        <v>44161</v>
      </c>
      <c r="B432">
        <v>3.6747999999999998</v>
      </c>
      <c r="C432">
        <v>3.7684000000000002</v>
      </c>
      <c r="D432">
        <v>3.1</v>
      </c>
      <c r="E432">
        <v>3.43</v>
      </c>
      <c r="F432">
        <v>17185256.239999998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-1.256732495511664E-2</v>
      </c>
      <c r="Q432">
        <f t="shared" si="975"/>
        <v>-215972.69960502593</v>
      </c>
      <c r="R432">
        <f t="shared" si="976"/>
        <v>-133972504.94281596</v>
      </c>
      <c r="S432">
        <f t="shared" si="977"/>
        <v>-1339.7250494281595</v>
      </c>
      <c r="T432">
        <f t="shared" si="978"/>
        <v>-1.3397250494281596</v>
      </c>
    </row>
    <row r="433" spans="1:20" x14ac:dyDescent="0.25">
      <c r="A433" s="5">
        <v>44160</v>
      </c>
      <c r="B433">
        <v>4.0629999999999997</v>
      </c>
      <c r="C433">
        <v>4.2</v>
      </c>
      <c r="D433">
        <v>3.51</v>
      </c>
      <c r="E433">
        <v>3.6772999999999998</v>
      </c>
      <c r="F433">
        <v>11368286.18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-0.51507246376811622</v>
      </c>
      <c r="Q433">
        <f t="shared" si="975"/>
        <v>-5855491.1715536257</v>
      </c>
      <c r="R433">
        <f t="shared" si="976"/>
        <v>-133756532.24321093</v>
      </c>
      <c r="S433">
        <f t="shared" si="977"/>
        <v>-1337.5653224321093</v>
      </c>
      <c r="T433">
        <f t="shared" si="978"/>
        <v>-1.3375653224321093</v>
      </c>
    </row>
    <row r="434" spans="1:20" x14ac:dyDescent="0.25">
      <c r="A434" s="5">
        <v>44159</v>
      </c>
      <c r="B434">
        <v>4.1855000000000002</v>
      </c>
      <c r="C434">
        <v>4.4856999999999996</v>
      </c>
      <c r="D434">
        <v>3.9274</v>
      </c>
      <c r="E434">
        <v>4.0627000000000004</v>
      </c>
      <c r="F434">
        <v>18389409.649999999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-0.51531434712519963</v>
      </c>
      <c r="Q434">
        <f t="shared" si="975"/>
        <v>-9476326.6278075948</v>
      </c>
      <c r="R434">
        <f t="shared" si="976"/>
        <v>-127901041.0716573</v>
      </c>
      <c r="S434">
        <f t="shared" si="977"/>
        <v>-1279.010410716573</v>
      </c>
      <c r="T434">
        <f t="shared" si="978"/>
        <v>-1.279010410716573</v>
      </c>
    </row>
    <row r="435" spans="1:20" x14ac:dyDescent="0.25">
      <c r="A435" s="5">
        <v>44158</v>
      </c>
      <c r="B435">
        <v>3.681</v>
      </c>
      <c r="C435">
        <v>4.2291999999999996</v>
      </c>
      <c r="D435">
        <v>3.6312000000000002</v>
      </c>
      <c r="E435">
        <v>4.1841999999999997</v>
      </c>
      <c r="F435">
        <v>15957690.4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0.84949832775919742</v>
      </c>
      <c r="Q435">
        <f t="shared" si="975"/>
        <v>13556031.309698999</v>
      </c>
      <c r="R435">
        <f t="shared" si="976"/>
        <v>-118424714.4438497</v>
      </c>
      <c r="S435">
        <f t="shared" si="977"/>
        <v>-1184.2471444384969</v>
      </c>
      <c r="T435">
        <f t="shared" si="978"/>
        <v>-1.184247144438497</v>
      </c>
    </row>
    <row r="436" spans="1:20" x14ac:dyDescent="0.25">
      <c r="A436" s="5">
        <v>44157</v>
      </c>
      <c r="B436">
        <v>3.8382000000000001</v>
      </c>
      <c r="C436">
        <v>3.9483000000000001</v>
      </c>
      <c r="D436">
        <v>3.41</v>
      </c>
      <c r="E436">
        <v>3.6762999999999999</v>
      </c>
      <c r="F436">
        <v>11204446.17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-1.0588890953001083E-2</v>
      </c>
      <c r="Q436">
        <f t="shared" si="975"/>
        <v>-118642.65868290063</v>
      </c>
      <c r="R436">
        <f t="shared" si="976"/>
        <v>-131980745.7535487</v>
      </c>
      <c r="S436">
        <f t="shared" si="977"/>
        <v>-1319.8074575354869</v>
      </c>
      <c r="T436">
        <f t="shared" si="978"/>
        <v>-1.319807457535487</v>
      </c>
    </row>
    <row r="437" spans="1:20" x14ac:dyDescent="0.25">
      <c r="A437" s="5">
        <v>44156</v>
      </c>
      <c r="B437">
        <v>3.8573</v>
      </c>
      <c r="C437">
        <v>3.94</v>
      </c>
      <c r="D437">
        <v>3.5891999999999999</v>
      </c>
      <c r="E437">
        <v>3.8365999999999998</v>
      </c>
      <c r="F437">
        <v>15599791.130000001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0.41049030786773</v>
      </c>
      <c r="Q437">
        <f t="shared" si="975"/>
        <v>6403563.0636259839</v>
      </c>
      <c r="R437">
        <f t="shared" si="976"/>
        <v>-131862103.0948658</v>
      </c>
      <c r="S437">
        <f t="shared" si="977"/>
        <v>-1318.621030948658</v>
      </c>
      <c r="T437">
        <f t="shared" si="978"/>
        <v>-1.3186210309486581</v>
      </c>
    </row>
    <row r="438" spans="1:20" x14ac:dyDescent="0.25">
      <c r="A438" s="5">
        <v>44155</v>
      </c>
      <c r="B438">
        <v>3.7446999999999999</v>
      </c>
      <c r="C438">
        <v>4.0899000000000001</v>
      </c>
      <c r="D438">
        <v>3.6764000000000001</v>
      </c>
      <c r="E438">
        <v>3.8552</v>
      </c>
      <c r="F438">
        <v>16998990.390000001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-0.13518742442563553</v>
      </c>
      <c r="Q438">
        <f t="shared" si="975"/>
        <v>-2298049.7286602296</v>
      </c>
      <c r="R438">
        <f t="shared" si="976"/>
        <v>-138265666.15849179</v>
      </c>
      <c r="S438">
        <f t="shared" si="977"/>
        <v>-1382.6566615849179</v>
      </c>
      <c r="T438">
        <f t="shared" si="978"/>
        <v>-1.3826566615849178</v>
      </c>
    </row>
    <row r="439" spans="1:20" x14ac:dyDescent="0.25">
      <c r="A439" s="5">
        <v>44154</v>
      </c>
      <c r="B439">
        <v>3.4622000000000002</v>
      </c>
      <c r="C439">
        <v>3.89</v>
      </c>
      <c r="D439">
        <v>3.2092999999999998</v>
      </c>
      <c r="E439">
        <v>3.7416999999999998</v>
      </c>
      <c r="F439">
        <v>18721726.030000001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0.56427207286616643</v>
      </c>
      <c r="Q439">
        <f t="shared" si="975"/>
        <v>10564147.154580565</v>
      </c>
      <c r="R439">
        <f t="shared" si="976"/>
        <v>-135967616.42983156</v>
      </c>
      <c r="S439">
        <f t="shared" si="977"/>
        <v>-1359.6761642983156</v>
      </c>
      <c r="T439">
        <f t="shared" si="978"/>
        <v>-1.3596761642983155</v>
      </c>
    </row>
    <row r="440" spans="1:20" x14ac:dyDescent="0.25">
      <c r="A440" s="5">
        <v>44153</v>
      </c>
      <c r="B440">
        <v>3.8134999999999999</v>
      </c>
      <c r="C440">
        <v>3.8498999999999999</v>
      </c>
      <c r="D440">
        <v>3.2709999999999999</v>
      </c>
      <c r="E440">
        <v>3.4607000000000001</v>
      </c>
      <c r="F440">
        <v>15439047.58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-0.34461910519951561</v>
      </c>
      <c r="Q440">
        <f t="shared" si="975"/>
        <v>-5320590.7621523468</v>
      </c>
      <c r="R440">
        <f t="shared" si="976"/>
        <v>-146531763.58441213</v>
      </c>
      <c r="S440">
        <f t="shared" si="977"/>
        <v>-1465.3176358441212</v>
      </c>
      <c r="T440">
        <f t="shared" si="978"/>
        <v>-1.4653176358441213</v>
      </c>
    </row>
    <row r="441" spans="1:20" x14ac:dyDescent="0.25">
      <c r="A441" s="5">
        <v>44152</v>
      </c>
      <c r="B441">
        <v>3.5617999999999999</v>
      </c>
      <c r="C441">
        <v>3.8732000000000002</v>
      </c>
      <c r="D441">
        <v>3.476</v>
      </c>
      <c r="E441">
        <v>3.8104</v>
      </c>
      <c r="F441">
        <v>18165511.870000001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0.68378650553877063</v>
      </c>
      <c r="Q441">
        <f t="shared" si="975"/>
        <v>12421331.88291036</v>
      </c>
      <c r="R441">
        <f t="shared" si="976"/>
        <v>-141211172.82225978</v>
      </c>
      <c r="S441">
        <f t="shared" si="977"/>
        <v>-1412.1117282225978</v>
      </c>
      <c r="T441">
        <f t="shared" si="978"/>
        <v>-1.4121117282225977</v>
      </c>
    </row>
    <row r="442" spans="1:20" x14ac:dyDescent="0.25">
      <c r="A442" s="5">
        <v>44151</v>
      </c>
      <c r="B442">
        <v>3.8471000000000002</v>
      </c>
      <c r="C442">
        <v>3.95</v>
      </c>
      <c r="D442">
        <v>3.45</v>
      </c>
      <c r="E442">
        <v>3.5634000000000001</v>
      </c>
      <c r="F442">
        <v>24094608.27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-0.54640000000000022</v>
      </c>
      <c r="Q442">
        <f t="shared" si="975"/>
        <v>-13165293.958728004</v>
      </c>
      <c r="R442">
        <f t="shared" si="976"/>
        <v>-153632504.70517015</v>
      </c>
      <c r="S442">
        <f t="shared" si="977"/>
        <v>-1536.3250470517016</v>
      </c>
      <c r="T442">
        <f t="shared" si="978"/>
        <v>-1.5363250470517016</v>
      </c>
    </row>
    <row r="443" spans="1:20" x14ac:dyDescent="0.25">
      <c r="A443" s="5">
        <v>44150</v>
      </c>
      <c r="B443">
        <v>3.8127</v>
      </c>
      <c r="C443">
        <v>4.2496999999999998</v>
      </c>
      <c r="D443">
        <v>3.6143000000000001</v>
      </c>
      <c r="E443">
        <v>3.8458000000000001</v>
      </c>
      <c r="F443">
        <v>23584006.780000001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-0.27132514951211795</v>
      </c>
      <c r="Q443">
        <f t="shared" si="975"/>
        <v>-6398934.1656783037</v>
      </c>
      <c r="R443">
        <f t="shared" si="976"/>
        <v>-140467210.74644214</v>
      </c>
      <c r="S443">
        <f t="shared" si="977"/>
        <v>-1404.6721074644213</v>
      </c>
      <c r="T443">
        <f t="shared" si="978"/>
        <v>-1.4046721074644213</v>
      </c>
    </row>
    <row r="444" spans="1:20" x14ac:dyDescent="0.25">
      <c r="A444" s="5">
        <v>44149</v>
      </c>
      <c r="B444">
        <v>3.8578000000000001</v>
      </c>
      <c r="C444">
        <v>3.968</v>
      </c>
      <c r="D444">
        <v>3.5112999999999999</v>
      </c>
      <c r="E444">
        <v>3.8165</v>
      </c>
      <c r="F444">
        <v>22324085.899999999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0.33654477775344893</v>
      </c>
      <c r="Q444">
        <f t="shared" si="975"/>
        <v>7513054.5277644023</v>
      </c>
      <c r="R444">
        <f t="shared" si="976"/>
        <v>-134068276.58076385</v>
      </c>
      <c r="S444">
        <f t="shared" si="977"/>
        <v>-1340.6827658076384</v>
      </c>
      <c r="T444">
        <f t="shared" si="978"/>
        <v>-1.3406827658076383</v>
      </c>
    </row>
    <row r="445" spans="1:20" x14ac:dyDescent="0.25">
      <c r="A445" s="5">
        <v>44148</v>
      </c>
      <c r="B445">
        <v>2.9594</v>
      </c>
      <c r="C445">
        <v>3.9859</v>
      </c>
      <c r="D445">
        <v>2.9350000000000001</v>
      </c>
      <c r="E445">
        <v>3.8614000000000002</v>
      </c>
      <c r="F445">
        <v>24145430.649999999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0.76306023408507029</v>
      </c>
      <c r="Q445">
        <f t="shared" si="975"/>
        <v>18424417.96387383</v>
      </c>
      <c r="R445">
        <f t="shared" si="976"/>
        <v>-141581331.10852826</v>
      </c>
      <c r="S445">
        <f t="shared" si="977"/>
        <v>-1415.8133110852825</v>
      </c>
      <c r="T445">
        <f t="shared" si="978"/>
        <v>-1.4158133110852824</v>
      </c>
    </row>
    <row r="446" spans="1:20" x14ac:dyDescent="0.25">
      <c r="A446" s="5">
        <v>44147</v>
      </c>
      <c r="B446">
        <v>2.9308999999999998</v>
      </c>
      <c r="C446">
        <v>3.1387</v>
      </c>
      <c r="D446">
        <v>2.8332999999999999</v>
      </c>
      <c r="E446">
        <v>2.9582000000000002</v>
      </c>
      <c r="F446">
        <v>9926182.6899999995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-0.18205631958087631</v>
      </c>
      <c r="Q446">
        <f t="shared" si="975"/>
        <v>-1807124.2880288025</v>
      </c>
      <c r="R446">
        <f t="shared" si="976"/>
        <v>-160005749.07240209</v>
      </c>
      <c r="S446">
        <f t="shared" si="977"/>
        <v>-1600.0574907240209</v>
      </c>
      <c r="T446">
        <f t="shared" si="978"/>
        <v>-1.6000574907240208</v>
      </c>
    </row>
    <row r="447" spans="1:20" x14ac:dyDescent="0.25">
      <c r="A447" s="5">
        <v>44146</v>
      </c>
      <c r="B447">
        <v>3.0771999999999999</v>
      </c>
      <c r="C447">
        <v>3.2161</v>
      </c>
      <c r="D447">
        <v>2.8721000000000001</v>
      </c>
      <c r="E447">
        <v>2.9308000000000001</v>
      </c>
      <c r="F447">
        <v>12850038.449999999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-0.65872093023255818</v>
      </c>
      <c r="Q447">
        <f t="shared" si="975"/>
        <v>-8464589.2813081387</v>
      </c>
      <c r="R447">
        <f t="shared" si="976"/>
        <v>-158198624.78437328</v>
      </c>
      <c r="S447">
        <f t="shared" si="977"/>
        <v>-1581.9862478437328</v>
      </c>
      <c r="T447">
        <f t="shared" si="978"/>
        <v>-1.5819862478437328</v>
      </c>
    </row>
    <row r="448" spans="1:20" x14ac:dyDescent="0.25">
      <c r="A448" s="5">
        <v>44145</v>
      </c>
      <c r="B448">
        <v>2.6791999999999998</v>
      </c>
      <c r="C448">
        <v>3.1766000000000001</v>
      </c>
      <c r="D448">
        <v>2.6267</v>
      </c>
      <c r="E448">
        <v>3.0758999999999999</v>
      </c>
      <c r="F448">
        <v>16785491.420000002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0.63375159119839886</v>
      </c>
      <c r="Q448">
        <f t="shared" si="975"/>
        <v>10637831.896472072</v>
      </c>
      <c r="R448">
        <f t="shared" si="976"/>
        <v>-149734035.50306514</v>
      </c>
      <c r="S448">
        <f t="shared" si="977"/>
        <v>-1497.3403550306514</v>
      </c>
      <c r="T448">
        <f t="shared" si="978"/>
        <v>-1.4973403550306514</v>
      </c>
    </row>
    <row r="449" spans="1:20" x14ac:dyDescent="0.25">
      <c r="A449" s="5">
        <v>44144</v>
      </c>
      <c r="B449">
        <v>2.8624999999999998</v>
      </c>
      <c r="C449">
        <v>2.8784999999999998</v>
      </c>
      <c r="D449">
        <v>2.5731000000000002</v>
      </c>
      <c r="E449">
        <v>2.6821999999999999</v>
      </c>
      <c r="F449">
        <v>11032888.1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-0.28552717747216849</v>
      </c>
      <c r="Q449">
        <f t="shared" si="975"/>
        <v>-3150189.3985592755</v>
      </c>
      <c r="R449">
        <f t="shared" si="976"/>
        <v>-160371867.39953721</v>
      </c>
      <c r="S449">
        <f t="shared" si="977"/>
        <v>-1603.718673995372</v>
      </c>
      <c r="T449">
        <f t="shared" si="978"/>
        <v>-1.6037186739953719</v>
      </c>
    </row>
    <row r="450" spans="1:20" x14ac:dyDescent="0.25">
      <c r="A450" s="5">
        <v>44143</v>
      </c>
      <c r="B450">
        <v>2.4754999999999998</v>
      </c>
      <c r="C450">
        <v>2.9228999999999998</v>
      </c>
      <c r="D450">
        <v>2.4317000000000002</v>
      </c>
      <c r="E450">
        <v>2.8653</v>
      </c>
      <c r="F450">
        <v>13015901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0.7654723127035834</v>
      </c>
      <c r="Q450">
        <f t="shared" si="975"/>
        <v>9963311.8403908834</v>
      </c>
      <c r="R450">
        <f t="shared" si="976"/>
        <v>-157221678.00097793</v>
      </c>
      <c r="S450">
        <f t="shared" si="977"/>
        <v>-1572.2167800097793</v>
      </c>
      <c r="T450">
        <f t="shared" si="978"/>
        <v>-1.5722167800097793</v>
      </c>
    </row>
    <row r="451" spans="1:20" x14ac:dyDescent="0.25">
      <c r="A451" s="5">
        <v>44142</v>
      </c>
      <c r="B451">
        <v>2.5680999999999998</v>
      </c>
      <c r="C451">
        <v>3.0287000000000002</v>
      </c>
      <c r="D451">
        <v>2.4220000000000002</v>
      </c>
      <c r="E451">
        <v>2.4754999999999998</v>
      </c>
      <c r="F451">
        <v>38120411.719999999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-0.82363606395253119</v>
      </c>
      <c r="Q451">
        <f t="shared" si="975"/>
        <v>-31397345.86531074</v>
      </c>
      <c r="R451">
        <f t="shared" si="976"/>
        <v>-167184989.84136882</v>
      </c>
      <c r="S451">
        <f t="shared" si="977"/>
        <v>-1671.8498984136882</v>
      </c>
      <c r="T451">
        <f t="shared" si="978"/>
        <v>-1.6718498984136883</v>
      </c>
    </row>
    <row r="452" spans="1:20" x14ac:dyDescent="0.25">
      <c r="A452" s="5">
        <v>44141</v>
      </c>
      <c r="B452">
        <v>2.1892</v>
      </c>
      <c r="C452">
        <v>2.6877</v>
      </c>
      <c r="D452">
        <v>2.1735000000000002</v>
      </c>
      <c r="E452">
        <v>2.5657000000000001</v>
      </c>
      <c r="F452">
        <v>29787141.52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0.5254764683002725</v>
      </c>
      <c r="Q452">
        <f t="shared" si="975"/>
        <v>15652441.92669001</v>
      </c>
      <c r="R452">
        <f t="shared" si="976"/>
        <v>-135787643.9760581</v>
      </c>
      <c r="S452">
        <f t="shared" si="977"/>
        <v>-1357.876439760581</v>
      </c>
      <c r="T452">
        <f t="shared" si="978"/>
        <v>-1.3578764397605809</v>
      </c>
    </row>
    <row r="453" spans="1:20" x14ac:dyDescent="0.25">
      <c r="A453" s="5">
        <v>44140</v>
      </c>
      <c r="B453">
        <v>1.9271</v>
      </c>
      <c r="C453">
        <v>2.431</v>
      </c>
      <c r="D453">
        <v>1.7563</v>
      </c>
      <c r="E453">
        <v>2.1901000000000002</v>
      </c>
      <c r="F453">
        <v>30375798.469999999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0.28590484659848864</v>
      </c>
      <c r="Q453">
        <f t="shared" si="975"/>
        <v>8684588.0018719546</v>
      </c>
      <c r="R453">
        <f t="shared" si="976"/>
        <v>-151440085.90274811</v>
      </c>
      <c r="S453">
        <f t="shared" si="977"/>
        <v>-1514.4008590274811</v>
      </c>
      <c r="T453">
        <f t="shared" si="978"/>
        <v>-1.5144008590274811</v>
      </c>
    </row>
    <row r="454" spans="1:20" x14ac:dyDescent="0.25">
      <c r="A454" s="5">
        <v>44139</v>
      </c>
      <c r="B454">
        <v>2.1360000000000001</v>
      </c>
      <c r="C454">
        <v>2.1663999999999999</v>
      </c>
      <c r="D454">
        <v>1.8757999999999999</v>
      </c>
      <c r="E454">
        <v>1.9280999999999999</v>
      </c>
      <c r="F454">
        <v>10088117.380000001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-0.64005505849965572</v>
      </c>
      <c r="Q454">
        <f t="shared" ref="Q454:Q517" si="980">F454*P454</f>
        <v>-6456950.559807294</v>
      </c>
      <c r="R454">
        <f t="shared" ref="R454:R517" si="981">R455+Q454</f>
        <v>-160124673.90462005</v>
      </c>
      <c r="S454">
        <f t="shared" ref="S454:S517" si="982">R454/100000</f>
        <v>-1601.2467390462004</v>
      </c>
      <c r="T454">
        <f t="shared" ref="T454:T517" si="983">S454/1000</f>
        <v>-1.6012467390462004</v>
      </c>
    </row>
    <row r="455" spans="1:20" x14ac:dyDescent="0.25">
      <c r="A455" s="5">
        <v>44138</v>
      </c>
      <c r="B455">
        <v>2.2526000000000002</v>
      </c>
      <c r="C455">
        <v>2.2810000000000001</v>
      </c>
      <c r="D455">
        <v>2.0554000000000001</v>
      </c>
      <c r="E455">
        <v>2.1379999999999999</v>
      </c>
      <c r="F455">
        <v>7235337.3300000001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-0.26773049645390268</v>
      </c>
      <c r="Q455">
        <f t="shared" si="980"/>
        <v>-1937120.4553723547</v>
      </c>
      <c r="R455">
        <f t="shared" si="981"/>
        <v>-153667723.34481275</v>
      </c>
      <c r="S455">
        <f t="shared" si="982"/>
        <v>-1536.6772334481275</v>
      </c>
      <c r="T455">
        <f t="shared" si="983"/>
        <v>-1.5366772334481276</v>
      </c>
    </row>
    <row r="456" spans="1:20" x14ac:dyDescent="0.25">
      <c r="A456" s="5">
        <v>44137</v>
      </c>
      <c r="B456">
        <v>2.3763999999999998</v>
      </c>
      <c r="C456">
        <v>2.4540999999999999</v>
      </c>
      <c r="D456">
        <v>2.2227999999999999</v>
      </c>
      <c r="E456">
        <v>2.254</v>
      </c>
      <c r="F456">
        <v>6033645.4900000002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-0.73022049286640633</v>
      </c>
      <c r="Q456">
        <f t="shared" si="980"/>
        <v>-4405891.5834889701</v>
      </c>
      <c r="R456">
        <f t="shared" si="981"/>
        <v>-151730602.88944039</v>
      </c>
      <c r="S456">
        <f t="shared" si="982"/>
        <v>-1517.3060288944039</v>
      </c>
      <c r="T456">
        <f t="shared" si="983"/>
        <v>-1.5173060288944038</v>
      </c>
    </row>
    <row r="457" spans="1:20" x14ac:dyDescent="0.25">
      <c r="A457" s="5">
        <v>44136</v>
      </c>
      <c r="B457">
        <v>2.2648000000000001</v>
      </c>
      <c r="C457">
        <v>2.4537</v>
      </c>
      <c r="D457">
        <v>2.2189999999999999</v>
      </c>
      <c r="E457">
        <v>2.3765000000000001</v>
      </c>
      <c r="F457">
        <v>5706748.8300000001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0.34213890072432984</v>
      </c>
      <c r="Q457">
        <f t="shared" si="980"/>
        <v>1952500.7714060554</v>
      </c>
      <c r="R457">
        <f t="shared" si="981"/>
        <v>-147324711.30595142</v>
      </c>
      <c r="S457">
        <f t="shared" si="982"/>
        <v>-1473.2471130595143</v>
      </c>
      <c r="T457">
        <f t="shared" si="983"/>
        <v>-1.4732471130595142</v>
      </c>
    </row>
    <row r="458" spans="1:20" x14ac:dyDescent="0.25">
      <c r="A458" s="5">
        <v>44135</v>
      </c>
      <c r="B458">
        <v>2.4136000000000002</v>
      </c>
      <c r="C458">
        <v>2.4138000000000002</v>
      </c>
      <c r="D458">
        <v>2.2400000000000002</v>
      </c>
      <c r="E458">
        <v>2.2662</v>
      </c>
      <c r="F458">
        <v>4373032.59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-0.69850402761795416</v>
      </c>
      <c r="Q458">
        <f t="shared" si="980"/>
        <v>-3054580.8770195735</v>
      </c>
      <c r="R458">
        <f t="shared" si="981"/>
        <v>-149277212.07735747</v>
      </c>
      <c r="S458">
        <f t="shared" si="982"/>
        <v>-1492.7721207735747</v>
      </c>
      <c r="T458">
        <f t="shared" si="983"/>
        <v>-1.4927721207735747</v>
      </c>
    </row>
    <row r="459" spans="1:20" x14ac:dyDescent="0.25">
      <c r="A459" s="5">
        <v>44134</v>
      </c>
      <c r="B459">
        <v>2.5388000000000002</v>
      </c>
      <c r="C459">
        <v>2.5663</v>
      </c>
      <c r="D459">
        <v>2.2330000000000001</v>
      </c>
      <c r="E459">
        <v>2.4134000000000002</v>
      </c>
      <c r="F459">
        <v>11811039.439999999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8.2508250825083437E-2</v>
      </c>
      <c r="Q459">
        <f t="shared" si="980"/>
        <v>974508.20462047297</v>
      </c>
      <c r="R459">
        <f t="shared" si="981"/>
        <v>-146222631.20033789</v>
      </c>
      <c r="S459">
        <f t="shared" si="982"/>
        <v>-1462.2263120033788</v>
      </c>
      <c r="T459">
        <f t="shared" si="983"/>
        <v>-1.4622263120033787</v>
      </c>
    </row>
    <row r="460" spans="1:20" x14ac:dyDescent="0.25">
      <c r="A460" s="5">
        <v>44133</v>
      </c>
      <c r="B460">
        <v>2.6594000000000002</v>
      </c>
      <c r="C460">
        <v>2.7395</v>
      </c>
      <c r="D460">
        <v>2.4864000000000002</v>
      </c>
      <c r="E460">
        <v>2.5390999999999999</v>
      </c>
      <c r="F460">
        <v>4388799.1399999997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-0.58356380877123848</v>
      </c>
      <c r="Q460">
        <f t="shared" si="980"/>
        <v>-2561144.3420703355</v>
      </c>
      <c r="R460">
        <f t="shared" si="981"/>
        <v>-147197139.40495837</v>
      </c>
      <c r="S460">
        <f t="shared" si="982"/>
        <v>-1471.9713940495838</v>
      </c>
      <c r="T460">
        <f t="shared" si="983"/>
        <v>-1.4719713940495838</v>
      </c>
    </row>
    <row r="461" spans="1:20" x14ac:dyDescent="0.25">
      <c r="A461" s="5">
        <v>44132</v>
      </c>
      <c r="B461">
        <v>2.8086000000000002</v>
      </c>
      <c r="C461">
        <v>2.8593000000000002</v>
      </c>
      <c r="D461">
        <v>2.5952000000000002</v>
      </c>
      <c r="E461">
        <v>2.6610999999999998</v>
      </c>
      <c r="F461">
        <v>6456512.2599999998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-0.50094661113214978</v>
      </c>
      <c r="Q461">
        <f t="shared" si="980"/>
        <v>-3234367.9363801773</v>
      </c>
      <c r="R461">
        <f t="shared" si="981"/>
        <v>-144635995.06288803</v>
      </c>
      <c r="S461">
        <f t="shared" si="982"/>
        <v>-1446.3599506288804</v>
      </c>
      <c r="T461">
        <f t="shared" si="983"/>
        <v>-1.4463599506288805</v>
      </c>
    </row>
    <row r="462" spans="1:20" x14ac:dyDescent="0.25">
      <c r="A462" s="5">
        <v>44131</v>
      </c>
      <c r="B462">
        <v>2.7109000000000001</v>
      </c>
      <c r="C462">
        <v>2.9131</v>
      </c>
      <c r="D462">
        <v>2.6991999999999998</v>
      </c>
      <c r="E462">
        <v>2.8096000000000001</v>
      </c>
      <c r="F462">
        <v>7266259.3099999996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3.2258064516130641E-2</v>
      </c>
      <c r="Q462">
        <f t="shared" si="980"/>
        <v>234395.46161291489</v>
      </c>
      <c r="R462">
        <f t="shared" si="981"/>
        <v>-141401627.12650785</v>
      </c>
      <c r="S462">
        <f t="shared" si="982"/>
        <v>-1414.0162712650786</v>
      </c>
      <c r="T462">
        <f t="shared" si="983"/>
        <v>-1.4140162712650786</v>
      </c>
    </row>
    <row r="463" spans="1:20" x14ac:dyDescent="0.25">
      <c r="A463" s="5">
        <v>44130</v>
      </c>
      <c r="B463">
        <v>2.7717000000000001</v>
      </c>
      <c r="C463">
        <v>2.8780000000000001</v>
      </c>
      <c r="D463">
        <v>2.52</v>
      </c>
      <c r="E463">
        <v>2.7113999999999998</v>
      </c>
      <c r="F463">
        <v>7181296.4900000002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6.927374301675833E-2</v>
      </c>
      <c r="Q463">
        <f t="shared" si="980"/>
        <v>497475.28757540864</v>
      </c>
      <c r="R463">
        <f t="shared" si="981"/>
        <v>-141636022.58812076</v>
      </c>
      <c r="S463">
        <f t="shared" si="982"/>
        <v>-1416.3602258812075</v>
      </c>
      <c r="T463">
        <f t="shared" si="983"/>
        <v>-1.4163602258812076</v>
      </c>
    </row>
    <row r="464" spans="1:20" x14ac:dyDescent="0.25">
      <c r="A464" s="5">
        <v>44129</v>
      </c>
      <c r="B464">
        <v>2.9390000000000001</v>
      </c>
      <c r="C464">
        <v>2.9660000000000002</v>
      </c>
      <c r="D464">
        <v>2.7101000000000002</v>
      </c>
      <c r="E464">
        <v>2.7726000000000002</v>
      </c>
      <c r="F464">
        <v>4908494.6100000003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-0.51152794060179763</v>
      </c>
      <c r="Q464">
        <f t="shared" si="980"/>
        <v>-2510832.1393083241</v>
      </c>
      <c r="R464">
        <f t="shared" si="981"/>
        <v>-142133497.87569615</v>
      </c>
      <c r="S464">
        <f t="shared" si="982"/>
        <v>-1421.3349787569616</v>
      </c>
      <c r="T464">
        <f t="shared" si="983"/>
        <v>-1.4213349787569616</v>
      </c>
    </row>
    <row r="465" spans="1:20" x14ac:dyDescent="0.25">
      <c r="A465" s="5">
        <v>44128</v>
      </c>
      <c r="B465">
        <v>3.0123000000000002</v>
      </c>
      <c r="C465">
        <v>3.085</v>
      </c>
      <c r="D465">
        <v>2.9272</v>
      </c>
      <c r="E465">
        <v>2.9399000000000002</v>
      </c>
      <c r="F465">
        <v>3415735.11</v>
      </c>
      <c r="G465">
        <v>0</v>
      </c>
      <c r="L465" t="s">
        <v>8</v>
      </c>
      <c r="M465" t="s">
        <v>7</v>
      </c>
      <c r="N465" t="s">
        <v>8</v>
      </c>
      <c r="P465">
        <f t="shared" si="979"/>
        <v>-0.83903675538656319</v>
      </c>
      <c r="Q465">
        <f t="shared" si="980"/>
        <v>-2865927.3039543652</v>
      </c>
      <c r="R465">
        <f t="shared" si="981"/>
        <v>-139622665.73638782</v>
      </c>
      <c r="S465">
        <f t="shared" si="982"/>
        <v>-1396.2266573638783</v>
      </c>
      <c r="T465">
        <f t="shared" si="983"/>
        <v>-1.3962266573638784</v>
      </c>
    </row>
    <row r="466" spans="1:20" x14ac:dyDescent="0.25">
      <c r="A466" s="5">
        <v>44127</v>
      </c>
      <c r="B466">
        <v>3.0417999999999998</v>
      </c>
      <c r="C466">
        <v>3.1219000000000001</v>
      </c>
      <c r="D466">
        <v>2.9621</v>
      </c>
      <c r="E466">
        <v>3.0110000000000001</v>
      </c>
      <c r="F466">
        <v>4318812.1600000001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-0.38798498122653174</v>
      </c>
      <c r="Q466">
        <f t="shared" si="980"/>
        <v>-1675634.254818517</v>
      </c>
      <c r="R466">
        <f t="shared" si="981"/>
        <v>-136756738.43243346</v>
      </c>
      <c r="S466">
        <f t="shared" si="982"/>
        <v>-1367.5673843243346</v>
      </c>
      <c r="T466">
        <f t="shared" si="983"/>
        <v>-1.3675673843243346</v>
      </c>
    </row>
    <row r="467" spans="1:20" x14ac:dyDescent="0.25">
      <c r="A467" s="5">
        <v>44126</v>
      </c>
      <c r="B467">
        <v>2.9359000000000002</v>
      </c>
      <c r="C467">
        <v>3.1484000000000001</v>
      </c>
      <c r="D467">
        <v>2.9194</v>
      </c>
      <c r="E467">
        <v>3.0432000000000001</v>
      </c>
      <c r="F467">
        <v>5420844.9299999997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8.1222707423581508E-2</v>
      </c>
      <c r="Q467">
        <f t="shared" si="980"/>
        <v>440295.70173799514</v>
      </c>
      <c r="R467">
        <f t="shared" si="981"/>
        <v>-135081104.17761493</v>
      </c>
      <c r="S467">
        <f t="shared" si="982"/>
        <v>-1350.8110417761493</v>
      </c>
      <c r="T467">
        <f t="shared" si="983"/>
        <v>-1.3508110417761492</v>
      </c>
    </row>
    <row r="468" spans="1:20" x14ac:dyDescent="0.25">
      <c r="A468" s="5">
        <v>44125</v>
      </c>
      <c r="B468">
        <v>2.8582000000000001</v>
      </c>
      <c r="C468">
        <v>3.0884</v>
      </c>
      <c r="D468">
        <v>2.8389000000000002</v>
      </c>
      <c r="E468">
        <v>2.9371</v>
      </c>
      <c r="F468">
        <v>9708638.4199999999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-0.21282565130260594</v>
      </c>
      <c r="Q468">
        <f t="shared" si="980"/>
        <v>-2066247.2949980032</v>
      </c>
      <c r="R468">
        <f t="shared" si="981"/>
        <v>-135521399.87935293</v>
      </c>
      <c r="S468">
        <f t="shared" si="982"/>
        <v>-1355.2139987935293</v>
      </c>
      <c r="T468">
        <f t="shared" si="983"/>
        <v>-1.3552139987935292</v>
      </c>
    </row>
    <row r="469" spans="1:20" x14ac:dyDescent="0.25">
      <c r="A469" s="5">
        <v>44124</v>
      </c>
      <c r="B469">
        <v>3.1703000000000001</v>
      </c>
      <c r="C469">
        <v>3.1909999999999998</v>
      </c>
      <c r="D469">
        <v>2.8008000000000002</v>
      </c>
      <c r="E469">
        <v>2.8582000000000001</v>
      </c>
      <c r="F469">
        <v>9089338.5500000007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-0.70579190158892902</v>
      </c>
      <c r="Q469">
        <f t="shared" si="980"/>
        <v>-6415181.5393900592</v>
      </c>
      <c r="R469">
        <f t="shared" si="981"/>
        <v>-133455152.58435494</v>
      </c>
      <c r="S469">
        <f t="shared" si="982"/>
        <v>-1334.5515258435494</v>
      </c>
      <c r="T469">
        <f t="shared" si="983"/>
        <v>-1.3345515258435494</v>
      </c>
    </row>
    <row r="470" spans="1:20" x14ac:dyDescent="0.25">
      <c r="A470" s="5">
        <v>44123</v>
      </c>
      <c r="B470">
        <v>3.2797000000000001</v>
      </c>
      <c r="C470">
        <v>3.2885</v>
      </c>
      <c r="D470">
        <v>3.11</v>
      </c>
      <c r="E470">
        <v>3.1703000000000001</v>
      </c>
      <c r="F470">
        <v>4410931.55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-0.32436974789915735</v>
      </c>
      <c r="Q470">
        <f t="shared" si="980"/>
        <v>-1430772.7548739393</v>
      </c>
      <c r="R470">
        <f t="shared" si="981"/>
        <v>-127039971.04496488</v>
      </c>
      <c r="S470">
        <f t="shared" si="982"/>
        <v>-1270.3997104496489</v>
      </c>
      <c r="T470">
        <f t="shared" si="983"/>
        <v>-1.2703997104496489</v>
      </c>
    </row>
    <row r="471" spans="1:20" x14ac:dyDescent="0.25">
      <c r="A471" s="5">
        <v>44122</v>
      </c>
      <c r="B471">
        <v>3.0573999999999999</v>
      </c>
      <c r="C471">
        <v>3.2909999999999999</v>
      </c>
      <c r="D471">
        <v>3.0472000000000001</v>
      </c>
      <c r="E471">
        <v>3.2810999999999999</v>
      </c>
      <c r="F471">
        <v>5642285.1900000004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0.91878589007383082</v>
      </c>
      <c r="Q471">
        <f t="shared" si="980"/>
        <v>5184052.0203445442</v>
      </c>
      <c r="R471">
        <f t="shared" si="981"/>
        <v>-125609198.29009093</v>
      </c>
      <c r="S471">
        <f t="shared" si="982"/>
        <v>-1256.0919829009094</v>
      </c>
      <c r="T471">
        <f t="shared" si="983"/>
        <v>-1.2560919829009094</v>
      </c>
    </row>
    <row r="472" spans="1:20" x14ac:dyDescent="0.25">
      <c r="A472" s="5">
        <v>44121</v>
      </c>
      <c r="B472">
        <v>3.0436000000000001</v>
      </c>
      <c r="C472">
        <v>3.1248999999999998</v>
      </c>
      <c r="D472">
        <v>2.9702999999999999</v>
      </c>
      <c r="E472">
        <v>3.0566</v>
      </c>
      <c r="F472">
        <v>5391124.7400000002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0.11642949547218794</v>
      </c>
      <c r="Q472">
        <f t="shared" si="980"/>
        <v>627685.93350583035</v>
      </c>
      <c r="R472">
        <f t="shared" si="981"/>
        <v>-130793250.31043547</v>
      </c>
      <c r="S472">
        <f t="shared" si="982"/>
        <v>-1307.9325031043547</v>
      </c>
      <c r="T472">
        <f t="shared" si="983"/>
        <v>-1.3079325031043547</v>
      </c>
    </row>
    <row r="473" spans="1:20" x14ac:dyDescent="0.25">
      <c r="A473" s="5">
        <v>44120</v>
      </c>
      <c r="B473">
        <v>3.0764999999999998</v>
      </c>
      <c r="C473">
        <v>3.3803000000000001</v>
      </c>
      <c r="D473">
        <v>2.8813</v>
      </c>
      <c r="E473">
        <v>3.0426000000000002</v>
      </c>
      <c r="F473">
        <v>13597633.890000001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-0.35350701402805534</v>
      </c>
      <c r="Q473">
        <f t="shared" si="980"/>
        <v>-4806858.9543005908</v>
      </c>
      <c r="R473">
        <f t="shared" si="981"/>
        <v>-131420936.24394131</v>
      </c>
      <c r="S473">
        <f t="shared" si="982"/>
        <v>-1314.2093624394131</v>
      </c>
      <c r="T473">
        <f t="shared" si="983"/>
        <v>-1.3142093624394131</v>
      </c>
    </row>
    <row r="474" spans="1:20" x14ac:dyDescent="0.25">
      <c r="A474" s="5">
        <v>44119</v>
      </c>
      <c r="B474">
        <v>3.1105</v>
      </c>
      <c r="C474">
        <v>3.1674000000000002</v>
      </c>
      <c r="D474">
        <v>2.915</v>
      </c>
      <c r="E474">
        <v>3.0792999999999999</v>
      </c>
      <c r="F474">
        <v>7895030.5199999996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0.30190174326465746</v>
      </c>
      <c r="Q474">
        <f t="shared" si="980"/>
        <v>2383523.4771156749</v>
      </c>
      <c r="R474">
        <f t="shared" si="981"/>
        <v>-126614077.28964071</v>
      </c>
      <c r="S474">
        <f t="shared" si="982"/>
        <v>-1266.140772896407</v>
      </c>
      <c r="T474">
        <f t="shared" si="983"/>
        <v>-1.2661407728964071</v>
      </c>
    </row>
    <row r="475" spans="1:20" x14ac:dyDescent="0.25">
      <c r="A475" s="5">
        <v>44118</v>
      </c>
      <c r="B475">
        <v>3.3511000000000002</v>
      </c>
      <c r="C475">
        <v>3.44</v>
      </c>
      <c r="D475">
        <v>2.97</v>
      </c>
      <c r="E475">
        <v>3.1122999999999998</v>
      </c>
      <c r="F475">
        <v>11409168.6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-0.39446808510638415</v>
      </c>
      <c r="Q475">
        <f t="shared" si="980"/>
        <v>-4500552.890297886</v>
      </c>
      <c r="R475">
        <f t="shared" si="981"/>
        <v>-128997600.76675639</v>
      </c>
      <c r="S475">
        <f t="shared" si="982"/>
        <v>-1289.9760076675639</v>
      </c>
      <c r="T475">
        <f t="shared" si="983"/>
        <v>-1.2899760076675639</v>
      </c>
    </row>
    <row r="476" spans="1:20" x14ac:dyDescent="0.25">
      <c r="A476" s="5">
        <v>44117</v>
      </c>
      <c r="B476">
        <v>3.4554</v>
      </c>
      <c r="C476">
        <v>3.5</v>
      </c>
      <c r="D476">
        <v>3.2930999999999999</v>
      </c>
      <c r="E476">
        <v>3.3546</v>
      </c>
      <c r="F476">
        <v>5585565.9800000004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-0.40550990816819638</v>
      </c>
      <c r="Q476">
        <f t="shared" si="980"/>
        <v>-2265002.347617202</v>
      </c>
      <c r="R476">
        <f t="shared" si="981"/>
        <v>-124497047.8764585</v>
      </c>
      <c r="S476">
        <f t="shared" si="982"/>
        <v>-1244.9704787645849</v>
      </c>
      <c r="T476">
        <f t="shared" si="983"/>
        <v>-1.2449704787645848</v>
      </c>
    </row>
    <row r="477" spans="1:20" x14ac:dyDescent="0.25">
      <c r="A477" s="5">
        <v>44116</v>
      </c>
      <c r="B477">
        <v>3.36</v>
      </c>
      <c r="C477">
        <v>3.5994000000000002</v>
      </c>
      <c r="D477">
        <v>3.282</v>
      </c>
      <c r="E477">
        <v>3.4599000000000002</v>
      </c>
      <c r="F477">
        <v>8926434.9800000004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0.12098298676748644</v>
      </c>
      <c r="Q477">
        <f t="shared" si="980"/>
        <v>1079946.765066168</v>
      </c>
      <c r="R477">
        <f t="shared" si="981"/>
        <v>-122232045.52884129</v>
      </c>
      <c r="S477">
        <f t="shared" si="982"/>
        <v>-1222.3204552884129</v>
      </c>
      <c r="T477">
        <f t="shared" si="983"/>
        <v>-1.2223204552884128</v>
      </c>
    </row>
    <row r="478" spans="1:20" x14ac:dyDescent="0.25">
      <c r="A478" s="5">
        <v>44115</v>
      </c>
      <c r="B478">
        <v>3.2955999999999999</v>
      </c>
      <c r="C478">
        <v>3.4510000000000001</v>
      </c>
      <c r="D478">
        <v>3.1776</v>
      </c>
      <c r="E478">
        <v>3.3626</v>
      </c>
      <c r="F478">
        <v>8504843.75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0.35332845647403066</v>
      </c>
      <c r="Q478">
        <f t="shared" si="980"/>
        <v>3005003.3147403067</v>
      </c>
      <c r="R478">
        <f t="shared" si="981"/>
        <v>-123311992.29390745</v>
      </c>
      <c r="S478">
        <f t="shared" si="982"/>
        <v>-1233.1199229390745</v>
      </c>
      <c r="T478">
        <f t="shared" si="983"/>
        <v>-1.2331199229390746</v>
      </c>
    </row>
    <row r="479" spans="1:20" x14ac:dyDescent="0.25">
      <c r="A479" s="5">
        <v>44114</v>
      </c>
      <c r="B479">
        <v>3.38</v>
      </c>
      <c r="C479">
        <v>3.6577999999999999</v>
      </c>
      <c r="D479">
        <v>3.2664</v>
      </c>
      <c r="E479">
        <v>3.2989000000000002</v>
      </c>
      <c r="F479">
        <v>10858881.779999999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-0.83392948390393362</v>
      </c>
      <c r="Q479">
        <f t="shared" si="980"/>
        <v>-9055541.6785692275</v>
      </c>
      <c r="R479">
        <f t="shared" si="981"/>
        <v>-126316995.60864775</v>
      </c>
      <c r="S479">
        <f t="shared" si="982"/>
        <v>-1263.1699560864774</v>
      </c>
      <c r="T479">
        <f t="shared" si="983"/>
        <v>-1.2631699560864775</v>
      </c>
    </row>
    <row r="480" spans="1:20" x14ac:dyDescent="0.25">
      <c r="A480" s="5">
        <v>44113</v>
      </c>
      <c r="B480">
        <v>3.3498999999999999</v>
      </c>
      <c r="C480">
        <v>3.6</v>
      </c>
      <c r="D480">
        <v>3.1749000000000001</v>
      </c>
      <c r="E480">
        <v>3.3834</v>
      </c>
      <c r="F480">
        <v>16228659.83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-1.9054340155258098E-2</v>
      </c>
      <c r="Q480">
        <f t="shared" si="980"/>
        <v>-309226.40466479305</v>
      </c>
      <c r="R480">
        <f t="shared" si="981"/>
        <v>-117261453.93007852</v>
      </c>
      <c r="S480">
        <f t="shared" si="982"/>
        <v>-1172.6145393007853</v>
      </c>
      <c r="T480">
        <f t="shared" si="983"/>
        <v>-1.1726145393007852</v>
      </c>
    </row>
    <row r="481" spans="1:20" x14ac:dyDescent="0.25">
      <c r="A481" s="5">
        <v>44112</v>
      </c>
      <c r="B481">
        <v>2.9628999999999999</v>
      </c>
      <c r="C481">
        <v>3.4653999999999998</v>
      </c>
      <c r="D481">
        <v>2.6427999999999998</v>
      </c>
      <c r="E481">
        <v>3.3498999999999999</v>
      </c>
      <c r="F481">
        <v>25679034.969999999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0.71918307804522263</v>
      </c>
      <c r="Q481">
        <f t="shared" si="980"/>
        <v>18467927.410955511</v>
      </c>
      <c r="R481">
        <f t="shared" si="981"/>
        <v>-116952227.52541372</v>
      </c>
      <c r="S481">
        <f t="shared" si="982"/>
        <v>-1169.5222752541372</v>
      </c>
      <c r="T481">
        <f t="shared" si="983"/>
        <v>-1.1695222752541372</v>
      </c>
    </row>
    <row r="482" spans="1:20" x14ac:dyDescent="0.25">
      <c r="A482" s="5">
        <v>44111</v>
      </c>
      <c r="B482">
        <v>2.7143000000000002</v>
      </c>
      <c r="C482">
        <v>3</v>
      </c>
      <c r="D482">
        <v>2.4779</v>
      </c>
      <c r="E482">
        <v>2.9621</v>
      </c>
      <c r="F482">
        <v>24192428.289999999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0.85481708484964547</v>
      </c>
      <c r="Q482">
        <f t="shared" si="980"/>
        <v>20680101.026291892</v>
      </c>
      <c r="R482">
        <f t="shared" si="981"/>
        <v>-135420154.93636924</v>
      </c>
      <c r="S482">
        <f t="shared" si="982"/>
        <v>-1354.2015493636925</v>
      </c>
      <c r="T482">
        <f t="shared" si="983"/>
        <v>-1.3542015493636925</v>
      </c>
    </row>
    <row r="483" spans="1:20" x14ac:dyDescent="0.25">
      <c r="A483" s="5">
        <v>44110</v>
      </c>
      <c r="B483">
        <v>3.319</v>
      </c>
      <c r="C483">
        <v>3.3409</v>
      </c>
      <c r="D483">
        <v>2.63</v>
      </c>
      <c r="E483">
        <v>2.7143000000000002</v>
      </c>
      <c r="F483">
        <v>23504656.670000002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-0.76283584189056053</v>
      </c>
      <c r="Q483">
        <f t="shared" si="980"/>
        <v>-17930194.559208032</v>
      </c>
      <c r="R483">
        <f t="shared" si="981"/>
        <v>-156100255.96266115</v>
      </c>
      <c r="S483">
        <f t="shared" si="982"/>
        <v>-1561.0025596266114</v>
      </c>
      <c r="T483">
        <f t="shared" si="983"/>
        <v>-1.5610025596266115</v>
      </c>
    </row>
    <row r="484" spans="1:20" x14ac:dyDescent="0.25">
      <c r="A484" s="5">
        <v>44109</v>
      </c>
      <c r="B484">
        <v>3.7235</v>
      </c>
      <c r="C484">
        <v>3.8</v>
      </c>
      <c r="D484">
        <v>3.1817000000000002</v>
      </c>
      <c r="E484">
        <v>3.319</v>
      </c>
      <c r="F484">
        <v>14619829.43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-0.55587902312793191</v>
      </c>
      <c r="Q484">
        <f t="shared" si="980"/>
        <v>-8126856.5018453896</v>
      </c>
      <c r="R484">
        <f t="shared" si="981"/>
        <v>-138170061.40345311</v>
      </c>
      <c r="S484">
        <f t="shared" si="982"/>
        <v>-1381.7006140345311</v>
      </c>
      <c r="T484">
        <f t="shared" si="983"/>
        <v>-1.3817006140345311</v>
      </c>
    </row>
    <row r="485" spans="1:20" x14ac:dyDescent="0.25">
      <c r="A485" s="5">
        <v>44108</v>
      </c>
      <c r="B485">
        <v>3.9001000000000001</v>
      </c>
      <c r="C485">
        <v>3.9447000000000001</v>
      </c>
      <c r="D485">
        <v>3.61</v>
      </c>
      <c r="E485">
        <v>3.7262</v>
      </c>
      <c r="F485">
        <v>9253080.7599999998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-0.30564684792351354</v>
      </c>
      <c r="Q485">
        <f t="shared" si="980"/>
        <v>-2828174.9678757088</v>
      </c>
      <c r="R485">
        <f t="shared" si="981"/>
        <v>-130043204.90160771</v>
      </c>
      <c r="S485">
        <f t="shared" si="982"/>
        <v>-1300.4320490160771</v>
      </c>
      <c r="T485">
        <f t="shared" si="983"/>
        <v>-1.3004320490160772</v>
      </c>
    </row>
    <row r="486" spans="1:20" x14ac:dyDescent="0.25">
      <c r="A486" s="5">
        <v>44107</v>
      </c>
      <c r="B486">
        <v>3.89</v>
      </c>
      <c r="C486">
        <v>4.1195000000000004</v>
      </c>
      <c r="D486">
        <v>3.83</v>
      </c>
      <c r="E486">
        <v>3.9041000000000001</v>
      </c>
      <c r="F486">
        <v>6558893.0099999998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-0.48808290155440431</v>
      </c>
      <c r="Q486">
        <f t="shared" si="980"/>
        <v>-3201283.5313057005</v>
      </c>
      <c r="R486">
        <f t="shared" si="981"/>
        <v>-127215029.933732</v>
      </c>
      <c r="S486">
        <f t="shared" si="982"/>
        <v>-1272.1502993373201</v>
      </c>
      <c r="T486">
        <f t="shared" si="983"/>
        <v>-1.2721502993373202</v>
      </c>
    </row>
    <row r="487" spans="1:20" x14ac:dyDescent="0.25">
      <c r="A487" s="5">
        <v>44106</v>
      </c>
      <c r="B487">
        <v>4.2396000000000003</v>
      </c>
      <c r="C487">
        <v>4.2396000000000003</v>
      </c>
      <c r="D487">
        <v>3.569</v>
      </c>
      <c r="E487">
        <v>3.8904000000000001</v>
      </c>
      <c r="F487">
        <v>12414352.91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-4.145541306292877E-2</v>
      </c>
      <c r="Q487">
        <f t="shared" si="980"/>
        <v>-514642.12779302179</v>
      </c>
      <c r="R487">
        <f t="shared" si="981"/>
        <v>-124013746.4024263</v>
      </c>
      <c r="S487">
        <f t="shared" si="982"/>
        <v>-1240.137464024263</v>
      </c>
      <c r="T487">
        <f t="shared" si="983"/>
        <v>-1.2401374640242631</v>
      </c>
    </row>
    <row r="488" spans="1:20" x14ac:dyDescent="0.25">
      <c r="A488" s="5">
        <v>44105</v>
      </c>
      <c r="B488">
        <v>4.1554000000000002</v>
      </c>
      <c r="C488">
        <v>4.5140000000000002</v>
      </c>
      <c r="D488">
        <v>3.9037999999999999</v>
      </c>
      <c r="E488">
        <v>4.2397</v>
      </c>
      <c r="F488">
        <v>18775683.030000001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0.10095050803015379</v>
      </c>
      <c r="Q488">
        <f t="shared" si="980"/>
        <v>1895414.7404916373</v>
      </c>
      <c r="R488">
        <f t="shared" si="981"/>
        <v>-123499104.27463327</v>
      </c>
      <c r="S488">
        <f t="shared" si="982"/>
        <v>-1234.9910427463328</v>
      </c>
      <c r="T488">
        <f t="shared" si="983"/>
        <v>-1.2349910427463329</v>
      </c>
    </row>
    <row r="489" spans="1:20" x14ac:dyDescent="0.25">
      <c r="A489" s="5">
        <v>44104</v>
      </c>
      <c r="B489">
        <v>4.3826000000000001</v>
      </c>
      <c r="C489">
        <v>4.3853999999999997</v>
      </c>
      <c r="D489">
        <v>3.95</v>
      </c>
      <c r="E489">
        <v>4.1554000000000002</v>
      </c>
      <c r="F489">
        <v>8331877.2999999998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-5.6499770326135818E-2</v>
      </c>
      <c r="Q489">
        <f t="shared" si="980"/>
        <v>-470749.1538355446</v>
      </c>
      <c r="R489">
        <f t="shared" si="981"/>
        <v>-125394519.01512492</v>
      </c>
      <c r="S489">
        <f t="shared" si="982"/>
        <v>-1253.9451901512491</v>
      </c>
      <c r="T489">
        <f t="shared" si="983"/>
        <v>-1.2539451901512491</v>
      </c>
    </row>
    <row r="490" spans="1:20" x14ac:dyDescent="0.25">
      <c r="A490" s="5">
        <v>44103</v>
      </c>
      <c r="B490">
        <v>4.2474999999999996</v>
      </c>
      <c r="C490">
        <v>4.4135</v>
      </c>
      <c r="D490">
        <v>4.12</v>
      </c>
      <c r="E490">
        <v>4.3826000000000001</v>
      </c>
      <c r="F490">
        <v>11551787.699999999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0.78943781942078406</v>
      </c>
      <c r="Q490">
        <f t="shared" si="980"/>
        <v>9119418.0922998339</v>
      </c>
      <c r="R490">
        <f t="shared" si="981"/>
        <v>-124923769.86128937</v>
      </c>
      <c r="S490">
        <f t="shared" si="982"/>
        <v>-1249.2376986128936</v>
      </c>
      <c r="T490">
        <f t="shared" si="983"/>
        <v>-1.2492376986128937</v>
      </c>
    </row>
    <row r="491" spans="1:20" x14ac:dyDescent="0.25">
      <c r="A491" s="5">
        <v>44102</v>
      </c>
      <c r="B491">
        <v>4.8460000000000001</v>
      </c>
      <c r="C491">
        <v>4.95</v>
      </c>
      <c r="D491">
        <v>4.18</v>
      </c>
      <c r="E491">
        <v>4.2503000000000002</v>
      </c>
      <c r="F491">
        <v>15753026.48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-0.81740259740259624</v>
      </c>
      <c r="Q491">
        <f t="shared" si="980"/>
        <v>-12876564.761703879</v>
      </c>
      <c r="R491">
        <f t="shared" si="981"/>
        <v>-134043187.9535892</v>
      </c>
      <c r="S491">
        <f t="shared" si="982"/>
        <v>-1340.431879535892</v>
      </c>
      <c r="T491">
        <f t="shared" si="983"/>
        <v>-1.340431879535892</v>
      </c>
    </row>
    <row r="492" spans="1:20" x14ac:dyDescent="0.25">
      <c r="A492" s="5">
        <v>44101</v>
      </c>
      <c r="B492">
        <v>4.8638000000000003</v>
      </c>
      <c r="C492">
        <v>5.2133000000000003</v>
      </c>
      <c r="D492">
        <v>4.7</v>
      </c>
      <c r="E492">
        <v>4.8457999999999997</v>
      </c>
      <c r="F492">
        <v>14663658.99</v>
      </c>
      <c r="G492">
        <v>0</v>
      </c>
      <c r="L492" t="s">
        <v>8</v>
      </c>
      <c r="M492" t="s">
        <v>7</v>
      </c>
      <c r="N492" t="s">
        <v>8</v>
      </c>
      <c r="P492">
        <f t="shared" si="979"/>
        <v>-0.43191116306253863</v>
      </c>
      <c r="Q492">
        <f t="shared" si="980"/>
        <v>-6333398.0091233505</v>
      </c>
      <c r="R492">
        <f t="shared" si="981"/>
        <v>-121166623.19188532</v>
      </c>
      <c r="S492">
        <f t="shared" si="982"/>
        <v>-1211.6662319188533</v>
      </c>
      <c r="T492">
        <f t="shared" si="983"/>
        <v>-1.2116662319188534</v>
      </c>
    </row>
    <row r="493" spans="1:20" x14ac:dyDescent="0.25">
      <c r="A493" s="5">
        <v>44100</v>
      </c>
      <c r="B493">
        <v>4.9134000000000002</v>
      </c>
      <c r="C493">
        <v>4.9897</v>
      </c>
      <c r="D493">
        <v>4.6752000000000002</v>
      </c>
      <c r="E493">
        <v>4.8684000000000003</v>
      </c>
      <c r="F493">
        <v>15021040.65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0.22861685214626501</v>
      </c>
      <c r="Q493">
        <f t="shared" si="980"/>
        <v>3434063.0293640867</v>
      </c>
      <c r="R493">
        <f t="shared" si="981"/>
        <v>-114833225.18276197</v>
      </c>
      <c r="S493">
        <f t="shared" si="982"/>
        <v>-1148.3322518276198</v>
      </c>
      <c r="T493">
        <f t="shared" si="983"/>
        <v>-1.1483322518276198</v>
      </c>
    </row>
    <row r="494" spans="1:20" x14ac:dyDescent="0.25">
      <c r="A494" s="5">
        <v>44099</v>
      </c>
      <c r="B494">
        <v>5.1589999999999998</v>
      </c>
      <c r="C494">
        <v>5.5525000000000002</v>
      </c>
      <c r="D494">
        <v>4.7605000000000004</v>
      </c>
      <c r="E494">
        <v>4.9145000000000003</v>
      </c>
      <c r="F494">
        <v>31809864.620000001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-0.61111111111111127</v>
      </c>
      <c r="Q494">
        <f t="shared" si="980"/>
        <v>-19439361.71222223</v>
      </c>
      <c r="R494">
        <f t="shared" si="981"/>
        <v>-118267288.21212606</v>
      </c>
      <c r="S494">
        <f t="shared" si="982"/>
        <v>-1182.6728821212605</v>
      </c>
      <c r="T494">
        <f t="shared" si="983"/>
        <v>-1.1826728821212604</v>
      </c>
    </row>
    <row r="495" spans="1:20" x14ac:dyDescent="0.25">
      <c r="A495" s="5">
        <v>44098</v>
      </c>
      <c r="B495">
        <v>4.38</v>
      </c>
      <c r="C495">
        <v>5.2888000000000002</v>
      </c>
      <c r="D495">
        <v>4.26</v>
      </c>
      <c r="E495">
        <v>5.1639999999999997</v>
      </c>
      <c r="F495">
        <v>44859170.850000001</v>
      </c>
      <c r="G495">
        <v>0</v>
      </c>
      <c r="L495" t="s">
        <v>7</v>
      </c>
      <c r="M495" t="s">
        <v>7</v>
      </c>
      <c r="N495" t="s">
        <v>8</v>
      </c>
      <c r="P495">
        <f t="shared" si="979"/>
        <v>0.7573872472783818</v>
      </c>
      <c r="Q495">
        <f t="shared" si="980"/>
        <v>33975763.925272129</v>
      </c>
      <c r="R495">
        <f t="shared" si="981"/>
        <v>-98827926.499903828</v>
      </c>
      <c r="S495">
        <f t="shared" si="982"/>
        <v>-988.27926499903833</v>
      </c>
      <c r="T495">
        <f t="shared" si="983"/>
        <v>-0.98827926499903829</v>
      </c>
    </row>
    <row r="496" spans="1:20" x14ac:dyDescent="0.25">
      <c r="A496" s="5">
        <v>44097</v>
      </c>
      <c r="B496">
        <v>3.9079000000000002</v>
      </c>
      <c r="C496">
        <v>5.3475000000000001</v>
      </c>
      <c r="D496">
        <v>3.9007999999999998</v>
      </c>
      <c r="E496">
        <v>4.38</v>
      </c>
      <c r="F496">
        <v>58485584.799999997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-0.33752678509711764</v>
      </c>
      <c r="Q496">
        <f t="shared" si="980"/>
        <v>-19740451.412068848</v>
      </c>
      <c r="R496">
        <f t="shared" si="981"/>
        <v>-132803690.42517595</v>
      </c>
      <c r="S496">
        <f t="shared" si="982"/>
        <v>-1328.0369042517596</v>
      </c>
      <c r="T496">
        <f t="shared" si="983"/>
        <v>-1.3280369042517595</v>
      </c>
    </row>
    <row r="497" spans="1:20" x14ac:dyDescent="0.25">
      <c r="A497" s="5">
        <v>44096</v>
      </c>
      <c r="B497">
        <v>4.2504999999999997</v>
      </c>
      <c r="C497">
        <v>4.5540000000000003</v>
      </c>
      <c r="D497">
        <v>3.6827999999999999</v>
      </c>
      <c r="E497">
        <v>3.9104999999999999</v>
      </c>
      <c r="F497">
        <v>40815724.829999998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-0.47727272727272751</v>
      </c>
      <c r="Q497">
        <f t="shared" si="980"/>
        <v>-19480232.305227283</v>
      </c>
      <c r="R497">
        <f t="shared" si="981"/>
        <v>-113063239.01310711</v>
      </c>
      <c r="S497">
        <f t="shared" si="982"/>
        <v>-1130.6323901310711</v>
      </c>
      <c r="T497">
        <f t="shared" si="983"/>
        <v>-1.1306323901310711</v>
      </c>
    </row>
    <row r="498" spans="1:20" x14ac:dyDescent="0.25">
      <c r="A498" s="5">
        <v>44095</v>
      </c>
      <c r="B498">
        <v>5.22</v>
      </c>
      <c r="C498">
        <v>5.65</v>
      </c>
      <c r="D498">
        <v>4.0599999999999996</v>
      </c>
      <c r="E498">
        <v>4.2470999999999997</v>
      </c>
      <c r="F498">
        <v>56110504.32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-0.76465408805031454</v>
      </c>
      <c r="Q498">
        <f t="shared" si="980"/>
        <v>-42905126.510852836</v>
      </c>
      <c r="R498">
        <f t="shared" si="981"/>
        <v>-93583006.707879826</v>
      </c>
      <c r="S498">
        <f t="shared" si="982"/>
        <v>-935.83006707879827</v>
      </c>
      <c r="T498">
        <f t="shared" si="983"/>
        <v>-0.93583006707879823</v>
      </c>
    </row>
    <row r="499" spans="1:20" x14ac:dyDescent="0.25">
      <c r="A499" s="5">
        <v>44094</v>
      </c>
      <c r="B499">
        <v>5.7244000000000002</v>
      </c>
      <c r="C499">
        <v>6.09</v>
      </c>
      <c r="D499">
        <v>4.6500000000000004</v>
      </c>
      <c r="E499">
        <v>5.2229999999999999</v>
      </c>
      <c r="F499">
        <v>53519725.619999997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-0.20416666666666708</v>
      </c>
      <c r="Q499">
        <f t="shared" si="980"/>
        <v>-10926943.980750022</v>
      </c>
      <c r="R499">
        <f t="shared" si="981"/>
        <v>-50677880.19702699</v>
      </c>
      <c r="S499">
        <f t="shared" si="982"/>
        <v>-506.77880197026991</v>
      </c>
      <c r="T499">
        <f t="shared" si="983"/>
        <v>-0.50677880197026992</v>
      </c>
    </row>
    <row r="500" spans="1:20" x14ac:dyDescent="0.25">
      <c r="A500" s="5">
        <v>44093</v>
      </c>
      <c r="B500">
        <v>6.9</v>
      </c>
      <c r="C500">
        <v>7.4962999999999997</v>
      </c>
      <c r="D500">
        <v>5.19</v>
      </c>
      <c r="E500">
        <v>5.7244000000000002</v>
      </c>
      <c r="F500">
        <v>79814511.659999996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-0.53657373281880072</v>
      </c>
      <c r="Q500">
        <f t="shared" si="980"/>
        <v>-42826370.454515889</v>
      </c>
      <c r="R500">
        <f t="shared" si="981"/>
        <v>-39750936.216276966</v>
      </c>
      <c r="S500">
        <f t="shared" si="982"/>
        <v>-397.50936216276966</v>
      </c>
      <c r="T500">
        <f t="shared" si="983"/>
        <v>-0.39750936216276966</v>
      </c>
    </row>
    <row r="501" spans="1:20" x14ac:dyDescent="0.25">
      <c r="A501" s="5">
        <v>44092</v>
      </c>
      <c r="B501">
        <v>3.4618000000000002</v>
      </c>
      <c r="C501">
        <v>8.6</v>
      </c>
      <c r="D501">
        <v>3.2284999999999999</v>
      </c>
      <c r="E501">
        <v>6.9</v>
      </c>
      <c r="F501">
        <v>167667906.97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0.36702969375407268</v>
      </c>
      <c r="Q501">
        <f t="shared" si="980"/>
        <v>61539100.54758545</v>
      </c>
      <c r="R501">
        <f t="shared" si="981"/>
        <v>3075434.2382389233</v>
      </c>
      <c r="S501">
        <f t="shared" si="982"/>
        <v>30.754342382389233</v>
      </c>
      <c r="T501">
        <f t="shared" si="983"/>
        <v>3.0754342382389232E-2</v>
      </c>
    </row>
    <row r="502" spans="1:20" x14ac:dyDescent="0.25">
      <c r="A502" s="5">
        <v>44091</v>
      </c>
      <c r="B502">
        <v>0.3</v>
      </c>
      <c r="C502">
        <v>15</v>
      </c>
      <c r="D502">
        <v>0.3</v>
      </c>
      <c r="E502">
        <v>3.4617</v>
      </c>
      <c r="F502">
        <v>102597222.59</v>
      </c>
      <c r="G502">
        <v>0</v>
      </c>
      <c r="P502">
        <f t="shared" si="979"/>
        <v>-0.56983673469387752</v>
      </c>
      <c r="Q502">
        <f t="shared" si="980"/>
        <v>-58463666.309346527</v>
      </c>
      <c r="R502">
        <f t="shared" si="981"/>
        <v>-58463666.309346527</v>
      </c>
      <c r="S502">
        <f t="shared" si="982"/>
        <v>-584.63666309346524</v>
      </c>
      <c r="T502">
        <f t="shared" si="983"/>
        <v>-0.58463666309346529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421" zoomScale="90" zoomScaleNormal="90" workbookViewId="0">
      <pane xSplit="4" topLeftCell="DC1" activePane="topRight" state="frozen"/>
      <selection activeCell="A109" sqref="A109"/>
      <selection pane="topRight" activeCell="IF469" sqref="IF46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$A$468</v>
      </c>
      <c r="D111" s="1" t="str">
        <f>ADDRESS(C121-1,D121,1,1)</f>
        <v>$IF$468</v>
      </c>
      <c r="E111"/>
    </row>
    <row r="112" spans="1:5" x14ac:dyDescent="0.25">
      <c r="A112" s="7">
        <v>12164.144957890772</v>
      </c>
      <c r="C112" s="1" t="str">
        <f>ADDRESS(C121,1,1,1)</f>
        <v>$A$469</v>
      </c>
      <c r="D112" s="1" t="str">
        <f>ADDRESS(C121,D121-1,1,1)</f>
        <v>$IE$469</v>
      </c>
      <c r="E112"/>
    </row>
    <row r="113" spans="1:5" x14ac:dyDescent="0.25">
      <c r="A113" s="7">
        <v>11925.63231165762</v>
      </c>
      <c r="C113" s="1" t="str">
        <f>ADDRESS(C121+1,1,1,1)</f>
        <v>$A$470</v>
      </c>
      <c r="D113" s="1" t="str">
        <f>ADDRESS(C121-1,D121+1,1,1)</f>
        <v>$IG$468</v>
      </c>
    </row>
    <row r="114" spans="1:5" x14ac:dyDescent="0.25">
      <c r="A114" s="7">
        <v>11691.796383978059</v>
      </c>
      <c r="C114" s="1" t="str">
        <f>ADDRESS(C121,D121,1,1)</f>
        <v>$IF$469</v>
      </c>
      <c r="D114" s="1" t="str">
        <f>ADDRESS(C121+1,D121+1,1,1)</f>
        <v>$IG$470</v>
      </c>
    </row>
    <row r="115" spans="1:5" x14ac:dyDescent="0.25">
      <c r="A115" s="7">
        <v>11462.545474488292</v>
      </c>
      <c r="C115" s="1" t="str">
        <f>ADDRESS(C121+1,D121,1,1)</f>
        <v>$IF$470</v>
      </c>
    </row>
    <row r="116" spans="1:5" x14ac:dyDescent="0.25">
      <c r="A116" s="7">
        <v>11237.789680870874</v>
      </c>
      <c r="C116" s="1">
        <f>C117-1</f>
        <v>468</v>
      </c>
    </row>
    <row r="117" spans="1:5" x14ac:dyDescent="0.25">
      <c r="A117" s="7">
        <v>11017.440863598895</v>
      </c>
      <c r="C117" s="1">
        <f>C121</f>
        <v>469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470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469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R469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10.34713863341193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126" x14ac:dyDescent="0.25">
      <c r="A385" s="7">
        <v>54.605287232808607</v>
      </c>
      <c r="B385"/>
      <c r="C385"/>
      <c r="D385"/>
      <c r="E385"/>
    </row>
    <row r="386" spans="1:126" x14ac:dyDescent="0.25">
      <c r="A386" s="7">
        <v>53.534595326282947</v>
      </c>
      <c r="B386"/>
      <c r="C386"/>
      <c r="D386"/>
      <c r="E386"/>
    </row>
    <row r="387" spans="1:126" x14ac:dyDescent="0.25">
      <c r="A387" s="7">
        <v>52.484897378708773</v>
      </c>
      <c r="B387"/>
      <c r="C387"/>
      <c r="D387"/>
      <c r="E387"/>
    </row>
    <row r="388" spans="1:126" x14ac:dyDescent="0.25">
      <c r="A388" s="7">
        <v>51.455781743832127</v>
      </c>
      <c r="B388"/>
      <c r="C388"/>
      <c r="D388"/>
      <c r="E388"/>
    </row>
    <row r="389" spans="1:126" x14ac:dyDescent="0.25">
      <c r="A389" s="7">
        <v>50.446844846894244</v>
      </c>
      <c r="B389"/>
      <c r="C389"/>
      <c r="D389"/>
      <c r="E389"/>
    </row>
    <row r="390" spans="1:126" x14ac:dyDescent="0.25">
      <c r="A390" s="7">
        <v>49.457691026366902</v>
      </c>
      <c r="B390"/>
      <c r="C390"/>
      <c r="D390"/>
      <c r="E390"/>
    </row>
    <row r="391" spans="1:126" x14ac:dyDescent="0.25">
      <c r="A391" s="7">
        <v>48.487932378791079</v>
      </c>
      <c r="B391"/>
      <c r="C391"/>
      <c r="D391"/>
      <c r="E391"/>
    </row>
    <row r="392" spans="1:126" x14ac:dyDescent="0.25">
      <c r="A392" s="7">
        <v>47.537188606657921</v>
      </c>
      <c r="B392"/>
      <c r="C392"/>
      <c r="D392"/>
      <c r="E392"/>
    </row>
    <row r="393" spans="1:126" x14ac:dyDescent="0.25">
      <c r="A393" s="7">
        <v>46.605086869272469</v>
      </c>
      <c r="B393"/>
      <c r="C393"/>
      <c r="D393"/>
      <c r="E393"/>
    </row>
    <row r="394" spans="1:126" x14ac:dyDescent="0.25">
      <c r="A394" s="7">
        <v>45.691261636541633</v>
      </c>
      <c r="B394"/>
      <c r="C394"/>
      <c r="D394"/>
      <c r="E394"/>
    </row>
    <row r="395" spans="1:126" x14ac:dyDescent="0.25">
      <c r="A395" s="7">
        <v>44.795354545629053</v>
      </c>
      <c r="B395"/>
      <c r="C395"/>
      <c r="D395"/>
      <c r="E395"/>
      <c r="DO395" s="27" t="s">
        <v>8</v>
      </c>
      <c r="DQ395" s="27" t="s">
        <v>8</v>
      </c>
    </row>
    <row r="396" spans="1:126" x14ac:dyDescent="0.25">
      <c r="A396" s="7">
        <v>43.917014260420636</v>
      </c>
      <c r="B396"/>
      <c r="C396"/>
      <c r="D396"/>
      <c r="E396"/>
      <c r="DM396" s="27" t="s">
        <v>8</v>
      </c>
      <c r="DO396" s="27" t="s">
        <v>8</v>
      </c>
      <c r="DP396" s="27" t="s">
        <v>7</v>
      </c>
      <c r="DQ396" s="27" t="s">
        <v>8</v>
      </c>
      <c r="DR396" s="27" t="s">
        <v>7</v>
      </c>
      <c r="DS396" s="27" t="s">
        <v>8</v>
      </c>
    </row>
    <row r="397" spans="1:126" x14ac:dyDescent="0.25">
      <c r="A397" s="7">
        <v>43.055896333745721</v>
      </c>
      <c r="B397"/>
      <c r="C397"/>
      <c r="D397"/>
      <c r="E397"/>
      <c r="DM397" s="27" t="s">
        <v>8</v>
      </c>
      <c r="DN397" s="27" t="s">
        <v>7</v>
      </c>
      <c r="DO397" s="27" t="s">
        <v>8</v>
      </c>
      <c r="DP397" s="27" t="s">
        <v>7</v>
      </c>
      <c r="DQ397" s="27" t="s">
        <v>8</v>
      </c>
      <c r="DR397" s="27" t="s">
        <v>7</v>
      </c>
      <c r="DS397" s="27" t="s">
        <v>8</v>
      </c>
      <c r="DT397" s="27" t="s">
        <v>7</v>
      </c>
    </row>
    <row r="398" spans="1:126" x14ac:dyDescent="0.25">
      <c r="A398" s="7">
        <v>42.211663072299729</v>
      </c>
      <c r="B398"/>
      <c r="C398"/>
      <c r="D398"/>
      <c r="E398"/>
      <c r="DM398" s="27" t="s">
        <v>8</v>
      </c>
      <c r="DN398" s="27" t="s">
        <v>7</v>
      </c>
      <c r="DO398" s="27" t="s">
        <v>8</v>
      </c>
      <c r="DP398" s="27" t="s">
        <v>7</v>
      </c>
      <c r="DQ398" s="27" t="s">
        <v>8</v>
      </c>
      <c r="DR398" s="27" t="s">
        <v>7</v>
      </c>
      <c r="DS398" s="27" t="s">
        <v>8</v>
      </c>
      <c r="DT398" s="27" t="s">
        <v>7</v>
      </c>
      <c r="DU398" s="27" t="s">
        <v>8</v>
      </c>
    </row>
    <row r="399" spans="1:126" x14ac:dyDescent="0.25">
      <c r="A399" s="7">
        <v>41.383983404215421</v>
      </c>
      <c r="B399"/>
      <c r="C399"/>
      <c r="D399"/>
      <c r="E399"/>
      <c r="DM399" s="27" t="s">
        <v>8</v>
      </c>
      <c r="DN399" s="27" t="s">
        <v>7</v>
      </c>
      <c r="DO399" s="27" t="s">
        <v>8</v>
      </c>
      <c r="DP399" s="27" t="s">
        <v>7</v>
      </c>
      <c r="DQ399" s="27" t="s">
        <v>8</v>
      </c>
      <c r="DR399" s="27" t="s">
        <v>7</v>
      </c>
      <c r="DS399" s="27" t="s">
        <v>8</v>
      </c>
      <c r="DT399" s="27" t="s">
        <v>7</v>
      </c>
      <c r="DU399" s="27" t="s">
        <v>8</v>
      </c>
      <c r="DV399" s="27" t="s">
        <v>7</v>
      </c>
    </row>
    <row r="400" spans="1:126" x14ac:dyDescent="0.25">
      <c r="A400" s="7">
        <v>40.572532749230803</v>
      </c>
      <c r="B400"/>
      <c r="C400"/>
      <c r="D400"/>
      <c r="E400"/>
      <c r="DM400" s="27" t="s">
        <v>8</v>
      </c>
      <c r="DN400" s="27" t="s">
        <v>7</v>
      </c>
      <c r="DO400" s="27" t="s">
        <v>8</v>
      </c>
      <c r="DP400" s="27" t="s">
        <v>7</v>
      </c>
      <c r="DQ400" s="27" t="s">
        <v>8</v>
      </c>
      <c r="DR400" s="27" t="s">
        <v>7</v>
      </c>
      <c r="DS400" s="27" t="s">
        <v>8</v>
      </c>
      <c r="DT400" s="27" t="s">
        <v>7</v>
      </c>
      <c r="DU400" s="27" t="s">
        <v>8</v>
      </c>
      <c r="DV400" s="27" t="s">
        <v>7</v>
      </c>
    </row>
    <row r="401" spans="1:178" x14ac:dyDescent="0.25">
      <c r="A401" s="7">
        <v>39.776992891402749</v>
      </c>
      <c r="B401"/>
      <c r="C401"/>
      <c r="D401"/>
      <c r="E401"/>
      <c r="DM401" s="27" t="s">
        <v>8</v>
      </c>
      <c r="DN401" s="27" t="s">
        <v>7</v>
      </c>
      <c r="DP401" s="27" t="s">
        <v>7</v>
      </c>
      <c r="DR401" s="27" t="s">
        <v>7</v>
      </c>
      <c r="DS401" s="27" t="s">
        <v>8</v>
      </c>
      <c r="DT401" s="27" t="s">
        <v>7</v>
      </c>
      <c r="DU401" s="27" t="s">
        <v>8</v>
      </c>
      <c r="DV401" s="27" t="s">
        <v>7</v>
      </c>
    </row>
    <row r="402" spans="1:178" x14ac:dyDescent="0.25">
      <c r="A402" s="7">
        <v>38.997051854316418</v>
      </c>
      <c r="B402"/>
      <c r="C402"/>
      <c r="D402"/>
      <c r="E402"/>
      <c r="DE402" s="27" t="s">
        <v>8</v>
      </c>
      <c r="DM402" s="27" t="s">
        <v>8</v>
      </c>
      <c r="DR402" s="27" t="s">
        <v>7</v>
      </c>
      <c r="DS402" s="27" t="s">
        <v>8</v>
      </c>
      <c r="DT402" s="27" t="s">
        <v>7</v>
      </c>
      <c r="DU402" s="27" t="s">
        <v>8</v>
      </c>
      <c r="DV402" s="27" t="s">
        <v>7</v>
      </c>
    </row>
    <row r="403" spans="1:178" x14ac:dyDescent="0.25">
      <c r="A403" s="7">
        <v>38.232403778741585</v>
      </c>
      <c r="B403"/>
      <c r="C403"/>
      <c r="D403"/>
      <c r="E403"/>
      <c r="DE403" s="27" t="s">
        <v>8</v>
      </c>
      <c r="DF403" s="27" t="s">
        <v>7</v>
      </c>
      <c r="DK403" s="27" t="s">
        <v>8</v>
      </c>
      <c r="DM403" s="27" t="s">
        <v>8</v>
      </c>
      <c r="DR403" s="27" t="s">
        <v>7</v>
      </c>
      <c r="DS403" s="27" t="s">
        <v>8</v>
      </c>
      <c r="DT403" s="27" t="s">
        <v>7</v>
      </c>
      <c r="DU403" s="27" t="s">
        <v>8</v>
      </c>
      <c r="DV403" s="27" t="s">
        <v>7</v>
      </c>
    </row>
    <row r="404" spans="1:178" x14ac:dyDescent="0.25">
      <c r="A404" s="7">
        <v>37.48274880268783</v>
      </c>
      <c r="B404"/>
      <c r="C404"/>
      <c r="D404"/>
      <c r="E404"/>
      <c r="DC404" s="27" t="s">
        <v>8</v>
      </c>
      <c r="DE404" s="27" t="s">
        <v>8</v>
      </c>
      <c r="DF404" s="27" t="s">
        <v>7</v>
      </c>
      <c r="DG404" s="27" t="s">
        <v>8</v>
      </c>
      <c r="DK404" s="27" t="s">
        <v>8</v>
      </c>
      <c r="DL404" s="27" t="s">
        <v>7</v>
      </c>
      <c r="DM404" s="27" t="s">
        <v>8</v>
      </c>
      <c r="DR404" s="27" t="s">
        <v>7</v>
      </c>
      <c r="DS404" s="27" t="s">
        <v>8</v>
      </c>
      <c r="DT404" s="27" t="s">
        <v>7</v>
      </c>
      <c r="DU404" s="27" t="s">
        <v>8</v>
      </c>
      <c r="DV404" s="27" t="s">
        <v>7</v>
      </c>
    </row>
    <row r="405" spans="1:178" x14ac:dyDescent="0.25">
      <c r="A405" s="7">
        <v>36.747792943811596</v>
      </c>
      <c r="B405"/>
      <c r="C405"/>
      <c r="D405"/>
      <c r="E405"/>
      <c r="CU405" s="27" t="s">
        <v>8</v>
      </c>
      <c r="DC405" s="27" t="s">
        <v>8</v>
      </c>
      <c r="DD405" s="27" t="s">
        <v>7</v>
      </c>
      <c r="DE405" s="27" t="s">
        <v>8</v>
      </c>
      <c r="DF405" s="27" t="s">
        <v>7</v>
      </c>
      <c r="DG405" s="27" t="s">
        <v>8</v>
      </c>
      <c r="DH405" s="27" t="s">
        <v>7</v>
      </c>
      <c r="DK405" s="27" t="s">
        <v>8</v>
      </c>
      <c r="DL405" s="27" t="s">
        <v>7</v>
      </c>
      <c r="DM405" s="27" t="s">
        <v>8</v>
      </c>
      <c r="DR405" s="27" t="s">
        <v>7</v>
      </c>
      <c r="DS405" s="27" t="s">
        <v>8</v>
      </c>
      <c r="DT405" s="27" t="s">
        <v>7</v>
      </c>
      <c r="DU405" s="27" t="s">
        <v>8</v>
      </c>
      <c r="DV405" s="27" t="s">
        <v>7</v>
      </c>
    </row>
    <row r="406" spans="1:178" x14ac:dyDescent="0.25">
      <c r="A406" s="7">
        <v>36.027247984129012</v>
      </c>
      <c r="B406"/>
      <c r="C406"/>
      <c r="D406"/>
      <c r="E406"/>
      <c r="CU406" s="27" t="s">
        <v>8</v>
      </c>
      <c r="CV406" s="27" t="s">
        <v>7</v>
      </c>
      <c r="DC406" s="27" t="s">
        <v>8</v>
      </c>
      <c r="DD406" s="27" t="s">
        <v>7</v>
      </c>
      <c r="DE406" s="27" t="s">
        <v>8</v>
      </c>
      <c r="DF406" s="27" t="s">
        <v>7</v>
      </c>
      <c r="DG406" s="27" t="s">
        <v>8</v>
      </c>
      <c r="DH406" s="27" t="s">
        <v>7</v>
      </c>
      <c r="DK406" s="27" t="s">
        <v>8</v>
      </c>
      <c r="DL406" s="27" t="s">
        <v>7</v>
      </c>
      <c r="DM406" s="27" t="s">
        <v>8</v>
      </c>
      <c r="DR406" s="27" t="s">
        <v>7</v>
      </c>
      <c r="DS406" s="27" t="s">
        <v>8</v>
      </c>
      <c r="DT406" s="27" t="s">
        <v>7</v>
      </c>
      <c r="DU406" s="27" t="s">
        <v>8</v>
      </c>
      <c r="DV406" s="27" t="s">
        <v>7</v>
      </c>
      <c r="DW406" s="27" t="s">
        <v>8</v>
      </c>
    </row>
    <row r="407" spans="1:178" x14ac:dyDescent="0.25">
      <c r="A407" s="7">
        <v>35.320831356989224</v>
      </c>
      <c r="B407"/>
      <c r="C407"/>
      <c r="D407"/>
      <c r="E407"/>
      <c r="CU407" s="27" t="s">
        <v>8</v>
      </c>
      <c r="CV407" s="27" t="s">
        <v>7</v>
      </c>
      <c r="DC407" s="27" t="s">
        <v>8</v>
      </c>
      <c r="DD407" s="27" t="s">
        <v>7</v>
      </c>
      <c r="DE407" s="27" t="s">
        <v>8</v>
      </c>
      <c r="DF407" s="27" t="s">
        <v>7</v>
      </c>
      <c r="DG407" s="27" t="s">
        <v>8</v>
      </c>
      <c r="DH407" s="27" t="s">
        <v>7</v>
      </c>
      <c r="DK407" s="27" t="s">
        <v>8</v>
      </c>
      <c r="DL407" s="27" t="s">
        <v>7</v>
      </c>
      <c r="DM407" s="27" t="s">
        <v>8</v>
      </c>
      <c r="DR407" s="27" t="s">
        <v>7</v>
      </c>
      <c r="DS407" s="27" t="s">
        <v>8</v>
      </c>
      <c r="DT407" s="27" t="s">
        <v>7</v>
      </c>
      <c r="DU407" s="27" t="s">
        <v>8</v>
      </c>
      <c r="DV407" s="27" t="s">
        <v>7</v>
      </c>
      <c r="DW407" s="27" t="s">
        <v>8</v>
      </c>
      <c r="DX407" s="27" t="s">
        <v>7</v>
      </c>
    </row>
    <row r="408" spans="1:178" x14ac:dyDescent="0.25">
      <c r="A408" s="7">
        <v>34.628266036263945</v>
      </c>
      <c r="B408"/>
      <c r="C408"/>
      <c r="D408"/>
      <c r="E408"/>
      <c r="CM408" s="27" t="s">
        <v>8</v>
      </c>
      <c r="CO408" s="27" t="s">
        <v>8</v>
      </c>
      <c r="CS408" s="27" t="s">
        <v>8</v>
      </c>
      <c r="CU408" s="27" t="s">
        <v>8</v>
      </c>
      <c r="CV408" s="27" t="s">
        <v>7</v>
      </c>
      <c r="DC408" s="27" t="s">
        <v>8</v>
      </c>
      <c r="DD408" s="27" t="s">
        <v>7</v>
      </c>
      <c r="DE408" s="27" t="s">
        <v>8</v>
      </c>
      <c r="DF408" s="27" t="s">
        <v>7</v>
      </c>
      <c r="DH408" s="27" t="s">
        <v>7</v>
      </c>
      <c r="DK408" s="27" t="s">
        <v>8</v>
      </c>
      <c r="DL408" s="27" t="s">
        <v>7</v>
      </c>
      <c r="DM408" s="27" t="s">
        <v>8</v>
      </c>
      <c r="DR408" s="27" t="s">
        <v>7</v>
      </c>
      <c r="DS408" s="27" t="s">
        <v>8</v>
      </c>
      <c r="DT408" s="27" t="s">
        <v>7</v>
      </c>
      <c r="DU408" s="27" t="s">
        <v>8</v>
      </c>
      <c r="DV408" s="27" t="s">
        <v>7</v>
      </c>
      <c r="DW408" s="27" t="s">
        <v>8</v>
      </c>
      <c r="DX408" s="27" t="s">
        <v>7</v>
      </c>
    </row>
    <row r="409" spans="1:178" x14ac:dyDescent="0.25">
      <c r="A409" s="7">
        <v>33.949280427709752</v>
      </c>
      <c r="B409"/>
      <c r="C409"/>
      <c r="D409"/>
      <c r="E409"/>
      <c r="CM409" s="27" t="s">
        <v>8</v>
      </c>
      <c r="CN409" s="27" t="s">
        <v>7</v>
      </c>
      <c r="CO409" s="27" t="s">
        <v>8</v>
      </c>
      <c r="CP409" s="27" t="s">
        <v>7</v>
      </c>
      <c r="CS409" s="27" t="s">
        <v>8</v>
      </c>
      <c r="CT409" s="27" t="s">
        <v>7</v>
      </c>
      <c r="CU409" s="27" t="s">
        <v>8</v>
      </c>
      <c r="CV409" s="27" t="s">
        <v>7</v>
      </c>
      <c r="DC409" s="27" t="s">
        <v>8</v>
      </c>
      <c r="DD409" s="27" t="s">
        <v>7</v>
      </c>
      <c r="DE409" s="27" t="s">
        <v>8</v>
      </c>
      <c r="DH409" s="27" t="s">
        <v>7</v>
      </c>
      <c r="DK409" s="27" t="s">
        <v>8</v>
      </c>
      <c r="DL409" s="27" t="s">
        <v>7</v>
      </c>
      <c r="DM409" s="27" t="s">
        <v>8</v>
      </c>
      <c r="DR409" s="27" t="s">
        <v>7</v>
      </c>
      <c r="DT409" s="27" t="s">
        <v>7</v>
      </c>
      <c r="DV409" s="27" t="s">
        <v>7</v>
      </c>
      <c r="DW409" s="27" t="s">
        <v>8</v>
      </c>
      <c r="DX409" s="27" t="s">
        <v>7</v>
      </c>
    </row>
    <row r="410" spans="1:178" x14ac:dyDescent="0.25">
      <c r="A410" s="7">
        <v>33.28360826246054</v>
      </c>
      <c r="B410"/>
      <c r="C410"/>
      <c r="D410"/>
      <c r="E410"/>
      <c r="CM410" s="27" t="s">
        <v>8</v>
      </c>
      <c r="CN410" s="27" t="s">
        <v>7</v>
      </c>
      <c r="CO410" s="27" t="s">
        <v>8</v>
      </c>
      <c r="CP410" s="27" t="s">
        <v>7</v>
      </c>
      <c r="CQ410" s="27" t="s">
        <v>8</v>
      </c>
      <c r="CS410" s="27" t="s">
        <v>8</v>
      </c>
      <c r="CT410" s="27" t="s">
        <v>7</v>
      </c>
      <c r="CU410" s="27" t="s">
        <v>8</v>
      </c>
      <c r="CV410" s="27" t="s">
        <v>7</v>
      </c>
      <c r="DC410" s="27" t="s">
        <v>8</v>
      </c>
      <c r="DD410" s="27" t="s">
        <v>7</v>
      </c>
      <c r="DH410" s="27" t="s">
        <v>7</v>
      </c>
      <c r="DK410" s="27" t="s">
        <v>8</v>
      </c>
      <c r="DL410" s="27" t="s">
        <v>7</v>
      </c>
      <c r="DM410" s="27" t="s">
        <v>8</v>
      </c>
      <c r="DV410" s="27" t="s">
        <v>7</v>
      </c>
      <c r="DW410" s="27" t="s">
        <v>8</v>
      </c>
      <c r="DX410" s="27" t="s">
        <v>7</v>
      </c>
    </row>
    <row r="411" spans="1:178" x14ac:dyDescent="0.25">
      <c r="A411" s="7">
        <v>32.630988492608374</v>
      </c>
      <c r="B411"/>
      <c r="C411"/>
      <c r="D411"/>
      <c r="E411"/>
      <c r="CE411" s="27" t="s">
        <v>8</v>
      </c>
      <c r="CM411" s="27" t="s">
        <v>8</v>
      </c>
      <c r="CN411" s="27" t="s">
        <v>7</v>
      </c>
      <c r="CP411" s="27" t="s">
        <v>7</v>
      </c>
      <c r="CQ411" s="27" t="s">
        <v>8</v>
      </c>
      <c r="CR411" s="27" t="s">
        <v>7</v>
      </c>
      <c r="CS411" s="27" t="s">
        <v>8</v>
      </c>
      <c r="CT411" s="27" t="s">
        <v>7</v>
      </c>
      <c r="CU411" s="27" t="s">
        <v>8</v>
      </c>
      <c r="CV411" s="27" t="s">
        <v>7</v>
      </c>
      <c r="DC411" s="27" t="s">
        <v>8</v>
      </c>
      <c r="DH411" s="27" t="s">
        <v>7</v>
      </c>
      <c r="DI411" s="27" t="s">
        <v>8</v>
      </c>
      <c r="DK411" s="27" t="s">
        <v>8</v>
      </c>
      <c r="DL411" s="27" t="s">
        <v>7</v>
      </c>
      <c r="DM411" s="27" t="s">
        <v>8</v>
      </c>
      <c r="DV411" s="27" t="s">
        <v>7</v>
      </c>
      <c r="DW411" s="27" t="s">
        <v>8</v>
      </c>
      <c r="DX411" s="27" t="s">
        <v>7</v>
      </c>
    </row>
    <row r="412" spans="1:178" x14ac:dyDescent="0.25">
      <c r="A412" s="7">
        <v>31.99116518883174</v>
      </c>
      <c r="B412"/>
      <c r="C412"/>
      <c r="D412"/>
      <c r="E412"/>
      <c r="CE412" s="27" t="s">
        <v>8</v>
      </c>
      <c r="CF412" s="27" t="s">
        <v>7</v>
      </c>
      <c r="CM412" s="27" t="s">
        <v>8</v>
      </c>
      <c r="CP412" s="27" t="s">
        <v>7</v>
      </c>
      <c r="CQ412" s="27" t="s">
        <v>8</v>
      </c>
      <c r="CR412" s="27" t="s">
        <v>7</v>
      </c>
      <c r="CS412" s="27" t="s">
        <v>8</v>
      </c>
      <c r="CT412" s="27" t="s">
        <v>7</v>
      </c>
      <c r="CV412" s="27" t="s">
        <v>7</v>
      </c>
      <c r="CY412" s="27" t="s">
        <v>8</v>
      </c>
      <c r="DA412" s="27" t="s">
        <v>8</v>
      </c>
      <c r="DC412" s="27" t="s">
        <v>8</v>
      </c>
      <c r="DH412" s="27" t="s">
        <v>7</v>
      </c>
      <c r="DI412" s="27" t="s">
        <v>8</v>
      </c>
      <c r="DJ412" s="27" t="s">
        <v>7</v>
      </c>
      <c r="DK412" s="27" t="s">
        <v>8</v>
      </c>
      <c r="DL412" s="27" t="s">
        <v>7</v>
      </c>
      <c r="DM412" s="27" t="s">
        <v>8</v>
      </c>
      <c r="DV412" s="27" t="s">
        <v>7</v>
      </c>
      <c r="DX412" s="27" t="s">
        <v>7</v>
      </c>
    </row>
    <row r="413" spans="1:178" x14ac:dyDescent="0.25">
      <c r="A413" s="7">
        <v>31.363887440031117</v>
      </c>
      <c r="B413"/>
      <c r="C413"/>
      <c r="D413"/>
      <c r="E413"/>
      <c r="CE413" s="27" t="s">
        <v>8</v>
      </c>
      <c r="CF413" s="27" t="s">
        <v>7</v>
      </c>
      <c r="CM413" s="27" t="s">
        <v>8</v>
      </c>
      <c r="CP413" s="27" t="s">
        <v>7</v>
      </c>
      <c r="CQ413" s="27" t="s">
        <v>8</v>
      </c>
      <c r="CR413" s="27" t="s">
        <v>7</v>
      </c>
      <c r="CS413" s="27" t="s">
        <v>8</v>
      </c>
      <c r="CV413" s="27" t="s">
        <v>7</v>
      </c>
      <c r="CY413" s="27" t="s">
        <v>8</v>
      </c>
      <c r="CZ413" s="27" t="s">
        <v>7</v>
      </c>
      <c r="DA413" s="27" t="s">
        <v>8</v>
      </c>
      <c r="DB413" s="27" t="s">
        <v>7</v>
      </c>
      <c r="DC413" s="27" t="s">
        <v>8</v>
      </c>
      <c r="DH413" s="27" t="s">
        <v>7</v>
      </c>
      <c r="DI413" s="27" t="s">
        <v>8</v>
      </c>
      <c r="DJ413" s="27" t="s">
        <v>7</v>
      </c>
      <c r="DK413" s="27" t="s">
        <v>8</v>
      </c>
      <c r="DL413" s="27" t="s">
        <v>7</v>
      </c>
      <c r="DM413" s="27" t="s">
        <v>8</v>
      </c>
      <c r="DX413" s="27" t="s">
        <v>7</v>
      </c>
      <c r="FS413" s="27" t="s">
        <v>8</v>
      </c>
    </row>
    <row r="414" spans="1:178" x14ac:dyDescent="0.25">
      <c r="A414" s="7">
        <v>30.748909254932467</v>
      </c>
      <c r="B414"/>
      <c r="C414"/>
      <c r="D414"/>
      <c r="E414"/>
      <c r="CE414" s="27" t="s">
        <v>8</v>
      </c>
      <c r="CF414" s="27" t="s">
        <v>7</v>
      </c>
      <c r="CM414" s="27" t="s">
        <v>8</v>
      </c>
      <c r="CP414" s="27" t="s">
        <v>7</v>
      </c>
      <c r="CQ414" s="27" t="s">
        <v>8</v>
      </c>
      <c r="CR414" s="27" t="s">
        <v>7</v>
      </c>
      <c r="CS414" s="27" t="s">
        <v>8</v>
      </c>
      <c r="CV414" s="27" t="s">
        <v>7</v>
      </c>
      <c r="CY414" s="27" t="s">
        <v>8</v>
      </c>
      <c r="CZ414" s="27" t="s">
        <v>7</v>
      </c>
      <c r="DA414" s="27" t="s">
        <v>8</v>
      </c>
      <c r="DB414" s="27" t="s">
        <v>7</v>
      </c>
      <c r="DC414" s="27" t="s">
        <v>8</v>
      </c>
      <c r="DH414" s="27" t="s">
        <v>7</v>
      </c>
      <c r="DI414" s="27" t="s">
        <v>8</v>
      </c>
      <c r="DJ414" s="27" t="s">
        <v>7</v>
      </c>
      <c r="DK414" s="27" t="s">
        <v>8</v>
      </c>
      <c r="DL414" s="27" t="s">
        <v>7</v>
      </c>
      <c r="DM414" s="27" t="s">
        <v>8</v>
      </c>
      <c r="DX414" s="27" t="s">
        <v>7</v>
      </c>
      <c r="FO414" s="27" t="s">
        <v>8</v>
      </c>
      <c r="FS414" s="27" t="s">
        <v>8</v>
      </c>
      <c r="FT414" s="27" t="s">
        <v>7</v>
      </c>
    </row>
    <row r="415" spans="1:178" x14ac:dyDescent="0.25">
      <c r="A415" s="7">
        <v>30.145989465620065</v>
      </c>
      <c r="B415"/>
      <c r="C415"/>
      <c r="D415"/>
      <c r="E415"/>
      <c r="CE415" s="27" t="s">
        <v>8</v>
      </c>
      <c r="CF415" s="27" t="s">
        <v>7</v>
      </c>
      <c r="CM415" s="27" t="s">
        <v>8</v>
      </c>
      <c r="CP415" s="27" t="s">
        <v>7</v>
      </c>
      <c r="CQ415" s="27" t="s">
        <v>8</v>
      </c>
      <c r="CR415" s="27" t="s">
        <v>7</v>
      </c>
      <c r="CS415" s="27" t="s">
        <v>8</v>
      </c>
      <c r="CV415" s="27" t="s">
        <v>7</v>
      </c>
      <c r="CY415" s="27" t="s">
        <v>8</v>
      </c>
      <c r="CZ415" s="27" t="s">
        <v>7</v>
      </c>
      <c r="DA415" s="27" t="s">
        <v>8</v>
      </c>
      <c r="DB415" s="27" t="s">
        <v>7</v>
      </c>
      <c r="DC415" s="27" t="s">
        <v>8</v>
      </c>
      <c r="DH415" s="27" t="s">
        <v>7</v>
      </c>
      <c r="DI415" s="27" t="s">
        <v>8</v>
      </c>
      <c r="DJ415" s="27" t="s">
        <v>7</v>
      </c>
      <c r="DK415" s="27" t="s">
        <v>8</v>
      </c>
      <c r="DL415" s="27" t="s">
        <v>7</v>
      </c>
      <c r="DM415" s="27" t="s">
        <v>8</v>
      </c>
      <c r="DX415" s="27" t="s">
        <v>7</v>
      </c>
      <c r="FK415" s="27" t="s">
        <v>8</v>
      </c>
      <c r="FM415" s="27" t="s">
        <v>8</v>
      </c>
      <c r="FO415" s="27" t="s">
        <v>8</v>
      </c>
      <c r="FP415" s="27" t="s">
        <v>7</v>
      </c>
      <c r="FS415" s="27" t="s">
        <v>8</v>
      </c>
      <c r="FT415" s="27" t="s">
        <v>7</v>
      </c>
      <c r="FU415" s="27" t="s">
        <v>8</v>
      </c>
    </row>
    <row r="416" spans="1:178" x14ac:dyDescent="0.25">
      <c r="A416" s="7">
        <v>29.55489163296085</v>
      </c>
      <c r="B416"/>
      <c r="C416"/>
      <c r="D416"/>
      <c r="E416"/>
      <c r="CE416" s="27" t="s">
        <v>8</v>
      </c>
      <c r="CF416" s="27" t="s">
        <v>7</v>
      </c>
      <c r="CM416" s="27" t="s">
        <v>8</v>
      </c>
      <c r="CP416" s="27" t="s">
        <v>7</v>
      </c>
      <c r="CR416" s="27" t="s">
        <v>7</v>
      </c>
      <c r="CS416" s="27" t="s">
        <v>8</v>
      </c>
      <c r="CV416" s="27" t="s">
        <v>7</v>
      </c>
      <c r="CY416" s="27" t="s">
        <v>8</v>
      </c>
      <c r="CZ416" s="27" t="s">
        <v>7</v>
      </c>
      <c r="DA416" s="27" t="s">
        <v>8</v>
      </c>
      <c r="DB416" s="27" t="s">
        <v>7</v>
      </c>
      <c r="DC416" s="27" t="s">
        <v>8</v>
      </c>
      <c r="DH416" s="27" t="s">
        <v>7</v>
      </c>
      <c r="DI416" s="27" t="s">
        <v>8</v>
      </c>
      <c r="DJ416" s="27" t="s">
        <v>7</v>
      </c>
      <c r="DK416" s="27" t="s">
        <v>8</v>
      </c>
      <c r="DL416" s="27" t="s">
        <v>7</v>
      </c>
      <c r="DX416" s="27" t="s">
        <v>7</v>
      </c>
      <c r="EA416" s="27" t="s">
        <v>8</v>
      </c>
      <c r="FK416" s="27" t="s">
        <v>8</v>
      </c>
      <c r="FL416" s="27" t="s">
        <v>7</v>
      </c>
      <c r="FM416" s="27" t="s">
        <v>8</v>
      </c>
      <c r="FN416" s="27" t="s">
        <v>7</v>
      </c>
      <c r="FO416" s="27" t="s">
        <v>8</v>
      </c>
      <c r="FP416" s="27" t="s">
        <v>7</v>
      </c>
      <c r="FQ416" s="27" t="s">
        <v>8</v>
      </c>
      <c r="FS416" s="27" t="s">
        <v>8</v>
      </c>
      <c r="FT416" s="27" t="s">
        <v>7</v>
      </c>
      <c r="FU416" s="27" t="s">
        <v>8</v>
      </c>
      <c r="FV416" s="27" t="s">
        <v>7</v>
      </c>
    </row>
    <row r="417" spans="1:214" x14ac:dyDescent="0.25">
      <c r="A417" s="7">
        <v>28.975383953883185</v>
      </c>
      <c r="B417"/>
      <c r="C417"/>
      <c r="D417"/>
      <c r="E417"/>
      <c r="CE417" s="27" t="s">
        <v>8</v>
      </c>
      <c r="CF417" s="27" t="s">
        <v>7</v>
      </c>
      <c r="CM417" s="27" t="s">
        <v>8</v>
      </c>
      <c r="CR417" s="27" t="s">
        <v>7</v>
      </c>
      <c r="CS417" s="27" t="s">
        <v>8</v>
      </c>
      <c r="CV417" s="27" t="s">
        <v>7</v>
      </c>
      <c r="CW417" s="27" t="s">
        <v>8</v>
      </c>
      <c r="CY417" s="27" t="s">
        <v>8</v>
      </c>
      <c r="CZ417" s="27" t="s">
        <v>7</v>
      </c>
      <c r="DB417" s="27" t="s">
        <v>7</v>
      </c>
      <c r="DC417" s="27" t="s">
        <v>8</v>
      </c>
      <c r="DH417" s="27" t="s">
        <v>7</v>
      </c>
      <c r="DI417" s="27" t="s">
        <v>8</v>
      </c>
      <c r="DJ417" s="27" t="s">
        <v>7</v>
      </c>
      <c r="DK417" s="27" t="s">
        <v>8</v>
      </c>
      <c r="DX417" s="27" t="s">
        <v>7</v>
      </c>
      <c r="EA417" s="27" t="s">
        <v>8</v>
      </c>
      <c r="EB417" s="27" t="s">
        <v>7</v>
      </c>
      <c r="EE417" s="27" t="s">
        <v>8</v>
      </c>
      <c r="FI417" s="27" t="s">
        <v>8</v>
      </c>
      <c r="FK417" s="27" t="s">
        <v>8</v>
      </c>
      <c r="FL417" s="27" t="s">
        <v>7</v>
      </c>
      <c r="FM417" s="27" t="s">
        <v>8</v>
      </c>
      <c r="FN417" s="27" t="s">
        <v>7</v>
      </c>
      <c r="FO417" s="27" t="s">
        <v>8</v>
      </c>
      <c r="FP417" s="27" t="s">
        <v>7</v>
      </c>
      <c r="FQ417" s="27" t="s">
        <v>8</v>
      </c>
      <c r="FR417" s="27" t="s">
        <v>7</v>
      </c>
      <c r="FS417" s="27" t="s">
        <v>8</v>
      </c>
      <c r="FT417" s="27" t="s">
        <v>7</v>
      </c>
      <c r="FU417" s="27" t="s">
        <v>8</v>
      </c>
      <c r="FV417" s="27" t="s">
        <v>7</v>
      </c>
    </row>
    <row r="418" spans="1:214" x14ac:dyDescent="0.25">
      <c r="A418" s="7">
        <v>28.407239170473709</v>
      </c>
      <c r="B418"/>
      <c r="C418"/>
      <c r="D418"/>
      <c r="E418"/>
      <c r="CE418" s="27" t="s">
        <v>8</v>
      </c>
      <c r="CF418" s="27" t="s">
        <v>7</v>
      </c>
      <c r="CM418" s="27" t="s">
        <v>8</v>
      </c>
      <c r="CR418" s="27" t="s">
        <v>7</v>
      </c>
      <c r="CV418" s="27" t="s">
        <v>7</v>
      </c>
      <c r="CW418" s="27" t="s">
        <v>8</v>
      </c>
      <c r="CX418" s="27" t="s">
        <v>7</v>
      </c>
      <c r="CY418" s="27" t="s">
        <v>8</v>
      </c>
      <c r="DB418" s="27" t="s">
        <v>7</v>
      </c>
      <c r="DC418" s="27" t="s">
        <v>8</v>
      </c>
      <c r="DH418" s="27" t="s">
        <v>7</v>
      </c>
      <c r="DI418" s="27" t="s">
        <v>8</v>
      </c>
      <c r="DJ418" s="27" t="s">
        <v>7</v>
      </c>
      <c r="DX418" s="27" t="s">
        <v>7</v>
      </c>
      <c r="DY418" s="27" t="s">
        <v>8</v>
      </c>
      <c r="EA418" s="27" t="s">
        <v>8</v>
      </c>
      <c r="EB418" s="27" t="s">
        <v>7</v>
      </c>
      <c r="EC418" s="27" t="s">
        <v>8</v>
      </c>
      <c r="EE418" s="27" t="s">
        <v>8</v>
      </c>
      <c r="EF418" s="27" t="s">
        <v>7</v>
      </c>
      <c r="FI418" s="27" t="s">
        <v>8</v>
      </c>
      <c r="FJ418" s="27" t="s">
        <v>7</v>
      </c>
      <c r="FK418" s="27" t="s">
        <v>8</v>
      </c>
      <c r="FL418" s="27" t="s">
        <v>7</v>
      </c>
      <c r="FM418" s="27" t="s">
        <v>8</v>
      </c>
      <c r="FN418" s="27" t="s">
        <v>7</v>
      </c>
      <c r="FP418" s="27" t="s">
        <v>7</v>
      </c>
      <c r="FQ418" s="27" t="s">
        <v>8</v>
      </c>
      <c r="FR418" s="27" t="s">
        <v>7</v>
      </c>
      <c r="FS418" s="27" t="s">
        <v>8</v>
      </c>
      <c r="FT418" s="27" t="s">
        <v>7</v>
      </c>
      <c r="FV418" s="27" t="s">
        <v>7</v>
      </c>
      <c r="GY418" s="27" t="s">
        <v>8</v>
      </c>
    </row>
    <row r="419" spans="1:214" x14ac:dyDescent="0.25">
      <c r="A419" s="7">
        <v>27.850234480856578</v>
      </c>
      <c r="B419"/>
      <c r="C419"/>
      <c r="D419"/>
      <c r="E419"/>
      <c r="CE419" s="27" t="s">
        <v>8</v>
      </c>
      <c r="CF419" s="27" t="s">
        <v>7</v>
      </c>
      <c r="CM419" s="27" t="s">
        <v>8</v>
      </c>
      <c r="CV419" s="27" t="s">
        <v>7</v>
      </c>
      <c r="CW419" s="27" t="s">
        <v>8</v>
      </c>
      <c r="CX419" s="27" t="s">
        <v>7</v>
      </c>
      <c r="CY419" s="27" t="s">
        <v>8</v>
      </c>
      <c r="DB419" s="27" t="s">
        <v>7</v>
      </c>
      <c r="DH419" s="27" t="s">
        <v>7</v>
      </c>
      <c r="DI419" s="27" t="s">
        <v>8</v>
      </c>
      <c r="DX419" s="27" t="s">
        <v>7</v>
      </c>
      <c r="DY419" s="27" t="s">
        <v>8</v>
      </c>
      <c r="DZ419" s="27" t="s">
        <v>7</v>
      </c>
      <c r="EA419" s="27" t="s">
        <v>8</v>
      </c>
      <c r="EB419" s="27" t="s">
        <v>7</v>
      </c>
      <c r="EC419" s="27" t="s">
        <v>8</v>
      </c>
      <c r="ED419" s="27" t="s">
        <v>7</v>
      </c>
      <c r="EE419" s="27" t="s">
        <v>8</v>
      </c>
      <c r="EF419" s="27" t="s">
        <v>7</v>
      </c>
      <c r="FI419" s="27" t="s">
        <v>8</v>
      </c>
      <c r="FJ419" s="27" t="s">
        <v>7</v>
      </c>
      <c r="FK419" s="27" t="s">
        <v>8</v>
      </c>
      <c r="FL419" s="27" t="s">
        <v>7</v>
      </c>
      <c r="FM419" s="27" t="s">
        <v>8</v>
      </c>
      <c r="FP419" s="27" t="s">
        <v>7</v>
      </c>
      <c r="FQ419" s="27" t="s">
        <v>8</v>
      </c>
      <c r="FR419" s="27" t="s">
        <v>7</v>
      </c>
      <c r="FS419" s="27" t="s">
        <v>8</v>
      </c>
      <c r="FV419" s="27" t="s">
        <v>7</v>
      </c>
      <c r="GO419" s="27" t="s">
        <v>8</v>
      </c>
      <c r="GS419" s="27" t="s">
        <v>8</v>
      </c>
      <c r="GY419" s="27" t="s">
        <v>8</v>
      </c>
      <c r="GZ419" s="27" t="s">
        <v>7</v>
      </c>
    </row>
    <row r="420" spans="1:214" x14ac:dyDescent="0.25">
      <c r="A420" s="7">
        <v>27.304151451820175</v>
      </c>
      <c r="B420"/>
      <c r="C420"/>
      <c r="D420"/>
      <c r="E420"/>
      <c r="CE420" s="27" t="s">
        <v>8</v>
      </c>
      <c r="CF420" s="27" t="s">
        <v>7</v>
      </c>
      <c r="CG420" s="27" t="s">
        <v>8</v>
      </c>
      <c r="CK420" s="27" t="s">
        <v>8</v>
      </c>
      <c r="CM420" s="27" t="s">
        <v>8</v>
      </c>
      <c r="CV420" s="27" t="s">
        <v>7</v>
      </c>
      <c r="CW420" s="27" t="s">
        <v>8</v>
      </c>
      <c r="CX420" s="27" t="s">
        <v>7</v>
      </c>
      <c r="CY420" s="27" t="s">
        <v>8</v>
      </c>
      <c r="DH420" s="27" t="s">
        <v>7</v>
      </c>
      <c r="DX420" s="27" t="s">
        <v>7</v>
      </c>
      <c r="DY420" s="27" t="s">
        <v>8</v>
      </c>
      <c r="DZ420" s="27" t="s">
        <v>7</v>
      </c>
      <c r="EA420" s="27" t="s">
        <v>8</v>
      </c>
      <c r="EB420" s="27" t="s">
        <v>7</v>
      </c>
      <c r="EC420" s="27" t="s">
        <v>8</v>
      </c>
      <c r="ED420" s="27" t="s">
        <v>7</v>
      </c>
      <c r="EE420" s="27" t="s">
        <v>8</v>
      </c>
      <c r="EF420" s="27" t="s">
        <v>7</v>
      </c>
      <c r="EG420" s="27" t="s">
        <v>8</v>
      </c>
      <c r="FI420" s="27" t="s">
        <v>8</v>
      </c>
      <c r="FJ420" s="27" t="s">
        <v>7</v>
      </c>
      <c r="FK420" s="27" t="s">
        <v>8</v>
      </c>
      <c r="FL420" s="27" t="s">
        <v>7</v>
      </c>
      <c r="FP420" s="27" t="s">
        <v>7</v>
      </c>
      <c r="FQ420" s="27" t="s">
        <v>8</v>
      </c>
      <c r="FR420" s="27" t="s">
        <v>7</v>
      </c>
      <c r="FS420" s="27" t="s">
        <v>8</v>
      </c>
      <c r="FV420" s="27" t="s">
        <v>7</v>
      </c>
      <c r="GA420" s="27" t="s">
        <v>8</v>
      </c>
      <c r="GO420" s="27" t="s">
        <v>8</v>
      </c>
      <c r="GP420" s="27" t="s">
        <v>7</v>
      </c>
      <c r="GQ420" s="27" t="s">
        <v>8</v>
      </c>
      <c r="GS420" s="27" t="s">
        <v>8</v>
      </c>
      <c r="GT420" s="27" t="s">
        <v>7</v>
      </c>
      <c r="GW420" s="27" t="s">
        <v>8</v>
      </c>
      <c r="GY420" s="27" t="s">
        <v>8</v>
      </c>
      <c r="GZ420" s="27" t="s">
        <v>7</v>
      </c>
    </row>
    <row r="421" spans="1:214" x14ac:dyDescent="0.25">
      <c r="A421" s="7">
        <v>26.768775933157034</v>
      </c>
      <c r="B421"/>
      <c r="C421"/>
      <c r="D421"/>
      <c r="E421"/>
      <c r="CE421" s="27" t="s">
        <v>8</v>
      </c>
      <c r="CF421" s="27" t="s">
        <v>7</v>
      </c>
      <c r="CG421" s="27" t="s">
        <v>8</v>
      </c>
      <c r="CH421" s="27" t="s">
        <v>7</v>
      </c>
      <c r="CK421" s="27" t="s">
        <v>8</v>
      </c>
      <c r="CL421" s="27" t="s">
        <v>7</v>
      </c>
      <c r="CM421" s="27" t="s">
        <v>8</v>
      </c>
      <c r="CV421" s="27" t="s">
        <v>7</v>
      </c>
      <c r="CW421" s="27" t="s">
        <v>8</v>
      </c>
      <c r="CX421" s="27" t="s">
        <v>7</v>
      </c>
      <c r="DX421" s="27" t="s">
        <v>7</v>
      </c>
      <c r="DY421" s="27" t="s">
        <v>8</v>
      </c>
      <c r="DZ421" s="27" t="s">
        <v>7</v>
      </c>
      <c r="EA421" s="27" t="s">
        <v>8</v>
      </c>
      <c r="EB421" s="27" t="s">
        <v>7</v>
      </c>
      <c r="EC421" s="27" t="s">
        <v>8</v>
      </c>
      <c r="ED421" s="27" t="s">
        <v>7</v>
      </c>
      <c r="EF421" s="27" t="s">
        <v>7</v>
      </c>
      <c r="EG421" s="27" t="s">
        <v>8</v>
      </c>
      <c r="EH421" s="27" t="s">
        <v>7</v>
      </c>
      <c r="FI421" s="27" t="s">
        <v>8</v>
      </c>
      <c r="FJ421" s="27" t="s">
        <v>7</v>
      </c>
      <c r="FK421" s="27" t="s">
        <v>8</v>
      </c>
      <c r="FP421" s="27" t="s">
        <v>7</v>
      </c>
      <c r="FQ421" s="27" t="s">
        <v>8</v>
      </c>
      <c r="FR421" s="27" t="s">
        <v>7</v>
      </c>
      <c r="FS421" s="27" t="s">
        <v>8</v>
      </c>
      <c r="FV421" s="27" t="s">
        <v>7</v>
      </c>
      <c r="GA421" s="27" t="s">
        <v>8</v>
      </c>
      <c r="GB421" s="27" t="s">
        <v>7</v>
      </c>
      <c r="GI421" s="27" t="s">
        <v>8</v>
      </c>
      <c r="GO421" s="27" t="s">
        <v>8</v>
      </c>
      <c r="GP421" s="27" t="s">
        <v>7</v>
      </c>
      <c r="GQ421" s="27" t="s">
        <v>8</v>
      </c>
      <c r="GR421" s="27" t="s">
        <v>7</v>
      </c>
      <c r="GS421" s="27" t="s">
        <v>8</v>
      </c>
      <c r="GT421" s="27" t="s">
        <v>7</v>
      </c>
      <c r="GW421" s="27" t="s">
        <v>8</v>
      </c>
      <c r="GX421" s="27" t="s">
        <v>7</v>
      </c>
      <c r="GY421" s="27" t="s">
        <v>8</v>
      </c>
      <c r="GZ421" s="27" t="s">
        <v>7</v>
      </c>
    </row>
    <row r="422" spans="1:214" x14ac:dyDescent="0.25">
      <c r="A422" s="7">
        <v>26.243897973683367</v>
      </c>
      <c r="B422"/>
      <c r="C422"/>
      <c r="D422"/>
      <c r="E422"/>
      <c r="CE422" s="27" t="s">
        <v>8</v>
      </c>
      <c r="CF422" s="27" t="s">
        <v>7</v>
      </c>
      <c r="CG422" s="27" t="s">
        <v>8</v>
      </c>
      <c r="CH422" s="27" t="s">
        <v>7</v>
      </c>
      <c r="CK422" s="27" t="s">
        <v>8</v>
      </c>
      <c r="CL422" s="27" t="s">
        <v>7</v>
      </c>
      <c r="CM422" s="27" t="s">
        <v>8</v>
      </c>
      <c r="CV422" s="27" t="s">
        <v>7</v>
      </c>
      <c r="CW422" s="27" t="s">
        <v>8</v>
      </c>
      <c r="DX422" s="27" t="s">
        <v>7</v>
      </c>
      <c r="DY422" s="27" t="s">
        <v>8</v>
      </c>
      <c r="DZ422" s="27" t="s">
        <v>7</v>
      </c>
      <c r="EA422" s="27" t="s">
        <v>8</v>
      </c>
      <c r="EB422" s="27" t="s">
        <v>7</v>
      </c>
      <c r="EC422" s="27" t="s">
        <v>8</v>
      </c>
      <c r="EF422" s="27" t="s">
        <v>7</v>
      </c>
      <c r="EG422" s="27" t="s">
        <v>8</v>
      </c>
      <c r="EH422" s="27" t="s">
        <v>7</v>
      </c>
      <c r="FI422" s="27" t="s">
        <v>8</v>
      </c>
      <c r="FJ422" s="27" t="s">
        <v>7</v>
      </c>
      <c r="FK422" s="27" t="s">
        <v>8</v>
      </c>
      <c r="FP422" s="27" t="s">
        <v>7</v>
      </c>
      <c r="FQ422" s="27" t="s">
        <v>8</v>
      </c>
      <c r="FR422" s="27" t="s">
        <v>7</v>
      </c>
      <c r="FS422" s="27" t="s">
        <v>8</v>
      </c>
      <c r="FV422" s="27" t="s">
        <v>7</v>
      </c>
      <c r="GA422" s="27" t="s">
        <v>8</v>
      </c>
      <c r="GB422" s="27" t="s">
        <v>7</v>
      </c>
      <c r="GI422" s="27" t="s">
        <v>8</v>
      </c>
      <c r="GJ422" s="27" t="s">
        <v>7</v>
      </c>
      <c r="GM422" s="27" t="s">
        <v>8</v>
      </c>
      <c r="GO422" s="27" t="s">
        <v>8</v>
      </c>
      <c r="GP422" s="27" t="s">
        <v>7</v>
      </c>
      <c r="GQ422" s="27" t="s">
        <v>8</v>
      </c>
      <c r="GR422" s="27" t="s">
        <v>7</v>
      </c>
      <c r="GS422" s="27" t="s">
        <v>8</v>
      </c>
      <c r="GT422" s="27" t="s">
        <v>7</v>
      </c>
      <c r="GW422" s="27" t="s">
        <v>8</v>
      </c>
      <c r="GX422" s="27" t="s">
        <v>7</v>
      </c>
      <c r="GY422" s="27" t="s">
        <v>8</v>
      </c>
      <c r="GZ422" s="27" t="s">
        <v>7</v>
      </c>
    </row>
    <row r="423" spans="1:214" x14ac:dyDescent="0.25">
      <c r="A423" s="7">
        <v>25.729311738905263</v>
      </c>
      <c r="B423"/>
      <c r="C423"/>
      <c r="D423"/>
      <c r="E423"/>
      <c r="CE423" s="27" t="s">
        <v>8</v>
      </c>
      <c r="CF423" s="27" t="s">
        <v>7</v>
      </c>
      <c r="CG423" s="27" t="s">
        <v>8</v>
      </c>
      <c r="CH423" s="27" t="s">
        <v>7</v>
      </c>
      <c r="CK423" s="27" t="s">
        <v>8</v>
      </c>
      <c r="CL423" s="27" t="s">
        <v>7</v>
      </c>
      <c r="CM423" s="27" t="s">
        <v>8</v>
      </c>
      <c r="CV423" s="27" t="s">
        <v>7</v>
      </c>
      <c r="DX423" s="27" t="s">
        <v>7</v>
      </c>
      <c r="DY423" s="27" t="s">
        <v>8</v>
      </c>
      <c r="DZ423" s="27" t="s">
        <v>7</v>
      </c>
      <c r="EA423" s="27" t="s">
        <v>8</v>
      </c>
      <c r="EB423" s="27" t="s">
        <v>7</v>
      </c>
      <c r="EC423" s="27" t="s">
        <v>8</v>
      </c>
      <c r="EF423" s="27" t="s">
        <v>7</v>
      </c>
      <c r="EG423" s="27" t="s">
        <v>8</v>
      </c>
      <c r="EH423" s="27" t="s">
        <v>7</v>
      </c>
      <c r="FI423" s="27" t="s">
        <v>8</v>
      </c>
      <c r="FJ423" s="27" t="s">
        <v>7</v>
      </c>
      <c r="FP423" s="27" t="s">
        <v>7</v>
      </c>
      <c r="FR423" s="27" t="s">
        <v>7</v>
      </c>
      <c r="FS423" s="27" t="s">
        <v>8</v>
      </c>
      <c r="FV423" s="27" t="s">
        <v>7</v>
      </c>
      <c r="GA423" s="27" t="s">
        <v>8</v>
      </c>
      <c r="GB423" s="27" t="s">
        <v>7</v>
      </c>
      <c r="GE423" s="27" t="s">
        <v>8</v>
      </c>
      <c r="GI423" s="27" t="s">
        <v>8</v>
      </c>
      <c r="GJ423" s="27" t="s">
        <v>7</v>
      </c>
      <c r="GK423" s="27" t="s">
        <v>8</v>
      </c>
      <c r="GM423" s="27" t="s">
        <v>8</v>
      </c>
      <c r="GN423" s="27" t="s">
        <v>7</v>
      </c>
      <c r="GO423" s="27" t="s">
        <v>8</v>
      </c>
      <c r="GP423" s="27" t="s">
        <v>7</v>
      </c>
      <c r="GQ423" s="27" t="s">
        <v>8</v>
      </c>
      <c r="GR423" s="27" t="s">
        <v>7</v>
      </c>
      <c r="GT423" s="27" t="s">
        <v>7</v>
      </c>
      <c r="GU423" s="27" t="s">
        <v>8</v>
      </c>
      <c r="GW423" s="27" t="s">
        <v>8</v>
      </c>
      <c r="GX423" s="27" t="s">
        <v>7</v>
      </c>
      <c r="GY423" s="27" t="s">
        <v>8</v>
      </c>
      <c r="GZ423" s="27" t="s">
        <v>7</v>
      </c>
    </row>
    <row r="424" spans="1:214" x14ac:dyDescent="0.25">
      <c r="A424" s="7">
        <v>25.224815430299277</v>
      </c>
      <c r="B424"/>
      <c r="C424"/>
      <c r="D424"/>
      <c r="E424"/>
      <c r="CE424" s="27" t="s">
        <v>8</v>
      </c>
      <c r="CF424" s="27" t="s">
        <v>7</v>
      </c>
      <c r="CG424" s="27" t="s">
        <v>8</v>
      </c>
      <c r="CH424" s="27" t="s">
        <v>7</v>
      </c>
      <c r="CK424" s="27" t="s">
        <v>8</v>
      </c>
      <c r="CL424" s="27" t="s">
        <v>7</v>
      </c>
      <c r="DX424" s="27" t="s">
        <v>7</v>
      </c>
      <c r="DY424" s="27" t="s">
        <v>8</v>
      </c>
      <c r="DZ424" s="27" t="s">
        <v>7</v>
      </c>
      <c r="EA424" s="27" t="s">
        <v>8</v>
      </c>
      <c r="EB424" s="27" t="s">
        <v>7</v>
      </c>
      <c r="EC424" s="27" t="s">
        <v>8</v>
      </c>
      <c r="EF424" s="27" t="s">
        <v>7</v>
      </c>
      <c r="EH424" s="27" t="s">
        <v>7</v>
      </c>
      <c r="EI424" s="27" t="s">
        <v>8</v>
      </c>
      <c r="FI424" s="27" t="s">
        <v>8</v>
      </c>
      <c r="FR424" s="27" t="s">
        <v>7</v>
      </c>
      <c r="FV424" s="27" t="s">
        <v>7</v>
      </c>
      <c r="GA424" s="27" t="s">
        <v>8</v>
      </c>
      <c r="GB424" s="27" t="s">
        <v>7</v>
      </c>
      <c r="GE424" s="27" t="s">
        <v>8</v>
      </c>
      <c r="GF424" s="27" t="s">
        <v>7</v>
      </c>
      <c r="GI424" s="27" t="s">
        <v>8</v>
      </c>
      <c r="GJ424" s="27" t="s">
        <v>7</v>
      </c>
      <c r="GK424" s="27" t="s">
        <v>8</v>
      </c>
      <c r="GL424" s="27" t="s">
        <v>7</v>
      </c>
      <c r="GM424" s="27" t="s">
        <v>8</v>
      </c>
      <c r="GN424" s="27" t="s">
        <v>7</v>
      </c>
      <c r="GO424" s="27" t="s">
        <v>8</v>
      </c>
      <c r="GP424" s="27" t="s">
        <v>7</v>
      </c>
      <c r="GT424" s="27" t="s">
        <v>7</v>
      </c>
      <c r="GU424" s="27" t="s">
        <v>8</v>
      </c>
      <c r="GV424" s="27" t="s">
        <v>7</v>
      </c>
      <c r="GW424" s="27" t="s">
        <v>8</v>
      </c>
      <c r="GX424" s="27" t="s">
        <v>7</v>
      </c>
      <c r="GY424" s="27" t="s">
        <v>8</v>
      </c>
      <c r="GZ424" s="27" t="s">
        <v>7</v>
      </c>
    </row>
    <row r="425" spans="1:214" x14ac:dyDescent="0.25">
      <c r="A425" s="7">
        <v>24.73021120617576</v>
      </c>
      <c r="B425"/>
      <c r="C425"/>
      <c r="D425"/>
      <c r="E425"/>
      <c r="CE425" s="27" t="s">
        <v>8</v>
      </c>
      <c r="CF425" s="27" t="s">
        <v>7</v>
      </c>
      <c r="CG425" s="27" t="s">
        <v>8</v>
      </c>
      <c r="CH425" s="27" t="s">
        <v>7</v>
      </c>
      <c r="CI425" s="27" t="s">
        <v>8</v>
      </c>
      <c r="CK425" s="27" t="s">
        <v>8</v>
      </c>
      <c r="DX425" s="27" t="s">
        <v>7</v>
      </c>
      <c r="DY425" s="27" t="s">
        <v>8</v>
      </c>
      <c r="DZ425" s="27" t="s">
        <v>7</v>
      </c>
      <c r="EA425" s="27" t="s">
        <v>8</v>
      </c>
      <c r="EB425" s="27" t="s">
        <v>7</v>
      </c>
      <c r="EC425" s="27" t="s">
        <v>8</v>
      </c>
      <c r="EH425" s="27" t="s">
        <v>7</v>
      </c>
      <c r="EI425" s="27" t="s">
        <v>8</v>
      </c>
      <c r="EJ425" s="27" t="s">
        <v>7</v>
      </c>
      <c r="FI425" s="27" t="s">
        <v>8</v>
      </c>
      <c r="FV425" s="27" t="s">
        <v>7</v>
      </c>
      <c r="FW425" s="27" t="s">
        <v>8</v>
      </c>
      <c r="GA425" s="27" t="s">
        <v>8</v>
      </c>
      <c r="GB425" s="27" t="s">
        <v>7</v>
      </c>
      <c r="GE425" s="27" t="s">
        <v>8</v>
      </c>
      <c r="GF425" s="27" t="s">
        <v>7</v>
      </c>
      <c r="GI425" s="27" t="s">
        <v>8</v>
      </c>
      <c r="GJ425" s="27" t="s">
        <v>7</v>
      </c>
      <c r="GK425" s="27" t="s">
        <v>8</v>
      </c>
      <c r="GL425" s="27" t="s">
        <v>7</v>
      </c>
      <c r="GM425" s="27" t="s">
        <v>8</v>
      </c>
      <c r="GN425" s="27" t="s">
        <v>7</v>
      </c>
      <c r="GO425" s="27" t="s">
        <v>8</v>
      </c>
      <c r="GT425" s="27" t="s">
        <v>7</v>
      </c>
      <c r="GU425" s="27" t="s">
        <v>8</v>
      </c>
      <c r="GV425" s="27" t="s">
        <v>7</v>
      </c>
      <c r="GW425" s="27" t="s">
        <v>8</v>
      </c>
      <c r="GX425" s="27" t="s">
        <v>7</v>
      </c>
      <c r="GZ425" s="27" t="s">
        <v>7</v>
      </c>
    </row>
    <row r="426" spans="1:214" x14ac:dyDescent="0.25">
      <c r="A426" s="7">
        <v>24.24530510409388</v>
      </c>
      <c r="B426"/>
      <c r="C426"/>
      <c r="D426"/>
      <c r="E426"/>
      <c r="CE426" s="27" t="s">
        <v>8</v>
      </c>
      <c r="CF426" s="27" t="s">
        <v>7</v>
      </c>
      <c r="CG426" s="27" t="s">
        <v>8</v>
      </c>
      <c r="CH426" s="27" t="s">
        <v>7</v>
      </c>
      <c r="CI426" s="27" t="s">
        <v>8</v>
      </c>
      <c r="CJ426" s="27" t="s">
        <v>7</v>
      </c>
      <c r="CK426" s="27" t="s">
        <v>8</v>
      </c>
      <c r="DX426" s="27" t="s">
        <v>7</v>
      </c>
      <c r="DY426" s="27" t="s">
        <v>8</v>
      </c>
      <c r="DZ426" s="27" t="s">
        <v>7</v>
      </c>
      <c r="EA426" s="27" t="s">
        <v>8</v>
      </c>
      <c r="EB426" s="27" t="s">
        <v>7</v>
      </c>
      <c r="EC426" s="27" t="s">
        <v>8</v>
      </c>
      <c r="EH426" s="27" t="s">
        <v>7</v>
      </c>
      <c r="EI426" s="27" t="s">
        <v>8</v>
      </c>
      <c r="EJ426" s="27" t="s">
        <v>7</v>
      </c>
      <c r="EK426" s="27" t="s">
        <v>8</v>
      </c>
      <c r="FI426" s="27" t="s">
        <v>8</v>
      </c>
      <c r="FV426" s="27" t="s">
        <v>7</v>
      </c>
      <c r="FW426" s="27" t="s">
        <v>8</v>
      </c>
      <c r="FX426" s="27" t="s">
        <v>7</v>
      </c>
      <c r="FY426" s="27" t="s">
        <v>8</v>
      </c>
      <c r="GA426" s="27" t="s">
        <v>8</v>
      </c>
      <c r="GB426" s="27" t="s">
        <v>7</v>
      </c>
      <c r="GE426" s="27" t="s">
        <v>8</v>
      </c>
      <c r="GF426" s="27" t="s">
        <v>7</v>
      </c>
      <c r="GG426" s="27" t="s">
        <v>8</v>
      </c>
      <c r="GI426" s="27" t="s">
        <v>8</v>
      </c>
      <c r="GJ426" s="27" t="s">
        <v>7</v>
      </c>
      <c r="GL426" s="27" t="s">
        <v>7</v>
      </c>
      <c r="GN426" s="27" t="s">
        <v>7</v>
      </c>
      <c r="GO426" s="27" t="s">
        <v>8</v>
      </c>
      <c r="GT426" s="27" t="s">
        <v>7</v>
      </c>
      <c r="GU426" s="27" t="s">
        <v>8</v>
      </c>
      <c r="GV426" s="27" t="s">
        <v>7</v>
      </c>
      <c r="GZ426" s="27" t="s">
        <v>7</v>
      </c>
    </row>
    <row r="427" spans="1:214" x14ac:dyDescent="0.25">
      <c r="A427" s="7">
        <v>23.769906964797922</v>
      </c>
      <c r="B427"/>
      <c r="C427"/>
      <c r="D427"/>
      <c r="E427"/>
      <c r="CA427" s="27" t="s">
        <v>8</v>
      </c>
      <c r="CE427" s="27" t="s">
        <v>8</v>
      </c>
      <c r="CF427" s="27" t="s">
        <v>7</v>
      </c>
      <c r="CG427" s="27" t="s">
        <v>8</v>
      </c>
      <c r="CH427" s="27" t="s">
        <v>7</v>
      </c>
      <c r="CI427" s="27" t="s">
        <v>8</v>
      </c>
      <c r="CJ427" s="27" t="s">
        <v>7</v>
      </c>
      <c r="CK427" s="27" t="s">
        <v>8</v>
      </c>
      <c r="DX427" s="27" t="s">
        <v>7</v>
      </c>
      <c r="DY427" s="27" t="s">
        <v>8</v>
      </c>
      <c r="DZ427" s="27" t="s">
        <v>7</v>
      </c>
      <c r="EA427" s="27" t="s">
        <v>8</v>
      </c>
      <c r="EB427" s="27" t="s">
        <v>7</v>
      </c>
      <c r="EC427" s="27" t="s">
        <v>8</v>
      </c>
      <c r="EH427" s="27" t="s">
        <v>7</v>
      </c>
      <c r="EI427" s="27" t="s">
        <v>8</v>
      </c>
      <c r="EJ427" s="27" t="s">
        <v>7</v>
      </c>
      <c r="EK427" s="27" t="s">
        <v>8</v>
      </c>
      <c r="EL427" s="27" t="s">
        <v>7</v>
      </c>
      <c r="FI427" s="27" t="s">
        <v>8</v>
      </c>
      <c r="FV427" s="27" t="s">
        <v>7</v>
      </c>
      <c r="FW427" s="27" t="s">
        <v>8</v>
      </c>
      <c r="FX427" s="27" t="s">
        <v>7</v>
      </c>
      <c r="FY427" s="27" t="s">
        <v>8</v>
      </c>
      <c r="FZ427" s="27" t="s">
        <v>7</v>
      </c>
      <c r="GA427" s="27" t="s">
        <v>8</v>
      </c>
      <c r="GB427" s="27" t="s">
        <v>7</v>
      </c>
      <c r="GE427" s="27" t="s">
        <v>8</v>
      </c>
      <c r="GF427" s="27" t="s">
        <v>7</v>
      </c>
      <c r="GG427" s="27" t="s">
        <v>8</v>
      </c>
      <c r="GH427" s="27" t="s">
        <v>7</v>
      </c>
      <c r="GI427" s="27" t="s">
        <v>8</v>
      </c>
      <c r="GN427" s="27" t="s">
        <v>7</v>
      </c>
      <c r="GO427" s="27" t="s">
        <v>8</v>
      </c>
      <c r="GT427" s="27" t="s">
        <v>7</v>
      </c>
      <c r="GZ427" s="27" t="s">
        <v>7</v>
      </c>
    </row>
    <row r="428" spans="1:214" x14ac:dyDescent="0.25">
      <c r="A428" s="7">
        <v>23.303830357645023</v>
      </c>
      <c r="B428"/>
      <c r="C428"/>
      <c r="D428"/>
      <c r="E428"/>
      <c r="CA428" s="27" t="s">
        <v>8</v>
      </c>
      <c r="CB428" s="27" t="s">
        <v>7</v>
      </c>
      <c r="CE428" s="27" t="s">
        <v>8</v>
      </c>
      <c r="CF428" s="27" t="s">
        <v>7</v>
      </c>
      <c r="CG428" s="27" t="s">
        <v>8</v>
      </c>
      <c r="CH428" s="27" t="s">
        <v>7</v>
      </c>
      <c r="CI428" s="27" t="s">
        <v>8</v>
      </c>
      <c r="CJ428" s="27" t="s">
        <v>7</v>
      </c>
      <c r="CK428" s="27" t="s">
        <v>8</v>
      </c>
      <c r="DX428" s="27" t="s">
        <v>7</v>
      </c>
      <c r="DY428" s="27" t="s">
        <v>8</v>
      </c>
      <c r="DZ428" s="27" t="s">
        <v>7</v>
      </c>
      <c r="EA428" s="27" t="s">
        <v>8</v>
      </c>
      <c r="EB428" s="27" t="s">
        <v>7</v>
      </c>
      <c r="EC428" s="27" t="s">
        <v>8</v>
      </c>
      <c r="EH428" s="27" t="s">
        <v>7</v>
      </c>
      <c r="EI428" s="27" t="s">
        <v>8</v>
      </c>
      <c r="EJ428" s="27" t="s">
        <v>7</v>
      </c>
      <c r="EK428" s="27" t="s">
        <v>8</v>
      </c>
      <c r="EL428" s="27" t="s">
        <v>7</v>
      </c>
      <c r="EU428" s="27" t="s">
        <v>8</v>
      </c>
      <c r="FI428" s="27" t="s">
        <v>8</v>
      </c>
      <c r="FV428" s="27" t="s">
        <v>7</v>
      </c>
      <c r="FW428" s="27" t="s">
        <v>8</v>
      </c>
      <c r="FX428" s="27" t="s">
        <v>7</v>
      </c>
      <c r="FY428" s="27" t="s">
        <v>8</v>
      </c>
      <c r="FZ428" s="27" t="s">
        <v>7</v>
      </c>
      <c r="GA428" s="27" t="s">
        <v>8</v>
      </c>
      <c r="GB428" s="27" t="s">
        <v>7</v>
      </c>
      <c r="GE428" s="27" t="s">
        <v>8</v>
      </c>
      <c r="GF428" s="27" t="s">
        <v>7</v>
      </c>
      <c r="GG428" s="27" t="s">
        <v>8</v>
      </c>
      <c r="GH428" s="27" t="s">
        <v>7</v>
      </c>
      <c r="GI428" s="27" t="s">
        <v>8</v>
      </c>
      <c r="GN428" s="27" t="s">
        <v>7</v>
      </c>
      <c r="GO428" s="27" t="s">
        <v>8</v>
      </c>
      <c r="GZ428" s="27" t="s">
        <v>7</v>
      </c>
    </row>
    <row r="429" spans="1:214" x14ac:dyDescent="0.25">
      <c r="A429" s="7">
        <v>22.84689250749512</v>
      </c>
      <c r="B429"/>
      <c r="C429"/>
      <c r="D429"/>
      <c r="E429"/>
      <c r="CA429" s="27" t="s">
        <v>8</v>
      </c>
      <c r="CB429" s="27" t="s">
        <v>7</v>
      </c>
      <c r="CE429" s="27" t="s">
        <v>8</v>
      </c>
      <c r="CF429" s="27" t="s">
        <v>7</v>
      </c>
      <c r="CG429" s="27" t="s">
        <v>8</v>
      </c>
      <c r="CH429" s="27" t="s">
        <v>7</v>
      </c>
      <c r="CI429" s="27" t="s">
        <v>8</v>
      </c>
      <c r="CJ429" s="27" t="s">
        <v>7</v>
      </c>
      <c r="CK429" s="27" t="s">
        <v>8</v>
      </c>
      <c r="DX429" s="27" t="s">
        <v>7</v>
      </c>
      <c r="DY429" s="27" t="s">
        <v>8</v>
      </c>
      <c r="DZ429" s="27" t="s">
        <v>7</v>
      </c>
      <c r="EA429" s="27" t="s">
        <v>8</v>
      </c>
      <c r="EB429" s="27" t="s">
        <v>7</v>
      </c>
      <c r="EC429" s="27" t="s">
        <v>8</v>
      </c>
      <c r="EH429" s="27" t="s">
        <v>7</v>
      </c>
      <c r="EI429" s="27" t="s">
        <v>8</v>
      </c>
      <c r="EJ429" s="27" t="s">
        <v>7</v>
      </c>
      <c r="EK429" s="27" t="s">
        <v>8</v>
      </c>
      <c r="EL429" s="27" t="s">
        <v>7</v>
      </c>
      <c r="EU429" s="27" t="s">
        <v>8</v>
      </c>
      <c r="EV429" s="27" t="s">
        <v>7</v>
      </c>
      <c r="FG429" s="27" t="s">
        <v>8</v>
      </c>
      <c r="FI429" s="27" t="s">
        <v>8</v>
      </c>
      <c r="FV429" s="27" t="s">
        <v>7</v>
      </c>
      <c r="FW429" s="27" t="s">
        <v>8</v>
      </c>
      <c r="FX429" s="27" t="s">
        <v>7</v>
      </c>
      <c r="FY429" s="27" t="s">
        <v>8</v>
      </c>
      <c r="FZ429" s="27" t="s">
        <v>7</v>
      </c>
      <c r="GA429" s="27" t="s">
        <v>8</v>
      </c>
      <c r="GB429" s="27" t="s">
        <v>7</v>
      </c>
      <c r="GE429" s="27" t="s">
        <v>8</v>
      </c>
      <c r="GF429" s="27" t="s">
        <v>7</v>
      </c>
      <c r="GG429" s="27" t="s">
        <v>8</v>
      </c>
      <c r="GH429" s="27" t="s">
        <v>7</v>
      </c>
      <c r="GN429" s="27" t="s">
        <v>7</v>
      </c>
      <c r="GO429" s="27" t="s">
        <v>8</v>
      </c>
      <c r="GZ429" s="27" t="s">
        <v>7</v>
      </c>
      <c r="HE429" s="27" t="s">
        <v>8</v>
      </c>
    </row>
    <row r="430" spans="1:214" x14ac:dyDescent="0.25">
      <c r="A430" s="7">
        <v>22.398914223034431</v>
      </c>
      <c r="B430"/>
      <c r="C430"/>
      <c r="D430"/>
      <c r="E430"/>
      <c r="BW430" s="27" t="s">
        <v>8</v>
      </c>
      <c r="BY430" s="27" t="s">
        <v>8</v>
      </c>
      <c r="CA430" s="27" t="s">
        <v>8</v>
      </c>
      <c r="CB430" s="27" t="s">
        <v>7</v>
      </c>
      <c r="CE430" s="27" t="s">
        <v>8</v>
      </c>
      <c r="CF430" s="27" t="s">
        <v>7</v>
      </c>
      <c r="CG430" s="27" t="s">
        <v>8</v>
      </c>
      <c r="CH430" s="27" t="s">
        <v>7</v>
      </c>
      <c r="CI430" s="27" t="s">
        <v>8</v>
      </c>
      <c r="CJ430" s="27" t="s">
        <v>7</v>
      </c>
      <c r="CK430" s="27" t="s">
        <v>8</v>
      </c>
      <c r="DX430" s="27" t="s">
        <v>7</v>
      </c>
      <c r="DY430" s="27" t="s">
        <v>8</v>
      </c>
      <c r="DZ430" s="27" t="s">
        <v>7</v>
      </c>
      <c r="EA430" s="27" t="s">
        <v>8</v>
      </c>
      <c r="EB430" s="27" t="s">
        <v>7</v>
      </c>
      <c r="EC430" s="27" t="s">
        <v>8</v>
      </c>
      <c r="EH430" s="27" t="s">
        <v>7</v>
      </c>
      <c r="EI430" s="27" t="s">
        <v>8</v>
      </c>
      <c r="EJ430" s="27" t="s">
        <v>7</v>
      </c>
      <c r="EK430" s="27" t="s">
        <v>8</v>
      </c>
      <c r="EL430" s="27" t="s">
        <v>7</v>
      </c>
      <c r="EU430" s="27" t="s">
        <v>8</v>
      </c>
      <c r="EV430" s="27" t="s">
        <v>7</v>
      </c>
      <c r="FG430" s="27" t="s">
        <v>8</v>
      </c>
      <c r="FH430" s="27" t="s">
        <v>7</v>
      </c>
      <c r="FI430" s="27" t="s">
        <v>8</v>
      </c>
      <c r="FV430" s="27" t="s">
        <v>7</v>
      </c>
      <c r="FW430" s="27" t="s">
        <v>8</v>
      </c>
      <c r="FX430" s="27" t="s">
        <v>7</v>
      </c>
      <c r="FY430" s="27" t="s">
        <v>8</v>
      </c>
      <c r="FZ430" s="27" t="s">
        <v>7</v>
      </c>
      <c r="GA430" s="27" t="s">
        <v>8</v>
      </c>
      <c r="GB430" s="27" t="s">
        <v>7</v>
      </c>
      <c r="GE430" s="27" t="s">
        <v>8</v>
      </c>
      <c r="GF430" s="27" t="s">
        <v>7</v>
      </c>
      <c r="GN430" s="27" t="s">
        <v>7</v>
      </c>
      <c r="GZ430" s="27" t="s">
        <v>7</v>
      </c>
      <c r="HE430" s="27" t="s">
        <v>8</v>
      </c>
      <c r="HF430" s="27" t="s">
        <v>7</v>
      </c>
    </row>
    <row r="431" spans="1:214" x14ac:dyDescent="0.25">
      <c r="A431" s="7">
        <v>21.959719826504344</v>
      </c>
      <c r="B431"/>
      <c r="C431"/>
      <c r="D431"/>
      <c r="E431"/>
      <c r="BW431" s="27" t="s">
        <v>8</v>
      </c>
      <c r="BX431" s="27" t="s">
        <v>7</v>
      </c>
      <c r="BY431" s="27" t="s">
        <v>8</v>
      </c>
      <c r="BZ431" s="27" t="s">
        <v>7</v>
      </c>
      <c r="CA431" s="27" t="s">
        <v>8</v>
      </c>
      <c r="CB431" s="27" t="s">
        <v>7</v>
      </c>
      <c r="CC431" s="27" t="s">
        <v>8</v>
      </c>
      <c r="CE431" s="27" t="s">
        <v>8</v>
      </c>
      <c r="CF431" s="27" t="s">
        <v>7</v>
      </c>
      <c r="CG431" s="27" t="s">
        <v>8</v>
      </c>
      <c r="CH431" s="27" t="s">
        <v>7</v>
      </c>
      <c r="CI431" s="27" t="s">
        <v>8</v>
      </c>
      <c r="CJ431" s="27" t="s">
        <v>7</v>
      </c>
      <c r="CK431" s="27" t="s">
        <v>8</v>
      </c>
      <c r="DX431" s="27" t="s">
        <v>7</v>
      </c>
      <c r="DY431" s="27" t="s">
        <v>8</v>
      </c>
      <c r="DZ431" s="27" t="s">
        <v>7</v>
      </c>
      <c r="EA431" s="27" t="s">
        <v>8</v>
      </c>
      <c r="EB431" s="27" t="s">
        <v>7</v>
      </c>
      <c r="EH431" s="27" t="s">
        <v>7</v>
      </c>
      <c r="EI431" s="27" t="s">
        <v>8</v>
      </c>
      <c r="EJ431" s="27" t="s">
        <v>7</v>
      </c>
      <c r="EK431" s="27" t="s">
        <v>8</v>
      </c>
      <c r="EL431" s="27" t="s">
        <v>7</v>
      </c>
      <c r="EU431" s="27" t="s">
        <v>8</v>
      </c>
      <c r="EV431" s="27" t="s">
        <v>7</v>
      </c>
      <c r="FG431" s="27" t="s">
        <v>8</v>
      </c>
      <c r="FH431" s="27" t="s">
        <v>7</v>
      </c>
      <c r="FI431" s="27" t="s">
        <v>8</v>
      </c>
      <c r="FV431" s="27" t="s">
        <v>7</v>
      </c>
      <c r="FW431" s="27" t="s">
        <v>8</v>
      </c>
      <c r="FX431" s="27" t="s">
        <v>7</v>
      </c>
      <c r="FY431" s="27" t="s">
        <v>8</v>
      </c>
      <c r="FZ431" s="27" t="s">
        <v>7</v>
      </c>
      <c r="GA431" s="27" t="s">
        <v>8</v>
      </c>
      <c r="GB431" s="27" t="s">
        <v>7</v>
      </c>
      <c r="GE431" s="27" t="s">
        <v>8</v>
      </c>
      <c r="GZ431" s="27" t="s">
        <v>7</v>
      </c>
      <c r="HA431" s="27" t="s">
        <v>8</v>
      </c>
      <c r="HE431" s="27" t="s">
        <v>8</v>
      </c>
      <c r="HF431" s="27" t="s">
        <v>7</v>
      </c>
    </row>
    <row r="432" spans="1:214" x14ac:dyDescent="0.25">
      <c r="A432" s="7">
        <v>21.52913708480818</v>
      </c>
      <c r="B432"/>
      <c r="C432"/>
      <c r="D432"/>
      <c r="E432"/>
      <c r="BW432" s="27" t="s">
        <v>8</v>
      </c>
      <c r="BX432" s="27" t="s">
        <v>7</v>
      </c>
      <c r="BY432" s="27" t="s">
        <v>8</v>
      </c>
      <c r="BZ432" s="27" t="s">
        <v>7</v>
      </c>
      <c r="CA432" s="27" t="s">
        <v>8</v>
      </c>
      <c r="CB432" s="27" t="s">
        <v>7</v>
      </c>
      <c r="CC432" s="27" t="s">
        <v>8</v>
      </c>
      <c r="CD432" s="27" t="s">
        <v>7</v>
      </c>
      <c r="CE432" s="27" t="s">
        <v>8</v>
      </c>
      <c r="CF432" s="27" t="s">
        <v>7</v>
      </c>
      <c r="CG432" s="27" t="s">
        <v>8</v>
      </c>
      <c r="CH432" s="27" t="s">
        <v>7</v>
      </c>
      <c r="CI432" s="27" t="s">
        <v>8</v>
      </c>
      <c r="CJ432" s="27" t="s">
        <v>7</v>
      </c>
      <c r="CK432" s="27" t="s">
        <v>8</v>
      </c>
      <c r="DX432" s="27" t="s">
        <v>7</v>
      </c>
      <c r="DY432" s="27" t="s">
        <v>8</v>
      </c>
      <c r="DZ432" s="27" t="s">
        <v>7</v>
      </c>
      <c r="EA432" s="27" t="s">
        <v>8</v>
      </c>
      <c r="EH432" s="27" t="s">
        <v>7</v>
      </c>
      <c r="EI432" s="27" t="s">
        <v>8</v>
      </c>
      <c r="EJ432" s="27" t="s">
        <v>7</v>
      </c>
      <c r="EK432" s="27" t="s">
        <v>8</v>
      </c>
      <c r="EL432" s="27" t="s">
        <v>7</v>
      </c>
      <c r="EU432" s="27" t="s">
        <v>8</v>
      </c>
      <c r="EV432" s="27" t="s">
        <v>7</v>
      </c>
      <c r="FG432" s="27" t="s">
        <v>8</v>
      </c>
      <c r="FH432" s="27" t="s">
        <v>7</v>
      </c>
      <c r="FI432" s="27" t="s">
        <v>8</v>
      </c>
      <c r="FV432" s="27" t="s">
        <v>7</v>
      </c>
      <c r="FW432" s="27" t="s">
        <v>8</v>
      </c>
      <c r="FX432" s="27" t="s">
        <v>7</v>
      </c>
      <c r="FZ432" s="27" t="s">
        <v>7</v>
      </c>
      <c r="GB432" s="27" t="s">
        <v>7</v>
      </c>
      <c r="GC432" s="27" t="s">
        <v>8</v>
      </c>
      <c r="GE432" s="27" t="s">
        <v>8</v>
      </c>
      <c r="GZ432" s="27" t="s">
        <v>7</v>
      </c>
      <c r="HA432" s="27" t="s">
        <v>8</v>
      </c>
      <c r="HB432" s="27" t="s">
        <v>7</v>
      </c>
      <c r="HE432" s="27" t="s">
        <v>8</v>
      </c>
      <c r="HF432" s="27" t="s">
        <v>7</v>
      </c>
    </row>
    <row r="433" spans="1:236" x14ac:dyDescent="0.25">
      <c r="A433" s="7">
        <v>21.106997141968804</v>
      </c>
      <c r="B433"/>
      <c r="C433"/>
      <c r="D433"/>
      <c r="E433"/>
      <c r="BW433" s="27" t="s">
        <v>8</v>
      </c>
      <c r="BX433" s="27" t="s">
        <v>7</v>
      </c>
      <c r="BY433" s="27" t="s">
        <v>8</v>
      </c>
      <c r="BZ433" s="27" t="s">
        <v>7</v>
      </c>
      <c r="CA433" s="27" t="s">
        <v>8</v>
      </c>
      <c r="CB433" s="27" t="s">
        <v>7</v>
      </c>
      <c r="CC433" s="27" t="s">
        <v>8</v>
      </c>
      <c r="CD433" s="27" t="s">
        <v>7</v>
      </c>
      <c r="CE433" s="27" t="s">
        <v>8</v>
      </c>
      <c r="CF433" s="27" t="s">
        <v>7</v>
      </c>
      <c r="CG433" s="27" t="s">
        <v>8</v>
      </c>
      <c r="CH433" s="27" t="s">
        <v>7</v>
      </c>
      <c r="CJ433" s="27" t="s">
        <v>7</v>
      </c>
      <c r="CK433" s="27" t="s">
        <v>8</v>
      </c>
      <c r="DX433" s="27" t="s">
        <v>7</v>
      </c>
      <c r="DY433" s="27" t="s">
        <v>8</v>
      </c>
      <c r="DZ433" s="27" t="s">
        <v>7</v>
      </c>
      <c r="EA433" s="27" t="s">
        <v>8</v>
      </c>
      <c r="EH433" s="27" t="s">
        <v>7</v>
      </c>
      <c r="EI433" s="27" t="s">
        <v>8</v>
      </c>
      <c r="EJ433" s="27" t="s">
        <v>7</v>
      </c>
      <c r="EK433" s="27" t="s">
        <v>8</v>
      </c>
      <c r="EL433" s="27" t="s">
        <v>7</v>
      </c>
      <c r="ES433" s="27" t="s">
        <v>8</v>
      </c>
      <c r="EU433" s="27" t="s">
        <v>8</v>
      </c>
      <c r="EV433" s="27" t="s">
        <v>7</v>
      </c>
      <c r="EW433" s="27" t="s">
        <v>8</v>
      </c>
      <c r="FG433" s="27" t="s">
        <v>8</v>
      </c>
      <c r="FH433" s="27" t="s">
        <v>7</v>
      </c>
      <c r="FI433" s="27" t="s">
        <v>8</v>
      </c>
      <c r="FV433" s="27" t="s">
        <v>7</v>
      </c>
      <c r="GB433" s="27" t="s">
        <v>7</v>
      </c>
      <c r="GC433" s="27" t="s">
        <v>8</v>
      </c>
      <c r="GD433" s="27" t="s">
        <v>7</v>
      </c>
      <c r="GE433" s="27" t="s">
        <v>8</v>
      </c>
      <c r="GZ433" s="27" t="s">
        <v>7</v>
      </c>
      <c r="HA433" s="27" t="s">
        <v>8</v>
      </c>
      <c r="HB433" s="27" t="s">
        <v>7</v>
      </c>
      <c r="HE433" s="27" t="s">
        <v>8</v>
      </c>
      <c r="HF433" s="27" t="s">
        <v>7</v>
      </c>
    </row>
    <row r="434" spans="1:236" x14ac:dyDescent="0.25">
      <c r="A434" s="7">
        <v>20.693134452910591</v>
      </c>
      <c r="B434"/>
      <c r="C434"/>
      <c r="D434"/>
      <c r="E434"/>
      <c r="BU434" s="27" t="s">
        <v>8</v>
      </c>
      <c r="BW434" s="27" t="s">
        <v>8</v>
      </c>
      <c r="BX434" s="27" t="s">
        <v>7</v>
      </c>
      <c r="BY434" s="27" t="s">
        <v>8</v>
      </c>
      <c r="BZ434" s="27" t="s">
        <v>7</v>
      </c>
      <c r="CA434" s="27" t="s">
        <v>8</v>
      </c>
      <c r="CB434" s="27" t="s">
        <v>7</v>
      </c>
      <c r="CC434" s="27" t="s">
        <v>8</v>
      </c>
      <c r="CD434" s="27" t="s">
        <v>7</v>
      </c>
      <c r="CE434" s="27" t="s">
        <v>8</v>
      </c>
      <c r="CF434" s="27" t="s">
        <v>7</v>
      </c>
      <c r="CG434" s="27" t="s">
        <v>8</v>
      </c>
      <c r="CJ434" s="27" t="s">
        <v>7</v>
      </c>
      <c r="DX434" s="27" t="s">
        <v>7</v>
      </c>
      <c r="DY434" s="27" t="s">
        <v>8</v>
      </c>
      <c r="DZ434" s="27" t="s">
        <v>7</v>
      </c>
      <c r="EA434" s="27" t="s">
        <v>8</v>
      </c>
      <c r="EH434" s="27" t="s">
        <v>7</v>
      </c>
      <c r="EJ434" s="27" t="s">
        <v>7</v>
      </c>
      <c r="EK434" s="27" t="s">
        <v>8</v>
      </c>
      <c r="EL434" s="27" t="s">
        <v>7</v>
      </c>
      <c r="ES434" s="27" t="s">
        <v>8</v>
      </c>
      <c r="ET434" s="27" t="s">
        <v>7</v>
      </c>
      <c r="EU434" s="27" t="s">
        <v>8</v>
      </c>
      <c r="EV434" s="27" t="s">
        <v>7</v>
      </c>
      <c r="EW434" s="27" t="s">
        <v>8</v>
      </c>
      <c r="EX434" s="27" t="s">
        <v>7</v>
      </c>
      <c r="FG434" s="27" t="s">
        <v>8</v>
      </c>
      <c r="FH434" s="27" t="s">
        <v>7</v>
      </c>
      <c r="GB434" s="27" t="s">
        <v>7</v>
      </c>
      <c r="GC434" s="27" t="s">
        <v>8</v>
      </c>
      <c r="GD434" s="27" t="s">
        <v>7</v>
      </c>
      <c r="GE434" s="27" t="s">
        <v>8</v>
      </c>
      <c r="GZ434" s="27" t="s">
        <v>7</v>
      </c>
      <c r="HA434" s="27" t="s">
        <v>8</v>
      </c>
      <c r="HB434" s="27" t="s">
        <v>7</v>
      </c>
      <c r="HE434" s="27" t="s">
        <v>8</v>
      </c>
      <c r="HF434" s="27" t="s">
        <v>7</v>
      </c>
    </row>
    <row r="435" spans="1:236" x14ac:dyDescent="0.25">
      <c r="A435" s="7">
        <v>20.287386718539796</v>
      </c>
      <c r="B435"/>
      <c r="C435"/>
      <c r="D435"/>
      <c r="E435"/>
      <c r="BU435" s="27" t="s">
        <v>8</v>
      </c>
      <c r="BV435" s="27" t="s">
        <v>7</v>
      </c>
      <c r="BW435" s="27" t="s">
        <v>8</v>
      </c>
      <c r="BX435" s="27" t="s">
        <v>7</v>
      </c>
      <c r="BY435" s="27" t="s">
        <v>8</v>
      </c>
      <c r="BZ435" s="27" t="s">
        <v>7</v>
      </c>
      <c r="CB435" s="27" t="s">
        <v>7</v>
      </c>
      <c r="CC435" s="27" t="s">
        <v>8</v>
      </c>
      <c r="CD435" s="27" t="s">
        <v>7</v>
      </c>
      <c r="CE435" s="27" t="s">
        <v>8</v>
      </c>
      <c r="CF435" s="27" t="s">
        <v>7</v>
      </c>
      <c r="CG435" s="27" t="s">
        <v>8</v>
      </c>
      <c r="DX435" s="27" t="s">
        <v>7</v>
      </c>
      <c r="DY435" s="27" t="s">
        <v>8</v>
      </c>
      <c r="DZ435" s="27" t="s">
        <v>7</v>
      </c>
      <c r="EA435" s="27" t="s">
        <v>8</v>
      </c>
      <c r="EJ435" s="27" t="s">
        <v>7</v>
      </c>
      <c r="EL435" s="27" t="s">
        <v>7</v>
      </c>
      <c r="ES435" s="27" t="s">
        <v>8</v>
      </c>
      <c r="ET435" s="27" t="s">
        <v>7</v>
      </c>
      <c r="EU435" s="27" t="s">
        <v>8</v>
      </c>
      <c r="EV435" s="27" t="s">
        <v>7</v>
      </c>
      <c r="EW435" s="27" t="s">
        <v>8</v>
      </c>
      <c r="EX435" s="27" t="s">
        <v>7</v>
      </c>
      <c r="FE435" s="27" t="s">
        <v>8</v>
      </c>
      <c r="FG435" s="27" t="s">
        <v>8</v>
      </c>
      <c r="GB435" s="27" t="s">
        <v>7</v>
      </c>
      <c r="GC435" s="27" t="s">
        <v>8</v>
      </c>
      <c r="GD435" s="27" t="s">
        <v>7</v>
      </c>
      <c r="GE435" s="27" t="s">
        <v>8</v>
      </c>
      <c r="GZ435" s="27" t="s">
        <v>7</v>
      </c>
      <c r="HA435" s="27" t="s">
        <v>8</v>
      </c>
      <c r="HB435" s="27" t="s">
        <v>7</v>
      </c>
      <c r="HE435" s="27" t="s">
        <v>8</v>
      </c>
      <c r="HF435" s="27" t="s">
        <v>7</v>
      </c>
    </row>
    <row r="436" spans="1:236" x14ac:dyDescent="0.25">
      <c r="A436" s="7">
        <v>19.889594822097838</v>
      </c>
      <c r="B436"/>
      <c r="C436"/>
      <c r="D436"/>
      <c r="E436"/>
      <c r="BU436" s="27" t="s">
        <v>8</v>
      </c>
      <c r="BV436" s="27" t="s">
        <v>7</v>
      </c>
      <c r="BW436" s="27" t="s">
        <v>8</v>
      </c>
      <c r="BX436" s="27" t="s">
        <v>7</v>
      </c>
      <c r="BY436" s="27" t="s">
        <v>8</v>
      </c>
      <c r="CB436" s="27" t="s">
        <v>7</v>
      </c>
      <c r="CC436" s="27" t="s">
        <v>8</v>
      </c>
      <c r="CD436" s="27" t="s">
        <v>7</v>
      </c>
      <c r="CE436" s="27" t="s">
        <v>8</v>
      </c>
      <c r="CF436" s="27" t="s">
        <v>7</v>
      </c>
      <c r="CG436" s="27" t="s">
        <v>8</v>
      </c>
      <c r="DX436" s="27" t="s">
        <v>7</v>
      </c>
      <c r="DY436" s="27" t="s">
        <v>8</v>
      </c>
      <c r="DZ436" s="27" t="s">
        <v>7</v>
      </c>
      <c r="EA436" s="27" t="s">
        <v>8</v>
      </c>
      <c r="EL436" s="27" t="s">
        <v>7</v>
      </c>
      <c r="ES436" s="27" t="s">
        <v>8</v>
      </c>
      <c r="ET436" s="27" t="s">
        <v>7</v>
      </c>
      <c r="EU436" s="27" t="s">
        <v>8</v>
      </c>
      <c r="EV436" s="27" t="s">
        <v>7</v>
      </c>
      <c r="EX436" s="27" t="s">
        <v>7</v>
      </c>
      <c r="FE436" s="27" t="s">
        <v>8</v>
      </c>
      <c r="FF436" s="27" t="s">
        <v>7</v>
      </c>
      <c r="FG436" s="27" t="s">
        <v>8</v>
      </c>
      <c r="GB436" s="27" t="s">
        <v>7</v>
      </c>
      <c r="GC436" s="27" t="s">
        <v>8</v>
      </c>
      <c r="GD436" s="27" t="s">
        <v>7</v>
      </c>
      <c r="GE436" s="27" t="s">
        <v>8</v>
      </c>
      <c r="GZ436" s="27" t="s">
        <v>7</v>
      </c>
      <c r="HB436" s="27" t="s">
        <v>7</v>
      </c>
      <c r="HC436" s="27" t="s">
        <v>8</v>
      </c>
      <c r="HE436" s="27" t="s">
        <v>8</v>
      </c>
      <c r="HF436" s="27" t="s">
        <v>7</v>
      </c>
      <c r="HQ436" s="27" t="s">
        <v>8</v>
      </c>
    </row>
    <row r="437" spans="1:236" x14ac:dyDescent="0.25">
      <c r="A437" s="7">
        <v>19.499602766762585</v>
      </c>
      <c r="B437"/>
      <c r="C437"/>
      <c r="D437"/>
      <c r="E437"/>
      <c r="BU437" s="27" t="s">
        <v>8</v>
      </c>
      <c r="BV437" s="27" t="s">
        <v>7</v>
      </c>
      <c r="BW437" s="27" t="s">
        <v>8</v>
      </c>
      <c r="BX437" s="27" t="s">
        <v>7</v>
      </c>
      <c r="BY437" s="27" t="s">
        <v>8</v>
      </c>
      <c r="CB437" s="27" t="s">
        <v>7</v>
      </c>
      <c r="CC437" s="27" t="s">
        <v>8</v>
      </c>
      <c r="CD437" s="27" t="s">
        <v>7</v>
      </c>
      <c r="CF437" s="27" t="s">
        <v>7</v>
      </c>
      <c r="CG437" s="27" t="s">
        <v>8</v>
      </c>
      <c r="DX437" s="27" t="s">
        <v>7</v>
      </c>
      <c r="DY437" s="27" t="s">
        <v>8</v>
      </c>
      <c r="DZ437" s="27" t="s">
        <v>7</v>
      </c>
      <c r="EA437" s="27" t="s">
        <v>8</v>
      </c>
      <c r="EL437" s="27" t="s">
        <v>7</v>
      </c>
      <c r="ES437" s="27" t="s">
        <v>8</v>
      </c>
      <c r="ET437" s="27" t="s">
        <v>7</v>
      </c>
      <c r="EU437" s="27" t="s">
        <v>8</v>
      </c>
      <c r="EX437" s="32" t="s">
        <v>7</v>
      </c>
      <c r="FE437" s="27" t="s">
        <v>8</v>
      </c>
      <c r="FF437" s="27" t="s">
        <v>7</v>
      </c>
      <c r="FG437" s="27" t="s">
        <v>8</v>
      </c>
      <c r="GB437" s="27" t="s">
        <v>7</v>
      </c>
      <c r="GC437" s="27" t="s">
        <v>8</v>
      </c>
      <c r="GD437" s="27" t="s">
        <v>7</v>
      </c>
      <c r="GE437" s="27" t="s">
        <v>8</v>
      </c>
      <c r="HB437" s="27" t="s">
        <v>7</v>
      </c>
      <c r="HC437" s="27" t="s">
        <v>8</v>
      </c>
      <c r="HD437" s="27" t="s">
        <v>7</v>
      </c>
      <c r="HE437" s="27" t="s">
        <v>8</v>
      </c>
      <c r="HF437" s="27" t="s">
        <v>7</v>
      </c>
      <c r="HQ437" s="27" t="s">
        <v>8</v>
      </c>
      <c r="HR437" s="27" t="s">
        <v>7</v>
      </c>
    </row>
    <row r="438" spans="1:236" x14ac:dyDescent="0.25">
      <c r="A438" s="7">
        <v>19.117257614473122</v>
      </c>
      <c r="B438"/>
      <c r="C438"/>
      <c r="D438"/>
      <c r="E438"/>
      <c r="BU438" s="27" t="s">
        <v>8</v>
      </c>
      <c r="BV438" s="27" t="s">
        <v>7</v>
      </c>
      <c r="BW438" s="27" t="s">
        <v>8</v>
      </c>
      <c r="BX438" s="27" t="s">
        <v>7</v>
      </c>
      <c r="BY438" s="27" t="s">
        <v>8</v>
      </c>
      <c r="CB438" s="27" t="s">
        <v>7</v>
      </c>
      <c r="CC438" s="27" t="s">
        <v>8</v>
      </c>
      <c r="CF438" s="27" t="s">
        <v>7</v>
      </c>
      <c r="CG438" s="27" t="s">
        <v>8</v>
      </c>
      <c r="DX438" s="27" t="s">
        <v>7</v>
      </c>
      <c r="DY438" s="27" t="s">
        <v>8</v>
      </c>
      <c r="DZ438" s="27" t="s">
        <v>7</v>
      </c>
      <c r="EA438" s="27" t="s">
        <v>8</v>
      </c>
      <c r="EL438" s="27" t="s">
        <v>7</v>
      </c>
      <c r="EO438" s="27" t="s">
        <v>8</v>
      </c>
      <c r="EQ438" s="27" t="s">
        <v>8</v>
      </c>
      <c r="ES438" s="27" t="s">
        <v>8</v>
      </c>
      <c r="ET438" s="27" t="s">
        <v>7</v>
      </c>
      <c r="EX438" s="27" t="s">
        <v>7</v>
      </c>
      <c r="FE438" s="27" t="s">
        <v>8</v>
      </c>
      <c r="FF438" s="27" t="s">
        <v>7</v>
      </c>
      <c r="FG438" s="27" t="s">
        <v>8</v>
      </c>
      <c r="GB438" s="27" t="s">
        <v>7</v>
      </c>
      <c r="GC438" s="27" t="s">
        <v>8</v>
      </c>
      <c r="GD438" s="27" t="s">
        <v>7</v>
      </c>
      <c r="GE438" s="27" t="s">
        <v>8</v>
      </c>
      <c r="HB438" s="27" t="s">
        <v>7</v>
      </c>
      <c r="HC438" s="27" t="s">
        <v>8</v>
      </c>
      <c r="HD438" s="27" t="s">
        <v>7</v>
      </c>
      <c r="HE438" s="27" t="s">
        <v>8</v>
      </c>
      <c r="HF438" s="27" t="s">
        <v>7</v>
      </c>
      <c r="HQ438" s="27" t="s">
        <v>8</v>
      </c>
      <c r="HR438" s="27" t="s">
        <v>7</v>
      </c>
      <c r="HU438" s="27" t="s">
        <v>8</v>
      </c>
    </row>
    <row r="439" spans="1:236" x14ac:dyDescent="0.25">
      <c r="A439" s="7">
        <v>18.74240942595404</v>
      </c>
      <c r="B439"/>
      <c r="C439"/>
      <c r="D439"/>
      <c r="E439"/>
      <c r="BU439" s="27" t="s">
        <v>8</v>
      </c>
      <c r="BV439" s="27" t="s">
        <v>7</v>
      </c>
      <c r="BW439" s="27" t="s">
        <v>8</v>
      </c>
      <c r="BX439" s="27" t="s">
        <v>7</v>
      </c>
      <c r="BY439" s="27" t="s">
        <v>8</v>
      </c>
      <c r="CB439" s="27" t="s">
        <v>7</v>
      </c>
      <c r="CC439" s="27" t="s">
        <v>8</v>
      </c>
      <c r="CF439" s="27" t="s">
        <v>7</v>
      </c>
      <c r="CG439" s="27" t="s">
        <v>8</v>
      </c>
      <c r="DX439" s="27" t="s">
        <v>7</v>
      </c>
      <c r="DY439" s="27" t="s">
        <v>8</v>
      </c>
      <c r="DZ439" s="27" t="s">
        <v>7</v>
      </c>
      <c r="EA439" s="27" t="s">
        <v>8</v>
      </c>
      <c r="EL439" s="27" t="s">
        <v>7</v>
      </c>
      <c r="EO439" s="27" t="s">
        <v>8</v>
      </c>
      <c r="EP439" s="27" t="s">
        <v>7</v>
      </c>
      <c r="EQ439" s="27" t="s">
        <v>8</v>
      </c>
      <c r="ER439" s="27" t="s">
        <v>7</v>
      </c>
      <c r="ES439" s="27" t="s">
        <v>8</v>
      </c>
      <c r="EX439" s="27" t="s">
        <v>7</v>
      </c>
      <c r="FC439" s="27" t="s">
        <v>8</v>
      </c>
      <c r="FE439" s="27" t="s">
        <v>8</v>
      </c>
      <c r="FF439" s="27" t="s">
        <v>7</v>
      </c>
      <c r="FG439" s="27" t="s">
        <v>8</v>
      </c>
      <c r="GB439" s="27" t="s">
        <v>7</v>
      </c>
      <c r="GC439" s="27" t="s">
        <v>8</v>
      </c>
      <c r="GD439" s="27" t="s">
        <v>7</v>
      </c>
      <c r="GE439" s="27" t="s">
        <v>8</v>
      </c>
      <c r="HB439" s="27" t="s">
        <v>7</v>
      </c>
      <c r="HD439" s="27" t="s">
        <v>7</v>
      </c>
      <c r="HF439" s="27" t="s">
        <v>7</v>
      </c>
      <c r="HI439" s="27" t="s">
        <v>8</v>
      </c>
      <c r="HQ439" s="27" t="s">
        <v>8</v>
      </c>
      <c r="HR439" s="27" t="s">
        <v>7</v>
      </c>
      <c r="HU439" s="27" t="s">
        <v>8</v>
      </c>
      <c r="HV439" s="27" t="s">
        <v>7</v>
      </c>
    </row>
    <row r="440" spans="1:236" x14ac:dyDescent="0.25">
      <c r="A440" s="7">
        <v>18.374911201915726</v>
      </c>
      <c r="B440"/>
      <c r="C440"/>
      <c r="D440"/>
      <c r="E440"/>
      <c r="BU440" s="27" t="s">
        <v>8</v>
      </c>
      <c r="BV440" s="27" t="s">
        <v>7</v>
      </c>
      <c r="BW440" s="27" t="s">
        <v>8</v>
      </c>
      <c r="BX440" s="27" t="s">
        <v>7</v>
      </c>
      <c r="BY440" s="27" t="s">
        <v>8</v>
      </c>
      <c r="CB440" s="27" t="s">
        <v>7</v>
      </c>
      <c r="CC440" s="27" t="s">
        <v>8</v>
      </c>
      <c r="CF440" s="27" t="s">
        <v>7</v>
      </c>
      <c r="DX440" s="27" t="s">
        <v>7</v>
      </c>
      <c r="DY440" s="27" t="s">
        <v>8</v>
      </c>
      <c r="DZ440" s="27" t="s">
        <v>7</v>
      </c>
      <c r="EA440" s="27" t="s">
        <v>8</v>
      </c>
      <c r="EL440" s="27" t="s">
        <v>7</v>
      </c>
      <c r="EM440" s="27" t="s">
        <v>8</v>
      </c>
      <c r="EO440" s="27" t="s">
        <v>8</v>
      </c>
      <c r="EP440" s="27" t="s">
        <v>7</v>
      </c>
      <c r="EQ440" s="27" t="s">
        <v>8</v>
      </c>
      <c r="ER440" s="27" t="s">
        <v>7</v>
      </c>
      <c r="ES440" s="27" t="s">
        <v>8</v>
      </c>
      <c r="EX440" s="27" t="s">
        <v>7</v>
      </c>
      <c r="EY440" s="27" t="s">
        <v>8</v>
      </c>
      <c r="FC440" s="27" t="s">
        <v>8</v>
      </c>
      <c r="FD440" s="27" t="s">
        <v>7</v>
      </c>
      <c r="FE440" s="27" t="s">
        <v>8</v>
      </c>
      <c r="FF440" s="27" t="s">
        <v>7</v>
      </c>
      <c r="FG440" s="27" t="s">
        <v>8</v>
      </c>
      <c r="GB440" s="27" t="s">
        <v>7</v>
      </c>
      <c r="GD440" s="27" t="s">
        <v>7</v>
      </c>
      <c r="HF440" s="27" t="s">
        <v>7</v>
      </c>
      <c r="HI440" s="27" t="s">
        <v>8</v>
      </c>
      <c r="HJ440" s="27" t="s">
        <v>7</v>
      </c>
      <c r="HQ440" s="27" t="s">
        <v>8</v>
      </c>
      <c r="HR440" s="27" t="s">
        <v>7</v>
      </c>
      <c r="HS440" s="27" t="s">
        <v>8</v>
      </c>
      <c r="HU440" s="27" t="s">
        <v>8</v>
      </c>
      <c r="HV440" s="27" t="s">
        <v>7</v>
      </c>
    </row>
    <row r="441" spans="1:236" x14ac:dyDescent="0.25">
      <c r="A441" s="7">
        <v>18.014618825407574</v>
      </c>
      <c r="B441"/>
      <c r="C441"/>
      <c r="D441"/>
      <c r="E441"/>
      <c r="BU441" s="27" t="s">
        <v>8</v>
      </c>
      <c r="BV441" s="27" t="s">
        <v>7</v>
      </c>
      <c r="BX441" s="27" t="s">
        <v>7</v>
      </c>
      <c r="BY441" s="27" t="s">
        <v>8</v>
      </c>
      <c r="CB441" s="27" t="s">
        <v>7</v>
      </c>
      <c r="CC441" s="27" t="s">
        <v>8</v>
      </c>
      <c r="DX441" s="27" t="s">
        <v>7</v>
      </c>
      <c r="DY441" s="27" t="s">
        <v>8</v>
      </c>
      <c r="DZ441" s="27" t="s">
        <v>7</v>
      </c>
      <c r="EA441" s="27" t="s">
        <v>8</v>
      </c>
      <c r="EL441" s="27" t="s">
        <v>7</v>
      </c>
      <c r="EM441" s="27" t="s">
        <v>8</v>
      </c>
      <c r="EN441" s="27" t="s">
        <v>7</v>
      </c>
      <c r="EO441" s="27" t="s">
        <v>8</v>
      </c>
      <c r="EP441" s="27" t="s">
        <v>7</v>
      </c>
      <c r="EQ441" s="27" t="s">
        <v>8</v>
      </c>
      <c r="ER441" s="27" t="s">
        <v>7</v>
      </c>
      <c r="ES441" s="27" t="s">
        <v>8</v>
      </c>
      <c r="EX441" s="27" t="s">
        <v>7</v>
      </c>
      <c r="EY441" s="27" t="s">
        <v>8</v>
      </c>
      <c r="EZ441" s="27" t="s">
        <v>7</v>
      </c>
      <c r="FC441" s="27" t="s">
        <v>8</v>
      </c>
      <c r="FD441" s="27" t="s">
        <v>7</v>
      </c>
      <c r="FE441" s="27" t="s">
        <v>8</v>
      </c>
      <c r="FF441" s="27" t="s">
        <v>7</v>
      </c>
      <c r="HF441" s="27" t="s">
        <v>7</v>
      </c>
      <c r="HI441" s="27" t="s">
        <v>8</v>
      </c>
      <c r="HJ441" s="27" t="s">
        <v>7</v>
      </c>
      <c r="HQ441" s="27" t="s">
        <v>8</v>
      </c>
      <c r="HR441" s="27" t="s">
        <v>7</v>
      </c>
      <c r="HS441" s="27" t="s">
        <v>8</v>
      </c>
      <c r="HT441" s="27" t="s">
        <v>7</v>
      </c>
      <c r="HU441" s="27" t="s">
        <v>8</v>
      </c>
      <c r="HV441" s="27" t="s">
        <v>7</v>
      </c>
      <c r="IA441" s="27" t="s">
        <v>8</v>
      </c>
    </row>
    <row r="442" spans="1:236" x14ac:dyDescent="0.25">
      <c r="A442" s="7">
        <v>17.661391005301542</v>
      </c>
      <c r="B442"/>
      <c r="C442"/>
      <c r="D442"/>
      <c r="E442"/>
      <c r="BU442" s="27" t="s">
        <v>8</v>
      </c>
      <c r="BX442" s="27" t="s">
        <v>7</v>
      </c>
      <c r="BY442" s="27" t="s">
        <v>8</v>
      </c>
      <c r="CB442" s="27" t="s">
        <v>7</v>
      </c>
      <c r="CC442" s="27" t="s">
        <v>8</v>
      </c>
      <c r="DX442" s="27" t="s">
        <v>7</v>
      </c>
      <c r="DY442" s="27" t="s">
        <v>8</v>
      </c>
      <c r="DZ442" s="27" t="s">
        <v>7</v>
      </c>
      <c r="EA442" s="27" t="s">
        <v>8</v>
      </c>
      <c r="EL442" s="27" t="s">
        <v>7</v>
      </c>
      <c r="EM442" s="27" t="s">
        <v>8</v>
      </c>
      <c r="EN442" s="27" t="s">
        <v>7</v>
      </c>
      <c r="EO442" s="27" t="s">
        <v>8</v>
      </c>
      <c r="EP442" s="27" t="s">
        <v>7</v>
      </c>
      <c r="EQ442" s="27" t="s">
        <v>8</v>
      </c>
      <c r="ER442" s="27" t="s">
        <v>7</v>
      </c>
      <c r="ES442" s="27" t="s">
        <v>8</v>
      </c>
      <c r="EX442" s="27" t="s">
        <v>7</v>
      </c>
      <c r="EY442" s="27" t="s">
        <v>8</v>
      </c>
      <c r="EZ442" s="27" t="s">
        <v>7</v>
      </c>
      <c r="FC442" s="27" t="s">
        <v>8</v>
      </c>
      <c r="FD442" s="27" t="s">
        <v>7</v>
      </c>
      <c r="FE442" s="27" t="s">
        <v>8</v>
      </c>
      <c r="HF442" s="27" t="s">
        <v>7</v>
      </c>
      <c r="HI442" s="27" t="s">
        <v>8</v>
      </c>
      <c r="HJ442" s="27" t="s">
        <v>7</v>
      </c>
      <c r="HQ442" s="27" t="s">
        <v>8</v>
      </c>
      <c r="HR442" s="27" t="s">
        <v>7</v>
      </c>
      <c r="HS442" s="27" t="s">
        <v>8</v>
      </c>
      <c r="HT442" s="27" t="s">
        <v>7</v>
      </c>
      <c r="HU442" s="27" t="s">
        <v>8</v>
      </c>
      <c r="HV442" s="27" t="s">
        <v>7</v>
      </c>
      <c r="IA442" s="27" t="s">
        <v>8</v>
      </c>
      <c r="IB442" s="27" t="s">
        <v>7</v>
      </c>
    </row>
    <row r="443" spans="1:236" x14ac:dyDescent="0.25">
      <c r="A443" s="7">
        <v>17.315089220883866</v>
      </c>
      <c r="B443"/>
      <c r="C443"/>
      <c r="D443"/>
      <c r="E443"/>
      <c r="BU443" s="27" t="s">
        <v>8</v>
      </c>
      <c r="BX443" s="27" t="s">
        <v>7</v>
      </c>
      <c r="CB443" s="27" t="s">
        <v>7</v>
      </c>
      <c r="CC443" s="27" t="s">
        <v>8</v>
      </c>
      <c r="DX443" s="27" t="s">
        <v>7</v>
      </c>
      <c r="DY443" s="27" t="s">
        <v>8</v>
      </c>
      <c r="DZ443" s="27" t="s">
        <v>7</v>
      </c>
      <c r="EA443" s="27" t="s">
        <v>8</v>
      </c>
      <c r="EL443" s="27" t="s">
        <v>7</v>
      </c>
      <c r="EM443" s="27" t="s">
        <v>8</v>
      </c>
      <c r="EN443" s="27" t="s">
        <v>7</v>
      </c>
      <c r="EO443" s="27" t="s">
        <v>8</v>
      </c>
      <c r="EP443" s="27" t="s">
        <v>7</v>
      </c>
      <c r="ER443" s="27" t="s">
        <v>7</v>
      </c>
      <c r="ES443" s="27" t="s">
        <v>8</v>
      </c>
      <c r="EX443" s="27" t="s">
        <v>7</v>
      </c>
      <c r="EY443" s="27" t="s">
        <v>8</v>
      </c>
      <c r="EZ443" s="27" t="s">
        <v>7</v>
      </c>
      <c r="FC443" s="34" t="s">
        <v>8</v>
      </c>
      <c r="FD443" s="27" t="s">
        <v>7</v>
      </c>
      <c r="HF443" s="27" t="s">
        <v>7</v>
      </c>
      <c r="HG443" s="27" t="s">
        <v>8</v>
      </c>
      <c r="HI443" s="27" t="s">
        <v>8</v>
      </c>
      <c r="HJ443" s="27" t="s">
        <v>7</v>
      </c>
      <c r="HQ443" s="27" t="s">
        <v>8</v>
      </c>
      <c r="HR443" s="27" t="s">
        <v>7</v>
      </c>
      <c r="HS443" s="27" t="s">
        <v>8</v>
      </c>
      <c r="HT443" s="27" t="s">
        <v>7</v>
      </c>
      <c r="HU443" s="27" t="s">
        <v>8</v>
      </c>
      <c r="HV443" s="27" t="s">
        <v>7</v>
      </c>
      <c r="IA443" s="27" t="s">
        <v>8</v>
      </c>
      <c r="IB443" s="27" t="s">
        <v>7</v>
      </c>
    </row>
    <row r="444" spans="1:236" x14ac:dyDescent="0.25">
      <c r="A444" s="7">
        <v>16.975577667533202</v>
      </c>
      <c r="B444"/>
      <c r="C444"/>
      <c r="D444"/>
      <c r="E444"/>
      <c r="BU444" s="27" t="s">
        <v>8</v>
      </c>
      <c r="CB444" s="27" t="s">
        <v>7</v>
      </c>
      <c r="DX444" s="27" t="s">
        <v>7</v>
      </c>
      <c r="DY444" s="27" t="s">
        <v>8</v>
      </c>
      <c r="DZ444" s="27" t="s">
        <v>7</v>
      </c>
      <c r="EA444" s="27" t="s">
        <v>8</v>
      </c>
      <c r="EL444" s="27" t="s">
        <v>7</v>
      </c>
      <c r="EM444" s="27" t="s">
        <v>8</v>
      </c>
      <c r="EN444" s="27" t="s">
        <v>7</v>
      </c>
      <c r="EO444" s="27" t="s">
        <v>8</v>
      </c>
      <c r="ER444" s="27" t="s">
        <v>7</v>
      </c>
      <c r="EX444" s="27" t="s">
        <v>7</v>
      </c>
      <c r="EZ444" s="27" t="s">
        <v>7</v>
      </c>
      <c r="FA444" s="27" t="s">
        <v>8</v>
      </c>
      <c r="FC444" s="27" t="s">
        <v>8</v>
      </c>
      <c r="HF444" s="27" t="s">
        <v>7</v>
      </c>
      <c r="HG444" s="27" t="s">
        <v>8</v>
      </c>
      <c r="HH444" s="27" t="s">
        <v>7</v>
      </c>
      <c r="HI444" s="27" t="s">
        <v>8</v>
      </c>
      <c r="HJ444" s="27" t="s">
        <v>7</v>
      </c>
      <c r="HQ444" s="27" t="s">
        <v>8</v>
      </c>
      <c r="HR444" s="27" t="s">
        <v>7</v>
      </c>
      <c r="HT444" s="27" t="s">
        <v>7</v>
      </c>
      <c r="HV444" s="27" t="s">
        <v>7</v>
      </c>
      <c r="IA444" s="27" t="s">
        <v>8</v>
      </c>
      <c r="IB444" s="27" t="s">
        <v>7</v>
      </c>
    </row>
    <row r="445" spans="1:236" x14ac:dyDescent="0.25">
      <c r="A445" s="7">
        <v>16.642723203463923</v>
      </c>
      <c r="B445"/>
      <c r="C445"/>
      <c r="D445"/>
      <c r="E445"/>
      <c r="BU445" s="27" t="s">
        <v>8</v>
      </c>
      <c r="DX445" s="27" t="s">
        <v>7</v>
      </c>
      <c r="DY445" s="27" t="s">
        <v>8</v>
      </c>
      <c r="DZ445" s="27" t="s">
        <v>7</v>
      </c>
      <c r="EA445" s="27" t="s">
        <v>8</v>
      </c>
      <c r="EL445" s="27" t="s">
        <v>7</v>
      </c>
      <c r="EM445" s="27" t="s">
        <v>8</v>
      </c>
      <c r="EN445" s="27" t="s">
        <v>7</v>
      </c>
      <c r="EO445" s="27" t="s">
        <v>8</v>
      </c>
      <c r="EZ445" s="27" t="s">
        <v>7</v>
      </c>
      <c r="FA445" s="27" t="s">
        <v>8</v>
      </c>
      <c r="FB445" s="27" t="s">
        <v>7</v>
      </c>
      <c r="FC445" s="27" t="s">
        <v>8</v>
      </c>
      <c r="HF445" s="27" t="s">
        <v>7</v>
      </c>
      <c r="HG445" s="27" t="s">
        <v>8</v>
      </c>
      <c r="HH445" s="27" t="s">
        <v>7</v>
      </c>
      <c r="HI445" s="27" t="s">
        <v>8</v>
      </c>
      <c r="HJ445" s="27" t="s">
        <v>7</v>
      </c>
      <c r="HQ445" s="27" t="s">
        <v>8</v>
      </c>
      <c r="HV445" s="27" t="s">
        <v>7</v>
      </c>
      <c r="IA445" s="27" t="s">
        <v>8</v>
      </c>
      <c r="IB445" s="27" t="s">
        <v>7</v>
      </c>
    </row>
    <row r="446" spans="1:236" x14ac:dyDescent="0.25">
      <c r="A446" s="7">
        <v>16.316395297513651</v>
      </c>
      <c r="B446"/>
      <c r="C446"/>
      <c r="D446"/>
      <c r="E446"/>
      <c r="BU446" s="27" t="s">
        <v>8</v>
      </c>
      <c r="DX446" s="27" t="s">
        <v>7</v>
      </c>
      <c r="DZ446" s="27" t="s">
        <v>7</v>
      </c>
      <c r="EA446" s="27" t="s">
        <v>8</v>
      </c>
      <c r="EL446" s="27" t="s">
        <v>7</v>
      </c>
      <c r="EM446" s="27" t="s">
        <v>8</v>
      </c>
      <c r="EN446" s="27" t="s">
        <v>7</v>
      </c>
      <c r="EO446" s="27" t="s">
        <v>8</v>
      </c>
      <c r="EZ446" s="27" t="s">
        <v>7</v>
      </c>
      <c r="FA446" s="27" t="s">
        <v>8</v>
      </c>
      <c r="FB446" s="27" t="s">
        <v>7</v>
      </c>
      <c r="FC446" s="27" t="s">
        <v>8</v>
      </c>
      <c r="HF446" s="27" t="s">
        <v>7</v>
      </c>
      <c r="HG446" s="27" t="s">
        <v>8</v>
      </c>
      <c r="HH446" s="27" t="s">
        <v>7</v>
      </c>
      <c r="HI446" s="27" t="s">
        <v>8</v>
      </c>
      <c r="HJ446" s="27" t="s">
        <v>7</v>
      </c>
      <c r="HQ446" s="27" t="s">
        <v>8</v>
      </c>
      <c r="HV446" s="27" t="s">
        <v>7</v>
      </c>
      <c r="HW446" s="27" t="s">
        <v>8</v>
      </c>
      <c r="HY446" s="27" t="s">
        <v>8</v>
      </c>
      <c r="IA446" s="27" t="s">
        <v>8</v>
      </c>
      <c r="IB446" s="27" t="s">
        <v>7</v>
      </c>
    </row>
    <row r="447" spans="1:236" x14ac:dyDescent="0.25">
      <c r="A447" s="7">
        <v>15.996465977954561</v>
      </c>
      <c r="B447"/>
      <c r="C447"/>
      <c r="D447"/>
      <c r="E447"/>
      <c r="BU447" s="27" t="s">
        <v>8</v>
      </c>
      <c r="DZ447" s="27" t="s">
        <v>7</v>
      </c>
      <c r="EA447" s="27" t="s">
        <v>8</v>
      </c>
      <c r="EL447" s="27" t="s">
        <v>7</v>
      </c>
      <c r="EM447" s="27" t="s">
        <v>8</v>
      </c>
      <c r="EN447" s="27" t="s">
        <v>7</v>
      </c>
      <c r="EO447" s="27" t="s">
        <v>8</v>
      </c>
      <c r="EZ447" s="27" t="s">
        <v>7</v>
      </c>
      <c r="FB447" s="27" t="s">
        <v>7</v>
      </c>
      <c r="FC447" s="27" t="s">
        <v>8</v>
      </c>
      <c r="HF447" s="27" t="s">
        <v>7</v>
      </c>
      <c r="HG447" s="27" t="s">
        <v>8</v>
      </c>
      <c r="HH447" s="27" t="s">
        <v>7</v>
      </c>
      <c r="HI447" s="27" t="s">
        <v>8</v>
      </c>
      <c r="HJ447" s="27" t="s">
        <v>7</v>
      </c>
      <c r="HK447" s="27" t="s">
        <v>8</v>
      </c>
      <c r="HO447" s="27" t="s">
        <v>8</v>
      </c>
      <c r="HQ447" s="27" t="s">
        <v>8</v>
      </c>
      <c r="HV447" s="27" t="s">
        <v>7</v>
      </c>
      <c r="HW447" s="27" t="s">
        <v>8</v>
      </c>
      <c r="HX447" s="27" t="s">
        <v>7</v>
      </c>
      <c r="HY447" s="27" t="s">
        <v>8</v>
      </c>
      <c r="HZ447" s="27" t="s">
        <v>7</v>
      </c>
      <c r="IA447" s="27" t="s">
        <v>8</v>
      </c>
      <c r="IB447" s="27" t="s">
        <v>7</v>
      </c>
    </row>
    <row r="448" spans="1:236" x14ac:dyDescent="0.25">
      <c r="A448" s="7">
        <v>15.682809782308393</v>
      </c>
      <c r="B448"/>
      <c r="C448"/>
      <c r="D448"/>
      <c r="E448"/>
      <c r="BU448" s="27" t="s">
        <v>8</v>
      </c>
      <c r="DZ448" s="27" t="s">
        <v>7</v>
      </c>
      <c r="EA448" s="27" t="s">
        <v>8</v>
      </c>
      <c r="EL448" s="27" t="s">
        <v>7</v>
      </c>
      <c r="EM448" s="27" t="s">
        <v>8</v>
      </c>
      <c r="EN448" s="27" t="s">
        <v>7</v>
      </c>
      <c r="EO448" s="27" t="s">
        <v>8</v>
      </c>
      <c r="FB448" s="18" t="s">
        <v>7</v>
      </c>
      <c r="FC448" s="27" t="s">
        <v>8</v>
      </c>
      <c r="HF448" s="27" t="s">
        <v>7</v>
      </c>
      <c r="HG448" s="27" t="s">
        <v>8</v>
      </c>
      <c r="HH448" s="27" t="s">
        <v>7</v>
      </c>
      <c r="HI448" s="27" t="s">
        <v>8</v>
      </c>
      <c r="HJ448" s="27" t="s">
        <v>7</v>
      </c>
      <c r="HK448" s="27" t="s">
        <v>8</v>
      </c>
      <c r="HL448" s="27" t="s">
        <v>7</v>
      </c>
      <c r="HO448" s="27" t="s">
        <v>8</v>
      </c>
      <c r="HP448" s="27" t="s">
        <v>7</v>
      </c>
      <c r="HQ448" s="27" t="s">
        <v>8</v>
      </c>
      <c r="HV448" s="27" t="s">
        <v>7</v>
      </c>
      <c r="HW448" s="27" t="s">
        <v>8</v>
      </c>
      <c r="HX448" s="27" t="s">
        <v>7</v>
      </c>
      <c r="HY448" s="27" t="s">
        <v>8</v>
      </c>
      <c r="HZ448" s="27" t="s">
        <v>7</v>
      </c>
      <c r="IA448" s="27" t="s">
        <v>8</v>
      </c>
      <c r="IB448" s="27" t="s">
        <v>7</v>
      </c>
    </row>
    <row r="449" spans="1:240" x14ac:dyDescent="0.25">
      <c r="A449" s="7">
        <v>15.375303708145482</v>
      </c>
      <c r="B449"/>
      <c r="C449"/>
      <c r="D449"/>
      <c r="E449"/>
      <c r="BS449" s="27" t="s">
        <v>8</v>
      </c>
      <c r="BU449" s="27" t="s">
        <v>8</v>
      </c>
      <c r="DZ449" s="27" t="s">
        <v>7</v>
      </c>
      <c r="EA449" s="27" t="s">
        <v>8</v>
      </c>
      <c r="EL449" s="27" t="s">
        <v>7</v>
      </c>
      <c r="EM449" s="27" t="s">
        <v>8</v>
      </c>
      <c r="EN449" s="27" t="s">
        <v>7</v>
      </c>
      <c r="FB449" s="27" t="s">
        <v>7</v>
      </c>
      <c r="FC449" s="27" t="s">
        <v>8</v>
      </c>
      <c r="HF449" s="27" t="s">
        <v>7</v>
      </c>
      <c r="HG449" s="27" t="s">
        <v>8</v>
      </c>
      <c r="HH449" s="27" t="s">
        <v>7</v>
      </c>
      <c r="HJ449" s="27" t="s">
        <v>7</v>
      </c>
      <c r="HK449" s="27" t="s">
        <v>8</v>
      </c>
      <c r="HL449" s="27" t="s">
        <v>7</v>
      </c>
      <c r="HM449" s="27" t="s">
        <v>8</v>
      </c>
      <c r="HO449" s="27" t="s">
        <v>8</v>
      </c>
      <c r="HP449" s="27" t="s">
        <v>7</v>
      </c>
      <c r="HQ449" s="27" t="s">
        <v>8</v>
      </c>
      <c r="HV449" s="27" t="s">
        <v>7</v>
      </c>
      <c r="HW449" s="27" t="s">
        <v>8</v>
      </c>
      <c r="HX449" s="27" t="s">
        <v>7</v>
      </c>
      <c r="HY449" s="27" t="s">
        <v>8</v>
      </c>
      <c r="HZ449" s="27" t="s">
        <v>7</v>
      </c>
      <c r="IB449" s="27" t="s">
        <v>7</v>
      </c>
    </row>
    <row r="450" spans="1:240" x14ac:dyDescent="0.25">
      <c r="A450" s="7">
        <v>15.073827164848511</v>
      </c>
      <c r="B450"/>
      <c r="C450"/>
      <c r="D450"/>
      <c r="E450"/>
      <c r="BS450" s="27" t="s">
        <v>8</v>
      </c>
      <c r="BT450" s="27" t="s">
        <v>7</v>
      </c>
      <c r="BU450" s="27" t="s">
        <v>8</v>
      </c>
      <c r="DZ450" s="27" t="s">
        <v>7</v>
      </c>
      <c r="EA450" s="27" t="s">
        <v>8</v>
      </c>
      <c r="EL450" s="27" t="s">
        <v>7</v>
      </c>
      <c r="EM450" s="27" t="s">
        <v>8</v>
      </c>
      <c r="FB450" s="27" t="s">
        <v>7</v>
      </c>
      <c r="FC450" s="27" t="s">
        <v>8</v>
      </c>
      <c r="HF450" s="27" t="s">
        <v>7</v>
      </c>
      <c r="HG450" s="27" t="s">
        <v>8</v>
      </c>
      <c r="HJ450" s="27" t="s">
        <v>7</v>
      </c>
      <c r="HL450" s="27" t="s">
        <v>7</v>
      </c>
      <c r="HM450" s="27" t="s">
        <v>8</v>
      </c>
      <c r="HN450" s="27" t="s">
        <v>7</v>
      </c>
      <c r="HO450" s="27" t="s">
        <v>8</v>
      </c>
      <c r="HP450" s="27" t="s">
        <v>7</v>
      </c>
      <c r="HQ450" s="27" t="s">
        <v>8</v>
      </c>
      <c r="HV450" s="27" t="s">
        <v>7</v>
      </c>
      <c r="HW450" s="27" t="s">
        <v>8</v>
      </c>
      <c r="HX450" s="27" t="s">
        <v>7</v>
      </c>
      <c r="IB450" s="27" t="s">
        <v>7</v>
      </c>
    </row>
    <row r="451" spans="1:240" x14ac:dyDescent="0.25">
      <c r="A451" s="7">
        <v>14.77826192632207</v>
      </c>
      <c r="B451"/>
      <c r="C451"/>
      <c r="D451"/>
      <c r="E451"/>
      <c r="BS451" s="27" t="s">
        <v>8</v>
      </c>
      <c r="BT451" s="27" t="s">
        <v>7</v>
      </c>
      <c r="BU451" s="27" t="s">
        <v>8</v>
      </c>
      <c r="DZ451" s="27" t="s">
        <v>7</v>
      </c>
      <c r="EA451" s="27" t="s">
        <v>8</v>
      </c>
      <c r="EL451" s="27" t="s">
        <v>7</v>
      </c>
      <c r="EM451" s="27" t="s">
        <v>8</v>
      </c>
      <c r="FB451" s="27" t="s">
        <v>7</v>
      </c>
      <c r="FC451" s="27" t="s">
        <v>8</v>
      </c>
      <c r="HF451" s="27" t="s">
        <v>7</v>
      </c>
      <c r="HG451" s="27" t="s">
        <v>8</v>
      </c>
      <c r="HL451" s="27" t="s">
        <v>7</v>
      </c>
      <c r="HM451" s="27" t="s">
        <v>8</v>
      </c>
      <c r="HN451" s="27" t="s">
        <v>7</v>
      </c>
      <c r="HO451" s="27" t="s">
        <v>8</v>
      </c>
      <c r="HP451" s="27" t="s">
        <v>7</v>
      </c>
      <c r="HQ451" s="27" t="s">
        <v>8</v>
      </c>
      <c r="HV451" s="27" t="s">
        <v>7</v>
      </c>
      <c r="IB451" s="27" t="s">
        <v>7</v>
      </c>
    </row>
    <row r="452" spans="1:240" x14ac:dyDescent="0.25">
      <c r="A452" s="7">
        <v>14.488492084629481</v>
      </c>
      <c r="B452"/>
      <c r="C452"/>
      <c r="D452"/>
      <c r="E452"/>
      <c r="BS452" s="27" t="s">
        <v>8</v>
      </c>
      <c r="BT452" s="27" t="s">
        <v>7</v>
      </c>
      <c r="BU452" s="27" t="s">
        <v>8</v>
      </c>
      <c r="DZ452" s="27" t="s">
        <v>7</v>
      </c>
      <c r="EA452" s="27" t="s">
        <v>8</v>
      </c>
      <c r="EL452" s="27" t="s">
        <v>7</v>
      </c>
      <c r="EM452" s="27" t="s">
        <v>8</v>
      </c>
      <c r="FB452" s="27" t="s">
        <v>7</v>
      </c>
      <c r="FC452" s="27" t="s">
        <v>8</v>
      </c>
      <c r="HF452" s="27" t="s">
        <v>7</v>
      </c>
      <c r="HG452" s="27" t="s">
        <v>8</v>
      </c>
      <c r="HL452" s="27" t="s">
        <v>7</v>
      </c>
      <c r="HM452" s="27" t="s">
        <v>8</v>
      </c>
      <c r="HN452" s="27" t="s">
        <v>7</v>
      </c>
      <c r="HO452" s="27" t="s">
        <v>8</v>
      </c>
      <c r="HP452" s="27" t="s">
        <v>7</v>
      </c>
      <c r="HQ452" s="27" t="s">
        <v>8</v>
      </c>
      <c r="IB452" s="27" t="s">
        <v>7</v>
      </c>
    </row>
    <row r="453" spans="1:240" x14ac:dyDescent="0.25">
      <c r="A453" s="7">
        <v>14.204404004538707</v>
      </c>
      <c r="B453"/>
      <c r="C453"/>
      <c r="D453"/>
      <c r="E453"/>
      <c r="BS453" s="27" t="s">
        <v>8</v>
      </c>
      <c r="BT453" s="27" t="s">
        <v>7</v>
      </c>
      <c r="BU453" s="27" t="s">
        <v>8</v>
      </c>
      <c r="DZ453" s="27" t="s">
        <v>7</v>
      </c>
      <c r="EA453" s="27" t="s">
        <v>8</v>
      </c>
      <c r="EL453" s="27" t="s">
        <v>7</v>
      </c>
      <c r="FB453" s="27" t="s">
        <v>7</v>
      </c>
      <c r="HF453" s="27" t="s">
        <v>7</v>
      </c>
      <c r="HG453" s="27" t="s">
        <v>8</v>
      </c>
      <c r="HL453" s="27" t="s">
        <v>7</v>
      </c>
      <c r="HM453" s="27" t="s">
        <v>8</v>
      </c>
      <c r="HN453" s="27" t="s">
        <v>7</v>
      </c>
      <c r="HO453" s="27" t="s">
        <v>8</v>
      </c>
      <c r="HP453" s="27" t="s">
        <v>7</v>
      </c>
      <c r="IB453" s="27" t="s">
        <v>7</v>
      </c>
    </row>
    <row r="454" spans="1:240" x14ac:dyDescent="0.25">
      <c r="A454" s="7">
        <v>13.925886278959517</v>
      </c>
      <c r="B454"/>
      <c r="C454"/>
      <c r="D454"/>
      <c r="E454"/>
      <c r="BS454" s="27" t="s">
        <v>8</v>
      </c>
      <c r="BT454" s="27" t="s">
        <v>7</v>
      </c>
      <c r="BU454" s="27" t="s">
        <v>8</v>
      </c>
      <c r="DZ454" s="27" t="s">
        <v>7</v>
      </c>
      <c r="EA454" s="27" t="s">
        <v>8</v>
      </c>
      <c r="HF454" s="27" t="s">
        <v>7</v>
      </c>
      <c r="HG454" s="27" t="s">
        <v>8</v>
      </c>
      <c r="HL454" s="27" t="s">
        <v>7</v>
      </c>
      <c r="HN454" s="27" t="s">
        <v>7</v>
      </c>
      <c r="IB454" s="27" t="s">
        <v>7</v>
      </c>
    </row>
    <row r="455" spans="1:240" x14ac:dyDescent="0.25">
      <c r="A455" s="7">
        <v>13.652829685254428</v>
      </c>
      <c r="B455"/>
      <c r="C455"/>
      <c r="D455"/>
      <c r="E455"/>
      <c r="BS455" s="27" t="s">
        <v>8</v>
      </c>
      <c r="BT455" s="27" t="s">
        <v>7</v>
      </c>
      <c r="DZ455" s="27" t="s">
        <v>7</v>
      </c>
      <c r="EA455" s="27" t="s">
        <v>8</v>
      </c>
      <c r="HF455" s="27" t="s">
        <v>7</v>
      </c>
      <c r="HG455" s="27" t="s">
        <v>8</v>
      </c>
      <c r="IB455" s="27" t="s">
        <v>7</v>
      </c>
    </row>
    <row r="456" spans="1:240" x14ac:dyDescent="0.25">
      <c r="A456" s="7">
        <v>13.385127142406303</v>
      </c>
      <c r="B456"/>
      <c r="C456"/>
      <c r="D456"/>
      <c r="E456"/>
      <c r="BS456" s="27" t="s">
        <v>8</v>
      </c>
      <c r="DZ456" s="27" t="s">
        <v>7</v>
      </c>
      <c r="EA456" s="27" t="s">
        <v>8</v>
      </c>
      <c r="HF456" s="27" t="s">
        <v>7</v>
      </c>
      <c r="IB456" s="27" t="s">
        <v>7</v>
      </c>
    </row>
    <row r="457" spans="1:240" x14ac:dyDescent="0.25">
      <c r="A457" s="7">
        <v>13.122673669025787</v>
      </c>
      <c r="B457"/>
      <c r="C457"/>
      <c r="D457"/>
      <c r="E457"/>
      <c r="BS457" s="27" t="s">
        <v>8</v>
      </c>
      <c r="DZ457" s="27" t="s">
        <v>7</v>
      </c>
      <c r="IB457" s="27" t="s">
        <v>7</v>
      </c>
    </row>
    <row r="458" spans="1:240" x14ac:dyDescent="0.25">
      <c r="A458" s="7">
        <v>12.865366342182144</v>
      </c>
      <c r="B458"/>
      <c r="C458"/>
      <c r="D458"/>
      <c r="E458"/>
      <c r="BS458" s="27" t="s">
        <v>8</v>
      </c>
      <c r="IB458" s="27" t="s">
        <v>7</v>
      </c>
    </row>
    <row r="459" spans="1:240" x14ac:dyDescent="0.25">
      <c r="A459" s="7">
        <v>12.613104257041318</v>
      </c>
      <c r="B459"/>
      <c r="C459"/>
      <c r="D459"/>
      <c r="E459"/>
      <c r="BS459" s="27" t="s">
        <v>8</v>
      </c>
      <c r="IB459" s="27" t="s">
        <v>7</v>
      </c>
    </row>
    <row r="460" spans="1:240" x14ac:dyDescent="0.25">
      <c r="A460" s="7">
        <v>12.36578848729541</v>
      </c>
      <c r="B460"/>
      <c r="C460"/>
      <c r="D460"/>
      <c r="E460"/>
      <c r="BS460" s="27" t="s">
        <v>8</v>
      </c>
      <c r="IB460" s="27" t="s">
        <v>7</v>
      </c>
    </row>
    <row r="461" spans="1:240" x14ac:dyDescent="0.25">
      <c r="A461" s="7">
        <v>12.123322046368049</v>
      </c>
      <c r="B461"/>
      <c r="C461"/>
      <c r="D461"/>
      <c r="E461"/>
      <c r="BS461" s="27" t="s">
        <v>8</v>
      </c>
      <c r="IB461" s="27" t="s">
        <v>7</v>
      </c>
    </row>
    <row r="462" spans="1:240" x14ac:dyDescent="0.25">
      <c r="A462" s="7">
        <v>11.88560984938044</v>
      </c>
      <c r="B462"/>
      <c r="C462"/>
      <c r="D462"/>
      <c r="E462"/>
      <c r="BS462" s="27" t="s">
        <v>8</v>
      </c>
      <c r="IB462" s="27" t="s">
        <v>7</v>
      </c>
      <c r="IC462" s="27" t="s">
        <v>8</v>
      </c>
    </row>
    <row r="463" spans="1:240" x14ac:dyDescent="0.25">
      <c r="A463" s="7">
        <v>11.652558675863176</v>
      </c>
      <c r="B463"/>
      <c r="C463"/>
      <c r="D463"/>
      <c r="E463"/>
      <c r="BS463" s="27" t="s">
        <v>8</v>
      </c>
      <c r="IB463" s="27" t="s">
        <v>7</v>
      </c>
      <c r="IC463" s="27" t="s">
        <v>8</v>
      </c>
      <c r="ID463" s="27" t="s">
        <v>7</v>
      </c>
      <c r="IE463" s="27" t="s">
        <v>8</v>
      </c>
    </row>
    <row r="464" spans="1:240" x14ac:dyDescent="0.25">
      <c r="A464" s="7">
        <v>11.424077133199193</v>
      </c>
      <c r="B464"/>
      <c r="C464"/>
      <c r="D464"/>
      <c r="E464"/>
      <c r="BS464" s="27" t="s">
        <v>8</v>
      </c>
      <c r="IB464" s="27" t="s">
        <v>7</v>
      </c>
      <c r="IC464" s="27" t="s">
        <v>8</v>
      </c>
      <c r="ID464" s="27" t="s">
        <v>7</v>
      </c>
      <c r="IE464" s="27" t="s">
        <v>8</v>
      </c>
      <c r="IF464" s="27" t="s">
        <v>7</v>
      </c>
    </row>
    <row r="465" spans="1:240" x14ac:dyDescent="0.25">
      <c r="A465" s="7">
        <v>11.200075620783522</v>
      </c>
      <c r="B465"/>
      <c r="C465"/>
      <c r="D465"/>
      <c r="E465"/>
      <c r="BS465" s="27" t="s">
        <v>8</v>
      </c>
      <c r="IB465" s="27" t="s">
        <v>7</v>
      </c>
      <c r="IC465" s="27" t="s">
        <v>8</v>
      </c>
      <c r="ID465" s="27" t="s">
        <v>7</v>
      </c>
      <c r="IE465" s="27" t="s">
        <v>8</v>
      </c>
      <c r="IF465" s="27" t="s">
        <v>7</v>
      </c>
    </row>
    <row r="466" spans="1:240" x14ac:dyDescent="0.25">
      <c r="A466" s="7">
        <v>10.980466294885806</v>
      </c>
      <c r="B466"/>
      <c r="C466"/>
      <c r="D466"/>
      <c r="E466"/>
      <c r="BS466" s="27" t="s">
        <v>8</v>
      </c>
      <c r="IB466" s="27" t="s">
        <v>7</v>
      </c>
      <c r="IC466" s="27" t="s">
        <v>8</v>
      </c>
      <c r="ID466" s="27" t="s">
        <v>7</v>
      </c>
      <c r="IE466" s="27" t="s">
        <v>8</v>
      </c>
      <c r="IF466" s="27" t="s">
        <v>7</v>
      </c>
    </row>
    <row r="467" spans="1:240" x14ac:dyDescent="0.25">
      <c r="A467" s="7">
        <v>10.765163034201771</v>
      </c>
      <c r="B467"/>
      <c r="C467"/>
      <c r="D467"/>
      <c r="E467"/>
      <c r="BS467" s="27" t="s">
        <v>8</v>
      </c>
      <c r="IB467" s="27" t="s">
        <v>7</v>
      </c>
      <c r="IC467" s="27" t="s">
        <v>8</v>
      </c>
      <c r="ID467" s="27" t="s">
        <v>7</v>
      </c>
      <c r="IE467" s="27" t="s">
        <v>8</v>
      </c>
      <c r="IF467" s="27" t="s">
        <v>7</v>
      </c>
    </row>
    <row r="468" spans="1:240" x14ac:dyDescent="0.25">
      <c r="A468" s="7">
        <v>10.554081406080169</v>
      </c>
      <c r="B468"/>
      <c r="C468"/>
      <c r="D468"/>
      <c r="E468"/>
      <c r="BS468" s="27" t="s">
        <v>8</v>
      </c>
      <c r="IB468" s="27" t="s">
        <v>7</v>
      </c>
      <c r="ID468" s="27" t="s">
        <v>7</v>
      </c>
      <c r="IE468" s="27" t="s">
        <v>8</v>
      </c>
      <c r="IF468" s="27" t="s">
        <v>7</v>
      </c>
    </row>
    <row r="469" spans="1:240" x14ac:dyDescent="0.25">
      <c r="A469" s="7">
        <v>10.34713863341193</v>
      </c>
      <c r="B469"/>
      <c r="C469"/>
      <c r="D469"/>
      <c r="E469"/>
      <c r="BS469" s="27" t="s">
        <v>8</v>
      </c>
      <c r="ID469" s="27" t="s">
        <v>7</v>
      </c>
      <c r="IE469" s="27" t="s">
        <v>8</v>
      </c>
      <c r="IF469" s="27" t="s">
        <v>7</v>
      </c>
    </row>
    <row r="470" spans="1:240" x14ac:dyDescent="0.25">
      <c r="A470" s="7">
        <v>10.14425356216856</v>
      </c>
      <c r="B470"/>
      <c r="C470"/>
      <c r="D470"/>
      <c r="E470"/>
      <c r="BS470" s="27" t="s">
        <v>8</v>
      </c>
      <c r="ID470" s="27" t="s">
        <v>7</v>
      </c>
      <c r="IE470" s="27" t="s">
        <v>8</v>
      </c>
    </row>
    <row r="471" spans="1:240" x14ac:dyDescent="0.25">
      <c r="A471" s="7">
        <v>9.9453466295770188</v>
      </c>
      <c r="B471"/>
      <c r="C471"/>
      <c r="D471"/>
      <c r="E471"/>
      <c r="BS471" s="27" t="s">
        <v>8</v>
      </c>
      <c r="ID471" s="27" t="s">
        <v>7</v>
      </c>
      <c r="IE471" s="27" t="s">
        <v>8</v>
      </c>
    </row>
    <row r="472" spans="1:240" x14ac:dyDescent="0.25">
      <c r="A472" s="7">
        <v>9.7503398329186464</v>
      </c>
      <c r="B472"/>
      <c r="C472"/>
      <c r="D472"/>
      <c r="E472"/>
      <c r="BQ472" s="27" t="s">
        <v>8</v>
      </c>
      <c r="BS472" s="27" t="s">
        <v>8</v>
      </c>
      <c r="ID472" s="27" t="s">
        <v>7</v>
      </c>
      <c r="IE472" s="27" t="s">
        <v>8</v>
      </c>
    </row>
    <row r="473" spans="1:240" x14ac:dyDescent="0.25">
      <c r="A473" s="7">
        <v>9.5591566989398498</v>
      </c>
      <c r="B473"/>
      <c r="C473"/>
      <c r="D473"/>
      <c r="E473"/>
      <c r="BQ473" s="27" t="s">
        <v>8</v>
      </c>
      <c r="BR473" s="27" t="s">
        <v>7</v>
      </c>
      <c r="BS473" s="27" t="s">
        <v>8</v>
      </c>
      <c r="ID473" s="27" t="s">
        <v>7</v>
      </c>
    </row>
    <row r="474" spans="1:240" x14ac:dyDescent="0.25">
      <c r="A474" s="7">
        <v>9.3717222538625968</v>
      </c>
      <c r="B474"/>
      <c r="C474"/>
      <c r="D474"/>
      <c r="E474"/>
      <c r="BO474" s="27" t="s">
        <v>8</v>
      </c>
      <c r="BQ474" s="27" t="s">
        <v>8</v>
      </c>
      <c r="BR474" s="27" t="s">
        <v>7</v>
      </c>
      <c r="BS474" s="27" t="s">
        <v>8</v>
      </c>
    </row>
    <row r="475" spans="1:240" x14ac:dyDescent="0.25">
      <c r="A475" s="7">
        <v>9.1879629939829375</v>
      </c>
      <c r="B475"/>
      <c r="C475"/>
      <c r="D475"/>
      <c r="E475"/>
      <c r="BO475" s="27" t="s">
        <v>8</v>
      </c>
      <c r="BP475" s="27" t="s">
        <v>7</v>
      </c>
      <c r="BQ475" s="27" t="s">
        <v>8</v>
      </c>
      <c r="BR475" s="27" t="s">
        <v>7</v>
      </c>
      <c r="BS475" s="27" t="s">
        <v>8</v>
      </c>
    </row>
    <row r="476" spans="1:240" x14ac:dyDescent="0.25">
      <c r="A476" s="7">
        <v>9.0078068568460168</v>
      </c>
      <c r="B476"/>
      <c r="C476"/>
      <c r="D476"/>
      <c r="E476"/>
      <c r="BO476" s="27" t="s">
        <v>8</v>
      </c>
      <c r="BP476" s="27" t="s">
        <v>7</v>
      </c>
      <c r="BQ476" s="27" t="s">
        <v>8</v>
      </c>
      <c r="BR476" s="27" t="s">
        <v>7</v>
      </c>
      <c r="BS476" s="27" t="s">
        <v>8</v>
      </c>
    </row>
    <row r="477" spans="1:240" x14ac:dyDescent="0.25">
      <c r="A477" s="7">
        <v>8.8311831929862912</v>
      </c>
      <c r="B477"/>
      <c r="C477"/>
      <c r="D477"/>
      <c r="E477"/>
      <c r="BO477" s="27" t="s">
        <v>8</v>
      </c>
      <c r="BP477" s="27" t="s">
        <v>7</v>
      </c>
      <c r="BQ477" s="27" t="s">
        <v>8</v>
      </c>
      <c r="BR477" s="27" t="s">
        <v>7</v>
      </c>
      <c r="BS477" s="27" t="s">
        <v>8</v>
      </c>
    </row>
    <row r="478" spans="1:240" x14ac:dyDescent="0.25">
      <c r="A478" s="7">
        <v>8.6580227382218542</v>
      </c>
      <c r="B478"/>
      <c r="C478"/>
      <c r="D478"/>
      <c r="E478"/>
      <c r="BO478" s="27" t="s">
        <v>8</v>
      </c>
      <c r="BP478" s="27" t="s">
        <v>7</v>
      </c>
      <c r="BQ478" s="27" t="s">
        <v>8</v>
      </c>
      <c r="BR478" s="27" t="s">
        <v>7</v>
      </c>
      <c r="BS478" s="27" t="s">
        <v>8</v>
      </c>
    </row>
    <row r="479" spans="1:240" x14ac:dyDescent="0.25">
      <c r="A479" s="7">
        <v>8.4882575864920131</v>
      </c>
      <c r="B479"/>
      <c r="C479"/>
      <c r="D479"/>
      <c r="E479" t="s">
        <v>8</v>
      </c>
      <c r="BO479" s="27" t="s">
        <v>8</v>
      </c>
      <c r="BP479" s="27" t="s">
        <v>7</v>
      </c>
      <c r="BQ479" s="27" t="s">
        <v>8</v>
      </c>
      <c r="BR479" s="27" t="s">
        <v>7</v>
      </c>
      <c r="BS479" s="27" t="s">
        <v>8</v>
      </c>
    </row>
    <row r="480" spans="1:240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BO480" s="27" t="s">
        <v>8</v>
      </c>
      <c r="BP480" s="27" t="s">
        <v>7</v>
      </c>
      <c r="BQ480" s="27" t="s">
        <v>8</v>
      </c>
      <c r="BR480" s="27" t="s">
        <v>7</v>
      </c>
      <c r="BS480" s="27" t="s">
        <v>8</v>
      </c>
    </row>
    <row r="481" spans="1:71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BO481" s="27" t="s">
        <v>8</v>
      </c>
      <c r="BP481" s="27" t="s">
        <v>7</v>
      </c>
      <c r="BR481" s="27" t="s">
        <v>7</v>
      </c>
      <c r="BS481" s="27" t="s">
        <v>8</v>
      </c>
    </row>
    <row r="482" spans="1:71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BO482" s="27" t="s">
        <v>8</v>
      </c>
      <c r="BR482" s="27" t="s">
        <v>7</v>
      </c>
      <c r="BS482" s="27" t="s">
        <v>8</v>
      </c>
    </row>
    <row r="483" spans="1:71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BO483" s="27" t="s">
        <v>8</v>
      </c>
      <c r="BR483" s="27" t="s">
        <v>7</v>
      </c>
      <c r="BS483" s="27" t="s">
        <v>8</v>
      </c>
    </row>
    <row r="484" spans="1:71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BO484" s="27" t="s">
        <v>8</v>
      </c>
      <c r="BR484" s="27" t="s">
        <v>7</v>
      </c>
      <c r="BS484" s="27" t="s">
        <v>8</v>
      </c>
    </row>
    <row r="485" spans="1:71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BO485" s="27" t="s">
        <v>8</v>
      </c>
      <c r="BR485" s="27" t="s">
        <v>7</v>
      </c>
      <c r="BS485" s="27" t="s">
        <v>8</v>
      </c>
    </row>
    <row r="486" spans="1:71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BO486" s="27" t="s">
        <v>8</v>
      </c>
      <c r="BR486" s="27" t="s">
        <v>7</v>
      </c>
      <c r="BS486" s="27" t="s">
        <v>8</v>
      </c>
    </row>
    <row r="487" spans="1:71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BO487" s="27" t="s">
        <v>8</v>
      </c>
      <c r="BR487" s="27" t="s">
        <v>7</v>
      </c>
      <c r="BS487" s="27" t="s">
        <v>8</v>
      </c>
    </row>
    <row r="488" spans="1:71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BO488" s="27" t="s">
        <v>8</v>
      </c>
      <c r="BR488" s="27" t="s">
        <v>7</v>
      </c>
    </row>
    <row r="489" spans="1:71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BO489" s="27" t="s">
        <v>8</v>
      </c>
    </row>
    <row r="490" spans="1:71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BK490" s="27" t="s">
        <v>8</v>
      </c>
      <c r="BO490" s="27" t="s">
        <v>8</v>
      </c>
    </row>
    <row r="491" spans="1:71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BK491" s="27" t="s">
        <v>8</v>
      </c>
      <c r="BL491" s="27" t="s">
        <v>7</v>
      </c>
      <c r="BO491" s="27" t="s">
        <v>8</v>
      </c>
    </row>
    <row r="492" spans="1:71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BK492" s="27" t="s">
        <v>8</v>
      </c>
      <c r="BL492" s="27" t="s">
        <v>7</v>
      </c>
      <c r="BM492" s="27" t="s">
        <v>8</v>
      </c>
      <c r="BO492" s="27" t="s">
        <v>8</v>
      </c>
    </row>
    <row r="493" spans="1:71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BK493" s="27" t="s">
        <v>8</v>
      </c>
      <c r="BL493" s="27" t="s">
        <v>7</v>
      </c>
      <c r="BM493" s="27" t="s">
        <v>8</v>
      </c>
      <c r="BN493" s="27" t="s">
        <v>7</v>
      </c>
      <c r="BO493" s="27" t="s">
        <v>8</v>
      </c>
    </row>
    <row r="494" spans="1:71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BK494" s="27" t="s">
        <v>8</v>
      </c>
      <c r="BL494" s="27" t="s">
        <v>7</v>
      </c>
      <c r="BM494" s="27" t="s">
        <v>8</v>
      </c>
      <c r="BN494" s="27" t="s">
        <v>7</v>
      </c>
      <c r="BO494" s="27" t="s">
        <v>8</v>
      </c>
    </row>
    <row r="495" spans="1:71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BK495" s="27" t="s">
        <v>8</v>
      </c>
      <c r="BL495" s="27" t="s">
        <v>7</v>
      </c>
      <c r="BM495" s="27" t="s">
        <v>8</v>
      </c>
      <c r="BN495" s="27" t="s">
        <v>7</v>
      </c>
      <c r="BO495" s="27" t="s">
        <v>8</v>
      </c>
    </row>
    <row r="496" spans="1:71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BK496" s="27" t="s">
        <v>8</v>
      </c>
      <c r="BL496" s="27" t="s">
        <v>7</v>
      </c>
      <c r="BM496" s="27" t="s">
        <v>8</v>
      </c>
      <c r="BN496" s="27" t="s">
        <v>7</v>
      </c>
      <c r="BO496" s="27" t="s">
        <v>8</v>
      </c>
    </row>
    <row r="497" spans="1:67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BK497" s="27" t="s">
        <v>8</v>
      </c>
      <c r="BL497" s="27" t="s">
        <v>7</v>
      </c>
      <c r="BM497" s="27" t="s">
        <v>8</v>
      </c>
      <c r="BN497" s="27" t="s">
        <v>7</v>
      </c>
      <c r="BO497" s="27" t="s">
        <v>8</v>
      </c>
    </row>
    <row r="498" spans="1:67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BK498" s="27" t="s">
        <v>8</v>
      </c>
      <c r="BL498" s="27" t="s">
        <v>7</v>
      </c>
      <c r="BM498" s="27" t="s">
        <v>8</v>
      </c>
      <c r="BN498" s="27" t="s">
        <v>7</v>
      </c>
      <c r="BO498" s="27" t="s">
        <v>8</v>
      </c>
    </row>
    <row r="499" spans="1:67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BK499" s="27" t="s">
        <v>8</v>
      </c>
      <c r="BL499" s="27" t="s">
        <v>7</v>
      </c>
      <c r="BM499" s="27" t="s">
        <v>8</v>
      </c>
      <c r="BN499" s="27" t="s">
        <v>7</v>
      </c>
      <c r="BO499" s="27" t="s">
        <v>8</v>
      </c>
    </row>
    <row r="500" spans="1:67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BK500" s="27" t="s">
        <v>8</v>
      </c>
      <c r="BL500" s="27" t="s">
        <v>7</v>
      </c>
      <c r="BM500" s="27" t="s">
        <v>8</v>
      </c>
      <c r="BN500" s="27" t="s">
        <v>7</v>
      </c>
      <c r="BO500" s="27" t="s">
        <v>8</v>
      </c>
    </row>
    <row r="501" spans="1:67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I501" s="27" t="s">
        <v>8</v>
      </c>
      <c r="BK501" s="27" t="s">
        <v>8</v>
      </c>
      <c r="BL501" s="27" t="s">
        <v>7</v>
      </c>
      <c r="BN501" s="27" t="s">
        <v>7</v>
      </c>
      <c r="BO501" s="27" t="s">
        <v>8</v>
      </c>
    </row>
    <row r="502" spans="1:67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I502" s="27" t="s">
        <v>8</v>
      </c>
      <c r="J502" s="27" t="s">
        <v>7</v>
      </c>
      <c r="BK502" s="27" t="s">
        <v>8</v>
      </c>
      <c r="BN502" s="27" t="s">
        <v>7</v>
      </c>
      <c r="BO502" s="27" t="s">
        <v>8</v>
      </c>
    </row>
    <row r="503" spans="1:67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G503" s="27" t="s">
        <v>8</v>
      </c>
      <c r="I503" s="27" t="s">
        <v>8</v>
      </c>
      <c r="J503" s="27" t="s">
        <v>7</v>
      </c>
      <c r="BI503" s="27" t="s">
        <v>8</v>
      </c>
      <c r="BK503" s="27" t="s">
        <v>8</v>
      </c>
      <c r="BN503" s="27" t="s">
        <v>7</v>
      </c>
      <c r="BO503" s="27" t="s">
        <v>8</v>
      </c>
    </row>
    <row r="504" spans="1:67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G504" s="27" t="s">
        <v>8</v>
      </c>
      <c r="H504" s="27" t="s">
        <v>7</v>
      </c>
      <c r="I504" s="27" t="s">
        <v>8</v>
      </c>
      <c r="J504" s="27" t="s">
        <v>7</v>
      </c>
      <c r="K504" s="27" t="s">
        <v>8</v>
      </c>
      <c r="BI504" s="27" t="s">
        <v>8</v>
      </c>
      <c r="BJ504" s="27" t="s">
        <v>7</v>
      </c>
      <c r="BK504" s="27" t="s">
        <v>8</v>
      </c>
      <c r="BN504" s="27" t="s">
        <v>7</v>
      </c>
      <c r="BO504" s="27" t="s">
        <v>8</v>
      </c>
    </row>
    <row r="505" spans="1:67" x14ac:dyDescent="0.25">
      <c r="A505" s="7">
        <v>5.07240689800269</v>
      </c>
      <c r="B505"/>
      <c r="C505"/>
      <c r="D505"/>
      <c r="E505" t="s">
        <v>8</v>
      </c>
      <c r="F505" s="27" t="s">
        <v>7</v>
      </c>
      <c r="G505" s="27" t="s">
        <v>8</v>
      </c>
      <c r="H505" s="27" t="s">
        <v>7</v>
      </c>
      <c r="I505" s="27" t="s">
        <v>8</v>
      </c>
      <c r="J505" s="27" t="s">
        <v>7</v>
      </c>
      <c r="K505" s="27" t="s">
        <v>8</v>
      </c>
      <c r="L505" s="27" t="s">
        <v>7</v>
      </c>
      <c r="BI505" s="27" t="s">
        <v>8</v>
      </c>
      <c r="BJ505" s="27" t="s">
        <v>7</v>
      </c>
      <c r="BK505" s="27" t="s">
        <v>8</v>
      </c>
      <c r="BN505" s="27" t="s">
        <v>7</v>
      </c>
      <c r="BO505" s="27" t="s">
        <v>8</v>
      </c>
    </row>
    <row r="506" spans="1:67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H506" s="27" t="s">
        <v>7</v>
      </c>
      <c r="I506" s="27" t="s">
        <v>8</v>
      </c>
      <c r="J506" s="27" t="s">
        <v>7</v>
      </c>
      <c r="K506" s="27" t="s">
        <v>8</v>
      </c>
      <c r="L506" s="27" t="s">
        <v>7</v>
      </c>
      <c r="BI506" s="27" t="s">
        <v>8</v>
      </c>
      <c r="BJ506" s="27" t="s">
        <v>7</v>
      </c>
      <c r="BK506" s="27" t="s">
        <v>8</v>
      </c>
      <c r="BN506" s="27" t="s">
        <v>7</v>
      </c>
      <c r="BO506" s="27" t="s">
        <v>8</v>
      </c>
    </row>
    <row r="507" spans="1:67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  <c r="I507" s="27" t="s">
        <v>8</v>
      </c>
      <c r="J507" s="27" t="s">
        <v>7</v>
      </c>
      <c r="K507" s="27" t="s">
        <v>8</v>
      </c>
      <c r="L507" s="27" t="s">
        <v>7</v>
      </c>
      <c r="BI507" s="27" t="s">
        <v>8</v>
      </c>
      <c r="BJ507" s="27" t="s">
        <v>7</v>
      </c>
      <c r="BK507" s="27" t="s">
        <v>8</v>
      </c>
      <c r="BN507" s="27" t="s">
        <v>7</v>
      </c>
      <c r="BO507" s="27" t="s">
        <v>8</v>
      </c>
    </row>
    <row r="508" spans="1:67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  <c r="I508" s="27" t="s">
        <v>8</v>
      </c>
      <c r="J508" s="27" t="s">
        <v>7</v>
      </c>
      <c r="K508" s="27" t="s">
        <v>8</v>
      </c>
      <c r="L508" s="27" t="s">
        <v>7</v>
      </c>
      <c r="BI508" s="27" t="s">
        <v>8</v>
      </c>
      <c r="BJ508" s="27" t="s">
        <v>7</v>
      </c>
      <c r="BK508" s="27" t="s">
        <v>8</v>
      </c>
      <c r="BN508" s="27" t="s">
        <v>7</v>
      </c>
      <c r="BO508" s="27" t="s">
        <v>8</v>
      </c>
    </row>
    <row r="509" spans="1:67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  <c r="I509" s="27" t="s">
        <v>8</v>
      </c>
      <c r="J509" s="27" t="s">
        <v>7</v>
      </c>
      <c r="L509" s="27" t="s">
        <v>7</v>
      </c>
      <c r="BI509" s="27" t="s">
        <v>8</v>
      </c>
      <c r="BJ509" s="27" t="s">
        <v>7</v>
      </c>
      <c r="BK509" s="27" t="s">
        <v>8</v>
      </c>
      <c r="BN509" s="27" t="s">
        <v>7</v>
      </c>
      <c r="BO509" s="27" t="s">
        <v>8</v>
      </c>
    </row>
    <row r="510" spans="1:67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I510" s="27" t="s">
        <v>8</v>
      </c>
      <c r="L510" s="27" t="s">
        <v>7</v>
      </c>
      <c r="BI510" s="27" t="s">
        <v>8</v>
      </c>
      <c r="BJ510" s="27" t="s">
        <v>7</v>
      </c>
      <c r="BK510" s="27" t="s">
        <v>8</v>
      </c>
      <c r="BN510" s="27" t="s">
        <v>7</v>
      </c>
      <c r="BO510" s="27" t="s">
        <v>8</v>
      </c>
    </row>
    <row r="511" spans="1:67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I511" s="27" t="s">
        <v>8</v>
      </c>
      <c r="L511" s="27" t="s">
        <v>7</v>
      </c>
      <c r="BI511" s="27" t="s">
        <v>8</v>
      </c>
      <c r="BJ511" s="27" t="s">
        <v>7</v>
      </c>
      <c r="BN511" s="27" t="s">
        <v>7</v>
      </c>
      <c r="BO511" s="27" t="s">
        <v>8</v>
      </c>
    </row>
    <row r="512" spans="1:67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I512" s="27" t="s">
        <v>8</v>
      </c>
      <c r="L512" s="27" t="s">
        <v>7</v>
      </c>
      <c r="AO512" s="27" t="s">
        <v>8</v>
      </c>
      <c r="BI512" s="27" t="s">
        <v>8</v>
      </c>
      <c r="BN512" s="27" t="s">
        <v>7</v>
      </c>
    </row>
    <row r="513" spans="1:61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L513" s="27" t="s">
        <v>7</v>
      </c>
      <c r="AO513" s="27" t="s">
        <v>8</v>
      </c>
      <c r="AP513" s="27" t="s">
        <v>7</v>
      </c>
      <c r="BI513" s="27" t="s">
        <v>8</v>
      </c>
    </row>
    <row r="514" spans="1:61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L514" s="27" t="s">
        <v>7</v>
      </c>
      <c r="AI514" s="27" t="s">
        <v>8</v>
      </c>
      <c r="AO514" s="27" t="s">
        <v>8</v>
      </c>
      <c r="AP514" s="27" t="s">
        <v>7</v>
      </c>
      <c r="BI514" s="27" t="s">
        <v>8</v>
      </c>
    </row>
    <row r="515" spans="1:61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L515" s="27" t="s">
        <v>7</v>
      </c>
      <c r="AI515" s="27" t="s">
        <v>8</v>
      </c>
      <c r="AJ515" s="27" t="s">
        <v>7</v>
      </c>
      <c r="AO515" s="27" t="s">
        <v>8</v>
      </c>
      <c r="AP515" s="27" t="s">
        <v>7</v>
      </c>
      <c r="AS515" s="27" t="s">
        <v>8</v>
      </c>
      <c r="BC515" s="27" t="s">
        <v>8</v>
      </c>
      <c r="BI515" s="27" t="s">
        <v>8</v>
      </c>
    </row>
    <row r="516" spans="1:61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L516" s="27" t="s">
        <v>7</v>
      </c>
      <c r="M516" s="27" t="s">
        <v>8</v>
      </c>
      <c r="AI516" s="27" t="s">
        <v>8</v>
      </c>
      <c r="AJ516" s="27" t="s">
        <v>7</v>
      </c>
      <c r="AM516" s="27" t="s">
        <v>8</v>
      </c>
      <c r="AO516" s="27" t="s">
        <v>8</v>
      </c>
      <c r="AP516" s="27" t="s">
        <v>7</v>
      </c>
      <c r="AS516" s="27" t="s">
        <v>8</v>
      </c>
      <c r="AT516" s="27" t="s">
        <v>7</v>
      </c>
      <c r="BC516" s="27" t="s">
        <v>8</v>
      </c>
      <c r="BD516" s="27" t="s">
        <v>7</v>
      </c>
      <c r="BI516" s="27" t="s">
        <v>8</v>
      </c>
    </row>
    <row r="517" spans="1:61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L517" s="27" t="s">
        <v>7</v>
      </c>
      <c r="M517" s="27" t="s">
        <v>8</v>
      </c>
      <c r="N517" s="27" t="s">
        <v>7</v>
      </c>
      <c r="AI517" s="27" t="s">
        <v>8</v>
      </c>
      <c r="AJ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S517" s="27" t="s">
        <v>8</v>
      </c>
      <c r="AT517" s="27" t="s">
        <v>7</v>
      </c>
      <c r="BC517" s="27" t="s">
        <v>8</v>
      </c>
      <c r="BD517" s="27" t="s">
        <v>7</v>
      </c>
      <c r="BG517" s="27" t="s">
        <v>8</v>
      </c>
      <c r="BI517" s="27" t="s">
        <v>8</v>
      </c>
    </row>
    <row r="518" spans="1:61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L518" s="27" t="s">
        <v>7</v>
      </c>
      <c r="M518" s="27" t="s">
        <v>8</v>
      </c>
      <c r="N518" s="27" t="s">
        <v>7</v>
      </c>
      <c r="AG518" s="27" t="s">
        <v>8</v>
      </c>
      <c r="AI518" s="27" t="s">
        <v>8</v>
      </c>
      <c r="AJ518" s="27" t="s">
        <v>7</v>
      </c>
      <c r="AM518" s="27" t="s">
        <v>8</v>
      </c>
      <c r="AN518" s="27" t="s">
        <v>7</v>
      </c>
      <c r="AO518" s="27" t="s">
        <v>8</v>
      </c>
      <c r="AP518" s="27" t="s">
        <v>7</v>
      </c>
      <c r="AS518" s="27" t="s">
        <v>8</v>
      </c>
      <c r="AT518" s="27" t="s">
        <v>7</v>
      </c>
      <c r="BA518" s="27" t="s">
        <v>8</v>
      </c>
      <c r="BC518" s="27" t="s">
        <v>8</v>
      </c>
      <c r="BD518" s="27" t="s">
        <v>7</v>
      </c>
      <c r="BG518" s="27" t="s">
        <v>8</v>
      </c>
      <c r="BH518" s="27" t="s">
        <v>7</v>
      </c>
      <c r="BI518" s="27" t="s">
        <v>8</v>
      </c>
    </row>
    <row r="519" spans="1:61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L519" s="27" t="s">
        <v>7</v>
      </c>
      <c r="M519" s="27" t="s">
        <v>8</v>
      </c>
      <c r="N519" s="27" t="s">
        <v>7</v>
      </c>
      <c r="AG519" s="27" t="s">
        <v>8</v>
      </c>
      <c r="AH519" s="27" t="s">
        <v>7</v>
      </c>
      <c r="AI519" s="27" t="s">
        <v>8</v>
      </c>
      <c r="AJ519" s="27" t="s">
        <v>7</v>
      </c>
      <c r="AK519" s="27" t="s">
        <v>8</v>
      </c>
      <c r="AM519" s="27" t="s">
        <v>8</v>
      </c>
      <c r="AN519" s="27" t="s">
        <v>7</v>
      </c>
      <c r="AO519" s="27" t="s">
        <v>8</v>
      </c>
      <c r="AP519" s="27" t="s">
        <v>7</v>
      </c>
      <c r="AS519" s="27" t="s">
        <v>8</v>
      </c>
      <c r="AT519" s="27" t="s">
        <v>7</v>
      </c>
      <c r="AU519" s="27" t="s">
        <v>8</v>
      </c>
      <c r="BA519" s="27" t="s">
        <v>8</v>
      </c>
      <c r="BB519" s="27" t="s">
        <v>7</v>
      </c>
      <c r="BC519" s="27" t="s">
        <v>8</v>
      </c>
      <c r="BD519" s="27" t="s">
        <v>7</v>
      </c>
      <c r="BG519" s="27" t="s">
        <v>8</v>
      </c>
      <c r="BH519" s="27" t="s">
        <v>7</v>
      </c>
      <c r="BI519" s="27" t="s">
        <v>8</v>
      </c>
    </row>
    <row r="520" spans="1:61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L520" s="27" t="s">
        <v>7</v>
      </c>
      <c r="M520" s="27" t="s">
        <v>8</v>
      </c>
      <c r="N520" s="27" t="s">
        <v>7</v>
      </c>
      <c r="AG520" s="27" t="s">
        <v>8</v>
      </c>
      <c r="AH520" s="27" t="s">
        <v>7</v>
      </c>
      <c r="AI520" s="27" t="s">
        <v>8</v>
      </c>
      <c r="AJ520" s="27" t="s">
        <v>7</v>
      </c>
      <c r="AK520" s="27" t="s">
        <v>8</v>
      </c>
      <c r="AL520" s="27" t="s">
        <v>7</v>
      </c>
      <c r="AM520" s="27" t="s">
        <v>8</v>
      </c>
      <c r="AN520" s="27" t="s">
        <v>7</v>
      </c>
      <c r="AO520" s="27" t="s">
        <v>8</v>
      </c>
      <c r="AP520" s="27" t="s">
        <v>7</v>
      </c>
      <c r="AS520" s="27" t="s">
        <v>8</v>
      </c>
      <c r="AT520" s="27" t="s">
        <v>7</v>
      </c>
      <c r="AU520" s="27" t="s">
        <v>8</v>
      </c>
      <c r="AV520" s="27" t="s">
        <v>7</v>
      </c>
      <c r="BA520" s="27" t="s">
        <v>8</v>
      </c>
      <c r="BB520" s="27" t="s">
        <v>7</v>
      </c>
      <c r="BC520" s="27" t="s">
        <v>8</v>
      </c>
      <c r="BD520" s="27" t="s">
        <v>7</v>
      </c>
      <c r="BG520" s="27" t="s">
        <v>8</v>
      </c>
      <c r="BH520" s="27" t="s">
        <v>7</v>
      </c>
      <c r="BI520" s="27" t="s">
        <v>8</v>
      </c>
    </row>
    <row r="521" spans="1:61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L521" s="27" t="s">
        <v>7</v>
      </c>
      <c r="M521" s="27" t="s">
        <v>8</v>
      </c>
      <c r="N521" s="27" t="s">
        <v>7</v>
      </c>
      <c r="AG521" s="27" t="s">
        <v>8</v>
      </c>
      <c r="AH521" s="27" t="s">
        <v>7</v>
      </c>
      <c r="AI521" s="27" t="s">
        <v>8</v>
      </c>
      <c r="AJ521" s="27" t="s">
        <v>7</v>
      </c>
      <c r="AK521" s="27" t="s">
        <v>8</v>
      </c>
      <c r="AL521" s="27" t="s">
        <v>7</v>
      </c>
      <c r="AM521" s="27" t="s">
        <v>8</v>
      </c>
      <c r="AN521" s="27" t="s">
        <v>7</v>
      </c>
      <c r="AO521" s="27" t="s">
        <v>8</v>
      </c>
      <c r="AP521" s="27" t="s">
        <v>7</v>
      </c>
      <c r="AS521" s="27" t="s">
        <v>8</v>
      </c>
      <c r="AT521" s="27" t="s">
        <v>7</v>
      </c>
      <c r="AU521" s="27" t="s">
        <v>8</v>
      </c>
      <c r="AV521" s="27" t="s">
        <v>7</v>
      </c>
      <c r="BA521" s="27" t="s">
        <v>8</v>
      </c>
      <c r="BB521" s="27" t="s">
        <v>7</v>
      </c>
      <c r="BC521" s="27" t="s">
        <v>8</v>
      </c>
      <c r="BD521" s="27" t="s">
        <v>7</v>
      </c>
      <c r="BG521" s="27" t="s">
        <v>8</v>
      </c>
      <c r="BH521" s="27" t="s">
        <v>7</v>
      </c>
      <c r="BI521" s="27" t="s">
        <v>8</v>
      </c>
    </row>
    <row r="522" spans="1:61" x14ac:dyDescent="0.25">
      <c r="A522" s="7">
        <v>3.6225231081424152</v>
      </c>
      <c r="B522"/>
      <c r="C522"/>
      <c r="D522"/>
      <c r="E522" t="s">
        <v>8</v>
      </c>
      <c r="L522" s="27" t="s">
        <v>7</v>
      </c>
      <c r="N522" s="27" t="s">
        <v>7</v>
      </c>
      <c r="O522" s="27" t="s">
        <v>8</v>
      </c>
      <c r="AG522" s="27" t="s">
        <v>8</v>
      </c>
      <c r="AH522" s="27" t="s">
        <v>7</v>
      </c>
      <c r="AI522" s="27" t="s">
        <v>8</v>
      </c>
      <c r="AJ522" s="27" t="s">
        <v>7</v>
      </c>
      <c r="AK522" s="27" t="s">
        <v>8</v>
      </c>
      <c r="AL522" s="27" t="s">
        <v>7</v>
      </c>
      <c r="AM522" s="27" t="s">
        <v>8</v>
      </c>
      <c r="AN522" s="27" t="s">
        <v>7</v>
      </c>
      <c r="AO522" s="27" t="s">
        <v>8</v>
      </c>
      <c r="AP522" s="27" t="s">
        <v>7</v>
      </c>
      <c r="AS522" s="27" t="s">
        <v>8</v>
      </c>
      <c r="AT522" s="27" t="s">
        <v>7</v>
      </c>
      <c r="AU522" s="27" t="s">
        <v>8</v>
      </c>
      <c r="AV522" s="27" t="s">
        <v>7</v>
      </c>
      <c r="BA522" s="27" t="s">
        <v>8</v>
      </c>
      <c r="BB522" s="27" t="s">
        <v>7</v>
      </c>
      <c r="BC522" s="27" t="s">
        <v>8</v>
      </c>
      <c r="BD522" s="27" t="s">
        <v>7</v>
      </c>
      <c r="BE522" s="27" t="s">
        <v>8</v>
      </c>
      <c r="BG522" s="27" t="s">
        <v>8</v>
      </c>
      <c r="BH522" s="27" t="s">
        <v>7</v>
      </c>
      <c r="BI522" s="27" t="s">
        <v>8</v>
      </c>
    </row>
    <row r="523" spans="1:61" x14ac:dyDescent="0.25">
      <c r="A523" s="7">
        <v>3.5514932432768775</v>
      </c>
      <c r="B523"/>
      <c r="C523"/>
      <c r="D523"/>
      <c r="E523" t="s">
        <v>8</v>
      </c>
      <c r="N523" s="27" t="s">
        <v>7</v>
      </c>
      <c r="O523" s="27" t="s">
        <v>8</v>
      </c>
      <c r="P523" s="27" t="s">
        <v>7</v>
      </c>
      <c r="Q523" s="27" t="s">
        <v>8</v>
      </c>
      <c r="AG523" s="27" t="s">
        <v>8</v>
      </c>
      <c r="AH523" s="27" t="s">
        <v>7</v>
      </c>
      <c r="AJ523" s="27" t="s">
        <v>7</v>
      </c>
      <c r="AK523" s="27" t="s">
        <v>8</v>
      </c>
      <c r="AL523" s="27" t="s">
        <v>7</v>
      </c>
      <c r="AM523" s="27" t="s">
        <v>8</v>
      </c>
      <c r="AN523" s="27" t="s">
        <v>7</v>
      </c>
      <c r="AO523" s="27" t="s">
        <v>8</v>
      </c>
      <c r="AP523" s="27" t="s">
        <v>7</v>
      </c>
      <c r="AS523" s="27" t="s">
        <v>8</v>
      </c>
      <c r="AT523" s="27" t="s">
        <v>7</v>
      </c>
      <c r="AU523" s="27" t="s">
        <v>8</v>
      </c>
      <c r="AV523" s="27" t="s">
        <v>7</v>
      </c>
      <c r="BA523" s="27" t="s">
        <v>8</v>
      </c>
      <c r="BB523" s="27" t="s">
        <v>7</v>
      </c>
      <c r="BD523" s="27" t="s">
        <v>7</v>
      </c>
      <c r="BE523" s="27" t="s">
        <v>8</v>
      </c>
      <c r="BF523" s="27" t="s">
        <v>7</v>
      </c>
      <c r="BG523" s="27" t="s">
        <v>8</v>
      </c>
      <c r="BH523" s="27" t="s">
        <v>7</v>
      </c>
    </row>
    <row r="524" spans="1:61" x14ac:dyDescent="0.25">
      <c r="A524" s="7">
        <v>3.4818561208596837</v>
      </c>
      <c r="B524"/>
      <c r="C524"/>
      <c r="D524"/>
      <c r="E524" t="s">
        <v>8</v>
      </c>
      <c r="N524" s="27" t="s">
        <v>7</v>
      </c>
      <c r="O524" s="27" t="s">
        <v>8</v>
      </c>
      <c r="P524" s="27" t="s">
        <v>7</v>
      </c>
      <c r="Q524" s="27" t="s">
        <v>8</v>
      </c>
      <c r="R524" s="27" t="s">
        <v>7</v>
      </c>
      <c r="AG524" s="27" t="s">
        <v>8</v>
      </c>
      <c r="AJ524" s="27" t="s">
        <v>7</v>
      </c>
      <c r="AL524" s="27" t="s">
        <v>7</v>
      </c>
      <c r="AM524" s="27" t="s">
        <v>8</v>
      </c>
      <c r="AN524" s="27" t="s">
        <v>7</v>
      </c>
      <c r="AO524" s="27" t="s">
        <v>8</v>
      </c>
      <c r="AP524" s="27" t="s">
        <v>7</v>
      </c>
      <c r="AQ524" s="27" t="s">
        <v>8</v>
      </c>
      <c r="AS524" s="27" t="s">
        <v>8</v>
      </c>
      <c r="AT524" s="27" t="s">
        <v>7</v>
      </c>
      <c r="AV524" s="27" t="s">
        <v>7</v>
      </c>
      <c r="AY524" s="27" t="s">
        <v>8</v>
      </c>
      <c r="BA524" s="27" t="s">
        <v>8</v>
      </c>
      <c r="BD524" s="27" t="s">
        <v>7</v>
      </c>
      <c r="BE524" s="27" t="s">
        <v>8</v>
      </c>
      <c r="BF524" s="27" t="s">
        <v>7</v>
      </c>
      <c r="BG524" s="27" t="s">
        <v>8</v>
      </c>
    </row>
    <row r="525" spans="1:61" x14ac:dyDescent="0.25">
      <c r="A525" s="7">
        <v>3.4135844322153761</v>
      </c>
      <c r="B525"/>
      <c r="C525"/>
      <c r="D525"/>
      <c r="E525" t="s">
        <v>8</v>
      </c>
      <c r="N525" s="27" t="s">
        <v>7</v>
      </c>
      <c r="O525" s="27" t="s">
        <v>8</v>
      </c>
      <c r="P525" s="27" t="s">
        <v>7</v>
      </c>
      <c r="Q525" s="27" t="s">
        <v>8</v>
      </c>
      <c r="R525" s="27" t="s">
        <v>7</v>
      </c>
      <c r="AG525" s="27" t="s">
        <v>8</v>
      </c>
      <c r="AL525" s="27" t="s">
        <v>7</v>
      </c>
      <c r="AM525" s="27" t="s">
        <v>8</v>
      </c>
      <c r="AN525" s="27" t="s">
        <v>7</v>
      </c>
      <c r="AP525" s="27" t="s">
        <v>7</v>
      </c>
      <c r="AQ525" s="27" t="s">
        <v>8</v>
      </c>
      <c r="AR525" s="27" t="s">
        <v>7</v>
      </c>
      <c r="AS525" s="27" t="s">
        <v>8</v>
      </c>
      <c r="AV525" s="27" t="s">
        <v>7</v>
      </c>
      <c r="AY525" s="27" t="s">
        <v>8</v>
      </c>
      <c r="AZ525" s="27" t="s">
        <v>7</v>
      </c>
      <c r="BA525" s="27" t="s">
        <v>8</v>
      </c>
      <c r="BD525" s="27" t="s">
        <v>7</v>
      </c>
      <c r="BE525" s="27" t="s">
        <v>8</v>
      </c>
      <c r="BF525" s="27" t="s">
        <v>7</v>
      </c>
    </row>
    <row r="526" spans="1:61" x14ac:dyDescent="0.25">
      <c r="A526" s="7">
        <v>3.3466514041327216</v>
      </c>
      <c r="B526"/>
      <c r="C526"/>
      <c r="D526"/>
      <c r="E526" t="s">
        <v>8</v>
      </c>
      <c r="N526" s="27" t="s">
        <v>7</v>
      </c>
      <c r="O526" s="27" t="s">
        <v>8</v>
      </c>
      <c r="P526" s="27" t="s">
        <v>7</v>
      </c>
      <c r="Q526" s="27" t="s">
        <v>8</v>
      </c>
      <c r="R526" s="27" t="s">
        <v>7</v>
      </c>
      <c r="S526" s="27" t="s">
        <v>8</v>
      </c>
      <c r="AG526" s="27" t="s">
        <v>8</v>
      </c>
      <c r="AL526" s="27" t="s">
        <v>7</v>
      </c>
      <c r="AM526" s="27" t="s">
        <v>8</v>
      </c>
      <c r="AP526" s="27" t="s">
        <v>7</v>
      </c>
      <c r="AQ526" s="27" t="s">
        <v>8</v>
      </c>
      <c r="AR526" s="27" t="s">
        <v>7</v>
      </c>
      <c r="AS526" s="27" t="s">
        <v>8</v>
      </c>
      <c r="AV526" s="27" t="s">
        <v>7</v>
      </c>
      <c r="AW526" s="27" t="s">
        <v>8</v>
      </c>
      <c r="AY526" s="27" t="s">
        <v>8</v>
      </c>
      <c r="AZ526" s="27" t="s">
        <v>7</v>
      </c>
      <c r="BA526" s="27" t="s">
        <v>8</v>
      </c>
      <c r="BD526" s="27" t="s">
        <v>7</v>
      </c>
      <c r="BE526" s="27" t="s">
        <v>8</v>
      </c>
    </row>
    <row r="527" spans="1:61" x14ac:dyDescent="0.25">
      <c r="A527" s="7">
        <v>3.2810307883654133</v>
      </c>
      <c r="B527"/>
      <c r="C527"/>
      <c r="D527"/>
      <c r="E527" t="s">
        <v>8</v>
      </c>
      <c r="N527" s="27" t="s">
        <v>7</v>
      </c>
      <c r="O527" s="27" t="s">
        <v>8</v>
      </c>
      <c r="P527" s="27" t="s">
        <v>7</v>
      </c>
      <c r="Q527" s="27" t="s">
        <v>8</v>
      </c>
      <c r="R527" s="27" t="s">
        <v>7</v>
      </c>
      <c r="S527" s="27" t="s">
        <v>8</v>
      </c>
      <c r="T527" s="27" t="s">
        <v>7</v>
      </c>
      <c r="U527" s="27" t="s">
        <v>8</v>
      </c>
      <c r="AG527" s="27" t="s">
        <v>8</v>
      </c>
      <c r="AL527" s="27" t="s">
        <v>7</v>
      </c>
      <c r="AM527" s="27" t="s">
        <v>8</v>
      </c>
      <c r="AP527" s="27" t="s">
        <v>7</v>
      </c>
      <c r="AQ527" s="27" t="s">
        <v>8</v>
      </c>
      <c r="AR527" s="27" t="s">
        <v>7</v>
      </c>
      <c r="AV527" s="27" t="s">
        <v>7</v>
      </c>
      <c r="AW527" s="27" t="s">
        <v>8</v>
      </c>
      <c r="AX527" s="27" t="s">
        <v>7</v>
      </c>
      <c r="AY527" s="27" t="s">
        <v>8</v>
      </c>
      <c r="AZ527" s="27" t="s">
        <v>7</v>
      </c>
      <c r="BD527" s="27" t="s">
        <v>7</v>
      </c>
      <c r="BE527" s="27" t="s">
        <v>8</v>
      </c>
    </row>
    <row r="528" spans="1:61" x14ac:dyDescent="0.25">
      <c r="A528" s="7">
        <v>3.2166968513386403</v>
      </c>
      <c r="B528"/>
      <c r="C528"/>
      <c r="D528"/>
      <c r="E528" t="s">
        <v>8</v>
      </c>
      <c r="N528" s="27" t="s">
        <v>7</v>
      </c>
      <c r="O528" s="27" t="s">
        <v>8</v>
      </c>
      <c r="P528" s="27" t="s">
        <v>7</v>
      </c>
      <c r="R528" s="27" t="s">
        <v>7</v>
      </c>
      <c r="S528" s="27" t="s">
        <v>8</v>
      </c>
      <c r="T528" s="27" t="s">
        <v>7</v>
      </c>
      <c r="U528" s="27" t="s">
        <v>8</v>
      </c>
      <c r="V528" s="27" t="s">
        <v>7</v>
      </c>
      <c r="AG528" s="27" t="s">
        <v>8</v>
      </c>
      <c r="AL528" s="27" t="s">
        <v>7</v>
      </c>
      <c r="AP528" s="27" t="s">
        <v>7</v>
      </c>
      <c r="AQ528" s="27" t="s">
        <v>8</v>
      </c>
      <c r="AV528" s="27" t="s">
        <v>7</v>
      </c>
      <c r="AW528" s="27" t="s">
        <v>8</v>
      </c>
      <c r="AX528" s="27" t="s">
        <v>7</v>
      </c>
      <c r="AY528" s="27" t="s">
        <v>8</v>
      </c>
      <c r="BD528" s="27" t="s">
        <v>7</v>
      </c>
      <c r="BE528" s="27" t="s">
        <v>8</v>
      </c>
    </row>
    <row r="529" spans="1:57" x14ac:dyDescent="0.25">
      <c r="A529" s="7">
        <v>3.1536243640574906</v>
      </c>
      <c r="B529"/>
      <c r="C529"/>
      <c r="D529"/>
      <c r="E529" t="s">
        <v>8</v>
      </c>
      <c r="N529" s="27" t="s">
        <v>7</v>
      </c>
      <c r="O529" s="27" t="s">
        <v>8</v>
      </c>
      <c r="R529" s="27" t="s">
        <v>7</v>
      </c>
      <c r="S529" s="27" t="s">
        <v>8</v>
      </c>
      <c r="T529" s="27" t="s">
        <v>7</v>
      </c>
      <c r="U529" s="27" t="s">
        <v>8</v>
      </c>
      <c r="V529" s="27" t="s">
        <v>7</v>
      </c>
      <c r="AE529" s="27" t="s">
        <v>8</v>
      </c>
      <c r="AG529" s="27" t="s">
        <v>8</v>
      </c>
      <c r="AP529" s="27" t="s">
        <v>7</v>
      </c>
      <c r="AV529" s="27" t="s">
        <v>7</v>
      </c>
      <c r="AX529" s="27" t="s">
        <v>7</v>
      </c>
      <c r="AY529" s="27" t="s">
        <v>8</v>
      </c>
      <c r="BD529" s="27" t="s">
        <v>7</v>
      </c>
      <c r="BE529" s="27" t="s">
        <v>8</v>
      </c>
    </row>
    <row r="530" spans="1:57" x14ac:dyDescent="0.25">
      <c r="A530" s="7">
        <v>3.0917885922132262</v>
      </c>
      <c r="B530"/>
      <c r="C530"/>
      <c r="D530"/>
      <c r="E530" t="s">
        <v>8</v>
      </c>
      <c r="N530" s="27" t="s">
        <v>7</v>
      </c>
      <c r="O530" s="27" t="s">
        <v>8</v>
      </c>
      <c r="R530" s="27" t="s">
        <v>7</v>
      </c>
      <c r="S530" s="27" t="s">
        <v>8</v>
      </c>
      <c r="T530" s="27" t="s">
        <v>7</v>
      </c>
      <c r="U530" s="27" t="s">
        <v>8</v>
      </c>
      <c r="V530" s="27" t="s">
        <v>7</v>
      </c>
      <c r="W530" s="27" t="s">
        <v>8</v>
      </c>
      <c r="AE530" s="27" t="s">
        <v>8</v>
      </c>
      <c r="AF530" s="27" t="s">
        <v>7</v>
      </c>
      <c r="AG530" s="27" t="s">
        <v>8</v>
      </c>
      <c r="AX530" s="27" t="s">
        <v>7</v>
      </c>
      <c r="AY530" s="27" t="s">
        <v>8</v>
      </c>
      <c r="BD530" s="27" t="s">
        <v>7</v>
      </c>
      <c r="BE530" s="27" t="s">
        <v>8</v>
      </c>
    </row>
    <row r="531" spans="1:57" x14ac:dyDescent="0.25">
      <c r="A531" s="7">
        <v>3.0311652864835552</v>
      </c>
      <c r="B531"/>
      <c r="C531"/>
      <c r="D531"/>
      <c r="E531" t="s">
        <v>8</v>
      </c>
      <c r="N531" s="27" t="s">
        <v>7</v>
      </c>
      <c r="O531" s="27" t="s">
        <v>8</v>
      </c>
      <c r="R531" s="27" t="s">
        <v>7</v>
      </c>
      <c r="S531" s="27" t="s">
        <v>8</v>
      </c>
      <c r="T531" s="27" t="s">
        <v>7</v>
      </c>
      <c r="U531" s="27" t="s">
        <v>8</v>
      </c>
      <c r="V531" s="27" t="s">
        <v>7</v>
      </c>
      <c r="W531" s="27" t="s">
        <v>8</v>
      </c>
      <c r="X531" s="27" t="s">
        <v>7</v>
      </c>
      <c r="AE531" s="27" t="s">
        <v>8</v>
      </c>
      <c r="AF531" s="27" t="s">
        <v>7</v>
      </c>
      <c r="AG531" s="27" t="s">
        <v>8</v>
      </c>
      <c r="AX531" s="27" t="s">
        <v>7</v>
      </c>
      <c r="AY531" s="27" t="s">
        <v>8</v>
      </c>
      <c r="BD531" s="27" t="s">
        <v>7</v>
      </c>
    </row>
    <row r="532" spans="1:57" x14ac:dyDescent="0.25">
      <c r="A532" s="7">
        <v>2.9717306730230932</v>
      </c>
      <c r="B532"/>
      <c r="C532"/>
      <c r="D532"/>
      <c r="E532" t="s">
        <v>8</v>
      </c>
      <c r="N532" s="27" t="s">
        <v>7</v>
      </c>
      <c r="O532" s="27" t="s">
        <v>8</v>
      </c>
      <c r="R532" s="27" t="s">
        <v>7</v>
      </c>
      <c r="T532" s="27" t="s">
        <v>7</v>
      </c>
      <c r="V532" s="27" t="s">
        <v>7</v>
      </c>
      <c r="W532" s="27" t="s">
        <v>8</v>
      </c>
      <c r="X532" s="27" t="s">
        <v>7</v>
      </c>
      <c r="AC532" s="27" t="s">
        <v>8</v>
      </c>
      <c r="AE532" s="27" t="s">
        <v>8</v>
      </c>
      <c r="AF532" s="27" t="s">
        <v>7</v>
      </c>
      <c r="AG532" s="27" t="s">
        <v>8</v>
      </c>
      <c r="AX532" s="27" t="s">
        <v>7</v>
      </c>
      <c r="AY532" s="27" t="s">
        <v>8</v>
      </c>
    </row>
    <row r="533" spans="1:57" x14ac:dyDescent="0.25">
      <c r="A533" s="7">
        <v>2.9134614441402875</v>
      </c>
      <c r="B533"/>
      <c r="C533"/>
      <c r="D533"/>
      <c r="E533" t="s">
        <v>8</v>
      </c>
      <c r="N533" s="27" t="s">
        <v>7</v>
      </c>
      <c r="O533" s="27" t="s">
        <v>8</v>
      </c>
      <c r="V533" s="27" t="s">
        <v>7</v>
      </c>
      <c r="W533" s="27" t="s">
        <v>8</v>
      </c>
      <c r="X533" s="27" t="s">
        <v>7</v>
      </c>
      <c r="AC533" s="27" t="s">
        <v>8</v>
      </c>
      <c r="AD533" s="27" t="s">
        <v>7</v>
      </c>
      <c r="AE533" s="27" t="s">
        <v>8</v>
      </c>
      <c r="AF533" s="27" t="s">
        <v>7</v>
      </c>
      <c r="AG533" s="27" t="s">
        <v>8</v>
      </c>
      <c r="AX533" s="27" t="s">
        <v>7</v>
      </c>
    </row>
    <row r="534" spans="1:57" x14ac:dyDescent="0.25">
      <c r="A534" s="7">
        <v>2.8563347491571447</v>
      </c>
      <c r="B534"/>
      <c r="C534"/>
      <c r="D534"/>
      <c r="E534" t="s">
        <v>8</v>
      </c>
      <c r="N534" s="27" t="s">
        <v>7</v>
      </c>
      <c r="O534" s="27" t="s">
        <v>8</v>
      </c>
      <c r="V534" s="27" t="s">
        <v>7</v>
      </c>
      <c r="X534" s="27" t="s">
        <v>7</v>
      </c>
      <c r="Y534" s="27" t="s">
        <v>8</v>
      </c>
      <c r="AC534" s="27" t="s">
        <v>8</v>
      </c>
      <c r="AD534" s="27" t="s">
        <v>7</v>
      </c>
      <c r="AE534" s="27" t="s">
        <v>8</v>
      </c>
      <c r="AF534" s="27" t="s">
        <v>7</v>
      </c>
    </row>
    <row r="535" spans="1:57" x14ac:dyDescent="0.25">
      <c r="A535" s="7">
        <v>2.8003281854481812</v>
      </c>
      <c r="B535"/>
      <c r="C535"/>
      <c r="D535"/>
      <c r="E535" t="s">
        <v>8</v>
      </c>
      <c r="N535" s="27" t="s">
        <v>7</v>
      </c>
      <c r="O535" s="27" t="s">
        <v>8</v>
      </c>
      <c r="X535" s="27" t="s">
        <v>7</v>
      </c>
      <c r="Y535" s="27" t="s">
        <v>8</v>
      </c>
      <c r="Z535" s="27" t="s">
        <v>7</v>
      </c>
      <c r="AC535" s="27" t="s">
        <v>8</v>
      </c>
      <c r="AD535" s="27" t="s">
        <v>7</v>
      </c>
      <c r="AE535" s="27" t="s">
        <v>8</v>
      </c>
    </row>
    <row r="536" spans="1:57" x14ac:dyDescent="0.25">
      <c r="A536" s="7">
        <v>2.7454197896550796</v>
      </c>
      <c r="B536"/>
      <c r="C536"/>
      <c r="D536"/>
      <c r="E536" t="s">
        <v>8</v>
      </c>
      <c r="N536" s="27" t="s">
        <v>7</v>
      </c>
      <c r="O536" s="27" t="s">
        <v>8</v>
      </c>
      <c r="X536" s="27" t="s">
        <v>7</v>
      </c>
      <c r="Y536" s="27" t="s">
        <v>8</v>
      </c>
      <c r="Z536" s="27" t="s">
        <v>7</v>
      </c>
      <c r="AC536" s="27" t="s">
        <v>8</v>
      </c>
      <c r="AD536" s="27" t="s">
        <v>7</v>
      </c>
      <c r="AE536" s="27" t="s">
        <v>8</v>
      </c>
    </row>
    <row r="537" spans="1:57" x14ac:dyDescent="0.25">
      <c r="A537" s="7">
        <v>2.6915880290736074</v>
      </c>
      <c r="B537"/>
      <c r="C537"/>
      <c r="D537"/>
      <c r="E537" t="s">
        <v>8</v>
      </c>
      <c r="N537" s="27" t="s">
        <v>7</v>
      </c>
      <c r="O537" s="27" t="s">
        <v>8</v>
      </c>
      <c r="X537" s="27" t="s">
        <v>7</v>
      </c>
      <c r="Y537" s="27" t="s">
        <v>8</v>
      </c>
      <c r="Z537" s="27" t="s">
        <v>7</v>
      </c>
      <c r="AC537" s="27" t="s">
        <v>8</v>
      </c>
      <c r="AD537" s="27" t="s">
        <v>7</v>
      </c>
      <c r="AE537" s="27" t="s">
        <v>8</v>
      </c>
    </row>
    <row r="538" spans="1:57" x14ac:dyDescent="0.25">
      <c r="A538" s="7">
        <v>2.6388117932094191</v>
      </c>
      <c r="B538"/>
      <c r="C538"/>
      <c r="D538"/>
      <c r="E538" t="s">
        <v>8</v>
      </c>
      <c r="N538" s="27" t="s">
        <v>7</v>
      </c>
      <c r="O538" s="27" t="s">
        <v>8</v>
      </c>
      <c r="X538" s="27" t="s">
        <v>7</v>
      </c>
      <c r="Y538" s="27" t="s">
        <v>8</v>
      </c>
      <c r="Z538" s="27" t="s">
        <v>7</v>
      </c>
      <c r="AC538" s="27" t="s">
        <v>8</v>
      </c>
      <c r="AD538" s="27" t="s">
        <v>7</v>
      </c>
      <c r="AE538" s="27" t="s">
        <v>8</v>
      </c>
    </row>
    <row r="539" spans="1:57" x14ac:dyDescent="0.25">
      <c r="A539" s="7">
        <v>2.5870703854994304</v>
      </c>
      <c r="B539"/>
      <c r="C539"/>
      <c r="D539"/>
      <c r="E539" t="s">
        <v>8</v>
      </c>
      <c r="N539" s="27" t="s">
        <v>7</v>
      </c>
      <c r="O539" s="27" t="s">
        <v>8</v>
      </c>
      <c r="X539" s="27" t="s">
        <v>7</v>
      </c>
      <c r="Y539" s="27" t="s">
        <v>8</v>
      </c>
      <c r="Z539" s="27" t="s">
        <v>7</v>
      </c>
      <c r="AC539" s="27" t="s">
        <v>8</v>
      </c>
      <c r="AD539" s="27" t="s">
        <v>7</v>
      </c>
      <c r="AE539" s="27" t="s">
        <v>8</v>
      </c>
    </row>
    <row r="540" spans="1:57" x14ac:dyDescent="0.25">
      <c r="A540" s="7">
        <v>2.53634351519552</v>
      </c>
      <c r="B540"/>
      <c r="C540"/>
      <c r="D540"/>
      <c r="E540" t="s">
        <v>8</v>
      </c>
      <c r="N540" s="27" t="s">
        <v>7</v>
      </c>
      <c r="O540" s="27" t="s">
        <v>8</v>
      </c>
      <c r="X540" s="27" t="s">
        <v>7</v>
      </c>
      <c r="Z540" s="27" t="s">
        <v>7</v>
      </c>
      <c r="AC540" s="27" t="s">
        <v>8</v>
      </c>
      <c r="AD540" s="27" t="s">
        <v>7</v>
      </c>
      <c r="AE540" s="27" t="s">
        <v>8</v>
      </c>
    </row>
    <row r="541" spans="1:57" x14ac:dyDescent="0.25">
      <c r="A541" s="7">
        <v>2.4866112894073726</v>
      </c>
      <c r="B541"/>
      <c r="C541"/>
      <c r="D541"/>
      <c r="E541" t="s">
        <v>8</v>
      </c>
      <c r="N541" s="27" t="s">
        <v>7</v>
      </c>
      <c r="Z541" s="27" t="s">
        <v>7</v>
      </c>
      <c r="AC541" s="27" t="s">
        <v>8</v>
      </c>
      <c r="AD541" s="27" t="s">
        <v>7</v>
      </c>
      <c r="AE541" s="27" t="s">
        <v>8</v>
      </c>
    </row>
    <row r="542" spans="1:57" x14ac:dyDescent="0.25">
      <c r="A542" s="7">
        <v>2.4378542053013459</v>
      </c>
      <c r="B542"/>
      <c r="C542"/>
      <c r="D542"/>
      <c r="E542" t="s">
        <v>8</v>
      </c>
      <c r="Z542" s="27" t="s">
        <v>7</v>
      </c>
      <c r="AA542" s="27" t="s">
        <v>8</v>
      </c>
      <c r="AC542" s="27" t="s">
        <v>8</v>
      </c>
      <c r="AD542" s="27" t="s">
        <v>7</v>
      </c>
    </row>
    <row r="543" spans="1:57" x14ac:dyDescent="0.25">
      <c r="A543" s="7">
        <v>2.3900531424522997</v>
      </c>
      <c r="B543"/>
      <c r="C543"/>
      <c r="D543"/>
      <c r="E543" t="s">
        <v>8</v>
      </c>
      <c r="Z543" s="27" t="s">
        <v>7</v>
      </c>
      <c r="AA543" s="27" t="s">
        <v>8</v>
      </c>
      <c r="AB543" s="27" t="s">
        <v>7</v>
      </c>
      <c r="AC543" s="27" t="s">
        <v>8</v>
      </c>
    </row>
    <row r="544" spans="1:57" x14ac:dyDescent="0.25">
      <c r="A544" s="7">
        <v>2.343189355345392</v>
      </c>
      <c r="B544"/>
      <c r="C544"/>
      <c r="D544"/>
      <c r="E544" t="s">
        <v>8</v>
      </c>
      <c r="Z544" s="27" t="s">
        <v>7</v>
      </c>
      <c r="AA544" s="27" t="s">
        <v>8</v>
      </c>
      <c r="AB544" s="27" t="s">
        <v>7</v>
      </c>
      <c r="AC544" s="27" t="s">
        <v>8</v>
      </c>
    </row>
    <row r="545" spans="1:29" x14ac:dyDescent="0.25">
      <c r="A545" s="7">
        <v>2.2972444660248938</v>
      </c>
      <c r="B545"/>
      <c r="C545"/>
      <c r="D545"/>
      <c r="E545" t="s">
        <v>8</v>
      </c>
      <c r="Z545" s="27" t="s">
        <v>7</v>
      </c>
      <c r="AA545" s="27" t="s">
        <v>8</v>
      </c>
      <c r="AB545" s="27" t="s">
        <v>7</v>
      </c>
      <c r="AC545" s="27" t="s">
        <v>8</v>
      </c>
    </row>
    <row r="546" spans="1:29" x14ac:dyDescent="0.25">
      <c r="A546" s="7">
        <v>2.252200456887151</v>
      </c>
      <c r="B546"/>
      <c r="C546"/>
      <c r="D546"/>
      <c r="E546" t="s">
        <v>8</v>
      </c>
      <c r="Z546" s="27" t="s">
        <v>7</v>
      </c>
      <c r="AB546" s="27" t="s">
        <v>7</v>
      </c>
      <c r="AC546" s="27" t="s">
        <v>8</v>
      </c>
    </row>
    <row r="547" spans="1:29" x14ac:dyDescent="0.25">
      <c r="A547" s="7">
        <v>2.208039663614854</v>
      </c>
      <c r="B547"/>
      <c r="C547"/>
      <c r="D547"/>
      <c r="E547" t="s">
        <v>8</v>
      </c>
      <c r="AB547" s="27" t="s">
        <v>7</v>
      </c>
      <c r="AC547" s="27" t="s">
        <v>8</v>
      </c>
    </row>
    <row r="548" spans="1:29" x14ac:dyDescent="0.25">
      <c r="A548" s="7">
        <v>2.1647447682498568</v>
      </c>
      <c r="B548"/>
      <c r="C548"/>
      <c r="D548"/>
      <c r="E548" t="s">
        <v>8</v>
      </c>
      <c r="AB548" s="27" t="s">
        <v>7</v>
      </c>
      <c r="AC548" s="27" t="s">
        <v>8</v>
      </c>
    </row>
    <row r="549" spans="1:29" x14ac:dyDescent="0.25">
      <c r="A549" s="7">
        <v>2.1222987924018204</v>
      </c>
      <c r="B549"/>
      <c r="C549"/>
      <c r="D549"/>
      <c r="E549" t="s">
        <v>8</v>
      </c>
      <c r="AB549" s="27" t="s">
        <v>7</v>
      </c>
      <c r="AC549" s="27" t="s">
        <v>8</v>
      </c>
    </row>
    <row r="550" spans="1:29" x14ac:dyDescent="0.25">
      <c r="A550" s="7">
        <v>2.0806850905900198</v>
      </c>
      <c r="B550"/>
      <c r="C550"/>
      <c r="D550"/>
      <c r="E550" t="s">
        <v>8</v>
      </c>
      <c r="AB550" s="27" t="s">
        <v>7</v>
      </c>
      <c r="AC550" s="27" t="s">
        <v>8</v>
      </c>
    </row>
    <row r="551" spans="1:29" x14ac:dyDescent="0.25">
      <c r="A551" s="7">
        <v>2.0398873437157055</v>
      </c>
      <c r="B551"/>
      <c r="C551"/>
      <c r="D551"/>
      <c r="E551" t="s">
        <v>8</v>
      </c>
      <c r="AB551" s="27" t="s">
        <v>7</v>
      </c>
      <c r="AC551" s="27" t="s">
        <v>8</v>
      </c>
    </row>
    <row r="552" spans="1:29" x14ac:dyDescent="0.25">
      <c r="A552" s="7">
        <v>1.9998895526624565</v>
      </c>
      <c r="B552"/>
      <c r="C552"/>
      <c r="D552"/>
      <c r="E552" t="s">
        <v>8</v>
      </c>
      <c r="AB552" s="27" t="s">
        <v>7</v>
      </c>
      <c r="AC552" s="27" t="s">
        <v>8</v>
      </c>
    </row>
    <row r="553" spans="1:29" x14ac:dyDescent="0.25">
      <c r="A553" s="7">
        <v>1.9606760320220162</v>
      </c>
      <c r="B553"/>
      <c r="C553"/>
      <c r="D553"/>
      <c r="E553" t="s">
        <v>8</v>
      </c>
      <c r="AB553" s="27" t="s">
        <v>7</v>
      </c>
      <c r="AC553" s="27" t="s">
        <v>8</v>
      </c>
    </row>
    <row r="554" spans="1:29" x14ac:dyDescent="0.25">
      <c r="A554" s="7">
        <v>1.9222314039431532</v>
      </c>
      <c r="B554"/>
      <c r="C554"/>
      <c r="D554"/>
      <c r="E554" t="s">
        <v>8</v>
      </c>
      <c r="AB554" s="27" t="s">
        <v>7</v>
      </c>
      <c r="AC554" s="27" t="s">
        <v>8</v>
      </c>
    </row>
    <row r="555" spans="1:29" x14ac:dyDescent="0.25">
      <c r="A555" s="7">
        <v>1.8845405921011305</v>
      </c>
      <c r="B555"/>
      <c r="C555"/>
      <c r="D555"/>
      <c r="E555" t="s">
        <v>8</v>
      </c>
      <c r="AB555" s="27" t="s">
        <v>7</v>
      </c>
      <c r="AC555" s="27" t="s">
        <v>8</v>
      </c>
    </row>
    <row r="556" spans="1:29" x14ac:dyDescent="0.25">
      <c r="A556" s="7">
        <v>1.8475888157854219</v>
      </c>
      <c r="B556"/>
      <c r="C556"/>
      <c r="D556"/>
      <c r="E556" t="s">
        <v>8</v>
      </c>
      <c r="AB556" s="27" t="s">
        <v>7</v>
      </c>
      <c r="AC556" s="27" t="s">
        <v>8</v>
      </c>
    </row>
    <row r="557" spans="1:29" x14ac:dyDescent="0.25">
      <c r="A557" s="7">
        <v>1.8113615841033548</v>
      </c>
      <c r="B557"/>
      <c r="C557"/>
      <c r="D557"/>
      <c r="E557" t="s">
        <v>8</v>
      </c>
      <c r="AB557" s="27" t="s">
        <v>7</v>
      </c>
      <c r="AC557" s="27" t="s">
        <v>8</v>
      </c>
    </row>
    <row r="558" spans="1:29" x14ac:dyDescent="0.25">
      <c r="A558" s="7">
        <v>1.7758446902974065</v>
      </c>
      <c r="B558"/>
      <c r="C558"/>
      <c r="D558"/>
      <c r="E558" t="s">
        <v>8</v>
      </c>
      <c r="AB558" s="27" t="s">
        <v>7</v>
      </c>
    </row>
    <row r="559" spans="1:29" x14ac:dyDescent="0.25">
      <c r="A559" s="7">
        <v>1.7410242061739281</v>
      </c>
      <c r="B559"/>
      <c r="C559"/>
      <c r="D559"/>
      <c r="E559" t="s">
        <v>8</v>
      </c>
    </row>
    <row r="560" spans="1:29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03" operator="equal">
      <formula>$U$1</formula>
    </cfRule>
    <cfRule type="cellIs" dxfId="89" priority="904" operator="equal">
      <formula>$S$1</formula>
    </cfRule>
  </conditionalFormatting>
  <conditionalFormatting sqref="D27">
    <cfRule type="cellIs" dxfId="88" priority="901" operator="equal">
      <formula>$S$1</formula>
    </cfRule>
    <cfRule type="cellIs" dxfId="87" priority="902" operator="equal">
      <formula>$U$1</formula>
    </cfRule>
  </conditionalFormatting>
  <conditionalFormatting sqref="C164">
    <cfRule type="cellIs" dxfId="86" priority="899" operator="equal">
      <formula>$U$1</formula>
    </cfRule>
    <cfRule type="cellIs" dxfId="85" priority="900" operator="equal">
      <formula>$S$1</formula>
    </cfRule>
  </conditionalFormatting>
  <conditionalFormatting sqref="D164">
    <cfRule type="cellIs" dxfId="84" priority="897" operator="equal">
      <formula>$S$1</formula>
    </cfRule>
    <cfRule type="cellIs" dxfId="83" priority="898" operator="equal">
      <formula>$U$1</formula>
    </cfRule>
  </conditionalFormatting>
  <conditionalFormatting sqref="C55">
    <cfRule type="cellIs" dxfId="82" priority="895" operator="equal">
      <formula>$U$1</formula>
    </cfRule>
    <cfRule type="cellIs" dxfId="81" priority="896" operator="equal">
      <formula>$S$1</formula>
    </cfRule>
  </conditionalFormatting>
  <conditionalFormatting sqref="D55">
    <cfRule type="cellIs" dxfId="80" priority="893" operator="equal">
      <formula>$S$1</formula>
    </cfRule>
    <cfRule type="cellIs" dxfId="79" priority="894" operator="equal">
      <formula>$U$1</formula>
    </cfRule>
  </conditionalFormatting>
  <conditionalFormatting sqref="C89">
    <cfRule type="cellIs" dxfId="78" priority="891" operator="equal">
      <formula>$U$1</formula>
    </cfRule>
    <cfRule type="cellIs" dxfId="77" priority="892" operator="equal">
      <formula>$S$1</formula>
    </cfRule>
  </conditionalFormatting>
  <conditionalFormatting sqref="D89">
    <cfRule type="cellIs" dxfId="76" priority="889" operator="equal">
      <formula>$S$1</formula>
    </cfRule>
    <cfRule type="cellIs" dxfId="75" priority="890" operator="equal">
      <formula>$U$1</formula>
    </cfRule>
  </conditionalFormatting>
  <conditionalFormatting sqref="C136">
    <cfRule type="cellIs" dxfId="74" priority="887" operator="equal">
      <formula>$U$1</formula>
    </cfRule>
    <cfRule type="cellIs" dxfId="73" priority="888" operator="equal">
      <formula>$S$1</formula>
    </cfRule>
  </conditionalFormatting>
  <conditionalFormatting sqref="D136">
    <cfRule type="cellIs" dxfId="72" priority="885" operator="equal">
      <formula>$S$1</formula>
    </cfRule>
    <cfRule type="cellIs" dxfId="71" priority="886" operator="equal">
      <formula>$U$1</formula>
    </cfRule>
  </conditionalFormatting>
  <conditionalFormatting sqref="C1">
    <cfRule type="cellIs" dxfId="70" priority="88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3" zoomScale="85" zoomScaleNormal="85" workbookViewId="0">
      <pane xSplit="4" topLeftCell="AM1" activePane="topRight" state="frozen"/>
      <selection activeCell="A109" sqref="A109"/>
      <selection pane="topRight" activeCell="CM190" sqref="CM19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$A$189</v>
      </c>
      <c r="D111" s="1" t="str">
        <f>ADDRESS(C121-1,D121,1,1)</f>
        <v>$CM$189</v>
      </c>
      <c r="E111"/>
    </row>
    <row r="112" spans="1:5" x14ac:dyDescent="0.25">
      <c r="A112" s="30">
        <v>515.50191262726139</v>
      </c>
      <c r="C112" s="1" t="str">
        <f>ADDRESS(C121,1,1,1)</f>
        <v>$A$190</v>
      </c>
      <c r="D112" s="1" t="str">
        <f>ADDRESS(C121,D121-1,1,1)</f>
        <v>$CL$190</v>
      </c>
      <c r="E112"/>
    </row>
    <row r="113" spans="1:5" x14ac:dyDescent="0.25">
      <c r="A113" s="30">
        <v>490.95420250215363</v>
      </c>
      <c r="C113" s="1" t="str">
        <f>ADDRESS(C121+1,1,1,1)</f>
        <v>$A$191</v>
      </c>
      <c r="D113" s="1" t="str">
        <f>ADDRESS(C121-1,D121+1,1,1)</f>
        <v>$CN$189</v>
      </c>
    </row>
    <row r="114" spans="1:5" x14ac:dyDescent="0.25">
      <c r="A114" s="30">
        <v>467.57543095443202</v>
      </c>
      <c r="C114" s="1" t="str">
        <f>ADDRESS(C121,D121,1,1)</f>
        <v>$CM$190</v>
      </c>
      <c r="D114" s="1" t="str">
        <f>ADDRESS(C121+1,D121+1,1,1)</f>
        <v>$CN$191</v>
      </c>
    </row>
    <row r="115" spans="1:5" x14ac:dyDescent="0.25">
      <c r="A115" s="30">
        <v>445.30993424231622</v>
      </c>
      <c r="C115" s="1" t="str">
        <f>ADDRESS(C121+1,D121,1,1)</f>
        <v>$CM$191</v>
      </c>
    </row>
    <row r="116" spans="1:5" x14ac:dyDescent="0.25">
      <c r="A116" s="30">
        <v>424.10469927839637</v>
      </c>
      <c r="C116" s="1">
        <f>C117-1</f>
        <v>189</v>
      </c>
    </row>
    <row r="117" spans="1:5" x14ac:dyDescent="0.25">
      <c r="A117" s="30">
        <v>403.9092374079965</v>
      </c>
      <c r="C117" s="1">
        <f>C121</f>
        <v>190</v>
      </c>
      <c r="D117" s="1">
        <f>D121</f>
        <v>91</v>
      </c>
    </row>
    <row r="118" spans="1:5" x14ac:dyDescent="0.25">
      <c r="A118" s="30">
        <v>384.6754641980919</v>
      </c>
      <c r="C118" s="1">
        <f>C117+1</f>
        <v>191</v>
      </c>
      <c r="D118" s="1">
        <f>D117+1</f>
        <v>92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190</v>
      </c>
      <c r="D121" s="19">
        <v>91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R190</v>
      </c>
      <c r="D123" s="1" t="str">
        <f>"C"&amp;D121</f>
        <v>C91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11.467399785753704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81" x14ac:dyDescent="0.25">
      <c r="A161" s="30">
        <v>47.201372444612005</v>
      </c>
      <c r="E161"/>
    </row>
    <row r="162" spans="1:81" x14ac:dyDescent="0.25">
      <c r="A162" s="30">
        <v>44.95368804248762</v>
      </c>
      <c r="E162"/>
      <c r="AU162" s="27" t="s">
        <v>8</v>
      </c>
    </row>
    <row r="163" spans="1:81" x14ac:dyDescent="0.25">
      <c r="A163" s="30">
        <v>42.81303623094059</v>
      </c>
      <c r="E163"/>
      <c r="AU163" s="27" t="s">
        <v>8</v>
      </c>
      <c r="AV163" s="27" t="s">
        <v>7</v>
      </c>
      <c r="AW163" s="27" t="s">
        <v>8</v>
      </c>
    </row>
    <row r="164" spans="1:81" x14ac:dyDescent="0.25">
      <c r="A164" s="30">
        <v>40.774320219943419</v>
      </c>
      <c r="E164"/>
      <c r="AU164" s="27" t="s">
        <v>8</v>
      </c>
      <c r="AV164" s="27" t="s">
        <v>7</v>
      </c>
      <c r="AW164" s="27" t="s">
        <v>8</v>
      </c>
      <c r="AX164" s="27" t="s">
        <v>7</v>
      </c>
      <c r="AY164" s="31" t="s">
        <v>8</v>
      </c>
    </row>
    <row r="165" spans="1:81" x14ac:dyDescent="0.25">
      <c r="A165" s="30">
        <v>38.832685923755633</v>
      </c>
      <c r="E165"/>
      <c r="AQ165" s="27" t="s">
        <v>8</v>
      </c>
      <c r="AU165" s="27" t="s">
        <v>8</v>
      </c>
      <c r="AV165" s="27" t="s">
        <v>7</v>
      </c>
      <c r="AW165" s="27" t="s">
        <v>8</v>
      </c>
      <c r="AX165" s="27" t="s">
        <v>7</v>
      </c>
      <c r="AY165" s="27" t="s">
        <v>8</v>
      </c>
      <c r="AZ165" s="31" t="s">
        <v>7</v>
      </c>
    </row>
    <row r="166" spans="1:81" x14ac:dyDescent="0.25">
      <c r="A166" s="30">
        <v>36.983510403576794</v>
      </c>
      <c r="E166"/>
      <c r="AQ166" s="27" t="s">
        <v>8</v>
      </c>
      <c r="AR166" s="27" t="s">
        <v>7</v>
      </c>
      <c r="AS166" s="27" t="s">
        <v>8</v>
      </c>
      <c r="AU166" s="27" t="s">
        <v>8</v>
      </c>
      <c r="AV166" s="27" t="s">
        <v>7</v>
      </c>
      <c r="AW166" s="27" t="s">
        <v>8</v>
      </c>
      <c r="AX166" s="27" t="s">
        <v>7</v>
      </c>
      <c r="AY166" s="27" t="s">
        <v>8</v>
      </c>
      <c r="AZ166" s="27" t="s">
        <v>7</v>
      </c>
      <c r="BA166" s="31"/>
    </row>
    <row r="167" spans="1:81" x14ac:dyDescent="0.25">
      <c r="A167" s="30">
        <v>35.222390860549325</v>
      </c>
      <c r="E167"/>
      <c r="AO167" s="27" t="s">
        <v>8</v>
      </c>
      <c r="AQ167" s="27" t="s">
        <v>8</v>
      </c>
      <c r="AR167" s="27" t="s">
        <v>7</v>
      </c>
      <c r="AS167" s="27" t="s">
        <v>8</v>
      </c>
      <c r="AT167" s="27" t="s">
        <v>7</v>
      </c>
      <c r="AU167" s="27" t="s">
        <v>8</v>
      </c>
      <c r="AV167" s="27" t="s">
        <v>7</v>
      </c>
      <c r="AW167" s="27" t="s">
        <v>8</v>
      </c>
      <c r="AX167" s="27" t="s">
        <v>7</v>
      </c>
      <c r="AZ167" s="27" t="s">
        <v>7</v>
      </c>
      <c r="BB167" s="31"/>
    </row>
    <row r="168" spans="1:81" x14ac:dyDescent="0.25">
      <c r="A168" s="30">
        <v>33.545134152904119</v>
      </c>
      <c r="E168"/>
      <c r="AM168" s="27" t="s">
        <v>8</v>
      </c>
      <c r="AO168" s="27" t="s">
        <v>8</v>
      </c>
      <c r="AP168" s="27" t="s">
        <v>7</v>
      </c>
      <c r="AQ168" s="27" t="s">
        <v>8</v>
      </c>
      <c r="AR168" s="27" t="s">
        <v>7</v>
      </c>
      <c r="AS168" s="27" t="s">
        <v>8</v>
      </c>
      <c r="AT168" s="27" t="s">
        <v>7</v>
      </c>
      <c r="AU168" s="27" t="s">
        <v>8</v>
      </c>
      <c r="AV168" s="27" t="s">
        <v>7</v>
      </c>
      <c r="AZ168" s="32" t="s">
        <v>7</v>
      </c>
      <c r="BC168" s="31"/>
    </row>
    <row r="169" spans="1:81" x14ac:dyDescent="0.25">
      <c r="A169" s="30">
        <v>31.947746812289637</v>
      </c>
      <c r="E169"/>
      <c r="AI169" s="27" t="s">
        <v>8</v>
      </c>
      <c r="AM169" s="27" t="s">
        <v>8</v>
      </c>
      <c r="AN169" s="27" t="s">
        <v>7</v>
      </c>
      <c r="AO169" s="27" t="s">
        <v>8</v>
      </c>
      <c r="AP169" s="27" t="s">
        <v>7</v>
      </c>
      <c r="AQ169" s="27" t="s">
        <v>8</v>
      </c>
      <c r="AR169" s="27" t="s">
        <v>7</v>
      </c>
      <c r="AS169" s="27" t="s">
        <v>8</v>
      </c>
      <c r="AT169" s="27" t="s">
        <v>7</v>
      </c>
      <c r="AU169" s="27" t="s">
        <v>8</v>
      </c>
      <c r="AZ169" s="27" t="s">
        <v>7</v>
      </c>
      <c r="BD169" s="31"/>
    </row>
    <row r="170" spans="1:81" x14ac:dyDescent="0.25">
      <c r="A170" s="30">
        <v>30.426425535513939</v>
      </c>
      <c r="E170"/>
      <c r="AI170" s="27" t="s">
        <v>8</v>
      </c>
      <c r="AJ170" s="27" t="s">
        <v>7</v>
      </c>
      <c r="AM170" s="27" t="s">
        <v>8</v>
      </c>
      <c r="AN170" s="27" t="s">
        <v>7</v>
      </c>
      <c r="AO170" s="27" t="s">
        <v>8</v>
      </c>
      <c r="AP170" s="27" t="s">
        <v>7</v>
      </c>
      <c r="AQ170" s="27" t="s">
        <v>8</v>
      </c>
      <c r="AR170" s="27" t="s">
        <v>7</v>
      </c>
      <c r="AS170" s="27" t="s">
        <v>8</v>
      </c>
      <c r="AT170" s="27" t="s">
        <v>7</v>
      </c>
      <c r="AZ170" s="27" t="s">
        <v>7</v>
      </c>
      <c r="BE170" s="31"/>
      <c r="BO170" s="27" t="s">
        <v>8</v>
      </c>
      <c r="BQ170" s="27" t="s">
        <v>8</v>
      </c>
    </row>
    <row r="171" spans="1:81" x14ac:dyDescent="0.25">
      <c r="A171" s="30">
        <v>28.977548129060892</v>
      </c>
      <c r="E171"/>
      <c r="AI171" s="27" t="s">
        <v>8</v>
      </c>
      <c r="AJ171" s="27" t="s">
        <v>7</v>
      </c>
      <c r="AM171" s="27" t="s">
        <v>8</v>
      </c>
      <c r="AN171" s="27" t="s">
        <v>7</v>
      </c>
      <c r="AP171" s="27" t="s">
        <v>7</v>
      </c>
      <c r="AQ171" s="27" t="s">
        <v>8</v>
      </c>
      <c r="AR171" s="27" t="s">
        <v>7</v>
      </c>
      <c r="AS171" s="27" t="s">
        <v>8</v>
      </c>
      <c r="AZ171" s="27" t="s">
        <v>7</v>
      </c>
      <c r="BC171" s="34" t="s">
        <v>8</v>
      </c>
      <c r="BE171" s="33" t="s">
        <v>8</v>
      </c>
      <c r="BF171" s="31"/>
      <c r="BO171" s="27" t="s">
        <v>8</v>
      </c>
      <c r="BP171" s="27" t="s">
        <v>7</v>
      </c>
      <c r="BQ171" s="27" t="s">
        <v>8</v>
      </c>
      <c r="BR171" s="27" t="s">
        <v>7</v>
      </c>
    </row>
    <row r="172" spans="1:81" x14ac:dyDescent="0.25">
      <c r="A172" s="30">
        <v>27.597664884819896</v>
      </c>
      <c r="E172"/>
      <c r="AI172" s="27" t="s">
        <v>8</v>
      </c>
      <c r="AJ172" s="27" t="s">
        <v>7</v>
      </c>
      <c r="AM172" s="27" t="s">
        <v>8</v>
      </c>
      <c r="AP172" s="27" t="s">
        <v>7</v>
      </c>
      <c r="AQ172" s="27" t="s">
        <v>8</v>
      </c>
      <c r="AR172" s="27" t="s">
        <v>7</v>
      </c>
      <c r="AZ172" s="27" t="s">
        <v>7</v>
      </c>
      <c r="BA172" s="27" t="s">
        <v>8</v>
      </c>
      <c r="BC172" s="27" t="s">
        <v>8</v>
      </c>
      <c r="BD172" s="27" t="s">
        <v>7</v>
      </c>
      <c r="BE172" s="27" t="s">
        <v>8</v>
      </c>
      <c r="BF172" s="27" t="s">
        <v>7</v>
      </c>
      <c r="BG172" s="31"/>
      <c r="BO172" s="27" t="s">
        <v>8</v>
      </c>
      <c r="BP172" s="27" t="s">
        <v>7</v>
      </c>
      <c r="BQ172" s="27" t="s">
        <v>8</v>
      </c>
      <c r="BR172" s="27" t="s">
        <v>7</v>
      </c>
      <c r="BS172" s="27" t="s">
        <v>8</v>
      </c>
      <c r="BY172" s="27" t="s">
        <v>8</v>
      </c>
      <c r="CA172" s="27" t="s">
        <v>8</v>
      </c>
    </row>
    <row r="173" spans="1:81" x14ac:dyDescent="0.25">
      <c r="A173" s="30">
        <v>26.283490366495137</v>
      </c>
      <c r="E173"/>
      <c r="AI173" s="27" t="s">
        <v>8</v>
      </c>
      <c r="AJ173" s="27" t="s">
        <v>7</v>
      </c>
      <c r="AK173" s="27" t="s">
        <v>8</v>
      </c>
      <c r="AM173" s="27" t="s">
        <v>8</v>
      </c>
      <c r="AP173" s="27" t="s">
        <v>7</v>
      </c>
      <c r="AZ173" s="27" t="s">
        <v>7</v>
      </c>
      <c r="BA173" s="27" t="s">
        <v>8</v>
      </c>
      <c r="BB173" s="27" t="s">
        <v>7</v>
      </c>
      <c r="BC173" s="27" t="s">
        <v>8</v>
      </c>
      <c r="BD173" s="27" t="s">
        <v>7</v>
      </c>
      <c r="BE173" s="27" t="s">
        <v>8</v>
      </c>
      <c r="BF173" s="27" t="s">
        <v>7</v>
      </c>
      <c r="BH173" s="31"/>
      <c r="BO173" s="27" t="s">
        <v>8</v>
      </c>
      <c r="BP173" s="27" t="s">
        <v>7</v>
      </c>
      <c r="BQ173" s="27" t="s">
        <v>8</v>
      </c>
      <c r="BR173" s="27" t="s">
        <v>7</v>
      </c>
      <c r="BS173" s="27" t="s">
        <v>8</v>
      </c>
      <c r="BT173" s="27" t="s">
        <v>7</v>
      </c>
      <c r="BW173" s="27" t="s">
        <v>8</v>
      </c>
      <c r="BY173" s="27" t="s">
        <v>8</v>
      </c>
      <c r="BZ173" s="27" t="s">
        <v>7</v>
      </c>
      <c r="CA173" s="27" t="s">
        <v>8</v>
      </c>
      <c r="CB173" s="27" t="s">
        <v>7</v>
      </c>
    </row>
    <row r="174" spans="1:81" x14ac:dyDescent="0.25">
      <c r="A174" s="30">
        <v>25.031895587138223</v>
      </c>
      <c r="E174"/>
      <c r="AI174" s="27" t="s">
        <v>8</v>
      </c>
      <c r="AJ174" s="27" t="s">
        <v>7</v>
      </c>
      <c r="AK174" s="27" t="s">
        <v>8</v>
      </c>
      <c r="AL174" s="27" t="s">
        <v>7</v>
      </c>
      <c r="AM174" s="27" t="s">
        <v>8</v>
      </c>
      <c r="AZ174" s="27" t="s">
        <v>7</v>
      </c>
      <c r="BA174" s="27" t="s">
        <v>8</v>
      </c>
      <c r="BB174" s="27" t="s">
        <v>7</v>
      </c>
      <c r="BC174" s="27" t="s">
        <v>8</v>
      </c>
      <c r="BD174" s="27" t="s">
        <v>7</v>
      </c>
      <c r="BE174" s="27" t="s">
        <v>8</v>
      </c>
      <c r="BF174" s="27" t="s">
        <v>7</v>
      </c>
      <c r="BG174" s="27" t="s">
        <v>8</v>
      </c>
      <c r="BI174" s="31"/>
      <c r="BO174" s="27" t="s">
        <v>8</v>
      </c>
      <c r="BP174" s="27" t="s">
        <v>7</v>
      </c>
      <c r="BR174" s="27" t="s">
        <v>7</v>
      </c>
      <c r="BS174" s="27" t="s">
        <v>8</v>
      </c>
      <c r="BT174" s="27" t="s">
        <v>7</v>
      </c>
      <c r="BW174" s="27" t="s">
        <v>8</v>
      </c>
      <c r="BX174" s="27" t="s">
        <v>7</v>
      </c>
      <c r="BY174" s="27" t="s">
        <v>8</v>
      </c>
      <c r="BZ174" s="27" t="s">
        <v>7</v>
      </c>
      <c r="CA174" s="27" t="s">
        <v>8</v>
      </c>
      <c r="CB174" s="27" t="s">
        <v>7</v>
      </c>
    </row>
    <row r="175" spans="1:81" x14ac:dyDescent="0.25">
      <c r="A175" s="30">
        <v>23.839900559179259</v>
      </c>
      <c r="E175"/>
      <c r="AI175" s="27" t="s">
        <v>8</v>
      </c>
      <c r="AJ175" s="27" t="s">
        <v>7</v>
      </c>
      <c r="AK175" s="27" t="s">
        <v>8</v>
      </c>
      <c r="AL175" s="27" t="s">
        <v>7</v>
      </c>
      <c r="AM175" s="27" t="s">
        <v>8</v>
      </c>
      <c r="AZ175" s="27" t="s">
        <v>7</v>
      </c>
      <c r="BA175" s="27" t="s">
        <v>8</v>
      </c>
      <c r="BB175" s="27" t="s">
        <v>7</v>
      </c>
      <c r="BC175" s="27" t="s">
        <v>8</v>
      </c>
      <c r="BD175" s="27" t="s">
        <v>7</v>
      </c>
      <c r="BE175" s="27" t="s">
        <v>8</v>
      </c>
      <c r="BF175" s="27" t="s">
        <v>7</v>
      </c>
      <c r="BG175" s="27" t="s">
        <v>8</v>
      </c>
      <c r="BH175" s="27" t="s">
        <v>7</v>
      </c>
      <c r="BI175" s="27" t="s">
        <v>8</v>
      </c>
      <c r="BJ175" s="31"/>
      <c r="BO175" s="34" t="s">
        <v>8</v>
      </c>
      <c r="BR175" s="27" t="s">
        <v>7</v>
      </c>
      <c r="BS175" s="27" t="s">
        <v>8</v>
      </c>
      <c r="BT175" s="27" t="s">
        <v>7</v>
      </c>
      <c r="BW175" s="27" t="s">
        <v>8</v>
      </c>
      <c r="BX175" s="27" t="s">
        <v>7</v>
      </c>
      <c r="BY175" s="27" t="s">
        <v>8</v>
      </c>
      <c r="BZ175" s="27" t="s">
        <v>7</v>
      </c>
      <c r="CB175" s="27" t="s">
        <v>7</v>
      </c>
    </row>
    <row r="176" spans="1:81" x14ac:dyDescent="0.25">
      <c r="A176" s="30">
        <v>22.704667199218342</v>
      </c>
      <c r="E176"/>
      <c r="AG176" s="27" t="s">
        <v>8</v>
      </c>
      <c r="AI176" s="27" t="s">
        <v>8</v>
      </c>
      <c r="AJ176" s="27" t="s">
        <v>7</v>
      </c>
      <c r="AK176" s="27" t="s">
        <v>8</v>
      </c>
      <c r="AL176" s="27" t="s">
        <v>7</v>
      </c>
      <c r="AM176" s="27" t="s">
        <v>8</v>
      </c>
      <c r="AZ176" s="27" t="s">
        <v>7</v>
      </c>
      <c r="BA176" s="27" t="s">
        <v>8</v>
      </c>
      <c r="BB176" s="27" t="s">
        <v>7</v>
      </c>
      <c r="BC176" s="27" t="s">
        <v>8</v>
      </c>
      <c r="BD176" s="27" t="s">
        <v>7</v>
      </c>
      <c r="BF176" s="27" t="s">
        <v>7</v>
      </c>
      <c r="BG176" s="27" t="s">
        <v>8</v>
      </c>
      <c r="BH176" s="27" t="s">
        <v>7</v>
      </c>
      <c r="BI176" s="27" t="s">
        <v>8</v>
      </c>
      <c r="BJ176" s="27" t="s">
        <v>7</v>
      </c>
      <c r="BK176" s="31"/>
      <c r="BM176" s="27" t="s">
        <v>8</v>
      </c>
      <c r="BO176" s="27" t="s">
        <v>8</v>
      </c>
      <c r="BR176" s="27" t="s">
        <v>7</v>
      </c>
      <c r="BS176" s="27" t="s">
        <v>8</v>
      </c>
      <c r="BT176" s="27" t="s">
        <v>7</v>
      </c>
      <c r="BW176" s="27" t="s">
        <v>8</v>
      </c>
      <c r="BX176" s="27" t="s">
        <v>7</v>
      </c>
      <c r="CB176" s="27" t="s">
        <v>7</v>
      </c>
      <c r="CC176" s="27" t="s">
        <v>8</v>
      </c>
    </row>
    <row r="177" spans="1:91" x14ac:dyDescent="0.25">
      <c r="A177" s="30">
        <v>21.623492570684135</v>
      </c>
      <c r="E177"/>
      <c r="AE177" s="27" t="s">
        <v>8</v>
      </c>
      <c r="AG177" s="27" t="s">
        <v>8</v>
      </c>
      <c r="AH177" s="27" t="s">
        <v>7</v>
      </c>
      <c r="AI177" s="27" t="s">
        <v>8</v>
      </c>
      <c r="AJ177" s="27" t="s">
        <v>7</v>
      </c>
      <c r="AK177" s="27" t="s">
        <v>8</v>
      </c>
      <c r="AL177" s="27" t="s">
        <v>7</v>
      </c>
      <c r="AM177" s="27" t="s">
        <v>8</v>
      </c>
      <c r="AZ177" s="27" t="s">
        <v>7</v>
      </c>
      <c r="BA177" s="27" t="s">
        <v>8</v>
      </c>
      <c r="BB177" s="27" t="s">
        <v>7</v>
      </c>
      <c r="BC177" s="27" t="s">
        <v>8</v>
      </c>
      <c r="BF177" s="32" t="s">
        <v>7</v>
      </c>
      <c r="BG177" s="27" t="s">
        <v>8</v>
      </c>
      <c r="BH177" s="27" t="s">
        <v>7</v>
      </c>
      <c r="BI177" s="27" t="s">
        <v>8</v>
      </c>
      <c r="BJ177" s="27" t="s">
        <v>7</v>
      </c>
      <c r="BL177" s="31"/>
      <c r="BM177" s="27" t="s">
        <v>8</v>
      </c>
      <c r="BN177" s="27" t="s">
        <v>7</v>
      </c>
      <c r="BO177" s="27" t="s">
        <v>8</v>
      </c>
      <c r="BR177" s="27" t="s">
        <v>7</v>
      </c>
      <c r="BT177" s="27" t="s">
        <v>7</v>
      </c>
      <c r="BU177" s="27" t="s">
        <v>8</v>
      </c>
      <c r="BW177" s="27" t="s">
        <v>8</v>
      </c>
      <c r="CB177" s="27" t="s">
        <v>7</v>
      </c>
      <c r="CC177" s="27" t="s">
        <v>8</v>
      </c>
      <c r="CD177" s="27" t="s">
        <v>7</v>
      </c>
    </row>
    <row r="178" spans="1:91" x14ac:dyDescent="0.25">
      <c r="A178" s="30">
        <v>20.593802448270605</v>
      </c>
      <c r="C178" s="7"/>
      <c r="D178"/>
      <c r="E178"/>
      <c r="AE178" s="27" t="s">
        <v>8</v>
      </c>
      <c r="AF178" s="27" t="s">
        <v>7</v>
      </c>
      <c r="AG178" s="27" t="s">
        <v>8</v>
      </c>
      <c r="AH178" s="27" t="s">
        <v>7</v>
      </c>
      <c r="AI178" s="27" t="s">
        <v>8</v>
      </c>
      <c r="AJ178" s="27" t="s">
        <v>7</v>
      </c>
      <c r="AK178" s="27" t="s">
        <v>8</v>
      </c>
      <c r="AL178" s="27" t="s">
        <v>7</v>
      </c>
      <c r="AZ178" s="27" t="s">
        <v>7</v>
      </c>
      <c r="BA178" s="27" t="s">
        <v>8</v>
      </c>
      <c r="BB178" s="27" t="s">
        <v>7</v>
      </c>
      <c r="BC178" s="27" t="s">
        <v>8</v>
      </c>
      <c r="BF178" s="33" t="s">
        <v>7</v>
      </c>
      <c r="BH178" s="33" t="s">
        <v>7</v>
      </c>
      <c r="BJ178" s="27" t="s">
        <v>7</v>
      </c>
      <c r="BM178" s="31" t="s">
        <v>8</v>
      </c>
      <c r="BN178" s="27" t="s">
        <v>7</v>
      </c>
      <c r="BO178" s="27" t="s">
        <v>8</v>
      </c>
      <c r="BT178" s="27" t="s">
        <v>7</v>
      </c>
      <c r="BU178" s="27" t="s">
        <v>8</v>
      </c>
      <c r="BV178" s="27" t="s">
        <v>7</v>
      </c>
      <c r="BW178" s="27" t="s">
        <v>8</v>
      </c>
      <c r="CB178" s="27" t="s">
        <v>7</v>
      </c>
      <c r="CC178" s="27" t="s">
        <v>8</v>
      </c>
      <c r="CD178" s="27" t="s">
        <v>7</v>
      </c>
    </row>
    <row r="179" spans="1:91" x14ac:dyDescent="0.25">
      <c r="A179" s="30">
        <v>19.613145188829147</v>
      </c>
      <c r="E179"/>
      <c r="AE179" s="27" t="s">
        <v>8</v>
      </c>
      <c r="AF179" s="27" t="s">
        <v>7</v>
      </c>
      <c r="AG179" s="27" t="s">
        <v>8</v>
      </c>
      <c r="AH179" s="27" t="s">
        <v>7</v>
      </c>
      <c r="AI179" s="27" t="s">
        <v>8</v>
      </c>
      <c r="AJ179" s="27" t="s">
        <v>7</v>
      </c>
      <c r="AK179" s="27" t="s">
        <v>8</v>
      </c>
      <c r="AZ179" s="27" t="s">
        <v>7</v>
      </c>
      <c r="BA179" s="27" t="s">
        <v>8</v>
      </c>
      <c r="BB179" s="27" t="s">
        <v>7</v>
      </c>
      <c r="BC179" s="27" t="s">
        <v>8</v>
      </c>
      <c r="BJ179" s="27" t="s">
        <v>7</v>
      </c>
      <c r="BM179" s="27" t="s">
        <v>8</v>
      </c>
      <c r="BN179" s="27" t="s">
        <v>7</v>
      </c>
      <c r="BO179" s="27" t="s">
        <v>8</v>
      </c>
      <c r="BT179" s="27" t="s">
        <v>7</v>
      </c>
      <c r="BU179" s="27" t="s">
        <v>8</v>
      </c>
      <c r="BV179" s="27" t="s">
        <v>7</v>
      </c>
      <c r="BW179" s="27" t="s">
        <v>8</v>
      </c>
      <c r="CB179" s="27" t="s">
        <v>7</v>
      </c>
      <c r="CC179" s="27" t="s">
        <v>8</v>
      </c>
      <c r="CD179" s="27" t="s">
        <v>7</v>
      </c>
      <c r="CG179" s="27" t="s">
        <v>8</v>
      </c>
      <c r="CI179" s="27" t="s">
        <v>8</v>
      </c>
    </row>
    <row r="180" spans="1:91" x14ac:dyDescent="0.25">
      <c r="A180" s="30">
        <v>18.679185894122998</v>
      </c>
      <c r="E180"/>
      <c r="AE180" s="27" t="s">
        <v>8</v>
      </c>
      <c r="AF180" s="27" t="s">
        <v>7</v>
      </c>
      <c r="AG180" s="27" t="s">
        <v>8</v>
      </c>
      <c r="AH180" s="27" t="s">
        <v>7</v>
      </c>
      <c r="AI180" s="27" t="s">
        <v>8</v>
      </c>
      <c r="AJ180" s="27" t="s">
        <v>7</v>
      </c>
      <c r="AZ180" s="27" t="s">
        <v>7</v>
      </c>
      <c r="BA180" s="27" t="s">
        <v>8</v>
      </c>
      <c r="BB180" s="27" t="s">
        <v>7</v>
      </c>
      <c r="BC180" s="27" t="s">
        <v>8</v>
      </c>
      <c r="BJ180" s="27" t="s">
        <v>7</v>
      </c>
      <c r="BM180" s="34" t="s">
        <v>8</v>
      </c>
      <c r="BN180" s="27" t="s">
        <v>7</v>
      </c>
      <c r="BO180" s="27" t="s">
        <v>8</v>
      </c>
      <c r="BT180" s="27" t="s">
        <v>7</v>
      </c>
      <c r="BV180" s="27" t="s">
        <v>7</v>
      </c>
      <c r="BW180" s="27" t="s">
        <v>8</v>
      </c>
      <c r="CB180" s="27" t="s">
        <v>7</v>
      </c>
      <c r="CD180" s="27" t="s">
        <v>7</v>
      </c>
      <c r="CE180" s="27" t="s">
        <v>8</v>
      </c>
      <c r="CG180" s="27" t="s">
        <v>8</v>
      </c>
      <c r="CH180" s="27" t="s">
        <v>7</v>
      </c>
      <c r="CI180" s="27" t="s">
        <v>8</v>
      </c>
      <c r="CJ180" s="27" t="s">
        <v>7</v>
      </c>
    </row>
    <row r="181" spans="1:91" x14ac:dyDescent="0.25">
      <c r="A181" s="30">
        <v>17.78970085154571</v>
      </c>
      <c r="C181"/>
      <c r="D181"/>
      <c r="E181"/>
      <c r="AE181" s="27" t="s">
        <v>8</v>
      </c>
      <c r="AF181" s="27" t="s">
        <v>7</v>
      </c>
      <c r="AH181" s="27" t="s">
        <v>7</v>
      </c>
      <c r="AI181" s="27" t="s">
        <v>8</v>
      </c>
      <c r="AZ181" s="27" t="s">
        <v>7</v>
      </c>
      <c r="BA181" s="27" t="s">
        <v>8</v>
      </c>
      <c r="BB181" s="27" t="s">
        <v>7</v>
      </c>
      <c r="BC181" s="27" t="s">
        <v>8</v>
      </c>
      <c r="BJ181" s="27" t="s">
        <v>7</v>
      </c>
      <c r="BK181" s="27" t="s">
        <v>8</v>
      </c>
      <c r="BM181" s="27" t="s">
        <v>8</v>
      </c>
      <c r="BN181" s="27" t="s">
        <v>7</v>
      </c>
      <c r="BO181" s="27" t="s">
        <v>8</v>
      </c>
      <c r="BV181" s="27" t="s">
        <v>7</v>
      </c>
      <c r="CD181" s="27" t="s">
        <v>7</v>
      </c>
      <c r="CE181" s="27" t="s">
        <v>8</v>
      </c>
      <c r="CF181" s="27" t="s">
        <v>7</v>
      </c>
      <c r="CG181" s="27" t="s">
        <v>8</v>
      </c>
      <c r="CH181" s="27" t="s">
        <v>7</v>
      </c>
      <c r="CI181" s="27" t="s">
        <v>8</v>
      </c>
      <c r="CJ181" s="27" t="s">
        <v>7</v>
      </c>
      <c r="CK181" s="27" t="s">
        <v>8</v>
      </c>
    </row>
    <row r="182" spans="1:91" x14ac:dyDescent="0.25">
      <c r="A182" s="30">
        <v>16.942572239567344</v>
      </c>
      <c r="E182"/>
      <c r="AE182" s="27" t="s">
        <v>8</v>
      </c>
      <c r="AH182" s="27" t="s">
        <v>7</v>
      </c>
      <c r="AZ182" s="27" t="s">
        <v>7</v>
      </c>
      <c r="BA182" s="27" t="s">
        <v>8</v>
      </c>
      <c r="BB182" s="27" t="s">
        <v>7</v>
      </c>
      <c r="BC182" s="27" t="s">
        <v>8</v>
      </c>
      <c r="BJ182" s="27" t="s">
        <v>7</v>
      </c>
      <c r="BK182" s="27" t="s">
        <v>8</v>
      </c>
      <c r="BL182" s="27" t="s">
        <v>7</v>
      </c>
      <c r="BM182" s="27" t="s">
        <v>8</v>
      </c>
      <c r="BN182" s="27" t="s">
        <v>7</v>
      </c>
      <c r="BO182" s="27" t="s">
        <v>8</v>
      </c>
      <c r="CD182" s="27" t="s">
        <v>7</v>
      </c>
      <c r="CE182" s="27" t="s">
        <v>8</v>
      </c>
      <c r="CF182" s="27" t="s">
        <v>7</v>
      </c>
      <c r="CG182" s="27" t="s">
        <v>8</v>
      </c>
      <c r="CH182" s="27" t="s">
        <v>7</v>
      </c>
      <c r="CJ182" s="27" t="s">
        <v>7</v>
      </c>
      <c r="CK182" s="27" t="s">
        <v>8</v>
      </c>
      <c r="CL182" s="27" t="s">
        <v>7</v>
      </c>
    </row>
    <row r="183" spans="1:91" x14ac:dyDescent="0.25">
      <c r="A183" s="30">
        <v>16.135783085302233</v>
      </c>
      <c r="E183"/>
      <c r="AE183" s="27" t="s">
        <v>8</v>
      </c>
      <c r="AZ183" s="27" t="s">
        <v>7</v>
      </c>
      <c r="BB183" s="27" t="s">
        <v>7</v>
      </c>
      <c r="BC183" s="27" t="s">
        <v>8</v>
      </c>
      <c r="BJ183" s="27" t="s">
        <v>7</v>
      </c>
      <c r="BK183" s="27" t="s">
        <v>8</v>
      </c>
      <c r="BL183" s="27" t="s">
        <v>7</v>
      </c>
      <c r="BM183" s="27" t="s">
        <v>8</v>
      </c>
      <c r="BN183" s="18" t="s">
        <v>7</v>
      </c>
      <c r="BO183" s="27" t="s">
        <v>8</v>
      </c>
      <c r="CD183" s="27" t="s">
        <v>7</v>
      </c>
      <c r="CE183" s="27" t="s">
        <v>8</v>
      </c>
      <c r="CF183" s="27" t="s">
        <v>7</v>
      </c>
      <c r="CG183" s="27" t="s">
        <v>8</v>
      </c>
      <c r="CJ183" s="27" t="s">
        <v>7</v>
      </c>
      <c r="CK183" s="27" t="s">
        <v>8</v>
      </c>
      <c r="CL183" s="27" t="s">
        <v>7</v>
      </c>
    </row>
    <row r="184" spans="1:91" x14ac:dyDescent="0.25">
      <c r="A184" s="30">
        <v>15.367412462192602</v>
      </c>
      <c r="E184"/>
      <c r="AE184" s="27" t="s">
        <v>8</v>
      </c>
      <c r="BB184" s="27" t="s">
        <v>7</v>
      </c>
      <c r="BC184" s="27" t="s">
        <v>8</v>
      </c>
      <c r="BJ184" s="27" t="s">
        <v>7</v>
      </c>
      <c r="BK184" s="27" t="s">
        <v>8</v>
      </c>
      <c r="BL184" s="27" t="s">
        <v>7</v>
      </c>
      <c r="BN184" s="27" t="s">
        <v>7</v>
      </c>
      <c r="BO184" s="27" t="s">
        <v>8</v>
      </c>
      <c r="CD184" s="27" t="s">
        <v>7</v>
      </c>
      <c r="CE184" s="27" t="s">
        <v>8</v>
      </c>
      <c r="CF184" s="27" t="s">
        <v>7</v>
      </c>
      <c r="CG184" s="27" t="s">
        <v>8</v>
      </c>
      <c r="CJ184" s="27" t="s">
        <v>7</v>
      </c>
      <c r="CK184" s="27" t="s">
        <v>8</v>
      </c>
      <c r="CL184" s="27" t="s">
        <v>7</v>
      </c>
    </row>
    <row r="185" spans="1:91" x14ac:dyDescent="0.25">
      <c r="A185" s="30">
        <v>14.635630916373906</v>
      </c>
      <c r="C185"/>
      <c r="E185"/>
      <c r="AE185" s="27" t="s">
        <v>8</v>
      </c>
      <c r="BB185" s="27" t="s">
        <v>7</v>
      </c>
      <c r="BC185" s="27" t="s">
        <v>8</v>
      </c>
      <c r="BJ185" s="27" t="s">
        <v>7</v>
      </c>
      <c r="BK185" s="27" t="s">
        <v>8</v>
      </c>
      <c r="BN185" s="32" t="s">
        <v>7</v>
      </c>
      <c r="CD185" s="27" t="s">
        <v>7</v>
      </c>
      <c r="CE185" s="27" t="s">
        <v>8</v>
      </c>
      <c r="CF185" s="27" t="s">
        <v>7</v>
      </c>
      <c r="CG185" s="27" t="s">
        <v>8</v>
      </c>
      <c r="CJ185" s="27" t="s">
        <v>7</v>
      </c>
      <c r="CL185" s="27" t="s">
        <v>7</v>
      </c>
    </row>
    <row r="186" spans="1:91" x14ac:dyDescent="0.25">
      <c r="A186" s="30">
        <v>13.938696110832291</v>
      </c>
      <c r="E186"/>
      <c r="AE186" s="27" t="s">
        <v>8</v>
      </c>
      <c r="BB186" s="31" t="s">
        <v>7</v>
      </c>
      <c r="BC186" s="27" t="s">
        <v>8</v>
      </c>
      <c r="BJ186" s="27" t="s">
        <v>7</v>
      </c>
      <c r="CD186" s="27" t="s">
        <v>7</v>
      </c>
      <c r="CE186" s="27" t="s">
        <v>8</v>
      </c>
      <c r="CF186" s="27" t="s">
        <v>7</v>
      </c>
      <c r="CL186" s="27" t="s">
        <v>7</v>
      </c>
    </row>
    <row r="187" spans="1:9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E187" s="27" t="s">
        <v>8</v>
      </c>
      <c r="BA187" s="31"/>
      <c r="BB187" s="27" t="s">
        <v>7</v>
      </c>
      <c r="CD187" s="27" t="s">
        <v>7</v>
      </c>
      <c r="CL187" s="27" t="s">
        <v>7</v>
      </c>
    </row>
    <row r="188" spans="1:91" x14ac:dyDescent="0.25">
      <c r="A188" s="30">
        <v>12.64280826379346</v>
      </c>
      <c r="E188"/>
      <c r="AE188" s="27" t="s">
        <v>8</v>
      </c>
      <c r="AZ188" s="31"/>
      <c r="CL188" s="27" t="s">
        <v>7</v>
      </c>
    </row>
    <row r="189" spans="1:91" x14ac:dyDescent="0.25">
      <c r="A189" s="30">
        <v>12.04076977504139</v>
      </c>
      <c r="E189"/>
      <c r="AE189" s="27" t="s">
        <v>8</v>
      </c>
      <c r="AY189" s="31"/>
      <c r="CL189" s="27" t="s">
        <v>7</v>
      </c>
    </row>
    <row r="190" spans="1:91" x14ac:dyDescent="0.25">
      <c r="A190" s="30">
        <v>11.467399785753704</v>
      </c>
      <c r="E190"/>
      <c r="AE190" s="27" t="s">
        <v>8</v>
      </c>
      <c r="AX190" s="31"/>
      <c r="CL190" s="27" t="s">
        <v>7</v>
      </c>
      <c r="CM190" s="27" t="s">
        <v>8</v>
      </c>
    </row>
    <row r="191" spans="1:91" x14ac:dyDescent="0.25">
      <c r="A191" s="30">
        <v>10.921333129289241</v>
      </c>
      <c r="E191"/>
      <c r="AE191" s="27" t="s">
        <v>8</v>
      </c>
      <c r="AW191" s="31"/>
      <c r="CL191" s="27" t="s">
        <v>7</v>
      </c>
      <c r="CM191" s="27" t="s">
        <v>8</v>
      </c>
    </row>
    <row r="192" spans="1:91" x14ac:dyDescent="0.25">
      <c r="A192" s="30">
        <v>10.401269646942135</v>
      </c>
      <c r="E192"/>
      <c r="AE192" s="27" t="s">
        <v>8</v>
      </c>
      <c r="AV192" s="31"/>
      <c r="CL192" s="27" t="s">
        <v>7</v>
      </c>
      <c r="CM192" s="27" t="s">
        <v>8</v>
      </c>
    </row>
    <row r="193" spans="1:90" x14ac:dyDescent="0.25">
      <c r="A193" s="30">
        <v>9.9059710923258422</v>
      </c>
      <c r="E193"/>
      <c r="AC193" s="27" t="s">
        <v>8</v>
      </c>
      <c r="AE193" s="27" t="s">
        <v>8</v>
      </c>
      <c r="AU193" s="31"/>
      <c r="CL193" s="27" t="s">
        <v>7</v>
      </c>
    </row>
    <row r="194" spans="1:90" x14ac:dyDescent="0.25">
      <c r="A194" s="30">
        <v>9.4342581831674686</v>
      </c>
      <c r="E194"/>
      <c r="AC194" s="27" t="s">
        <v>8</v>
      </c>
      <c r="AD194" s="27" t="s">
        <v>7</v>
      </c>
      <c r="AE194" s="27" t="s">
        <v>8</v>
      </c>
      <c r="AT194" s="31"/>
    </row>
    <row r="195" spans="1:90" x14ac:dyDescent="0.25">
      <c r="A195" s="30">
        <v>8.9850077934928265</v>
      </c>
      <c r="E195"/>
      <c r="AC195" s="27" t="s">
        <v>8</v>
      </c>
      <c r="AD195" s="27" t="s">
        <v>7</v>
      </c>
      <c r="AE195" s="27" t="s">
        <v>8</v>
      </c>
      <c r="AS195" s="31"/>
    </row>
    <row r="196" spans="1:90" x14ac:dyDescent="0.25">
      <c r="A196" s="30">
        <v>8.5571502795169767</v>
      </c>
      <c r="E196" t="s">
        <v>8</v>
      </c>
      <c r="AC196" s="27" t="s">
        <v>8</v>
      </c>
      <c r="AD196" s="27" t="s">
        <v>7</v>
      </c>
      <c r="AE196" s="27" t="s">
        <v>8</v>
      </c>
      <c r="AR196" s="31"/>
    </row>
    <row r="197" spans="1:90" x14ac:dyDescent="0.25">
      <c r="A197" s="30">
        <v>8.1496669328733109</v>
      </c>
      <c r="E197" t="s">
        <v>8</v>
      </c>
      <c r="F197" s="27" t="s">
        <v>7</v>
      </c>
      <c r="AC197" s="27" t="s">
        <v>8</v>
      </c>
      <c r="AD197" s="27" t="s">
        <v>7</v>
      </c>
      <c r="AE197" s="27" t="s">
        <v>8</v>
      </c>
      <c r="AQ197" s="31"/>
    </row>
    <row r="198" spans="1:90" x14ac:dyDescent="0.25">
      <c r="A198" s="30">
        <v>7.7615875551174378</v>
      </c>
      <c r="E198" t="s">
        <v>8</v>
      </c>
      <c r="F198" s="27" t="s">
        <v>7</v>
      </c>
      <c r="AC198" s="27" t="s">
        <v>8</v>
      </c>
      <c r="AD198" s="27" t="s">
        <v>7</v>
      </c>
      <c r="AE198" s="27" t="s">
        <v>8</v>
      </c>
      <c r="AP198" s="31"/>
    </row>
    <row r="199" spans="1:90" x14ac:dyDescent="0.25">
      <c r="A199" s="30">
        <v>7.3919881477308929</v>
      </c>
      <c r="E199" t="s">
        <v>8</v>
      </c>
      <c r="F199" s="27" t="s">
        <v>7</v>
      </c>
      <c r="AC199" s="27" t="s">
        <v>8</v>
      </c>
      <c r="AD199" s="27" t="s">
        <v>7</v>
      </c>
      <c r="AO199" s="31"/>
    </row>
    <row r="200" spans="1:90" x14ac:dyDescent="0.25">
      <c r="A200" s="30">
        <v>7.0399887121246598</v>
      </c>
      <c r="E200" t="s">
        <v>8</v>
      </c>
      <c r="F200" s="27" t="s">
        <v>7</v>
      </c>
      <c r="AC200" s="27" t="s">
        <v>8</v>
      </c>
      <c r="AN200" s="31"/>
    </row>
    <row r="201" spans="1:90" x14ac:dyDescent="0.25">
      <c r="A201" s="30">
        <v>6.7047511544044376</v>
      </c>
      <c r="E201" t="s">
        <v>8</v>
      </c>
      <c r="F201" s="27" t="s">
        <v>7</v>
      </c>
      <c r="Y201" s="27" t="s">
        <v>8</v>
      </c>
      <c r="AC201" s="27" t="s">
        <v>8</v>
      </c>
      <c r="AM201" s="31"/>
    </row>
    <row r="202" spans="1:90" x14ac:dyDescent="0.25">
      <c r="A202" s="30">
        <v>6.3854772899089882</v>
      </c>
      <c r="E202" t="s">
        <v>8</v>
      </c>
      <c r="F202" s="27" t="s">
        <v>7</v>
      </c>
      <c r="Y202" s="27" t="s">
        <v>8</v>
      </c>
      <c r="Z202" s="27" t="s">
        <v>7</v>
      </c>
      <c r="AA202" s="27" t="s">
        <v>8</v>
      </c>
      <c r="AC202" s="27" t="s">
        <v>8</v>
      </c>
      <c r="AL202" s="31"/>
    </row>
    <row r="203" spans="1:90" x14ac:dyDescent="0.25">
      <c r="A203" s="30">
        <v>6.0814069427704647</v>
      </c>
      <c r="C203" s="7"/>
      <c r="D203"/>
      <c r="E203" t="s">
        <v>8</v>
      </c>
      <c r="F203" s="27" t="s">
        <v>7</v>
      </c>
      <c r="Y203" s="27" t="s">
        <v>8</v>
      </c>
      <c r="Z203" s="27" t="s">
        <v>7</v>
      </c>
      <c r="AA203" s="27" t="s">
        <v>8</v>
      </c>
      <c r="AB203" s="27" t="s">
        <v>7</v>
      </c>
      <c r="AC203" s="27" t="s">
        <v>8</v>
      </c>
      <c r="AK203" s="31"/>
    </row>
    <row r="204" spans="1:90" x14ac:dyDescent="0.25">
      <c r="A204" s="30">
        <v>5.7918161359718709</v>
      </c>
      <c r="E204" t="s">
        <v>8</v>
      </c>
      <c r="F204" s="27" t="s">
        <v>7</v>
      </c>
      <c r="Y204" s="27" t="s">
        <v>8</v>
      </c>
      <c r="Z204" s="27" t="s">
        <v>7</v>
      </c>
      <c r="AA204" s="27" t="s">
        <v>8</v>
      </c>
      <c r="AB204" s="27" t="s">
        <v>7</v>
      </c>
      <c r="AC204" s="27" t="s">
        <v>8</v>
      </c>
      <c r="AJ204" s="31"/>
    </row>
    <row r="205" spans="1:90" x14ac:dyDescent="0.25">
      <c r="A205" s="30">
        <v>5.5160153675922574</v>
      </c>
      <c r="E205" t="s">
        <v>8</v>
      </c>
      <c r="F205" s="27" t="s">
        <v>7</v>
      </c>
      <c r="I205" s="27" t="s">
        <v>8</v>
      </c>
      <c r="Y205" s="27" t="s">
        <v>8</v>
      </c>
      <c r="Z205" s="27" t="s">
        <v>7</v>
      </c>
      <c r="AB205" s="27" t="s">
        <v>7</v>
      </c>
      <c r="AC205" s="27" t="s">
        <v>8</v>
      </c>
      <c r="AI205" s="31"/>
    </row>
    <row r="206" spans="1:90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I206" s="27" t="s">
        <v>8</v>
      </c>
      <c r="J206" s="27" t="s">
        <v>7</v>
      </c>
      <c r="W206" s="27" t="s">
        <v>8</v>
      </c>
      <c r="Y206" s="27" t="s">
        <v>8</v>
      </c>
      <c r="AB206" s="27" t="s">
        <v>7</v>
      </c>
      <c r="AC206" s="27" t="s">
        <v>8</v>
      </c>
      <c r="AH206" s="31"/>
    </row>
    <row r="207" spans="1:90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  <c r="I207" s="27" t="s">
        <v>8</v>
      </c>
      <c r="J207" s="27" t="s">
        <v>7</v>
      </c>
      <c r="W207" s="27" t="s">
        <v>8</v>
      </c>
      <c r="X207" s="27" t="s">
        <v>7</v>
      </c>
      <c r="Y207" s="27" t="s">
        <v>8</v>
      </c>
      <c r="AB207" s="27" t="s">
        <v>7</v>
      </c>
      <c r="AC207" s="27" t="s">
        <v>8</v>
      </c>
      <c r="AG207" s="31"/>
    </row>
    <row r="208" spans="1:90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I208" s="27" t="s">
        <v>8</v>
      </c>
      <c r="J208" s="27" t="s">
        <v>7</v>
      </c>
      <c r="W208" s="27" t="s">
        <v>8</v>
      </c>
      <c r="X208" s="27" t="s">
        <v>7</v>
      </c>
      <c r="Y208" s="27" t="s">
        <v>8</v>
      </c>
      <c r="AB208" s="27" t="s">
        <v>7</v>
      </c>
      <c r="AC208" s="27" t="s">
        <v>8</v>
      </c>
      <c r="AF208" s="31"/>
    </row>
    <row r="209" spans="1:31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  <c r="J209" s="27" t="s">
        <v>7</v>
      </c>
      <c r="W209" s="27" t="s">
        <v>8</v>
      </c>
      <c r="X209" s="27" t="s">
        <v>7</v>
      </c>
      <c r="AB209" s="27" t="s">
        <v>7</v>
      </c>
      <c r="AE209" s="31"/>
    </row>
    <row r="210" spans="1:31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J210" s="27" t="s">
        <v>7</v>
      </c>
      <c r="Q210" s="27" t="s">
        <v>8</v>
      </c>
      <c r="W210" s="27" t="s">
        <v>8</v>
      </c>
      <c r="AD210" s="31"/>
    </row>
    <row r="211" spans="1:31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J211" s="27" t="s">
        <v>7</v>
      </c>
      <c r="O211" s="27" t="s">
        <v>8</v>
      </c>
      <c r="Q211" s="27" t="s">
        <v>8</v>
      </c>
      <c r="R211" s="27" t="s">
        <v>7</v>
      </c>
      <c r="S211" s="27" t="s">
        <v>8</v>
      </c>
      <c r="U211" s="27" t="s">
        <v>8</v>
      </c>
      <c r="W211" s="27" t="s">
        <v>8</v>
      </c>
      <c r="AC211" s="31"/>
    </row>
    <row r="212" spans="1:31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J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  <c r="S212" s="27" t="s">
        <v>8</v>
      </c>
      <c r="T212" s="27" t="s">
        <v>7</v>
      </c>
      <c r="U212" s="27" t="s">
        <v>8</v>
      </c>
      <c r="V212" s="27" t="s">
        <v>7</v>
      </c>
      <c r="W212" s="27" t="s">
        <v>8</v>
      </c>
      <c r="AB212" s="31"/>
    </row>
    <row r="213" spans="1:31" x14ac:dyDescent="0.25">
      <c r="A213" s="30">
        <v>3.7334563223415764</v>
      </c>
      <c r="E213" t="s">
        <v>8</v>
      </c>
      <c r="F213" s="27" t="s">
        <v>7</v>
      </c>
      <c r="J213" s="27" t="s">
        <v>7</v>
      </c>
      <c r="O213" s="27" t="s">
        <v>8</v>
      </c>
      <c r="P213" s="27" t="s">
        <v>7</v>
      </c>
      <c r="Q213" s="27" t="s">
        <v>8</v>
      </c>
      <c r="R213" s="27" t="s">
        <v>7</v>
      </c>
      <c r="S213" s="27" t="s">
        <v>8</v>
      </c>
      <c r="T213" s="27" t="s">
        <v>7</v>
      </c>
      <c r="U213" s="27" t="s">
        <v>8</v>
      </c>
      <c r="V213" s="27" t="s">
        <v>7</v>
      </c>
      <c r="W213" s="27" t="s">
        <v>8</v>
      </c>
      <c r="AA213" s="31"/>
    </row>
    <row r="214" spans="1:31" x14ac:dyDescent="0.25">
      <c r="A214" s="30">
        <v>3.5556726879443583</v>
      </c>
      <c r="E214" t="s">
        <v>8</v>
      </c>
      <c r="J214" s="27" t="s">
        <v>7</v>
      </c>
      <c r="K214" s="27" t="s">
        <v>8</v>
      </c>
      <c r="O214" s="27" t="s">
        <v>8</v>
      </c>
      <c r="P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U214" s="27" t="s">
        <v>8</v>
      </c>
      <c r="V214" s="27" t="s">
        <v>7</v>
      </c>
      <c r="W214" s="27" t="s">
        <v>8</v>
      </c>
      <c r="Z214" s="31"/>
    </row>
    <row r="215" spans="1:31" x14ac:dyDescent="0.25">
      <c r="A215" s="30">
        <v>3.3863549408993889</v>
      </c>
      <c r="E215" t="s">
        <v>8</v>
      </c>
      <c r="J215" s="27" t="s">
        <v>7</v>
      </c>
      <c r="K215" s="27" t="s">
        <v>8</v>
      </c>
      <c r="L215" s="27" t="s">
        <v>7</v>
      </c>
      <c r="O215" s="27" t="s">
        <v>8</v>
      </c>
      <c r="P215" s="27" t="s">
        <v>7</v>
      </c>
      <c r="Q215" s="27" t="s">
        <v>8</v>
      </c>
      <c r="R215" s="27" t="s">
        <v>7</v>
      </c>
      <c r="S215" s="27" t="s">
        <v>8</v>
      </c>
      <c r="T215" s="27" t="s">
        <v>7</v>
      </c>
      <c r="U215" s="27" t="s">
        <v>8</v>
      </c>
      <c r="V215" s="27" t="s">
        <v>7</v>
      </c>
      <c r="W215" s="27" t="s">
        <v>8</v>
      </c>
      <c r="Y215" s="31"/>
    </row>
    <row r="216" spans="1:31" x14ac:dyDescent="0.25">
      <c r="A216" s="30">
        <v>3.2250999437137038</v>
      </c>
      <c r="E216" t="s">
        <v>8</v>
      </c>
      <c r="J216" s="27" t="s">
        <v>7</v>
      </c>
      <c r="K216" s="27" t="s">
        <v>8</v>
      </c>
      <c r="L216" s="27" t="s">
        <v>7</v>
      </c>
      <c r="O216" s="27" t="s">
        <v>8</v>
      </c>
      <c r="P216" s="27" t="s">
        <v>7</v>
      </c>
      <c r="R216" s="27" t="s">
        <v>7</v>
      </c>
      <c r="T216" s="27" t="s">
        <v>7</v>
      </c>
      <c r="U216" s="27" t="s">
        <v>8</v>
      </c>
      <c r="V216" s="27" t="s">
        <v>7</v>
      </c>
      <c r="W216" s="27" t="s">
        <v>8</v>
      </c>
      <c r="X216" s="31"/>
    </row>
    <row r="217" spans="1:31" x14ac:dyDescent="0.25">
      <c r="A217" s="30">
        <v>3.0715237559178128</v>
      </c>
      <c r="E217" t="s">
        <v>8</v>
      </c>
      <c r="J217" s="27" t="s">
        <v>7</v>
      </c>
      <c r="K217" s="27" t="s">
        <v>8</v>
      </c>
      <c r="L217" s="27" t="s">
        <v>7</v>
      </c>
      <c r="O217" s="27" t="s">
        <v>8</v>
      </c>
      <c r="T217" s="27" t="s">
        <v>7</v>
      </c>
      <c r="U217" s="27" t="s">
        <v>8</v>
      </c>
      <c r="V217" s="27" t="s">
        <v>7</v>
      </c>
      <c r="W217" s="31"/>
    </row>
    <row r="218" spans="1:31" x14ac:dyDescent="0.25">
      <c r="A218" s="30">
        <v>2.9252607199217264</v>
      </c>
      <c r="E218" t="s">
        <v>8</v>
      </c>
      <c r="J218" s="27" t="s">
        <v>7</v>
      </c>
      <c r="K218" s="27" t="s">
        <v>8</v>
      </c>
      <c r="L218" s="27" t="s">
        <v>7</v>
      </c>
      <c r="M218" s="27" t="s">
        <v>8</v>
      </c>
      <c r="O218" s="27" t="s">
        <v>8</v>
      </c>
      <c r="T218" s="27" t="s">
        <v>7</v>
      </c>
      <c r="V218" s="31"/>
    </row>
    <row r="219" spans="1:31" x14ac:dyDescent="0.25">
      <c r="A219" s="30">
        <v>2.7859625904016441</v>
      </c>
      <c r="E219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N219" s="27" t="s">
        <v>7</v>
      </c>
      <c r="O219" s="27" t="s">
        <v>8</v>
      </c>
      <c r="U219" s="31"/>
    </row>
    <row r="220" spans="1:31" x14ac:dyDescent="0.25">
      <c r="A220" s="30">
        <v>2.6532977051444226</v>
      </c>
      <c r="E220" t="s">
        <v>8</v>
      </c>
      <c r="J220" s="27" t="s">
        <v>7</v>
      </c>
      <c r="K220" s="27" t="s">
        <v>8</v>
      </c>
      <c r="L220" s="27" t="s">
        <v>7</v>
      </c>
      <c r="M220" s="27" t="s">
        <v>8</v>
      </c>
      <c r="N220" s="27" t="s">
        <v>7</v>
      </c>
      <c r="O220" s="27" t="s">
        <v>8</v>
      </c>
      <c r="T220" s="31"/>
    </row>
    <row r="221" spans="1:31" x14ac:dyDescent="0.25">
      <c r="A221" s="30">
        <v>2.5269501953756404</v>
      </c>
      <c r="E221" t="s">
        <v>8</v>
      </c>
      <c r="J221" s="27" t="s">
        <v>7</v>
      </c>
      <c r="L221" s="27" t="s">
        <v>7</v>
      </c>
      <c r="M221" s="27" t="s">
        <v>8</v>
      </c>
      <c r="N221" s="27" t="s">
        <v>7</v>
      </c>
      <c r="S221" s="31"/>
    </row>
    <row r="222" spans="1:31" x14ac:dyDescent="0.25">
      <c r="A222" s="30">
        <v>2.4066192336910861</v>
      </c>
      <c r="E222" t="s">
        <v>8</v>
      </c>
      <c r="L222" s="27" t="s">
        <v>7</v>
      </c>
      <c r="M222" s="27" t="s">
        <v>8</v>
      </c>
      <c r="R222" s="31"/>
    </row>
    <row r="223" spans="1:31" x14ac:dyDescent="0.25">
      <c r="A223" s="30">
        <v>2.2920183178010345</v>
      </c>
      <c r="E223" t="s">
        <v>8</v>
      </c>
      <c r="L223" s="27" t="s">
        <v>7</v>
      </c>
      <c r="M223" s="27" t="s">
        <v>8</v>
      </c>
      <c r="Q223" s="31"/>
    </row>
    <row r="224" spans="1:31" x14ac:dyDescent="0.25">
      <c r="A224" s="30">
        <v>2.1828745883819374</v>
      </c>
      <c r="E224" t="s">
        <v>8</v>
      </c>
      <c r="L224" s="27" t="s">
        <v>7</v>
      </c>
      <c r="M224" s="27" t="s">
        <v>8</v>
      </c>
      <c r="P224" s="31"/>
    </row>
    <row r="225" spans="1:15" x14ac:dyDescent="0.25">
      <c r="A225" s="30">
        <v>2.0789281794113688</v>
      </c>
      <c r="E225" t="s">
        <v>8</v>
      </c>
      <c r="L225" s="27" t="s">
        <v>7</v>
      </c>
      <c r="M225" s="27" t="s">
        <v>8</v>
      </c>
      <c r="O225" s="31"/>
    </row>
    <row r="226" spans="1:15" x14ac:dyDescent="0.25">
      <c r="A226" s="30">
        <v>1.9799315994393987</v>
      </c>
      <c r="E226" t="s">
        <v>8</v>
      </c>
      <c r="L226" s="27" t="s">
        <v>7</v>
      </c>
      <c r="M226" s="27" t="s">
        <v>8</v>
      </c>
      <c r="N226" s="31"/>
    </row>
    <row r="227" spans="1:15" x14ac:dyDescent="0.25">
      <c r="A227" s="30">
        <v>1.8856491423232367</v>
      </c>
      <c r="E227" t="s">
        <v>8</v>
      </c>
      <c r="L227" s="27" t="s">
        <v>7</v>
      </c>
      <c r="M227" s="31" t="s">
        <v>8</v>
      </c>
    </row>
    <row r="228" spans="1:15" x14ac:dyDescent="0.25">
      <c r="A228" s="30">
        <v>1.7958563260221301</v>
      </c>
      <c r="C228" s="7"/>
      <c r="D228"/>
      <c r="E228" t="s">
        <v>8</v>
      </c>
      <c r="L228" s="31" t="s">
        <v>7</v>
      </c>
    </row>
    <row r="229" spans="1:15" x14ac:dyDescent="0.25">
      <c r="A229" s="30">
        <v>1.7103393581163142</v>
      </c>
      <c r="E229" t="s">
        <v>8</v>
      </c>
    </row>
    <row r="230" spans="1:15" x14ac:dyDescent="0.25">
      <c r="A230" s="30">
        <v>1.628894626777442</v>
      </c>
      <c r="E230" t="s">
        <v>8</v>
      </c>
    </row>
    <row r="231" spans="1:15" x14ac:dyDescent="0.25">
      <c r="A231" s="30">
        <v>1.5513282159785162</v>
      </c>
      <c r="C231"/>
      <c r="D231"/>
      <c r="E231" t="s">
        <v>8</v>
      </c>
    </row>
    <row r="232" spans="1:15" x14ac:dyDescent="0.25">
      <c r="A232" s="30">
        <v>1.477455443789063</v>
      </c>
      <c r="E232" t="s">
        <v>8</v>
      </c>
    </row>
    <row r="233" spans="1:15" x14ac:dyDescent="0.25">
      <c r="A233" s="30">
        <v>1.4071004226562505</v>
      </c>
      <c r="E233" t="s">
        <v>8</v>
      </c>
    </row>
    <row r="234" spans="1:15" x14ac:dyDescent="0.25">
      <c r="A234" s="30">
        <v>1.3400956406250004</v>
      </c>
      <c r="E234" t="s">
        <v>8</v>
      </c>
    </row>
    <row r="235" spans="1:15" x14ac:dyDescent="0.25">
      <c r="A235" s="30">
        <v>1.2762815625000004</v>
      </c>
      <c r="C235"/>
      <c r="E235" t="s">
        <v>8</v>
      </c>
    </row>
    <row r="236" spans="1:15" x14ac:dyDescent="0.25">
      <c r="A236" s="30">
        <v>1.2155062500000002</v>
      </c>
      <c r="E236" t="s">
        <v>8</v>
      </c>
    </row>
    <row r="237" spans="1:1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15" x14ac:dyDescent="0.25">
      <c r="A238" s="30">
        <v>1.1025</v>
      </c>
      <c r="E238" t="s">
        <v>8</v>
      </c>
    </row>
    <row r="239" spans="1:15" x14ac:dyDescent="0.25">
      <c r="A239" s="30">
        <v>1.05</v>
      </c>
      <c r="E239" t="s">
        <v>8</v>
      </c>
    </row>
    <row r="240" spans="1:1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8" operator="equal">
      <formula>$U$1</formula>
    </cfRule>
    <cfRule type="cellIs" dxfId="67" priority="919" operator="equal">
      <formula>$S$1</formula>
    </cfRule>
  </conditionalFormatting>
  <conditionalFormatting sqref="D136">
    <cfRule type="cellIs" dxfId="66" priority="916" operator="equal">
      <formula>$S$1</formula>
    </cfRule>
    <cfRule type="cellIs" dxfId="65" priority="917" operator="equal">
      <formula>$U$1</formula>
    </cfRule>
  </conditionalFormatting>
  <conditionalFormatting sqref="C162">
    <cfRule type="cellIs" dxfId="64" priority="914" operator="equal">
      <formula>$U$1</formula>
    </cfRule>
    <cfRule type="cellIs" dxfId="63" priority="915" operator="equal">
      <formula>$S$1</formula>
    </cfRule>
  </conditionalFormatting>
  <conditionalFormatting sqref="D162">
    <cfRule type="cellIs" dxfId="62" priority="912" operator="equal">
      <formula>$S$1</formula>
    </cfRule>
    <cfRule type="cellIs" dxfId="61" priority="913" operator="equal">
      <formula>$U$1</formula>
    </cfRule>
  </conditionalFormatting>
  <conditionalFormatting sqref="C187">
    <cfRule type="cellIs" dxfId="60" priority="910" operator="equal">
      <formula>$U$1</formula>
    </cfRule>
    <cfRule type="cellIs" dxfId="59" priority="911" operator="equal">
      <formula>$S$1</formula>
    </cfRule>
  </conditionalFormatting>
  <conditionalFormatting sqref="D187">
    <cfRule type="cellIs" dxfId="58" priority="908" operator="equal">
      <formula>$S$1</formula>
    </cfRule>
    <cfRule type="cellIs" dxfId="57" priority="909" operator="equal">
      <formula>$U$1</formula>
    </cfRule>
  </conditionalFormatting>
  <conditionalFormatting sqref="C212">
    <cfRule type="cellIs" dxfId="56" priority="906" operator="equal">
      <formula>$U$1</formula>
    </cfRule>
    <cfRule type="cellIs" dxfId="55" priority="907" operator="equal">
      <formula>$S$1</formula>
    </cfRule>
  </conditionalFormatting>
  <conditionalFormatting sqref="D212">
    <cfRule type="cellIs" dxfId="54" priority="904" operator="equal">
      <formula>$S$1</formula>
    </cfRule>
    <cfRule type="cellIs" dxfId="53" priority="905" operator="equal">
      <formula>$U$1</formula>
    </cfRule>
  </conditionalFormatting>
  <conditionalFormatting sqref="C237">
    <cfRule type="cellIs" dxfId="52" priority="902" operator="equal">
      <formula>$U$1</formula>
    </cfRule>
    <cfRule type="cellIs" dxfId="51" priority="903" operator="equal">
      <formula>$S$1</formula>
    </cfRule>
  </conditionalFormatting>
  <conditionalFormatting sqref="D237">
    <cfRule type="cellIs" dxfId="50" priority="900" operator="equal">
      <formula>$S$1</formula>
    </cfRule>
    <cfRule type="cellIs" dxfId="49" priority="901" operator="equal">
      <formula>$U$1</formula>
    </cfRule>
  </conditionalFormatting>
  <conditionalFormatting sqref="C106">
    <cfRule type="cellIs" dxfId="48" priority="898" operator="equal">
      <formula>$U$1</formula>
    </cfRule>
    <cfRule type="cellIs" dxfId="47" priority="899" operator="equal">
      <formula>$S$1</formula>
    </cfRule>
  </conditionalFormatting>
  <conditionalFormatting sqref="D106">
    <cfRule type="cellIs" dxfId="46" priority="896" operator="equal">
      <formula>$S$1</formula>
    </cfRule>
    <cfRule type="cellIs" dxfId="45" priority="897" operator="equal">
      <formula>$U$1</formula>
    </cfRule>
  </conditionalFormatting>
  <conditionalFormatting sqref="C81">
    <cfRule type="cellIs" dxfId="44" priority="894" operator="equal">
      <formula>$U$1</formula>
    </cfRule>
    <cfRule type="cellIs" dxfId="43" priority="895" operator="equal">
      <formula>$S$1</formula>
    </cfRule>
  </conditionalFormatting>
  <conditionalFormatting sqref="D81">
    <cfRule type="cellIs" dxfId="42" priority="892" operator="equal">
      <formula>$S$1</formula>
    </cfRule>
    <cfRule type="cellIs" dxfId="41" priority="893" operator="equal">
      <formula>$U$1</formula>
    </cfRule>
  </conditionalFormatting>
  <conditionalFormatting sqref="C56">
    <cfRule type="cellIs" dxfId="40" priority="890" operator="equal">
      <formula>$U$1</formula>
    </cfRule>
    <cfRule type="cellIs" dxfId="39" priority="891" operator="equal">
      <formula>$S$1</formula>
    </cfRule>
  </conditionalFormatting>
  <conditionalFormatting sqref="D56">
    <cfRule type="cellIs" dxfId="38" priority="888" operator="equal">
      <formula>$S$1</formula>
    </cfRule>
    <cfRule type="cellIs" dxfId="37" priority="889" operator="equal">
      <formula>$U$1</formula>
    </cfRule>
  </conditionalFormatting>
  <conditionalFormatting sqref="C31">
    <cfRule type="cellIs" dxfId="36" priority="886" operator="equal">
      <formula>$U$1</formula>
    </cfRule>
    <cfRule type="cellIs" dxfId="35" priority="887" operator="equal">
      <formula>$S$1</formula>
    </cfRule>
  </conditionalFormatting>
  <conditionalFormatting sqref="D31">
    <cfRule type="cellIs" dxfId="34" priority="884" operator="equal">
      <formula>$S$1</formula>
    </cfRule>
    <cfRule type="cellIs" dxfId="33" priority="88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8" zoomScale="90" zoomScaleNormal="90" workbookViewId="0">
      <pane xSplit="4" topLeftCell="G1" activePane="topRight" state="frozen"/>
      <selection activeCell="A109" sqref="A109"/>
      <selection pane="topRight" activeCell="AN97" sqref="AN9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0" x14ac:dyDescent="0.25">
      <c r="A81" s="30">
        <v>45.259255568176073</v>
      </c>
      <c r="E81"/>
    </row>
    <row r="82" spans="1:40" x14ac:dyDescent="0.25">
      <c r="A82" s="30">
        <v>41.144777789250973</v>
      </c>
      <c r="E82"/>
      <c r="AA82" s="31" t="s">
        <v>8</v>
      </c>
    </row>
    <row r="83" spans="1:40" x14ac:dyDescent="0.25">
      <c r="A83" s="30">
        <v>37.404343444773609</v>
      </c>
      <c r="E83"/>
      <c r="Y83" s="27" t="s">
        <v>8</v>
      </c>
      <c r="AA83" s="27" t="s">
        <v>8</v>
      </c>
      <c r="AB83" s="31" t="s">
        <v>7</v>
      </c>
    </row>
    <row r="84" spans="1:40" x14ac:dyDescent="0.25">
      <c r="A84" s="30">
        <v>34.003948586157826</v>
      </c>
      <c r="E84"/>
      <c r="W84" s="27" t="s">
        <v>8</v>
      </c>
      <c r="Y84" s="27" t="s">
        <v>8</v>
      </c>
      <c r="Z84" s="27" t="s">
        <v>7</v>
      </c>
      <c r="AA84" s="27" t="s">
        <v>8</v>
      </c>
      <c r="AB84" s="27" t="s">
        <v>7</v>
      </c>
      <c r="AC84" s="31"/>
    </row>
    <row r="85" spans="1:40" x14ac:dyDescent="0.25">
      <c r="A85" s="30">
        <v>30.912680532870748</v>
      </c>
      <c r="E85"/>
      <c r="U85" s="27" t="s">
        <v>8</v>
      </c>
      <c r="W85" s="27" t="s">
        <v>8</v>
      </c>
      <c r="X85" s="27" t="s">
        <v>7</v>
      </c>
      <c r="Y85" s="27" t="s">
        <v>8</v>
      </c>
      <c r="Z85" s="27" t="s">
        <v>7</v>
      </c>
      <c r="AA85" s="27" t="s">
        <v>8</v>
      </c>
      <c r="AB85" s="27" t="s">
        <v>7</v>
      </c>
      <c r="AD85" s="31"/>
      <c r="AI85" s="27" t="s">
        <v>8</v>
      </c>
    </row>
    <row r="86" spans="1:40" x14ac:dyDescent="0.25">
      <c r="A86" s="30">
        <v>28.102436848064315</v>
      </c>
      <c r="E86"/>
      <c r="U86" s="27" t="s">
        <v>8</v>
      </c>
      <c r="V86" s="27" t="s">
        <v>7</v>
      </c>
      <c r="W86" s="27" t="s">
        <v>8</v>
      </c>
      <c r="X86" s="27" t="s">
        <v>7</v>
      </c>
      <c r="Y86" s="27" t="s">
        <v>8</v>
      </c>
      <c r="Z86" s="27" t="s">
        <v>7</v>
      </c>
      <c r="AB86" s="27" t="s">
        <v>7</v>
      </c>
      <c r="AC86" s="33" t="s">
        <v>8</v>
      </c>
      <c r="AE86" s="33" t="s">
        <v>8</v>
      </c>
      <c r="AI86" s="27" t="s">
        <v>8</v>
      </c>
      <c r="AJ86" s="27" t="s">
        <v>7</v>
      </c>
      <c r="AK86" s="27" t="s">
        <v>8</v>
      </c>
    </row>
    <row r="87" spans="1:40" x14ac:dyDescent="0.25">
      <c r="A87" s="30">
        <v>25.547669861876649</v>
      </c>
      <c r="E87"/>
      <c r="U87" s="27" t="s">
        <v>8</v>
      </c>
      <c r="V87" s="27" t="s">
        <v>7</v>
      </c>
      <c r="W87" s="27" t="s">
        <v>8</v>
      </c>
      <c r="X87" s="27" t="s">
        <v>7</v>
      </c>
      <c r="AB87" s="32" t="s">
        <v>7</v>
      </c>
      <c r="AC87" s="27" t="s">
        <v>8</v>
      </c>
      <c r="AD87" s="27" t="s">
        <v>7</v>
      </c>
      <c r="AE87" s="27" t="s">
        <v>8</v>
      </c>
      <c r="AF87" s="31" t="s">
        <v>7</v>
      </c>
      <c r="AI87" s="27" t="s">
        <v>8</v>
      </c>
      <c r="AJ87" s="27" t="s">
        <v>7</v>
      </c>
      <c r="AK87" s="27" t="s">
        <v>8</v>
      </c>
      <c r="AL87" s="27" t="s">
        <v>7</v>
      </c>
    </row>
    <row r="88" spans="1:40" x14ac:dyDescent="0.25">
      <c r="A88" s="30">
        <v>23.225154419887861</v>
      </c>
      <c r="E88"/>
      <c r="S88" s="27" t="s">
        <v>8</v>
      </c>
      <c r="U88" s="27" t="s">
        <v>8</v>
      </c>
      <c r="V88" s="27" t="s">
        <v>7</v>
      </c>
      <c r="W88" s="27" t="s">
        <v>8</v>
      </c>
      <c r="AB88" s="27" t="s">
        <v>7</v>
      </c>
      <c r="AC88" s="27" t="s">
        <v>8</v>
      </c>
      <c r="AD88" s="27" t="s">
        <v>7</v>
      </c>
      <c r="AE88" s="27" t="s">
        <v>8</v>
      </c>
      <c r="AF88" s="27" t="s">
        <v>7</v>
      </c>
      <c r="AG88" s="31" t="s">
        <v>8</v>
      </c>
      <c r="AI88" s="27" t="s">
        <v>8</v>
      </c>
      <c r="AJ88" s="27" t="s">
        <v>7</v>
      </c>
      <c r="AK88" s="27" t="s">
        <v>8</v>
      </c>
      <c r="AL88" s="27" t="s">
        <v>7</v>
      </c>
    </row>
    <row r="89" spans="1:40" x14ac:dyDescent="0.25">
      <c r="A89" s="30">
        <v>21.113776745352599</v>
      </c>
      <c r="E89"/>
      <c r="S89" s="27" t="s">
        <v>8</v>
      </c>
      <c r="T89" s="27" t="s">
        <v>7</v>
      </c>
      <c r="U89" s="27" t="s">
        <v>8</v>
      </c>
      <c r="V89" s="27" t="s">
        <v>7</v>
      </c>
      <c r="W89" s="27" t="s">
        <v>8</v>
      </c>
      <c r="AB89" s="27" t="s">
        <v>7</v>
      </c>
      <c r="AC89" s="27" t="s">
        <v>8</v>
      </c>
      <c r="AD89" s="27" t="s">
        <v>7</v>
      </c>
      <c r="AE89" s="27" t="s">
        <v>8</v>
      </c>
      <c r="AF89" s="27" t="s">
        <v>7</v>
      </c>
      <c r="AG89" s="27" t="s">
        <v>8</v>
      </c>
      <c r="AH89" s="31" t="s">
        <v>7</v>
      </c>
      <c r="AI89" s="27" t="s">
        <v>8</v>
      </c>
      <c r="AJ89" s="27" t="s">
        <v>7</v>
      </c>
      <c r="AK89" s="27" t="s">
        <v>8</v>
      </c>
      <c r="AL89" s="27" t="s">
        <v>7</v>
      </c>
    </row>
    <row r="90" spans="1:40" x14ac:dyDescent="0.25">
      <c r="A90" s="30">
        <v>19.194342495775089</v>
      </c>
      <c r="E90"/>
      <c r="S90" s="27" t="s">
        <v>8</v>
      </c>
      <c r="T90" s="27" t="s">
        <v>7</v>
      </c>
      <c r="U90" s="27" t="s">
        <v>8</v>
      </c>
      <c r="V90" s="27" t="s">
        <v>7</v>
      </c>
      <c r="AB90" s="27" t="s">
        <v>7</v>
      </c>
      <c r="AC90" s="27" t="s">
        <v>8</v>
      </c>
      <c r="AD90" s="27" t="s">
        <v>7</v>
      </c>
      <c r="AE90" s="27" t="s">
        <v>8</v>
      </c>
      <c r="AF90" s="27" t="s">
        <v>7</v>
      </c>
      <c r="AG90" s="27" t="s">
        <v>8</v>
      </c>
      <c r="AH90" s="27" t="s">
        <v>7</v>
      </c>
      <c r="AI90" s="31" t="s">
        <v>8</v>
      </c>
      <c r="AJ90" s="27" t="s">
        <v>7</v>
      </c>
      <c r="AL90" s="27" t="s">
        <v>7</v>
      </c>
      <c r="AM90" s="27" t="s">
        <v>8</v>
      </c>
    </row>
    <row r="91" spans="1:40" x14ac:dyDescent="0.25">
      <c r="A91" s="30">
        <v>17.449402268886445</v>
      </c>
      <c r="E91"/>
      <c r="S91" s="27" t="s">
        <v>8</v>
      </c>
      <c r="T91" s="27" t="s">
        <v>7</v>
      </c>
      <c r="AB91" s="27" t="s">
        <v>7</v>
      </c>
      <c r="AD91" s="27" t="s">
        <v>7</v>
      </c>
      <c r="AE91" s="27" t="s">
        <v>8</v>
      </c>
      <c r="AF91" s="27" t="s">
        <v>7</v>
      </c>
      <c r="AG91" s="27" t="s">
        <v>8</v>
      </c>
      <c r="AH91" s="27" t="s">
        <v>7</v>
      </c>
      <c r="AI91" s="27" t="s">
        <v>8</v>
      </c>
      <c r="AL91" s="27" t="s">
        <v>7</v>
      </c>
      <c r="AM91" s="27" t="s">
        <v>8</v>
      </c>
      <c r="AN91" s="27" t="s">
        <v>7</v>
      </c>
    </row>
    <row r="92" spans="1:40" x14ac:dyDescent="0.25">
      <c r="A92" s="30">
        <v>15.863092971714948</v>
      </c>
      <c r="C92" s="1" t="s">
        <v>15</v>
      </c>
      <c r="E92"/>
      <c r="S92" s="27" t="s">
        <v>8</v>
      </c>
      <c r="AD92" s="27" t="s">
        <v>7</v>
      </c>
      <c r="AE92" s="27" t="s">
        <v>8</v>
      </c>
      <c r="AF92" s="27" t="s">
        <v>7</v>
      </c>
      <c r="AG92" s="31" t="s">
        <v>8</v>
      </c>
      <c r="AH92" s="18" t="s">
        <v>7</v>
      </c>
      <c r="AI92" s="27" t="s">
        <v>8</v>
      </c>
      <c r="AL92" s="27" t="s">
        <v>7</v>
      </c>
      <c r="AM92" s="27" t="s">
        <v>8</v>
      </c>
      <c r="AN92" s="27" t="s">
        <v>7</v>
      </c>
    </row>
    <row r="93" spans="1:40" x14ac:dyDescent="0.25">
      <c r="A93" s="30">
        <v>14.420993610649951</v>
      </c>
      <c r="C93" s="7">
        <v>0.11167815779424731</v>
      </c>
      <c r="D93"/>
      <c r="E93"/>
      <c r="S93" s="27" t="s">
        <v>8</v>
      </c>
      <c r="AD93" s="27" t="s">
        <v>7</v>
      </c>
      <c r="AE93" s="27" t="s">
        <v>8</v>
      </c>
      <c r="AF93" s="33" t="s">
        <v>7</v>
      </c>
      <c r="AH93" s="33" t="s">
        <v>7</v>
      </c>
      <c r="AL93" s="27" t="s">
        <v>7</v>
      </c>
      <c r="AN93" s="27" t="s">
        <v>7</v>
      </c>
    </row>
    <row r="94" spans="1:40" x14ac:dyDescent="0.25">
      <c r="A94" s="30">
        <v>13.109994191499954</v>
      </c>
      <c r="E94"/>
      <c r="S94" s="27" t="s">
        <v>8</v>
      </c>
      <c r="AD94" s="27" t="s">
        <v>7</v>
      </c>
      <c r="AE94" s="31"/>
      <c r="AN94" s="27" t="s">
        <v>7</v>
      </c>
    </row>
    <row r="95" spans="1:40" x14ac:dyDescent="0.25">
      <c r="A95" s="30">
        <v>11.918176537727231</v>
      </c>
      <c r="C95" s="1" t="s">
        <v>11</v>
      </c>
      <c r="D95" s="1" t="s">
        <v>12</v>
      </c>
      <c r="E95"/>
      <c r="S95" s="27" t="s">
        <v>8</v>
      </c>
      <c r="AD95" s="31"/>
      <c r="AN95" s="27" t="s">
        <v>7</v>
      </c>
    </row>
    <row r="96" spans="1:40" x14ac:dyDescent="0.25">
      <c r="A96" s="30">
        <v>10.834705943388391</v>
      </c>
      <c r="C96"/>
      <c r="D96"/>
      <c r="E96"/>
      <c r="S96" s="27" t="s">
        <v>8</v>
      </c>
      <c r="AC96" s="31"/>
      <c r="AN96" s="27" t="s">
        <v>7</v>
      </c>
    </row>
    <row r="97" spans="1:40" x14ac:dyDescent="0.25">
      <c r="A97" s="30">
        <v>9.849732675807628</v>
      </c>
      <c r="E97"/>
      <c r="Q97" s="27" t="s">
        <v>8</v>
      </c>
      <c r="S97" s="27" t="s">
        <v>8</v>
      </c>
      <c r="AB97" s="31"/>
      <c r="AN97" s="27" t="s">
        <v>7</v>
      </c>
    </row>
    <row r="98" spans="1:40" x14ac:dyDescent="0.25">
      <c r="A98" s="30">
        <v>8.9543024325523888</v>
      </c>
      <c r="C98" s="1" t="s">
        <v>13</v>
      </c>
      <c r="E98"/>
      <c r="Q98" s="27" t="s">
        <v>8</v>
      </c>
      <c r="R98" s="27" t="s">
        <v>7</v>
      </c>
      <c r="S98" s="27" t="s">
        <v>8</v>
      </c>
      <c r="AA98" s="31"/>
    </row>
    <row r="99" spans="1:40" x14ac:dyDescent="0.25">
      <c r="A99" s="30">
        <v>8.140274938683989</v>
      </c>
      <c r="C99" s="1">
        <f>C88</f>
        <v>0</v>
      </c>
      <c r="E99" t="s">
        <v>8</v>
      </c>
      <c r="Q99" s="27" t="s">
        <v>8</v>
      </c>
      <c r="R99" s="27" t="s">
        <v>7</v>
      </c>
      <c r="S99" s="27" t="s">
        <v>8</v>
      </c>
      <c r="Z99" s="31"/>
    </row>
    <row r="100" spans="1:40" x14ac:dyDescent="0.25">
      <c r="A100" s="30">
        <v>7.4002499442581717</v>
      </c>
      <c r="C100"/>
      <c r="D100"/>
      <c r="E100" t="s">
        <v>8</v>
      </c>
      <c r="F100" s="27" t="s">
        <v>7</v>
      </c>
      <c r="Q100" s="27" t="s">
        <v>8</v>
      </c>
      <c r="R100" s="27" t="s">
        <v>7</v>
      </c>
      <c r="Y100" s="31"/>
    </row>
    <row r="101" spans="1:40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O101" s="27" t="s">
        <v>8</v>
      </c>
      <c r="Q101" s="27" t="s">
        <v>8</v>
      </c>
      <c r="X101" s="31"/>
    </row>
    <row r="102" spans="1:4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O102" s="27" t="s">
        <v>8</v>
      </c>
      <c r="P102" s="27" t="s">
        <v>7</v>
      </c>
      <c r="Q102" s="27" t="s">
        <v>8</v>
      </c>
      <c r="W102" s="31"/>
    </row>
    <row r="103" spans="1:40" x14ac:dyDescent="0.25">
      <c r="A103" s="30">
        <v>5.5599173134922388</v>
      </c>
      <c r="E103" t="s">
        <v>8</v>
      </c>
      <c r="F103" s="27" t="s">
        <v>7</v>
      </c>
      <c r="O103" s="27" t="s">
        <v>8</v>
      </c>
      <c r="P103" s="27" t="s">
        <v>7</v>
      </c>
      <c r="Q103" s="27" t="s">
        <v>8</v>
      </c>
      <c r="V103" s="31"/>
    </row>
    <row r="104" spans="1:40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O104" s="27" t="s">
        <v>8</v>
      </c>
      <c r="P104" s="27" t="s">
        <v>7</v>
      </c>
      <c r="Q104" s="27" t="s">
        <v>8</v>
      </c>
      <c r="U104" s="31"/>
    </row>
    <row r="105" spans="1:40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O105" s="27" t="s">
        <v>8</v>
      </c>
      <c r="P105" s="27" t="s">
        <v>7</v>
      </c>
      <c r="T105" s="31"/>
    </row>
    <row r="106" spans="1:40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K106" s="33" t="s">
        <v>8</v>
      </c>
      <c r="M106" s="33" t="s">
        <v>8</v>
      </c>
      <c r="O106" s="27" t="s">
        <v>8</v>
      </c>
      <c r="S106" s="31"/>
    </row>
    <row r="107" spans="1:40" x14ac:dyDescent="0.25">
      <c r="A107" s="30">
        <v>3.7974983358324148</v>
      </c>
      <c r="E107" t="s">
        <v>8</v>
      </c>
      <c r="F107" s="27" t="s">
        <v>7</v>
      </c>
      <c r="H107" s="27" t="s">
        <v>7</v>
      </c>
      <c r="K107" s="34" t="s">
        <v>8</v>
      </c>
      <c r="L107" s="27" t="s">
        <v>7</v>
      </c>
      <c r="M107" s="27" t="s">
        <v>8</v>
      </c>
      <c r="N107" s="27" t="s">
        <v>7</v>
      </c>
      <c r="O107" s="27" t="s">
        <v>8</v>
      </c>
      <c r="R107" s="31"/>
    </row>
    <row r="108" spans="1:40" x14ac:dyDescent="0.25">
      <c r="A108" s="30">
        <v>3.4522712143931042</v>
      </c>
      <c r="E108" t="s">
        <v>8</v>
      </c>
      <c r="H108" s="27" t="s">
        <v>7</v>
      </c>
      <c r="I108" s="27" t="s">
        <v>8</v>
      </c>
      <c r="K108" s="27" t="s">
        <v>8</v>
      </c>
      <c r="L108" s="27" t="s">
        <v>7</v>
      </c>
      <c r="M108" s="27" t="s">
        <v>8</v>
      </c>
      <c r="N108" s="27" t="s">
        <v>7</v>
      </c>
      <c r="O108" s="27" t="s">
        <v>8</v>
      </c>
      <c r="Q108" s="31"/>
    </row>
    <row r="109" spans="1:40" x14ac:dyDescent="0.25">
      <c r="A109" s="30">
        <v>3.1384283767210035</v>
      </c>
      <c r="E109" t="s">
        <v>8</v>
      </c>
      <c r="H109" s="27" t="s">
        <v>7</v>
      </c>
      <c r="I109" s="27" t="s">
        <v>8</v>
      </c>
      <c r="J109" s="27" t="s">
        <v>7</v>
      </c>
      <c r="K109" s="27" t="s">
        <v>8</v>
      </c>
      <c r="L109" s="33" t="s">
        <v>7</v>
      </c>
      <c r="N109" s="33" t="s">
        <v>7</v>
      </c>
      <c r="P109" s="31"/>
    </row>
    <row r="110" spans="1:40" x14ac:dyDescent="0.25">
      <c r="A110" s="30">
        <v>2.8531167061100029</v>
      </c>
      <c r="E110" t="s">
        <v>8</v>
      </c>
      <c r="H110" s="27" t="s">
        <v>7</v>
      </c>
      <c r="I110" s="27" t="s">
        <v>8</v>
      </c>
      <c r="J110" s="27" t="s">
        <v>7</v>
      </c>
      <c r="K110" s="27" t="s">
        <v>8</v>
      </c>
      <c r="O110" s="31"/>
    </row>
    <row r="111" spans="1:40" x14ac:dyDescent="0.25">
      <c r="A111" s="30">
        <v>2.5937424601000023</v>
      </c>
      <c r="C111" s="1" t="str">
        <f>ADDRESS(C121-1,1,1,1)</f>
        <v>$A$96</v>
      </c>
      <c r="D111" s="1" t="str">
        <f>ADDRESS(C121-1,D121,1,1)</f>
        <v>$AN$96</v>
      </c>
      <c r="E111" t="s">
        <v>8</v>
      </c>
      <c r="H111" s="27" t="s">
        <v>7</v>
      </c>
      <c r="J111" s="27" t="s">
        <v>7</v>
      </c>
      <c r="K111" s="27" t="s">
        <v>8</v>
      </c>
      <c r="N111" s="31"/>
    </row>
    <row r="112" spans="1:40" x14ac:dyDescent="0.25">
      <c r="A112" s="30">
        <v>2.3579476910000019</v>
      </c>
      <c r="C112" s="1" t="str">
        <f>ADDRESS(C121,1,1,1)</f>
        <v>$A$97</v>
      </c>
      <c r="D112" s="1" t="str">
        <f>ADDRESS(C121,D121-1,1,1)</f>
        <v>$AM$97</v>
      </c>
      <c r="E112" t="s">
        <v>8</v>
      </c>
      <c r="J112" s="27" t="s">
        <v>7</v>
      </c>
      <c r="K112" s="27" t="s">
        <v>8</v>
      </c>
      <c r="M112" s="31"/>
    </row>
    <row r="113" spans="1:12" x14ac:dyDescent="0.25">
      <c r="A113" s="30">
        <v>2.1435888100000016</v>
      </c>
      <c r="C113" s="1" t="str">
        <f>ADDRESS(C121+1,1,1,1)</f>
        <v>$A$98</v>
      </c>
      <c r="D113" s="1" t="str">
        <f>ADDRESS(C121-1,D121+1,1,1)</f>
        <v>$AO$96</v>
      </c>
      <c r="E113" s="1" t="s">
        <v>8</v>
      </c>
      <c r="J113" s="27" t="s">
        <v>7</v>
      </c>
      <c r="K113" s="27" t="s">
        <v>8</v>
      </c>
      <c r="L113" s="31"/>
    </row>
    <row r="114" spans="1:12" x14ac:dyDescent="0.25">
      <c r="A114" s="30">
        <v>1.9487171000000014</v>
      </c>
      <c r="C114" s="1" t="str">
        <f>ADDRESS(C121,D121,1,1)</f>
        <v>$AN$97</v>
      </c>
      <c r="D114" s="1" t="str">
        <f>ADDRESS(C121+1,D121+1,1,1)</f>
        <v>$AO$98</v>
      </c>
      <c r="E114" s="1" t="s">
        <v>8</v>
      </c>
      <c r="J114" s="27" t="s">
        <v>7</v>
      </c>
      <c r="K114" s="31" t="s">
        <v>8</v>
      </c>
    </row>
    <row r="115" spans="1:12" x14ac:dyDescent="0.25">
      <c r="A115" s="30">
        <v>1.7715610000000011</v>
      </c>
      <c r="C115" s="1" t="str">
        <f>ADDRESS(C121+1,D121,1,1)</f>
        <v>$AN$98</v>
      </c>
      <c r="E115" s="1" t="s">
        <v>8</v>
      </c>
      <c r="J115" s="31" t="s">
        <v>7</v>
      </c>
    </row>
    <row r="116" spans="1:12" x14ac:dyDescent="0.25">
      <c r="A116" s="30">
        <v>1.6105100000000008</v>
      </c>
      <c r="C116" s="1">
        <f>C117-1</f>
        <v>96</v>
      </c>
      <c r="E116" s="1" t="s">
        <v>8</v>
      </c>
    </row>
    <row r="117" spans="1:12" x14ac:dyDescent="0.25">
      <c r="A117" s="30">
        <v>1.4641000000000006</v>
      </c>
      <c r="C117" s="1">
        <f>C121</f>
        <v>97</v>
      </c>
      <c r="D117" s="1">
        <f>D121</f>
        <v>40</v>
      </c>
      <c r="E117" s="1" t="s">
        <v>8</v>
      </c>
    </row>
    <row r="118" spans="1:12" x14ac:dyDescent="0.25">
      <c r="A118" s="30">
        <v>1.3310000000000004</v>
      </c>
      <c r="C118" s="1">
        <f>C117+1</f>
        <v>98</v>
      </c>
      <c r="D118" s="1">
        <f>D117+1</f>
        <v>41</v>
      </c>
      <c r="E118" s="1" t="s">
        <v>8</v>
      </c>
    </row>
    <row r="119" spans="1:12" x14ac:dyDescent="0.25">
      <c r="A119" s="30">
        <v>1.2100000000000002</v>
      </c>
      <c r="E119" s="1" t="s">
        <v>8</v>
      </c>
    </row>
    <row r="120" spans="1:12" x14ac:dyDescent="0.25">
      <c r="A120" s="30">
        <v>1.1000000000000001</v>
      </c>
      <c r="C120" s="1" t="s">
        <v>9</v>
      </c>
      <c r="E120" s="1" t="s">
        <v>8</v>
      </c>
    </row>
    <row r="121" spans="1:12" x14ac:dyDescent="0.25">
      <c r="A121" s="30">
        <v>1</v>
      </c>
      <c r="C121" s="18">
        <v>97</v>
      </c>
      <c r="D121" s="19">
        <v>40</v>
      </c>
      <c r="E121" s="18" t="s">
        <v>8</v>
      </c>
    </row>
    <row r="122" spans="1:12" x14ac:dyDescent="0.25">
      <c r="A122" s="30">
        <v>0.90909090909090895</v>
      </c>
      <c r="C122" s="1" t="str">
        <f>INDEX(1:1048576,C117,D117)</f>
        <v>O</v>
      </c>
    </row>
    <row r="123" spans="1:12" x14ac:dyDescent="0.25">
      <c r="A123" s="30">
        <v>0.82644628099173523</v>
      </c>
      <c r="C123" s="1" t="str">
        <f>"R"&amp;C121</f>
        <v>R97</v>
      </c>
      <c r="D123" s="1" t="str">
        <f>"C"&amp;D121</f>
        <v>C40</v>
      </c>
    </row>
    <row r="124" spans="1:12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2" x14ac:dyDescent="0.25">
      <c r="A125" s="30">
        <v>0.68301345536507019</v>
      </c>
    </row>
    <row r="126" spans="1:12" x14ac:dyDescent="0.25">
      <c r="A126" s="30">
        <v>0.6209213230591546</v>
      </c>
      <c r="C126" s="1" t="s">
        <v>10</v>
      </c>
    </row>
    <row r="127" spans="1:12" x14ac:dyDescent="0.25">
      <c r="A127" s="30">
        <v>0.56447393005377677</v>
      </c>
      <c r="C127" s="30">
        <v>9.849732675807628</v>
      </c>
      <c r="D127"/>
    </row>
    <row r="128" spans="1:1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02" operator="equal">
      <formula>$U$1</formula>
    </cfRule>
    <cfRule type="cellIs" dxfId="30" priority="903" operator="equal">
      <formula>$S$1</formula>
    </cfRule>
  </conditionalFormatting>
  <conditionalFormatting sqref="D136">
    <cfRule type="cellIs" dxfId="29" priority="900" operator="equal">
      <formula>$S$1</formula>
    </cfRule>
    <cfRule type="cellIs" dxfId="28" priority="901" operator="equal">
      <formula>$U$1</formula>
    </cfRule>
  </conditionalFormatting>
  <conditionalFormatting sqref="C102">
    <cfRule type="cellIs" dxfId="27" priority="898" operator="equal">
      <formula>$U$1</formula>
    </cfRule>
    <cfRule type="cellIs" dxfId="26" priority="899" operator="equal">
      <formula>$S$1</formula>
    </cfRule>
  </conditionalFormatting>
  <conditionalFormatting sqref="D102">
    <cfRule type="cellIs" dxfId="25" priority="896" operator="equal">
      <formula>$S$1</formula>
    </cfRule>
    <cfRule type="cellIs" dxfId="24" priority="897" operator="equal">
      <formula>$U$1</formula>
    </cfRule>
  </conditionalFormatting>
  <conditionalFormatting sqref="C77">
    <cfRule type="cellIs" dxfId="23" priority="894" operator="equal">
      <formula>$U$1</formula>
    </cfRule>
    <cfRule type="cellIs" dxfId="22" priority="895" operator="equal">
      <formula>$S$1</formula>
    </cfRule>
  </conditionalFormatting>
  <conditionalFormatting sqref="D77">
    <cfRule type="cellIs" dxfId="21" priority="892" operator="equal">
      <formula>$S$1</formula>
    </cfRule>
    <cfRule type="cellIs" dxfId="20" priority="893" operator="equal">
      <formula>$U$1</formula>
    </cfRule>
  </conditionalFormatting>
  <conditionalFormatting sqref="C52">
    <cfRule type="cellIs" dxfId="19" priority="890" operator="equal">
      <formula>$U$1</formula>
    </cfRule>
    <cfRule type="cellIs" dxfId="18" priority="891" operator="equal">
      <formula>$S$1</formula>
    </cfRule>
  </conditionalFormatting>
  <conditionalFormatting sqref="D52">
    <cfRule type="cellIs" dxfId="17" priority="888" operator="equal">
      <formula>$S$1</formula>
    </cfRule>
    <cfRule type="cellIs" dxfId="16" priority="889" operator="equal">
      <formula>$U$1</formula>
    </cfRule>
  </conditionalFormatting>
  <conditionalFormatting sqref="C26">
    <cfRule type="cellIs" dxfId="15" priority="886" operator="equal">
      <formula>$U$1</formula>
    </cfRule>
    <cfRule type="cellIs" dxfId="14" priority="887" operator="equal">
      <formula>$S$1</formula>
    </cfRule>
  </conditionalFormatting>
  <conditionalFormatting sqref="D26">
    <cfRule type="cellIs" dxfId="13" priority="884" operator="equal">
      <formula>$S$1</formula>
    </cfRule>
    <cfRule type="cellIs" dxfId="12" priority="88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J8" sqref="J8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0.02</v>
      </c>
      <c r="E3" s="30">
        <v>14.635630916373906</v>
      </c>
      <c r="F3" s="30">
        <v>15.367412462192602</v>
      </c>
      <c r="G3" s="30">
        <v>30.426425535513939</v>
      </c>
      <c r="H3" s="25">
        <f>IF(G3="","",(3*(G3-F3))+E3)</f>
        <v>59.812670136337914</v>
      </c>
      <c r="I3" s="7"/>
      <c r="J3" s="7">
        <f>(E3+G3)/2</f>
        <v>22.531028225943921</v>
      </c>
      <c r="K3" s="7">
        <f>H3/2</f>
        <v>29.906335068168957</v>
      </c>
      <c r="M3" s="26">
        <f>IF(OR(J3="",H3=""),"",H3/J3)</f>
        <v>2.6546800055696131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2022-01-28T01:22:41Z</dcterms:modified>
</cp:coreProperties>
</file>