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4DF5E2C-8938-41C8-9779-03A2FFE647E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8" i="4"/>
  <c r="C116" i="4"/>
  <c r="R1194" i="1"/>
  <c r="C136" i="4"/>
  <c r="D136" i="4"/>
  <c r="C122" i="3"/>
  <c r="C133" i="3" s="1"/>
  <c r="D136" i="3" s="1"/>
  <c r="C116" i="3"/>
  <c r="D136" i="5" l="1"/>
  <c r="C138" i="5" s="1"/>
  <c r="C138" i="4"/>
  <c r="R1193" i="1"/>
  <c r="S1194" i="1"/>
  <c r="T1194" i="1" s="1"/>
  <c r="C136" i="3"/>
  <c r="C138" i="3" s="1"/>
  <c r="S1193" i="1" l="1"/>
  <c r="T1193" i="1" s="1"/>
  <c r="R1192" i="1"/>
  <c r="R1191" i="1" l="1"/>
  <c r="S1192" i="1"/>
  <c r="T1192" i="1" s="1"/>
  <c r="R1190" i="1" l="1"/>
  <c r="S1191" i="1"/>
  <c r="T1191" i="1" s="1"/>
  <c r="S1190" i="1" l="1"/>
  <c r="T1190" i="1" s="1"/>
  <c r="R1189" i="1"/>
  <c r="S1189" i="1" l="1"/>
  <c r="T1189" i="1" s="1"/>
  <c r="R1188" i="1"/>
  <c r="R1187" i="1" l="1"/>
  <c r="S1188" i="1"/>
  <c r="T1188" i="1" s="1"/>
  <c r="R1186" i="1" l="1"/>
  <c r="S1187" i="1"/>
  <c r="T1187" i="1" s="1"/>
  <c r="S1186" i="1" l="1"/>
  <c r="T1186" i="1" s="1"/>
  <c r="R1185" i="1"/>
  <c r="S1185" i="1" l="1"/>
  <c r="T1185" i="1" s="1"/>
  <c r="R1184" i="1"/>
  <c r="R1183" i="1" l="1"/>
  <c r="S1184" i="1"/>
  <c r="T1184" i="1" s="1"/>
  <c r="R1182" i="1" l="1"/>
  <c r="S1183" i="1"/>
  <c r="T1183" i="1" s="1"/>
  <c r="S1182" i="1" l="1"/>
  <c r="T1182" i="1" s="1"/>
  <c r="R1181" i="1"/>
  <c r="S1181" i="1" l="1"/>
  <c r="T1181" i="1" s="1"/>
  <c r="R1180" i="1"/>
  <c r="S1180" i="1" l="1"/>
  <c r="T1180" i="1" s="1"/>
  <c r="R1179" i="1"/>
  <c r="R1178" i="1" l="1"/>
  <c r="S1179" i="1"/>
  <c r="T1179" i="1" s="1"/>
  <c r="R1177" i="1" l="1"/>
  <c r="S1178" i="1"/>
  <c r="T1178" i="1" s="1"/>
  <c r="S1177" i="1" l="1"/>
  <c r="T1177" i="1" s="1"/>
  <c r="R1176" i="1"/>
  <c r="S1176" i="1" l="1"/>
  <c r="T1176" i="1" s="1"/>
  <c r="R1175" i="1"/>
  <c r="R1174" i="1" l="1"/>
  <c r="S1175" i="1"/>
  <c r="T1175" i="1" s="1"/>
  <c r="R1173" i="1" l="1"/>
  <c r="S1174" i="1"/>
  <c r="T1174" i="1" s="1"/>
  <c r="S1173" i="1" l="1"/>
  <c r="T1173" i="1" s="1"/>
  <c r="R1172" i="1"/>
  <c r="S1172" i="1" l="1"/>
  <c r="T1172" i="1" s="1"/>
  <c r="R1171" i="1"/>
  <c r="R1170" i="1" l="1"/>
  <c r="S1171" i="1"/>
  <c r="T1171" i="1" s="1"/>
  <c r="R1169" i="1" l="1"/>
  <c r="S1170" i="1"/>
  <c r="T1170" i="1" s="1"/>
  <c r="S1169" i="1" l="1"/>
  <c r="T1169" i="1" s="1"/>
  <c r="R1168" i="1"/>
  <c r="S1168" i="1" l="1"/>
  <c r="T1168" i="1" s="1"/>
  <c r="R1167" i="1"/>
  <c r="S1167" i="1" l="1"/>
  <c r="T1167" i="1" s="1"/>
  <c r="R1166" i="1"/>
  <c r="S1166" i="1" l="1"/>
  <c r="T1166" i="1" s="1"/>
  <c r="R1165" i="1"/>
  <c r="R1164" i="1" l="1"/>
  <c r="S1165" i="1"/>
  <c r="T1165" i="1" s="1"/>
  <c r="R1163" i="1" l="1"/>
  <c r="S1164" i="1"/>
  <c r="T1164" i="1" s="1"/>
  <c r="S1163" i="1" l="1"/>
  <c r="T1163" i="1" s="1"/>
  <c r="R1162" i="1"/>
  <c r="R1161" i="1" l="1"/>
  <c r="S1162" i="1"/>
  <c r="T1162" i="1" s="1"/>
  <c r="R1160" i="1" l="1"/>
  <c r="S1161" i="1"/>
  <c r="T1161" i="1" s="1"/>
  <c r="S1160" i="1" l="1"/>
  <c r="T1160" i="1" s="1"/>
  <c r="R1159" i="1"/>
  <c r="S1159" i="1" l="1"/>
  <c r="T1159" i="1" s="1"/>
  <c r="R1158" i="1"/>
  <c r="R1157" i="1" l="1"/>
  <c r="S1158" i="1"/>
  <c r="T1158" i="1" s="1"/>
  <c r="R1156" i="1" l="1"/>
  <c r="S1157" i="1"/>
  <c r="T1157" i="1" s="1"/>
  <c r="S1156" i="1" l="1"/>
  <c r="T1156" i="1" s="1"/>
  <c r="R1155" i="1"/>
  <c r="S1155" i="1" l="1"/>
  <c r="T1155" i="1" s="1"/>
  <c r="R1154" i="1"/>
  <c r="R1153" i="1" l="1"/>
  <c r="S1154" i="1"/>
  <c r="T1154" i="1" s="1"/>
  <c r="R1152" i="1" l="1"/>
  <c r="S1153" i="1"/>
  <c r="T1153" i="1" s="1"/>
  <c r="S1152" i="1" l="1"/>
  <c r="T1152" i="1" s="1"/>
  <c r="R1151" i="1"/>
  <c r="R1150" i="1" l="1"/>
  <c r="S1151" i="1"/>
  <c r="T1151" i="1" s="1"/>
  <c r="S1150" i="1" l="1"/>
  <c r="T1150" i="1" s="1"/>
  <c r="R1149" i="1"/>
  <c r="S1149" i="1" l="1"/>
  <c r="T1149" i="1" s="1"/>
  <c r="R1148" i="1"/>
  <c r="R1147" i="1" l="1"/>
  <c r="S1148" i="1"/>
  <c r="T1148" i="1" s="1"/>
  <c r="R1146" i="1" l="1"/>
  <c r="S1147" i="1"/>
  <c r="T1147" i="1" s="1"/>
  <c r="S1146" i="1" l="1"/>
  <c r="T1146" i="1" s="1"/>
  <c r="R1145" i="1"/>
  <c r="S1145" i="1" l="1"/>
  <c r="T1145" i="1" s="1"/>
  <c r="R1144" i="1"/>
  <c r="R1143" i="1" l="1"/>
  <c r="S1144" i="1"/>
  <c r="T1144" i="1" s="1"/>
  <c r="S1143" i="1" l="1"/>
  <c r="T1143" i="1" s="1"/>
  <c r="R1142" i="1"/>
  <c r="S1142" i="1" l="1"/>
  <c r="T1142" i="1" s="1"/>
  <c r="R1141" i="1"/>
  <c r="R1140" i="1" l="1"/>
  <c r="S1141" i="1"/>
  <c r="T1141" i="1" s="1"/>
  <c r="R1139" i="1" l="1"/>
  <c r="S1140" i="1"/>
  <c r="T1140" i="1" s="1"/>
  <c r="S1139" i="1" l="1"/>
  <c r="T1139" i="1" s="1"/>
  <c r="R1138" i="1"/>
  <c r="S1138" i="1" l="1"/>
  <c r="T1138" i="1" s="1"/>
  <c r="R1137" i="1"/>
  <c r="R1136" i="1" l="1"/>
  <c r="S1137" i="1"/>
  <c r="T1137" i="1" s="1"/>
  <c r="R1135" i="1" l="1"/>
  <c r="S1136" i="1"/>
  <c r="T1136" i="1" s="1"/>
  <c r="S1135" i="1" l="1"/>
  <c r="T1135" i="1" s="1"/>
  <c r="R1134" i="1"/>
  <c r="R1133" i="1" l="1"/>
  <c r="S1134" i="1"/>
  <c r="T1134" i="1" s="1"/>
  <c r="R1132" i="1" l="1"/>
  <c r="S1133" i="1"/>
  <c r="T1133" i="1" s="1"/>
  <c r="S1132" i="1" l="1"/>
  <c r="T1132" i="1" s="1"/>
  <c r="R1131" i="1"/>
  <c r="S1131" i="1" l="1"/>
  <c r="T1131" i="1" s="1"/>
  <c r="R1130" i="1"/>
  <c r="R1129" i="1" l="1"/>
  <c r="S1130" i="1"/>
  <c r="T1130" i="1" s="1"/>
  <c r="R1128" i="1" l="1"/>
  <c r="S1129" i="1"/>
  <c r="T1129" i="1" s="1"/>
  <c r="S1128" i="1" l="1"/>
  <c r="T1128" i="1" s="1"/>
  <c r="R1127" i="1"/>
  <c r="R1126" i="1" l="1"/>
  <c r="S1127" i="1"/>
  <c r="T1127" i="1" s="1"/>
  <c r="R1125" i="1" l="1"/>
  <c r="S1126" i="1"/>
  <c r="T1126" i="1" s="1"/>
  <c r="S1125" i="1" l="1"/>
  <c r="T1125" i="1" s="1"/>
  <c r="R1124" i="1"/>
  <c r="R1123" i="1" l="1"/>
  <c r="S1124" i="1"/>
  <c r="T1124" i="1" s="1"/>
  <c r="R1122" i="1" l="1"/>
  <c r="S1123" i="1"/>
  <c r="T1123" i="1" s="1"/>
  <c r="R1121" i="1" l="1"/>
  <c r="S1122" i="1"/>
  <c r="T1122" i="1" s="1"/>
  <c r="S1121" i="1" l="1"/>
  <c r="T1121" i="1" s="1"/>
  <c r="R1120" i="1"/>
  <c r="R1119" i="1" l="1"/>
  <c r="S1120" i="1"/>
  <c r="T1120" i="1" s="1"/>
  <c r="R1118" i="1" l="1"/>
  <c r="S1119" i="1"/>
  <c r="T1119" i="1" s="1"/>
  <c r="S1118" i="1" l="1"/>
  <c r="T1118" i="1" s="1"/>
  <c r="R1117" i="1"/>
  <c r="S1117" i="1" l="1"/>
  <c r="T1117" i="1" s="1"/>
  <c r="R1116" i="1"/>
  <c r="S1116" i="1" l="1"/>
  <c r="T1116" i="1" s="1"/>
  <c r="R1115" i="1"/>
  <c r="S1115" i="1" l="1"/>
  <c r="T1115" i="1" s="1"/>
  <c r="R1114" i="1"/>
  <c r="S1114" i="1" l="1"/>
  <c r="T1114" i="1" s="1"/>
  <c r="R1113" i="1"/>
  <c r="R1112" i="1" l="1"/>
  <c r="S1113" i="1"/>
  <c r="T1113" i="1" s="1"/>
  <c r="R1111" i="1" l="1"/>
  <c r="S1112" i="1"/>
  <c r="T1112" i="1" s="1"/>
  <c r="S1111" i="1" l="1"/>
  <c r="T1111" i="1" s="1"/>
  <c r="R1110" i="1"/>
  <c r="S1110" i="1" l="1"/>
  <c r="T1110" i="1" s="1"/>
  <c r="R1109" i="1"/>
  <c r="R1108" i="1" l="1"/>
  <c r="S1109" i="1"/>
  <c r="T1109" i="1" s="1"/>
  <c r="R1107" i="1" l="1"/>
  <c r="S1108" i="1"/>
  <c r="T1108" i="1" s="1"/>
  <c r="S1107" i="1" l="1"/>
  <c r="T1107" i="1" s="1"/>
  <c r="R1106" i="1"/>
  <c r="R1105" i="1" l="1"/>
  <c r="S1106" i="1"/>
  <c r="T1106" i="1" s="1"/>
  <c r="S1105" i="1" l="1"/>
  <c r="T1105" i="1" s="1"/>
  <c r="R1104" i="1"/>
  <c r="R1103" i="1" l="1"/>
  <c r="S1104" i="1"/>
  <c r="T1104" i="1" s="1"/>
  <c r="R1102" i="1" l="1"/>
  <c r="S1103" i="1"/>
  <c r="T1103" i="1" s="1"/>
  <c r="S1102" i="1" l="1"/>
  <c r="T1102" i="1" s="1"/>
  <c r="R1101" i="1"/>
  <c r="S1101" i="1" l="1"/>
  <c r="T1101" i="1" s="1"/>
  <c r="R1100" i="1"/>
  <c r="R1099" i="1" l="1"/>
  <c r="S1100" i="1"/>
  <c r="T1100" i="1" s="1"/>
  <c r="R1098" i="1" l="1"/>
  <c r="S1099" i="1"/>
  <c r="T1099" i="1" s="1"/>
  <c r="R1097" i="1" l="1"/>
  <c r="S1098" i="1"/>
  <c r="T1098" i="1" s="1"/>
  <c r="S1097" i="1" l="1"/>
  <c r="T1097" i="1" s="1"/>
  <c r="R1096" i="1"/>
  <c r="S1096" i="1" l="1"/>
  <c r="T1096" i="1" s="1"/>
  <c r="R1095" i="1"/>
  <c r="S1095" i="1" l="1"/>
  <c r="T1095" i="1" s="1"/>
  <c r="R1094" i="1"/>
  <c r="R1093" i="1" l="1"/>
  <c r="S1094" i="1"/>
  <c r="T1094" i="1" s="1"/>
  <c r="R1092" i="1" l="1"/>
  <c r="S1093" i="1"/>
  <c r="T1093" i="1" s="1"/>
  <c r="S1092" i="1" l="1"/>
  <c r="T1092" i="1" s="1"/>
  <c r="R1091" i="1"/>
  <c r="S1091" i="1" l="1"/>
  <c r="T1091" i="1" s="1"/>
  <c r="R1090" i="1"/>
  <c r="R1089" i="1" l="1"/>
  <c r="S1090" i="1"/>
  <c r="T1090" i="1" s="1"/>
  <c r="R1088" i="1" l="1"/>
  <c r="S1089" i="1"/>
  <c r="T1089" i="1" s="1"/>
  <c r="S1088" i="1" l="1"/>
  <c r="T1088" i="1" s="1"/>
  <c r="R1087" i="1"/>
  <c r="S1087" i="1" l="1"/>
  <c r="T1087" i="1" s="1"/>
  <c r="R1086" i="1"/>
  <c r="R1085" i="1" l="1"/>
  <c r="S1086" i="1"/>
  <c r="T1086" i="1" s="1"/>
  <c r="R1084" i="1" l="1"/>
  <c r="S1085" i="1"/>
  <c r="T1085" i="1" s="1"/>
  <c r="S1084" i="1" l="1"/>
  <c r="T1084" i="1" s="1"/>
  <c r="R1083" i="1"/>
  <c r="R1082" i="1" l="1"/>
  <c r="S1083" i="1"/>
  <c r="T1083" i="1" s="1"/>
  <c r="R1081" i="1" l="1"/>
  <c r="S1082" i="1"/>
  <c r="T1082" i="1" s="1"/>
  <c r="S1081" i="1" l="1"/>
  <c r="T1081" i="1" s="1"/>
  <c r="R1080" i="1"/>
  <c r="S1080" i="1" l="1"/>
  <c r="T1080" i="1" s="1"/>
  <c r="R1079" i="1"/>
  <c r="S1079" i="1" l="1"/>
  <c r="T1079" i="1" s="1"/>
  <c r="R1078" i="1"/>
  <c r="R1077" i="1" l="1"/>
  <c r="S1078" i="1"/>
  <c r="T1078" i="1" s="1"/>
  <c r="R1076" i="1" l="1"/>
  <c r="S1077" i="1"/>
  <c r="T1077" i="1" s="1"/>
  <c r="S1076" i="1" l="1"/>
  <c r="T1076" i="1" s="1"/>
  <c r="R1075" i="1"/>
  <c r="S1075" i="1" l="1"/>
  <c r="T1075" i="1" s="1"/>
  <c r="R1074" i="1"/>
  <c r="R1073" i="1" l="1"/>
  <c r="S1074" i="1"/>
  <c r="T1074" i="1" s="1"/>
  <c r="S1073" i="1" l="1"/>
  <c r="T1073" i="1" s="1"/>
  <c r="R1072" i="1"/>
  <c r="S1072" i="1" l="1"/>
  <c r="T1072" i="1" s="1"/>
  <c r="R1071" i="1"/>
  <c r="R1070" i="1" l="1"/>
  <c r="S1071" i="1"/>
  <c r="T1071" i="1" s="1"/>
  <c r="S1070" i="1" l="1"/>
  <c r="T1070" i="1" s="1"/>
  <c r="R1069" i="1"/>
  <c r="S1069" i="1" l="1"/>
  <c r="T1069" i="1" s="1"/>
  <c r="R1068" i="1"/>
  <c r="S1068" i="1" l="1"/>
  <c r="T1068" i="1" s="1"/>
  <c r="R1067" i="1"/>
  <c r="R1066" i="1" l="1"/>
  <c r="S1067" i="1"/>
  <c r="T1067" i="1" s="1"/>
  <c r="R1065" i="1" l="1"/>
  <c r="S1066" i="1"/>
  <c r="T1066" i="1" s="1"/>
  <c r="R1064" i="1" l="1"/>
  <c r="S1065" i="1"/>
  <c r="T1065" i="1" s="1"/>
  <c r="S1064" i="1" l="1"/>
  <c r="T1064" i="1" s="1"/>
  <c r="R1063" i="1"/>
  <c r="S1063" i="1" l="1"/>
  <c r="T1063" i="1" s="1"/>
  <c r="R1062" i="1"/>
  <c r="S1062" i="1" l="1"/>
  <c r="T1062" i="1" s="1"/>
  <c r="R1061" i="1"/>
  <c r="R1060" i="1" l="1"/>
  <c r="S1061" i="1"/>
  <c r="T1061" i="1" s="1"/>
  <c r="R1059" i="1" l="1"/>
  <c r="S1060" i="1"/>
  <c r="T1060" i="1" s="1"/>
  <c r="R1058" i="1" l="1"/>
  <c r="S1059" i="1"/>
  <c r="T1059" i="1" s="1"/>
  <c r="S1058" i="1" l="1"/>
  <c r="T1058" i="1" s="1"/>
  <c r="R1057" i="1"/>
  <c r="S1057" i="1" l="1"/>
  <c r="T1057" i="1" s="1"/>
  <c r="R1056" i="1"/>
  <c r="R1055" i="1" l="1"/>
  <c r="S1056" i="1"/>
  <c r="T1056" i="1" s="1"/>
  <c r="R1054" i="1" l="1"/>
  <c r="S1055" i="1"/>
  <c r="T1055" i="1" s="1"/>
  <c r="S1054" i="1" l="1"/>
  <c r="T1054" i="1" s="1"/>
  <c r="R1053" i="1"/>
  <c r="S1053" i="1" l="1"/>
  <c r="T1053" i="1" s="1"/>
  <c r="R1052" i="1"/>
  <c r="R1051" i="1" l="1"/>
  <c r="S1052" i="1"/>
  <c r="T1052" i="1" s="1"/>
  <c r="R1050" i="1" l="1"/>
  <c r="S1051" i="1"/>
  <c r="T1051" i="1" s="1"/>
  <c r="S1050" i="1" l="1"/>
  <c r="T1050" i="1" s="1"/>
  <c r="R1049" i="1"/>
  <c r="R1048" i="1" l="1"/>
  <c r="S1049" i="1"/>
  <c r="T1049" i="1" s="1"/>
  <c r="S1048" i="1" l="1"/>
  <c r="T1048" i="1" s="1"/>
  <c r="R1047" i="1"/>
  <c r="S1047" i="1" l="1"/>
  <c r="T1047" i="1" s="1"/>
  <c r="R1046" i="1"/>
  <c r="R1045" i="1" l="1"/>
  <c r="S1046" i="1"/>
  <c r="T1046" i="1" s="1"/>
  <c r="R1044" i="1" l="1"/>
  <c r="S1045" i="1"/>
  <c r="T1045" i="1" s="1"/>
  <c r="S1044" i="1" l="1"/>
  <c r="T1044" i="1" s="1"/>
  <c r="R1043" i="1"/>
  <c r="S1043" i="1" l="1"/>
  <c r="T1043" i="1" s="1"/>
  <c r="R1042" i="1"/>
  <c r="R1041" i="1" l="1"/>
  <c r="S1042" i="1"/>
  <c r="T1042" i="1" s="1"/>
  <c r="R1040" i="1" l="1"/>
  <c r="S1041" i="1"/>
  <c r="T1041" i="1" s="1"/>
  <c r="S1040" i="1" l="1"/>
  <c r="T1040" i="1" s="1"/>
  <c r="R1039" i="1"/>
  <c r="S1039" i="1" l="1"/>
  <c r="T1039" i="1" s="1"/>
  <c r="R1038" i="1"/>
  <c r="S1038" i="1" l="1"/>
  <c r="T1038" i="1" s="1"/>
  <c r="R1037" i="1"/>
  <c r="R1036" i="1" l="1"/>
  <c r="S1037" i="1"/>
  <c r="T1037" i="1" s="1"/>
  <c r="R1035" i="1" l="1"/>
  <c r="S1036" i="1"/>
  <c r="T1036" i="1" s="1"/>
  <c r="S1035" i="1" l="1"/>
  <c r="T1035" i="1" s="1"/>
  <c r="R1034" i="1"/>
  <c r="R1033" i="1" l="1"/>
  <c r="S1034" i="1"/>
  <c r="T1034" i="1" s="1"/>
  <c r="R1032" i="1" l="1"/>
  <c r="S1033" i="1"/>
  <c r="T1033" i="1" s="1"/>
  <c r="S1032" i="1" l="1"/>
  <c r="T1032" i="1" s="1"/>
  <c r="R1031" i="1"/>
  <c r="R1030" i="1" l="1"/>
  <c r="S1031" i="1"/>
  <c r="T1031" i="1" s="1"/>
  <c r="R1029" i="1" l="1"/>
  <c r="S1030" i="1"/>
  <c r="T1030" i="1" s="1"/>
  <c r="R1028" i="1" l="1"/>
  <c r="S1029" i="1"/>
  <c r="T1029" i="1" s="1"/>
  <c r="S1028" i="1" l="1"/>
  <c r="T1028" i="1" s="1"/>
  <c r="R1027" i="1"/>
  <c r="S1027" i="1" l="1"/>
  <c r="T1027" i="1" s="1"/>
  <c r="R1026" i="1"/>
  <c r="R1025" i="1" l="1"/>
  <c r="S1026" i="1"/>
  <c r="T1026" i="1" s="1"/>
  <c r="S1025" i="1" l="1"/>
  <c r="T1025" i="1" s="1"/>
  <c r="R1024" i="1"/>
  <c r="S1024" i="1" l="1"/>
  <c r="T1024" i="1" s="1"/>
  <c r="R1023" i="1"/>
  <c r="R1022" i="1" l="1"/>
  <c r="S1023" i="1"/>
  <c r="T1023" i="1" s="1"/>
  <c r="R1021" i="1" l="1"/>
  <c r="S1022" i="1"/>
  <c r="T1022" i="1" s="1"/>
  <c r="S1021" i="1" l="1"/>
  <c r="T1021" i="1" s="1"/>
  <c r="R1020" i="1"/>
  <c r="S1020" i="1" l="1"/>
  <c r="T1020" i="1" s="1"/>
  <c r="R1019" i="1"/>
  <c r="R1018" i="1" l="1"/>
  <c r="S1019" i="1"/>
  <c r="T1019" i="1" s="1"/>
  <c r="R1017" i="1" l="1"/>
  <c r="S1018" i="1"/>
  <c r="T1018" i="1" s="1"/>
  <c r="S1017" i="1" l="1"/>
  <c r="T1017" i="1" s="1"/>
  <c r="R1016" i="1"/>
  <c r="S1016" i="1" l="1"/>
  <c r="T1016" i="1" s="1"/>
  <c r="R1015" i="1"/>
  <c r="R1014" i="1" l="1"/>
  <c r="S1015" i="1"/>
  <c r="T1015" i="1" s="1"/>
  <c r="R1013" i="1" l="1"/>
  <c r="S1014" i="1"/>
  <c r="T1014" i="1" s="1"/>
  <c r="S1013" i="1" l="1"/>
  <c r="T1013" i="1" s="1"/>
  <c r="R1012" i="1"/>
  <c r="S1012" i="1" l="1"/>
  <c r="T1012" i="1" s="1"/>
  <c r="R1011" i="1"/>
  <c r="R1010" i="1" l="1"/>
  <c r="S1011" i="1"/>
  <c r="T1011" i="1" s="1"/>
  <c r="R1009" i="1" l="1"/>
  <c r="S1010" i="1"/>
  <c r="T1010" i="1" s="1"/>
  <c r="S1009" i="1" l="1"/>
  <c r="T1009" i="1" s="1"/>
  <c r="R1008" i="1"/>
  <c r="S1008" i="1" l="1"/>
  <c r="T1008" i="1" s="1"/>
  <c r="R1007" i="1"/>
  <c r="R1006" i="1" l="1"/>
  <c r="S1007" i="1"/>
  <c r="T1007" i="1" s="1"/>
  <c r="R1005" i="1" l="1"/>
  <c r="S1006" i="1"/>
  <c r="T1006" i="1" s="1"/>
  <c r="S1005" i="1" l="1"/>
  <c r="T1005" i="1" s="1"/>
  <c r="R1004" i="1"/>
  <c r="S1004" i="1" l="1"/>
  <c r="T1004" i="1" s="1"/>
  <c r="R1003" i="1"/>
  <c r="R1002" i="1" l="1"/>
  <c r="S1003" i="1"/>
  <c r="T1003" i="1" s="1"/>
  <c r="R1001" i="1" l="1"/>
  <c r="S1002" i="1"/>
  <c r="T1002" i="1" s="1"/>
  <c r="S1001" i="1" l="1"/>
  <c r="T1001" i="1" s="1"/>
  <c r="R1000" i="1"/>
  <c r="R999" i="1" l="1"/>
  <c r="S1000" i="1"/>
  <c r="T1000" i="1" s="1"/>
  <c r="R998" i="1" l="1"/>
  <c r="S999" i="1"/>
  <c r="T999" i="1" s="1"/>
  <c r="S998" i="1" l="1"/>
  <c r="T998" i="1" s="1"/>
  <c r="R997" i="1"/>
  <c r="S997" i="1" l="1"/>
  <c r="T997" i="1" s="1"/>
  <c r="R996" i="1"/>
  <c r="R995" i="1" l="1"/>
  <c r="S996" i="1"/>
  <c r="T996" i="1" s="1"/>
  <c r="R994" i="1" l="1"/>
  <c r="S995" i="1"/>
  <c r="T995" i="1" s="1"/>
  <c r="R993" i="1" l="1"/>
  <c r="S994" i="1"/>
  <c r="T994" i="1" s="1"/>
  <c r="S993" i="1" l="1"/>
  <c r="T993" i="1" s="1"/>
  <c r="R992" i="1"/>
  <c r="R991" i="1" l="1"/>
  <c r="S992" i="1"/>
  <c r="T992" i="1" s="1"/>
  <c r="S991" i="1" l="1"/>
  <c r="T991" i="1" s="1"/>
  <c r="R990" i="1"/>
  <c r="S990" i="1" l="1"/>
  <c r="T990" i="1" s="1"/>
  <c r="R989" i="1"/>
  <c r="R988" i="1" l="1"/>
  <c r="S989" i="1"/>
  <c r="T989" i="1" s="1"/>
  <c r="R987" i="1" l="1"/>
  <c r="S988" i="1"/>
  <c r="T988" i="1" s="1"/>
  <c r="R986" i="1" l="1"/>
  <c r="S987" i="1"/>
  <c r="T987" i="1" s="1"/>
  <c r="S986" i="1" l="1"/>
  <c r="T986" i="1" s="1"/>
  <c r="R985" i="1"/>
  <c r="S985" i="1" l="1"/>
  <c r="T985" i="1" s="1"/>
  <c r="R984" i="1"/>
  <c r="R983" i="1" l="1"/>
  <c r="S984" i="1"/>
  <c r="T984" i="1" s="1"/>
  <c r="R982" i="1" l="1"/>
  <c r="S983" i="1"/>
  <c r="T983" i="1" s="1"/>
  <c r="S982" i="1" l="1"/>
  <c r="T982" i="1" s="1"/>
  <c r="R981" i="1"/>
  <c r="R980" i="1" l="1"/>
  <c r="S981" i="1"/>
  <c r="T981" i="1" s="1"/>
  <c r="R979" i="1" l="1"/>
  <c r="S980" i="1"/>
  <c r="T980" i="1" s="1"/>
  <c r="R978" i="1" l="1"/>
  <c r="S979" i="1"/>
  <c r="T979" i="1" s="1"/>
  <c r="S978" i="1" l="1"/>
  <c r="T978" i="1" s="1"/>
  <c r="R977" i="1"/>
  <c r="S977" i="1" l="1"/>
  <c r="T977" i="1" s="1"/>
  <c r="R976" i="1"/>
  <c r="R975" i="1" l="1"/>
  <c r="S976" i="1"/>
  <c r="T976" i="1" s="1"/>
  <c r="S975" i="1" l="1"/>
  <c r="T975" i="1" s="1"/>
  <c r="R974" i="1"/>
  <c r="R973" i="1" l="1"/>
  <c r="S974" i="1"/>
  <c r="T974" i="1" s="1"/>
  <c r="R972" i="1" l="1"/>
  <c r="S973" i="1"/>
  <c r="T973" i="1" s="1"/>
  <c r="S972" i="1" l="1"/>
  <c r="T972" i="1" s="1"/>
  <c r="R971" i="1"/>
  <c r="S971" i="1" l="1"/>
  <c r="T971" i="1" s="1"/>
  <c r="R970" i="1"/>
  <c r="S970" i="1" l="1"/>
  <c r="T970" i="1" s="1"/>
  <c r="R969" i="1"/>
  <c r="R968" i="1" l="1"/>
  <c r="S969" i="1"/>
  <c r="T969" i="1" s="1"/>
  <c r="R967" i="1" l="1"/>
  <c r="S968" i="1"/>
  <c r="T968" i="1" s="1"/>
  <c r="S967" i="1" l="1"/>
  <c r="T967" i="1" s="1"/>
  <c r="R966" i="1"/>
  <c r="R965" i="1" l="1"/>
  <c r="S966" i="1"/>
  <c r="T966" i="1" s="1"/>
  <c r="R964" i="1" l="1"/>
  <c r="S965" i="1"/>
  <c r="T965" i="1" s="1"/>
  <c r="S964" i="1" l="1"/>
  <c r="T964" i="1" s="1"/>
  <c r="R963" i="1"/>
  <c r="S963" i="1" l="1"/>
  <c r="T963" i="1" s="1"/>
  <c r="R962" i="1"/>
  <c r="S962" i="1" l="1"/>
  <c r="T962" i="1" s="1"/>
  <c r="R961" i="1"/>
  <c r="S961" i="1" l="1"/>
  <c r="T961" i="1" s="1"/>
  <c r="R960" i="1"/>
  <c r="S960" i="1" l="1"/>
  <c r="T960" i="1" s="1"/>
  <c r="R959" i="1"/>
  <c r="R958" i="1" l="1"/>
  <c r="S959" i="1"/>
  <c r="T959" i="1" s="1"/>
  <c r="R957" i="1" l="1"/>
  <c r="S958" i="1"/>
  <c r="T958" i="1" s="1"/>
  <c r="S957" i="1" l="1"/>
  <c r="T957" i="1" s="1"/>
  <c r="R956" i="1"/>
  <c r="S956" i="1" l="1"/>
  <c r="T956" i="1" s="1"/>
  <c r="R955" i="1"/>
  <c r="R954" i="1" l="1"/>
  <c r="S955" i="1"/>
  <c r="T955" i="1" s="1"/>
  <c r="R953" i="1" l="1"/>
  <c r="S954" i="1"/>
  <c r="T954" i="1" s="1"/>
  <c r="S953" i="1" l="1"/>
  <c r="T953" i="1" s="1"/>
  <c r="R952" i="1"/>
  <c r="S952" i="1" l="1"/>
  <c r="T952" i="1" s="1"/>
  <c r="R951" i="1"/>
  <c r="R950" i="1" l="1"/>
  <c r="S951" i="1"/>
  <c r="T951" i="1" s="1"/>
  <c r="R949" i="1" l="1"/>
  <c r="S950" i="1"/>
  <c r="T950" i="1" s="1"/>
  <c r="S949" i="1" l="1"/>
  <c r="T949" i="1" s="1"/>
  <c r="R948" i="1"/>
  <c r="S948" i="1" l="1"/>
  <c r="T948" i="1" s="1"/>
  <c r="R947" i="1"/>
  <c r="R946" i="1" l="1"/>
  <c r="S947" i="1"/>
  <c r="T947" i="1" s="1"/>
  <c r="R945" i="1" l="1"/>
  <c r="S946" i="1"/>
  <c r="T946" i="1" s="1"/>
  <c r="S945" i="1" l="1"/>
  <c r="T945" i="1" s="1"/>
  <c r="R944" i="1"/>
  <c r="S944" i="1" l="1"/>
  <c r="T944" i="1" s="1"/>
  <c r="R943" i="1"/>
  <c r="R942" i="1" l="1"/>
  <c r="S943" i="1"/>
  <c r="T943" i="1" s="1"/>
  <c r="R941" i="1" l="1"/>
  <c r="S942" i="1"/>
  <c r="T942" i="1" s="1"/>
  <c r="S941" i="1" l="1"/>
  <c r="T941" i="1" s="1"/>
  <c r="R940" i="1"/>
  <c r="S940" i="1" l="1"/>
  <c r="T940" i="1" s="1"/>
  <c r="R939" i="1"/>
  <c r="R938" i="1" l="1"/>
  <c r="S939" i="1"/>
  <c r="T939" i="1" s="1"/>
  <c r="S938" i="1" l="1"/>
  <c r="T938" i="1" s="1"/>
  <c r="R937" i="1"/>
  <c r="S937" i="1" l="1"/>
  <c r="T937" i="1" s="1"/>
  <c r="R936" i="1"/>
  <c r="R935" i="1" l="1"/>
  <c r="S936" i="1"/>
  <c r="T936" i="1" s="1"/>
  <c r="R934" i="1" l="1"/>
  <c r="S935" i="1"/>
  <c r="T935" i="1" s="1"/>
  <c r="S934" i="1" l="1"/>
  <c r="T934" i="1" s="1"/>
  <c r="R933" i="1"/>
  <c r="S933" i="1" l="1"/>
  <c r="T933" i="1" s="1"/>
  <c r="R932" i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S928" i="1" l="1"/>
  <c r="T928" i="1" s="1"/>
  <c r="R927" i="1"/>
  <c r="S927" i="1" l="1"/>
  <c r="T927" i="1" s="1"/>
  <c r="R926" i="1"/>
  <c r="S926" i="1" l="1"/>
  <c r="T926" i="1" s="1"/>
  <c r="R925" i="1"/>
  <c r="S925" i="1" l="1"/>
  <c r="T925" i="1" s="1"/>
  <c r="R924" i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S920" i="1" l="1"/>
  <c r="T920" i="1" s="1"/>
  <c r="R919" i="1"/>
  <c r="R918" i="1" l="1"/>
  <c r="S919" i="1"/>
  <c r="T919" i="1" s="1"/>
  <c r="R917" i="1" l="1"/>
  <c r="S918" i="1"/>
  <c r="T918" i="1" s="1"/>
  <c r="S917" i="1" l="1"/>
  <c r="T917" i="1" s="1"/>
  <c r="R916" i="1"/>
  <c r="S916" i="1" l="1"/>
  <c r="T916" i="1" s="1"/>
  <c r="R915" i="1"/>
  <c r="R914" i="1" l="1"/>
  <c r="S915" i="1"/>
  <c r="T915" i="1" s="1"/>
  <c r="R913" i="1" l="1"/>
  <c r="S914" i="1"/>
  <c r="T914" i="1" s="1"/>
  <c r="S913" i="1" l="1"/>
  <c r="T913" i="1" s="1"/>
  <c r="R912" i="1"/>
  <c r="S912" i="1" l="1"/>
  <c r="T912" i="1" s="1"/>
  <c r="R911" i="1"/>
  <c r="R910" i="1" l="1"/>
  <c r="S911" i="1"/>
  <c r="T911" i="1" s="1"/>
  <c r="R909" i="1" l="1"/>
  <c r="S910" i="1"/>
  <c r="T910" i="1" s="1"/>
  <c r="S909" i="1" l="1"/>
  <c r="T909" i="1" s="1"/>
  <c r="R908" i="1"/>
  <c r="S908" i="1" l="1"/>
  <c r="T908" i="1" s="1"/>
  <c r="R907" i="1"/>
  <c r="R906" i="1" l="1"/>
  <c r="S907" i="1"/>
  <c r="T907" i="1" s="1"/>
  <c r="R905" i="1" l="1"/>
  <c r="S906" i="1"/>
  <c r="T906" i="1" s="1"/>
  <c r="S905" i="1" l="1"/>
  <c r="T905" i="1" s="1"/>
  <c r="R904" i="1"/>
  <c r="R903" i="1" l="1"/>
  <c r="S904" i="1"/>
  <c r="T904" i="1" s="1"/>
  <c r="S903" i="1" l="1"/>
  <c r="T903" i="1" s="1"/>
  <c r="R902" i="1"/>
  <c r="S902" i="1" l="1"/>
  <c r="T902" i="1" s="1"/>
  <c r="R901" i="1"/>
  <c r="R900" i="1" l="1"/>
  <c r="S901" i="1"/>
  <c r="T901" i="1" s="1"/>
  <c r="R899" i="1" l="1"/>
  <c r="S900" i="1"/>
  <c r="T900" i="1" s="1"/>
  <c r="S899" i="1" l="1"/>
  <c r="T899" i="1" s="1"/>
  <c r="R898" i="1"/>
  <c r="S898" i="1" l="1"/>
  <c r="T898" i="1" s="1"/>
  <c r="R897" i="1"/>
  <c r="R896" i="1" l="1"/>
  <c r="S897" i="1"/>
  <c r="T897" i="1" s="1"/>
  <c r="R895" i="1" l="1"/>
  <c r="S896" i="1"/>
  <c r="T896" i="1" s="1"/>
  <c r="S895" i="1" l="1"/>
  <c r="T895" i="1" s="1"/>
  <c r="R894" i="1"/>
  <c r="S894" i="1" l="1"/>
  <c r="T894" i="1" s="1"/>
  <c r="R893" i="1"/>
  <c r="S893" i="1" l="1"/>
  <c r="T893" i="1" s="1"/>
  <c r="R892" i="1"/>
  <c r="R891" i="1" l="1"/>
  <c r="S892" i="1"/>
  <c r="T892" i="1" s="1"/>
  <c r="S891" i="1" l="1"/>
  <c r="T891" i="1" s="1"/>
  <c r="R890" i="1"/>
  <c r="S890" i="1" l="1"/>
  <c r="T890" i="1" s="1"/>
  <c r="R889" i="1"/>
  <c r="S889" i="1" l="1"/>
  <c r="T889" i="1" s="1"/>
  <c r="R888" i="1"/>
  <c r="S888" i="1" l="1"/>
  <c r="T888" i="1" s="1"/>
  <c r="R887" i="1"/>
  <c r="S887" i="1" l="1"/>
  <c r="T887" i="1" s="1"/>
  <c r="R886" i="1"/>
  <c r="R885" i="1" l="1"/>
  <c r="S886" i="1"/>
  <c r="T886" i="1" s="1"/>
  <c r="R884" i="1" l="1"/>
  <c r="S885" i="1"/>
  <c r="T885" i="1" s="1"/>
  <c r="S884" i="1" l="1"/>
  <c r="T884" i="1" s="1"/>
  <c r="R883" i="1"/>
  <c r="S883" i="1" l="1"/>
  <c r="T883" i="1" s="1"/>
  <c r="R882" i="1"/>
  <c r="R881" i="1" l="1"/>
  <c r="S882" i="1"/>
  <c r="T882" i="1" s="1"/>
  <c r="S881" i="1" l="1"/>
  <c r="T881" i="1" s="1"/>
  <c r="R880" i="1"/>
  <c r="S880" i="1" l="1"/>
  <c r="T880" i="1" s="1"/>
  <c r="R879" i="1"/>
  <c r="R878" i="1" l="1"/>
  <c r="S879" i="1"/>
  <c r="T879" i="1" s="1"/>
  <c r="R877" i="1" l="1"/>
  <c r="S878" i="1"/>
  <c r="T878" i="1" s="1"/>
  <c r="S877" i="1" l="1"/>
  <c r="T877" i="1" s="1"/>
  <c r="R876" i="1"/>
  <c r="S876" i="1" l="1"/>
  <c r="T876" i="1" s="1"/>
  <c r="R875" i="1"/>
  <c r="R874" i="1" l="1"/>
  <c r="S875" i="1"/>
  <c r="T875" i="1" s="1"/>
  <c r="R873" i="1" l="1"/>
  <c r="S874" i="1"/>
  <c r="T874" i="1" s="1"/>
  <c r="S873" i="1" l="1"/>
  <c r="T873" i="1" s="1"/>
  <c r="R872" i="1"/>
  <c r="S872" i="1" l="1"/>
  <c r="T872" i="1" s="1"/>
  <c r="R871" i="1"/>
  <c r="S871" i="1" l="1"/>
  <c r="T871" i="1" s="1"/>
  <c r="R870" i="1"/>
  <c r="R869" i="1" l="1"/>
  <c r="S870" i="1"/>
  <c r="T870" i="1" s="1"/>
  <c r="R868" i="1" l="1"/>
  <c r="S869" i="1"/>
  <c r="T869" i="1" s="1"/>
  <c r="S868" i="1" l="1"/>
  <c r="T868" i="1" s="1"/>
  <c r="R867" i="1"/>
  <c r="R866" i="1" l="1"/>
  <c r="S867" i="1"/>
  <c r="T867" i="1" s="1"/>
  <c r="R865" i="1" l="1"/>
  <c r="S866" i="1"/>
  <c r="T866" i="1" s="1"/>
  <c r="S865" i="1" l="1"/>
  <c r="T865" i="1" s="1"/>
  <c r="R864" i="1"/>
  <c r="S864" i="1" l="1"/>
  <c r="T864" i="1" s="1"/>
  <c r="R863" i="1"/>
  <c r="R862" i="1" l="1"/>
  <c r="S863" i="1"/>
  <c r="T863" i="1" s="1"/>
  <c r="R861" i="1" l="1"/>
  <c r="S862" i="1"/>
  <c r="T862" i="1" s="1"/>
  <c r="S861" i="1" l="1"/>
  <c r="T861" i="1" s="1"/>
  <c r="R860" i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S856" i="1" l="1"/>
  <c r="T856" i="1" s="1"/>
  <c r="R855" i="1"/>
  <c r="S855" i="1" l="1"/>
  <c r="T855" i="1" s="1"/>
  <c r="R854" i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S849" i="1" l="1"/>
  <c r="T849" i="1" s="1"/>
  <c r="R848" i="1"/>
  <c r="S848" i="1" l="1"/>
  <c r="T848" i="1" s="1"/>
  <c r="R847" i="1"/>
  <c r="R846" i="1" l="1"/>
  <c r="S847" i="1"/>
  <c r="T847" i="1" s="1"/>
  <c r="S846" i="1" l="1"/>
  <c r="T846" i="1" s="1"/>
  <c r="R845" i="1"/>
  <c r="S845" i="1" l="1"/>
  <c r="T845" i="1" s="1"/>
  <c r="R844" i="1"/>
  <c r="S844" i="1" l="1"/>
  <c r="T844" i="1" s="1"/>
  <c r="R843" i="1"/>
  <c r="R842" i="1" l="1"/>
  <c r="S843" i="1"/>
  <c r="T843" i="1" s="1"/>
  <c r="R841" i="1" l="1"/>
  <c r="S842" i="1"/>
  <c r="T842" i="1" s="1"/>
  <c r="S841" i="1" l="1"/>
  <c r="T841" i="1" s="1"/>
  <c r="R840" i="1"/>
  <c r="S840" i="1" l="1"/>
  <c r="T840" i="1" s="1"/>
  <c r="R839" i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S835" i="1" l="1"/>
  <c r="T835" i="1" s="1"/>
  <c r="R834" i="1"/>
  <c r="R833" i="1" l="1"/>
  <c r="S834" i="1"/>
  <c r="T834" i="1" s="1"/>
  <c r="S833" i="1" l="1"/>
  <c r="T833" i="1" s="1"/>
  <c r="R832" i="1"/>
  <c r="S832" i="1" l="1"/>
  <c r="T832" i="1" s="1"/>
  <c r="R831" i="1"/>
  <c r="R830" i="1" l="1"/>
  <c r="S831" i="1"/>
  <c r="T831" i="1" s="1"/>
  <c r="R829" i="1" l="1"/>
  <c r="S830" i="1"/>
  <c r="T830" i="1" s="1"/>
  <c r="S829" i="1" l="1"/>
  <c r="T829" i="1" s="1"/>
  <c r="R828" i="1"/>
  <c r="S828" i="1" l="1"/>
  <c r="T828" i="1" s="1"/>
  <c r="R827" i="1"/>
  <c r="R826" i="1" l="1"/>
  <c r="S827" i="1"/>
  <c r="T827" i="1" s="1"/>
  <c r="S826" i="1" l="1"/>
  <c r="T826" i="1" s="1"/>
  <c r="R825" i="1"/>
  <c r="R824" i="1" l="1"/>
  <c r="S825" i="1"/>
  <c r="T825" i="1" s="1"/>
  <c r="S824" i="1" l="1"/>
  <c r="T824" i="1" s="1"/>
  <c r="R823" i="1"/>
  <c r="S823" i="1" l="1"/>
  <c r="T823" i="1" s="1"/>
  <c r="R822" i="1"/>
  <c r="R821" i="1" l="1"/>
  <c r="S822" i="1"/>
  <c r="T822" i="1" s="1"/>
  <c r="S821" i="1" l="1"/>
  <c r="T821" i="1" s="1"/>
  <c r="R820" i="1"/>
  <c r="S820" i="1" l="1"/>
  <c r="T820" i="1" s="1"/>
  <c r="R819" i="1"/>
  <c r="S819" i="1" l="1"/>
  <c r="T819" i="1" s="1"/>
  <c r="R818" i="1"/>
  <c r="R817" i="1" l="1"/>
  <c r="S818" i="1"/>
  <c r="T818" i="1" s="1"/>
  <c r="R816" i="1" l="1"/>
  <c r="S817" i="1"/>
  <c r="T817" i="1" s="1"/>
  <c r="R815" i="1" l="1"/>
  <c r="S816" i="1"/>
  <c r="T816" i="1" s="1"/>
  <c r="S815" i="1" l="1"/>
  <c r="T815" i="1" s="1"/>
  <c r="R814" i="1"/>
  <c r="S814" i="1" l="1"/>
  <c r="T814" i="1" s="1"/>
  <c r="R813" i="1"/>
  <c r="S813" i="1" l="1"/>
  <c r="T813" i="1" s="1"/>
  <c r="R812" i="1"/>
  <c r="R811" i="1" l="1"/>
  <c r="S812" i="1"/>
  <c r="T812" i="1" s="1"/>
  <c r="R810" i="1" l="1"/>
  <c r="S811" i="1"/>
  <c r="T811" i="1" s="1"/>
  <c r="R809" i="1" l="1"/>
  <c r="S810" i="1"/>
  <c r="T810" i="1" s="1"/>
  <c r="S809" i="1" l="1"/>
  <c r="T809" i="1" s="1"/>
  <c r="R808" i="1"/>
  <c r="S808" i="1" l="1"/>
  <c r="T808" i="1" s="1"/>
  <c r="R807" i="1"/>
  <c r="R806" i="1" l="1"/>
  <c r="S807" i="1"/>
  <c r="T807" i="1" s="1"/>
  <c r="R805" i="1" l="1"/>
  <c r="S806" i="1"/>
  <c r="T806" i="1" s="1"/>
  <c r="R804" i="1" l="1"/>
  <c r="S805" i="1"/>
  <c r="T805" i="1" s="1"/>
  <c r="S804" i="1" l="1"/>
  <c r="T804" i="1" s="1"/>
  <c r="R803" i="1"/>
  <c r="S803" i="1" l="1"/>
  <c r="T803" i="1" s="1"/>
  <c r="R802" i="1"/>
  <c r="S802" i="1" l="1"/>
  <c r="T802" i="1" s="1"/>
  <c r="R801" i="1"/>
  <c r="R800" i="1" l="1"/>
  <c r="S801" i="1"/>
  <c r="T801" i="1" s="1"/>
  <c r="R799" i="1" l="1"/>
  <c r="S800" i="1"/>
  <c r="T800" i="1" s="1"/>
  <c r="S799" i="1" l="1"/>
  <c r="T799" i="1" s="1"/>
  <c r="R798" i="1"/>
  <c r="R797" i="1" l="1"/>
  <c r="S798" i="1"/>
  <c r="T798" i="1" s="1"/>
  <c r="R796" i="1" l="1"/>
  <c r="S797" i="1"/>
  <c r="T797" i="1" s="1"/>
  <c r="S796" i="1" l="1"/>
  <c r="T796" i="1" s="1"/>
  <c r="R795" i="1"/>
  <c r="S795" i="1" l="1"/>
  <c r="T795" i="1" s="1"/>
  <c r="R794" i="1"/>
  <c r="S794" i="1" l="1"/>
  <c r="T794" i="1" s="1"/>
  <c r="R793" i="1"/>
  <c r="S793" i="1" l="1"/>
  <c r="T793" i="1" s="1"/>
  <c r="R792" i="1"/>
  <c r="R791" i="1" l="1"/>
  <c r="S792" i="1"/>
  <c r="T792" i="1" s="1"/>
  <c r="R790" i="1" l="1"/>
  <c r="S791" i="1"/>
  <c r="T791" i="1" s="1"/>
  <c r="S790" i="1" l="1"/>
  <c r="T790" i="1" s="1"/>
  <c r="R789" i="1"/>
  <c r="R788" i="1" l="1"/>
  <c r="S789" i="1"/>
  <c r="T789" i="1" s="1"/>
  <c r="R787" i="1" l="1"/>
  <c r="S788" i="1"/>
  <c r="T788" i="1" s="1"/>
  <c r="S787" i="1" l="1"/>
  <c r="T787" i="1" s="1"/>
  <c r="R786" i="1"/>
  <c r="S786" i="1" l="1"/>
  <c r="T786" i="1" s="1"/>
  <c r="R785" i="1"/>
  <c r="R784" i="1" l="1"/>
  <c r="S785" i="1"/>
  <c r="T785" i="1" s="1"/>
  <c r="R783" i="1" l="1"/>
  <c r="S784" i="1"/>
  <c r="T784" i="1" s="1"/>
  <c r="S783" i="1" l="1"/>
  <c r="T783" i="1" s="1"/>
  <c r="R782" i="1"/>
  <c r="R781" i="1" l="1"/>
  <c r="S782" i="1"/>
  <c r="T782" i="1" s="1"/>
  <c r="S781" i="1" l="1"/>
  <c r="T781" i="1" s="1"/>
  <c r="R780" i="1"/>
  <c r="R779" i="1" l="1"/>
  <c r="S780" i="1"/>
  <c r="T780" i="1" s="1"/>
  <c r="R778" i="1" l="1"/>
  <c r="S779" i="1"/>
  <c r="T779" i="1" s="1"/>
  <c r="S778" i="1" l="1"/>
  <c r="T778" i="1" s="1"/>
  <c r="R777" i="1"/>
  <c r="S777" i="1" l="1"/>
  <c r="T777" i="1" s="1"/>
  <c r="R776" i="1"/>
  <c r="R775" i="1" l="1"/>
  <c r="S776" i="1"/>
  <c r="T776" i="1" s="1"/>
  <c r="R774" i="1" l="1"/>
  <c r="S775" i="1"/>
  <c r="T775" i="1" s="1"/>
  <c r="S774" i="1" l="1"/>
  <c r="T774" i="1" s="1"/>
  <c r="R773" i="1"/>
  <c r="S773" i="1" l="1"/>
  <c r="T773" i="1" s="1"/>
  <c r="R772" i="1"/>
  <c r="R771" i="1" l="1"/>
  <c r="S772" i="1"/>
  <c r="T772" i="1" s="1"/>
  <c r="S771" i="1" l="1"/>
  <c r="T771" i="1" s="1"/>
  <c r="R770" i="1"/>
  <c r="R769" i="1" l="1"/>
  <c r="S770" i="1"/>
  <c r="T770" i="1" s="1"/>
  <c r="R768" i="1" l="1"/>
  <c r="S769" i="1"/>
  <c r="T769" i="1" s="1"/>
  <c r="S768" i="1" l="1"/>
  <c r="T768" i="1" s="1"/>
  <c r="R767" i="1"/>
  <c r="S767" i="1" l="1"/>
  <c r="T767" i="1" s="1"/>
  <c r="R766" i="1"/>
  <c r="R765" i="1" l="1"/>
  <c r="S766" i="1"/>
  <c r="T766" i="1" s="1"/>
  <c r="R764" i="1" l="1"/>
  <c r="S765" i="1"/>
  <c r="T765" i="1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S760" i="1" l="1"/>
  <c r="T760" i="1" s="1"/>
  <c r="R759" i="1"/>
  <c r="R758" i="1" l="1"/>
  <c r="S759" i="1"/>
  <c r="T759" i="1" s="1"/>
  <c r="R757" i="1" l="1"/>
  <c r="S758" i="1"/>
  <c r="T758" i="1" s="1"/>
  <c r="R756" i="1" l="1"/>
  <c r="S757" i="1"/>
  <c r="T757" i="1" s="1"/>
  <c r="S756" i="1" l="1"/>
  <c r="T756" i="1" s="1"/>
  <c r="R755" i="1"/>
  <c r="S755" i="1" l="1"/>
  <c r="T755" i="1" s="1"/>
  <c r="R754" i="1"/>
  <c r="R753" i="1" l="1"/>
  <c r="S754" i="1"/>
  <c r="T754" i="1" s="1"/>
  <c r="R752" i="1" l="1"/>
  <c r="S753" i="1"/>
  <c r="T753" i="1" s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S737" i="1" l="1"/>
  <c r="T737" i="1" s="1"/>
  <c r="R736" i="1"/>
  <c r="R735" i="1" l="1"/>
  <c r="S736" i="1"/>
  <c r="T736" i="1" s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S716" i="1" l="1"/>
  <c r="T716" i="1" s="1"/>
  <c r="R715" i="1"/>
  <c r="S715" i="1" l="1"/>
  <c r="T715" i="1" s="1"/>
  <c r="R714" i="1"/>
  <c r="R713" i="1" l="1"/>
  <c r="S714" i="1"/>
  <c r="T714" i="1" s="1"/>
  <c r="S713" i="1" l="1"/>
  <c r="T713" i="1" s="1"/>
  <c r="R712" i="1"/>
  <c r="S712" i="1" l="1"/>
  <c r="T712" i="1" s="1"/>
  <c r="R711" i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S665" i="1" l="1"/>
  <c r="T665" i="1" s="1"/>
  <c r="R664" i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R659" i="1" l="1"/>
  <c r="S660" i="1"/>
  <c r="T660" i="1" s="1"/>
  <c r="S659" i="1" l="1"/>
  <c r="T659" i="1" s="1"/>
  <c r="R658" i="1"/>
  <c r="S658" i="1" l="1"/>
  <c r="T658" i="1" s="1"/>
  <c r="R657" i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R640" i="1" l="1"/>
  <c r="S641" i="1"/>
  <c r="T641" i="1" s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R624" i="1" l="1"/>
  <c r="S625" i="1"/>
  <c r="T625" i="1" s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R585" i="1" l="1"/>
  <c r="S586" i="1"/>
  <c r="T586" i="1" s="1"/>
  <c r="R584" i="1" l="1"/>
  <c r="S585" i="1"/>
  <c r="T585" i="1" s="1"/>
  <c r="S584" i="1" l="1"/>
  <c r="T584" i="1" s="1"/>
  <c r="R583" i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S531" i="1" l="1"/>
  <c r="T531" i="1" s="1"/>
  <c r="R530" i="1"/>
  <c r="S530" i="1" l="1"/>
  <c r="T530" i="1" s="1"/>
  <c r="R529" i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R488" i="1" l="1"/>
  <c r="S489" i="1"/>
  <c r="T489" i="1" s="1"/>
  <c r="R487" i="1" l="1"/>
  <c r="S488" i="1"/>
  <c r="T488" i="1" s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R461" i="1" l="1"/>
  <c r="S462" i="1"/>
  <c r="T462" i="1" s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R430" i="1" l="1"/>
  <c r="S431" i="1"/>
  <c r="T431" i="1" s="1"/>
  <c r="R429" i="1" l="1"/>
  <c r="S430" i="1"/>
  <c r="T430" i="1" s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R414" i="1" l="1"/>
  <c r="S415" i="1"/>
  <c r="T415" i="1" s="1"/>
  <c r="R413" i="1" l="1"/>
  <c r="S414" i="1"/>
  <c r="T414" i="1" s="1"/>
  <c r="S413" i="1" l="1"/>
  <c r="T413" i="1" s="1"/>
  <c r="R412" i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S391" i="1" l="1"/>
  <c r="T391" i="1" s="1"/>
  <c r="R390" i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R359" i="1" l="1"/>
  <c r="S360" i="1"/>
  <c r="T360" i="1" s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R341" i="1" l="1"/>
  <c r="S342" i="1"/>
  <c r="T342" i="1" s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S318" i="1" l="1"/>
  <c r="T318" i="1" s="1"/>
  <c r="R317" i="1"/>
  <c r="S317" i="1" l="1"/>
  <c r="T317" i="1" s="1"/>
  <c r="R316" i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S304" i="1" l="1"/>
  <c r="T304" i="1" s="1"/>
  <c r="R303" i="1"/>
  <c r="R302" i="1" l="1"/>
  <c r="S303" i="1"/>
  <c r="T303" i="1" s="1"/>
  <c r="S302" i="1" l="1"/>
  <c r="T302" i="1" s="1"/>
  <c r="R301" i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S297" i="1" l="1"/>
  <c r="T297" i="1" s="1"/>
  <c r="R296" i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S292" i="1" l="1"/>
  <c r="T292" i="1" s="1"/>
  <c r="R291" i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S287" i="1" l="1"/>
  <c r="T287" i="1" s="1"/>
  <c r="R286" i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S281" i="1" l="1"/>
  <c r="T281" i="1" s="1"/>
  <c r="R280" i="1"/>
  <c r="R279" i="1" l="1"/>
  <c r="S280" i="1"/>
  <c r="T280" i="1" s="1"/>
  <c r="R278" i="1" l="1"/>
  <c r="S279" i="1"/>
  <c r="T279" i="1" s="1"/>
  <c r="S278" i="1" l="1"/>
  <c r="T278" i="1" s="1"/>
  <c r="R277" i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R225" i="1" l="1"/>
  <c r="S226" i="1"/>
  <c r="T226" i="1" s="1"/>
  <c r="S225" i="1" l="1"/>
  <c r="T225" i="1" s="1"/>
  <c r="R224" i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S173" i="1" l="1"/>
  <c r="T173" i="1" s="1"/>
  <c r="R172" i="1"/>
  <c r="R171" i="1" l="1"/>
  <c r="S172" i="1"/>
  <c r="T172" i="1" s="1"/>
  <c r="R170" i="1" l="1"/>
  <c r="S171" i="1"/>
  <c r="T171" i="1" s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S145" i="1" l="1"/>
  <c r="T145" i="1" s="1"/>
  <c r="R144" i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S137" i="1" l="1"/>
  <c r="T137" i="1" s="1"/>
  <c r="R136" i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R122" i="1" l="1"/>
  <c r="S123" i="1"/>
  <c r="T123" i="1" s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S109" i="1" l="1"/>
  <c r="T109" i="1" s="1"/>
  <c r="R108" i="1"/>
  <c r="S108" i="1" l="1"/>
  <c r="T108" i="1" s="1"/>
  <c r="R107" i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S50" i="1" l="1"/>
  <c r="T50" i="1" s="1"/>
  <c r="R49" i="1"/>
  <c r="S49" i="1" l="1"/>
  <c r="T49" i="1" s="1"/>
  <c r="R48" i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<sst xmlns="http://schemas.openxmlformats.org/spreadsheetml/2006/main" count="8139" uniqueCount="34">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</sst>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369.8</c:v>
                </c:pt>
                <c:pt idx="1">
                  <c:v>375.1</c:v>
                </c:pt>
                <c:pt idx="2">
                  <c:v>385.1</c:v>
                </c:pt>
                <c:pt idx="3">
                  <c:v>371.3</c:v>
                </c:pt>
                <c:pt idx="4">
                  <c:v>383.9</c:v>
                </c:pt>
                <c:pt idx="5">
                  <c:v>358.3</c:v>
                </c:pt>
                <c:pt idx="6">
                  <c:v>383.9</c:v>
                </c:pt>
                <c:pt idx="7">
                  <c:v>440.2</c:v>
                </c:pt>
                <c:pt idx="8">
                  <c:v>461.9</c:v>
                </c:pt>
                <c:pt idx="9">
                  <c:v>471.4</c:v>
                </c:pt>
                <c:pt idx="10">
                  <c:v>475.2</c:v>
                </c:pt>
                <c:pt idx="11">
                  <c:v>498.6</c:v>
                </c:pt>
                <c:pt idx="12">
                  <c:v>494.5</c:v>
                </c:pt>
                <c:pt idx="13">
                  <c:v>490</c:v>
                </c:pt>
                <c:pt idx="14">
                  <c:v>475.2</c:v>
                </c:pt>
                <c:pt idx="15">
                  <c:v>487.8</c:v>
                </c:pt>
                <c:pt idx="16">
                  <c:v>463.6</c:v>
                </c:pt>
                <c:pt idx="17">
                  <c:v>424.7</c:v>
                </c:pt>
                <c:pt idx="18">
                  <c:v>438.7</c:v>
                </c:pt>
                <c:pt idx="19">
                  <c:v>429.9</c:v>
                </c:pt>
                <c:pt idx="20">
                  <c:v>448.1</c:v>
                </c:pt>
                <c:pt idx="21">
                  <c:v>472.6</c:v>
                </c:pt>
                <c:pt idx="22">
                  <c:v>474.1</c:v>
                </c:pt>
                <c:pt idx="23">
                  <c:v>506.9</c:v>
                </c:pt>
                <c:pt idx="24">
                  <c:v>511.9</c:v>
                </c:pt>
                <c:pt idx="25">
                  <c:v>531</c:v>
                </c:pt>
                <c:pt idx="26">
                  <c:v>527.29999999999995</c:v>
                </c:pt>
                <c:pt idx="27">
                  <c:v>511.4</c:v>
                </c:pt>
                <c:pt idx="28">
                  <c:v>518.5</c:v>
                </c:pt>
                <c:pt idx="29">
                  <c:v>514.5</c:v>
                </c:pt>
                <c:pt idx="30">
                  <c:v>534.20000000000005</c:v>
                </c:pt>
                <c:pt idx="31">
                  <c:v>563.70000000000005</c:v>
                </c:pt>
                <c:pt idx="32">
                  <c:v>546.4</c:v>
                </c:pt>
                <c:pt idx="33">
                  <c:v>547.4</c:v>
                </c:pt>
                <c:pt idx="34">
                  <c:v>542.1</c:v>
                </c:pt>
                <c:pt idx="35">
                  <c:v>549</c:v>
                </c:pt>
                <c:pt idx="36">
                  <c:v>533.6</c:v>
                </c:pt>
                <c:pt idx="37">
                  <c:v>528.29999999999995</c:v>
                </c:pt>
                <c:pt idx="38">
                  <c:v>524</c:v>
                </c:pt>
                <c:pt idx="39">
                  <c:v>529.79999999999995</c:v>
                </c:pt>
                <c:pt idx="40">
                  <c:v>533.9</c:v>
                </c:pt>
                <c:pt idx="41">
                  <c:v>525.5</c:v>
                </c:pt>
                <c:pt idx="42">
                  <c:v>526.20000000000005</c:v>
                </c:pt>
                <c:pt idx="43">
                  <c:v>541.1</c:v>
                </c:pt>
                <c:pt idx="44">
                  <c:v>528.1</c:v>
                </c:pt>
                <c:pt idx="45">
                  <c:v>521</c:v>
                </c:pt>
                <c:pt idx="46">
                  <c:v>570.29999999999995</c:v>
                </c:pt>
                <c:pt idx="47">
                  <c:v>560.4</c:v>
                </c:pt>
                <c:pt idx="48">
                  <c:v>552.4</c:v>
                </c:pt>
                <c:pt idx="49">
                  <c:v>570.20000000000005</c:v>
                </c:pt>
                <c:pt idx="50">
                  <c:v>607.20000000000005</c:v>
                </c:pt>
                <c:pt idx="51">
                  <c:v>578.70000000000005</c:v>
                </c:pt>
                <c:pt idx="52">
                  <c:v>587.5</c:v>
                </c:pt>
                <c:pt idx="53">
                  <c:v>557.79999999999995</c:v>
                </c:pt>
                <c:pt idx="54">
                  <c:v>568.6</c:v>
                </c:pt>
                <c:pt idx="55">
                  <c:v>595</c:v>
                </c:pt>
                <c:pt idx="56">
                  <c:v>619.9</c:v>
                </c:pt>
                <c:pt idx="57">
                  <c:v>627.5</c:v>
                </c:pt>
                <c:pt idx="58">
                  <c:v>622.5</c:v>
                </c:pt>
                <c:pt idx="59">
                  <c:v>623.4</c:v>
                </c:pt>
                <c:pt idx="60">
                  <c:v>611.29999999999995</c:v>
                </c:pt>
                <c:pt idx="61">
                  <c:v>599.9</c:v>
                </c:pt>
                <c:pt idx="62">
                  <c:v>587.29999999999995</c:v>
                </c:pt>
                <c:pt idx="63">
                  <c:v>639.1</c:v>
                </c:pt>
                <c:pt idx="64">
                  <c:v>585.79999999999995</c:v>
                </c:pt>
                <c:pt idx="65">
                  <c:v>591.1</c:v>
                </c:pt>
                <c:pt idx="66">
                  <c:v>559.29999999999995</c:v>
                </c:pt>
                <c:pt idx="67">
                  <c:v>584</c:v>
                </c:pt>
                <c:pt idx="68">
                  <c:v>604.29999999999995</c:v>
                </c:pt>
                <c:pt idx="69">
                  <c:v>581</c:v>
                </c:pt>
                <c:pt idx="70">
                  <c:v>531.79999999999995</c:v>
                </c:pt>
                <c:pt idx="71">
                  <c:v>578</c:v>
                </c:pt>
                <c:pt idx="72">
                  <c:v>588.70000000000005</c:v>
                </c:pt>
                <c:pt idx="73">
                  <c:v>633.79999999999995</c:v>
                </c:pt>
                <c:pt idx="74">
                  <c:v>650.79999999999995</c:v>
                </c:pt>
                <c:pt idx="75">
                  <c:v>649.5</c:v>
                </c:pt>
                <c:pt idx="76">
                  <c:v>626.9</c:v>
                </c:pt>
                <c:pt idx="77">
                  <c:v>628.4</c:v>
                </c:pt>
                <c:pt idx="78">
                  <c:v>614.1</c:v>
                </c:pt>
                <c:pt idx="79">
                  <c:v>635</c:v>
                </c:pt>
                <c:pt idx="80">
                  <c:v>653.5</c:v>
                </c:pt>
                <c:pt idx="81">
                  <c:v>649.6</c:v>
                </c:pt>
                <c:pt idx="82">
                  <c:v>637.70000000000005</c:v>
                </c:pt>
                <c:pt idx="83">
                  <c:v>607.29999999999995</c:v>
                </c:pt>
                <c:pt idx="84">
                  <c:v>558.70000000000005</c:v>
                </c:pt>
                <c:pt idx="85">
                  <c:v>568.4</c:v>
                </c:pt>
                <c:pt idx="86">
                  <c:v>554.4</c:v>
                </c:pt>
                <c:pt idx="87">
                  <c:v>551.29999999999995</c:v>
                </c:pt>
                <c:pt idx="88">
                  <c:v>524.6</c:v>
                </c:pt>
                <c:pt idx="89">
                  <c:v>528.29999999999995</c:v>
                </c:pt>
                <c:pt idx="90">
                  <c:v>530.29999999999995</c:v>
                </c:pt>
                <c:pt idx="91">
                  <c:v>491.9</c:v>
                </c:pt>
                <c:pt idx="92">
                  <c:v>448.7</c:v>
                </c:pt>
                <c:pt idx="93">
                  <c:v>478.1</c:v>
                </c:pt>
                <c:pt idx="94">
                  <c:v>485.1</c:v>
                </c:pt>
                <c:pt idx="95">
                  <c:v>475.8</c:v>
                </c:pt>
                <c:pt idx="96">
                  <c:v>485.5</c:v>
                </c:pt>
                <c:pt idx="97">
                  <c:v>479.3</c:v>
                </c:pt>
                <c:pt idx="98">
                  <c:v>470.9</c:v>
                </c:pt>
                <c:pt idx="99">
                  <c:v>501.3</c:v>
                </c:pt>
                <c:pt idx="100">
                  <c:v>488.1</c:v>
                </c:pt>
                <c:pt idx="101">
                  <c:v>484.9</c:v>
                </c:pt>
                <c:pt idx="102">
                  <c:v>470.9</c:v>
                </c:pt>
                <c:pt idx="103">
                  <c:v>465.8</c:v>
                </c:pt>
                <c:pt idx="104">
                  <c:v>474.5</c:v>
                </c:pt>
                <c:pt idx="105">
                  <c:v>472.7</c:v>
                </c:pt>
                <c:pt idx="106">
                  <c:v>470.8</c:v>
                </c:pt>
                <c:pt idx="107">
                  <c:v>444.2</c:v>
                </c:pt>
                <c:pt idx="108">
                  <c:v>413.1</c:v>
                </c:pt>
                <c:pt idx="109">
                  <c:v>404.1</c:v>
                </c:pt>
                <c:pt idx="110">
                  <c:v>421.9</c:v>
                </c:pt>
                <c:pt idx="111">
                  <c:v>419.2</c:v>
                </c:pt>
                <c:pt idx="112">
                  <c:v>438.5</c:v>
                </c:pt>
                <c:pt idx="113">
                  <c:v>434.9</c:v>
                </c:pt>
                <c:pt idx="114">
                  <c:v>442.1</c:v>
                </c:pt>
                <c:pt idx="115">
                  <c:v>427</c:v>
                </c:pt>
                <c:pt idx="116">
                  <c:v>429.8</c:v>
                </c:pt>
                <c:pt idx="117">
                  <c:v>427.1</c:v>
                </c:pt>
                <c:pt idx="118">
                  <c:v>421.5</c:v>
                </c:pt>
                <c:pt idx="119">
                  <c:v>387.5</c:v>
                </c:pt>
                <c:pt idx="120">
                  <c:v>367.7</c:v>
                </c:pt>
                <c:pt idx="121">
                  <c:v>333</c:v>
                </c:pt>
                <c:pt idx="122">
                  <c:v>335.5</c:v>
                </c:pt>
                <c:pt idx="123">
                  <c:v>344</c:v>
                </c:pt>
                <c:pt idx="124">
                  <c:v>349.6</c:v>
                </c:pt>
                <c:pt idx="125">
                  <c:v>355</c:v>
                </c:pt>
                <c:pt idx="126">
                  <c:v>383.5</c:v>
                </c:pt>
                <c:pt idx="127">
                  <c:v>379</c:v>
                </c:pt>
                <c:pt idx="128">
                  <c:v>344.4</c:v>
                </c:pt>
                <c:pt idx="129">
                  <c:v>382.6</c:v>
                </c:pt>
                <c:pt idx="130">
                  <c:v>408.6</c:v>
                </c:pt>
                <c:pt idx="131">
                  <c:v>410.7</c:v>
                </c:pt>
                <c:pt idx="132">
                  <c:v>406.6</c:v>
                </c:pt>
                <c:pt idx="133">
                  <c:v>424.3</c:v>
                </c:pt>
                <c:pt idx="134">
                  <c:v>431.3</c:v>
                </c:pt>
                <c:pt idx="135">
                  <c:v>414.3</c:v>
                </c:pt>
                <c:pt idx="136">
                  <c:v>399.1</c:v>
                </c:pt>
                <c:pt idx="137">
                  <c:v>416.3</c:v>
                </c:pt>
                <c:pt idx="138">
                  <c:v>405.1</c:v>
                </c:pt>
                <c:pt idx="139">
                  <c:v>401.4</c:v>
                </c:pt>
                <c:pt idx="140">
                  <c:v>421.3</c:v>
                </c:pt>
                <c:pt idx="141">
                  <c:v>415</c:v>
                </c:pt>
                <c:pt idx="142">
                  <c:v>418.7</c:v>
                </c:pt>
                <c:pt idx="143">
                  <c:v>496.1</c:v>
                </c:pt>
                <c:pt idx="144">
                  <c:v>504.8</c:v>
                </c:pt>
                <c:pt idx="145">
                  <c:v>497.7</c:v>
                </c:pt>
                <c:pt idx="146">
                  <c:v>488.5</c:v>
                </c:pt>
                <c:pt idx="147">
                  <c:v>483.7</c:v>
                </c:pt>
                <c:pt idx="148">
                  <c:v>489.4</c:v>
                </c:pt>
                <c:pt idx="149">
                  <c:v>463.9</c:v>
                </c:pt>
                <c:pt idx="150">
                  <c:v>460.3</c:v>
                </c:pt>
                <c:pt idx="151">
                  <c:v>479.7</c:v>
                </c:pt>
                <c:pt idx="152">
                  <c:v>486.2</c:v>
                </c:pt>
                <c:pt idx="153">
                  <c:v>494.5</c:v>
                </c:pt>
                <c:pt idx="154">
                  <c:v>478.1</c:v>
                </c:pt>
                <c:pt idx="155">
                  <c:v>503.19</c:v>
                </c:pt>
                <c:pt idx="156">
                  <c:v>471.62</c:v>
                </c:pt>
                <c:pt idx="157">
                  <c:v>499.06</c:v>
                </c:pt>
                <c:pt idx="158">
                  <c:v>454.84</c:v>
                </c:pt>
                <c:pt idx="159">
                  <c:v>448.74</c:v>
                </c:pt>
                <c:pt idx="160">
                  <c:v>454.93</c:v>
                </c:pt>
                <c:pt idx="161">
                  <c:v>431.27</c:v>
                </c:pt>
                <c:pt idx="162">
                  <c:v>396.15</c:v>
                </c:pt>
                <c:pt idx="163">
                  <c:v>401.8</c:v>
                </c:pt>
                <c:pt idx="164">
                  <c:v>415.72</c:v>
                </c:pt>
                <c:pt idx="165">
                  <c:v>414.05</c:v>
                </c:pt>
                <c:pt idx="166">
                  <c:v>408.67</c:v>
                </c:pt>
                <c:pt idx="167">
                  <c:v>410.76</c:v>
                </c:pt>
                <c:pt idx="168">
                  <c:v>385.66</c:v>
                </c:pt>
                <c:pt idx="169">
                  <c:v>390.96</c:v>
                </c:pt>
                <c:pt idx="170">
                  <c:v>371.92</c:v>
                </c:pt>
                <c:pt idx="171">
                  <c:v>354.32</c:v>
                </c:pt>
                <c:pt idx="172">
                  <c:v>341.79</c:v>
                </c:pt>
                <c:pt idx="173">
                  <c:v>356.18</c:v>
                </c:pt>
                <c:pt idx="174">
                  <c:v>342.39</c:v>
                </c:pt>
                <c:pt idx="175">
                  <c:v>337.91</c:v>
                </c:pt>
                <c:pt idx="176">
                  <c:v>334.77</c:v>
                </c:pt>
                <c:pt idx="177">
                  <c:v>323.43</c:v>
                </c:pt>
                <c:pt idx="178">
                  <c:v>330.55</c:v>
                </c:pt>
                <c:pt idx="179">
                  <c:v>332.59</c:v>
                </c:pt>
                <c:pt idx="180">
                  <c:v>332.38</c:v>
                </c:pt>
                <c:pt idx="181">
                  <c:v>322.58</c:v>
                </c:pt>
                <c:pt idx="182">
                  <c:v>317.02999999999997</c:v>
                </c:pt>
                <c:pt idx="183">
                  <c:v>313.8</c:v>
                </c:pt>
                <c:pt idx="184">
                  <c:v>313.48</c:v>
                </c:pt>
                <c:pt idx="185">
                  <c:v>304</c:v>
                </c:pt>
                <c:pt idx="186">
                  <c:v>302.56</c:v>
                </c:pt>
                <c:pt idx="187">
                  <c:v>301.56</c:v>
                </c:pt>
                <c:pt idx="188">
                  <c:v>299.27</c:v>
                </c:pt>
                <c:pt idx="189">
                  <c:v>293.36</c:v>
                </c:pt>
                <c:pt idx="190">
                  <c:v>293.26</c:v>
                </c:pt>
                <c:pt idx="191">
                  <c:v>264.44</c:v>
                </c:pt>
                <c:pt idx="192">
                  <c:v>280.54000000000002</c:v>
                </c:pt>
                <c:pt idx="193">
                  <c:v>302.10000000000002</c:v>
                </c:pt>
                <c:pt idx="194">
                  <c:v>300.52</c:v>
                </c:pt>
                <c:pt idx="195">
                  <c:v>302.88</c:v>
                </c:pt>
                <c:pt idx="196">
                  <c:v>316.11</c:v>
                </c:pt>
                <c:pt idx="197">
                  <c:v>309.39999999999998</c:v>
                </c:pt>
                <c:pt idx="198">
                  <c:v>308.94</c:v>
                </c:pt>
                <c:pt idx="199">
                  <c:v>316.12</c:v>
                </c:pt>
                <c:pt idx="200">
                  <c:v>322.16000000000003</c:v>
                </c:pt>
                <c:pt idx="201">
                  <c:v>316.12</c:v>
                </c:pt>
                <c:pt idx="202">
                  <c:v>317.08999999999997</c:v>
                </c:pt>
                <c:pt idx="203">
                  <c:v>310.14</c:v>
                </c:pt>
                <c:pt idx="204">
                  <c:v>327.51</c:v>
                </c:pt>
                <c:pt idx="205">
                  <c:v>319.92</c:v>
                </c:pt>
                <c:pt idx="206">
                  <c:v>302.02</c:v>
                </c:pt>
                <c:pt idx="207">
                  <c:v>307.62</c:v>
                </c:pt>
                <c:pt idx="208">
                  <c:v>298.13</c:v>
                </c:pt>
                <c:pt idx="209">
                  <c:v>287.17</c:v>
                </c:pt>
                <c:pt idx="210">
                  <c:v>287.43</c:v>
                </c:pt>
                <c:pt idx="211">
                  <c:v>303.70999999999998</c:v>
                </c:pt>
                <c:pt idx="212">
                  <c:v>300.79000000000002</c:v>
                </c:pt>
                <c:pt idx="213">
                  <c:v>290</c:v>
                </c:pt>
                <c:pt idx="214">
                  <c:v>290.87</c:v>
                </c:pt>
                <c:pt idx="215">
                  <c:v>279.64999999999998</c:v>
                </c:pt>
                <c:pt idx="216">
                  <c:v>280.81</c:v>
                </c:pt>
                <c:pt idx="217">
                  <c:v>308.62</c:v>
                </c:pt>
                <c:pt idx="218">
                  <c:v>296.25</c:v>
                </c:pt>
                <c:pt idx="219">
                  <c:v>262.10000000000002</c:v>
                </c:pt>
                <c:pt idx="220">
                  <c:v>270.76</c:v>
                </c:pt>
                <c:pt idx="221">
                  <c:v>339.08</c:v>
                </c:pt>
                <c:pt idx="222">
                  <c:v>334.01</c:v>
                </c:pt>
                <c:pt idx="223">
                  <c:v>337.16</c:v>
                </c:pt>
                <c:pt idx="224">
                  <c:v>352.85</c:v>
                </c:pt>
                <c:pt idx="225">
                  <c:v>347.22</c:v>
                </c:pt>
                <c:pt idx="226">
                  <c:v>366.48</c:v>
                </c:pt>
                <c:pt idx="227">
                  <c:v>370.19</c:v>
                </c:pt>
                <c:pt idx="228">
                  <c:v>365.8</c:v>
                </c:pt>
                <c:pt idx="229">
                  <c:v>343.7</c:v>
                </c:pt>
                <c:pt idx="230">
                  <c:v>345.75</c:v>
                </c:pt>
                <c:pt idx="231">
                  <c:v>351.94</c:v>
                </c:pt>
                <c:pt idx="232">
                  <c:v>375.54</c:v>
                </c:pt>
                <c:pt idx="233">
                  <c:v>352.5</c:v>
                </c:pt>
                <c:pt idx="234">
                  <c:v>357.96</c:v>
                </c:pt>
                <c:pt idx="235">
                  <c:v>393.73</c:v>
                </c:pt>
                <c:pt idx="236">
                  <c:v>390.08</c:v>
                </c:pt>
                <c:pt idx="237">
                  <c:v>390.7</c:v>
                </c:pt>
                <c:pt idx="238">
                  <c:v>428.48</c:v>
                </c:pt>
                <c:pt idx="239">
                  <c:v>401.54</c:v>
                </c:pt>
                <c:pt idx="240">
                  <c:v>362.39</c:v>
                </c:pt>
                <c:pt idx="241">
                  <c:v>353.33</c:v>
                </c:pt>
                <c:pt idx="242">
                  <c:v>325.57</c:v>
                </c:pt>
                <c:pt idx="243">
                  <c:v>305.04000000000002</c:v>
                </c:pt>
                <c:pt idx="244">
                  <c:v>328.82</c:v>
                </c:pt>
                <c:pt idx="245">
                  <c:v>369.67</c:v>
                </c:pt>
                <c:pt idx="246">
                  <c:v>379.16</c:v>
                </c:pt>
                <c:pt idx="247">
                  <c:v>343.18</c:v>
                </c:pt>
                <c:pt idx="248">
                  <c:v>345.64</c:v>
                </c:pt>
                <c:pt idx="249">
                  <c:v>260.72000000000003</c:v>
                </c:pt>
                <c:pt idx="250">
                  <c:v>299.76</c:v>
                </c:pt>
                <c:pt idx="251">
                  <c:v>326.01</c:v>
                </c:pt>
                <c:pt idx="252">
                  <c:v>391.17</c:v>
                </c:pt>
                <c:pt idx="253">
                  <c:v>334.8</c:v>
                </c:pt>
                <c:pt idx="254">
                  <c:v>507.88</c:v>
                </c:pt>
                <c:pt idx="255">
                  <c:v>512.07000000000005</c:v>
                </c:pt>
                <c:pt idx="256">
                  <c:v>564.32000000000005</c:v>
                </c:pt>
                <c:pt idx="257">
                  <c:v>563.41</c:v>
                </c:pt>
                <c:pt idx="258">
                  <c:v>602.61</c:v>
                </c:pt>
                <c:pt idx="259">
                  <c:v>571.1</c:v>
                </c:pt>
                <c:pt idx="260">
                  <c:v>594.65</c:v>
                </c:pt>
                <c:pt idx="261">
                  <c:v>671.91</c:v>
                </c:pt>
                <c:pt idx="262">
                  <c:v>631.1</c:v>
                </c:pt>
                <c:pt idx="263">
                  <c:v>661.74</c:v>
                </c:pt>
                <c:pt idx="264">
                  <c:v>646.1</c:v>
                </c:pt>
                <c:pt idx="265">
                  <c:v>624.29999999999995</c:v>
                </c:pt>
                <c:pt idx="266">
                  <c:v>633.99</c:v>
                </c:pt>
                <c:pt idx="267">
                  <c:v>651.1</c:v>
                </c:pt>
                <c:pt idx="268">
                  <c:v>609.29999999999995</c:v>
                </c:pt>
                <c:pt idx="269">
                  <c:v>676.15</c:v>
                </c:pt>
                <c:pt idx="270">
                  <c:v>621.78</c:v>
                </c:pt>
                <c:pt idx="271">
                  <c:v>620</c:v>
                </c:pt>
                <c:pt idx="272">
                  <c:v>622.65</c:v>
                </c:pt>
                <c:pt idx="273">
                  <c:v>599.70000000000005</c:v>
                </c:pt>
                <c:pt idx="274">
                  <c:v>562.78</c:v>
                </c:pt>
                <c:pt idx="275">
                  <c:v>568.78</c:v>
                </c:pt>
                <c:pt idx="276">
                  <c:v>535.33000000000004</c:v>
                </c:pt>
                <c:pt idx="277">
                  <c:v>505</c:v>
                </c:pt>
                <c:pt idx="278">
                  <c:v>496.99200000000002</c:v>
                </c:pt>
                <c:pt idx="279">
                  <c:v>526.53570000000002</c:v>
                </c:pt>
                <c:pt idx="280">
                  <c:v>505.24110000000002</c:v>
                </c:pt>
                <c:pt idx="281">
                  <c:v>543.6327</c:v>
                </c:pt>
                <c:pt idx="282">
                  <c:v>586.36350000000004</c:v>
                </c:pt>
                <c:pt idx="283">
                  <c:v>504.03219999999999</c:v>
                </c:pt>
                <c:pt idx="284">
                  <c:v>481.43669999999997</c:v>
                </c:pt>
                <c:pt idx="285">
                  <c:v>514.68610000000001</c:v>
                </c:pt>
                <c:pt idx="286">
                  <c:v>508.27429999999998</c:v>
                </c:pt>
                <c:pt idx="287">
                  <c:v>541.88239999999996</c:v>
                </c:pt>
                <c:pt idx="288">
                  <c:v>550.01819999999998</c:v>
                </c:pt>
                <c:pt idx="289">
                  <c:v>551.64419999999996</c:v>
                </c:pt>
                <c:pt idx="290">
                  <c:v>596.71040000000005</c:v>
                </c:pt>
                <c:pt idx="291">
                  <c:v>525.92750000000001</c:v>
                </c:pt>
                <c:pt idx="292">
                  <c:v>471.29750000000001</c:v>
                </c:pt>
                <c:pt idx="293">
                  <c:v>453.99369999999999</c:v>
                </c:pt>
                <c:pt idx="294">
                  <c:v>418.70479999999998</c:v>
                </c:pt>
                <c:pt idx="295">
                  <c:v>375.55380000000002</c:v>
                </c:pt>
                <c:pt idx="296">
                  <c:v>403.3648</c:v>
                </c:pt>
                <c:pt idx="297">
                  <c:v>368.02629999999999</c:v>
                </c:pt>
                <c:pt idx="298">
                  <c:v>348.86169999999998</c:v>
                </c:pt>
                <c:pt idx="299">
                  <c:v>321.94970000000001</c:v>
                </c:pt>
                <c:pt idx="300">
                  <c:v>338.29320000000001</c:v>
                </c:pt>
                <c:pt idx="301">
                  <c:v>334.79910000000001</c:v>
                </c:pt>
                <c:pt idx="302">
                  <c:v>302.37240000000003</c:v>
                </c:pt>
                <c:pt idx="303">
                  <c:v>311.2962</c:v>
                </c:pt>
                <c:pt idx="304">
                  <c:v>275.29910000000001</c:v>
                </c:pt>
                <c:pt idx="305">
                  <c:v>268.42630000000003</c:v>
                </c:pt>
                <c:pt idx="306">
                  <c:v>269.22340000000003</c:v>
                </c:pt>
                <c:pt idx="307">
                  <c:v>255.2105</c:v>
                </c:pt>
                <c:pt idx="308">
                  <c:v>233.94659999999999</c:v>
                </c:pt>
                <c:pt idx="309">
                  <c:v>248.52359999999999</c:v>
                </c:pt>
                <c:pt idx="310">
                  <c:v>255.46459999999999</c:v>
                </c:pt>
                <c:pt idx="311">
                  <c:v>254.79759999999999</c:v>
                </c:pt>
                <c:pt idx="312">
                  <c:v>264.65129999999999</c:v>
                </c:pt>
                <c:pt idx="313">
                  <c:v>264.3023</c:v>
                </c:pt>
                <c:pt idx="314">
                  <c:v>262.935</c:v>
                </c:pt>
                <c:pt idx="315">
                  <c:v>261.48160000000001</c:v>
                </c:pt>
                <c:pt idx="316">
                  <c:v>269.78960000000001</c:v>
                </c:pt>
                <c:pt idx="317">
                  <c:v>258.53519999999997</c:v>
                </c:pt>
                <c:pt idx="318">
                  <c:v>254.51439999999999</c:v>
                </c:pt>
                <c:pt idx="319">
                  <c:v>263.238</c:v>
                </c:pt>
                <c:pt idx="320">
                  <c:v>276.28219999999999</c:v>
                </c:pt>
                <c:pt idx="321">
                  <c:v>263.2201</c:v>
                </c:pt>
                <c:pt idx="322">
                  <c:v>290.0301</c:v>
                </c:pt>
                <c:pt idx="323">
                  <c:v>278.44990000000001</c:v>
                </c:pt>
                <c:pt idx="324">
                  <c:v>293.20519999999999</c:v>
                </c:pt>
                <c:pt idx="325">
                  <c:v>240.55090000000001</c:v>
                </c:pt>
                <c:pt idx="326">
                  <c:v>240.11</c:v>
                </c:pt>
                <c:pt idx="327">
                  <c:v>226.38140000000001</c:v>
                </c:pt>
                <c:pt idx="328">
                  <c:v>225.47139999999999</c:v>
                </c:pt>
                <c:pt idx="329">
                  <c:v>229.6369</c:v>
                </c:pt>
                <c:pt idx="330">
                  <c:v>240.5701</c:v>
                </c:pt>
                <c:pt idx="331">
                  <c:v>239.6841</c:v>
                </c:pt>
                <c:pt idx="332">
                  <c:v>254.96369999999999</c:v>
                </c:pt>
                <c:pt idx="333">
                  <c:v>210.21379999999999</c:v>
                </c:pt>
                <c:pt idx="334">
                  <c:v>225.3853</c:v>
                </c:pt>
                <c:pt idx="335">
                  <c:v>221.71700000000001</c:v>
                </c:pt>
                <c:pt idx="336">
                  <c:v>234.91460000000001</c:v>
                </c:pt>
                <c:pt idx="337">
                  <c:v>254.50559999999999</c:v>
                </c:pt>
                <c:pt idx="338">
                  <c:v>231.3646</c:v>
                </c:pt>
                <c:pt idx="339">
                  <c:v>267.5147</c:v>
                </c:pt>
                <c:pt idx="340">
                  <c:v>295.25970000000001</c:v>
                </c:pt>
                <c:pt idx="341">
                  <c:v>253</c:v>
                </c:pt>
                <c:pt idx="342">
                  <c:v>333.11099999999999</c:v>
                </c:pt>
                <c:pt idx="343">
                  <c:v>195.6</c:v>
                </c:pt>
                <c:pt idx="344">
                  <c:v>165.32329999999999</c:v>
                </c:pt>
                <c:pt idx="345">
                  <c:v>130.18299999999999</c:v>
                </c:pt>
                <c:pt idx="346">
                  <c:v>130.303</c:v>
                </c:pt>
                <c:pt idx="347">
                  <c:v>135.8623</c:v>
                </c:pt>
                <c:pt idx="348">
                  <c:v>133.34960000000001</c:v>
                </c:pt>
                <c:pt idx="349">
                  <c:v>136.6139</c:v>
                </c:pt>
                <c:pt idx="350">
                  <c:v>124.08499999999999</c:v>
                </c:pt>
                <c:pt idx="351">
                  <c:v>128.97110000000001</c:v>
                </c:pt>
                <c:pt idx="352">
                  <c:v>107.34690000000001</c:v>
                </c:pt>
                <c:pt idx="353">
                  <c:v>79.837400000000002</c:v>
                </c:pt>
                <c:pt idx="354">
                  <c:v>68.354200000000006</c:v>
                </c:pt>
                <c:pt idx="355">
                  <c:v>72.835599999999999</c:v>
                </c:pt>
                <c:pt idx="356">
                  <c:v>67.700500000000005</c:v>
                </c:pt>
                <c:pt idx="357">
                  <c:v>55.959899999999998</c:v>
                </c:pt>
                <c:pt idx="358">
                  <c:v>52.12</c:v>
                </c:pt>
                <c:pt idx="359">
                  <c:v>51.007100000000001</c:v>
                </c:pt>
                <c:pt idx="360">
                  <c:v>51.478099999999998</c:v>
                </c:pt>
                <c:pt idx="361">
                  <c:v>44.3292</c:v>
                </c:pt>
                <c:pt idx="362">
                  <c:v>44.7849</c:v>
                </c:pt>
                <c:pt idx="363">
                  <c:v>42.861800000000002</c:v>
                </c:pt>
                <c:pt idx="364">
                  <c:v>42.525399999999998</c:v>
                </c:pt>
                <c:pt idx="365">
                  <c:v>40.882599999999996</c:v>
                </c:pt>
                <c:pt idx="366">
                  <c:v>41.839599999999997</c:v>
                </c:pt>
                <c:pt idx="367">
                  <c:v>41.834699999999998</c:v>
                </c:pt>
                <c:pt idx="368">
                  <c:v>41.826300000000003</c:v>
                </c:pt>
                <c:pt idx="369">
                  <c:v>40.910899999999998</c:v>
                </c:pt>
                <c:pt idx="370">
                  <c:v>40.893599999999999</c:v>
                </c:pt>
                <c:pt idx="371">
                  <c:v>38.634300000000003</c:v>
                </c:pt>
                <c:pt idx="372">
                  <c:v>42.606900000000003</c:v>
                </c:pt>
                <c:pt idx="373">
                  <c:v>42.524099999999997</c:v>
                </c:pt>
                <c:pt idx="374">
                  <c:v>45.341200000000001</c:v>
                </c:pt>
                <c:pt idx="375">
                  <c:v>45.8675</c:v>
                </c:pt>
                <c:pt idx="376">
                  <c:v>43.142000000000003</c:v>
                </c:pt>
                <c:pt idx="377">
                  <c:v>40.866799999999998</c:v>
                </c:pt>
                <c:pt idx="378">
                  <c:v>41.872300000000003</c:v>
                </c:pt>
                <c:pt idx="379">
                  <c:v>40.111400000000003</c:v>
                </c:pt>
                <c:pt idx="380">
                  <c:v>38.254100000000001</c:v>
                </c:pt>
                <c:pt idx="381">
                  <c:v>38.167400000000001</c:v>
                </c:pt>
                <c:pt idx="382">
                  <c:v>42.403100000000002</c:v>
                </c:pt>
                <c:pt idx="383">
                  <c:v>43.847900000000003</c:v>
                </c:pt>
                <c:pt idx="384">
                  <c:v>42.356000000000002</c:v>
                </c:pt>
                <c:pt idx="385">
                  <c:v>43.572800000000001</c:v>
                </c:pt>
                <c:pt idx="386">
                  <c:v>42.241700000000002</c:v>
                </c:pt>
                <c:pt idx="387">
                  <c:v>41.821899999999999</c:v>
                </c:pt>
                <c:pt idx="388">
                  <c:v>41.133299999999998</c:v>
                </c:pt>
                <c:pt idx="389">
                  <c:v>41.2575</c:v>
                </c:pt>
                <c:pt idx="390">
                  <c:v>38.2331</c:v>
                </c:pt>
                <c:pt idx="391">
                  <c:v>37.776200000000003</c:v>
                </c:pt>
                <c:pt idx="392">
                  <c:v>37.358800000000002</c:v>
                </c:pt>
                <c:pt idx="393">
                  <c:v>38.155799999999999</c:v>
                </c:pt>
                <c:pt idx="394">
                  <c:v>39.066699999999997</c:v>
                </c:pt>
                <c:pt idx="395">
                  <c:v>35.951000000000001</c:v>
                </c:pt>
                <c:pt idx="396">
                  <c:v>33.673999999999999</c:v>
                </c:pt>
                <c:pt idx="397">
                  <c:v>33.636099999999999</c:v>
                </c:pt>
                <c:pt idx="398">
                  <c:v>33.199599999999997</c:v>
                </c:pt>
                <c:pt idx="399">
                  <c:v>32.4895</c:v>
                </c:pt>
                <c:pt idx="400">
                  <c:v>31.1843</c:v>
                </c:pt>
                <c:pt idx="401">
                  <c:v>33.515099999999997</c:v>
                </c:pt>
                <c:pt idx="402">
                  <c:v>32.049999999999997</c:v>
                </c:pt>
                <c:pt idx="403">
                  <c:v>34.314799999999998</c:v>
                </c:pt>
                <c:pt idx="404">
                  <c:v>33.316699999999997</c:v>
                </c:pt>
                <c:pt idx="405">
                  <c:v>30.988199999999999</c:v>
                </c:pt>
                <c:pt idx="406">
                  <c:v>30.2255</c:v>
                </c:pt>
                <c:pt idx="407">
                  <c:v>30.557700000000001</c:v>
                </c:pt>
                <c:pt idx="408">
                  <c:v>29.505299999999998</c:v>
                </c:pt>
                <c:pt idx="409">
                  <c:v>30.033799999999999</c:v>
                </c:pt>
                <c:pt idx="410">
                  <c:v>29.1571</c:v>
                </c:pt>
                <c:pt idx="411">
                  <c:v>28.160299999999999</c:v>
                </c:pt>
                <c:pt idx="412">
                  <c:v>27.341899999999999</c:v>
                </c:pt>
                <c:pt idx="413">
                  <c:v>27.692599999999999</c:v>
                </c:pt>
                <c:pt idx="414">
                  <c:v>28.145199999999999</c:v>
                </c:pt>
                <c:pt idx="415">
                  <c:v>27.670500000000001</c:v>
                </c:pt>
                <c:pt idx="416">
                  <c:v>29.37</c:v>
                </c:pt>
                <c:pt idx="417">
                  <c:v>29.502600000000001</c:v>
                </c:pt>
                <c:pt idx="418">
                  <c:v>29.728000000000002</c:v>
                </c:pt>
                <c:pt idx="419">
                  <c:v>29.023099999999999</c:v>
                </c:pt>
                <c:pt idx="420">
                  <c:v>30.706499999999998</c:v>
                </c:pt>
                <c:pt idx="421">
                  <c:v>30.287500000000001</c:v>
                </c:pt>
                <c:pt idx="422">
                  <c:v>30.1996</c:v>
                </c:pt>
                <c:pt idx="423">
                  <c:v>31.493500000000001</c:v>
                </c:pt>
                <c:pt idx="424">
                  <c:v>30.104500000000002</c:v>
                </c:pt>
                <c:pt idx="425">
                  <c:v>29.176600000000001</c:v>
                </c:pt>
                <c:pt idx="426">
                  <c:v>28.460599999999999</c:v>
                </c:pt>
                <c:pt idx="427">
                  <c:v>28.235600000000002</c:v>
                </c:pt>
                <c:pt idx="428">
                  <c:v>31.295300000000001</c:v>
                </c:pt>
                <c:pt idx="429">
                  <c:v>33.9407</c:v>
                </c:pt>
                <c:pt idx="430">
                  <c:v>30.995000000000001</c:v>
                </c:pt>
                <c:pt idx="431">
                  <c:v>30.022600000000001</c:v>
                </c:pt>
                <c:pt idx="432">
                  <c:v>30.516100000000002</c:v>
                </c:pt>
                <c:pt idx="433">
                  <c:v>28.971499999999999</c:v>
                </c:pt>
                <c:pt idx="434">
                  <c:v>28.1387</c:v>
                </c:pt>
                <c:pt idx="435">
                  <c:v>28.0931</c:v>
                </c:pt>
                <c:pt idx="436">
                  <c:v>28.555199999999999</c:v>
                </c:pt>
                <c:pt idx="437">
                  <c:v>27.9451</c:v>
                </c:pt>
                <c:pt idx="438">
                  <c:v>27.678599999999999</c:v>
                </c:pt>
                <c:pt idx="439">
                  <c:v>27.931100000000001</c:v>
                </c:pt>
                <c:pt idx="440">
                  <c:v>28.197399999999998</c:v>
                </c:pt>
                <c:pt idx="441">
                  <c:v>27.6874</c:v>
                </c:pt>
                <c:pt idx="442">
                  <c:v>28.015999999999998</c:v>
                </c:pt>
                <c:pt idx="443">
                  <c:v>28.218800000000002</c:v>
                </c:pt>
                <c:pt idx="444">
                  <c:v>28.094100000000001</c:v>
                </c:pt>
                <c:pt idx="445">
                  <c:v>28.4101</c:v>
                </c:pt>
                <c:pt idx="446">
                  <c:v>27.7651</c:v>
                </c:pt>
                <c:pt idx="447">
                  <c:v>29.043500000000002</c:v>
                </c:pt>
                <c:pt idx="448">
                  <c:v>27.6875</c:v>
                </c:pt>
                <c:pt idx="449">
                  <c:v>26.96</c:v>
                </c:pt>
                <c:pt idx="450">
                  <c:v>26.863800000000001</c:v>
                </c:pt>
                <c:pt idx="451">
                  <c:v>27.798300000000001</c:v>
                </c:pt>
                <c:pt idx="452">
                  <c:v>28.5318</c:v>
                </c:pt>
                <c:pt idx="453">
                  <c:v>28.505800000000001</c:v>
                </c:pt>
                <c:pt idx="454">
                  <c:v>28.4909</c:v>
                </c:pt>
                <c:pt idx="455">
                  <c:v>29.870200000000001</c:v>
                </c:pt>
                <c:pt idx="456">
                  <c:v>30.3338</c:v>
                </c:pt>
                <c:pt idx="457">
                  <c:v>31.482600000000001</c:v>
                </c:pt>
                <c:pt idx="458">
                  <c:v>31.046700000000001</c:v>
                </c:pt>
                <c:pt idx="459">
                  <c:v>30.128</c:v>
                </c:pt>
                <c:pt idx="460">
                  <c:v>30.663900000000002</c:v>
                </c:pt>
                <c:pt idx="461">
                  <c:v>30.637699999999999</c:v>
                </c:pt>
                <c:pt idx="462">
                  <c:v>30.639600000000002</c:v>
                </c:pt>
                <c:pt idx="463">
                  <c:v>29.732900000000001</c:v>
                </c:pt>
                <c:pt idx="464">
                  <c:v>28.822700000000001</c:v>
                </c:pt>
                <c:pt idx="465">
                  <c:v>29.910699999999999</c:v>
                </c:pt>
                <c:pt idx="466">
                  <c:v>30.659300000000002</c:v>
                </c:pt>
                <c:pt idx="467">
                  <c:v>30.241399999999999</c:v>
                </c:pt>
                <c:pt idx="468">
                  <c:v>30.051600000000001</c:v>
                </c:pt>
                <c:pt idx="469">
                  <c:v>31.325600000000001</c:v>
                </c:pt>
                <c:pt idx="470">
                  <c:v>30.838000000000001</c:v>
                </c:pt>
                <c:pt idx="471">
                  <c:v>30.7256</c:v>
                </c:pt>
                <c:pt idx="472">
                  <c:v>30.650300000000001</c:v>
                </c:pt>
                <c:pt idx="473">
                  <c:v>28.527100000000001</c:v>
                </c:pt>
                <c:pt idx="474">
                  <c:v>28.441400000000002</c:v>
                </c:pt>
                <c:pt idx="475">
                  <c:v>28.407599999999999</c:v>
                </c:pt>
                <c:pt idx="476">
                  <c:v>27.7424</c:v>
                </c:pt>
                <c:pt idx="477">
                  <c:v>27.689800000000002</c:v>
                </c:pt>
                <c:pt idx="478">
                  <c:v>27.6812</c:v>
                </c:pt>
                <c:pt idx="479">
                  <c:v>28.6158</c:v>
                </c:pt>
                <c:pt idx="480">
                  <c:v>28.966799999999999</c:v>
                </c:pt>
                <c:pt idx="481">
                  <c:v>28.186699999999998</c:v>
                </c:pt>
                <c:pt idx="482">
                  <c:v>27.3369</c:v>
                </c:pt>
                <c:pt idx="483">
                  <c:v>27.467300000000002</c:v>
                </c:pt>
                <c:pt idx="484">
                  <c:v>29.265599999999999</c:v>
                </c:pt>
                <c:pt idx="485">
                  <c:v>28.894600000000001</c:v>
                </c:pt>
                <c:pt idx="486">
                  <c:v>26.985499999999998</c:v>
                </c:pt>
                <c:pt idx="487">
                  <c:v>26.251000000000001</c:v>
                </c:pt>
                <c:pt idx="488">
                  <c:v>26.1998</c:v>
                </c:pt>
                <c:pt idx="489">
                  <c:v>24.692399999999999</c:v>
                </c:pt>
                <c:pt idx="490">
                  <c:v>24.5745</c:v>
                </c:pt>
                <c:pt idx="491">
                  <c:v>22.833100000000002</c:v>
                </c:pt>
                <c:pt idx="492">
                  <c:v>24.046800000000001</c:v>
                </c:pt>
                <c:pt idx="493">
                  <c:v>23.123200000000001</c:v>
                </c:pt>
                <c:pt idx="494">
                  <c:v>26.315999999999999</c:v>
                </c:pt>
                <c:pt idx="495">
                  <c:v>27.203499999999998</c:v>
                </c:pt>
                <c:pt idx="496">
                  <c:v>27.629000000000001</c:v>
                </c:pt>
                <c:pt idx="497">
                  <c:v>27.094999999999999</c:v>
                </c:pt>
                <c:pt idx="498">
                  <c:v>27.869499999999999</c:v>
                </c:pt>
                <c:pt idx="499">
                  <c:v>27.118099999999998</c:v>
                </c:pt>
                <c:pt idx="500">
                  <c:v>31.252300000000002</c:v>
                </c:pt>
                <c:pt idx="501">
                  <c:v>31.165600000000001</c:v>
                </c:pt>
                <c:pt idx="502">
                  <c:v>28.504999999999999</c:v>
                </c:pt>
                <c:pt idx="503">
                  <c:v>25.399000000000001</c:v>
                </c:pt>
                <c:pt idx="504">
                  <c:v>24.5489</c:v>
                </c:pt>
                <c:pt idx="505">
                  <c:v>24.471599999999999</c:v>
                </c:pt>
                <c:pt idx="506">
                  <c:v>23.2837</c:v>
                </c:pt>
                <c:pt idx="507">
                  <c:v>22.442599999999999</c:v>
                </c:pt>
                <c:pt idx="508">
                  <c:v>23.141999999999999</c:v>
                </c:pt>
                <c:pt idx="509">
                  <c:v>19.469799999999999</c:v>
                </c:pt>
                <c:pt idx="510">
                  <c:v>20.9712</c:v>
                </c:pt>
                <c:pt idx="511">
                  <c:v>20.359200000000001</c:v>
                </c:pt>
                <c:pt idx="512">
                  <c:v>24.7652</c:v>
                </c:pt>
                <c:pt idx="513">
                  <c:v>24.7028</c:v>
                </c:pt>
                <c:pt idx="514">
                  <c:v>23.1477</c:v>
                </c:pt>
                <c:pt idx="515">
                  <c:v>23.620799999999999</c:v>
                </c:pt>
                <c:pt idx="516">
                  <c:v>22.939800000000002</c:v>
                </c:pt>
                <c:pt idx="517">
                  <c:v>23.081099999999999</c:v>
                </c:pt>
                <c:pt idx="518">
                  <c:v>23.1127</c:v>
                </c:pt>
                <c:pt idx="519">
                  <c:v>22.1999</c:v>
                </c:pt>
                <c:pt idx="520">
                  <c:v>21.388200000000001</c:v>
                </c:pt>
                <c:pt idx="521">
                  <c:v>22.595300000000002</c:v>
                </c:pt>
                <c:pt idx="522">
                  <c:v>21.855499999999999</c:v>
                </c:pt>
                <c:pt idx="523">
                  <c:v>22.2044</c:v>
                </c:pt>
                <c:pt idx="524">
                  <c:v>22.098800000000001</c:v>
                </c:pt>
                <c:pt idx="525">
                  <c:v>23.088799999999999</c:v>
                </c:pt>
                <c:pt idx="526">
                  <c:v>22.376100000000001</c:v>
                </c:pt>
                <c:pt idx="527">
                  <c:v>22.970500000000001</c:v>
                </c:pt>
                <c:pt idx="528">
                  <c:v>23.496099999999998</c:v>
                </c:pt>
                <c:pt idx="529">
                  <c:v>23.529</c:v>
                </c:pt>
                <c:pt idx="530">
                  <c:v>23.088100000000001</c:v>
                </c:pt>
                <c:pt idx="531">
                  <c:v>23.104700000000001</c:v>
                </c:pt>
                <c:pt idx="532">
                  <c:v>21.7667</c:v>
                </c:pt>
                <c:pt idx="533">
                  <c:v>21.491900000000001</c:v>
                </c:pt>
                <c:pt idx="534">
                  <c:v>21.290199999999999</c:v>
                </c:pt>
                <c:pt idx="535">
                  <c:v>22.636900000000001</c:v>
                </c:pt>
                <c:pt idx="536">
                  <c:v>22.422000000000001</c:v>
                </c:pt>
                <c:pt idx="537">
                  <c:v>22.923400000000001</c:v>
                </c:pt>
                <c:pt idx="538">
                  <c:v>22.3323</c:v>
                </c:pt>
                <c:pt idx="539">
                  <c:v>22.748699999999999</c:v>
                </c:pt>
                <c:pt idx="540">
                  <c:v>23.2728</c:v>
                </c:pt>
                <c:pt idx="541">
                  <c:v>22.2818</c:v>
                </c:pt>
                <c:pt idx="542">
                  <c:v>22.0504</c:v>
                </c:pt>
                <c:pt idx="543">
                  <c:v>20.989799999999999</c:v>
                </c:pt>
                <c:pt idx="544">
                  <c:v>21.616800000000001</c:v>
                </c:pt>
                <c:pt idx="545">
                  <c:v>20.6615</c:v>
                </c:pt>
                <c:pt idx="546">
                  <c:v>19.97</c:v>
                </c:pt>
                <c:pt idx="547">
                  <c:v>19.899000000000001</c:v>
                </c:pt>
                <c:pt idx="548">
                  <c:v>20.173200000000001</c:v>
                </c:pt>
                <c:pt idx="549">
                  <c:v>19.747399999999999</c:v>
                </c:pt>
                <c:pt idx="550">
                  <c:v>19.555700000000002</c:v>
                </c:pt>
                <c:pt idx="551">
                  <c:v>19.824200000000001</c:v>
                </c:pt>
                <c:pt idx="552">
                  <c:v>19.185300000000002</c:v>
                </c:pt>
                <c:pt idx="553">
                  <c:v>18.75</c:v>
                </c:pt>
                <c:pt idx="554">
                  <c:v>18.09</c:v>
                </c:pt>
                <c:pt idx="555">
                  <c:v>17.7285</c:v>
                </c:pt>
                <c:pt idx="556">
                  <c:v>17.464500000000001</c:v>
                </c:pt>
                <c:pt idx="557">
                  <c:v>18.0154</c:v>
                </c:pt>
                <c:pt idx="558">
                  <c:v>17.150700000000001</c:v>
                </c:pt>
                <c:pt idx="559">
                  <c:v>17.067599999999999</c:v>
                </c:pt>
                <c:pt idx="560">
                  <c:v>17.1647</c:v>
                </c:pt>
                <c:pt idx="561">
                  <c:v>17.635100000000001</c:v>
                </c:pt>
                <c:pt idx="562">
                  <c:v>18.079000000000001</c:v>
                </c:pt>
                <c:pt idx="563">
                  <c:v>18.404599999999999</c:v>
                </c:pt>
                <c:pt idx="564">
                  <c:v>18.299399999999999</c:v>
                </c:pt>
                <c:pt idx="565">
                  <c:v>17.6205</c:v>
                </c:pt>
                <c:pt idx="566">
                  <c:v>17.3123</c:v>
                </c:pt>
                <c:pt idx="567">
                  <c:v>16.827400000000001</c:v>
                </c:pt>
                <c:pt idx="568">
                  <c:v>17.2819</c:v>
                </c:pt>
                <c:pt idx="569">
                  <c:v>16.8048</c:v>
                </c:pt>
                <c:pt idx="570">
                  <c:v>16.311</c:v>
                </c:pt>
                <c:pt idx="571">
                  <c:v>15.4885</c:v>
                </c:pt>
                <c:pt idx="572">
                  <c:v>15.5548</c:v>
                </c:pt>
                <c:pt idx="573">
                  <c:v>15.286300000000001</c:v>
                </c:pt>
                <c:pt idx="574">
                  <c:v>15.3634</c:v>
                </c:pt>
                <c:pt idx="575">
                  <c:v>15.814399999999999</c:v>
                </c:pt>
                <c:pt idx="576">
                  <c:v>15.383800000000001</c:v>
                </c:pt>
                <c:pt idx="577">
                  <c:v>15.4656</c:v>
                </c:pt>
                <c:pt idx="578">
                  <c:v>15.3782</c:v>
                </c:pt>
                <c:pt idx="579">
                  <c:v>15.1242</c:v>
                </c:pt>
                <c:pt idx="580">
                  <c:v>15.769399999999999</c:v>
                </c:pt>
                <c:pt idx="581">
                  <c:v>15.906000000000001</c:v>
                </c:pt>
                <c:pt idx="582">
                  <c:v>15.9968</c:v>
                </c:pt>
                <c:pt idx="583">
                  <c:v>16.389800000000001</c:v>
                </c:pt>
                <c:pt idx="584">
                  <c:v>16.505099999999999</c:v>
                </c:pt>
                <c:pt idx="585">
                  <c:v>15.977499999999999</c:v>
                </c:pt>
                <c:pt idx="586">
                  <c:v>16.059000000000001</c:v>
                </c:pt>
                <c:pt idx="587">
                  <c:v>15.9512</c:v>
                </c:pt>
                <c:pt idx="588">
                  <c:v>16.160799999999998</c:v>
                </c:pt>
                <c:pt idx="589">
                  <c:v>16.398299999999999</c:v>
                </c:pt>
                <c:pt idx="590">
                  <c:v>16.4329</c:v>
                </c:pt>
                <c:pt idx="591">
                  <c:v>16.376999999999999</c:v>
                </c:pt>
                <c:pt idx="592">
                  <c:v>16.572900000000001</c:v>
                </c:pt>
                <c:pt idx="593">
                  <c:v>16.810099999999998</c:v>
                </c:pt>
                <c:pt idx="594">
                  <c:v>16.637699999999999</c:v>
                </c:pt>
                <c:pt idx="595">
                  <c:v>16.229800000000001</c:v>
                </c:pt>
                <c:pt idx="596">
                  <c:v>17.405999999999999</c:v>
                </c:pt>
                <c:pt idx="597">
                  <c:v>17.3733</c:v>
                </c:pt>
                <c:pt idx="598">
                  <c:v>17.448899999999998</c:v>
                </c:pt>
                <c:pt idx="599">
                  <c:v>17.413499999999999</c:v>
                </c:pt>
                <c:pt idx="600">
                  <c:v>17.551100000000002</c:v>
                </c:pt>
                <c:pt idx="601">
                  <c:v>17.691400000000002</c:v>
                </c:pt>
                <c:pt idx="602">
                  <c:v>17.516999999999999</c:v>
                </c:pt>
                <c:pt idx="603">
                  <c:v>17.5779</c:v>
                </c:pt>
                <c:pt idx="604">
                  <c:v>17.2669</c:v>
                </c:pt>
                <c:pt idx="605">
                  <c:v>17.947700000000001</c:v>
                </c:pt>
                <c:pt idx="606">
                  <c:v>17.0916</c:v>
                </c:pt>
                <c:pt idx="607">
                  <c:v>17.727699999999999</c:v>
                </c:pt>
                <c:pt idx="608">
                  <c:v>17.0031</c:v>
                </c:pt>
                <c:pt idx="609">
                  <c:v>17.077200000000001</c:v>
                </c:pt>
                <c:pt idx="610">
                  <c:v>16.47</c:v>
                </c:pt>
                <c:pt idx="611">
                  <c:v>16.215900000000001</c:v>
                </c:pt>
                <c:pt idx="612">
                  <c:v>16.380700000000001</c:v>
                </c:pt>
                <c:pt idx="613">
                  <c:v>15.962400000000001</c:v>
                </c:pt>
                <c:pt idx="614">
                  <c:v>16.48</c:v>
                </c:pt>
                <c:pt idx="615">
                  <c:v>16.586400000000001</c:v>
                </c:pt>
                <c:pt idx="616">
                  <c:v>16.088799999999999</c:v>
                </c:pt>
                <c:pt idx="617">
                  <c:v>16.899799999999999</c:v>
                </c:pt>
                <c:pt idx="618">
                  <c:v>17.209800000000001</c:v>
                </c:pt>
                <c:pt idx="619">
                  <c:v>16.629899999999999</c:v>
                </c:pt>
                <c:pt idx="620">
                  <c:v>16.2959</c:v>
                </c:pt>
                <c:pt idx="621">
                  <c:v>16.058</c:v>
                </c:pt>
                <c:pt idx="622">
                  <c:v>15.722200000000001</c:v>
                </c:pt>
                <c:pt idx="623">
                  <c:v>16.377700000000001</c:v>
                </c:pt>
                <c:pt idx="624">
                  <c:v>16.2164</c:v>
                </c:pt>
                <c:pt idx="625">
                  <c:v>15.789199999999999</c:v>
                </c:pt>
                <c:pt idx="626">
                  <c:v>15.081099999999999</c:v>
                </c:pt>
                <c:pt idx="627">
                  <c:v>15.3506</c:v>
                </c:pt>
                <c:pt idx="628">
                  <c:v>16.775099999999998</c:v>
                </c:pt>
                <c:pt idx="629">
                  <c:v>17.1371</c:v>
                </c:pt>
                <c:pt idx="630">
                  <c:v>17.000299999999999</c:v>
                </c:pt>
                <c:pt idx="631">
                  <c:v>16.374300000000002</c:v>
                </c:pt>
                <c:pt idx="632">
                  <c:v>16.8886</c:v>
                </c:pt>
                <c:pt idx="633">
                  <c:v>17.007400000000001</c:v>
                </c:pt>
                <c:pt idx="634">
                  <c:v>17.107099999999999</c:v>
                </c:pt>
                <c:pt idx="635">
                  <c:v>17.533300000000001</c:v>
                </c:pt>
                <c:pt idx="636">
                  <c:v>17.466000000000001</c:v>
                </c:pt>
                <c:pt idx="637">
                  <c:v>16.9542</c:v>
                </c:pt>
                <c:pt idx="638">
                  <c:v>17.366700000000002</c:v>
                </c:pt>
                <c:pt idx="639">
                  <c:v>16.34</c:v>
                </c:pt>
                <c:pt idx="640">
                  <c:v>16.422899999999998</c:v>
                </c:pt>
                <c:pt idx="641">
                  <c:v>16.358799999999999</c:v>
                </c:pt>
                <c:pt idx="642">
                  <c:v>16.228300000000001</c:v>
                </c:pt>
                <c:pt idx="643">
                  <c:v>15.931900000000001</c:v>
                </c:pt>
                <c:pt idx="644">
                  <c:v>16.033999999999999</c:v>
                </c:pt>
                <c:pt idx="645">
                  <c:v>15.7104</c:v>
                </c:pt>
                <c:pt idx="646">
                  <c:v>15.128299999999999</c:v>
                </c:pt>
                <c:pt idx="647">
                  <c:v>14.9892</c:v>
                </c:pt>
                <c:pt idx="648">
                  <c:v>16.068300000000001</c:v>
                </c:pt>
                <c:pt idx="649">
                  <c:v>16.613700000000001</c:v>
                </c:pt>
                <c:pt idx="650">
                  <c:v>15.64</c:v>
                </c:pt>
                <c:pt idx="651">
                  <c:v>15.7394</c:v>
                </c:pt>
                <c:pt idx="652">
                  <c:v>14.5755</c:v>
                </c:pt>
                <c:pt idx="653">
                  <c:v>15.614800000000001</c:v>
                </c:pt>
                <c:pt idx="654">
                  <c:v>15.027699999999999</c:v>
                </c:pt>
                <c:pt idx="655">
                  <c:v>14.280799999999999</c:v>
                </c:pt>
                <c:pt idx="656">
                  <c:v>13.807</c:v>
                </c:pt>
                <c:pt idx="657">
                  <c:v>13.72</c:v>
                </c:pt>
                <c:pt idx="658">
                  <c:v>15.009600000000001</c:v>
                </c:pt>
                <c:pt idx="659">
                  <c:v>15.088800000000001</c:v>
                </c:pt>
                <c:pt idx="660">
                  <c:v>14.726599999999999</c:v>
                </c:pt>
                <c:pt idx="661">
                  <c:v>15.1989</c:v>
                </c:pt>
                <c:pt idx="662">
                  <c:v>13.688800000000001</c:v>
                </c:pt>
                <c:pt idx="663">
                  <c:v>13.7606</c:v>
                </c:pt>
                <c:pt idx="664">
                  <c:v>13.361499999999999</c:v>
                </c:pt>
                <c:pt idx="665">
                  <c:v>13.0166</c:v>
                </c:pt>
                <c:pt idx="666">
                  <c:v>12.72</c:v>
                </c:pt>
                <c:pt idx="667">
                  <c:v>12.5451</c:v>
                </c:pt>
                <c:pt idx="668">
                  <c:v>12.1365</c:v>
                </c:pt>
                <c:pt idx="669">
                  <c:v>11.300800000000001</c:v>
                </c:pt>
                <c:pt idx="670">
                  <c:v>12.188800000000001</c:v>
                </c:pt>
                <c:pt idx="671">
                  <c:v>12.3354</c:v>
                </c:pt>
                <c:pt idx="672">
                  <c:v>13.199</c:v>
                </c:pt>
                <c:pt idx="673">
                  <c:v>12.325100000000001</c:v>
                </c:pt>
                <c:pt idx="674">
                  <c:v>12.426</c:v>
                </c:pt>
                <c:pt idx="675">
                  <c:v>12.188700000000001</c:v>
                </c:pt>
                <c:pt idx="676">
                  <c:v>11.167</c:v>
                </c:pt>
                <c:pt idx="677">
                  <c:v>12.1</c:v>
                </c:pt>
                <c:pt idx="678">
                  <c:v>11.9147</c:v>
                </c:pt>
                <c:pt idx="679">
                  <c:v>12.2597</c:v>
                </c:pt>
                <c:pt idx="680">
                  <c:v>10.3866</c:v>
                </c:pt>
                <c:pt idx="681">
                  <c:v>10.2576</c:v>
                </c:pt>
                <c:pt idx="682">
                  <c:v>9.4284999999999997</c:v>
                </c:pt>
                <c:pt idx="683">
                  <c:v>10.389799999999999</c:v>
                </c:pt>
                <c:pt idx="684">
                  <c:v>10.1487</c:v>
                </c:pt>
                <c:pt idx="685">
                  <c:v>10.920400000000001</c:v>
                </c:pt>
                <c:pt idx="686">
                  <c:v>9.2566000000000006</c:v>
                </c:pt>
                <c:pt idx="687">
                  <c:v>16.570499999999999</c:v>
                </c:pt>
                <c:pt idx="688">
                  <c:v>16.867100000000001</c:v>
                </c:pt>
                <c:pt idx="689">
                  <c:v>16.588799999999999</c:v>
                </c:pt>
                <c:pt idx="690">
                  <c:v>16.893999999999998</c:v>
                </c:pt>
                <c:pt idx="691">
                  <c:v>20.25</c:v>
                </c:pt>
                <c:pt idx="692">
                  <c:v>21.338899999999999</c:v>
                </c:pt>
                <c:pt idx="693">
                  <c:v>20.746200000000002</c:v>
                </c:pt>
                <c:pt idx="694">
                  <c:v>19.95</c:v>
                </c:pt>
                <c:pt idx="695">
                  <c:v>19.688199999999998</c:v>
                </c:pt>
                <c:pt idx="696">
                  <c:v>19.928899999999999</c:v>
                </c:pt>
                <c:pt idx="697">
                  <c:v>18.902000000000001</c:v>
                </c:pt>
                <c:pt idx="698">
                  <c:v>19.23</c:v>
                </c:pt>
                <c:pt idx="699">
                  <c:v>18.983799999999999</c:v>
                </c:pt>
                <c:pt idx="700">
                  <c:v>19.2</c:v>
                </c:pt>
                <c:pt idx="701">
                  <c:v>18.7441</c:v>
                </c:pt>
                <c:pt idx="702">
                  <c:v>20.319299999999998</c:v>
                </c:pt>
                <c:pt idx="703">
                  <c:v>22.096499999999999</c:v>
                </c:pt>
                <c:pt idx="704">
                  <c:v>22.845199999999998</c:v>
                </c:pt>
                <c:pt idx="705">
                  <c:v>21.968900000000001</c:v>
                </c:pt>
                <c:pt idx="706">
                  <c:v>22.188800000000001</c:v>
                </c:pt>
                <c:pt idx="707">
                  <c:v>22.162600000000001</c:v>
                </c:pt>
                <c:pt idx="708">
                  <c:v>22.370899999999999</c:v>
                </c:pt>
                <c:pt idx="709">
                  <c:v>24.082100000000001</c:v>
                </c:pt>
                <c:pt idx="710">
                  <c:v>23.455500000000001</c:v>
                </c:pt>
                <c:pt idx="711">
                  <c:v>23.319299999999998</c:v>
                </c:pt>
                <c:pt idx="712">
                  <c:v>24.2576</c:v>
                </c:pt>
                <c:pt idx="713">
                  <c:v>26.354700000000001</c:v>
                </c:pt>
                <c:pt idx="714">
                  <c:v>25.457899999999999</c:v>
                </c:pt>
                <c:pt idx="715">
                  <c:v>26.424299999999999</c:v>
                </c:pt>
                <c:pt idx="716">
                  <c:v>25.696300000000001</c:v>
                </c:pt>
                <c:pt idx="717">
                  <c:v>25.1465</c:v>
                </c:pt>
                <c:pt idx="718">
                  <c:v>24.38</c:v>
                </c:pt>
                <c:pt idx="719">
                  <c:v>21.788799999999998</c:v>
                </c:pt>
                <c:pt idx="720">
                  <c:v>22.055499999999999</c:v>
                </c:pt>
                <c:pt idx="721">
                  <c:v>20.6675</c:v>
                </c:pt>
                <c:pt idx="722">
                  <c:v>19.262</c:v>
                </c:pt>
                <c:pt idx="723">
                  <c:v>18.177800000000001</c:v>
                </c:pt>
                <c:pt idx="724">
                  <c:v>18.46</c:v>
                </c:pt>
                <c:pt idx="725">
                  <c:v>18.433299999999999</c:v>
                </c:pt>
                <c:pt idx="726">
                  <c:v>18.275200000000002</c:v>
                </c:pt>
                <c:pt idx="727">
                  <c:v>18.264399999999998</c:v>
                </c:pt>
                <c:pt idx="728">
                  <c:v>18.555499999999999</c:v>
                </c:pt>
                <c:pt idx="729">
                  <c:v>17.913399999999999</c:v>
                </c:pt>
                <c:pt idx="730">
                  <c:v>18.066199999999998</c:v>
                </c:pt>
                <c:pt idx="731">
                  <c:v>17.670000000000002</c:v>
                </c:pt>
                <c:pt idx="732">
                  <c:v>17.498999999999999</c:v>
                </c:pt>
                <c:pt idx="733">
                  <c:v>16.955500000000001</c:v>
                </c:pt>
                <c:pt idx="734">
                  <c:v>17.114799999999999</c:v>
                </c:pt>
                <c:pt idx="735">
                  <c:v>17.052399999999999</c:v>
                </c:pt>
                <c:pt idx="736">
                  <c:v>17.834399999999999</c:v>
                </c:pt>
                <c:pt idx="737">
                  <c:v>18.116599999999998</c:v>
                </c:pt>
                <c:pt idx="738">
                  <c:v>17.323499999999999</c:v>
                </c:pt>
                <c:pt idx="739">
                  <c:v>17.388000000000002</c:v>
                </c:pt>
                <c:pt idx="740">
                  <c:v>17.808800000000002</c:v>
                </c:pt>
                <c:pt idx="741">
                  <c:v>18.072399999999998</c:v>
                </c:pt>
                <c:pt idx="742">
                  <c:v>17.033300000000001</c:v>
                </c:pt>
                <c:pt idx="743">
                  <c:v>17.665500000000002</c:v>
                </c:pt>
                <c:pt idx="744">
                  <c:v>16.6371</c:v>
                </c:pt>
                <c:pt idx="745">
                  <c:v>15.1736</c:v>
                </c:pt>
                <c:pt idx="746">
                  <c:v>15.336600000000001</c:v>
                </c:pt>
                <c:pt idx="747">
                  <c:v>14.9177</c:v>
                </c:pt>
                <c:pt idx="748">
                  <c:v>15.07</c:v>
                </c:pt>
                <c:pt idx="749">
                  <c:v>14.3978</c:v>
                </c:pt>
                <c:pt idx="750">
                  <c:v>14.5334</c:v>
                </c:pt>
                <c:pt idx="751">
                  <c:v>15.022600000000001</c:v>
                </c:pt>
                <c:pt idx="752">
                  <c:v>14.947100000000001</c:v>
                </c:pt>
                <c:pt idx="753">
                  <c:v>14.0532</c:v>
                </c:pt>
                <c:pt idx="754">
                  <c:v>13.809200000000001</c:v>
                </c:pt>
                <c:pt idx="755">
                  <c:v>13.647399999999999</c:v>
                </c:pt>
                <c:pt idx="756">
                  <c:v>13.0105</c:v>
                </c:pt>
                <c:pt idx="757">
                  <c:v>13.718400000000001</c:v>
                </c:pt>
                <c:pt idx="758">
                  <c:v>13.716100000000001</c:v>
                </c:pt>
                <c:pt idx="759">
                  <c:v>13.8597</c:v>
                </c:pt>
                <c:pt idx="760">
                  <c:v>14.103999999999999</c:v>
                </c:pt>
                <c:pt idx="761">
                  <c:v>13.677899999999999</c:v>
                </c:pt>
                <c:pt idx="762">
                  <c:v>13.2888</c:v>
                </c:pt>
                <c:pt idx="763">
                  <c:v>13.141400000000001</c:v>
                </c:pt>
                <c:pt idx="764">
                  <c:v>13.066599999999999</c:v>
                </c:pt>
                <c:pt idx="765">
                  <c:v>13.3369</c:v>
                </c:pt>
                <c:pt idx="766">
                  <c:v>13.299799999999999</c:v>
                </c:pt>
                <c:pt idx="767">
                  <c:v>13.7798</c:v>
                </c:pt>
                <c:pt idx="768">
                  <c:v>13.2933</c:v>
                </c:pt>
                <c:pt idx="769">
                  <c:v>13.5</c:v>
                </c:pt>
                <c:pt idx="770">
                  <c:v>13.344099999999999</c:v>
                </c:pt>
                <c:pt idx="771">
                  <c:v>13.6158</c:v>
                </c:pt>
                <c:pt idx="772">
                  <c:v>12.381</c:v>
                </c:pt>
                <c:pt idx="773">
                  <c:v>13.4544</c:v>
                </c:pt>
                <c:pt idx="774">
                  <c:v>14.3949</c:v>
                </c:pt>
                <c:pt idx="775">
                  <c:v>14.3888</c:v>
                </c:pt>
                <c:pt idx="776">
                  <c:v>14.855499999999999</c:v>
                </c:pt>
                <c:pt idx="777">
                  <c:v>14.723800000000001</c:v>
                </c:pt>
                <c:pt idx="778">
                  <c:v>14.78</c:v>
                </c:pt>
                <c:pt idx="779">
                  <c:v>14.8088</c:v>
                </c:pt>
                <c:pt idx="780">
                  <c:v>15.3284</c:v>
                </c:pt>
                <c:pt idx="781">
                  <c:v>15.6121</c:v>
                </c:pt>
                <c:pt idx="782">
                  <c:v>15.6067</c:v>
                </c:pt>
                <c:pt idx="783">
                  <c:v>15.666600000000001</c:v>
                </c:pt>
                <c:pt idx="784">
                  <c:v>15.6555</c:v>
                </c:pt>
                <c:pt idx="785">
                  <c:v>15.1</c:v>
                </c:pt>
                <c:pt idx="786">
                  <c:v>15.254200000000001</c:v>
                </c:pt>
                <c:pt idx="787">
                  <c:v>15.1288</c:v>
                </c:pt>
                <c:pt idx="788">
                  <c:v>15.4297</c:v>
                </c:pt>
                <c:pt idx="789">
                  <c:v>15.7118</c:v>
                </c:pt>
                <c:pt idx="790">
                  <c:v>16.228100000000001</c:v>
                </c:pt>
                <c:pt idx="791">
                  <c:v>15.533300000000001</c:v>
                </c:pt>
                <c:pt idx="792">
                  <c:v>16.088799999999999</c:v>
                </c:pt>
                <c:pt idx="793">
                  <c:v>15.356400000000001</c:v>
                </c:pt>
                <c:pt idx="794">
                  <c:v>15.1457</c:v>
                </c:pt>
                <c:pt idx="795">
                  <c:v>14.9964</c:v>
                </c:pt>
                <c:pt idx="796">
                  <c:v>16.231999999999999</c:v>
                </c:pt>
                <c:pt idx="797">
                  <c:v>15.484999999999999</c:v>
                </c:pt>
                <c:pt idx="798">
                  <c:v>16.798500000000001</c:v>
                </c:pt>
                <c:pt idx="799">
                  <c:v>18.082599999999999</c:v>
                </c:pt>
                <c:pt idx="800">
                  <c:v>18.499700000000001</c:v>
                </c:pt>
                <c:pt idx="801">
                  <c:v>19.081700000000001</c:v>
                </c:pt>
                <c:pt idx="802">
                  <c:v>20.193999999999999</c:v>
                </c:pt>
                <c:pt idx="803">
                  <c:v>20.1631</c:v>
                </c:pt>
                <c:pt idx="804">
                  <c:v>20.273499999999999</c:v>
                </c:pt>
                <c:pt idx="805">
                  <c:v>21.316600000000001</c:v>
                </c:pt>
                <c:pt idx="806">
                  <c:v>21.384599999999999</c:v>
                </c:pt>
                <c:pt idx="807">
                  <c:v>20.979800000000001</c:v>
                </c:pt>
                <c:pt idx="808">
                  <c:v>20.088799999999999</c:v>
                </c:pt>
                <c:pt idx="809">
                  <c:v>20.433299999999999</c:v>
                </c:pt>
                <c:pt idx="810">
                  <c:v>19.6999</c:v>
                </c:pt>
                <c:pt idx="811">
                  <c:v>19.646000000000001</c:v>
                </c:pt>
                <c:pt idx="812">
                  <c:v>20.4208</c:v>
                </c:pt>
                <c:pt idx="813">
                  <c:v>20.7</c:v>
                </c:pt>
                <c:pt idx="814">
                  <c:v>20.658799999999999</c:v>
                </c:pt>
                <c:pt idx="815">
                  <c:v>20.613900000000001</c:v>
                </c:pt>
                <c:pt idx="816">
                  <c:v>20.1874</c:v>
                </c:pt>
                <c:pt idx="817">
                  <c:v>20.174499999999998</c:v>
                </c:pt>
                <c:pt idx="818">
                  <c:v>19.9999</c:v>
                </c:pt>
                <c:pt idx="819">
                  <c:v>19.9099</c:v>
                </c:pt>
                <c:pt idx="820">
                  <c:v>20.052</c:v>
                </c:pt>
                <c:pt idx="821">
                  <c:v>20.745200000000001</c:v>
                </c:pt>
                <c:pt idx="822">
                  <c:v>19.939</c:v>
                </c:pt>
                <c:pt idx="823">
                  <c:v>19.288799999999998</c:v>
                </c:pt>
                <c:pt idx="824">
                  <c:v>18.950099999999999</c:v>
                </c:pt>
                <c:pt idx="825">
                  <c:v>18.6188</c:v>
                </c:pt>
                <c:pt idx="826">
                  <c:v>16.9194</c:v>
                </c:pt>
                <c:pt idx="827">
                  <c:v>16.679600000000001</c:v>
                </c:pt>
                <c:pt idx="828">
                  <c:v>18.2286</c:v>
                </c:pt>
                <c:pt idx="829">
                  <c:v>18.255099999999999</c:v>
                </c:pt>
                <c:pt idx="830">
                  <c:v>18.499700000000001</c:v>
                </c:pt>
                <c:pt idx="831">
                  <c:v>18.222899999999999</c:v>
                </c:pt>
                <c:pt idx="832">
                  <c:v>18.218800000000002</c:v>
                </c:pt>
                <c:pt idx="833">
                  <c:v>18.518799999999999</c:v>
                </c:pt>
                <c:pt idx="834">
                  <c:v>17.740100000000002</c:v>
                </c:pt>
                <c:pt idx="835">
                  <c:v>18.564299999999999</c:v>
                </c:pt>
                <c:pt idx="836">
                  <c:v>18.4376</c:v>
                </c:pt>
                <c:pt idx="837">
                  <c:v>18.256</c:v>
                </c:pt>
                <c:pt idx="838">
                  <c:v>17.170000000000002</c:v>
                </c:pt>
                <c:pt idx="839">
                  <c:v>16.566600000000001</c:v>
                </c:pt>
                <c:pt idx="840">
                  <c:v>17.5288</c:v>
                </c:pt>
                <c:pt idx="841">
                  <c:v>17.717700000000001</c:v>
                </c:pt>
                <c:pt idx="842">
                  <c:v>16.0213</c:v>
                </c:pt>
                <c:pt idx="843">
                  <c:v>16.025500000000001</c:v>
                </c:pt>
                <c:pt idx="844">
                  <c:v>15.0688</c:v>
                </c:pt>
                <c:pt idx="845">
                  <c:v>15.6869</c:v>
                </c:pt>
                <c:pt idx="846">
                  <c:v>15.613300000000001</c:v>
                </c:pt>
                <c:pt idx="847">
                  <c:v>15.637700000000001</c:v>
                </c:pt>
                <c:pt idx="848">
                  <c:v>15.8742</c:v>
                </c:pt>
                <c:pt idx="849">
                  <c:v>15.856299999999999</c:v>
                </c:pt>
                <c:pt idx="850">
                  <c:v>15.834899999999999</c:v>
                </c:pt>
                <c:pt idx="851">
                  <c:v>15.1999</c:v>
                </c:pt>
                <c:pt idx="852">
                  <c:v>15.7346</c:v>
                </c:pt>
                <c:pt idx="853">
                  <c:v>15.666600000000001</c:v>
                </c:pt>
                <c:pt idx="854">
                  <c:v>15.2212</c:v>
                </c:pt>
                <c:pt idx="855">
                  <c:v>16.0321</c:v>
                </c:pt>
                <c:pt idx="856">
                  <c:v>15.8249</c:v>
                </c:pt>
                <c:pt idx="857">
                  <c:v>19.322800000000001</c:v>
                </c:pt>
                <c:pt idx="858">
                  <c:v>20.360199999999999</c:v>
                </c:pt>
                <c:pt idx="859">
                  <c:v>20.9666</c:v>
                </c:pt>
                <c:pt idx="860">
                  <c:v>21.269500000000001</c:v>
                </c:pt>
                <c:pt idx="861">
                  <c:v>21.537600000000001</c:v>
                </c:pt>
                <c:pt idx="862">
                  <c:v>22.201799999999999</c:v>
                </c:pt>
                <c:pt idx="863">
                  <c:v>21.0473</c:v>
                </c:pt>
                <c:pt idx="864">
                  <c:v>20.2422</c:v>
                </c:pt>
                <c:pt idx="865">
                  <c:v>20.290099999999999</c:v>
                </c:pt>
                <c:pt idx="866">
                  <c:v>20.955500000000001</c:v>
                </c:pt>
                <c:pt idx="867">
                  <c:v>20.788</c:v>
                </c:pt>
                <c:pt idx="868">
                  <c:v>20.82</c:v>
                </c:pt>
                <c:pt idx="869">
                  <c:v>20.7334</c:v>
                </c:pt>
                <c:pt idx="870">
                  <c:v>21.767900000000001</c:v>
                </c:pt>
                <c:pt idx="871">
                  <c:v>22.097799999999999</c:v>
                </c:pt>
                <c:pt idx="872">
                  <c:v>22.411100000000001</c:v>
                </c:pt>
                <c:pt idx="873">
                  <c:v>22.3996</c:v>
                </c:pt>
                <c:pt idx="874">
                  <c:v>21.990600000000001</c:v>
                </c:pt>
                <c:pt idx="875">
                  <c:v>22.6388</c:v>
                </c:pt>
                <c:pt idx="876">
                  <c:v>21.676400000000001</c:v>
                </c:pt>
                <c:pt idx="877">
                  <c:v>22.351099999999999</c:v>
                </c:pt>
                <c:pt idx="878">
                  <c:v>22.744900000000001</c:v>
                </c:pt>
                <c:pt idx="879">
                  <c:v>21.424800000000001</c:v>
                </c:pt>
                <c:pt idx="880">
                  <c:v>21.060400000000001</c:v>
                </c:pt>
                <c:pt idx="881">
                  <c:v>22.1448</c:v>
                </c:pt>
                <c:pt idx="882">
                  <c:v>21.777699999999999</c:v>
                </c:pt>
                <c:pt idx="883">
                  <c:v>23.3565</c:v>
                </c:pt>
                <c:pt idx="884">
                  <c:v>25.6051</c:v>
                </c:pt>
                <c:pt idx="885">
                  <c:v>26.125699999999998</c:v>
                </c:pt>
                <c:pt idx="886">
                  <c:v>26.088799999999999</c:v>
                </c:pt>
                <c:pt idx="887">
                  <c:v>26.281400000000001</c:v>
                </c:pt>
                <c:pt idx="888">
                  <c:v>26.94</c:v>
                </c:pt>
                <c:pt idx="889">
                  <c:v>26.973099999999999</c:v>
                </c:pt>
                <c:pt idx="890">
                  <c:v>26.925000000000001</c:v>
                </c:pt>
                <c:pt idx="891">
                  <c:v>28.028600000000001</c:v>
                </c:pt>
                <c:pt idx="892">
                  <c:v>28.793099999999999</c:v>
                </c:pt>
                <c:pt idx="893">
                  <c:v>27.8977</c:v>
                </c:pt>
                <c:pt idx="894">
                  <c:v>27.503799999999998</c:v>
                </c:pt>
                <c:pt idx="895">
                  <c:v>27.511099999999999</c:v>
                </c:pt>
                <c:pt idx="896">
                  <c:v>28.105799999999999</c:v>
                </c:pt>
                <c:pt idx="897">
                  <c:v>27.025600000000001</c:v>
                </c:pt>
                <c:pt idx="898">
                  <c:v>29.4512</c:v>
                </c:pt>
                <c:pt idx="899">
                  <c:v>30.185600000000001</c:v>
                </c:pt>
                <c:pt idx="900">
                  <c:v>30.2439</c:v>
                </c:pt>
                <c:pt idx="901">
                  <c:v>29.6661</c:v>
                </c:pt>
                <c:pt idx="902">
                  <c:v>29.8188</c:v>
                </c:pt>
                <c:pt idx="903">
                  <c:v>31.107399999999998</c:v>
                </c:pt>
                <c:pt idx="904">
                  <c:v>29.6694</c:v>
                </c:pt>
                <c:pt idx="905">
                  <c:v>27.6523</c:v>
                </c:pt>
                <c:pt idx="906">
                  <c:v>28.011399999999998</c:v>
                </c:pt>
                <c:pt idx="907">
                  <c:v>27.383400000000002</c:v>
                </c:pt>
                <c:pt idx="908">
                  <c:v>27.7333</c:v>
                </c:pt>
                <c:pt idx="909">
                  <c:v>28.14</c:v>
                </c:pt>
                <c:pt idx="910">
                  <c:v>28.7088</c:v>
                </c:pt>
                <c:pt idx="911">
                  <c:v>27.75</c:v>
                </c:pt>
                <c:pt idx="912">
                  <c:v>26.986699999999999</c:v>
                </c:pt>
                <c:pt idx="913">
                  <c:v>26.952500000000001</c:v>
                </c:pt>
                <c:pt idx="914">
                  <c:v>27.755500000000001</c:v>
                </c:pt>
                <c:pt idx="915">
                  <c:v>27.7498</c:v>
                </c:pt>
                <c:pt idx="916">
                  <c:v>28.9</c:v>
                </c:pt>
                <c:pt idx="917">
                  <c:v>28.922699999999999</c:v>
                </c:pt>
                <c:pt idx="918">
                  <c:v>28.8261</c:v>
                </c:pt>
                <c:pt idx="919">
                  <c:v>29.492899999999999</c:v>
                </c:pt>
                <c:pt idx="920">
                  <c:v>30.885000000000002</c:v>
                </c:pt>
                <c:pt idx="921">
                  <c:v>30.438800000000001</c:v>
                </c:pt>
                <c:pt idx="922">
                  <c:v>31.0932</c:v>
                </c:pt>
                <c:pt idx="923">
                  <c:v>29.009599999999999</c:v>
                </c:pt>
                <c:pt idx="924">
                  <c:v>28.955500000000001</c:v>
                </c:pt>
                <c:pt idx="925">
                  <c:v>27.628699999999998</c:v>
                </c:pt>
                <c:pt idx="926">
                  <c:v>25.060099999999998</c:v>
                </c:pt>
                <c:pt idx="927">
                  <c:v>28.646999999999998</c:v>
                </c:pt>
                <c:pt idx="928">
                  <c:v>28.544699999999999</c:v>
                </c:pt>
                <c:pt idx="929">
                  <c:v>31.488800000000001</c:v>
                </c:pt>
                <c:pt idx="930">
                  <c:v>31.8888</c:v>
                </c:pt>
                <c:pt idx="931">
                  <c:v>29.418099999999999</c:v>
                </c:pt>
                <c:pt idx="932">
                  <c:v>31.222000000000001</c:v>
                </c:pt>
                <c:pt idx="933">
                  <c:v>32.481099999999998</c:v>
                </c:pt>
                <c:pt idx="934">
                  <c:v>33.388800000000003</c:v>
                </c:pt>
                <c:pt idx="935">
                  <c:v>32.934399999999997</c:v>
                </c:pt>
                <c:pt idx="936">
                  <c:v>32.588799999999999</c:v>
                </c:pt>
                <c:pt idx="937">
                  <c:v>32.556600000000003</c:v>
                </c:pt>
                <c:pt idx="938">
                  <c:v>33.088799999999999</c:v>
                </c:pt>
                <c:pt idx="939">
                  <c:v>32.521999999999998</c:v>
                </c:pt>
                <c:pt idx="940">
                  <c:v>31.977699999999999</c:v>
                </c:pt>
                <c:pt idx="941">
                  <c:v>33.277700000000003</c:v>
                </c:pt>
                <c:pt idx="942">
                  <c:v>32.113999999999997</c:v>
                </c:pt>
                <c:pt idx="943">
                  <c:v>35.5</c:v>
                </c:pt>
                <c:pt idx="944">
                  <c:v>34.628900000000002</c:v>
                </c:pt>
                <c:pt idx="945">
                  <c:v>34.399900000000002</c:v>
                </c:pt>
                <c:pt idx="946">
                  <c:v>36.118899999999996</c:v>
                </c:pt>
                <c:pt idx="947">
                  <c:v>36.094099999999997</c:v>
                </c:pt>
                <c:pt idx="948">
                  <c:v>37.43</c:v>
                </c:pt>
                <c:pt idx="949">
                  <c:v>37.2836</c:v>
                </c:pt>
                <c:pt idx="950">
                  <c:v>38.000100000000003</c:v>
                </c:pt>
                <c:pt idx="951">
                  <c:v>38.676600000000001</c:v>
                </c:pt>
                <c:pt idx="952">
                  <c:v>36.838099999999997</c:v>
                </c:pt>
                <c:pt idx="953">
                  <c:v>35.188800000000001</c:v>
                </c:pt>
                <c:pt idx="954">
                  <c:v>34.433300000000003</c:v>
                </c:pt>
                <c:pt idx="955">
                  <c:v>33.828600000000002</c:v>
                </c:pt>
                <c:pt idx="956">
                  <c:v>32.188800000000001</c:v>
                </c:pt>
                <c:pt idx="957">
                  <c:v>32.674300000000002</c:v>
                </c:pt>
                <c:pt idx="958">
                  <c:v>32.380299999999998</c:v>
                </c:pt>
                <c:pt idx="959">
                  <c:v>35.250999999999998</c:v>
                </c:pt>
                <c:pt idx="960">
                  <c:v>34.888800000000003</c:v>
                </c:pt>
                <c:pt idx="961">
                  <c:v>31.8889</c:v>
                </c:pt>
                <c:pt idx="962">
                  <c:v>32.027099999999997</c:v>
                </c:pt>
                <c:pt idx="963">
                  <c:v>30.094999999999999</c:v>
                </c:pt>
                <c:pt idx="964">
                  <c:v>31.7333</c:v>
                </c:pt>
                <c:pt idx="965">
                  <c:v>31.309799999999999</c:v>
                </c:pt>
                <c:pt idx="966">
                  <c:v>31.088799999999999</c:v>
                </c:pt>
                <c:pt idx="967">
                  <c:v>30.8886</c:v>
                </c:pt>
                <c:pt idx="968">
                  <c:v>29.259599999999999</c:v>
                </c:pt>
                <c:pt idx="969">
                  <c:v>30.756399999999999</c:v>
                </c:pt>
                <c:pt idx="970">
                  <c:v>33.152700000000003</c:v>
                </c:pt>
                <c:pt idx="971">
                  <c:v>33.3521</c:v>
                </c:pt>
                <c:pt idx="972">
                  <c:v>32.886200000000002</c:v>
                </c:pt>
                <c:pt idx="973">
                  <c:v>31.666599999999999</c:v>
                </c:pt>
                <c:pt idx="974">
                  <c:v>33.6066</c:v>
                </c:pt>
                <c:pt idx="975">
                  <c:v>33.1068</c:v>
                </c:pt>
                <c:pt idx="976">
                  <c:v>33.511000000000003</c:v>
                </c:pt>
                <c:pt idx="977">
                  <c:v>33.091900000000003</c:v>
                </c:pt>
                <c:pt idx="978">
                  <c:v>35.016800000000003</c:v>
                </c:pt>
                <c:pt idx="979">
                  <c:v>33.9435</c:v>
                </c:pt>
                <c:pt idx="980">
                  <c:v>31.3934</c:v>
                </c:pt>
                <c:pt idx="981">
                  <c:v>30.806699999999999</c:v>
                </c:pt>
                <c:pt idx="982">
                  <c:v>32.390700000000002</c:v>
                </c:pt>
                <c:pt idx="983">
                  <c:v>29.2666</c:v>
                </c:pt>
                <c:pt idx="984">
                  <c:v>29.112200000000001</c:v>
                </c:pt>
                <c:pt idx="985">
                  <c:v>28.8171</c:v>
                </c:pt>
                <c:pt idx="986">
                  <c:v>25.779499999999999</c:v>
                </c:pt>
                <c:pt idx="987">
                  <c:v>26.288799999999998</c:v>
                </c:pt>
                <c:pt idx="988">
                  <c:v>26.811599999999999</c:v>
                </c:pt>
                <c:pt idx="989">
                  <c:v>23.6553</c:v>
                </c:pt>
                <c:pt idx="990">
                  <c:v>23.521000000000001</c:v>
                </c:pt>
                <c:pt idx="991">
                  <c:v>20.8934</c:v>
                </c:pt>
                <c:pt idx="992">
                  <c:v>20.805900000000001</c:v>
                </c:pt>
                <c:pt idx="993">
                  <c:v>19.616599999999998</c:v>
                </c:pt>
                <c:pt idx="994">
                  <c:v>18.838799999999999</c:v>
                </c:pt>
                <c:pt idx="995">
                  <c:v>20.667300000000001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BA-4F5F-92BE-E081F96E4B3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5.5747826333679926</c:v>
                </c:pt>
                <c:pt idx="1">
                  <c:v>5.5752720858231539</c:v>
                </c:pt>
                <c:pt idx="2">
                  <c:v>5.5808186067118211</c:v>
                </c:pt>
                <c:pt idx="3">
                  <c:v>5.5735156815057474</c:v>
                </c:pt>
                <c:pt idx="4">
                  <c:v>5.5645688386115797</c:v>
                </c:pt>
                <c:pt idx="5">
                  <c:v>5.5556442244624966</c:v>
                </c:pt>
                <c:pt idx="6">
                  <c:v>5.5602429425281263</c:v>
                </c:pt>
                <c:pt idx="7">
                  <c:v>5.5737132626264341</c:v>
                </c:pt>
                <c:pt idx="8">
                  <c:v>5.583968004263717</c:v>
                </c:pt>
                <c:pt idx="9">
                  <c:v>5.5848738036967065</c:v>
                </c:pt>
                <c:pt idx="10">
                  <c:v>5.5829787384484924</c:v>
                </c:pt>
                <c:pt idx="11">
                  <c:v>5.5866500968789268</c:v>
                </c:pt>
                <c:pt idx="12">
                  <c:v>5.5858924474173168</c:v>
                </c:pt>
                <c:pt idx="13">
                  <c:v>5.5848227988454306</c:v>
                </c:pt>
                <c:pt idx="14">
                  <c:v>5.578336909842152</c:v>
                </c:pt>
                <c:pt idx="15">
                  <c:v>5.5806362713564432</c:v>
                </c:pt>
                <c:pt idx="16">
                  <c:v>5.5733295940577046</c:v>
                </c:pt>
                <c:pt idx="17">
                  <c:v>5.5629061574874887</c:v>
                </c:pt>
                <c:pt idx="18">
                  <c:v>5.5634265981026765</c:v>
                </c:pt>
                <c:pt idx="19">
                  <c:v>5.5611044344756486</c:v>
                </c:pt>
                <c:pt idx="20">
                  <c:v>5.5646470631056495</c:v>
                </c:pt>
                <c:pt idx="21">
                  <c:v>5.57020617092323</c:v>
                </c:pt>
                <c:pt idx="22">
                  <c:v>5.5679697191498976</c:v>
                </c:pt>
                <c:pt idx="23">
                  <c:v>5.5721106970650158</c:v>
                </c:pt>
                <c:pt idx="24">
                  <c:v>5.5752423528603492</c:v>
                </c:pt>
                <c:pt idx="25">
                  <c:v>5.5807743613686824</c:v>
                </c:pt>
                <c:pt idx="26">
                  <c:v>5.5782050513283687</c:v>
                </c:pt>
                <c:pt idx="27">
                  <c:v>5.5740678243118227</c:v>
                </c:pt>
                <c:pt idx="28">
                  <c:v>5.5775634362461277</c:v>
                </c:pt>
                <c:pt idx="29">
                  <c:v>5.577268436222897</c:v>
                </c:pt>
                <c:pt idx="30">
                  <c:v>5.5826110089052152</c:v>
                </c:pt>
                <c:pt idx="31">
                  <c:v>5.589342052424394</c:v>
                </c:pt>
                <c:pt idx="32">
                  <c:v>5.5859228640226988</c:v>
                </c:pt>
                <c:pt idx="33">
                  <c:v>5.5828301075829181</c:v>
                </c:pt>
                <c:pt idx="34">
                  <c:v>5.5807528453692328</c:v>
                </c:pt>
                <c:pt idx="35">
                  <c:v>5.5837288641657032</c:v>
                </c:pt>
                <c:pt idx="36">
                  <c:v>5.5774329973001917</c:v>
                </c:pt>
                <c:pt idx="37">
                  <c:v>5.5794604891794055</c:v>
                </c:pt>
                <c:pt idx="38">
                  <c:v>5.576518604716548</c:v>
                </c:pt>
                <c:pt idx="39">
                  <c:v>5.5746252307401098</c:v>
                </c:pt>
                <c:pt idx="40">
                  <c:v>5.5783414472369888</c:v>
                </c:pt>
                <c:pt idx="41">
                  <c:v>5.5745227886975144</c:v>
                </c:pt>
                <c:pt idx="42">
                  <c:v>5.5729617896634016</c:v>
                </c:pt>
                <c:pt idx="43">
                  <c:v>5.5793122447226215</c:v>
                </c:pt>
                <c:pt idx="44">
                  <c:v>5.5706867970863687</c:v>
                </c:pt>
                <c:pt idx="45">
                  <c:v>5.5655057746799708</c:v>
                </c:pt>
                <c:pt idx="46">
                  <c:v>5.5725163023586122</c:v>
                </c:pt>
                <c:pt idx="47">
                  <c:v>5.5702310686915144</c:v>
                </c:pt>
                <c:pt idx="48">
                  <c:v>5.5696522366209482</c:v>
                </c:pt>
                <c:pt idx="49">
                  <c:v>5.579422041374178</c:v>
                </c:pt>
                <c:pt idx="50">
                  <c:v>5.5892761855996547</c:v>
                </c:pt>
                <c:pt idx="51">
                  <c:v>5.5783633839074875</c:v>
                </c:pt>
                <c:pt idx="52">
                  <c:v>5.5824978766438811</c:v>
                </c:pt>
                <c:pt idx="53">
                  <c:v>5.5661161236992145</c:v>
                </c:pt>
                <c:pt idx="54">
                  <c:v>5.5679992306911377</c:v>
                </c:pt>
                <c:pt idx="55">
                  <c:v>5.5552826810990039</c:v>
                </c:pt>
                <c:pt idx="56">
                  <c:v>5.5580625703590041</c:v>
                </c:pt>
                <c:pt idx="57">
                  <c:v>5.556583976108846</c:v>
                </c:pt>
                <c:pt idx="58">
                  <c:v>5.5622780628591633</c:v>
                </c:pt>
                <c:pt idx="59">
                  <c:v>5.5591247122674972</c:v>
                </c:pt>
                <c:pt idx="60">
                  <c:v>5.5526771071591758</c:v>
                </c:pt>
                <c:pt idx="61">
                  <c:v>5.5408584470204101</c:v>
                </c:pt>
                <c:pt idx="62">
                  <c:v>5.5421126543527102</c:v>
                </c:pt>
                <c:pt idx="63">
                  <c:v>5.5543478505482815</c:v>
                </c:pt>
                <c:pt idx="64">
                  <c:v>5.5443355954502627</c:v>
                </c:pt>
                <c:pt idx="65">
                  <c:v>5.5442109468888336</c:v>
                </c:pt>
                <c:pt idx="66">
                  <c:v>5.539283333513441</c:v>
                </c:pt>
                <c:pt idx="67">
                  <c:v>5.5467340455098126</c:v>
                </c:pt>
                <c:pt idx="68">
                  <c:v>5.5531005486182501</c:v>
                </c:pt>
                <c:pt idx="69">
                  <c:v>5.5422530534358891</c:v>
                </c:pt>
                <c:pt idx="70">
                  <c:v>5.5311456757425779</c:v>
                </c:pt>
                <c:pt idx="71">
                  <c:v>5.5388901398869246</c:v>
                </c:pt>
                <c:pt idx="72">
                  <c:v>5.5352659591713724</c:v>
                </c:pt>
                <c:pt idx="73">
                  <c:v>5.546539142820885</c:v>
                </c:pt>
                <c:pt idx="74">
                  <c:v>5.5537920777095149</c:v>
                </c:pt>
                <c:pt idx="75">
                  <c:v>5.5516428310121935</c:v>
                </c:pt>
                <c:pt idx="76">
                  <c:v>5.5454386984498214</c:v>
                </c:pt>
                <c:pt idx="77">
                  <c:v>5.5401511856005135</c:v>
                </c:pt>
                <c:pt idx="78">
                  <c:v>5.5346549547228525</c:v>
                </c:pt>
                <c:pt idx="79">
                  <c:v>5.5362092190679251</c:v>
                </c:pt>
                <c:pt idx="80">
                  <c:v>5.542802614552925</c:v>
                </c:pt>
                <c:pt idx="81">
                  <c:v>5.5321997981176212</c:v>
                </c:pt>
                <c:pt idx="82">
                  <c:v>5.5324281032591722</c:v>
                </c:pt>
                <c:pt idx="83">
                  <c:v>5.5188282430314208</c:v>
                </c:pt>
                <c:pt idx="84">
                  <c:v>5.5050126975397209</c:v>
                </c:pt>
                <c:pt idx="85">
                  <c:v>5.5029733871991278</c:v>
                </c:pt>
                <c:pt idx="86">
                  <c:v>5.4916627170432024</c:v>
                </c:pt>
                <c:pt idx="87">
                  <c:v>5.4884525660525023</c:v>
                </c:pt>
                <c:pt idx="88">
                  <c:v>5.4760837147619226</c:v>
                </c:pt>
                <c:pt idx="89">
                  <c:v>5.4740144976582057</c:v>
                </c:pt>
                <c:pt idx="90">
                  <c:v>5.4718822549368333</c:v>
                </c:pt>
                <c:pt idx="91">
                  <c:v>5.4597951373106728</c:v>
                </c:pt>
                <c:pt idx="92">
                  <c:v>5.4463822984148882</c:v>
                </c:pt>
                <c:pt idx="93">
                  <c:v>5.4529016898434985</c:v>
                </c:pt>
                <c:pt idx="94">
                  <c:v>5.4559621391112278</c:v>
                </c:pt>
                <c:pt idx="95">
                  <c:v>5.452824293319213</c:v>
                </c:pt>
                <c:pt idx="96">
                  <c:v>5.453677520797128</c:v>
                </c:pt>
                <c:pt idx="97">
                  <c:v>5.4486171932425478</c:v>
                </c:pt>
                <c:pt idx="98">
                  <c:v>5.4527566269582248</c:v>
                </c:pt>
                <c:pt idx="99">
                  <c:v>5.4666096926481735</c:v>
                </c:pt>
                <c:pt idx="100">
                  <c:v>5.4606849937554909</c:v>
                </c:pt>
                <c:pt idx="101">
                  <c:v>5.4615816651123126</c:v>
                </c:pt>
                <c:pt idx="102">
                  <c:v>5.4534505824284434</c:v>
                </c:pt>
                <c:pt idx="103">
                  <c:v>5.4460125221510811</c:v>
                </c:pt>
                <c:pt idx="104">
                  <c:v>5.4419821471191678</c:v>
                </c:pt>
                <c:pt idx="105">
                  <c:v>5.4307816274510063</c:v>
                </c:pt>
                <c:pt idx="106">
                  <c:v>5.429853929166284</c:v>
                </c:pt>
                <c:pt idx="107">
                  <c:v>5.3977339598086882</c:v>
                </c:pt>
                <c:pt idx="108">
                  <c:v>5.3782932752080947</c:v>
                </c:pt>
                <c:pt idx="109">
                  <c:v>5.377539630695038</c:v>
                </c:pt>
                <c:pt idx="110">
                  <c:v>5.3833243762636593</c:v>
                </c:pt>
                <c:pt idx="111">
                  <c:v>5.3821865539168581</c:v>
                </c:pt>
                <c:pt idx="112">
                  <c:v>5.3931762777211834</c:v>
                </c:pt>
                <c:pt idx="113">
                  <c:v>5.3916834990348272</c:v>
                </c:pt>
                <c:pt idx="114">
                  <c:v>5.3862334667213387</c:v>
                </c:pt>
                <c:pt idx="115">
                  <c:v>5.3790754981145392</c:v>
                </c:pt>
                <c:pt idx="116">
                  <c:v>5.3732100498550386</c:v>
                </c:pt>
                <c:pt idx="117">
                  <c:v>5.3727441787081593</c:v>
                </c:pt>
                <c:pt idx="118">
                  <c:v>5.3707113398685946</c:v>
                </c:pt>
                <c:pt idx="119">
                  <c:v>5.3576142508084263</c:v>
                </c:pt>
                <c:pt idx="120">
                  <c:v>5.347328202023248</c:v>
                </c:pt>
                <c:pt idx="121">
                  <c:v>5.3362746053499448</c:v>
                </c:pt>
                <c:pt idx="122">
                  <c:v>5.3417060191528218</c:v>
                </c:pt>
                <c:pt idx="123">
                  <c:v>5.3508482102547674</c:v>
                </c:pt>
                <c:pt idx="124">
                  <c:v>5.3438538504284043</c:v>
                </c:pt>
                <c:pt idx="125">
                  <c:v>5.3463542075656765</c:v>
                </c:pt>
                <c:pt idx="126">
                  <c:v>5.3493133288324284</c:v>
                </c:pt>
                <c:pt idx="127">
                  <c:v>5.3407904548847354</c:v>
                </c:pt>
                <c:pt idx="128">
                  <c:v>5.3304578420130326</c:v>
                </c:pt>
                <c:pt idx="129">
                  <c:v>5.3401133060503803</c:v>
                </c:pt>
                <c:pt idx="130">
                  <c:v>5.3449389388818602</c:v>
                </c:pt>
                <c:pt idx="131">
                  <c:v>5.3470489637686507</c:v>
                </c:pt>
                <c:pt idx="132">
                  <c:v>5.3470886113221097</c:v>
                </c:pt>
                <c:pt idx="133">
                  <c:v>5.3514411964769533</c:v>
                </c:pt>
                <c:pt idx="134">
                  <c:v>5.3525103191779841</c:v>
                </c:pt>
                <c:pt idx="135">
                  <c:v>5.3462670676058011</c:v>
                </c:pt>
                <c:pt idx="136">
                  <c:v>5.3373525563350643</c:v>
                </c:pt>
                <c:pt idx="137">
                  <c:v>5.3392306070804327</c:v>
                </c:pt>
                <c:pt idx="138">
                  <c:v>5.3336516778285228</c:v>
                </c:pt>
                <c:pt idx="139">
                  <c:v>5.3361892872297734</c:v>
                </c:pt>
                <c:pt idx="140">
                  <c:v>5.3460510667059209</c:v>
                </c:pt>
                <c:pt idx="141">
                  <c:v>5.3445880058542077</c:v>
                </c:pt>
                <c:pt idx="142">
                  <c:v>5.3340095665389295</c:v>
                </c:pt>
                <c:pt idx="143">
                  <c:v>5.3430122357343324</c:v>
                </c:pt>
                <c:pt idx="144">
                  <c:v>5.3448896910368671</c:v>
                </c:pt>
                <c:pt idx="145">
                  <c:v>5.336523919179724</c:v>
                </c:pt>
                <c:pt idx="146">
                  <c:v>5.3363723084557115</c:v>
                </c:pt>
                <c:pt idx="147">
                  <c:v>5.3318964254202568</c:v>
                </c:pt>
                <c:pt idx="148">
                  <c:v>5.3390345957167513</c:v>
                </c:pt>
                <c:pt idx="149">
                  <c:v>5.3262823231729106</c:v>
                </c:pt>
                <c:pt idx="150">
                  <c:v>5.3253839373623162</c:v>
                </c:pt>
                <c:pt idx="151">
                  <c:v>5.3335308472906684</c:v>
                </c:pt>
                <c:pt idx="152">
                  <c:v>5.3384623549603756</c:v>
                </c:pt>
                <c:pt idx="153">
                  <c:v>5.3426486111700484</c:v>
                </c:pt>
                <c:pt idx="154">
                  <c:v>5.327706182542185</c:v>
                </c:pt>
                <c:pt idx="155">
                  <c:v>5.3435575433968436</c:v>
                </c:pt>
                <c:pt idx="156">
                  <c:v>5.3257476174080995</c:v>
                </c:pt>
                <c:pt idx="157">
                  <c:v>5.3364098674474754</c:v>
                </c:pt>
                <c:pt idx="158">
                  <c:v>5.3186822586083675</c:v>
                </c:pt>
                <c:pt idx="159">
                  <c:v>5.3162749879421733</c:v>
                </c:pt>
                <c:pt idx="160">
                  <c:v>5.3214453722118789</c:v>
                </c:pt>
                <c:pt idx="161">
                  <c:v>5.3074058624396976</c:v>
                </c:pt>
                <c:pt idx="162">
                  <c:v>5.2892675886875713</c:v>
                </c:pt>
                <c:pt idx="163">
                  <c:v>5.2928676197950111</c:v>
                </c:pt>
                <c:pt idx="164">
                  <c:v>5.3094583943270379</c:v>
                </c:pt>
                <c:pt idx="165">
                  <c:v>5.3210008592321545</c:v>
                </c:pt>
                <c:pt idx="166">
                  <c:v>5.3100453358775548</c:v>
                </c:pt>
                <c:pt idx="167">
                  <c:v>5.3111630796538023</c:v>
                </c:pt>
                <c:pt idx="168">
                  <c:v>5.2991635661717087</c:v>
                </c:pt>
                <c:pt idx="169">
                  <c:v>5.3025858625872599</c:v>
                </c:pt>
                <c:pt idx="170">
                  <c:v>5.3015138207135886</c:v>
                </c:pt>
                <c:pt idx="171">
                  <c:v>5.2903408688778431</c:v>
                </c:pt>
                <c:pt idx="172">
                  <c:v>5.2810293762587683</c:v>
                </c:pt>
                <c:pt idx="173">
                  <c:v>5.2884430005555148</c:v>
                </c:pt>
                <c:pt idx="174">
                  <c:v>5.2786582383964227</c:v>
                </c:pt>
                <c:pt idx="175">
                  <c:v>5.2734996285686719</c:v>
                </c:pt>
                <c:pt idx="176">
                  <c:v>5.2642629525156188</c:v>
                </c:pt>
                <c:pt idx="177">
                  <c:v>5.2574515751731798</c:v>
                </c:pt>
                <c:pt idx="178">
                  <c:v>5.260380622618456</c:v>
                </c:pt>
                <c:pt idx="179">
                  <c:v>5.2632048559525551</c:v>
                </c:pt>
                <c:pt idx="180">
                  <c:v>5.2725528145217515</c:v>
                </c:pt>
                <c:pt idx="181">
                  <c:v>5.2665720803620006</c:v>
                </c:pt>
                <c:pt idx="182">
                  <c:v>5.2576963856247545</c:v>
                </c:pt>
                <c:pt idx="183">
                  <c:v>5.2533030697860834</c:v>
                </c:pt>
                <c:pt idx="184">
                  <c:v>5.2521761136066827</c:v>
                </c:pt>
                <c:pt idx="185">
                  <c:v>5.24334675484962</c:v>
                </c:pt>
                <c:pt idx="186">
                  <c:v>5.2633788436956195</c:v>
                </c:pt>
                <c:pt idx="187">
                  <c:v>5.2559103580012563</c:v>
                </c:pt>
                <c:pt idx="188">
                  <c:v>5.2560267739706008</c:v>
                </c:pt>
                <c:pt idx="189">
                  <c:v>5.2431886955867224</c:v>
                </c:pt>
                <c:pt idx="190">
                  <c:v>5.2421563456905504</c:v>
                </c:pt>
                <c:pt idx="191">
                  <c:v>5.2299482286771708</c:v>
                </c:pt>
                <c:pt idx="192">
                  <c:v>5.2356568219928423</c:v>
                </c:pt>
                <c:pt idx="193">
                  <c:v>5.2470616388392566</c:v>
                </c:pt>
                <c:pt idx="194">
                  <c:v>5.249925217329654</c:v>
                </c:pt>
                <c:pt idx="195">
                  <c:v>5.250515046171615</c:v>
                </c:pt>
                <c:pt idx="196">
                  <c:v>5.2632493497773218</c:v>
                </c:pt>
                <c:pt idx="197">
                  <c:v>5.2570099602868892</c:v>
                </c:pt>
                <c:pt idx="198">
                  <c:v>5.2477087738617127</c:v>
                </c:pt>
                <c:pt idx="199">
                  <c:v>5.2517108169558293</c:v>
                </c:pt>
                <c:pt idx="200">
                  <c:v>5.2571969999927477</c:v>
                </c:pt>
                <c:pt idx="201">
                  <c:v>5.2543017376059247</c:v>
                </c:pt>
                <c:pt idx="202">
                  <c:v>5.2541284502902155</c:v>
                </c:pt>
                <c:pt idx="203">
                  <c:v>5.2462151217441262</c:v>
                </c:pt>
                <c:pt idx="204">
                  <c:v>5.2547290403420819</c:v>
                </c:pt>
                <c:pt idx="205">
                  <c:v>5.2573522728284292</c:v>
                </c:pt>
                <c:pt idx="206">
                  <c:v>5.2418354525063853</c:v>
                </c:pt>
                <c:pt idx="207">
                  <c:v>5.2373263099580116</c:v>
                </c:pt>
                <c:pt idx="208">
                  <c:v>5.2327817695649861</c:v>
                </c:pt>
                <c:pt idx="209">
                  <c:v>5.2276682663846854</c:v>
                </c:pt>
                <c:pt idx="210">
                  <c:v>5.2226306200571537</c:v>
                </c:pt>
                <c:pt idx="211">
                  <c:v>5.2287505554522449</c:v>
                </c:pt>
                <c:pt idx="212">
                  <c:v>5.2101981723538717</c:v>
                </c:pt>
                <c:pt idx="213">
                  <c:v>5.2127823127122719</c:v>
                </c:pt>
                <c:pt idx="214">
                  <c:v>5.2168133159703514</c:v>
                </c:pt>
                <c:pt idx="215">
                  <c:v>5.2025772697899253</c:v>
                </c:pt>
                <c:pt idx="216">
                  <c:v>5.1984886494787848</c:v>
                </c:pt>
                <c:pt idx="217">
                  <c:v>5.2179786386873239</c:v>
                </c:pt>
                <c:pt idx="218">
                  <c:v>5.2034775999554004</c:v>
                </c:pt>
                <c:pt idx="219">
                  <c:v>5.1856475907659627</c:v>
                </c:pt>
                <c:pt idx="220">
                  <c:v>5.1795105182823784</c:v>
                </c:pt>
                <c:pt idx="221">
                  <c:v>5.2145812889623642</c:v>
                </c:pt>
                <c:pt idx="222">
                  <c:v>5.1999816079833732</c:v>
                </c:pt>
                <c:pt idx="223">
                  <c:v>5.2061988295487236</c:v>
                </c:pt>
                <c:pt idx="224">
                  <c:v>5.2115067394940677</c:v>
                </c:pt>
                <c:pt idx="225">
                  <c:v>5.2134601473770559</c:v>
                </c:pt>
                <c:pt idx="226">
                  <c:v>5.2237138912682664</c:v>
                </c:pt>
                <c:pt idx="227">
                  <c:v>5.2330228367138112</c:v>
                </c:pt>
                <c:pt idx="228">
                  <c:v>5.2259296949157736</c:v>
                </c:pt>
                <c:pt idx="229">
                  <c:v>5.2096022670177788</c:v>
                </c:pt>
                <c:pt idx="230">
                  <c:v>5.1979698051196186</c:v>
                </c:pt>
                <c:pt idx="231">
                  <c:v>5.2115719315084776</c:v>
                </c:pt>
                <c:pt idx="232">
                  <c:v>5.2244504320375684</c:v>
                </c:pt>
                <c:pt idx="233">
                  <c:v>5.1945005161619315</c:v>
                </c:pt>
                <c:pt idx="234">
                  <c:v>5.1738867932351269</c:v>
                </c:pt>
                <c:pt idx="235">
                  <c:v>5.1991963341829521</c:v>
                </c:pt>
                <c:pt idx="236">
                  <c:v>5.1935774353014708</c:v>
                </c:pt>
                <c:pt idx="237">
                  <c:v>5.2085428870974617</c:v>
                </c:pt>
                <c:pt idx="238">
                  <c:v>5.2185492427864064</c:v>
                </c:pt>
                <c:pt idx="239">
                  <c:v>5.185545336427098</c:v>
                </c:pt>
                <c:pt idx="240">
                  <c:v>5.1644721828781748</c:v>
                </c:pt>
                <c:pt idx="241">
                  <c:v>5.1338410968210164</c:v>
                </c:pt>
                <c:pt idx="242">
                  <c:v>5.0972697860562315</c:v>
                </c:pt>
                <c:pt idx="243">
                  <c:v>5.080051147258879</c:v>
                </c:pt>
                <c:pt idx="244">
                  <c:v>5.1034149242025881</c:v>
                </c:pt>
                <c:pt idx="245">
                  <c:v>5.127670803133225</c:v>
                </c:pt>
                <c:pt idx="246">
                  <c:v>5.1170801930225238</c:v>
                </c:pt>
                <c:pt idx="247">
                  <c:v>5.0824061252824571</c:v>
                </c:pt>
                <c:pt idx="248">
                  <c:v>5.0806648936782741</c:v>
                </c:pt>
                <c:pt idx="249">
                  <c:v>5.010064350977725</c:v>
                </c:pt>
                <c:pt idx="250">
                  <c:v>5.0132734182759719</c:v>
                </c:pt>
                <c:pt idx="251">
                  <c:v>5.0348393455921814</c:v>
                </c:pt>
                <c:pt idx="252">
                  <c:v>5.0583183867742294</c:v>
                </c:pt>
                <c:pt idx="253">
                  <c:v>5.0151401271010432</c:v>
                </c:pt>
                <c:pt idx="254">
                  <c:v>5.0768340853163529</c:v>
                </c:pt>
                <c:pt idx="255">
                  <c:v>5.0819290204627556</c:v>
                </c:pt>
                <c:pt idx="256">
                  <c:v>5.0935338286498126</c:v>
                </c:pt>
                <c:pt idx="257">
                  <c:v>5.098856868548248</c:v>
                </c:pt>
                <c:pt idx="258">
                  <c:v>5.1184511418839378</c:v>
                </c:pt>
                <c:pt idx="259">
                  <c:v>5.1076382944030572</c:v>
                </c:pt>
                <c:pt idx="260">
                  <c:v>5.1168232611302917</c:v>
                </c:pt>
                <c:pt idx="261">
                  <c:v>5.1377578007276918</c:v>
                </c:pt>
                <c:pt idx="262">
                  <c:v>5.1124600825767628</c:v>
                </c:pt>
                <c:pt idx="263">
                  <c:v>5.1176659719345592</c:v>
                </c:pt>
                <c:pt idx="264">
                  <c:v>5.1109249431315691</c:v>
                </c:pt>
                <c:pt idx="265">
                  <c:v>5.1021198026855128</c:v>
                </c:pt>
                <c:pt idx="266">
                  <c:v>5.106280323187212</c:v>
                </c:pt>
                <c:pt idx="267">
                  <c:v>5.1098214929209753</c:v>
                </c:pt>
                <c:pt idx="268">
                  <c:v>5.0920145117348339</c:v>
                </c:pt>
                <c:pt idx="269">
                  <c:v>5.1243858883441957</c:v>
                </c:pt>
                <c:pt idx="270">
                  <c:v>5.0994161314819362</c:v>
                </c:pt>
                <c:pt idx="271">
                  <c:v>5.0876071894767305</c:v>
                </c:pt>
                <c:pt idx="272">
                  <c:v>5.0974750279853946</c:v>
                </c:pt>
                <c:pt idx="273">
                  <c:v>5.0718516642978466</c:v>
                </c:pt>
                <c:pt idx="274">
                  <c:v>5.0505476168451109</c:v>
                </c:pt>
                <c:pt idx="275">
                  <c:v>5.045484605787494</c:v>
                </c:pt>
                <c:pt idx="276">
                  <c:v>5.0284553171690378</c:v>
                </c:pt>
                <c:pt idx="277">
                  <c:v>5.0162140499177967</c:v>
                </c:pt>
                <c:pt idx="278">
                  <c:v>5.0072840141994233</c:v>
                </c:pt>
                <c:pt idx="279">
                  <c:v>5.0183544016650705</c:v>
                </c:pt>
                <c:pt idx="280">
                  <c:v>4.9557360031655264</c:v>
                </c:pt>
                <c:pt idx="281">
                  <c:v>4.988154202525604</c:v>
                </c:pt>
                <c:pt idx="282">
                  <c:v>5.0337569202245227</c:v>
                </c:pt>
                <c:pt idx="283">
                  <c:v>4.9794615475177002</c:v>
                </c:pt>
                <c:pt idx="284">
                  <c:v>4.9793361051900984</c:v>
                </c:pt>
                <c:pt idx="285">
                  <c:v>4.9723498135010882</c:v>
                </c:pt>
                <c:pt idx="286">
                  <c:v>4.9896277445484518</c:v>
                </c:pt>
                <c:pt idx="287">
                  <c:v>5.0046911549808586</c:v>
                </c:pt>
                <c:pt idx="288">
                  <c:v>5.0115089966858415</c:v>
                </c:pt>
                <c:pt idx="289">
                  <c:v>5.018570198697808</c:v>
                </c:pt>
                <c:pt idx="290">
                  <c:v>5.0408898899511536</c:v>
                </c:pt>
                <c:pt idx="291">
                  <c:v>5.0110126836754079</c:v>
                </c:pt>
                <c:pt idx="292">
                  <c:v>4.977930323437044</c:v>
                </c:pt>
                <c:pt idx="293">
                  <c:v>4.9714674441545652</c:v>
                </c:pt>
                <c:pt idx="294">
                  <c:v>4.9347631998245642</c:v>
                </c:pt>
                <c:pt idx="295">
                  <c:v>4.9001597715258098</c:v>
                </c:pt>
                <c:pt idx="296">
                  <c:v>4.9205609311968583</c:v>
                </c:pt>
                <c:pt idx="297">
                  <c:v>4.8914413626526692</c:v>
                </c:pt>
                <c:pt idx="298">
                  <c:v>4.8755432163472099</c:v>
                </c:pt>
                <c:pt idx="299">
                  <c:v>4.8534452028064274</c:v>
                </c:pt>
                <c:pt idx="300">
                  <c:v>4.8731738080435587</c:v>
                </c:pt>
                <c:pt idx="301">
                  <c:v>4.879693330421726</c:v>
                </c:pt>
                <c:pt idx="302">
                  <c:v>4.8454180606315296</c:v>
                </c:pt>
                <c:pt idx="303">
                  <c:v>4.8395800302962906</c:v>
                </c:pt>
                <c:pt idx="304">
                  <c:v>4.7849020349995008</c:v>
                </c:pt>
                <c:pt idx="305">
                  <c:v>4.7684408214614651</c:v>
                </c:pt>
                <c:pt idx="306">
                  <c:v>4.7773329581300672</c:v>
                </c:pt>
                <c:pt idx="307">
                  <c:v>4.7622405575430831</c:v>
                </c:pt>
                <c:pt idx="308">
                  <c:v>4.735889236341845</c:v>
                </c:pt>
                <c:pt idx="309">
                  <c:v>4.7458680444222097</c:v>
                </c:pt>
                <c:pt idx="310">
                  <c:v>4.7596921925400206</c:v>
                </c:pt>
                <c:pt idx="311">
                  <c:v>4.7687078266572325</c:v>
                </c:pt>
                <c:pt idx="312">
                  <c:v>4.7962626960591983</c:v>
                </c:pt>
                <c:pt idx="313">
                  <c:v>4.7886195528430973</c:v>
                </c:pt>
                <c:pt idx="314">
                  <c:v>4.8020003364646087</c:v>
                </c:pt>
                <c:pt idx="315">
                  <c:v>4.7989777878066731</c:v>
                </c:pt>
                <c:pt idx="316">
                  <c:v>4.8169417852087726</c:v>
                </c:pt>
                <c:pt idx="317">
                  <c:v>4.7940662163350405</c:v>
                </c:pt>
                <c:pt idx="318">
                  <c:v>4.7677785983513585</c:v>
                </c:pt>
                <c:pt idx="319">
                  <c:v>4.7830097386017529</c:v>
                </c:pt>
                <c:pt idx="320">
                  <c:v>4.8064989231094133</c:v>
                </c:pt>
                <c:pt idx="321">
                  <c:v>4.7891154985977966</c:v>
                </c:pt>
                <c:pt idx="322">
                  <c:v>4.8050878758694928</c:v>
                </c:pt>
                <c:pt idx="323">
                  <c:v>4.8163165546775861</c:v>
                </c:pt>
                <c:pt idx="324">
                  <c:v>4.820906398249992</c:v>
                </c:pt>
                <c:pt idx="325">
                  <c:v>4.7520596807443818</c:v>
                </c:pt>
                <c:pt idx="326">
                  <c:v>4.7323811384713492</c:v>
                </c:pt>
                <c:pt idx="327">
                  <c:v>4.711412715708434</c:v>
                </c:pt>
                <c:pt idx="328">
                  <c:v>4.7091943335138868</c:v>
                </c:pt>
                <c:pt idx="329">
                  <c:v>4.7023533550416534</c:v>
                </c:pt>
                <c:pt idx="330">
                  <c:v>4.7289223854115319</c:v>
                </c:pt>
                <c:pt idx="331">
                  <c:v>4.7509655278964793</c:v>
                </c:pt>
                <c:pt idx="332">
                  <c:v>4.7687746169897904</c:v>
                </c:pt>
                <c:pt idx="333">
                  <c:v>4.70532141309421</c:v>
                </c:pt>
                <c:pt idx="334">
                  <c:v>4.7118739945751189</c:v>
                </c:pt>
                <c:pt idx="335">
                  <c:v>4.7253074329046569</c:v>
                </c:pt>
                <c:pt idx="336">
                  <c:v>4.7377120185056913</c:v>
                </c:pt>
                <c:pt idx="337">
                  <c:v>4.7925887974345054</c:v>
                </c:pt>
                <c:pt idx="338">
                  <c:v>4.7666236018620909</c:v>
                </c:pt>
                <c:pt idx="339">
                  <c:v>4.7529334374993386</c:v>
                </c:pt>
                <c:pt idx="340">
                  <c:v>4.7219994032901429</c:v>
                </c:pt>
                <c:pt idx="341">
                  <c:v>4.6662426543667603</c:v>
                </c:pt>
                <c:pt idx="342">
                  <c:v>4.7289103440849747</c:v>
                </c:pt>
                <c:pt idx="343">
                  <c:v>4.5679482850046762</c:v>
                </c:pt>
                <c:pt idx="344">
                  <c:v>4.481594716298873</c:v>
                </c:pt>
                <c:pt idx="345">
                  <c:v>4.4239033830586934</c:v>
                </c:pt>
                <c:pt idx="346">
                  <c:v>4.4201047781742364</c:v>
                </c:pt>
                <c:pt idx="347">
                  <c:v>4.4128749588878771</c:v>
                </c:pt>
                <c:pt idx="348">
                  <c:v>4.3950535225690999</c:v>
                </c:pt>
                <c:pt idx="349">
                  <c:v>4.3861054286891106</c:v>
                </c:pt>
                <c:pt idx="350">
                  <c:v>4.3557645710118376</c:v>
                </c:pt>
                <c:pt idx="351">
                  <c:v>4.3650310692511969</c:v>
                </c:pt>
                <c:pt idx="352">
                  <c:v>4.3558954011406819</c:v>
                </c:pt>
                <c:pt idx="353">
                  <c:v>4.2891612621556252</c:v>
                </c:pt>
                <c:pt idx="354">
                  <c:v>4.2111310127355743</c:v>
                </c:pt>
                <c:pt idx="355">
                  <c:v>4.2239903647482206</c:v>
                </c:pt>
                <c:pt idx="356">
                  <c:v>4.1719199330874916</c:v>
                </c:pt>
                <c:pt idx="357">
                  <c:v>4.1296164673164188</c:v>
                </c:pt>
                <c:pt idx="358">
                  <c:v>4.1046754018833402</c:v>
                </c:pt>
                <c:pt idx="359">
                  <c:v>4.0869054143151278</c:v>
                </c:pt>
                <c:pt idx="360">
                  <c:v>4.0886451115291669</c:v>
                </c:pt>
                <c:pt idx="361">
                  <c:v>4.0399044385519911</c:v>
                </c:pt>
                <c:pt idx="362">
                  <c:v>4.0444129184869437</c:v>
                </c:pt>
                <c:pt idx="363">
                  <c:v>4.023822682989981</c:v>
                </c:pt>
                <c:pt idx="364">
                  <c:v>4.02504258540867</c:v>
                </c:pt>
                <c:pt idx="365">
                  <c:v>4.007267361941298</c:v>
                </c:pt>
                <c:pt idx="366">
                  <c:v>4.0066671950817412</c:v>
                </c:pt>
                <c:pt idx="367">
                  <c:v>3.9934995426527822</c:v>
                </c:pt>
                <c:pt idx="368">
                  <c:v>3.9963001974563355</c:v>
                </c:pt>
                <c:pt idx="369">
                  <c:v>3.9821708012721042</c:v>
                </c:pt>
                <c:pt idx="370">
                  <c:v>3.9770925623287248</c:v>
                </c:pt>
                <c:pt idx="371">
                  <c:v>3.9545862831401037</c:v>
                </c:pt>
                <c:pt idx="372">
                  <c:v>3.9819569143610907</c:v>
                </c:pt>
                <c:pt idx="373">
                  <c:v>3.9574568991583341</c:v>
                </c:pt>
                <c:pt idx="374">
                  <c:v>3.993586897469668</c:v>
                </c:pt>
                <c:pt idx="375">
                  <c:v>3.9960995335251717</c:v>
                </c:pt>
                <c:pt idx="376">
                  <c:v>3.9687434162431283</c:v>
                </c:pt>
                <c:pt idx="377">
                  <c:v>3.9544628418707504</c:v>
                </c:pt>
                <c:pt idx="378">
                  <c:v>3.9499781298121626</c:v>
                </c:pt>
                <c:pt idx="379">
                  <c:v>3.9203922436674734</c:v>
                </c:pt>
                <c:pt idx="380">
                  <c:v>3.892203576744337</c:v>
                </c:pt>
                <c:pt idx="381">
                  <c:v>3.899245227099668</c:v>
                </c:pt>
                <c:pt idx="382">
                  <c:v>3.9095173829865257</c:v>
                </c:pt>
                <c:pt idx="383">
                  <c:v>3.9124656610918764</c:v>
                </c:pt>
                <c:pt idx="384">
                  <c:v>3.8896760148832765</c:v>
                </c:pt>
                <c:pt idx="385">
                  <c:v>3.8819624660880327</c:v>
                </c:pt>
                <c:pt idx="386">
                  <c:v>3.869451072850759</c:v>
                </c:pt>
                <c:pt idx="387">
                  <c:v>3.8326623231038761</c:v>
                </c:pt>
                <c:pt idx="388">
                  <c:v>3.7978919320410145</c:v>
                </c:pt>
                <c:pt idx="389">
                  <c:v>3.7872188384962162</c:v>
                </c:pt>
                <c:pt idx="390">
                  <c:v>3.7492430279144018</c:v>
                </c:pt>
                <c:pt idx="391">
                  <c:v>3.73783133391114</c:v>
                </c:pt>
                <c:pt idx="392">
                  <c:v>3.7422339875816499</c:v>
                </c:pt>
                <c:pt idx="393">
                  <c:v>3.7423607545498347</c:v>
                </c:pt>
                <c:pt idx="394">
                  <c:v>3.740105772815904</c:v>
                </c:pt>
                <c:pt idx="395">
                  <c:v>3.6977767729112898</c:v>
                </c:pt>
                <c:pt idx="396">
                  <c:v>3.6623362606873964</c:v>
                </c:pt>
                <c:pt idx="397">
                  <c:v>3.6563741985566827</c:v>
                </c:pt>
                <c:pt idx="398">
                  <c:v>3.6451758897654596</c:v>
                </c:pt>
                <c:pt idx="399">
                  <c:v>3.6279198953143936</c:v>
                </c:pt>
                <c:pt idx="400">
                  <c:v>3.6037822054715383</c:v>
                </c:pt>
                <c:pt idx="401">
                  <c:v>3.6224712071378842</c:v>
                </c:pt>
                <c:pt idx="402">
                  <c:v>3.5929361082020468</c:v>
                </c:pt>
                <c:pt idx="403">
                  <c:v>3.6260406036800505</c:v>
                </c:pt>
                <c:pt idx="404">
                  <c:v>3.6209898590697005</c:v>
                </c:pt>
                <c:pt idx="405">
                  <c:v>3.6022864232261433</c:v>
                </c:pt>
                <c:pt idx="406">
                  <c:v>3.5876616781205208</c:v>
                </c:pt>
                <c:pt idx="407">
                  <c:v>3.6015193869338176</c:v>
                </c:pt>
                <c:pt idx="408">
                  <c:v>3.5814345764754503</c:v>
                </c:pt>
                <c:pt idx="409">
                  <c:v>3.5916689008108129</c:v>
                </c:pt>
                <c:pt idx="410">
                  <c:v>3.5755075507294296</c:v>
                </c:pt>
                <c:pt idx="411">
                  <c:v>3.5618572030818023</c:v>
                </c:pt>
                <c:pt idx="412">
                  <c:v>3.5507660700703734</c:v>
                </c:pt>
                <c:pt idx="413">
                  <c:v>3.5485395832535711</c:v>
                </c:pt>
                <c:pt idx="414">
                  <c:v>3.5530405853907752</c:v>
                </c:pt>
                <c:pt idx="415">
                  <c:v>3.5420625441948914</c:v>
                </c:pt>
                <c:pt idx="416">
                  <c:v>3.5565361093607257</c:v>
                </c:pt>
                <c:pt idx="417">
                  <c:v>3.5563056287295178</c:v>
                </c:pt>
                <c:pt idx="418">
                  <c:v>3.5584574620625742</c:v>
                </c:pt>
                <c:pt idx="419">
                  <c:v>3.5487692840872538</c:v>
                </c:pt>
                <c:pt idx="420">
                  <c:v>3.5640158947090463</c:v>
                </c:pt>
                <c:pt idx="421">
                  <c:v>3.5483274760586387</c:v>
                </c:pt>
                <c:pt idx="422">
                  <c:v>3.5476026897612951</c:v>
                </c:pt>
                <c:pt idx="423">
                  <c:v>3.5552068047097367</c:v>
                </c:pt>
                <c:pt idx="424">
                  <c:v>3.5288028935334412</c:v>
                </c:pt>
                <c:pt idx="425">
                  <c:v>3.5126016056073657</c:v>
                </c:pt>
                <c:pt idx="426">
                  <c:v>3.4997721990699233</c:v>
                </c:pt>
                <c:pt idx="427">
                  <c:v>3.4844665682293594</c:v>
                </c:pt>
                <c:pt idx="428">
                  <c:v>3.5034611091278336</c:v>
                </c:pt>
                <c:pt idx="429">
                  <c:v>3.5336180602580893</c:v>
                </c:pt>
                <c:pt idx="430">
                  <c:v>3.5009181945358878</c:v>
                </c:pt>
                <c:pt idx="431">
                  <c:v>3.4763804679967096</c:v>
                </c:pt>
                <c:pt idx="432">
                  <c:v>3.4773833422163727</c:v>
                </c:pt>
                <c:pt idx="433">
                  <c:v>3.4529448446774533</c:v>
                </c:pt>
                <c:pt idx="434">
                  <c:v>3.4426925280680987</c:v>
                </c:pt>
                <c:pt idx="435">
                  <c:v>3.4348304410231632</c:v>
                </c:pt>
                <c:pt idx="436">
                  <c:v>3.4373500486578852</c:v>
                </c:pt>
                <c:pt idx="437">
                  <c:v>3.4274849850716982</c:v>
                </c:pt>
                <c:pt idx="438">
                  <c:v>3.4226102391453774</c:v>
                </c:pt>
                <c:pt idx="439">
                  <c:v>3.4219407995168352</c:v>
                </c:pt>
                <c:pt idx="440">
                  <c:v>3.4165653137906156</c:v>
                </c:pt>
                <c:pt idx="441">
                  <c:v>3.4098031017963693</c:v>
                </c:pt>
                <c:pt idx="442">
                  <c:v>3.4115070442562856</c:v>
                </c:pt>
                <c:pt idx="443">
                  <c:v>3.4204644709461278</c:v>
                </c:pt>
                <c:pt idx="444">
                  <c:v>3.4120823935599107</c:v>
                </c:pt>
                <c:pt idx="445">
                  <c:v>3.4137634161611548</c:v>
                </c:pt>
                <c:pt idx="446">
                  <c:v>3.4012693334012618</c:v>
                </c:pt>
                <c:pt idx="447">
                  <c:v>3.4136283764274715</c:v>
                </c:pt>
                <c:pt idx="448">
                  <c:v>3.3991617481289862</c:v>
                </c:pt>
                <c:pt idx="449">
                  <c:v>3.3832380639057207</c:v>
                </c:pt>
                <c:pt idx="450">
                  <c:v>3.3632195161767489</c:v>
                </c:pt>
                <c:pt idx="451">
                  <c:v>3.3609511888089112</c:v>
                </c:pt>
                <c:pt idx="452">
                  <c:v>3.3816291046613918</c:v>
                </c:pt>
                <c:pt idx="453">
                  <c:v>3.3707757284535478</c:v>
                </c:pt>
                <c:pt idx="454">
                  <c:v>3.3705091324382459</c:v>
                </c:pt>
                <c:pt idx="455">
                  <c:v>3.3797265193653927</c:v>
                </c:pt>
                <c:pt idx="456">
                  <c:v>3.3829665575086434</c:v>
                </c:pt>
                <c:pt idx="457">
                  <c:v>3.3940214631047563</c:v>
                </c:pt>
                <c:pt idx="458">
                  <c:v>3.4001486806944552</c:v>
                </c:pt>
                <c:pt idx="459">
                  <c:v>3.3874778141362172</c:v>
                </c:pt>
                <c:pt idx="460">
                  <c:v>3.3956053859688322</c:v>
                </c:pt>
                <c:pt idx="461">
                  <c:v>3.3946955630488325</c:v>
                </c:pt>
                <c:pt idx="462">
                  <c:v>3.3945134717642871</c:v>
                </c:pt>
                <c:pt idx="463">
                  <c:v>3.3890804135879833</c:v>
                </c:pt>
                <c:pt idx="464">
                  <c:v>3.3827816886704811</c:v>
                </c:pt>
                <c:pt idx="465">
                  <c:v>3.398123144842593</c:v>
                </c:pt>
                <c:pt idx="466">
                  <c:v>3.4080926146546027</c:v>
                </c:pt>
                <c:pt idx="467">
                  <c:v>3.4050135245940623</c:v>
                </c:pt>
                <c:pt idx="468">
                  <c:v>3.3995883464094576</c:v>
                </c:pt>
                <c:pt idx="469">
                  <c:v>3.4174349362520915</c:v>
                </c:pt>
                <c:pt idx="470">
                  <c:v>3.4050220670166889</c:v>
                </c:pt>
                <c:pt idx="471">
                  <c:v>3.4057276581451266</c:v>
                </c:pt>
                <c:pt idx="472">
                  <c:v>3.4168115494695042</c:v>
                </c:pt>
                <c:pt idx="473">
                  <c:v>3.3886923990861546</c:v>
                </c:pt>
                <c:pt idx="474">
                  <c:v>3.3760460103235808</c:v>
                </c:pt>
                <c:pt idx="475">
                  <c:v>3.3852572286459091</c:v>
                </c:pt>
                <c:pt idx="476">
                  <c:v>3.3655390261213358</c:v>
                </c:pt>
                <c:pt idx="477">
                  <c:v>3.3435213420344754</c:v>
                </c:pt>
                <c:pt idx="478">
                  <c:v>3.3309830185064455</c:v>
                </c:pt>
                <c:pt idx="479">
                  <c:v>3.3451611616929511</c:v>
                </c:pt>
                <c:pt idx="480">
                  <c:v>3.347123020458318</c:v>
                </c:pt>
                <c:pt idx="481">
                  <c:v>3.3256967042419014</c:v>
                </c:pt>
                <c:pt idx="482">
                  <c:v>3.305675113899158</c:v>
                </c:pt>
                <c:pt idx="483">
                  <c:v>3.2957688451183871</c:v>
                </c:pt>
                <c:pt idx="484">
                  <c:v>3.3042775811047918</c:v>
                </c:pt>
                <c:pt idx="485">
                  <c:v>3.2842458104360568</c:v>
                </c:pt>
                <c:pt idx="486">
                  <c:v>3.2514050995247219</c:v>
                </c:pt>
                <c:pt idx="487">
                  <c:v>3.2442480115565697</c:v>
                </c:pt>
                <c:pt idx="488">
                  <c:v>3.2424067973283055</c:v>
                </c:pt>
                <c:pt idx="489">
                  <c:v>3.2194290366844895</c:v>
                </c:pt>
                <c:pt idx="490">
                  <c:v>3.2071657757117529</c:v>
                </c:pt>
                <c:pt idx="491">
                  <c:v>3.178176906515938</c:v>
                </c:pt>
                <c:pt idx="492">
                  <c:v>3.1968744314785158</c:v>
                </c:pt>
                <c:pt idx="493">
                  <c:v>3.1819376073759771</c:v>
                </c:pt>
                <c:pt idx="494">
                  <c:v>3.2109878331289567</c:v>
                </c:pt>
                <c:pt idx="495">
                  <c:v>3.2085526156199218</c:v>
                </c:pt>
                <c:pt idx="496">
                  <c:v>3.2127794961045182</c:v>
                </c:pt>
                <c:pt idx="497">
                  <c:v>3.2140022794228793</c:v>
                </c:pt>
                <c:pt idx="498">
                  <c:v>3.2254704737504336</c:v>
                </c:pt>
                <c:pt idx="499">
                  <c:v>3.1939608394070338</c:v>
                </c:pt>
                <c:pt idx="500">
                  <c:v>3.259175589558267</c:v>
                </c:pt>
                <c:pt idx="501">
                  <c:v>3.2567904482616572</c:v>
                </c:pt>
                <c:pt idx="502">
                  <c:v>3.2065118152270906</c:v>
                </c:pt>
                <c:pt idx="503">
                  <c:v>3.1421759865814556</c:v>
                </c:pt>
                <c:pt idx="504">
                  <c:v>3.1141590797301775</c:v>
                </c:pt>
                <c:pt idx="505">
                  <c:v>3.1305326045810946</c:v>
                </c:pt>
                <c:pt idx="506">
                  <c:v>3.0922178368330555</c:v>
                </c:pt>
                <c:pt idx="507">
                  <c:v>3.0471846621602539</c:v>
                </c:pt>
                <c:pt idx="508">
                  <c:v>3.0267656596948243</c:v>
                </c:pt>
                <c:pt idx="509">
                  <c:v>2.9556048938373052</c:v>
                </c:pt>
                <c:pt idx="510">
                  <c:v>2.9637045208349484</c:v>
                </c:pt>
                <c:pt idx="511">
                  <c:v>2.9452962679397086</c:v>
                </c:pt>
                <c:pt idx="512">
                  <c:v>3.0052830970174891</c:v>
                </c:pt>
                <c:pt idx="513">
                  <c:v>2.9926161674408891</c:v>
                </c:pt>
                <c:pt idx="514">
                  <c:v>2.9726383430441574</c:v>
                </c:pt>
                <c:pt idx="515">
                  <c:v>2.9834661978678234</c:v>
                </c:pt>
                <c:pt idx="516">
                  <c:v>2.972967447042318</c:v>
                </c:pt>
                <c:pt idx="517">
                  <c:v>2.9818192908007566</c:v>
                </c:pt>
                <c:pt idx="518">
                  <c:v>2.9828229657352123</c:v>
                </c:pt>
                <c:pt idx="519">
                  <c:v>2.9552007173978843</c:v>
                </c:pt>
                <c:pt idx="520">
                  <c:v>2.9415461723617939</c:v>
                </c:pt>
                <c:pt idx="521">
                  <c:v>2.9531090568417944</c:v>
                </c:pt>
                <c:pt idx="522">
                  <c:v>2.9452128067919894</c:v>
                </c:pt>
                <c:pt idx="523">
                  <c:v>2.9419414438125004</c:v>
                </c:pt>
                <c:pt idx="524">
                  <c:v>2.9246676575491839</c:v>
                </c:pt>
                <c:pt idx="525">
                  <c:v>2.9331938416581069</c:v>
                </c:pt>
                <c:pt idx="526">
                  <c:v>2.9181776974302158</c:v>
                </c:pt>
                <c:pt idx="527">
                  <c:v>2.9229416864183184</c:v>
                </c:pt>
                <c:pt idx="528">
                  <c:v>2.9259511031160379</c:v>
                </c:pt>
                <c:pt idx="529">
                  <c:v>2.9227982307791316</c:v>
                </c:pt>
                <c:pt idx="530">
                  <c:v>2.9082785648732004</c:v>
                </c:pt>
                <c:pt idx="531">
                  <c:v>2.9161729453466654</c:v>
                </c:pt>
                <c:pt idx="532">
                  <c:v>2.8853496725091121</c:v>
                </c:pt>
                <c:pt idx="533">
                  <c:v>2.8590800964206751</c:v>
                </c:pt>
                <c:pt idx="534">
                  <c:v>2.8515826375701008</c:v>
                </c:pt>
                <c:pt idx="535">
                  <c:v>2.8641490071976867</c:v>
                </c:pt>
                <c:pt idx="536">
                  <c:v>2.850815964299207</c:v>
                </c:pt>
                <c:pt idx="537">
                  <c:v>2.8538381779616739</c:v>
                </c:pt>
                <c:pt idx="538">
                  <c:v>2.8297811604036607</c:v>
                </c:pt>
                <c:pt idx="539">
                  <c:v>2.8259660652168095</c:v>
                </c:pt>
                <c:pt idx="540">
                  <c:v>2.8354860424459631</c:v>
                </c:pt>
                <c:pt idx="541">
                  <c:v>2.8118261845722268</c:v>
                </c:pt>
                <c:pt idx="542">
                  <c:v>2.7953713269285418</c:v>
                </c:pt>
                <c:pt idx="543">
                  <c:v>2.7820177425173416</c:v>
                </c:pt>
                <c:pt idx="544">
                  <c:v>2.7744445789498013</c:v>
                </c:pt>
                <c:pt idx="545">
                  <c:v>2.7531896798663866</c:v>
                </c:pt>
                <c:pt idx="546">
                  <c:v>2.7398994146786437</c:v>
                </c:pt>
                <c:pt idx="547">
                  <c:v>2.7284104373944493</c:v>
                </c:pt>
                <c:pt idx="548">
                  <c:v>2.7400785353501838</c:v>
                </c:pt>
                <c:pt idx="549">
                  <c:v>2.7334978316856011</c:v>
                </c:pt>
                <c:pt idx="550">
                  <c:v>2.7143987847498883</c:v>
                </c:pt>
                <c:pt idx="551">
                  <c:v>2.7293738880065552</c:v>
                </c:pt>
                <c:pt idx="552">
                  <c:v>2.7142382489925958</c:v>
                </c:pt>
                <c:pt idx="553">
                  <c:v>2.7018124784756679</c:v>
                </c:pt>
                <c:pt idx="554">
                  <c:v>2.6791908871943746</c:v>
                </c:pt>
                <c:pt idx="555">
                  <c:v>2.6590882594680179</c:v>
                </c:pt>
                <c:pt idx="556">
                  <c:v>2.6562819537382198</c:v>
                </c:pt>
                <c:pt idx="557">
                  <c:v>2.6708242935259117</c:v>
                </c:pt>
                <c:pt idx="558">
                  <c:v>2.6483999445113091</c:v>
                </c:pt>
                <c:pt idx="559">
                  <c:v>2.6429822461109191</c:v>
                </c:pt>
                <c:pt idx="560">
                  <c:v>2.6525662675159642</c:v>
                </c:pt>
                <c:pt idx="561">
                  <c:v>2.6522230413271459</c:v>
                </c:pt>
                <c:pt idx="562">
                  <c:v>2.6603079210546783</c:v>
                </c:pt>
                <c:pt idx="563">
                  <c:v>2.6713983640485512</c:v>
                </c:pt>
                <c:pt idx="564">
                  <c:v>2.6693391576282477</c:v>
                </c:pt>
                <c:pt idx="565">
                  <c:v>2.656840896471409</c:v>
                </c:pt>
                <c:pt idx="566">
                  <c:v>2.6383811675174735</c:v>
                </c:pt>
                <c:pt idx="567">
                  <c:v>2.6182741488544212</c:v>
                </c:pt>
                <c:pt idx="568">
                  <c:v>2.6226252807475663</c:v>
                </c:pt>
                <c:pt idx="569">
                  <c:v>2.6087808568143305</c:v>
                </c:pt>
                <c:pt idx="570">
                  <c:v>2.5931282121443684</c:v>
                </c:pt>
                <c:pt idx="571">
                  <c:v>2.5784273021860069</c:v>
                </c:pt>
                <c:pt idx="572">
                  <c:v>2.5726767422778276</c:v>
                </c:pt>
                <c:pt idx="573">
                  <c:v>2.5648800032069139</c:v>
                </c:pt>
                <c:pt idx="574">
                  <c:v>2.5731597570614215</c:v>
                </c:pt>
                <c:pt idx="575">
                  <c:v>2.5782158255146306</c:v>
                </c:pt>
                <c:pt idx="576">
                  <c:v>2.5664357631381054</c:v>
                </c:pt>
                <c:pt idx="577">
                  <c:v>2.5678552132631642</c:v>
                </c:pt>
                <c:pt idx="578">
                  <c:v>2.5624867721935454</c:v>
                </c:pt>
                <c:pt idx="579">
                  <c:v>2.5541829310097701</c:v>
                </c:pt>
                <c:pt idx="580">
                  <c:v>2.5593523260459841</c:v>
                </c:pt>
                <c:pt idx="581">
                  <c:v>2.5601380580642044</c:v>
                </c:pt>
                <c:pt idx="582">
                  <c:v>2.5553789085731449</c:v>
                </c:pt>
                <c:pt idx="583">
                  <c:v>2.5686257826792902</c:v>
                </c:pt>
                <c:pt idx="584">
                  <c:v>2.5700335153306493</c:v>
                </c:pt>
                <c:pt idx="585">
                  <c:v>2.5555194947019877</c:v>
                </c:pt>
                <c:pt idx="586">
                  <c:v>2.5651022692562786</c:v>
                </c:pt>
                <c:pt idx="587">
                  <c:v>2.5530855839252373</c:v>
                </c:pt>
                <c:pt idx="588">
                  <c:v>2.5628342924005998</c:v>
                </c:pt>
                <c:pt idx="589">
                  <c:v>2.5648960283362925</c:v>
                </c:pt>
                <c:pt idx="590">
                  <c:v>2.5604931774975843</c:v>
                </c:pt>
                <c:pt idx="591">
                  <c:v>2.5584741350731082</c:v>
                </c:pt>
                <c:pt idx="592">
                  <c:v>2.548875656674527</c:v>
                </c:pt>
                <c:pt idx="593">
                  <c:v>2.5526117545068701</c:v>
                </c:pt>
                <c:pt idx="594">
                  <c:v>2.5333412365285537</c:v>
                </c:pt>
                <c:pt idx="595">
                  <c:v>2.5228110950525089</c:v>
                </c:pt>
                <c:pt idx="596">
                  <c:v>2.5340311328773155</c:v>
                </c:pt>
                <c:pt idx="597">
                  <c:v>2.530095404816826</c:v>
                </c:pt>
                <c:pt idx="598">
                  <c:v>2.5232097961959115</c:v>
                </c:pt>
                <c:pt idx="599">
                  <c:v>2.517819909299758</c:v>
                </c:pt>
                <c:pt idx="600">
                  <c:v>2.5100104458682471</c:v>
                </c:pt>
                <c:pt idx="601">
                  <c:v>2.5226329672700167</c:v>
                </c:pt>
                <c:pt idx="602">
                  <c:v>2.5203236654247418</c:v>
                </c:pt>
                <c:pt idx="603">
                  <c:v>2.507437769568261</c:v>
                </c:pt>
                <c:pt idx="604">
                  <c:v>2.4849001312465115</c:v>
                </c:pt>
                <c:pt idx="605">
                  <c:v>2.4906767906236826</c:v>
                </c:pt>
                <c:pt idx="606">
                  <c:v>2.4699515534831491</c:v>
                </c:pt>
                <c:pt idx="607">
                  <c:v>2.4864400197996468</c:v>
                </c:pt>
                <c:pt idx="608">
                  <c:v>2.4607635385815989</c:v>
                </c:pt>
                <c:pt idx="609">
                  <c:v>2.4527127752809967</c:v>
                </c:pt>
                <c:pt idx="610">
                  <c:v>2.4288770321417945</c:v>
                </c:pt>
                <c:pt idx="611">
                  <c:v>2.4086358367404976</c:v>
                </c:pt>
                <c:pt idx="612">
                  <c:v>2.4093661823420418</c:v>
                </c:pt>
                <c:pt idx="613">
                  <c:v>2.3886050819777558</c:v>
                </c:pt>
                <c:pt idx="614">
                  <c:v>2.4085722194918051</c:v>
                </c:pt>
                <c:pt idx="615">
                  <c:v>2.4177094568932018</c:v>
                </c:pt>
                <c:pt idx="616">
                  <c:v>2.409362204554212</c:v>
                </c:pt>
                <c:pt idx="617">
                  <c:v>2.4191969104207947</c:v>
                </c:pt>
                <c:pt idx="618">
                  <c:v>2.4199005082424332</c:v>
                </c:pt>
                <c:pt idx="619">
                  <c:v>2.3901156629315139</c:v>
                </c:pt>
                <c:pt idx="620">
                  <c:v>2.3826316865240491</c:v>
                </c:pt>
                <c:pt idx="621">
                  <c:v>2.3780567965340373</c:v>
                </c:pt>
                <c:pt idx="622">
                  <c:v>2.3656127741820501</c:v>
                </c:pt>
                <c:pt idx="623">
                  <c:v>2.3767845113301367</c:v>
                </c:pt>
                <c:pt idx="624">
                  <c:v>2.374950397979211</c:v>
                </c:pt>
                <c:pt idx="625">
                  <c:v>2.3580105532856748</c:v>
                </c:pt>
                <c:pt idx="626">
                  <c:v>2.34903924369006</c:v>
                </c:pt>
                <c:pt idx="627">
                  <c:v>2.3382995655949408</c:v>
                </c:pt>
                <c:pt idx="628">
                  <c:v>2.3383167038461656</c:v>
                </c:pt>
                <c:pt idx="629">
                  <c:v>2.3582661119923221</c:v>
                </c:pt>
                <c:pt idx="630">
                  <c:v>2.355825648219136</c:v>
                </c:pt>
                <c:pt idx="631">
                  <c:v>2.3385134283605415</c:v>
                </c:pt>
                <c:pt idx="632">
                  <c:v>2.3610052091282601</c:v>
                </c:pt>
                <c:pt idx="633">
                  <c:v>2.365833878208961</c:v>
                </c:pt>
                <c:pt idx="634">
                  <c:v>2.354705882037035</c:v>
                </c:pt>
                <c:pt idx="635">
                  <c:v>2.3677163224519568</c:v>
                </c:pt>
                <c:pt idx="636">
                  <c:v>2.3449289899888464</c:v>
                </c:pt>
                <c:pt idx="637">
                  <c:v>2.3391691779779844</c:v>
                </c:pt>
                <c:pt idx="638">
                  <c:v>2.3575489563656196</c:v>
                </c:pt>
                <c:pt idx="639">
                  <c:v>2.3288075313864889</c:v>
                </c:pt>
                <c:pt idx="640">
                  <c:v>2.3229801238149652</c:v>
                </c:pt>
                <c:pt idx="641">
                  <c:v>2.3098125659918667</c:v>
                </c:pt>
                <c:pt idx="642">
                  <c:v>2.2905808656986579</c:v>
                </c:pt>
                <c:pt idx="643">
                  <c:v>2.2793230731023861</c:v>
                </c:pt>
                <c:pt idx="644">
                  <c:v>2.2831304132372678</c:v>
                </c:pt>
                <c:pt idx="645">
                  <c:v>2.2768727770498391</c:v>
                </c:pt>
                <c:pt idx="646">
                  <c:v>2.2507504642978096</c:v>
                </c:pt>
                <c:pt idx="647">
                  <c:v>2.2456899412494224</c:v>
                </c:pt>
                <c:pt idx="648">
                  <c:v>2.2712711838235013</c:v>
                </c:pt>
                <c:pt idx="649">
                  <c:v>2.2856033394711743</c:v>
                </c:pt>
                <c:pt idx="650">
                  <c:v>2.2595209496542159</c:v>
                </c:pt>
                <c:pt idx="651">
                  <c:v>2.2543523207128371</c:v>
                </c:pt>
                <c:pt idx="652">
                  <c:v>2.2150271031640334</c:v>
                </c:pt>
                <c:pt idx="653">
                  <c:v>2.2484125980963405</c:v>
                </c:pt>
                <c:pt idx="654">
                  <c:v>2.2294789911789343</c:v>
                </c:pt>
                <c:pt idx="655">
                  <c:v>2.1894504391021736</c:v>
                </c:pt>
                <c:pt idx="656">
                  <c:v>2.1868025604533776</c:v>
                </c:pt>
                <c:pt idx="657">
                  <c:v>2.1861533029073432</c:v>
                </c:pt>
                <c:pt idx="658">
                  <c:v>2.2137277943135554</c:v>
                </c:pt>
                <c:pt idx="659">
                  <c:v>2.1983365316168002</c:v>
                </c:pt>
                <c:pt idx="660">
                  <c:v>2.1829851244992815</c:v>
                </c:pt>
                <c:pt idx="661">
                  <c:v>2.1939135920668944</c:v>
                </c:pt>
                <c:pt idx="662">
                  <c:v>2.1392129954665142</c:v>
                </c:pt>
                <c:pt idx="663">
                  <c:v>2.1381812585289701</c:v>
                </c:pt>
                <c:pt idx="664">
                  <c:v>2.1221484114006346</c:v>
                </c:pt>
                <c:pt idx="665">
                  <c:v>2.1036565997525907</c:v>
                </c:pt>
                <c:pt idx="666">
                  <c:v>2.1142170477479878</c:v>
                </c:pt>
                <c:pt idx="667">
                  <c:v>2.0727005872336286</c:v>
                </c:pt>
                <c:pt idx="668">
                  <c:v>2.0526922336680147</c:v>
                </c:pt>
                <c:pt idx="669">
                  <c:v>2.0313648496343428</c:v>
                </c:pt>
                <c:pt idx="670">
                  <c:v>2.0531927916236765</c:v>
                </c:pt>
                <c:pt idx="671">
                  <c:v>2.0401532633198851</c:v>
                </c:pt>
                <c:pt idx="672">
                  <c:v>2.0598496557941863</c:v>
                </c:pt>
                <c:pt idx="673">
                  <c:v>2.0291663928914203</c:v>
                </c:pt>
                <c:pt idx="674">
                  <c:v>2.0355972703461784</c:v>
                </c:pt>
                <c:pt idx="675">
                  <c:v>2.0109565283029047</c:v>
                </c:pt>
                <c:pt idx="676">
                  <c:v>1.9773451341705974</c:v>
                </c:pt>
                <c:pt idx="677">
                  <c:v>2.0134466300736298</c:v>
                </c:pt>
                <c:pt idx="678">
                  <c:v>1.9871129236487217</c:v>
                </c:pt>
                <c:pt idx="679">
                  <c:v>1.9918729176715011</c:v>
                </c:pt>
                <c:pt idx="680">
                  <c:v>1.9537695249156162</c:v>
                </c:pt>
                <c:pt idx="681">
                  <c:v>1.9142296855706535</c:v>
                </c:pt>
                <c:pt idx="682">
                  <c:v>1.8835863282658407</c:v>
                </c:pt>
                <c:pt idx="683">
                  <c:v>1.8830028141699267</c:v>
                </c:pt>
                <c:pt idx="684">
                  <c:v>1.9060328589833471</c:v>
                </c:pt>
                <c:pt idx="685">
                  <c:v>1.9382248752988733</c:v>
                </c:pt>
                <c:pt idx="686">
                  <c:v>1.8502939923900421</c:v>
                </c:pt>
                <c:pt idx="687">
                  <c:v>1.9299366381226182</c:v>
                </c:pt>
                <c:pt idx="688">
                  <c:v>1.9210935836363041</c:v>
                </c:pt>
                <c:pt idx="689">
                  <c:v>1.9218218900198369</c:v>
                </c:pt>
                <c:pt idx="690">
                  <c:v>1.9200102351595052</c:v>
                </c:pt>
                <c:pt idx="691">
                  <c:v>1.9514748040638736</c:v>
                </c:pt>
                <c:pt idx="692">
                  <c:v>1.9609854810252947</c:v>
                </c:pt>
                <c:pt idx="693">
                  <c:v>1.9528659154089238</c:v>
                </c:pt>
                <c:pt idx="694">
                  <c:v>1.9509567894360709</c:v>
                </c:pt>
                <c:pt idx="695">
                  <c:v>1.9477666660526081</c:v>
                </c:pt>
                <c:pt idx="696">
                  <c:v>1.9555094543848519</c:v>
                </c:pt>
                <c:pt idx="697">
                  <c:v>1.9299600366080047</c:v>
                </c:pt>
                <c:pt idx="698">
                  <c:v>1.9398067604329443</c:v>
                </c:pt>
                <c:pt idx="699">
                  <c:v>1.9563151610629443</c:v>
                </c:pt>
                <c:pt idx="700">
                  <c:v>1.9511669289378712</c:v>
                </c:pt>
                <c:pt idx="701">
                  <c:v>1.9349452772297264</c:v>
                </c:pt>
                <c:pt idx="702">
                  <c:v>1.9483526578327426</c:v>
                </c:pt>
                <c:pt idx="703">
                  <c:v>1.9659848117832361</c:v>
                </c:pt>
                <c:pt idx="704">
                  <c:v>1.9730667752896183</c:v>
                </c:pt>
                <c:pt idx="705">
                  <c:v>1.9503642599833573</c:v>
                </c:pt>
                <c:pt idx="706">
                  <c:v>1.9481545072902278</c:v>
                </c:pt>
                <c:pt idx="707">
                  <c:v>1.9550807813409483</c:v>
                </c:pt>
                <c:pt idx="708">
                  <c:v>1.9458729196959927</c:v>
                </c:pt>
                <c:pt idx="709">
                  <c:v>1.957712071281593</c:v>
                </c:pt>
                <c:pt idx="710">
                  <c:v>1.941289637950691</c:v>
                </c:pt>
                <c:pt idx="711">
                  <c:v>1.913725822188856</c:v>
                </c:pt>
                <c:pt idx="712">
                  <c:v>1.9181864324267304</c:v>
                </c:pt>
                <c:pt idx="713">
                  <c:v>1.9352402878755006</c:v>
                </c:pt>
                <c:pt idx="714">
                  <c:v>1.9096600573539846</c:v>
                </c:pt>
                <c:pt idx="715">
                  <c:v>1.9219349062106805</c:v>
                </c:pt>
                <c:pt idx="716">
                  <c:v>1.9109215223267753</c:v>
                </c:pt>
                <c:pt idx="717">
                  <c:v>1.8776914086490863</c:v>
                </c:pt>
                <c:pt idx="718">
                  <c:v>1.8546272161821122</c:v>
                </c:pt>
                <c:pt idx="719">
                  <c:v>1.8261203780961832</c:v>
                </c:pt>
                <c:pt idx="720">
                  <c:v>1.8177116160685536</c:v>
                </c:pt>
                <c:pt idx="721">
                  <c:v>1.800691807533592</c:v>
                </c:pt>
                <c:pt idx="722">
                  <c:v>1.7780730384556913</c:v>
                </c:pt>
                <c:pt idx="723">
                  <c:v>1.7636571043416351</c:v>
                </c:pt>
                <c:pt idx="724">
                  <c:v>1.7657792861308548</c:v>
                </c:pt>
                <c:pt idx="725">
                  <c:v>1.7687201487537825</c:v>
                </c:pt>
                <c:pt idx="726">
                  <c:v>1.7643018307597167</c:v>
                </c:pt>
                <c:pt idx="727">
                  <c:v>1.7663115811534933</c:v>
                </c:pt>
                <c:pt idx="728">
                  <c:v>1.7686179398654931</c:v>
                </c:pt>
                <c:pt idx="729">
                  <c:v>1.7559910197485489</c:v>
                </c:pt>
                <c:pt idx="730">
                  <c:v>1.7657394439762153</c:v>
                </c:pt>
                <c:pt idx="731">
                  <c:v>1.7516139967151279</c:v>
                </c:pt>
                <c:pt idx="732">
                  <c:v>1.7479708523359438</c:v>
                </c:pt>
                <c:pt idx="733">
                  <c:v>1.7317774048359438</c:v>
                </c:pt>
                <c:pt idx="734">
                  <c:v>1.7269361208084575</c:v>
                </c:pt>
                <c:pt idx="735">
                  <c:v>1.7219545947396082</c:v>
                </c:pt>
                <c:pt idx="736">
                  <c:v>1.7278791370914655</c:v>
                </c:pt>
                <c:pt idx="737">
                  <c:v>1.7331979516577714</c:v>
                </c:pt>
                <c:pt idx="738">
                  <c:v>1.7172427704174933</c:v>
                </c:pt>
                <c:pt idx="739">
                  <c:v>1.7111017442942766</c:v>
                </c:pt>
                <c:pt idx="740">
                  <c:v>1.7155900294689865</c:v>
                </c:pt>
                <c:pt idx="741">
                  <c:v>1.7196174325869826</c:v>
                </c:pt>
                <c:pt idx="742">
                  <c:v>1.7078842948362247</c:v>
                </c:pt>
                <c:pt idx="743">
                  <c:v>1.7070274496380262</c:v>
                </c:pt>
                <c:pt idx="744">
                  <c:v>1.6932294730613073</c:v>
                </c:pt>
                <c:pt idx="745">
                  <c:v>1.6745992903164764</c:v>
                </c:pt>
                <c:pt idx="746">
                  <c:v>1.6724462244642435</c:v>
                </c:pt>
                <c:pt idx="747">
                  <c:v>1.6601875848515979</c:v>
                </c:pt>
                <c:pt idx="748">
                  <c:v>1.6646788124310035</c:v>
                </c:pt>
                <c:pt idx="749">
                  <c:v>1.6498273498427629</c:v>
                </c:pt>
                <c:pt idx="750">
                  <c:v>1.6494805469459888</c:v>
                </c:pt>
                <c:pt idx="751">
                  <c:v>1.6555401930608817</c:v>
                </c:pt>
                <c:pt idx="752">
                  <c:v>1.6475139663394043</c:v>
                </c:pt>
                <c:pt idx="753">
                  <c:v>1.6325302766247831</c:v>
                </c:pt>
                <c:pt idx="754">
                  <c:v>1.6324716550214513</c:v>
                </c:pt>
                <c:pt idx="755">
                  <c:v>1.6243768693387464</c:v>
                </c:pt>
                <c:pt idx="756">
                  <c:v>1.6136795451186787</c:v>
                </c:pt>
                <c:pt idx="757">
                  <c:v>1.6226017606580549</c:v>
                </c:pt>
                <c:pt idx="758">
                  <c:v>1.6261376869033104</c:v>
                </c:pt>
                <c:pt idx="759">
                  <c:v>1.6322944599287668</c:v>
                </c:pt>
                <c:pt idx="760">
                  <c:v>1.6415095146655916</c:v>
                </c:pt>
                <c:pt idx="761">
                  <c:v>1.6311527426200974</c:v>
                </c:pt>
                <c:pt idx="762">
                  <c:v>1.6200343995291882</c:v>
                </c:pt>
                <c:pt idx="763">
                  <c:v>1.6094443707312602</c:v>
                </c:pt>
                <c:pt idx="764">
                  <c:v>1.6152573603179676</c:v>
                </c:pt>
                <c:pt idx="765">
                  <c:v>1.6165267196286008</c:v>
                </c:pt>
                <c:pt idx="766">
                  <c:v>1.6218648750203895</c:v>
                </c:pt>
                <c:pt idx="767">
                  <c:v>1.6308407038192481</c:v>
                </c:pt>
                <c:pt idx="768">
                  <c:v>1.6185247875351911</c:v>
                </c:pt>
                <c:pt idx="769">
                  <c:v>1.6277739051947913</c:v>
                </c:pt>
                <c:pt idx="770">
                  <c:v>1.6156090903185722</c:v>
                </c:pt>
                <c:pt idx="771">
                  <c:v>1.6162510237844143</c:v>
                </c:pt>
                <c:pt idx="772">
                  <c:v>1.5966550921823945</c:v>
                </c:pt>
                <c:pt idx="773">
                  <c:v>1.6068427469550246</c:v>
                </c:pt>
                <c:pt idx="774">
                  <c:v>1.6143741973818586</c:v>
                </c:pt>
                <c:pt idx="775">
                  <c:v>1.6108326479165185</c:v>
                </c:pt>
                <c:pt idx="776">
                  <c:v>1.6147038470011679</c:v>
                </c:pt>
                <c:pt idx="777">
                  <c:v>1.6126576450591206</c:v>
                </c:pt>
                <c:pt idx="778">
                  <c:v>1.6089783965636251</c:v>
                </c:pt>
                <c:pt idx="779">
                  <c:v>1.609752618876878</c:v>
                </c:pt>
                <c:pt idx="780">
                  <c:v>1.6141618771698751</c:v>
                </c:pt>
                <c:pt idx="781">
                  <c:v>1.6192472466064809</c:v>
                </c:pt>
                <c:pt idx="782">
                  <c:v>1.6146652533364485</c:v>
                </c:pt>
                <c:pt idx="783">
                  <c:v>1.6198775377297689</c:v>
                </c:pt>
                <c:pt idx="784">
                  <c:v>1.6108820717326591</c:v>
                </c:pt>
                <c:pt idx="785">
                  <c:v>1.5962384054367071</c:v>
                </c:pt>
                <c:pt idx="786">
                  <c:v>1.6034291641127165</c:v>
                </c:pt>
                <c:pt idx="787">
                  <c:v>1.6022487681384308</c:v>
                </c:pt>
                <c:pt idx="788">
                  <c:v>1.6098990335215919</c:v>
                </c:pt>
                <c:pt idx="789">
                  <c:v>1.605238268387551</c:v>
                </c:pt>
                <c:pt idx="790">
                  <c:v>1.6105023295156971</c:v>
                </c:pt>
                <c:pt idx="791">
                  <c:v>1.5936700830795785</c:v>
                </c:pt>
                <c:pt idx="792">
                  <c:v>1.6058501540024206</c:v>
                </c:pt>
                <c:pt idx="793">
                  <c:v>1.5857235974512773</c:v>
                </c:pt>
                <c:pt idx="794">
                  <c:v>1.5877342233513196</c:v>
                </c:pt>
                <c:pt idx="795">
                  <c:v>1.5771078681402768</c:v>
                </c:pt>
                <c:pt idx="796">
                  <c:v>1.596071268782967</c:v>
                </c:pt>
                <c:pt idx="797">
                  <c:v>1.5799031733994982</c:v>
                </c:pt>
                <c:pt idx="798">
                  <c:v>1.5865749562474951</c:v>
                </c:pt>
                <c:pt idx="799">
                  <c:v>1.595494672762138</c:v>
                </c:pt>
                <c:pt idx="800">
                  <c:v>1.5999334654802604</c:v>
                </c:pt>
                <c:pt idx="801">
                  <c:v>1.6035952174255603</c:v>
                </c:pt>
                <c:pt idx="802">
                  <c:v>1.6090045226644394</c:v>
                </c:pt>
                <c:pt idx="803">
                  <c:v>1.6056033168237192</c:v>
                </c:pt>
                <c:pt idx="804">
                  <c:v>1.6080882581038733</c:v>
                </c:pt>
                <c:pt idx="805">
                  <c:v>1.6155505492147622</c:v>
                </c:pt>
                <c:pt idx="806">
                  <c:v>1.6121244294374675</c:v>
                </c:pt>
                <c:pt idx="807">
                  <c:v>1.6085876590186818</c:v>
                </c:pt>
                <c:pt idx="808">
                  <c:v>1.5962179946186816</c:v>
                </c:pt>
                <c:pt idx="809">
                  <c:v>1.5985000661625541</c:v>
                </c:pt>
                <c:pt idx="810">
                  <c:v>1.5902224350864311</c:v>
                </c:pt>
                <c:pt idx="811">
                  <c:v>1.5906826751303786</c:v>
                </c:pt>
                <c:pt idx="812">
                  <c:v>1.5948849056884908</c:v>
                </c:pt>
                <c:pt idx="813">
                  <c:v>1.5939752667141993</c:v>
                </c:pt>
                <c:pt idx="814">
                  <c:v>1.5934709439130172</c:v>
                </c:pt>
                <c:pt idx="815">
                  <c:v>1.5907606708648769</c:v>
                </c:pt>
                <c:pt idx="816">
                  <c:v>1.5846000325048886</c:v>
                </c:pt>
                <c:pt idx="817">
                  <c:v>1.5805133925065988</c:v>
                </c:pt>
                <c:pt idx="818">
                  <c:v>1.5763119714174814</c:v>
                </c:pt>
                <c:pt idx="819">
                  <c:v>1.5658879578269149</c:v>
                </c:pt>
                <c:pt idx="820">
                  <c:v>1.5642879597748456</c:v>
                </c:pt>
                <c:pt idx="821">
                  <c:v>1.5621424004049007</c:v>
                </c:pt>
                <c:pt idx="822">
                  <c:v>1.5550171699582973</c:v>
                </c:pt>
                <c:pt idx="823">
                  <c:v>1.5626539472590379</c:v>
                </c:pt>
                <c:pt idx="824">
                  <c:v>1.5532609802463</c:v>
                </c:pt>
                <c:pt idx="825">
                  <c:v>1.5513794105812038</c:v>
                </c:pt>
                <c:pt idx="826">
                  <c:v>1.5345542116005308</c:v>
                </c:pt>
                <c:pt idx="827">
                  <c:v>1.5277650610692894</c:v>
                </c:pt>
                <c:pt idx="828">
                  <c:v>1.5366331557377493</c:v>
                </c:pt>
                <c:pt idx="829">
                  <c:v>1.5468942566912249</c:v>
                </c:pt>
                <c:pt idx="830">
                  <c:v>1.5448447795415461</c:v>
                </c:pt>
                <c:pt idx="831">
                  <c:v>1.5310289909836829</c:v>
                </c:pt>
                <c:pt idx="832">
                  <c:v>1.5274544808537118</c:v>
                </c:pt>
                <c:pt idx="833">
                  <c:v>1.5272661327381285</c:v>
                </c:pt>
                <c:pt idx="834">
                  <c:v>1.5177499943202437</c:v>
                </c:pt>
                <c:pt idx="835">
                  <c:v>1.5252474114543246</c:v>
                </c:pt>
                <c:pt idx="836">
                  <c:v>1.529105964546549</c:v>
                </c:pt>
                <c:pt idx="837">
                  <c:v>1.5207131067647872</c:v>
                </c:pt>
                <c:pt idx="838">
                  <c:v>1.5122146392575655</c:v>
                </c:pt>
                <c:pt idx="839">
                  <c:v>1.5072375961513771</c:v>
                </c:pt>
                <c:pt idx="840">
                  <c:v>1.5206081221247554</c:v>
                </c:pt>
                <c:pt idx="841">
                  <c:v>1.5184217353305729</c:v>
                </c:pt>
                <c:pt idx="842">
                  <c:v>1.4977022353060192</c:v>
                </c:pt>
                <c:pt idx="843">
                  <c:v>1.5002283150282412</c:v>
                </c:pt>
                <c:pt idx="844">
                  <c:v>1.4906778312728384</c:v>
                </c:pt>
                <c:pt idx="845">
                  <c:v>1.4955536112852736</c:v>
                </c:pt>
                <c:pt idx="846">
                  <c:v>1.4910355481479241</c:v>
                </c:pt>
                <c:pt idx="847">
                  <c:v>1.4882702210533341</c:v>
                </c:pt>
                <c:pt idx="848">
                  <c:v>1.4869857514630545</c:v>
                </c:pt>
                <c:pt idx="849">
                  <c:v>1.478213488765624</c:v>
                </c:pt>
                <c:pt idx="850">
                  <c:v>1.4817846468122804</c:v>
                </c:pt>
                <c:pt idx="851">
                  <c:v>1.470780294815726</c:v>
                </c:pt>
                <c:pt idx="852">
                  <c:v>1.4726974524813827</c:v>
                </c:pt>
                <c:pt idx="853">
                  <c:v>1.4669337056298872</c:v>
                </c:pt>
                <c:pt idx="854">
                  <c:v>1.4555187070738425</c:v>
                </c:pt>
                <c:pt idx="855">
                  <c:v>1.4573148965565379</c:v>
                </c:pt>
                <c:pt idx="856">
                  <c:v>1.449506430213845</c:v>
                </c:pt>
                <c:pt idx="857">
                  <c:v>1.4622851135898167</c:v>
                </c:pt>
                <c:pt idx="858">
                  <c:v>1.4702935216946564</c:v>
                </c:pt>
                <c:pt idx="859">
                  <c:v>1.4729500572092245</c:v>
                </c:pt>
                <c:pt idx="860">
                  <c:v>1.4786915957784648</c:v>
                </c:pt>
                <c:pt idx="861">
                  <c:v>1.4774139780887179</c:v>
                </c:pt>
                <c:pt idx="862">
                  <c:v>1.4732142266277022</c:v>
                </c:pt>
                <c:pt idx="863">
                  <c:v>1.4689190392275944</c:v>
                </c:pt>
                <c:pt idx="864">
                  <c:v>1.4607245571544079</c:v>
                </c:pt>
                <c:pt idx="865">
                  <c:v>1.4628919406711665</c:v>
                </c:pt>
                <c:pt idx="866">
                  <c:v>1.4735526752748587</c:v>
                </c:pt>
                <c:pt idx="867">
                  <c:v>1.4711074029853475</c:v>
                </c:pt>
                <c:pt idx="868">
                  <c:v>1.4724758379294633</c:v>
                </c:pt>
                <c:pt idx="869">
                  <c:v>1.4590382726756688</c:v>
                </c:pt>
                <c:pt idx="870">
                  <c:v>1.4670482249723185</c:v>
                </c:pt>
                <c:pt idx="871">
                  <c:v>1.4699720944904011</c:v>
                </c:pt>
                <c:pt idx="872">
                  <c:v>1.4704381431699773</c:v>
                </c:pt>
                <c:pt idx="873">
                  <c:v>1.4688283008097534</c:v>
                </c:pt>
                <c:pt idx="874">
                  <c:v>1.4633851530147262</c:v>
                </c:pt>
                <c:pt idx="875">
                  <c:v>1.4767968051817462</c:v>
                </c:pt>
                <c:pt idx="876">
                  <c:v>1.4721693749356426</c:v>
                </c:pt>
                <c:pt idx="877">
                  <c:v>1.4790657591651672</c:v>
                </c:pt>
                <c:pt idx="878">
                  <c:v>1.4855674022362586</c:v>
                </c:pt>
                <c:pt idx="879">
                  <c:v>1.4697634986964301</c:v>
                </c:pt>
                <c:pt idx="880">
                  <c:v>1.4659514714153827</c:v>
                </c:pt>
                <c:pt idx="881">
                  <c:v>1.4764470981057483</c:v>
                </c:pt>
                <c:pt idx="882">
                  <c:v>1.4731244549864189</c:v>
                </c:pt>
                <c:pt idx="883">
                  <c:v>1.4808541767055692</c:v>
                </c:pt>
                <c:pt idx="884">
                  <c:v>1.493795064666984</c:v>
                </c:pt>
                <c:pt idx="885">
                  <c:v>1.4903722557469028</c:v>
                </c:pt>
                <c:pt idx="886">
                  <c:v>1.4973250308906132</c:v>
                </c:pt>
                <c:pt idx="887">
                  <c:v>1.4949875581903722</c:v>
                </c:pt>
                <c:pt idx="888">
                  <c:v>1.4989143193218502</c:v>
                </c:pt>
                <c:pt idx="889">
                  <c:v>1.4976237970743427</c:v>
                </c:pt>
                <c:pt idx="890">
                  <c:v>1.4936868359279305</c:v>
                </c:pt>
                <c:pt idx="891">
                  <c:v>1.4965688362534018</c:v>
                </c:pt>
                <c:pt idx="892">
                  <c:v>1.4991583426376629</c:v>
                </c:pt>
                <c:pt idx="893">
                  <c:v>1.4904457883389319</c:v>
                </c:pt>
                <c:pt idx="894">
                  <c:v>1.4843875780611537</c:v>
                </c:pt>
                <c:pt idx="895">
                  <c:v>1.4837859522003449</c:v>
                </c:pt>
                <c:pt idx="896">
                  <c:v>1.4830464559230652</c:v>
                </c:pt>
                <c:pt idx="897">
                  <c:v>1.4724302904284035</c:v>
                </c:pt>
                <c:pt idx="898">
                  <c:v>1.4819463984149217</c:v>
                </c:pt>
                <c:pt idx="899">
                  <c:v>1.4889107588311832</c:v>
                </c:pt>
                <c:pt idx="900">
                  <c:v>1.4898094680976508</c:v>
                </c:pt>
                <c:pt idx="901">
                  <c:v>1.4796856021596161</c:v>
                </c:pt>
                <c:pt idx="902">
                  <c:v>1.4759799800532614</c:v>
                </c:pt>
                <c:pt idx="903">
                  <c:v>1.4882327191277134</c:v>
                </c:pt>
                <c:pt idx="904">
                  <c:v>1.4751562610849855</c:v>
                </c:pt>
                <c:pt idx="905">
                  <c:v>1.4567409743780115</c:v>
                </c:pt>
                <c:pt idx="906">
                  <c:v>1.4616905877178807</c:v>
                </c:pt>
                <c:pt idx="907">
                  <c:v>1.456748892700592</c:v>
                </c:pt>
                <c:pt idx="908">
                  <c:v>1.4580229325207754</c:v>
                </c:pt>
                <c:pt idx="909">
                  <c:v>1.4634059486020101</c:v>
                </c:pt>
                <c:pt idx="910">
                  <c:v>1.4634437156939357</c:v>
                </c:pt>
                <c:pt idx="911">
                  <c:v>1.4428900500180928</c:v>
                </c:pt>
                <c:pt idx="912">
                  <c:v>1.4264934571980925</c:v>
                </c:pt>
                <c:pt idx="913">
                  <c:v>1.4183749152961096</c:v>
                </c:pt>
                <c:pt idx="914">
                  <c:v>1.4273467852676573</c:v>
                </c:pt>
                <c:pt idx="915">
                  <c:v>1.4157282857254174</c:v>
                </c:pt>
                <c:pt idx="916">
                  <c:v>1.4234113794832624</c:v>
                </c:pt>
                <c:pt idx="917">
                  <c:v>1.4106501602282338</c:v>
                </c:pt>
                <c:pt idx="918">
                  <c:v>1.4153054942823482</c:v>
                </c:pt>
                <c:pt idx="919">
                  <c:v>1.4099502280979683</c:v>
                </c:pt>
                <c:pt idx="920">
                  <c:v>1.4218864106025899</c:v>
                </c:pt>
                <c:pt idx="921">
                  <c:v>1.4271299890616023</c:v>
                </c:pt>
                <c:pt idx="922">
                  <c:v>1.4264607990429548</c:v>
                </c:pt>
                <c:pt idx="923">
                  <c:v>1.4059777796898922</c:v>
                </c:pt>
                <c:pt idx="924">
                  <c:v>1.4121183387017158</c:v>
                </c:pt>
                <c:pt idx="925">
                  <c:v>1.3746919782343823</c:v>
                </c:pt>
                <c:pt idx="926">
                  <c:v>1.3365282512491947</c:v>
                </c:pt>
                <c:pt idx="927">
                  <c:v>1.3706486319801736</c:v>
                </c:pt>
                <c:pt idx="928">
                  <c:v>1.3435620165241098</c:v>
                </c:pt>
                <c:pt idx="929">
                  <c:v>1.3616636906069517</c:v>
                </c:pt>
                <c:pt idx="930">
                  <c:v>1.3595181988871308</c:v>
                </c:pt>
                <c:pt idx="931">
                  <c:v>1.3419916152154774</c:v>
                </c:pt>
                <c:pt idx="932">
                  <c:v>1.3483542350841755</c:v>
                </c:pt>
                <c:pt idx="933">
                  <c:v>1.3547157588986292</c:v>
                </c:pt>
                <c:pt idx="934">
                  <c:v>1.363163219196136</c:v>
                </c:pt>
                <c:pt idx="935">
                  <c:v>1.3657227561352721</c:v>
                </c:pt>
                <c:pt idx="936">
                  <c:v>1.3648795522395534</c:v>
                </c:pt>
                <c:pt idx="937">
                  <c:v>1.3731777274562225</c:v>
                </c:pt>
                <c:pt idx="938">
                  <c:v>1.3844321144451797</c:v>
                </c:pt>
                <c:pt idx="939">
                  <c:v>1.387935306801376</c:v>
                </c:pt>
                <c:pt idx="940">
                  <c:v>1.3829177913973818</c:v>
                </c:pt>
                <c:pt idx="941">
                  <c:v>1.3864634261268933</c:v>
                </c:pt>
                <c:pt idx="942">
                  <c:v>1.3786783824686639</c:v>
                </c:pt>
                <c:pt idx="943">
                  <c:v>1.397818896656831</c:v>
                </c:pt>
                <c:pt idx="944">
                  <c:v>1.3779881543761043</c:v>
                </c:pt>
                <c:pt idx="945">
                  <c:v>1.3757274204673837</c:v>
                </c:pt>
                <c:pt idx="946">
                  <c:v>1.3815164421304056</c:v>
                </c:pt>
                <c:pt idx="947">
                  <c:v>1.3836570570142912</c:v>
                </c:pt>
                <c:pt idx="948">
                  <c:v>1.3953169402764316</c:v>
                </c:pt>
                <c:pt idx="949">
                  <c:v>1.3803018873427668</c:v>
                </c:pt>
                <c:pt idx="950">
                  <c:v>1.4071724639134586</c:v>
                </c:pt>
                <c:pt idx="951">
                  <c:v>1.4163952066660066</c:v>
                </c:pt>
                <c:pt idx="952">
                  <c:v>1.3859288917325723</c:v>
                </c:pt>
                <c:pt idx="953">
                  <c:v>1.346931949350465</c:v>
                </c:pt>
                <c:pt idx="954">
                  <c:v>1.335279442756526</c:v>
                </c:pt>
                <c:pt idx="955">
                  <c:v>1.3339267378399651</c:v>
                </c:pt>
                <c:pt idx="956">
                  <c:v>1.3189290017960125</c:v>
                </c:pt>
                <c:pt idx="957">
                  <c:v>1.3306751393665059</c:v>
                </c:pt>
                <c:pt idx="958">
                  <c:v>1.334883890035435</c:v>
                </c:pt>
                <c:pt idx="959">
                  <c:v>1.3379945676328389</c:v>
                </c:pt>
                <c:pt idx="960">
                  <c:v>1.3377886574617064</c:v>
                </c:pt>
                <c:pt idx="961">
                  <c:v>1.3005897350919529</c:v>
                </c:pt>
                <c:pt idx="962">
                  <c:v>1.2825369562426607</c:v>
                </c:pt>
                <c:pt idx="963">
                  <c:v>1.2475438030610611</c:v>
                </c:pt>
                <c:pt idx="964">
                  <c:v>1.2647726884109103</c:v>
                </c:pt>
                <c:pt idx="965">
                  <c:v>1.2629497779168486</c:v>
                </c:pt>
                <c:pt idx="966">
                  <c:v>1.2698150390236862</c:v>
                </c:pt>
                <c:pt idx="967">
                  <c:v>1.2627587804401905</c:v>
                </c:pt>
                <c:pt idx="968">
                  <c:v>1.2381324085229919</c:v>
                </c:pt>
                <c:pt idx="969">
                  <c:v>1.2555471452142772</c:v>
                </c:pt>
                <c:pt idx="970">
                  <c:v>1.2787932027534847</c:v>
                </c:pt>
                <c:pt idx="971">
                  <c:v>1.2828068451904349</c:v>
                </c:pt>
                <c:pt idx="972">
                  <c:v>1.2857897436935799</c:v>
                </c:pt>
                <c:pt idx="973">
                  <c:v>1.2520873356966273</c:v>
                </c:pt>
                <c:pt idx="974">
                  <c:v>1.2672450442794554</c:v>
                </c:pt>
                <c:pt idx="975">
                  <c:v>1.2374587071405512</c:v>
                </c:pt>
                <c:pt idx="976">
                  <c:v>1.2515849009338313</c:v>
                </c:pt>
                <c:pt idx="977">
                  <c:v>1.2603342310342005</c:v>
                </c:pt>
                <c:pt idx="978">
                  <c:v>1.277521791634014</c:v>
                </c:pt>
                <c:pt idx="979">
                  <c:v>1.2568630837956476</c:v>
                </c:pt>
                <c:pt idx="980">
                  <c:v>1.2308172398138035</c:v>
                </c:pt>
                <c:pt idx="981">
                  <c:v>1.2180727015351904</c:v>
                </c:pt>
                <c:pt idx="982">
                  <c:v>1.2479546011724891</c:v>
                </c:pt>
                <c:pt idx="983">
                  <c:v>1.2090172542879163</c:v>
                </c:pt>
                <c:pt idx="984">
                  <c:v>1.172439063198462</c:v>
                </c:pt>
                <c:pt idx="985">
                  <c:v>1.1560994313775359</c:v>
                </c:pt>
                <c:pt idx="986">
                  <c:v>1.1190146315937282</c:v>
                </c:pt>
                <c:pt idx="987">
                  <c:v>1.1021567420401548</c:v>
                </c:pt>
                <c:pt idx="988">
                  <c:v>1.1053542156293161</c:v>
                </c:pt>
                <c:pt idx="989">
                  <c:v>1.0848314715531793</c:v>
                </c:pt>
                <c:pt idx="990">
                  <c:v>1.0801502644727301</c:v>
                </c:pt>
                <c:pt idx="991">
                  <c:v>1.0478870945137153</c:v>
                </c:pt>
                <c:pt idx="992">
                  <c:v>1.0435789602981154</c:v>
                </c:pt>
                <c:pt idx="993">
                  <c:v>1.0347917251331986</c:v>
                </c:pt>
                <c:pt idx="994">
                  <c:v>1.0212049344664058</c:v>
                </c:pt>
                <c:pt idx="995">
                  <c:v>1.0388049023952008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A-4F5F-92BE-E081F96E4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53903"/>
        <c:axId val="1811154735"/>
      </c:lineChart>
      <c:dateAx>
        <c:axId val="1811153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54735"/>
        <c:crosses val="autoZero"/>
        <c:auto val="1"/>
        <c:lblOffset val="100"/>
        <c:baseTimeUnit val="days"/>
      </c:dateAx>
      <c:valAx>
        <c:axId val="181115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53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E2F0AAC-C609-4C24-8574-C3A87E466806}">
  <sheetPr/>
  <sheetViews>
    <sheetView zoomScale="9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82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6BFB7C-72BB-45EE-B421-AD46D165CAB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691.77</v>
      </c>
      <c r="D2" s="4">
        <f>MIN(D3:D1912)</f>
        <v>4.12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375.1</v>
      </c>
      <c r="C5">
        <v>378.5</v>
      </c>
      <c r="D5">
        <v>369.2</v>
      </c>
      <c r="E5">
        <v>369.8</v>
      </c>
      <c r="F5">
        <v>56196.392999999996</v>
      </c>
      <c r="G5">
        <v>369.8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-0.8709677419354791</v>
      </c>
      <c r="Q5">
        <f t="shared" ref="Q5" si="1">F5*P5</f>
        <v>-48945.245516128758</v>
      </c>
      <c r="R5">
        <f t="shared" ref="R5" si="2">R6+Q5</f>
        <v>557478263.33679926</v>
      </c>
      <c r="S5">
        <f t="shared" ref="S5" si="3">R5/100000</f>
        <v>5574.7826333679923</v>
      </c>
      <c r="T5">
        <f t="shared" ref="T5" si="4">S5/1000</f>
        <v>5.5747826333679926</v>
      </c>
    </row>
    <row r="6" spans="1:20" x14ac:dyDescent="0.25">
      <c r="A6" s="5">
        <v>44587</v>
      </c>
      <c r="B6">
        <v>385.1</v>
      </c>
      <c r="C6">
        <v>402.4</v>
      </c>
      <c r="D6">
        <v>366.4</v>
      </c>
      <c r="E6">
        <v>375.1</v>
      </c>
      <c r="F6">
        <v>1073520.172</v>
      </c>
      <c r="G6">
        <v>375.1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-0.51666666666666416</v>
      </c>
      <c r="Q6">
        <f t="shared" ref="Q6" si="6">F6*P6</f>
        <v>-554652.08886666398</v>
      </c>
      <c r="R6">
        <f t="shared" ref="R6" si="7">R7+Q6</f>
        <v>557527208.58231544</v>
      </c>
      <c r="S6">
        <f t="shared" ref="S6" si="8">R6/100000</f>
        <v>5575.2720858231542</v>
      </c>
      <c r="T6">
        <f t="shared" ref="T6" si="9">S6/1000</f>
        <v>5.5752720858231539</v>
      </c>
    </row>
    <row r="7" spans="1:20" x14ac:dyDescent="0.25">
      <c r="A7" s="5">
        <v>44586</v>
      </c>
      <c r="B7">
        <v>371.2</v>
      </c>
      <c r="C7">
        <v>389.5</v>
      </c>
      <c r="D7">
        <v>357.4</v>
      </c>
      <c r="E7">
        <v>385.1</v>
      </c>
      <c r="F7">
        <v>1006111.155</v>
      </c>
      <c r="G7">
        <v>385.1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0.72585669781931628</v>
      </c>
      <c r="Q7">
        <f t="shared" ref="Q7" si="11">F7*P7</f>
        <v>730292.52060747833</v>
      </c>
      <c r="R7">
        <f t="shared" ref="R7" si="12">R8+Q7</f>
        <v>558081860.67118216</v>
      </c>
      <c r="S7">
        <f t="shared" ref="S7" si="13">R7/100000</f>
        <v>5580.8186067118213</v>
      </c>
      <c r="T7">
        <f t="shared" ref="T7" si="14">S7/1000</f>
        <v>5.5808186067118211</v>
      </c>
    </row>
    <row r="8" spans="1:20" x14ac:dyDescent="0.25">
      <c r="A8" s="5">
        <v>44585</v>
      </c>
      <c r="B8">
        <v>384</v>
      </c>
      <c r="C8">
        <v>384</v>
      </c>
      <c r="D8">
        <v>336</v>
      </c>
      <c r="E8">
        <v>371.3</v>
      </c>
      <c r="F8">
        <v>1900214.42</v>
      </c>
      <c r="G8">
        <v>371.3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0.47083333333333383</v>
      </c>
      <c r="Q8">
        <f t="shared" ref="Q8" si="16">F8*P8</f>
        <v>894684.28941666754</v>
      </c>
      <c r="R8">
        <f t="shared" ref="R8" si="17">R9+Q8</f>
        <v>557351568.15057468</v>
      </c>
      <c r="S8">
        <f t="shared" ref="S8" si="18">R8/100000</f>
        <v>5573.5156815057471</v>
      </c>
      <c r="T8">
        <f t="shared" ref="T8" si="19">S8/1000</f>
        <v>5.5735156815057474</v>
      </c>
    </row>
    <row r="9" spans="1:20" x14ac:dyDescent="0.25">
      <c r="A9" s="5">
        <v>44584</v>
      </c>
      <c r="B9">
        <v>358.3</v>
      </c>
      <c r="C9">
        <v>389</v>
      </c>
      <c r="D9">
        <v>356.3</v>
      </c>
      <c r="E9">
        <v>383.9</v>
      </c>
      <c r="F9">
        <v>1297043.923</v>
      </c>
      <c r="G9">
        <v>383.9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0.68807339449541138</v>
      </c>
      <c r="Q9">
        <f t="shared" ref="Q9" si="21">F9*P9</f>
        <v>892461.41490825498</v>
      </c>
      <c r="R9">
        <f t="shared" ref="R9" si="22">R10+Q9</f>
        <v>556456883.86115801</v>
      </c>
      <c r="S9">
        <f t="shared" ref="S9" si="23">R9/100000</f>
        <v>5564.5688386115798</v>
      </c>
      <c r="T9">
        <f t="shared" ref="T9" si="24">S9/1000</f>
        <v>5.5645688386115797</v>
      </c>
    </row>
    <row r="10" spans="1:20" x14ac:dyDescent="0.25">
      <c r="A10" s="5">
        <v>44583</v>
      </c>
      <c r="B10">
        <v>383.8</v>
      </c>
      <c r="C10">
        <v>389.6</v>
      </c>
      <c r="D10">
        <v>336.3</v>
      </c>
      <c r="E10">
        <v>358.3</v>
      </c>
      <c r="F10">
        <v>2635609.3859999999</v>
      </c>
      <c r="G10">
        <v>358.3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-0.17448405253283319</v>
      </c>
      <c r="Q10">
        <f t="shared" ref="Q10" si="26">F10*P10</f>
        <v>-459871.80656285223</v>
      </c>
      <c r="R10">
        <f t="shared" ref="R10" si="27">R11+Q10</f>
        <v>555564422.44624972</v>
      </c>
      <c r="S10">
        <f t="shared" ref="S10" si="28">R10/100000</f>
        <v>5555.6442244624968</v>
      </c>
      <c r="T10">
        <f t="shared" ref="T10" si="29">S10/1000</f>
        <v>5.5556442244624966</v>
      </c>
    </row>
    <row r="11" spans="1:20" x14ac:dyDescent="0.25">
      <c r="A11" s="5">
        <v>44582</v>
      </c>
      <c r="B11">
        <v>440.2</v>
      </c>
      <c r="C11">
        <v>444.6</v>
      </c>
      <c r="D11">
        <v>373.7</v>
      </c>
      <c r="E11">
        <v>383.9</v>
      </c>
      <c r="F11">
        <v>1891179.594</v>
      </c>
      <c r="G11">
        <v>383.9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-0.71227080394922471</v>
      </c>
      <c r="Q11">
        <f t="shared" ref="Q11" si="31">F11*P11</f>
        <v>-1347032.0098307484</v>
      </c>
      <c r="R11">
        <f t="shared" ref="R11" si="32">R12+Q11</f>
        <v>556024294.25281262</v>
      </c>
      <c r="S11">
        <f t="shared" ref="S11" si="33">R11/100000</f>
        <v>5560.2429425281262</v>
      </c>
      <c r="T11">
        <f t="shared" ref="T11" si="34">S11/1000</f>
        <v>5.5602429425281263</v>
      </c>
    </row>
    <row r="12" spans="1:20" x14ac:dyDescent="0.25">
      <c r="A12" s="5">
        <v>44581</v>
      </c>
      <c r="B12">
        <v>461.9</v>
      </c>
      <c r="C12">
        <v>478.7</v>
      </c>
      <c r="D12">
        <v>438.2</v>
      </c>
      <c r="E12">
        <v>440.2</v>
      </c>
      <c r="F12">
        <v>1137854.8940000001</v>
      </c>
      <c r="G12">
        <v>440.2</v>
      </c>
      <c r="L12" t="s">
        <v>7</v>
      </c>
      <c r="M12" t="s">
        <v>8</v>
      </c>
      <c r="N12" t="s">
        <v>7</v>
      </c>
      <c r="P12">
        <f t="shared" ref="P12" si="35">IF(C12=D12,0,((E12-D12)-(C12-E12))/(C12-D12))</f>
        <v>-0.90123456790123457</v>
      </c>
      <c r="Q12">
        <f t="shared" ref="Q12" si="36">F12*P12</f>
        <v>-1025474.1637283951</v>
      </c>
      <c r="R12">
        <f t="shared" ref="R12" si="37">R13+Q12</f>
        <v>557371326.26264334</v>
      </c>
      <c r="S12">
        <f t="shared" ref="S12" si="38">R12/100000</f>
        <v>5573.7132626264338</v>
      </c>
      <c r="T12">
        <f t="shared" ref="T12" si="39">S12/1000</f>
        <v>5.5737132626264341</v>
      </c>
    </row>
    <row r="13" spans="1:20" x14ac:dyDescent="0.25">
      <c r="A13" s="5">
        <v>44580</v>
      </c>
      <c r="B13">
        <v>471.5</v>
      </c>
      <c r="C13">
        <v>473.1</v>
      </c>
      <c r="D13">
        <v>453.7</v>
      </c>
      <c r="E13">
        <v>461.9</v>
      </c>
      <c r="F13">
        <v>585750.30000000005</v>
      </c>
      <c r="G13">
        <v>461.9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-0.15463917525773463</v>
      </c>
      <c r="Q13">
        <f t="shared" ref="Q13" si="41">F13*P13</f>
        <v>-90579.94329897064</v>
      </c>
      <c r="R13">
        <f t="shared" ref="R13" si="42">R14+Q13</f>
        <v>558396800.42637169</v>
      </c>
      <c r="S13">
        <f t="shared" ref="S13" si="43">R13/100000</f>
        <v>5583.9680042637174</v>
      </c>
      <c r="T13">
        <f t="shared" ref="T13" si="44">S13/1000</f>
        <v>5.583968004263717</v>
      </c>
    </row>
    <row r="14" spans="1:20" x14ac:dyDescent="0.25">
      <c r="A14" s="5">
        <v>44579</v>
      </c>
      <c r="B14">
        <v>475.1</v>
      </c>
      <c r="C14">
        <v>479.6</v>
      </c>
      <c r="D14">
        <v>457.2</v>
      </c>
      <c r="E14">
        <v>471.4</v>
      </c>
      <c r="F14">
        <v>707491.02599999995</v>
      </c>
      <c r="G14">
        <v>471.4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0.26785714285713991</v>
      </c>
      <c r="Q14">
        <f t="shared" ref="Q14" si="46">F14*P14</f>
        <v>189506.52482142649</v>
      </c>
      <c r="R14">
        <f t="shared" ref="R14" si="47">R15+Q14</f>
        <v>558487380.36967063</v>
      </c>
      <c r="S14">
        <f t="shared" ref="S14" si="48">R14/100000</f>
        <v>5584.8738036967061</v>
      </c>
      <c r="T14">
        <f t="shared" ref="T14" si="49">S14/1000</f>
        <v>5.5848738036967065</v>
      </c>
    </row>
    <row r="15" spans="1:20" x14ac:dyDescent="0.25">
      <c r="A15" s="5">
        <v>44578</v>
      </c>
      <c r="B15">
        <v>498.6</v>
      </c>
      <c r="C15">
        <v>499.1</v>
      </c>
      <c r="D15">
        <v>466.9</v>
      </c>
      <c r="E15">
        <v>475.2</v>
      </c>
      <c r="F15">
        <v>757806.03500000003</v>
      </c>
      <c r="G15">
        <v>475.2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-0.48447204968944102</v>
      </c>
      <c r="Q15">
        <f t="shared" ref="Q15" si="51">F15*P15</f>
        <v>-367135.84304347832</v>
      </c>
      <c r="R15">
        <f t="shared" ref="R15" si="52">R16+Q15</f>
        <v>558297873.84484923</v>
      </c>
      <c r="S15">
        <f t="shared" ref="S15" si="53">R15/100000</f>
        <v>5582.9787384484925</v>
      </c>
      <c r="T15">
        <f t="shared" ref="T15" si="54">S15/1000</f>
        <v>5.5829787384484924</v>
      </c>
    </row>
    <row r="16" spans="1:20" x14ac:dyDescent="0.25">
      <c r="A16" s="5">
        <v>44577</v>
      </c>
      <c r="B16">
        <v>494.5</v>
      </c>
      <c r="C16">
        <v>506</v>
      </c>
      <c r="D16">
        <v>488.6</v>
      </c>
      <c r="E16">
        <v>498.6</v>
      </c>
      <c r="F16">
        <v>507042.33199999999</v>
      </c>
      <c r="G16">
        <v>498.6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0.14942528735632335</v>
      </c>
      <c r="Q16">
        <f t="shared" ref="Q16" si="56">F16*P16</f>
        <v>75764.946160920299</v>
      </c>
      <c r="R16">
        <f t="shared" ref="R16" si="57">R17+Q16</f>
        <v>558665009.68789268</v>
      </c>
      <c r="S16">
        <f t="shared" ref="S16" si="58">R16/100000</f>
        <v>5586.6500968789269</v>
      </c>
      <c r="T16">
        <f t="shared" ref="T16" si="59">S16/1000</f>
        <v>5.5866500968789268</v>
      </c>
    </row>
    <row r="17" spans="1:20" x14ac:dyDescent="0.25">
      <c r="A17" s="5">
        <v>44576</v>
      </c>
      <c r="B17">
        <v>489.9</v>
      </c>
      <c r="C17">
        <v>500.9</v>
      </c>
      <c r="D17">
        <v>485</v>
      </c>
      <c r="E17">
        <v>494.5</v>
      </c>
      <c r="F17">
        <v>548626.20299999998</v>
      </c>
      <c r="G17">
        <v>494.5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0.1949685534591212</v>
      </c>
      <c r="Q17">
        <f t="shared" ref="Q17" si="61">F17*P17</f>
        <v>106964.85718868018</v>
      </c>
      <c r="R17">
        <f t="shared" ref="R17" si="62">R18+Q17</f>
        <v>558589244.74173176</v>
      </c>
      <c r="S17">
        <f t="shared" ref="S17" si="63">R17/100000</f>
        <v>5585.8924474173173</v>
      </c>
      <c r="T17">
        <f t="shared" ref="T17" si="64">S17/1000</f>
        <v>5.5858924474173168</v>
      </c>
    </row>
    <row r="18" spans="1:20" x14ac:dyDescent="0.25">
      <c r="A18" s="5">
        <v>44575</v>
      </c>
      <c r="B18">
        <v>475.1</v>
      </c>
      <c r="C18">
        <v>492.3</v>
      </c>
      <c r="D18">
        <v>467.6</v>
      </c>
      <c r="E18">
        <v>490</v>
      </c>
      <c r="F18">
        <v>797022.18099999998</v>
      </c>
      <c r="G18">
        <v>490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0.81376518218623384</v>
      </c>
      <c r="Q18">
        <f t="shared" ref="Q18" si="66">F18*P18</f>
        <v>648588.90032793442</v>
      </c>
      <c r="R18">
        <f t="shared" ref="R18" si="67">R19+Q18</f>
        <v>558482279.88454306</v>
      </c>
      <c r="S18">
        <f t="shared" ref="S18" si="68">R18/100000</f>
        <v>5584.822798845431</v>
      </c>
      <c r="T18">
        <f t="shared" ref="T18" si="69">S18/1000</f>
        <v>5.5848227988454306</v>
      </c>
    </row>
    <row r="19" spans="1:20" x14ac:dyDescent="0.25">
      <c r="A19" s="5">
        <v>44574</v>
      </c>
      <c r="B19">
        <v>487.8</v>
      </c>
      <c r="C19">
        <v>489.8</v>
      </c>
      <c r="D19">
        <v>466.5</v>
      </c>
      <c r="E19">
        <v>475.2</v>
      </c>
      <c r="F19">
        <v>908052.93700000003</v>
      </c>
      <c r="G19">
        <v>475.2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-0.25321888412017302</v>
      </c>
      <c r="Q19">
        <f t="shared" ref="Q19" si="71">F19*P19</f>
        <v>-229936.15142918579</v>
      </c>
      <c r="R19">
        <f t="shared" ref="R19" si="72">R20+Q19</f>
        <v>557833690.98421514</v>
      </c>
      <c r="S19">
        <f t="shared" ref="S19" si="73">R19/100000</f>
        <v>5578.3369098421517</v>
      </c>
      <c r="T19">
        <f t="shared" ref="T19" si="74">S19/1000</f>
        <v>5.578336909842152</v>
      </c>
    </row>
    <row r="20" spans="1:20" x14ac:dyDescent="0.25">
      <c r="A20" s="5">
        <v>44573</v>
      </c>
      <c r="B20">
        <v>463.6</v>
      </c>
      <c r="C20">
        <v>489.9</v>
      </c>
      <c r="D20">
        <v>456.6</v>
      </c>
      <c r="E20">
        <v>487.8</v>
      </c>
      <c r="F20">
        <v>836124.92799999996</v>
      </c>
      <c r="G20">
        <v>487.8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0.87387387387387572</v>
      </c>
      <c r="Q20">
        <f t="shared" ref="Q20" si="76">F20*P20</f>
        <v>730667.72987387539</v>
      </c>
      <c r="R20">
        <f t="shared" ref="R20" si="77">R21+Q20</f>
        <v>558063627.13564432</v>
      </c>
      <c r="S20">
        <f t="shared" ref="S20" si="78">R20/100000</f>
        <v>5580.6362713564431</v>
      </c>
      <c r="T20">
        <f t="shared" ref="T20" si="79">S20/1000</f>
        <v>5.5806362713564432</v>
      </c>
    </row>
    <row r="21" spans="1:20" x14ac:dyDescent="0.25">
      <c r="A21" s="5">
        <v>44572</v>
      </c>
      <c r="B21">
        <v>424.8</v>
      </c>
      <c r="C21">
        <v>467.7</v>
      </c>
      <c r="D21">
        <v>421.3</v>
      </c>
      <c r="E21">
        <v>463.6</v>
      </c>
      <c r="F21">
        <v>1266092.8189999999</v>
      </c>
      <c r="G21">
        <v>463.6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0.82327586206896686</v>
      </c>
      <c r="Q21">
        <f t="shared" ref="Q21" si="81">F21*P21</f>
        <v>1042343.6570215534</v>
      </c>
      <c r="R21">
        <f t="shared" ref="R21" si="82">R22+Q21</f>
        <v>557332959.40577042</v>
      </c>
      <c r="S21">
        <f t="shared" ref="S21" si="83">R21/100000</f>
        <v>5573.3295940577045</v>
      </c>
      <c r="T21">
        <f t="shared" ref="T21" si="84">S21/1000</f>
        <v>5.5733295940577046</v>
      </c>
    </row>
    <row r="22" spans="1:20" x14ac:dyDescent="0.25">
      <c r="A22" s="5">
        <v>44571</v>
      </c>
      <c r="B22">
        <v>438.8</v>
      </c>
      <c r="C22">
        <v>445.5</v>
      </c>
      <c r="D22">
        <v>405.6</v>
      </c>
      <c r="E22">
        <v>424.7</v>
      </c>
      <c r="F22">
        <v>1221504.7379999999</v>
      </c>
      <c r="G22">
        <v>424.7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-4.260651629072798E-2</v>
      </c>
      <c r="Q22">
        <f t="shared" ref="Q22" si="86">F22*P22</f>
        <v>-52044.061518798408</v>
      </c>
      <c r="R22">
        <f t="shared" ref="R22" si="87">R23+Q22</f>
        <v>556290615.7487489</v>
      </c>
      <c r="S22">
        <f t="shared" ref="S22" si="88">R22/100000</f>
        <v>5562.9061574874886</v>
      </c>
      <c r="T22">
        <f t="shared" ref="T22" si="89">S22/1000</f>
        <v>5.5629061574874887</v>
      </c>
    </row>
    <row r="23" spans="1:20" x14ac:dyDescent="0.25">
      <c r="A23" s="5">
        <v>44570</v>
      </c>
      <c r="B23">
        <v>429.8</v>
      </c>
      <c r="C23">
        <v>444.5</v>
      </c>
      <c r="D23">
        <v>427</v>
      </c>
      <c r="E23">
        <v>438.7</v>
      </c>
      <c r="F23">
        <v>688777.34699999995</v>
      </c>
      <c r="G23">
        <v>438.7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0.33714285714285586</v>
      </c>
      <c r="Q23">
        <f t="shared" ref="Q23" si="91">F23*P23</f>
        <v>232216.36270285625</v>
      </c>
      <c r="R23">
        <f t="shared" ref="R23" si="92">R24+Q23</f>
        <v>556342659.81026769</v>
      </c>
      <c r="S23">
        <f t="shared" ref="S23" si="93">R23/100000</f>
        <v>5563.4265981026765</v>
      </c>
      <c r="T23">
        <f t="shared" ref="T23" si="94">S23/1000</f>
        <v>5.5634265981026765</v>
      </c>
    </row>
    <row r="24" spans="1:20" x14ac:dyDescent="0.25">
      <c r="A24" s="5">
        <v>44569</v>
      </c>
      <c r="B24">
        <v>448.1</v>
      </c>
      <c r="C24">
        <v>459.7</v>
      </c>
      <c r="D24">
        <v>415</v>
      </c>
      <c r="E24">
        <v>429.9</v>
      </c>
      <c r="F24">
        <v>1062788.5889999999</v>
      </c>
      <c r="G24">
        <v>429.9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-0.3333333333333342</v>
      </c>
      <c r="Q24">
        <f t="shared" ref="Q24" si="96">F24*P24</f>
        <v>-354262.86300000089</v>
      </c>
      <c r="R24">
        <f t="shared" ref="R24" si="97">R25+Q24</f>
        <v>556110443.44756484</v>
      </c>
      <c r="S24">
        <f t="shared" ref="S24" si="98">R24/100000</f>
        <v>5561.1044344756483</v>
      </c>
      <c r="T24">
        <f t="shared" ref="T24" si="99">S24/1000</f>
        <v>5.5611044344756486</v>
      </c>
    </row>
    <row r="25" spans="1:20" x14ac:dyDescent="0.25">
      <c r="A25" s="5">
        <v>44568</v>
      </c>
      <c r="B25">
        <v>472.6</v>
      </c>
      <c r="C25">
        <v>473.9</v>
      </c>
      <c r="D25">
        <v>437.5</v>
      </c>
      <c r="E25">
        <v>448.1</v>
      </c>
      <c r="F25">
        <v>1331260.03</v>
      </c>
      <c r="G25">
        <v>448.1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-0.41758241758241599</v>
      </c>
      <c r="Q25">
        <f t="shared" ref="Q25" si="101">F25*P25</f>
        <v>-555910.78175823961</v>
      </c>
      <c r="R25">
        <f t="shared" ref="R25" si="102">R26+Q25</f>
        <v>556464706.31056488</v>
      </c>
      <c r="S25">
        <f t="shared" ref="S25" si="103">R25/100000</f>
        <v>5564.6470631056491</v>
      </c>
      <c r="T25">
        <f t="shared" ref="T25" si="104">S25/1000</f>
        <v>5.5646470631056495</v>
      </c>
    </row>
    <row r="26" spans="1:20" x14ac:dyDescent="0.25">
      <c r="A26" s="5">
        <v>44567</v>
      </c>
      <c r="B26">
        <v>474.2</v>
      </c>
      <c r="C26">
        <v>481.3</v>
      </c>
      <c r="D26">
        <v>458.8</v>
      </c>
      <c r="E26">
        <v>472.6</v>
      </c>
      <c r="F26">
        <v>986669.9</v>
      </c>
      <c r="G26">
        <v>472.6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0.22666666666666768</v>
      </c>
      <c r="Q26">
        <f t="shared" ref="Q26" si="106">F26*P26</f>
        <v>223645.17733333434</v>
      </c>
      <c r="R26">
        <f t="shared" ref="R26" si="107">R27+Q26</f>
        <v>557020617.09232306</v>
      </c>
      <c r="S26">
        <f t="shared" ref="S26" si="108">R26/100000</f>
        <v>5570.2061709232303</v>
      </c>
      <c r="T26">
        <f t="shared" ref="T26" si="109">S26/1000</f>
        <v>5.57020617092323</v>
      </c>
    </row>
    <row r="27" spans="1:20" x14ac:dyDescent="0.25">
      <c r="A27" s="5">
        <v>44566</v>
      </c>
      <c r="B27">
        <v>506.9</v>
      </c>
      <c r="C27">
        <v>516</v>
      </c>
      <c r="D27">
        <v>457</v>
      </c>
      <c r="E27">
        <v>474.1</v>
      </c>
      <c r="F27">
        <v>985152.00399999996</v>
      </c>
      <c r="G27">
        <v>474.1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-0.42033898305084666</v>
      </c>
      <c r="Q27">
        <f t="shared" ref="Q27" si="111">F27*P27</f>
        <v>-414097.79151186359</v>
      </c>
      <c r="R27">
        <f t="shared" ref="R27" si="112">R28+Q27</f>
        <v>556796971.91498971</v>
      </c>
      <c r="S27">
        <f t="shared" ref="S27" si="113">R27/100000</f>
        <v>5567.9697191498972</v>
      </c>
      <c r="T27">
        <f t="shared" ref="T27" si="114">S27/1000</f>
        <v>5.5679697191498976</v>
      </c>
    </row>
    <row r="28" spans="1:20" x14ac:dyDescent="0.25">
      <c r="A28" s="5">
        <v>44565</v>
      </c>
      <c r="B28">
        <v>511.9</v>
      </c>
      <c r="C28">
        <v>520</v>
      </c>
      <c r="D28">
        <v>502</v>
      </c>
      <c r="E28">
        <v>506.9</v>
      </c>
      <c r="F28">
        <v>687436.63800000004</v>
      </c>
      <c r="G28">
        <v>506.9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-0.4555555555555581</v>
      </c>
      <c r="Q28">
        <f t="shared" ref="Q28" si="116">F28*P28</f>
        <v>-313165.57953333511</v>
      </c>
      <c r="R28">
        <f t="shared" ref="R28" si="117">R29+Q28</f>
        <v>557211069.7065016</v>
      </c>
      <c r="S28">
        <f t="shared" ref="S28" si="118">R28/100000</f>
        <v>5572.1106970650162</v>
      </c>
      <c r="T28">
        <f t="shared" ref="T28" si="119">S28/1000</f>
        <v>5.5721106970650158</v>
      </c>
    </row>
    <row r="29" spans="1:20" x14ac:dyDescent="0.25">
      <c r="A29" s="5">
        <v>44564</v>
      </c>
      <c r="B29">
        <v>531</v>
      </c>
      <c r="C29">
        <v>532.79999999999995</v>
      </c>
      <c r="D29">
        <v>510</v>
      </c>
      <c r="E29">
        <v>511.9</v>
      </c>
      <c r="F29">
        <v>663841.02099999995</v>
      </c>
      <c r="G29">
        <v>511.9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-0.83333333333333504</v>
      </c>
      <c r="Q29">
        <f t="shared" ref="Q29" si="121">F29*P29</f>
        <v>-553200.85083333438</v>
      </c>
      <c r="R29">
        <f t="shared" ref="R29" si="122">R30+Q29</f>
        <v>557524235.28603494</v>
      </c>
      <c r="S29">
        <f t="shared" ref="S29" si="123">R29/100000</f>
        <v>5575.2423528603495</v>
      </c>
      <c r="T29">
        <f t="shared" ref="T29" si="124">S29/1000</f>
        <v>5.5752423528603492</v>
      </c>
    </row>
    <row r="30" spans="1:20" x14ac:dyDescent="0.25">
      <c r="A30" s="5">
        <v>44563</v>
      </c>
      <c r="B30">
        <v>527.4</v>
      </c>
      <c r="C30">
        <v>533.9</v>
      </c>
      <c r="D30">
        <v>518</v>
      </c>
      <c r="E30">
        <v>531</v>
      </c>
      <c r="F30">
        <v>404475.54100000003</v>
      </c>
      <c r="G30">
        <v>531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0.63522012578616582</v>
      </c>
      <c r="Q30">
        <f t="shared" ref="Q30" si="126">F30*P30</f>
        <v>256931.00403144749</v>
      </c>
      <c r="R30">
        <f t="shared" ref="R30" si="127">R31+Q30</f>
        <v>558077436.13686824</v>
      </c>
      <c r="S30">
        <f t="shared" ref="S30" si="128">R30/100000</f>
        <v>5580.7743613686825</v>
      </c>
      <c r="T30">
        <f t="shared" ref="T30" si="129">S30/1000</f>
        <v>5.5807743613686824</v>
      </c>
    </row>
    <row r="31" spans="1:20" x14ac:dyDescent="0.25">
      <c r="A31" s="5">
        <v>44562</v>
      </c>
      <c r="B31">
        <v>511.5</v>
      </c>
      <c r="C31">
        <v>527.9</v>
      </c>
      <c r="D31">
        <v>511.4</v>
      </c>
      <c r="E31">
        <v>527.29999999999995</v>
      </c>
      <c r="F31">
        <v>446171.54100000003</v>
      </c>
      <c r="G31">
        <v>527.29999999999995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0.92727272727272447</v>
      </c>
      <c r="Q31">
        <f t="shared" ref="Q31" si="131">F31*P31</f>
        <v>413722.70165454422</v>
      </c>
      <c r="R31">
        <f t="shared" ref="R31" si="132">R32+Q31</f>
        <v>557820505.13283682</v>
      </c>
      <c r="S31">
        <f t="shared" ref="S31" si="133">R31/100000</f>
        <v>5578.2050513283684</v>
      </c>
      <c r="T31">
        <f t="shared" ref="T31" si="134">S31/1000</f>
        <v>5.5782050513283687</v>
      </c>
    </row>
    <row r="32" spans="1:20" x14ac:dyDescent="0.25">
      <c r="A32" s="5">
        <v>44561</v>
      </c>
      <c r="B32">
        <v>518.6</v>
      </c>
      <c r="C32">
        <v>528.29999999999995</v>
      </c>
      <c r="D32">
        <v>506</v>
      </c>
      <c r="E32">
        <v>511.4</v>
      </c>
      <c r="F32">
        <v>677844.74899999995</v>
      </c>
      <c r="G32">
        <v>511.4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-0.51569506726457504</v>
      </c>
      <c r="Q32">
        <f t="shared" ref="Q32" si="136">F32*P32</f>
        <v>-349561.19343049394</v>
      </c>
      <c r="R32">
        <f t="shared" ref="R32" si="137">R33+Q32</f>
        <v>557406782.43118227</v>
      </c>
      <c r="S32">
        <f t="shared" ref="S32" si="138">R32/100000</f>
        <v>5574.0678243118227</v>
      </c>
      <c r="T32">
        <f t="shared" ref="T32" si="139">S32/1000</f>
        <v>5.5740678243118227</v>
      </c>
    </row>
    <row r="33" spans="1:20" x14ac:dyDescent="0.25">
      <c r="A33" s="5">
        <v>44560</v>
      </c>
      <c r="B33">
        <v>514.5</v>
      </c>
      <c r="C33">
        <v>527.79999999999995</v>
      </c>
      <c r="D33">
        <v>508.3</v>
      </c>
      <c r="E33">
        <v>518.5</v>
      </c>
      <c r="F33">
        <v>639166.71699999995</v>
      </c>
      <c r="G33">
        <v>518.5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4.6153846153848037E-2</v>
      </c>
      <c r="Q33">
        <f t="shared" ref="Q33" si="141">F33*P33</f>
        <v>29500.002323078123</v>
      </c>
      <c r="R33">
        <f t="shared" ref="R33" si="142">R34+Q33</f>
        <v>557756343.62461281</v>
      </c>
      <c r="S33">
        <f t="shared" ref="S33" si="143">R33/100000</f>
        <v>5577.5634362461278</v>
      </c>
      <c r="T33">
        <f t="shared" ref="T33" si="144">S33/1000</f>
        <v>5.5775634362461277</v>
      </c>
    </row>
    <row r="34" spans="1:20" x14ac:dyDescent="0.25">
      <c r="A34" s="5">
        <v>44559</v>
      </c>
      <c r="B34">
        <v>534.20000000000005</v>
      </c>
      <c r="C34">
        <v>540.5</v>
      </c>
      <c r="D34">
        <v>510.3</v>
      </c>
      <c r="E34">
        <v>514.5</v>
      </c>
      <c r="F34">
        <v>740117.86699999997</v>
      </c>
      <c r="G34">
        <v>514.5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-0.72185430463576228</v>
      </c>
      <c r="Q34">
        <f t="shared" ref="Q34" si="146">F34*P34</f>
        <v>-534257.26823178853</v>
      </c>
      <c r="R34">
        <f t="shared" ref="R34" si="147">R35+Q34</f>
        <v>557726843.62228978</v>
      </c>
      <c r="S34">
        <f t="shared" ref="S34" si="148">R34/100000</f>
        <v>5577.2684362228974</v>
      </c>
      <c r="T34">
        <f t="shared" ref="T34" si="149">S34/1000</f>
        <v>5.577268436222897</v>
      </c>
    </row>
    <row r="35" spans="1:20" x14ac:dyDescent="0.25">
      <c r="A35" s="5">
        <v>44558</v>
      </c>
      <c r="B35">
        <v>563.70000000000005</v>
      </c>
      <c r="C35">
        <v>563.70000000000005</v>
      </c>
      <c r="D35">
        <v>528.4</v>
      </c>
      <c r="E35">
        <v>534.20000000000005</v>
      </c>
      <c r="F35">
        <v>1002556.2709999999</v>
      </c>
      <c r="G35">
        <v>534.20000000000005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-0.67138810198299959</v>
      </c>
      <c r="Q35">
        <f t="shared" ref="Q35" si="151">F35*P35</f>
        <v>-673104.35191784368</v>
      </c>
      <c r="R35">
        <f t="shared" ref="R35" si="152">R36+Q35</f>
        <v>558261100.89052153</v>
      </c>
      <c r="S35">
        <f t="shared" ref="S35" si="153">R35/100000</f>
        <v>5582.6110089052154</v>
      </c>
      <c r="T35">
        <f t="shared" ref="T35" si="154">S35/1000</f>
        <v>5.5826110089052152</v>
      </c>
    </row>
    <row r="36" spans="1:20" x14ac:dyDescent="0.25">
      <c r="A36" s="5">
        <v>44557</v>
      </c>
      <c r="B36">
        <v>546.5</v>
      </c>
      <c r="C36">
        <v>572</v>
      </c>
      <c r="D36">
        <v>543.1</v>
      </c>
      <c r="E36">
        <v>563.70000000000005</v>
      </c>
      <c r="F36">
        <v>803370.28300000005</v>
      </c>
      <c r="G36">
        <v>563.70000000000005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0.42560553633218262</v>
      </c>
      <c r="Q36">
        <f t="shared" ref="Q36" si="156">F36*P36</f>
        <v>341918.84016955236</v>
      </c>
      <c r="R36">
        <f t="shared" ref="R36" si="157">R37+Q36</f>
        <v>558934205.24243939</v>
      </c>
      <c r="S36">
        <f t="shared" ref="S36" si="158">R36/100000</f>
        <v>5589.3420524243938</v>
      </c>
      <c r="T36">
        <f t="shared" ref="T36" si="159">S36/1000</f>
        <v>5.589342052424394</v>
      </c>
    </row>
    <row r="37" spans="1:20" x14ac:dyDescent="0.25">
      <c r="A37" s="5">
        <v>44556</v>
      </c>
      <c r="B37">
        <v>547.4</v>
      </c>
      <c r="C37">
        <v>549.29999999999995</v>
      </c>
      <c r="D37">
        <v>535.6</v>
      </c>
      <c r="E37">
        <v>546.4</v>
      </c>
      <c r="F37">
        <v>536338.77500000002</v>
      </c>
      <c r="G37">
        <v>546.4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0.57664233576642454</v>
      </c>
      <c r="Q37">
        <f t="shared" ref="Q37" si="161">F37*P37</f>
        <v>309275.64397810283</v>
      </c>
      <c r="R37">
        <f t="shared" ref="R37" si="162">R38+Q37</f>
        <v>558592286.40226984</v>
      </c>
      <c r="S37">
        <f t="shared" ref="S37" si="163">R37/100000</f>
        <v>5585.9228640226984</v>
      </c>
      <c r="T37">
        <f t="shared" ref="T37" si="164">S37/1000</f>
        <v>5.5859228640226988</v>
      </c>
    </row>
    <row r="38" spans="1:20" x14ac:dyDescent="0.25">
      <c r="A38" s="5">
        <v>44555</v>
      </c>
      <c r="B38">
        <v>542.1</v>
      </c>
      <c r="C38">
        <v>550.5</v>
      </c>
      <c r="D38">
        <v>539.1</v>
      </c>
      <c r="E38">
        <v>547.4</v>
      </c>
      <c r="F38">
        <v>455399.79300000001</v>
      </c>
      <c r="G38">
        <v>547.4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0.45614035087718791</v>
      </c>
      <c r="Q38">
        <f t="shared" ref="Q38" si="166">F38*P38</f>
        <v>207726.22136841874</v>
      </c>
      <c r="R38">
        <f t="shared" ref="R38" si="167">R39+Q38</f>
        <v>558283010.75829172</v>
      </c>
      <c r="S38">
        <f t="shared" ref="S38" si="168">R38/100000</f>
        <v>5582.8301075829177</v>
      </c>
      <c r="T38">
        <f t="shared" ref="T38" si="169">S38/1000</f>
        <v>5.5828301075829181</v>
      </c>
    </row>
    <row r="39" spans="1:20" x14ac:dyDescent="0.25">
      <c r="A39" s="5">
        <v>44554</v>
      </c>
      <c r="B39">
        <v>549</v>
      </c>
      <c r="C39">
        <v>554.4</v>
      </c>
      <c r="D39">
        <v>537.4</v>
      </c>
      <c r="E39">
        <v>542.1</v>
      </c>
      <c r="F39">
        <v>665688.41500000004</v>
      </c>
      <c r="G39">
        <v>542.1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-0.4470588235294064</v>
      </c>
      <c r="Q39">
        <f t="shared" ref="Q39" si="171">F39*P39</f>
        <v>-297601.87964705529</v>
      </c>
      <c r="R39">
        <f t="shared" ref="R39" si="172">R40+Q39</f>
        <v>558075284.53692329</v>
      </c>
      <c r="S39">
        <f t="shared" ref="S39" si="173">R39/100000</f>
        <v>5580.752845369233</v>
      </c>
      <c r="T39">
        <f t="shared" ref="T39" si="174">S39/1000</f>
        <v>5.5807528453692328</v>
      </c>
    </row>
    <row r="40" spans="1:20" x14ac:dyDescent="0.25">
      <c r="A40" s="5">
        <v>44553</v>
      </c>
      <c r="B40">
        <v>533.6</v>
      </c>
      <c r="C40">
        <v>552.6</v>
      </c>
      <c r="D40">
        <v>524.29999999999995</v>
      </c>
      <c r="E40">
        <v>549</v>
      </c>
      <c r="F40">
        <v>844421.95400000003</v>
      </c>
      <c r="G40">
        <v>549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0.74558303886925692</v>
      </c>
      <c r="Q40">
        <f t="shared" ref="Q40" si="176">F40*P40</f>
        <v>629586.68655123585</v>
      </c>
      <c r="R40">
        <f t="shared" ref="R40" si="177">R41+Q40</f>
        <v>558372886.41657031</v>
      </c>
      <c r="S40">
        <f t="shared" ref="S40" si="178">R40/100000</f>
        <v>5583.7288641657033</v>
      </c>
      <c r="T40">
        <f t="shared" ref="T40" si="179">S40/1000</f>
        <v>5.5837288641657032</v>
      </c>
    </row>
    <row r="41" spans="1:20" x14ac:dyDescent="0.25">
      <c r="A41" s="5">
        <v>44552</v>
      </c>
      <c r="B41">
        <v>528.4</v>
      </c>
      <c r="C41">
        <v>545</v>
      </c>
      <c r="D41">
        <v>527.20000000000005</v>
      </c>
      <c r="E41">
        <v>533.6</v>
      </c>
      <c r="F41">
        <v>721787.10900000005</v>
      </c>
      <c r="G41">
        <v>533.6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-0.28089887640449512</v>
      </c>
      <c r="Q41">
        <f t="shared" ref="Q41" si="181">F41*P41</f>
        <v>-202749.18792134887</v>
      </c>
      <c r="R41">
        <f t="shared" ref="R41" si="182">R42+Q41</f>
        <v>557743299.73001909</v>
      </c>
      <c r="S41">
        <f t="shared" ref="S41" si="183">R41/100000</f>
        <v>5577.4329973001913</v>
      </c>
      <c r="T41">
        <f t="shared" ref="T41" si="184">S41/1000</f>
        <v>5.5774329973001917</v>
      </c>
    </row>
    <row r="42" spans="1:20" x14ac:dyDescent="0.25">
      <c r="A42" s="5">
        <v>44551</v>
      </c>
      <c r="B42">
        <v>524</v>
      </c>
      <c r="C42">
        <v>535.70000000000005</v>
      </c>
      <c r="D42">
        <v>509.8</v>
      </c>
      <c r="E42">
        <v>528.29999999999995</v>
      </c>
      <c r="F42">
        <v>686439.70799999998</v>
      </c>
      <c r="G42">
        <v>528.29999999999995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0.42857142857142227</v>
      </c>
      <c r="Q42">
        <f t="shared" ref="Q42" si="186">F42*P42</f>
        <v>294188.44628570997</v>
      </c>
      <c r="R42">
        <f t="shared" ref="R42" si="187">R43+Q42</f>
        <v>557946048.9179405</v>
      </c>
      <c r="S42">
        <f t="shared" ref="S42" si="188">R42/100000</f>
        <v>5579.4604891794052</v>
      </c>
      <c r="T42">
        <f t="shared" ref="T42" si="189">S42/1000</f>
        <v>5.5794604891794055</v>
      </c>
    </row>
    <row r="43" spans="1:20" x14ac:dyDescent="0.25">
      <c r="A43" s="5">
        <v>44550</v>
      </c>
      <c r="B43">
        <v>529.79999999999995</v>
      </c>
      <c r="C43">
        <v>534.79999999999995</v>
      </c>
      <c r="D43">
        <v>505.6</v>
      </c>
      <c r="E43">
        <v>524</v>
      </c>
      <c r="F43">
        <v>727454.21200000006</v>
      </c>
      <c r="G43">
        <v>524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0.2602739726027411</v>
      </c>
      <c r="Q43">
        <f t="shared" ref="Q43" si="191">F43*P43</f>
        <v>189337.39764383662</v>
      </c>
      <c r="R43">
        <f t="shared" ref="R43" si="192">R44+Q43</f>
        <v>557651860.47165477</v>
      </c>
      <c r="S43">
        <f t="shared" ref="S43" si="193">R43/100000</f>
        <v>5576.518604716548</v>
      </c>
      <c r="T43">
        <f t="shared" ref="T43" si="194">S43/1000</f>
        <v>5.576518604716548</v>
      </c>
    </row>
    <row r="44" spans="1:20" x14ac:dyDescent="0.25">
      <c r="A44" s="5">
        <v>44549</v>
      </c>
      <c r="B44">
        <v>533.9</v>
      </c>
      <c r="C44">
        <v>544.4</v>
      </c>
      <c r="D44">
        <v>527.1</v>
      </c>
      <c r="E44">
        <v>529.79999999999995</v>
      </c>
      <c r="F44">
        <v>540256.68400000001</v>
      </c>
      <c r="G44">
        <v>529.79999999999995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-0.68786127167630762</v>
      </c>
      <c r="Q44">
        <f t="shared" ref="Q44" si="196">F44*P44</f>
        <v>-371621.64968786511</v>
      </c>
      <c r="R44">
        <f t="shared" ref="R44" si="197">R45+Q44</f>
        <v>557462523.07401097</v>
      </c>
      <c r="S44">
        <f t="shared" ref="S44" si="198">R44/100000</f>
        <v>5574.6252307401101</v>
      </c>
      <c r="T44">
        <f t="shared" ref="T44" si="199">S44/1000</f>
        <v>5.5746252307401098</v>
      </c>
    </row>
    <row r="45" spans="1:20" x14ac:dyDescent="0.25">
      <c r="A45" s="5">
        <v>44548</v>
      </c>
      <c r="B45">
        <v>525.5</v>
      </c>
      <c r="C45">
        <v>537.79999999999995</v>
      </c>
      <c r="D45">
        <v>515</v>
      </c>
      <c r="E45">
        <v>533.9</v>
      </c>
      <c r="F45">
        <v>580436.098</v>
      </c>
      <c r="G45">
        <v>533.9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0.65789473684210653</v>
      </c>
      <c r="Q45">
        <f t="shared" ref="Q45" si="201">F45*P45</f>
        <v>381865.85394736915</v>
      </c>
      <c r="R45">
        <f t="shared" ref="R45" si="202">R46+Q45</f>
        <v>557834144.72369885</v>
      </c>
      <c r="S45">
        <f t="shared" ref="S45" si="203">R45/100000</f>
        <v>5578.3414472369886</v>
      </c>
      <c r="T45">
        <f t="shared" ref="T45" si="204">S45/1000</f>
        <v>5.5783414472369888</v>
      </c>
    </row>
    <row r="46" spans="1:20" x14ac:dyDescent="0.25">
      <c r="A46" s="5">
        <v>44547</v>
      </c>
      <c r="B46">
        <v>526.20000000000005</v>
      </c>
      <c r="C46">
        <v>535.79999999999995</v>
      </c>
      <c r="D46">
        <v>511</v>
      </c>
      <c r="E46">
        <v>525.5</v>
      </c>
      <c r="F46">
        <v>921732.76300000004</v>
      </c>
      <c r="G46">
        <v>525.5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0.16935483870967957</v>
      </c>
      <c r="Q46">
        <f t="shared" ref="Q46" si="206">F46*P46</f>
        <v>156099.90341129233</v>
      </c>
      <c r="R46">
        <f t="shared" ref="R46" si="207">R47+Q46</f>
        <v>557452278.86975145</v>
      </c>
      <c r="S46">
        <f t="shared" ref="S46" si="208">R46/100000</f>
        <v>5574.5227886975144</v>
      </c>
      <c r="T46">
        <f t="shared" ref="T46" si="209">S46/1000</f>
        <v>5.5745227886975144</v>
      </c>
    </row>
    <row r="47" spans="1:20" x14ac:dyDescent="0.25">
      <c r="A47" s="5">
        <v>44546</v>
      </c>
      <c r="B47">
        <v>541.1</v>
      </c>
      <c r="C47">
        <v>545.29999999999995</v>
      </c>
      <c r="D47">
        <v>524.79999999999995</v>
      </c>
      <c r="E47">
        <v>526.20000000000005</v>
      </c>
      <c r="F47">
        <v>735504.68200000003</v>
      </c>
      <c r="G47">
        <v>526.20000000000005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-0.86341463414633257</v>
      </c>
      <c r="Q47">
        <f t="shared" ref="Q47" si="211">F47*P47</f>
        <v>-635045.50592194474</v>
      </c>
      <c r="R47">
        <f t="shared" ref="R47" si="212">R48+Q47</f>
        <v>557296178.96634018</v>
      </c>
      <c r="S47">
        <f t="shared" ref="S47" si="213">R47/100000</f>
        <v>5572.9617896634018</v>
      </c>
      <c r="T47">
        <f t="shared" ref="T47" si="214">S47/1000</f>
        <v>5.5729617896634016</v>
      </c>
    </row>
    <row r="48" spans="1:20" x14ac:dyDescent="0.25">
      <c r="A48" s="5">
        <v>44545</v>
      </c>
      <c r="B48">
        <v>528</v>
      </c>
      <c r="C48">
        <v>546.70000000000005</v>
      </c>
      <c r="D48">
        <v>501.6</v>
      </c>
      <c r="E48">
        <v>541.1</v>
      </c>
      <c r="F48">
        <v>1147515.3049999999</v>
      </c>
      <c r="G48">
        <v>541.1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0.75166297117516545</v>
      </c>
      <c r="Q48">
        <f t="shared" ref="Q48" si="216">F48*P48</f>
        <v>862544.76362527616</v>
      </c>
      <c r="R48">
        <f t="shared" ref="R48" si="217">R49+Q48</f>
        <v>557931224.47226214</v>
      </c>
      <c r="S48">
        <f t="shared" ref="S48" si="218">R48/100000</f>
        <v>5579.3122447226215</v>
      </c>
      <c r="T48">
        <f t="shared" ref="T48" si="219">S48/1000</f>
        <v>5.5793122447226215</v>
      </c>
    </row>
    <row r="49" spans="1:20" x14ac:dyDescent="0.25">
      <c r="A49" s="5">
        <v>44544</v>
      </c>
      <c r="B49">
        <v>521</v>
      </c>
      <c r="C49">
        <v>535.79999999999995</v>
      </c>
      <c r="D49">
        <v>509.7</v>
      </c>
      <c r="E49">
        <v>528.1</v>
      </c>
      <c r="F49">
        <v>1263782.101</v>
      </c>
      <c r="G49">
        <v>528.1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0.40996168582375925</v>
      </c>
      <c r="Q49">
        <f t="shared" ref="Q49" si="221">F49*P49</f>
        <v>518102.24063985236</v>
      </c>
      <c r="R49">
        <f t="shared" ref="R49" si="222">R50+Q49</f>
        <v>557068679.70863688</v>
      </c>
      <c r="S49">
        <f t="shared" ref="S49" si="223">R49/100000</f>
        <v>5570.6867970863686</v>
      </c>
      <c r="T49">
        <f t="shared" ref="T49" si="224">S49/1000</f>
        <v>5.5706867970863687</v>
      </c>
    </row>
    <row r="50" spans="1:20" x14ac:dyDescent="0.25">
      <c r="A50" s="5">
        <v>44543</v>
      </c>
      <c r="B50">
        <v>570.29999999999995</v>
      </c>
      <c r="C50">
        <v>572.20000000000005</v>
      </c>
      <c r="D50">
        <v>511.1</v>
      </c>
      <c r="E50">
        <v>521</v>
      </c>
      <c r="F50">
        <v>1037150.705</v>
      </c>
      <c r="G50">
        <v>521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-0.6759410801964002</v>
      </c>
      <c r="Q50">
        <f t="shared" ref="Q50" si="226">F50*P50</f>
        <v>-701052.76786415803</v>
      </c>
      <c r="R50">
        <f t="shared" ref="R50" si="227">R51+Q50</f>
        <v>556550577.46799707</v>
      </c>
      <c r="S50">
        <f t="shared" ref="S50" si="228">R50/100000</f>
        <v>5565.5057746799712</v>
      </c>
      <c r="T50">
        <f t="shared" ref="T50" si="229">S50/1000</f>
        <v>5.5655057746799708</v>
      </c>
    </row>
    <row r="51" spans="1:20" x14ac:dyDescent="0.25">
      <c r="A51" s="5">
        <v>44542</v>
      </c>
      <c r="B51">
        <v>564.6</v>
      </c>
      <c r="C51">
        <v>574.79999999999995</v>
      </c>
      <c r="D51">
        <v>559.29999999999995</v>
      </c>
      <c r="E51">
        <v>570.29999999999995</v>
      </c>
      <c r="F51">
        <v>544940.33600000001</v>
      </c>
      <c r="G51">
        <v>570.29999999999995</v>
      </c>
      <c r="L51" t="s">
        <v>7</v>
      </c>
      <c r="M51" t="s">
        <v>8</v>
      </c>
      <c r="N51" t="s">
        <v>7</v>
      </c>
      <c r="P51">
        <f t="shared" ref="P51" si="230">IF(C51=D51,0,((E51-D51)-(C51-E51))/(C51-D51))</f>
        <v>0.41935483870967744</v>
      </c>
      <c r="Q51">
        <f t="shared" ref="Q51" si="231">F51*P51</f>
        <v>228523.36670967744</v>
      </c>
      <c r="R51">
        <f t="shared" ref="R51" si="232">R52+Q51</f>
        <v>557251630.23586118</v>
      </c>
      <c r="S51">
        <f t="shared" ref="S51" si="233">R51/100000</f>
        <v>5572.5163023586119</v>
      </c>
      <c r="T51">
        <f t="shared" ref="T51" si="234">S51/1000</f>
        <v>5.5725163023586122</v>
      </c>
    </row>
    <row r="52" spans="1:20" x14ac:dyDescent="0.25">
      <c r="A52" s="5">
        <v>44541</v>
      </c>
      <c r="B52">
        <v>552.5</v>
      </c>
      <c r="C52">
        <v>561.9</v>
      </c>
      <c r="D52">
        <v>546</v>
      </c>
      <c r="E52">
        <v>560.4</v>
      </c>
      <c r="F52">
        <v>71344.418000000005</v>
      </c>
      <c r="G52">
        <v>560.4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0.81132075471698084</v>
      </c>
      <c r="Q52">
        <f t="shared" ref="Q52" si="236">F52*P52</f>
        <v>57883.207056603758</v>
      </c>
      <c r="R52">
        <f t="shared" ref="R52" si="237">R53+Q52</f>
        <v>557023106.86915147</v>
      </c>
      <c r="S52">
        <f t="shared" ref="S52" si="238">R52/100000</f>
        <v>5570.2310686915143</v>
      </c>
      <c r="T52">
        <f t="shared" ref="T52" si="239">S52/1000</f>
        <v>5.5702310686915144</v>
      </c>
    </row>
    <row r="53" spans="1:20" x14ac:dyDescent="0.25">
      <c r="A53" s="5">
        <v>44540</v>
      </c>
      <c r="B53">
        <v>570.20000000000005</v>
      </c>
      <c r="C53">
        <v>595.1</v>
      </c>
      <c r="D53">
        <v>550.20000000000005</v>
      </c>
      <c r="E53">
        <v>552.4</v>
      </c>
      <c r="F53">
        <v>1083121.564</v>
      </c>
      <c r="G53">
        <v>552.4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-0.90200445434298737</v>
      </c>
      <c r="Q53">
        <f t="shared" ref="Q53" si="241">F53*P53</f>
        <v>-976980.47532294306</v>
      </c>
      <c r="R53">
        <f t="shared" ref="R53" si="242">R54+Q53</f>
        <v>556965223.66209483</v>
      </c>
      <c r="S53">
        <f t="shared" ref="S53" si="243">R53/100000</f>
        <v>5569.6522366209483</v>
      </c>
      <c r="T53">
        <f t="shared" ref="T53" si="244">S53/1000</f>
        <v>5.5696522366209482</v>
      </c>
    </row>
    <row r="54" spans="1:20" x14ac:dyDescent="0.25">
      <c r="A54" s="5">
        <v>44539</v>
      </c>
      <c r="B54">
        <v>607.29999999999995</v>
      </c>
      <c r="C54">
        <v>617</v>
      </c>
      <c r="D54">
        <v>567.70000000000005</v>
      </c>
      <c r="E54">
        <v>570.20000000000005</v>
      </c>
      <c r="F54">
        <v>1096635.0120000001</v>
      </c>
      <c r="G54">
        <v>570.20000000000005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-0.89858012170385382</v>
      </c>
      <c r="Q54">
        <f t="shared" ref="Q54" si="246">F54*P54</f>
        <v>-985414.42254766729</v>
      </c>
      <c r="R54">
        <f t="shared" ref="R54" si="247">R55+Q54</f>
        <v>557942204.13741779</v>
      </c>
      <c r="S54">
        <f t="shared" ref="S54" si="248">R54/100000</f>
        <v>5579.4220413741778</v>
      </c>
      <c r="T54">
        <f t="shared" ref="T54" si="249">S54/1000</f>
        <v>5.579422041374178</v>
      </c>
    </row>
    <row r="55" spans="1:20" x14ac:dyDescent="0.25">
      <c r="A55" s="5">
        <v>44538</v>
      </c>
      <c r="B55">
        <v>578.70000000000005</v>
      </c>
      <c r="C55">
        <v>607.6</v>
      </c>
      <c r="D55">
        <v>567</v>
      </c>
      <c r="E55">
        <v>607.20000000000005</v>
      </c>
      <c r="F55">
        <v>1113215.449</v>
      </c>
      <c r="G55">
        <v>607.20000000000005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0.98029556650246419</v>
      </c>
      <c r="Q55">
        <f t="shared" ref="Q55" si="251">F55*P55</f>
        <v>1091280.16921675</v>
      </c>
      <c r="R55">
        <f t="shared" ref="R55" si="252">R56+Q55</f>
        <v>558927618.55996549</v>
      </c>
      <c r="S55">
        <f t="shared" ref="S55" si="253">R55/100000</f>
        <v>5589.276185599655</v>
      </c>
      <c r="T55">
        <f t="shared" ref="T55" si="254">S55/1000</f>
        <v>5.5892761855996547</v>
      </c>
    </row>
    <row r="56" spans="1:20" x14ac:dyDescent="0.25">
      <c r="A56" s="5">
        <v>44537</v>
      </c>
      <c r="B56">
        <v>587.5</v>
      </c>
      <c r="C56">
        <v>594.1</v>
      </c>
      <c r="D56">
        <v>572.20000000000005</v>
      </c>
      <c r="E56">
        <v>578.70000000000005</v>
      </c>
      <c r="F56">
        <v>1017363.943</v>
      </c>
      <c r="G56">
        <v>578.70000000000005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-0.40639269406392631</v>
      </c>
      <c r="Q56">
        <f t="shared" ref="Q56" si="256">F56*P56</f>
        <v>-413449.27363926877</v>
      </c>
      <c r="R56">
        <f t="shared" ref="R56" si="257">R57+Q56</f>
        <v>557836338.39074874</v>
      </c>
      <c r="S56">
        <f t="shared" ref="S56" si="258">R56/100000</f>
        <v>5578.3633839074873</v>
      </c>
      <c r="T56">
        <f t="shared" ref="T56" si="259">S56/1000</f>
        <v>5.5783633839074875</v>
      </c>
    </row>
    <row r="57" spans="1:20" x14ac:dyDescent="0.25">
      <c r="A57" s="5">
        <v>44536</v>
      </c>
      <c r="B57">
        <v>557.70000000000005</v>
      </c>
      <c r="C57">
        <v>593</v>
      </c>
      <c r="D57">
        <v>533</v>
      </c>
      <c r="E57">
        <v>587.5</v>
      </c>
      <c r="F57">
        <v>2005928.932</v>
      </c>
      <c r="G57">
        <v>587.5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0.81666666666666665</v>
      </c>
      <c r="Q57">
        <f t="shared" ref="Q57" si="261">F57*P57</f>
        <v>1638175.2944666666</v>
      </c>
      <c r="R57">
        <f t="shared" ref="R57" si="262">R58+Q57</f>
        <v>558249787.66438806</v>
      </c>
      <c r="S57">
        <f t="shared" ref="S57" si="263">R57/100000</f>
        <v>5582.4978766438808</v>
      </c>
      <c r="T57">
        <f t="shared" ref="T57" si="264">S57/1000</f>
        <v>5.5824978766438811</v>
      </c>
    </row>
    <row r="58" spans="1:20" x14ac:dyDescent="0.25">
      <c r="A58" s="5">
        <v>44535</v>
      </c>
      <c r="B58">
        <v>568.5</v>
      </c>
      <c r="C58">
        <v>582</v>
      </c>
      <c r="D58">
        <v>539.9</v>
      </c>
      <c r="E58">
        <v>557.79999999999995</v>
      </c>
      <c r="F58">
        <v>1258393.72</v>
      </c>
      <c r="G58">
        <v>557.79999999999995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-0.14964370546318445</v>
      </c>
      <c r="Q58">
        <f t="shared" ref="Q58" si="266">F58*P58</f>
        <v>-188310.69919240099</v>
      </c>
      <c r="R58">
        <f t="shared" ref="R58" si="267">R59+Q58</f>
        <v>556611612.36992145</v>
      </c>
      <c r="S58">
        <f t="shared" ref="S58" si="268">R58/100000</f>
        <v>5566.1161236992148</v>
      </c>
      <c r="T58">
        <f t="shared" ref="T58" si="269">S58/1000</f>
        <v>5.5661161236992145</v>
      </c>
    </row>
    <row r="59" spans="1:20" x14ac:dyDescent="0.25">
      <c r="A59" s="5">
        <v>44534</v>
      </c>
      <c r="B59">
        <v>595.1</v>
      </c>
      <c r="C59">
        <v>596</v>
      </c>
      <c r="D59">
        <v>489.2</v>
      </c>
      <c r="E59">
        <v>568.6</v>
      </c>
      <c r="F59">
        <v>2611783.6469999999</v>
      </c>
      <c r="G59">
        <v>568.6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0.48689138576779073</v>
      </c>
      <c r="Q59">
        <f t="shared" ref="Q59" si="271">F59*P59</f>
        <v>1271654.9592134843</v>
      </c>
      <c r="R59">
        <f t="shared" ref="R59" si="272">R60+Q59</f>
        <v>556799923.06911385</v>
      </c>
      <c r="S59">
        <f t="shared" ref="S59" si="273">R59/100000</f>
        <v>5567.9992306911381</v>
      </c>
      <c r="T59">
        <f t="shared" ref="T59" si="274">S59/1000</f>
        <v>5.5679992306911377</v>
      </c>
    </row>
    <row r="60" spans="1:20" x14ac:dyDescent="0.25">
      <c r="A60" s="5">
        <v>44533</v>
      </c>
      <c r="B60">
        <v>619.9</v>
      </c>
      <c r="C60">
        <v>628</v>
      </c>
      <c r="D60">
        <v>574</v>
      </c>
      <c r="E60">
        <v>595</v>
      </c>
      <c r="F60">
        <v>1250950.1669999999</v>
      </c>
      <c r="G60">
        <v>595</v>
      </c>
      <c r="L60" t="s">
        <v>7</v>
      </c>
      <c r="M60" t="s">
        <v>8</v>
      </c>
      <c r="N60" t="s">
        <v>8</v>
      </c>
      <c r="P60">
        <f t="shared" ref="P60" si="275">IF(C60=D60,0,((E60-D60)-(C60-E60))/(C60-D60))</f>
        <v>-0.22222222222222221</v>
      </c>
      <c r="Q60">
        <f t="shared" ref="Q60" si="276">F60*P60</f>
        <v>-277988.92599999998</v>
      </c>
      <c r="R60">
        <f t="shared" ref="R60" si="277">R61+Q60</f>
        <v>555528268.10990036</v>
      </c>
      <c r="S60">
        <f t="shared" ref="S60" si="278">R60/100000</f>
        <v>5555.2826810990036</v>
      </c>
      <c r="T60">
        <f t="shared" ref="T60" si="279">S60/1000</f>
        <v>5.5552826810990039</v>
      </c>
    </row>
    <row r="61" spans="1:20" x14ac:dyDescent="0.25">
      <c r="A61" s="5">
        <v>44532</v>
      </c>
      <c r="B61">
        <v>627.5</v>
      </c>
      <c r="C61">
        <v>630.9</v>
      </c>
      <c r="D61">
        <v>605.5</v>
      </c>
      <c r="E61">
        <v>619.9</v>
      </c>
      <c r="F61">
        <v>1104596.8810000001</v>
      </c>
      <c r="G61">
        <v>619.9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0.13385826771653467</v>
      </c>
      <c r="Q61">
        <f t="shared" ref="Q61" si="281">F61*P61</f>
        <v>147859.4250157472</v>
      </c>
      <c r="R61">
        <f t="shared" ref="R61" si="282">R62+Q61</f>
        <v>555806257.03590035</v>
      </c>
      <c r="S61">
        <f t="shared" ref="S61" si="283">R61/100000</f>
        <v>5558.062570359004</v>
      </c>
      <c r="T61">
        <f t="shared" ref="T61" si="284">S61/1000</f>
        <v>5.5580625703590041</v>
      </c>
    </row>
    <row r="62" spans="1:20" x14ac:dyDescent="0.25">
      <c r="A62" s="5">
        <v>44531</v>
      </c>
      <c r="B62">
        <v>622.5</v>
      </c>
      <c r="C62">
        <v>649.79999999999995</v>
      </c>
      <c r="D62">
        <v>618.20000000000005</v>
      </c>
      <c r="E62">
        <v>627.5</v>
      </c>
      <c r="F62">
        <v>1384101.0870000001</v>
      </c>
      <c r="G62">
        <v>627.5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-0.41139240506329233</v>
      </c>
      <c r="Q62">
        <f t="shared" ref="Q62" si="286">F62*P62</f>
        <v>-569408.6750316472</v>
      </c>
      <c r="R62">
        <f t="shared" ref="R62" si="287">R63+Q62</f>
        <v>555658397.61088467</v>
      </c>
      <c r="S62">
        <f t="shared" ref="S62" si="288">R62/100000</f>
        <v>5556.5839761088464</v>
      </c>
      <c r="T62">
        <f t="shared" ref="T62" si="289">S62/1000</f>
        <v>5.556583976108846</v>
      </c>
    </row>
    <row r="63" spans="1:20" x14ac:dyDescent="0.25">
      <c r="A63" s="5">
        <v>44530</v>
      </c>
      <c r="B63">
        <v>623.5</v>
      </c>
      <c r="C63">
        <v>635</v>
      </c>
      <c r="D63">
        <v>602.6</v>
      </c>
      <c r="E63">
        <v>622.5</v>
      </c>
      <c r="F63">
        <v>1380656.2050000001</v>
      </c>
      <c r="G63">
        <v>622.5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0.22839506172839452</v>
      </c>
      <c r="Q63">
        <f t="shared" ref="Q63" si="291">F63*P63</f>
        <v>315335.05916666595</v>
      </c>
      <c r="R63">
        <f t="shared" ref="R63" si="292">R64+Q63</f>
        <v>556227806.28591633</v>
      </c>
      <c r="S63">
        <f t="shared" ref="S63" si="293">R63/100000</f>
        <v>5562.2780628591636</v>
      </c>
      <c r="T63">
        <f t="shared" ref="T63" si="294">S63/1000</f>
        <v>5.5622780628591633</v>
      </c>
    </row>
    <row r="64" spans="1:20" x14ac:dyDescent="0.25">
      <c r="A64" s="5">
        <v>44529</v>
      </c>
      <c r="B64">
        <v>611.4</v>
      </c>
      <c r="C64">
        <v>629</v>
      </c>
      <c r="D64">
        <v>601.6</v>
      </c>
      <c r="E64">
        <v>623.4</v>
      </c>
      <c r="F64">
        <v>1090520.8640000001</v>
      </c>
      <c r="G64">
        <v>623.4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0.5912408759124067</v>
      </c>
      <c r="Q64">
        <f t="shared" ref="Q64" si="296">F64*P64</f>
        <v>644760.51083211461</v>
      </c>
      <c r="R64">
        <f t="shared" ref="R64" si="297">R65+Q64</f>
        <v>555912471.22674966</v>
      </c>
      <c r="S64">
        <f t="shared" ref="S64" si="298">R64/100000</f>
        <v>5559.1247122674968</v>
      </c>
      <c r="T64">
        <f t="shared" ref="T64" si="299">S64/1000</f>
        <v>5.5591247122674972</v>
      </c>
    </row>
    <row r="65" spans="1:20" x14ac:dyDescent="0.25">
      <c r="A65" s="5">
        <v>44528</v>
      </c>
      <c r="B65">
        <v>599.9</v>
      </c>
      <c r="C65">
        <v>612.9</v>
      </c>
      <c r="D65">
        <v>571.6</v>
      </c>
      <c r="E65">
        <v>611.29999999999995</v>
      </c>
      <c r="F65">
        <v>1281130.351</v>
      </c>
      <c r="G65">
        <v>611.29999999999995</v>
      </c>
      <c r="L65" t="s">
        <v>7</v>
      </c>
      <c r="M65" t="s">
        <v>8</v>
      </c>
      <c r="N65" t="s">
        <v>8</v>
      </c>
      <c r="P65">
        <f t="shared" ref="P65" si="300">IF(C65=D65,0,((E65-D65)-(C65-E65))/(C65-D65))</f>
        <v>0.92251815980629426</v>
      </c>
      <c r="Q65">
        <f t="shared" ref="Q65" si="301">F65*P65</f>
        <v>1181866.0138765119</v>
      </c>
      <c r="R65">
        <f t="shared" ref="R65" si="302">R66+Q65</f>
        <v>555267710.71591759</v>
      </c>
      <c r="S65">
        <f t="shared" ref="S65" si="303">R65/100000</f>
        <v>5552.6771071591756</v>
      </c>
      <c r="T65">
        <f t="shared" ref="T65" si="304">S65/1000</f>
        <v>5.5526771071591758</v>
      </c>
    </row>
    <row r="66" spans="1:20" x14ac:dyDescent="0.25">
      <c r="A66" s="5">
        <v>44527</v>
      </c>
      <c r="B66">
        <v>587.20000000000005</v>
      </c>
      <c r="C66">
        <v>621.29999999999995</v>
      </c>
      <c r="D66">
        <v>582.6</v>
      </c>
      <c r="E66">
        <v>599.9</v>
      </c>
      <c r="F66">
        <v>1183849.3600000001</v>
      </c>
      <c r="G66">
        <v>599.9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-0.10594315245478114</v>
      </c>
      <c r="Q66">
        <f t="shared" ref="Q66" si="306">F66*P66</f>
        <v>-125420.7332299751</v>
      </c>
      <c r="R66">
        <f t="shared" ref="R66" si="307">R67+Q66</f>
        <v>554085844.70204103</v>
      </c>
      <c r="S66">
        <f t="shared" ref="S66" si="308">R66/100000</f>
        <v>5540.8584470204105</v>
      </c>
      <c r="T66">
        <f t="shared" ref="T66" si="309">S66/1000</f>
        <v>5.5408584470204101</v>
      </c>
    </row>
    <row r="67" spans="1:20" x14ac:dyDescent="0.25">
      <c r="A67" s="5">
        <v>44526</v>
      </c>
      <c r="B67">
        <v>639.1</v>
      </c>
      <c r="C67">
        <v>657.9</v>
      </c>
      <c r="D67">
        <v>564.20000000000005</v>
      </c>
      <c r="E67">
        <v>587.29999999999995</v>
      </c>
      <c r="F67">
        <v>2413553.4389999998</v>
      </c>
      <c r="G67">
        <v>587.29999999999995</v>
      </c>
      <c r="L67" t="s">
        <v>7</v>
      </c>
      <c r="M67" t="s">
        <v>8</v>
      </c>
      <c r="N67" t="s">
        <v>8</v>
      </c>
      <c r="P67">
        <f t="shared" ref="P67" si="310">IF(C67=D67,0,((E67-D67)-(C67-E67))/(C67-D67))</f>
        <v>-0.50693703308431326</v>
      </c>
      <c r="Q67">
        <f t="shared" ref="Q67" si="311">F67*P67</f>
        <v>-1223519.619557101</v>
      </c>
      <c r="R67">
        <f t="shared" ref="R67" si="312">R68+Q67</f>
        <v>554211265.43527102</v>
      </c>
      <c r="S67">
        <f t="shared" ref="S67" si="313">R67/100000</f>
        <v>5542.1126543527098</v>
      </c>
      <c r="T67">
        <f t="shared" ref="T67" si="314">S67/1000</f>
        <v>5.5421126543527102</v>
      </c>
    </row>
    <row r="68" spans="1:20" x14ac:dyDescent="0.25">
      <c r="A68" s="5">
        <v>44525</v>
      </c>
      <c r="B68">
        <v>590.4</v>
      </c>
      <c r="C68">
        <v>650</v>
      </c>
      <c r="D68">
        <v>587.4</v>
      </c>
      <c r="E68">
        <v>639.1</v>
      </c>
      <c r="F68">
        <v>1536194.0419999999</v>
      </c>
      <c r="G68">
        <v>639.1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0.65175718849840336</v>
      </c>
      <c r="Q68">
        <f t="shared" ref="Q68" si="316">F68*P68</f>
        <v>1001225.5098019181</v>
      </c>
      <c r="R68">
        <f t="shared" ref="R68" si="317">R69+Q68</f>
        <v>555434785.05482817</v>
      </c>
      <c r="S68">
        <f t="shared" ref="S68" si="318">R68/100000</f>
        <v>5554.3478505482817</v>
      </c>
      <c r="T68">
        <f t="shared" ref="T68" si="319">S68/1000</f>
        <v>5.5543478505482815</v>
      </c>
    </row>
    <row r="69" spans="1:20" x14ac:dyDescent="0.25">
      <c r="A69" s="5">
        <v>44524</v>
      </c>
      <c r="B69">
        <v>591.1</v>
      </c>
      <c r="C69">
        <v>593.9</v>
      </c>
      <c r="D69">
        <v>577.1</v>
      </c>
      <c r="E69">
        <v>585.79999999999995</v>
      </c>
      <c r="F69">
        <v>349015.97200000001</v>
      </c>
      <c r="G69">
        <v>585.79999999999995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3.5714285714280397E-2</v>
      </c>
      <c r="Q69">
        <f t="shared" ref="Q69" si="321">F69*P69</f>
        <v>12464.856142855288</v>
      </c>
      <c r="R69">
        <f t="shared" ref="R69" si="322">R70+Q69</f>
        <v>554433559.5450263</v>
      </c>
      <c r="S69">
        <f t="shared" ref="S69" si="323">R69/100000</f>
        <v>5544.3355954502631</v>
      </c>
      <c r="T69">
        <f t="shared" ref="T69" si="324">S69/1000</f>
        <v>5.5443355954502627</v>
      </c>
    </row>
    <row r="70" spans="1:20" x14ac:dyDescent="0.25">
      <c r="A70" s="5">
        <v>44523</v>
      </c>
      <c r="B70">
        <v>559.4</v>
      </c>
      <c r="C70">
        <v>605</v>
      </c>
      <c r="D70">
        <v>557.9</v>
      </c>
      <c r="E70">
        <v>591.1</v>
      </c>
      <c r="F70">
        <v>1202541.9169999999</v>
      </c>
      <c r="G70">
        <v>591.1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0.40976645435244285</v>
      </c>
      <c r="Q70">
        <f t="shared" ref="Q70" si="326">F70*P70</f>
        <v>492761.3375392796</v>
      </c>
      <c r="R70">
        <f t="shared" ref="R70" si="327">R71+Q70</f>
        <v>554421094.68888342</v>
      </c>
      <c r="S70">
        <f t="shared" ref="S70" si="328">R70/100000</f>
        <v>5544.2109468888339</v>
      </c>
      <c r="T70">
        <f t="shared" ref="T70" si="329">S70/1000</f>
        <v>5.5442109468888336</v>
      </c>
    </row>
    <row r="71" spans="1:20" x14ac:dyDescent="0.25">
      <c r="A71" s="5">
        <v>44522</v>
      </c>
      <c r="B71">
        <v>584</v>
      </c>
      <c r="C71">
        <v>585.5</v>
      </c>
      <c r="D71">
        <v>553.79999999999995</v>
      </c>
      <c r="E71">
        <v>559.29999999999995</v>
      </c>
      <c r="F71">
        <v>1141002.7549999999</v>
      </c>
      <c r="G71">
        <v>559.29999999999995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-0.652996845425868</v>
      </c>
      <c r="Q71">
        <f t="shared" ref="Q71" si="331">F71*P71</f>
        <v>-745071.19963722443</v>
      </c>
      <c r="R71">
        <f t="shared" ref="R71" si="332">R72+Q71</f>
        <v>553928333.35134411</v>
      </c>
      <c r="S71">
        <f t="shared" ref="S71" si="333">R71/100000</f>
        <v>5539.283333513441</v>
      </c>
      <c r="T71">
        <f t="shared" ref="T71" si="334">S71/1000</f>
        <v>5.539283333513441</v>
      </c>
    </row>
    <row r="72" spans="1:20" x14ac:dyDescent="0.25">
      <c r="A72" s="5">
        <v>44521</v>
      </c>
      <c r="B72">
        <v>604.4</v>
      </c>
      <c r="C72">
        <v>605.20000000000005</v>
      </c>
      <c r="D72">
        <v>579.6</v>
      </c>
      <c r="E72">
        <v>584</v>
      </c>
      <c r="F72">
        <v>970133.80700000003</v>
      </c>
      <c r="G72">
        <v>584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-0.65625000000000211</v>
      </c>
      <c r="Q72">
        <f t="shared" ref="Q72" si="336">F72*P72</f>
        <v>-636650.31084375212</v>
      </c>
      <c r="R72">
        <f t="shared" ref="R72" si="337">R73+Q72</f>
        <v>554673404.55098128</v>
      </c>
      <c r="S72">
        <f t="shared" ref="S72" si="338">R72/100000</f>
        <v>5546.7340455098129</v>
      </c>
      <c r="T72">
        <f t="shared" ref="T72" si="339">S72/1000</f>
        <v>5.5467340455098126</v>
      </c>
    </row>
    <row r="73" spans="1:20" x14ac:dyDescent="0.25">
      <c r="A73" s="5">
        <v>44520</v>
      </c>
      <c r="B73">
        <v>581</v>
      </c>
      <c r="C73">
        <v>604.79999999999995</v>
      </c>
      <c r="D73">
        <v>572.6</v>
      </c>
      <c r="E73">
        <v>604.29999999999995</v>
      </c>
      <c r="F73">
        <v>1119517.1310000001</v>
      </c>
      <c r="G73">
        <v>604.29999999999995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0.96894409937888193</v>
      </c>
      <c r="Q73">
        <f t="shared" ref="Q73" si="341">F73*P73</f>
        <v>1084749.5182360248</v>
      </c>
      <c r="R73">
        <f t="shared" ref="R73" si="342">R74+Q73</f>
        <v>555310054.86182499</v>
      </c>
      <c r="S73">
        <f t="shared" ref="S73" si="343">R73/100000</f>
        <v>5553.1005486182503</v>
      </c>
      <c r="T73">
        <f t="shared" ref="T73" si="344">S73/1000</f>
        <v>5.5531005486182501</v>
      </c>
    </row>
    <row r="74" spans="1:20" x14ac:dyDescent="0.25">
      <c r="A74" s="5">
        <v>44519</v>
      </c>
      <c r="B74">
        <v>531.9</v>
      </c>
      <c r="C74">
        <v>585.5</v>
      </c>
      <c r="D74">
        <v>523.9</v>
      </c>
      <c r="E74">
        <v>581</v>
      </c>
      <c r="F74">
        <v>1300787.9580000001</v>
      </c>
      <c r="G74">
        <v>581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0.85389610389610393</v>
      </c>
      <c r="Q74">
        <f t="shared" ref="Q74" si="346">F74*P74</f>
        <v>1110737.7693311688</v>
      </c>
      <c r="R74">
        <f t="shared" ref="R74" si="347">R75+Q74</f>
        <v>554225305.34358895</v>
      </c>
      <c r="S74">
        <f t="shared" ref="S74" si="348">R74/100000</f>
        <v>5542.2530534358893</v>
      </c>
      <c r="T74">
        <f t="shared" ref="T74" si="349">S74/1000</f>
        <v>5.5422530534358891</v>
      </c>
    </row>
    <row r="75" spans="1:20" x14ac:dyDescent="0.25">
      <c r="A75" s="5">
        <v>44518</v>
      </c>
      <c r="B75">
        <v>577.9</v>
      </c>
      <c r="C75">
        <v>588.20000000000005</v>
      </c>
      <c r="D75">
        <v>510</v>
      </c>
      <c r="E75">
        <v>531.79999999999995</v>
      </c>
      <c r="F75">
        <v>1750338.4280000001</v>
      </c>
      <c r="G75">
        <v>531.79999999999995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-0.44245524296675343</v>
      </c>
      <c r="Q75">
        <f t="shared" ref="Q75" si="351">F75*P75</f>
        <v>-774446.41443478526</v>
      </c>
      <c r="R75">
        <f t="shared" ref="R75" si="352">R76+Q75</f>
        <v>553114567.57425773</v>
      </c>
      <c r="S75">
        <f t="shared" ref="S75" si="353">R75/100000</f>
        <v>5531.1456757425776</v>
      </c>
      <c r="T75">
        <f t="shared" ref="T75" si="354">S75/1000</f>
        <v>5.5311456757425779</v>
      </c>
    </row>
    <row r="76" spans="1:20" x14ac:dyDescent="0.25">
      <c r="A76" s="5">
        <v>44517</v>
      </c>
      <c r="B76">
        <v>588.79999999999995</v>
      </c>
      <c r="C76">
        <v>592.6</v>
      </c>
      <c r="D76">
        <v>553.70000000000005</v>
      </c>
      <c r="E76">
        <v>578</v>
      </c>
      <c r="F76">
        <v>1453408.5549999999</v>
      </c>
      <c r="G76">
        <v>578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0.24935732647814748</v>
      </c>
      <c r="Q76">
        <f t="shared" ref="Q76" si="356">F76*P76</f>
        <v>362418.07155526755</v>
      </c>
      <c r="R76">
        <f t="shared" ref="R76" si="357">R77+Q76</f>
        <v>553889013.98869252</v>
      </c>
      <c r="S76">
        <f t="shared" ref="S76" si="358">R76/100000</f>
        <v>5538.8901398869248</v>
      </c>
      <c r="T76">
        <f t="shared" ref="T76" si="359">S76/1000</f>
        <v>5.5388901398869246</v>
      </c>
    </row>
    <row r="77" spans="1:20" x14ac:dyDescent="0.25">
      <c r="A77" s="5">
        <v>44516</v>
      </c>
      <c r="B77">
        <v>633.9</v>
      </c>
      <c r="C77">
        <v>635.20000000000005</v>
      </c>
      <c r="D77">
        <v>573.70000000000005</v>
      </c>
      <c r="E77">
        <v>588.70000000000005</v>
      </c>
      <c r="F77">
        <v>2200954.9029999999</v>
      </c>
      <c r="G77">
        <v>588.70000000000005</v>
      </c>
      <c r="L77" t="s">
        <v>7</v>
      </c>
      <c r="M77" t="s">
        <v>8</v>
      </c>
      <c r="N77" t="s">
        <v>8</v>
      </c>
      <c r="P77">
        <f t="shared" ref="P77" si="360">IF(C77=D77,0,((E77-D77)-(C77-E77))/(C77-D77))</f>
        <v>-0.51219512195121952</v>
      </c>
      <c r="Q77">
        <f t="shared" ref="Q77" si="361">F77*P77</f>
        <v>-1127318.3649512194</v>
      </c>
      <c r="R77">
        <f t="shared" ref="R77" si="362">R78+Q77</f>
        <v>553526595.91713727</v>
      </c>
      <c r="S77">
        <f t="shared" ref="S77" si="363">R77/100000</f>
        <v>5535.2659591713727</v>
      </c>
      <c r="T77">
        <f t="shared" ref="T77" si="364">S77/1000</f>
        <v>5.5352659591713724</v>
      </c>
    </row>
    <row r="78" spans="1:20" x14ac:dyDescent="0.25">
      <c r="A78" s="5">
        <v>44515</v>
      </c>
      <c r="B78">
        <v>650.70000000000005</v>
      </c>
      <c r="C78">
        <v>659.5</v>
      </c>
      <c r="D78">
        <v>630.29999999999995</v>
      </c>
      <c r="E78">
        <v>633.79999999999995</v>
      </c>
      <c r="F78">
        <v>953989.63399999996</v>
      </c>
      <c r="G78">
        <v>633.79999999999995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-0.7602739726027401</v>
      </c>
      <c r="Q78">
        <f t="shared" ref="Q78" si="366">F78*P78</f>
        <v>-725293.48886301403</v>
      </c>
      <c r="R78">
        <f t="shared" ref="R78" si="367">R79+Q78</f>
        <v>554653914.28208852</v>
      </c>
      <c r="S78">
        <f t="shared" ref="S78" si="368">R78/100000</f>
        <v>5546.539142820885</v>
      </c>
      <c r="T78">
        <f t="shared" ref="T78" si="369">S78/1000</f>
        <v>5.546539142820885</v>
      </c>
    </row>
    <row r="79" spans="1:20" x14ac:dyDescent="0.25">
      <c r="A79" s="5">
        <v>44514</v>
      </c>
      <c r="B79">
        <v>649.5</v>
      </c>
      <c r="C79">
        <v>661</v>
      </c>
      <c r="D79">
        <v>634.5</v>
      </c>
      <c r="E79">
        <v>650.79999999999995</v>
      </c>
      <c r="F79">
        <v>933689.13899999997</v>
      </c>
      <c r="G79">
        <v>650.79999999999995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0.23018867924527958</v>
      </c>
      <c r="Q79">
        <f t="shared" ref="Q79" si="371">F79*P79</f>
        <v>214924.66973207225</v>
      </c>
      <c r="R79">
        <f t="shared" ref="R79" si="372">R80+Q79</f>
        <v>555379207.77095151</v>
      </c>
      <c r="S79">
        <f t="shared" ref="S79" si="373">R79/100000</f>
        <v>5553.7920777095151</v>
      </c>
      <c r="T79">
        <f t="shared" ref="T79" si="374">S79/1000</f>
        <v>5.5537920777095149</v>
      </c>
    </row>
    <row r="80" spans="1:20" x14ac:dyDescent="0.25">
      <c r="A80" s="5">
        <v>44513</v>
      </c>
      <c r="B80">
        <v>626.79999999999995</v>
      </c>
      <c r="C80">
        <v>655</v>
      </c>
      <c r="D80">
        <v>619.6</v>
      </c>
      <c r="E80">
        <v>649.5</v>
      </c>
      <c r="F80">
        <v>900107.75699999998</v>
      </c>
      <c r="G80">
        <v>649.5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0.6892655367231636</v>
      </c>
      <c r="Q80">
        <f t="shared" ref="Q80" si="376">F80*P80</f>
        <v>620413.25623728789</v>
      </c>
      <c r="R80">
        <f t="shared" ref="R80" si="377">R81+Q80</f>
        <v>555164283.10121942</v>
      </c>
      <c r="S80">
        <f t="shared" ref="S80" si="378">R80/100000</f>
        <v>5551.6428310121937</v>
      </c>
      <c r="T80">
        <f t="shared" ref="T80" si="379">S80/1000</f>
        <v>5.5516428310121935</v>
      </c>
    </row>
    <row r="81" spans="1:20" x14ac:dyDescent="0.25">
      <c r="A81" s="5">
        <v>44512</v>
      </c>
      <c r="B81">
        <v>628.4</v>
      </c>
      <c r="C81">
        <v>634.5</v>
      </c>
      <c r="D81">
        <v>602.70000000000005</v>
      </c>
      <c r="E81">
        <v>626.9</v>
      </c>
      <c r="F81">
        <v>1012909.088</v>
      </c>
      <c r="G81">
        <v>626.9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0.52201257861635009</v>
      </c>
      <c r="Q81">
        <f t="shared" ref="Q81" si="381">F81*P81</f>
        <v>528751.28493081545</v>
      </c>
      <c r="R81">
        <f t="shared" ref="R81" si="382">R82+Q81</f>
        <v>554543869.84498215</v>
      </c>
      <c r="S81">
        <f t="shared" ref="S81" si="383">R81/100000</f>
        <v>5545.4386984498215</v>
      </c>
      <c r="T81">
        <f t="shared" ref="T81" si="384">S81/1000</f>
        <v>5.5454386984498214</v>
      </c>
    </row>
    <row r="82" spans="1:20" x14ac:dyDescent="0.25">
      <c r="A82" s="5">
        <v>44511</v>
      </c>
      <c r="B82">
        <v>614.20000000000005</v>
      </c>
      <c r="C82">
        <v>635.20000000000005</v>
      </c>
      <c r="D82">
        <v>605.70000000000005</v>
      </c>
      <c r="E82">
        <v>628.4</v>
      </c>
      <c r="F82">
        <v>1019740.949</v>
      </c>
      <c r="G82">
        <v>628.4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0.53898305084745302</v>
      </c>
      <c r="Q82">
        <f t="shared" ref="Q82" si="386">F82*P82</f>
        <v>549623.08776609704</v>
      </c>
      <c r="R82">
        <f t="shared" ref="R82" si="387">R83+Q82</f>
        <v>554015118.56005132</v>
      </c>
      <c r="S82">
        <f t="shared" ref="S82" si="388">R82/100000</f>
        <v>5540.1511856005136</v>
      </c>
      <c r="T82">
        <f t="shared" ref="T82" si="389">S82/1000</f>
        <v>5.5401511856005135</v>
      </c>
    </row>
    <row r="83" spans="1:20" x14ac:dyDescent="0.25">
      <c r="A83" s="5">
        <v>44510</v>
      </c>
      <c r="B83">
        <v>635</v>
      </c>
      <c r="C83">
        <v>662.9</v>
      </c>
      <c r="D83">
        <v>573</v>
      </c>
      <c r="E83">
        <v>614.1</v>
      </c>
      <c r="F83">
        <v>1814654.0859999999</v>
      </c>
      <c r="G83">
        <v>614.1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-8.5650723025583242E-2</v>
      </c>
      <c r="Q83">
        <f t="shared" ref="Q83" si="391">F83*P83</f>
        <v>-155426.4345072289</v>
      </c>
      <c r="R83">
        <f t="shared" ref="R83" si="392">R84+Q83</f>
        <v>553465495.47228527</v>
      </c>
      <c r="S83">
        <f t="shared" ref="S83" si="393">R83/100000</f>
        <v>5534.6549547228524</v>
      </c>
      <c r="T83">
        <f t="shared" ref="T83" si="394">S83/1000</f>
        <v>5.5346549547228525</v>
      </c>
    </row>
    <row r="84" spans="1:20" x14ac:dyDescent="0.25">
      <c r="A84" s="5">
        <v>44509</v>
      </c>
      <c r="B84">
        <v>653.6</v>
      </c>
      <c r="C84">
        <v>656.7</v>
      </c>
      <c r="D84">
        <v>631.9</v>
      </c>
      <c r="E84">
        <v>635</v>
      </c>
      <c r="F84">
        <v>879119.39800000004</v>
      </c>
      <c r="G84">
        <v>635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-0.74999999999999889</v>
      </c>
      <c r="Q84">
        <f t="shared" ref="Q84" si="396">F84*P84</f>
        <v>-659339.5484999991</v>
      </c>
      <c r="R84">
        <f t="shared" ref="R84" si="397">R85+Q84</f>
        <v>553620921.90679252</v>
      </c>
      <c r="S84">
        <f t="shared" ref="S84" si="398">R84/100000</f>
        <v>5536.209219067925</v>
      </c>
      <c r="T84">
        <f t="shared" ref="T84" si="399">S84/1000</f>
        <v>5.5362092190679251</v>
      </c>
    </row>
    <row r="85" spans="1:20" x14ac:dyDescent="0.25">
      <c r="A85" s="5">
        <v>44508</v>
      </c>
      <c r="B85">
        <v>649.5</v>
      </c>
      <c r="C85">
        <v>655.7</v>
      </c>
      <c r="D85">
        <v>631</v>
      </c>
      <c r="E85">
        <v>653.5</v>
      </c>
      <c r="F85">
        <v>1290096.3840000001</v>
      </c>
      <c r="G85">
        <v>653.5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0.82186234817813431</v>
      </c>
      <c r="Q85">
        <f t="shared" ref="Q85" si="401">F85*P85</f>
        <v>1060281.6435303602</v>
      </c>
      <c r="R85">
        <f t="shared" ref="R85" si="402">R86+Q85</f>
        <v>554280261.45529246</v>
      </c>
      <c r="S85">
        <f t="shared" ref="S85" si="403">R85/100000</f>
        <v>5542.8026145529248</v>
      </c>
      <c r="T85">
        <f t="shared" ref="T85" si="404">S85/1000</f>
        <v>5.542802614552925</v>
      </c>
    </row>
    <row r="86" spans="1:20" x14ac:dyDescent="0.25">
      <c r="A86" s="5">
        <v>44507</v>
      </c>
      <c r="B86">
        <v>637.70000000000005</v>
      </c>
      <c r="C86">
        <v>669.3</v>
      </c>
      <c r="D86">
        <v>630.5</v>
      </c>
      <c r="E86">
        <v>649.6</v>
      </c>
      <c r="F86">
        <v>1476373.2487000001</v>
      </c>
      <c r="G86">
        <v>649.6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-1.546391752577087E-2</v>
      </c>
      <c r="Q86">
        <f t="shared" ref="Q86" si="406">F86*P86</f>
        <v>-22830.514155151206</v>
      </c>
      <c r="R86">
        <f t="shared" ref="R86" si="407">R87+Q86</f>
        <v>553219979.81176209</v>
      </c>
      <c r="S86">
        <f t="shared" ref="S86" si="408">R86/100000</f>
        <v>5532.199798117621</v>
      </c>
      <c r="T86">
        <f t="shared" ref="T86" si="409">S86/1000</f>
        <v>5.5321997981176212</v>
      </c>
    </row>
    <row r="87" spans="1:20" x14ac:dyDescent="0.25">
      <c r="A87" s="5">
        <v>44506</v>
      </c>
      <c r="B87">
        <v>607.29999999999995</v>
      </c>
      <c r="C87">
        <v>637.79999999999995</v>
      </c>
      <c r="D87">
        <v>595.1</v>
      </c>
      <c r="E87">
        <v>637.70000000000005</v>
      </c>
      <c r="F87">
        <v>1366385.9569999999</v>
      </c>
      <c r="G87">
        <v>637.70000000000005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0.99531615925058969</v>
      </c>
      <c r="Q87">
        <f t="shared" ref="Q87" si="411">F87*P87</f>
        <v>1359986.0227751813</v>
      </c>
      <c r="R87">
        <f t="shared" ref="R87" si="412">R88+Q87</f>
        <v>553242810.32591724</v>
      </c>
      <c r="S87">
        <f t="shared" ref="S87" si="413">R87/100000</f>
        <v>5532.4281032591725</v>
      </c>
      <c r="T87">
        <f t="shared" ref="T87" si="414">S87/1000</f>
        <v>5.5324281032591722</v>
      </c>
    </row>
    <row r="88" spans="1:20" x14ac:dyDescent="0.25">
      <c r="A88" s="5">
        <v>44505</v>
      </c>
      <c r="B88">
        <v>558.79999999999995</v>
      </c>
      <c r="C88">
        <v>616.9</v>
      </c>
      <c r="D88">
        <v>554.1</v>
      </c>
      <c r="E88">
        <v>607.29999999999995</v>
      </c>
      <c r="F88">
        <v>1989945.5433</v>
      </c>
      <c r="G88">
        <v>607.29999999999995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0.69426751592356595</v>
      </c>
      <c r="Q88">
        <f t="shared" ref="Q88" si="416">F88*P88</f>
        <v>1381554.5491700619</v>
      </c>
      <c r="R88">
        <f t="shared" ref="R88" si="417">R89+Q88</f>
        <v>551882824.30314207</v>
      </c>
      <c r="S88">
        <f t="shared" ref="S88" si="418">R88/100000</f>
        <v>5518.8282430314212</v>
      </c>
      <c r="T88">
        <f t="shared" ref="T88" si="419">S88/1000</f>
        <v>5.5188282430314208</v>
      </c>
    </row>
    <row r="89" spans="1:20" x14ac:dyDescent="0.25">
      <c r="A89" s="5">
        <v>44504</v>
      </c>
      <c r="B89">
        <v>568.4</v>
      </c>
      <c r="C89">
        <v>568.9</v>
      </c>
      <c r="D89">
        <v>543.6</v>
      </c>
      <c r="E89">
        <v>558.70000000000005</v>
      </c>
      <c r="F89">
        <v>1052950.0330000001</v>
      </c>
      <c r="G89">
        <v>558.70000000000005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0.19367588932806717</v>
      </c>
      <c r="Q89">
        <f t="shared" ref="Q89" si="421">F89*P89</f>
        <v>203931.0340592927</v>
      </c>
      <c r="R89">
        <f t="shared" ref="R89" si="422">R90+Q89</f>
        <v>550501269.75397205</v>
      </c>
      <c r="S89">
        <f t="shared" ref="S89" si="423">R89/100000</f>
        <v>5505.0126975397206</v>
      </c>
      <c r="T89">
        <f t="shared" ref="T89" si="424">S89/1000</f>
        <v>5.5050126975397209</v>
      </c>
    </row>
    <row r="90" spans="1:20" x14ac:dyDescent="0.25">
      <c r="A90" s="5">
        <v>44503</v>
      </c>
      <c r="B90">
        <v>554.4</v>
      </c>
      <c r="C90">
        <v>570.1</v>
      </c>
      <c r="D90">
        <v>537.5</v>
      </c>
      <c r="E90">
        <v>568.4</v>
      </c>
      <c r="F90">
        <v>1262766.5996000001</v>
      </c>
      <c r="G90">
        <v>568.4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0.89570552147238991</v>
      </c>
      <c r="Q90">
        <f t="shared" ref="Q90" si="426">F90*P90</f>
        <v>1131067.0155926347</v>
      </c>
      <c r="R90">
        <f t="shared" ref="R90" si="427">R91+Q90</f>
        <v>550297338.71991277</v>
      </c>
      <c r="S90">
        <f t="shared" ref="S90" si="428">R90/100000</f>
        <v>5502.9733871991275</v>
      </c>
      <c r="T90">
        <f t="shared" ref="T90" si="429">S90/1000</f>
        <v>5.5029733871991278</v>
      </c>
    </row>
    <row r="91" spans="1:20" x14ac:dyDescent="0.25">
      <c r="A91" s="5">
        <v>44502</v>
      </c>
      <c r="B91">
        <v>551.29999999999995</v>
      </c>
      <c r="C91">
        <v>564</v>
      </c>
      <c r="D91">
        <v>537.4</v>
      </c>
      <c r="E91">
        <v>554.4</v>
      </c>
      <c r="F91">
        <v>1153919.1399000001</v>
      </c>
      <c r="G91">
        <v>554.4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0.27819548872180344</v>
      </c>
      <c r="Q91">
        <f t="shared" ref="Q91" si="431">F91*P91</f>
        <v>321015.09906992357</v>
      </c>
      <c r="R91">
        <f t="shared" ref="R91" si="432">R92+Q91</f>
        <v>549166271.70432019</v>
      </c>
      <c r="S91">
        <f t="shared" ref="S91" si="433">R91/100000</f>
        <v>5491.6627170432021</v>
      </c>
      <c r="T91">
        <f t="shared" ref="T91" si="434">S91/1000</f>
        <v>5.4916627170432024</v>
      </c>
    </row>
    <row r="92" spans="1:20" x14ac:dyDescent="0.25">
      <c r="A92" s="5">
        <v>44501</v>
      </c>
      <c r="B92">
        <v>524.6</v>
      </c>
      <c r="C92">
        <v>551.9</v>
      </c>
      <c r="D92">
        <v>511</v>
      </c>
      <c r="E92">
        <v>551.29999999999995</v>
      </c>
      <c r="F92">
        <v>1274272.0851</v>
      </c>
      <c r="G92">
        <v>551.29999999999995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0.97066014669926537</v>
      </c>
      <c r="Q92">
        <f t="shared" ref="Q92" si="436">F92*P92</f>
        <v>1236885.1290579448</v>
      </c>
      <c r="R92">
        <f t="shared" ref="R92" si="437">R93+Q92</f>
        <v>548845256.60525024</v>
      </c>
      <c r="S92">
        <f t="shared" ref="S92" si="438">R92/100000</f>
        <v>5488.4525660525023</v>
      </c>
      <c r="T92">
        <f t="shared" ref="T92" si="439">S92/1000</f>
        <v>5.4884525660525023</v>
      </c>
    </row>
    <row r="93" spans="1:20" x14ac:dyDescent="0.25">
      <c r="A93" s="5">
        <v>44500</v>
      </c>
      <c r="B93">
        <v>528.4</v>
      </c>
      <c r="C93">
        <v>535</v>
      </c>
      <c r="D93">
        <v>508.9</v>
      </c>
      <c r="E93">
        <v>524.6</v>
      </c>
      <c r="F93">
        <v>1018991.819</v>
      </c>
      <c r="G93">
        <v>524.6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0.20306513409961929</v>
      </c>
      <c r="Q93">
        <f t="shared" ref="Q93" si="441">F93*P93</f>
        <v>206921.71037165</v>
      </c>
      <c r="R93">
        <f t="shared" ref="R93" si="442">R94+Q93</f>
        <v>547608371.47619224</v>
      </c>
      <c r="S93">
        <f t="shared" ref="S93" si="443">R93/100000</f>
        <v>5476.0837147619222</v>
      </c>
      <c r="T93">
        <f t="shared" ref="T93" si="444">S93/1000</f>
        <v>5.4760837147619226</v>
      </c>
    </row>
    <row r="94" spans="1:20" x14ac:dyDescent="0.25">
      <c r="A94" s="5">
        <v>44499</v>
      </c>
      <c r="B94">
        <v>530.29999999999995</v>
      </c>
      <c r="C94">
        <v>540.5</v>
      </c>
      <c r="D94">
        <v>510.2</v>
      </c>
      <c r="E94">
        <v>528.29999999999995</v>
      </c>
      <c r="F94">
        <v>1095033.1264</v>
      </c>
      <c r="G94">
        <v>528.29999999999995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0.19471947194719202</v>
      </c>
      <c r="Q94">
        <f t="shared" ref="Q94" si="446">F94*P94</f>
        <v>213224.27213729077</v>
      </c>
      <c r="R94">
        <f t="shared" ref="R94" si="447">R95+Q94</f>
        <v>547401449.76582062</v>
      </c>
      <c r="S94">
        <f t="shared" ref="S94" si="448">R94/100000</f>
        <v>5474.014497658206</v>
      </c>
      <c r="T94">
        <f t="shared" ref="T94" si="449">S94/1000</f>
        <v>5.4740144976582057</v>
      </c>
    </row>
    <row r="95" spans="1:20" x14ac:dyDescent="0.25">
      <c r="A95" s="5">
        <v>44498</v>
      </c>
      <c r="B95">
        <v>492</v>
      </c>
      <c r="C95">
        <v>533.61</v>
      </c>
      <c r="D95">
        <v>487.6</v>
      </c>
      <c r="E95">
        <v>530.29999999999995</v>
      </c>
      <c r="F95">
        <v>1411851.4394</v>
      </c>
      <c r="G95">
        <v>530.29999999999995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0.85611823516626562</v>
      </c>
      <c r="Q95">
        <f t="shared" ref="Q95" si="451">F95*P95</f>
        <v>1208711.7626160798</v>
      </c>
      <c r="R95">
        <f t="shared" ref="R95" si="452">R96+Q95</f>
        <v>547188225.49368334</v>
      </c>
      <c r="S95">
        <f t="shared" ref="S95" si="453">R95/100000</f>
        <v>5471.8822549368333</v>
      </c>
      <c r="T95">
        <f t="shared" ref="T95" si="454">S95/1000</f>
        <v>5.4718822549368333</v>
      </c>
    </row>
    <row r="96" spans="1:20" x14ac:dyDescent="0.25">
      <c r="A96" s="5">
        <v>44497</v>
      </c>
      <c r="B96">
        <v>448.7</v>
      </c>
      <c r="C96">
        <v>494.8</v>
      </c>
      <c r="D96">
        <v>446.4</v>
      </c>
      <c r="E96">
        <v>491.9</v>
      </c>
      <c r="F96">
        <v>1523900.0060000001</v>
      </c>
      <c r="G96">
        <v>491.9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0.88016528925619697</v>
      </c>
      <c r="Q96">
        <f t="shared" ref="Q96" si="456">F96*P96</f>
        <v>1341283.8895785103</v>
      </c>
      <c r="R96">
        <f t="shared" ref="R96" si="457">R97+Q96</f>
        <v>545979513.7310673</v>
      </c>
      <c r="S96">
        <f t="shared" ref="S96" si="458">R96/100000</f>
        <v>5459.7951373106725</v>
      </c>
      <c r="T96">
        <f t="shared" ref="T96" si="459">S96/1000</f>
        <v>5.4597951373106728</v>
      </c>
    </row>
    <row r="97" spans="1:20" x14ac:dyDescent="0.25">
      <c r="A97" s="5">
        <v>44496</v>
      </c>
      <c r="B97">
        <v>478.2</v>
      </c>
      <c r="C97">
        <v>486.4</v>
      </c>
      <c r="D97">
        <v>435.3</v>
      </c>
      <c r="E97">
        <v>448.7</v>
      </c>
      <c r="F97">
        <v>1370950.2139999999</v>
      </c>
      <c r="G97">
        <v>448.7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-0.47553816046966785</v>
      </c>
      <c r="Q97">
        <f t="shared" ref="Q97" si="461">F97*P97</f>
        <v>-651939.14286105742</v>
      </c>
      <c r="R97">
        <f t="shared" ref="R97" si="462">R98+Q97</f>
        <v>544638229.84148884</v>
      </c>
      <c r="S97">
        <f t="shared" ref="S97" si="463">R97/100000</f>
        <v>5446.3822984148883</v>
      </c>
      <c r="T97">
        <f t="shared" ref="T97" si="464">S97/1000</f>
        <v>5.4463822984148882</v>
      </c>
    </row>
    <row r="98" spans="1:20" x14ac:dyDescent="0.25">
      <c r="A98" s="5">
        <v>44495</v>
      </c>
      <c r="B98">
        <v>485.1</v>
      </c>
      <c r="C98">
        <v>489.8</v>
      </c>
      <c r="D98">
        <v>473.5</v>
      </c>
      <c r="E98">
        <v>478.1</v>
      </c>
      <c r="F98">
        <v>702610.18400000001</v>
      </c>
      <c r="G98">
        <v>478.1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-0.43558282208588717</v>
      </c>
      <c r="Q98">
        <f t="shared" ref="Q98" si="466">F98*P98</f>
        <v>-306044.92677300447</v>
      </c>
      <c r="R98">
        <f t="shared" ref="R98" si="467">R99+Q98</f>
        <v>545290168.98434985</v>
      </c>
      <c r="S98">
        <f t="shared" ref="S98" si="468">R98/100000</f>
        <v>5452.9016898434984</v>
      </c>
      <c r="T98">
        <f t="shared" ref="T98" si="469">S98/1000</f>
        <v>5.4529016898434985</v>
      </c>
    </row>
    <row r="99" spans="1:20" x14ac:dyDescent="0.25">
      <c r="A99" s="5">
        <v>44494</v>
      </c>
      <c r="B99">
        <v>475.8</v>
      </c>
      <c r="C99">
        <v>488.6</v>
      </c>
      <c r="D99">
        <v>474.7</v>
      </c>
      <c r="E99">
        <v>485.1</v>
      </c>
      <c r="F99">
        <v>632116.76100000006</v>
      </c>
      <c r="G99">
        <v>485.1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0.49640287769784297</v>
      </c>
      <c r="Q99">
        <f t="shared" ref="Q99" si="471">F99*P99</f>
        <v>313784.57920143969</v>
      </c>
      <c r="R99">
        <f t="shared" ref="R99" si="472">R100+Q99</f>
        <v>545596213.9111228</v>
      </c>
      <c r="S99">
        <f t="shared" ref="S99" si="473">R99/100000</f>
        <v>5455.9621391112278</v>
      </c>
      <c r="T99">
        <f t="shared" ref="T99" si="474">S99/1000</f>
        <v>5.4559621391112278</v>
      </c>
    </row>
    <row r="100" spans="1:20" x14ac:dyDescent="0.25">
      <c r="A100" s="5">
        <v>44493</v>
      </c>
      <c r="B100">
        <v>485.5</v>
      </c>
      <c r="C100">
        <v>486.5</v>
      </c>
      <c r="D100">
        <v>467.8</v>
      </c>
      <c r="E100">
        <v>475.8</v>
      </c>
      <c r="F100">
        <v>590939.03099999996</v>
      </c>
      <c r="G100">
        <v>475.8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-0.14438502673796738</v>
      </c>
      <c r="Q100">
        <f t="shared" ref="Q100" si="476">F100*P100</f>
        <v>-85322.747791443529</v>
      </c>
      <c r="R100">
        <f t="shared" ref="R100" si="477">R101+Q100</f>
        <v>545282429.33192134</v>
      </c>
      <c r="S100">
        <f t="shared" ref="S100" si="478">R100/100000</f>
        <v>5452.8242933192132</v>
      </c>
      <c r="T100">
        <f t="shared" ref="T100" si="479">S100/1000</f>
        <v>5.452824293319213</v>
      </c>
    </row>
    <row r="101" spans="1:20" x14ac:dyDescent="0.25">
      <c r="A101" s="5">
        <v>44492</v>
      </c>
      <c r="B101">
        <v>479.3</v>
      </c>
      <c r="C101">
        <v>485.7</v>
      </c>
      <c r="D101">
        <v>472.6</v>
      </c>
      <c r="E101">
        <v>485.5</v>
      </c>
      <c r="F101">
        <v>521970.79499999998</v>
      </c>
      <c r="G101">
        <v>485.5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0.96946564885496345</v>
      </c>
      <c r="Q101">
        <f t="shared" ref="Q101" si="481">F101*P101</f>
        <v>506032.75545801612</v>
      </c>
      <c r="R101">
        <f t="shared" ref="R101" si="482">R102+Q101</f>
        <v>545367752.07971275</v>
      </c>
      <c r="S101">
        <f t="shared" ref="S101" si="483">R101/100000</f>
        <v>5453.6775207971277</v>
      </c>
      <c r="T101">
        <f t="shared" ref="T101" si="484">S101/1000</f>
        <v>5.453677520797128</v>
      </c>
    </row>
    <row r="102" spans="1:20" x14ac:dyDescent="0.25">
      <c r="A102" s="5">
        <v>44491</v>
      </c>
      <c r="B102">
        <v>470.9</v>
      </c>
      <c r="C102">
        <v>498</v>
      </c>
      <c r="D102">
        <v>470.7</v>
      </c>
      <c r="E102">
        <v>479.3</v>
      </c>
      <c r="F102">
        <v>1118876.638</v>
      </c>
      <c r="G102">
        <v>479.3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-0.36996336996336854</v>
      </c>
      <c r="Q102">
        <f t="shared" ref="Q102" si="486">F102*P102</f>
        <v>-413943.37156776397</v>
      </c>
      <c r="R102">
        <f t="shared" ref="R102" si="487">R103+Q102</f>
        <v>544861719.32425475</v>
      </c>
      <c r="S102">
        <f t="shared" ref="S102" si="488">R102/100000</f>
        <v>5448.6171932425477</v>
      </c>
      <c r="T102">
        <f t="shared" ref="T102" si="489">S102/1000</f>
        <v>5.4486171932425478</v>
      </c>
    </row>
    <row r="103" spans="1:20" x14ac:dyDescent="0.25">
      <c r="A103" s="5">
        <v>44490</v>
      </c>
      <c r="B103">
        <v>501.3</v>
      </c>
      <c r="C103">
        <v>504.9</v>
      </c>
      <c r="D103">
        <v>466</v>
      </c>
      <c r="E103">
        <v>470.9</v>
      </c>
      <c r="F103">
        <v>1851835.929</v>
      </c>
      <c r="G103">
        <v>470.9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-0.74807197943444836</v>
      </c>
      <c r="Q103">
        <f t="shared" ref="Q103" si="491">F103*P103</f>
        <v>-1385306.5689948606</v>
      </c>
      <c r="R103">
        <f t="shared" ref="R103" si="492">R104+Q103</f>
        <v>545275662.69582248</v>
      </c>
      <c r="S103">
        <f t="shared" ref="S103" si="493">R103/100000</f>
        <v>5452.7566269582248</v>
      </c>
      <c r="T103">
        <f t="shared" ref="T103" si="494">S103/1000</f>
        <v>5.4527566269582248</v>
      </c>
    </row>
    <row r="104" spans="1:20" x14ac:dyDescent="0.25">
      <c r="A104" s="5">
        <v>44489</v>
      </c>
      <c r="B104">
        <v>488.1</v>
      </c>
      <c r="C104">
        <v>505.9</v>
      </c>
      <c r="D104">
        <v>481.3</v>
      </c>
      <c r="E104">
        <v>501.3</v>
      </c>
      <c r="F104">
        <v>946412.94</v>
      </c>
      <c r="G104">
        <v>501.3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0.62601626016260392</v>
      </c>
      <c r="Q104">
        <f t="shared" ref="Q104" si="496">F104*P104</f>
        <v>592469.88926829479</v>
      </c>
      <c r="R104">
        <f t="shared" ref="R104" si="497">R105+Q104</f>
        <v>546660969.26481736</v>
      </c>
      <c r="S104">
        <f t="shared" ref="S104" si="498">R104/100000</f>
        <v>5466.6096926481732</v>
      </c>
      <c r="T104">
        <f t="shared" ref="T104" si="499">S104/1000</f>
        <v>5.4666096926481735</v>
      </c>
    </row>
    <row r="105" spans="1:20" x14ac:dyDescent="0.25">
      <c r="A105" s="5">
        <v>44488</v>
      </c>
      <c r="B105">
        <v>485</v>
      </c>
      <c r="C105">
        <v>497.6</v>
      </c>
      <c r="D105">
        <v>480.3</v>
      </c>
      <c r="E105">
        <v>488.1</v>
      </c>
      <c r="F105">
        <v>912494.96900000004</v>
      </c>
      <c r="G105">
        <v>488.1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-9.826589595375651E-2</v>
      </c>
      <c r="Q105">
        <f t="shared" ref="Q105" si="501">F105*P105</f>
        <v>-89667.135682080276</v>
      </c>
      <c r="R105">
        <f t="shared" ref="R105" si="502">R106+Q105</f>
        <v>546068499.37554908</v>
      </c>
      <c r="S105">
        <f t="shared" ref="S105" si="503">R105/100000</f>
        <v>5460.6849937554907</v>
      </c>
      <c r="T105">
        <f t="shared" ref="T105" si="504">S105/1000</f>
        <v>5.4606849937554909</v>
      </c>
    </row>
    <row r="106" spans="1:20" x14ac:dyDescent="0.25">
      <c r="A106" s="5">
        <v>44487</v>
      </c>
      <c r="B106">
        <v>471</v>
      </c>
      <c r="C106">
        <v>487.6</v>
      </c>
      <c r="D106">
        <v>466.4</v>
      </c>
      <c r="E106">
        <v>484.9</v>
      </c>
      <c r="F106">
        <v>1091006.031</v>
      </c>
      <c r="G106">
        <v>484.9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0.74528301886792081</v>
      </c>
      <c r="Q106">
        <f t="shared" ref="Q106" si="506">F106*P106</f>
        <v>813108.26838678832</v>
      </c>
      <c r="R106">
        <f t="shared" ref="R106" si="507">R107+Q106</f>
        <v>546158166.51123118</v>
      </c>
      <c r="S106">
        <f t="shared" ref="S106" si="508">R106/100000</f>
        <v>5461.5816651123123</v>
      </c>
      <c r="T106">
        <f t="shared" ref="T106" si="509">S106/1000</f>
        <v>5.4615816651123126</v>
      </c>
    </row>
    <row r="107" spans="1:20" x14ac:dyDescent="0.25">
      <c r="A107" s="5">
        <v>44486</v>
      </c>
      <c r="B107">
        <v>465.8</v>
      </c>
      <c r="C107">
        <v>472.4</v>
      </c>
      <c r="D107">
        <v>454.2</v>
      </c>
      <c r="E107">
        <v>470.9</v>
      </c>
      <c r="F107">
        <v>890609.84900000005</v>
      </c>
      <c r="G107">
        <v>470.9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0.83516483516483508</v>
      </c>
      <c r="Q107">
        <f t="shared" ref="Q107" si="511">F107*P107</f>
        <v>743806.0277362637</v>
      </c>
      <c r="R107">
        <f t="shared" ref="R107" si="512">R108+Q107</f>
        <v>545345058.24284434</v>
      </c>
      <c r="S107">
        <f t="shared" ref="S107" si="513">R107/100000</f>
        <v>5453.4505824284433</v>
      </c>
      <c r="T107">
        <f t="shared" ref="T107" si="514">S107/1000</f>
        <v>5.4534505824284434</v>
      </c>
    </row>
    <row r="108" spans="1:20" x14ac:dyDescent="0.25">
      <c r="A108" s="5">
        <v>44485</v>
      </c>
      <c r="B108">
        <v>474.5</v>
      </c>
      <c r="C108">
        <v>484.7</v>
      </c>
      <c r="D108">
        <v>423</v>
      </c>
      <c r="E108">
        <v>465.8</v>
      </c>
      <c r="F108">
        <v>1040477.571</v>
      </c>
      <c r="G108">
        <v>465.8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0.38735818476499251</v>
      </c>
      <c r="Q108">
        <f t="shared" ref="Q108" si="516">F108*P108</f>
        <v>403037.50319124863</v>
      </c>
      <c r="R108">
        <f t="shared" ref="R108" si="517">R109+Q108</f>
        <v>544601252.21510804</v>
      </c>
      <c r="S108">
        <f t="shared" ref="S108" si="518">R108/100000</f>
        <v>5446.0125221510807</v>
      </c>
      <c r="T108">
        <f t="shared" ref="T108" si="519">S108/1000</f>
        <v>5.4460125221510811</v>
      </c>
    </row>
    <row r="109" spans="1:20" x14ac:dyDescent="0.25">
      <c r="A109" s="5">
        <v>44484</v>
      </c>
      <c r="B109">
        <v>472.7</v>
      </c>
      <c r="C109">
        <v>478</v>
      </c>
      <c r="D109">
        <v>450.8</v>
      </c>
      <c r="E109">
        <v>474.5</v>
      </c>
      <c r="F109">
        <v>1508188.787</v>
      </c>
      <c r="G109">
        <v>474.5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0.74264705882352933</v>
      </c>
      <c r="Q109">
        <f t="shared" ref="Q109" si="521">F109*P109</f>
        <v>1120051.9668161764</v>
      </c>
      <c r="R109">
        <f t="shared" ref="R109" si="522">R110+Q109</f>
        <v>544198214.7119168</v>
      </c>
      <c r="S109">
        <f t="shared" ref="S109" si="523">R109/100000</f>
        <v>5441.9821471191681</v>
      </c>
      <c r="T109">
        <f t="shared" ref="T109" si="524">S109/1000</f>
        <v>5.4419821471191678</v>
      </c>
    </row>
    <row r="110" spans="1:20" x14ac:dyDescent="0.25">
      <c r="A110" s="5">
        <v>44483</v>
      </c>
      <c r="B110">
        <v>470.7</v>
      </c>
      <c r="C110">
        <v>482.8</v>
      </c>
      <c r="D110">
        <v>461.2</v>
      </c>
      <c r="E110">
        <v>472.7</v>
      </c>
      <c r="F110">
        <v>1431305.925</v>
      </c>
      <c r="G110">
        <v>472.7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6.4814814814813687E-2</v>
      </c>
      <c r="Q110">
        <f t="shared" ref="Q110" si="526">F110*P110</f>
        <v>92769.828472220615</v>
      </c>
      <c r="R110">
        <f t="shared" ref="R110" si="527">R111+Q110</f>
        <v>543078162.74510062</v>
      </c>
      <c r="S110">
        <f t="shared" ref="S110" si="528">R110/100000</f>
        <v>5430.781627451006</v>
      </c>
      <c r="T110">
        <f t="shared" ref="T110" si="529">S110/1000</f>
        <v>5.4307816274510063</v>
      </c>
    </row>
    <row r="111" spans="1:20" x14ac:dyDescent="0.25">
      <c r="A111" s="5">
        <v>44482</v>
      </c>
      <c r="B111">
        <v>444.1</v>
      </c>
      <c r="C111">
        <v>471.8</v>
      </c>
      <c r="D111">
        <v>432.3</v>
      </c>
      <c r="E111">
        <v>470.8</v>
      </c>
      <c r="F111">
        <v>3383303.4389999998</v>
      </c>
      <c r="G111">
        <v>470.8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0.94936708860759489</v>
      </c>
      <c r="Q111">
        <f t="shared" ref="Q111" si="531">F111*P111</f>
        <v>3211996.9357594931</v>
      </c>
      <c r="R111">
        <f t="shared" ref="R111" si="532">R112+Q111</f>
        <v>542985392.91662836</v>
      </c>
      <c r="S111">
        <f t="shared" ref="S111" si="533">R111/100000</f>
        <v>5429.8539291662837</v>
      </c>
      <c r="T111">
        <f t="shared" ref="T111" si="534">S111/1000</f>
        <v>5.429853929166284</v>
      </c>
    </row>
    <row r="112" spans="1:20" x14ac:dyDescent="0.25">
      <c r="A112" s="5">
        <v>44481</v>
      </c>
      <c r="B112">
        <v>413.2</v>
      </c>
      <c r="C112">
        <v>444.5</v>
      </c>
      <c r="D112">
        <v>392.2</v>
      </c>
      <c r="E112">
        <v>444.2</v>
      </c>
      <c r="F112">
        <v>1966630.183</v>
      </c>
      <c r="G112">
        <v>444.2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0.98852772466539152</v>
      </c>
      <c r="Q112">
        <f t="shared" ref="Q112" si="536">F112*P112</f>
        <v>1944068.4600592726</v>
      </c>
      <c r="R112">
        <f t="shared" ref="R112" si="537">R113+Q112</f>
        <v>539773395.98086882</v>
      </c>
      <c r="S112">
        <f t="shared" ref="S112" si="538">R112/100000</f>
        <v>5397.7339598086883</v>
      </c>
      <c r="T112">
        <f t="shared" ref="T112" si="539">S112/1000</f>
        <v>5.3977339598086882</v>
      </c>
    </row>
    <row r="113" spans="1:20" x14ac:dyDescent="0.25">
      <c r="A113" s="5">
        <v>44480</v>
      </c>
      <c r="B113">
        <v>404</v>
      </c>
      <c r="C113">
        <v>424</v>
      </c>
      <c r="D113">
        <v>399.8</v>
      </c>
      <c r="E113">
        <v>413.1</v>
      </c>
      <c r="F113">
        <v>759924.88399999996</v>
      </c>
      <c r="G113">
        <v>413.1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9.9173553719009724E-2</v>
      </c>
      <c r="Q113">
        <f t="shared" ref="Q113" si="541">F113*P113</f>
        <v>75364.451305786235</v>
      </c>
      <c r="R113">
        <f t="shared" ref="R113" si="542">R114+Q113</f>
        <v>537829327.52080953</v>
      </c>
      <c r="S113">
        <f t="shared" ref="S113" si="543">R113/100000</f>
        <v>5378.2932752080951</v>
      </c>
      <c r="T113">
        <f t="shared" ref="T113" si="544">S113/1000</f>
        <v>5.3782932752080947</v>
      </c>
    </row>
    <row r="114" spans="1:20" x14ac:dyDescent="0.25">
      <c r="A114" s="5">
        <v>44479</v>
      </c>
      <c r="B114">
        <v>421.9</v>
      </c>
      <c r="C114">
        <v>422.3</v>
      </c>
      <c r="D114">
        <v>402</v>
      </c>
      <c r="E114">
        <v>404.1</v>
      </c>
      <c r="F114">
        <v>729380.96299999999</v>
      </c>
      <c r="G114">
        <v>404.1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-0.79310344827585999</v>
      </c>
      <c r="Q114">
        <f t="shared" ref="Q114" si="546">F114*P114</f>
        <v>-578474.55686206743</v>
      </c>
      <c r="R114">
        <f t="shared" ref="R114" si="547">R115+Q114</f>
        <v>537753963.06950378</v>
      </c>
      <c r="S114">
        <f t="shared" ref="S114" si="548">R114/100000</f>
        <v>5377.5396306950379</v>
      </c>
      <c r="T114">
        <f t="shared" ref="T114" si="549">S114/1000</f>
        <v>5.377539630695038</v>
      </c>
    </row>
    <row r="115" spans="1:20" x14ac:dyDescent="0.25">
      <c r="A115" s="5">
        <v>44478</v>
      </c>
      <c r="B115">
        <v>419.3</v>
      </c>
      <c r="C115">
        <v>426</v>
      </c>
      <c r="D115">
        <v>416</v>
      </c>
      <c r="E115">
        <v>421.9</v>
      </c>
      <c r="F115">
        <v>632123.52599999995</v>
      </c>
      <c r="G115">
        <v>421.9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0.17999999999999544</v>
      </c>
      <c r="Q115">
        <f t="shared" ref="Q115" si="551">F115*P115</f>
        <v>113782.23467999711</v>
      </c>
      <c r="R115">
        <f t="shared" ref="R115" si="552">R116+Q115</f>
        <v>538332437.6263659</v>
      </c>
      <c r="S115">
        <f t="shared" ref="S115" si="553">R115/100000</f>
        <v>5383.3243762636594</v>
      </c>
      <c r="T115">
        <f t="shared" ref="T115" si="554">S115/1000</f>
        <v>5.3833243762636593</v>
      </c>
    </row>
    <row r="116" spans="1:20" x14ac:dyDescent="0.25">
      <c r="A116" s="5">
        <v>44477</v>
      </c>
      <c r="B116">
        <v>438.5</v>
      </c>
      <c r="C116">
        <v>441.6</v>
      </c>
      <c r="D116">
        <v>415.7</v>
      </c>
      <c r="E116">
        <v>419.2</v>
      </c>
      <c r="F116">
        <v>1505999.1880000001</v>
      </c>
      <c r="G116">
        <v>419.2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-0.72972972972973005</v>
      </c>
      <c r="Q116">
        <f t="shared" ref="Q116" si="556">F116*P116</f>
        <v>-1098972.380432433</v>
      </c>
      <c r="R116">
        <f t="shared" ref="R116" si="557">R117+Q116</f>
        <v>538218655.39168584</v>
      </c>
      <c r="S116">
        <f t="shared" ref="S116" si="558">R116/100000</f>
        <v>5382.1865539168584</v>
      </c>
      <c r="T116">
        <f t="shared" ref="T116" si="559">S116/1000</f>
        <v>5.3821865539168581</v>
      </c>
    </row>
    <row r="117" spans="1:20" x14ac:dyDescent="0.25">
      <c r="A117" s="5">
        <v>44476</v>
      </c>
      <c r="B117">
        <v>434.9</v>
      </c>
      <c r="C117">
        <v>450</v>
      </c>
      <c r="D117">
        <v>423.6</v>
      </c>
      <c r="E117">
        <v>438.5</v>
      </c>
      <c r="F117">
        <v>1159098.7446999999</v>
      </c>
      <c r="G117">
        <v>438.5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0.12878787878787804</v>
      </c>
      <c r="Q117">
        <f t="shared" ref="Q117" si="561">F117*P117</f>
        <v>149277.86863560518</v>
      </c>
      <c r="R117">
        <f t="shared" ref="R117" si="562">R118+Q117</f>
        <v>539317627.77211833</v>
      </c>
      <c r="S117">
        <f t="shared" ref="S117" si="563">R117/100000</f>
        <v>5393.1762777211834</v>
      </c>
      <c r="T117">
        <f t="shared" ref="T117" si="564">S117/1000</f>
        <v>5.3931762777211834</v>
      </c>
    </row>
    <row r="118" spans="1:20" x14ac:dyDescent="0.25">
      <c r="A118" s="5">
        <v>44475</v>
      </c>
      <c r="B118">
        <v>442</v>
      </c>
      <c r="C118">
        <v>442.8</v>
      </c>
      <c r="D118">
        <v>414.7</v>
      </c>
      <c r="E118">
        <v>434.9</v>
      </c>
      <c r="F118">
        <v>1245088.683</v>
      </c>
      <c r="G118">
        <v>434.9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0.43772241992882366</v>
      </c>
      <c r="Q118">
        <f t="shared" ref="Q118" si="566">F118*P118</f>
        <v>545003.23134875193</v>
      </c>
      <c r="R118">
        <f t="shared" ref="R118" si="567">R119+Q118</f>
        <v>539168349.90348268</v>
      </c>
      <c r="S118">
        <f t="shared" ref="S118" si="568">R118/100000</f>
        <v>5391.683499034827</v>
      </c>
      <c r="T118">
        <f t="shared" ref="T118" si="569">S118/1000</f>
        <v>5.3916834990348272</v>
      </c>
    </row>
    <row r="119" spans="1:20" x14ac:dyDescent="0.25">
      <c r="A119" s="5">
        <v>44474</v>
      </c>
      <c r="B119">
        <v>426.4</v>
      </c>
      <c r="C119">
        <v>444</v>
      </c>
      <c r="D119">
        <v>424</v>
      </c>
      <c r="E119">
        <v>442.1</v>
      </c>
      <c r="F119">
        <v>883699.82799999998</v>
      </c>
      <c r="G119">
        <v>442.1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0.81000000000000227</v>
      </c>
      <c r="Q119">
        <f t="shared" ref="Q119" si="571">F119*P119</f>
        <v>715796.86068000202</v>
      </c>
      <c r="R119">
        <f t="shared" ref="R119" si="572">R120+Q119</f>
        <v>538623346.67213392</v>
      </c>
      <c r="S119">
        <f t="shared" ref="S119" si="573">R119/100000</f>
        <v>5386.233466721339</v>
      </c>
      <c r="T119">
        <f t="shared" ref="T119" si="574">S119/1000</f>
        <v>5.3862334667213387</v>
      </c>
    </row>
    <row r="120" spans="1:20" x14ac:dyDescent="0.25">
      <c r="A120" s="5">
        <v>44473</v>
      </c>
      <c r="B120">
        <v>430.5</v>
      </c>
      <c r="C120">
        <v>430.9</v>
      </c>
      <c r="D120">
        <v>410.9</v>
      </c>
      <c r="E120">
        <v>427</v>
      </c>
      <c r="F120">
        <v>961548.89500000002</v>
      </c>
      <c r="G120">
        <v>427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0.61000000000000232</v>
      </c>
      <c r="Q120">
        <f t="shared" ref="Q120" si="576">F120*P120</f>
        <v>586544.8259500023</v>
      </c>
      <c r="R120">
        <f t="shared" ref="R120" si="577">R121+Q120</f>
        <v>537907549.81145394</v>
      </c>
      <c r="S120">
        <f t="shared" ref="S120" si="578">R120/100000</f>
        <v>5379.0754981145392</v>
      </c>
      <c r="T120">
        <f t="shared" ref="T120" si="579">S120/1000</f>
        <v>5.3790754981145392</v>
      </c>
    </row>
    <row r="121" spans="1:20" x14ac:dyDescent="0.25">
      <c r="A121" s="5">
        <v>44472</v>
      </c>
      <c r="B121">
        <v>427</v>
      </c>
      <c r="C121">
        <v>437.2</v>
      </c>
      <c r="D121">
        <v>421.5</v>
      </c>
      <c r="E121">
        <v>429.8</v>
      </c>
      <c r="F121">
        <v>812686.33400000003</v>
      </c>
      <c r="G121">
        <v>429.8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5.7324840764333425E-2</v>
      </c>
      <c r="Q121">
        <f t="shared" ref="Q121" si="581">F121*P121</f>
        <v>46587.114687899892</v>
      </c>
      <c r="R121">
        <f t="shared" ref="R121" si="582">R122+Q121</f>
        <v>537321004.98550391</v>
      </c>
      <c r="S121">
        <f t="shared" ref="S121" si="583">R121/100000</f>
        <v>5373.210049855039</v>
      </c>
      <c r="T121">
        <f t="shared" ref="T121" si="584">S121/1000</f>
        <v>5.3732100498550386</v>
      </c>
    </row>
    <row r="122" spans="1:20" x14ac:dyDescent="0.25">
      <c r="A122" s="5">
        <v>44471</v>
      </c>
      <c r="B122">
        <v>421.4</v>
      </c>
      <c r="C122">
        <v>438.2</v>
      </c>
      <c r="D122">
        <v>410.6</v>
      </c>
      <c r="E122">
        <v>427.1</v>
      </c>
      <c r="F122">
        <v>1039006.518</v>
      </c>
      <c r="G122">
        <v>427.1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0.19565217391304496</v>
      </c>
      <c r="Q122">
        <f t="shared" ref="Q122" si="586">F122*P122</f>
        <v>203283.88395652329</v>
      </c>
      <c r="R122">
        <f t="shared" ref="R122" si="587">R123+Q122</f>
        <v>537274417.87081599</v>
      </c>
      <c r="S122">
        <f t="shared" ref="S122" si="588">R122/100000</f>
        <v>5372.7441787081598</v>
      </c>
      <c r="T122">
        <f t="shared" ref="T122" si="589">S122/1000</f>
        <v>5.3727441787081593</v>
      </c>
    </row>
    <row r="123" spans="1:20" x14ac:dyDescent="0.25">
      <c r="A123" s="5">
        <v>44470</v>
      </c>
      <c r="B123">
        <v>387.5</v>
      </c>
      <c r="C123">
        <v>423.4</v>
      </c>
      <c r="D123">
        <v>381.5</v>
      </c>
      <c r="E123">
        <v>421.5</v>
      </c>
      <c r="F123">
        <v>1440336.041</v>
      </c>
      <c r="G123">
        <v>421.5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0.90930787589498907</v>
      </c>
      <c r="Q123">
        <f t="shared" ref="Q123" si="591">F123*P123</f>
        <v>1309708.9060167079</v>
      </c>
      <c r="R123">
        <f t="shared" ref="R123" si="592">R124+Q123</f>
        <v>537071133.98685944</v>
      </c>
      <c r="S123">
        <f t="shared" ref="S123" si="593">R123/100000</f>
        <v>5370.7113398685942</v>
      </c>
      <c r="T123">
        <f t="shared" ref="T123" si="594">S123/1000</f>
        <v>5.3707113398685946</v>
      </c>
    </row>
    <row r="124" spans="1:20" x14ac:dyDescent="0.25">
      <c r="A124" s="5">
        <v>44469</v>
      </c>
      <c r="B124">
        <v>367.7</v>
      </c>
      <c r="C124">
        <v>388.8</v>
      </c>
      <c r="D124">
        <v>366.4</v>
      </c>
      <c r="E124">
        <v>387.5</v>
      </c>
      <c r="F124">
        <v>1163674.206</v>
      </c>
      <c r="G124">
        <v>387.5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0.88392857142857062</v>
      </c>
      <c r="Q124">
        <f t="shared" ref="Q124" si="596">F124*P124</f>
        <v>1028604.8785178562</v>
      </c>
      <c r="R124">
        <f t="shared" ref="R124" si="597">R125+Q124</f>
        <v>535761425.08084267</v>
      </c>
      <c r="S124">
        <f t="shared" ref="S124" si="598">R124/100000</f>
        <v>5357.6142508084267</v>
      </c>
      <c r="T124">
        <f t="shared" ref="T124" si="599">S124/1000</f>
        <v>5.3576142508084263</v>
      </c>
    </row>
    <row r="125" spans="1:20" x14ac:dyDescent="0.25">
      <c r="A125" s="5">
        <v>44468</v>
      </c>
      <c r="B125">
        <v>332.9</v>
      </c>
      <c r="C125">
        <v>375.4</v>
      </c>
      <c r="D125">
        <v>331.2</v>
      </c>
      <c r="E125">
        <v>367.7</v>
      </c>
      <c r="F125">
        <v>1696420.0449999999</v>
      </c>
      <c r="G125">
        <v>367.7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0.65158371040724028</v>
      </c>
      <c r="Q125">
        <f t="shared" ref="Q125" si="601">F125*P125</f>
        <v>1105359.6673303174</v>
      </c>
      <c r="R125">
        <f t="shared" ref="R125" si="602">R126+Q125</f>
        <v>534732820.20232481</v>
      </c>
      <c r="S125">
        <f t="shared" ref="S125" si="603">R125/100000</f>
        <v>5347.3282020232482</v>
      </c>
      <c r="T125">
        <f t="shared" ref="T125" si="604">S125/1000</f>
        <v>5.347328202023248</v>
      </c>
    </row>
    <row r="126" spans="1:20" x14ac:dyDescent="0.25">
      <c r="A126" s="5">
        <v>44467</v>
      </c>
      <c r="B126">
        <v>335.5</v>
      </c>
      <c r="C126">
        <v>344.6</v>
      </c>
      <c r="D126">
        <v>330</v>
      </c>
      <c r="E126">
        <v>333</v>
      </c>
      <c r="F126">
        <v>922077.22699999996</v>
      </c>
      <c r="G126">
        <v>333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-0.58904109589041165</v>
      </c>
      <c r="Q126">
        <f t="shared" ref="Q126" si="606">F126*P126</f>
        <v>-543141.38028767181</v>
      </c>
      <c r="R126">
        <f t="shared" ref="R126" si="607">R127+Q126</f>
        <v>533627460.53499448</v>
      </c>
      <c r="S126">
        <f t="shared" ref="S126" si="608">R126/100000</f>
        <v>5336.274605349945</v>
      </c>
      <c r="T126">
        <f t="shared" ref="T126" si="609">S126/1000</f>
        <v>5.3362746053499448</v>
      </c>
    </row>
    <row r="127" spans="1:20" x14ac:dyDescent="0.25">
      <c r="A127" s="5">
        <v>44466</v>
      </c>
      <c r="B127">
        <v>344</v>
      </c>
      <c r="C127">
        <v>357.6</v>
      </c>
      <c r="D127">
        <v>335</v>
      </c>
      <c r="E127">
        <v>335.5</v>
      </c>
      <c r="F127">
        <v>956544.06900000002</v>
      </c>
      <c r="G127">
        <v>335.5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-0.95575221238938057</v>
      </c>
      <c r="Q127">
        <f t="shared" ref="Q127" si="611">F127*P127</f>
        <v>-914219.11019469029</v>
      </c>
      <c r="R127">
        <f t="shared" ref="R127" si="612">R128+Q127</f>
        <v>534170601.91528213</v>
      </c>
      <c r="S127">
        <f t="shared" ref="S127" si="613">R127/100000</f>
        <v>5341.7060191528217</v>
      </c>
      <c r="T127">
        <f t="shared" ref="T127" si="614">S127/1000</f>
        <v>5.3417060191528218</v>
      </c>
    </row>
    <row r="128" spans="1:20" x14ac:dyDescent="0.25">
      <c r="A128" s="5">
        <v>44465</v>
      </c>
      <c r="B128">
        <v>349.6</v>
      </c>
      <c r="C128">
        <v>353</v>
      </c>
      <c r="D128">
        <v>320</v>
      </c>
      <c r="E128">
        <v>344</v>
      </c>
      <c r="F128">
        <v>1538759.1617999999</v>
      </c>
      <c r="G128">
        <v>344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0.45454545454545453</v>
      </c>
      <c r="Q128">
        <f t="shared" ref="Q128" si="616">F128*P128</f>
        <v>699435.98263636359</v>
      </c>
      <c r="R128">
        <f t="shared" ref="R128" si="617">R129+Q128</f>
        <v>535084821.02547681</v>
      </c>
      <c r="S128">
        <f t="shared" ref="S128" si="618">R128/100000</f>
        <v>5350.8482102547678</v>
      </c>
      <c r="T128">
        <f t="shared" ref="T128" si="619">S128/1000</f>
        <v>5.3508482102547674</v>
      </c>
    </row>
    <row r="129" spans="1:20" x14ac:dyDescent="0.25">
      <c r="A129" s="5">
        <v>44464</v>
      </c>
      <c r="B129">
        <v>355</v>
      </c>
      <c r="C129">
        <v>360.8</v>
      </c>
      <c r="D129">
        <v>343.2</v>
      </c>
      <c r="E129">
        <v>349.6</v>
      </c>
      <c r="F129">
        <v>916797.61699999997</v>
      </c>
      <c r="G129">
        <v>349.6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-0.27272727272726976</v>
      </c>
      <c r="Q129">
        <f t="shared" ref="Q129" si="621">F129*P129</f>
        <v>-250035.71372726999</v>
      </c>
      <c r="R129">
        <f t="shared" ref="R129" si="622">R130+Q129</f>
        <v>534385385.04284042</v>
      </c>
      <c r="S129">
        <f t="shared" ref="S129" si="623">R129/100000</f>
        <v>5343.8538504284043</v>
      </c>
      <c r="T129">
        <f t="shared" ref="T129" si="624">S129/1000</f>
        <v>5.3438538504284043</v>
      </c>
    </row>
    <row r="130" spans="1:20" x14ac:dyDescent="0.25">
      <c r="A130" s="5">
        <v>44463</v>
      </c>
      <c r="B130">
        <v>383.5</v>
      </c>
      <c r="C130">
        <v>385.3</v>
      </c>
      <c r="D130">
        <v>333.6</v>
      </c>
      <c r="E130">
        <v>355</v>
      </c>
      <c r="F130">
        <v>1718950.219</v>
      </c>
      <c r="G130">
        <v>355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-0.17214700193423668</v>
      </c>
      <c r="Q130">
        <f t="shared" ref="Q130" si="626">F130*P130</f>
        <v>-295912.1266750496</v>
      </c>
      <c r="R130">
        <f t="shared" ref="R130" si="627">R131+Q130</f>
        <v>534635420.75656772</v>
      </c>
      <c r="S130">
        <f t="shared" ref="S130" si="628">R130/100000</f>
        <v>5346.3542075656769</v>
      </c>
      <c r="T130">
        <f t="shared" ref="T130" si="629">S130/1000</f>
        <v>5.3463542075656765</v>
      </c>
    </row>
    <row r="131" spans="1:20" x14ac:dyDescent="0.25">
      <c r="A131" s="5">
        <v>44462</v>
      </c>
      <c r="B131">
        <v>378.9</v>
      </c>
      <c r="C131">
        <v>384.6</v>
      </c>
      <c r="D131">
        <v>369</v>
      </c>
      <c r="E131">
        <v>383.5</v>
      </c>
      <c r="F131">
        <v>992215.17599999998</v>
      </c>
      <c r="G131">
        <v>383.5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0.85897435897435626</v>
      </c>
      <c r="Q131">
        <f t="shared" ref="Q131" si="631">F131*P131</f>
        <v>852287.39476922806</v>
      </c>
      <c r="R131">
        <f t="shared" ref="R131" si="632">R132+Q131</f>
        <v>534931332.88324279</v>
      </c>
      <c r="S131">
        <f t="shared" ref="S131" si="633">R131/100000</f>
        <v>5349.3133288324279</v>
      </c>
      <c r="T131">
        <f t="shared" ref="T131" si="634">S131/1000</f>
        <v>5.3493133288324284</v>
      </c>
    </row>
    <row r="132" spans="1:20" x14ac:dyDescent="0.25">
      <c r="A132" s="5">
        <v>44461</v>
      </c>
      <c r="B132">
        <v>344.4</v>
      </c>
      <c r="C132">
        <v>379.9</v>
      </c>
      <c r="D132">
        <v>342.3</v>
      </c>
      <c r="E132">
        <v>379</v>
      </c>
      <c r="F132">
        <v>1085212.9720000001</v>
      </c>
      <c r="G132">
        <v>379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0.95212765957446921</v>
      </c>
      <c r="Q132">
        <f t="shared" ref="Q132" si="636">F132*P132</f>
        <v>1033261.287170214</v>
      </c>
      <c r="R132">
        <f t="shared" ref="R132" si="637">R133+Q132</f>
        <v>534079045.48847353</v>
      </c>
      <c r="S132">
        <f t="shared" ref="S132" si="638">R132/100000</f>
        <v>5340.7904548847355</v>
      </c>
      <c r="T132">
        <f t="shared" ref="T132" si="639">S132/1000</f>
        <v>5.3407904548847354</v>
      </c>
    </row>
    <row r="133" spans="1:20" x14ac:dyDescent="0.25">
      <c r="A133" s="5">
        <v>44460</v>
      </c>
      <c r="B133">
        <v>364.1</v>
      </c>
      <c r="C133">
        <v>376</v>
      </c>
      <c r="D133">
        <v>336.8</v>
      </c>
      <c r="E133">
        <v>344.4</v>
      </c>
      <c r="F133">
        <v>1577059.1261</v>
      </c>
      <c r="G133">
        <v>344.4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-0.61224489795918535</v>
      </c>
      <c r="Q133">
        <f t="shared" ref="Q133" si="641">F133*P133</f>
        <v>-965546.40373469656</v>
      </c>
      <c r="R133">
        <f t="shared" ref="R133" si="642">R134+Q133</f>
        <v>533045784.2013033</v>
      </c>
      <c r="S133">
        <f t="shared" ref="S133" si="643">R133/100000</f>
        <v>5330.4578420130329</v>
      </c>
      <c r="T133">
        <f t="shared" ref="T133" si="644">S133/1000</f>
        <v>5.3304578420130326</v>
      </c>
    </row>
    <row r="134" spans="1:20" x14ac:dyDescent="0.25">
      <c r="A134" s="5">
        <v>44459</v>
      </c>
      <c r="B134">
        <v>408.5</v>
      </c>
      <c r="C134">
        <v>410.1</v>
      </c>
      <c r="D134">
        <v>377</v>
      </c>
      <c r="E134">
        <v>382.6</v>
      </c>
      <c r="F134">
        <v>729353.63800000004</v>
      </c>
      <c r="G134">
        <v>382.6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-0.66163141993957586</v>
      </c>
      <c r="Q134">
        <f t="shared" ref="Q134" si="646">F134*P134</f>
        <v>-482563.28314803541</v>
      </c>
      <c r="R134">
        <f t="shared" ref="R134" si="647">R135+Q134</f>
        <v>534011330.60503799</v>
      </c>
      <c r="S134">
        <f t="shared" ref="S134" si="648">R134/100000</f>
        <v>5340.1133060503798</v>
      </c>
      <c r="T134">
        <f t="shared" ref="T134" si="649">S134/1000</f>
        <v>5.3401133060503803</v>
      </c>
    </row>
    <row r="135" spans="1:20" x14ac:dyDescent="0.25">
      <c r="A135" s="5">
        <v>44458</v>
      </c>
      <c r="B135">
        <v>410.8</v>
      </c>
      <c r="C135">
        <v>419</v>
      </c>
      <c r="D135">
        <v>402.8</v>
      </c>
      <c r="E135">
        <v>408.6</v>
      </c>
      <c r="F135">
        <v>743095.72100000002</v>
      </c>
      <c r="G135">
        <v>408.6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-0.28395061728394871</v>
      </c>
      <c r="Q135">
        <f t="shared" ref="Q135" si="651">F135*P135</f>
        <v>-211002.48867901094</v>
      </c>
      <c r="R135">
        <f t="shared" ref="R135" si="652">R136+Q135</f>
        <v>534493893.88818604</v>
      </c>
      <c r="S135">
        <f t="shared" ref="S135" si="653">R135/100000</f>
        <v>5344.9389388818599</v>
      </c>
      <c r="T135">
        <f t="shared" ref="T135" si="654">S135/1000</f>
        <v>5.3449389388818602</v>
      </c>
    </row>
    <row r="136" spans="1:20" x14ac:dyDescent="0.25">
      <c r="A136" s="5">
        <v>44457</v>
      </c>
      <c r="B136">
        <v>406.8</v>
      </c>
      <c r="C136">
        <v>420</v>
      </c>
      <c r="D136">
        <v>401.5</v>
      </c>
      <c r="E136">
        <v>410.7</v>
      </c>
      <c r="F136">
        <v>733479.73899999994</v>
      </c>
      <c r="G136">
        <v>410.7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-5.4054054054066348E-3</v>
      </c>
      <c r="Q136">
        <f t="shared" ref="Q136" si="656">F136*P136</f>
        <v>-3964.7553459468472</v>
      </c>
      <c r="R136">
        <f t="shared" ref="R136" si="657">R137+Q136</f>
        <v>534704896.37686503</v>
      </c>
      <c r="S136">
        <f t="shared" ref="S136" si="658">R136/100000</f>
        <v>5347.0489637686505</v>
      </c>
      <c r="T136">
        <f t="shared" ref="T136" si="659">S136/1000</f>
        <v>5.3470489637686507</v>
      </c>
    </row>
    <row r="137" spans="1:20" x14ac:dyDescent="0.25">
      <c r="A137" s="5">
        <v>44456</v>
      </c>
      <c r="B137">
        <v>424.2</v>
      </c>
      <c r="C137">
        <v>426</v>
      </c>
      <c r="D137">
        <v>400.4</v>
      </c>
      <c r="E137">
        <v>406.6</v>
      </c>
      <c r="F137">
        <v>844137.72699999996</v>
      </c>
      <c r="G137">
        <v>406.6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-0.51562499999999689</v>
      </c>
      <c r="Q137">
        <f t="shared" ref="Q137" si="661">F137*P137</f>
        <v>-435258.51548437233</v>
      </c>
      <c r="R137">
        <f t="shared" ref="R137" si="662">R138+Q137</f>
        <v>534708861.13221097</v>
      </c>
      <c r="S137">
        <f t="shared" ref="S137" si="663">R137/100000</f>
        <v>5347.0886113221095</v>
      </c>
      <c r="T137">
        <f t="shared" ref="T137" si="664">S137/1000</f>
        <v>5.3470886113221097</v>
      </c>
    </row>
    <row r="138" spans="1:20" x14ac:dyDescent="0.25">
      <c r="A138" s="5">
        <v>44455</v>
      </c>
      <c r="B138">
        <v>431.2</v>
      </c>
      <c r="C138">
        <v>435</v>
      </c>
      <c r="D138">
        <v>415.6</v>
      </c>
      <c r="E138">
        <v>424.3</v>
      </c>
      <c r="F138">
        <v>1037049.02</v>
      </c>
      <c r="G138">
        <v>424.3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-0.10309278350515476</v>
      </c>
      <c r="Q138">
        <f t="shared" ref="Q138" si="666">F138*P138</f>
        <v>-106912.27010309292</v>
      </c>
      <c r="R138">
        <f t="shared" ref="R138" si="667">R139+Q138</f>
        <v>535144119.64769536</v>
      </c>
      <c r="S138">
        <f t="shared" ref="S138" si="668">R138/100000</f>
        <v>5351.4411964769533</v>
      </c>
      <c r="T138">
        <f t="shared" ref="T138" si="669">S138/1000</f>
        <v>5.3514411964769533</v>
      </c>
    </row>
    <row r="139" spans="1:20" x14ac:dyDescent="0.25">
      <c r="A139" s="5">
        <v>44454</v>
      </c>
      <c r="B139">
        <v>414.3</v>
      </c>
      <c r="C139">
        <v>438</v>
      </c>
      <c r="D139">
        <v>409.6</v>
      </c>
      <c r="E139">
        <v>431.3</v>
      </c>
      <c r="F139">
        <v>1182055.6310000001</v>
      </c>
      <c r="G139">
        <v>431.3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0.52816901408450745</v>
      </c>
      <c r="Q139">
        <f t="shared" ref="Q139" si="671">F139*P139</f>
        <v>624325.1572183104</v>
      </c>
      <c r="R139">
        <f t="shared" ref="R139" si="672">R140+Q139</f>
        <v>535251031.91779846</v>
      </c>
      <c r="S139">
        <f t="shared" ref="S139" si="673">R139/100000</f>
        <v>5352.5103191779845</v>
      </c>
      <c r="T139">
        <f t="shared" ref="T139" si="674">S139/1000</f>
        <v>5.3525103191779841</v>
      </c>
    </row>
    <row r="140" spans="1:20" x14ac:dyDescent="0.25">
      <c r="A140" s="5">
        <v>44453</v>
      </c>
      <c r="B140">
        <v>399.1</v>
      </c>
      <c r="C140">
        <v>414.7</v>
      </c>
      <c r="D140">
        <v>395.7</v>
      </c>
      <c r="E140">
        <v>414.3</v>
      </c>
      <c r="F140">
        <v>930635.79200000002</v>
      </c>
      <c r="G140">
        <v>414.3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0.95789473684210769</v>
      </c>
      <c r="Q140">
        <f t="shared" ref="Q140" si="676">F140*P140</f>
        <v>891451.12707368645</v>
      </c>
      <c r="R140">
        <f t="shared" ref="R140" si="677">R141+Q140</f>
        <v>534626706.76058012</v>
      </c>
      <c r="S140">
        <f t="shared" ref="S140" si="678">R140/100000</f>
        <v>5346.2670676058015</v>
      </c>
      <c r="T140">
        <f t="shared" ref="T140" si="679">S140/1000</f>
        <v>5.3462670676058011</v>
      </c>
    </row>
    <row r="141" spans="1:20" x14ac:dyDescent="0.25">
      <c r="A141" s="5">
        <v>44452</v>
      </c>
      <c r="B141">
        <v>416.4</v>
      </c>
      <c r="C141">
        <v>419.7</v>
      </c>
      <c r="D141">
        <v>383</v>
      </c>
      <c r="E141">
        <v>399.1</v>
      </c>
      <c r="F141">
        <v>1531654.719</v>
      </c>
      <c r="G141">
        <v>399.1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-0.12261580381471239</v>
      </c>
      <c r="Q141">
        <f t="shared" ref="Q141" si="681">F141*P141</f>
        <v>-187805.07453678243</v>
      </c>
      <c r="R141">
        <f t="shared" ref="R141" si="682">R142+Q141</f>
        <v>533735255.63350642</v>
      </c>
      <c r="S141">
        <f t="shared" ref="S141" si="683">R141/100000</f>
        <v>5337.352556335064</v>
      </c>
      <c r="T141">
        <f t="shared" ref="T141" si="684">S141/1000</f>
        <v>5.3373525563350643</v>
      </c>
    </row>
    <row r="142" spans="1:20" x14ac:dyDescent="0.25">
      <c r="A142" s="5">
        <v>44451</v>
      </c>
      <c r="B142">
        <v>405</v>
      </c>
      <c r="C142">
        <v>421.5</v>
      </c>
      <c r="D142">
        <v>397.4</v>
      </c>
      <c r="E142">
        <v>416.3</v>
      </c>
      <c r="F142">
        <v>981402.88300000003</v>
      </c>
      <c r="G142">
        <v>416.3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0.56846473029045774</v>
      </c>
      <c r="Q142">
        <f t="shared" ref="Q142" si="686">F142*P142</f>
        <v>557892.92519087263</v>
      </c>
      <c r="R142">
        <f t="shared" ref="R142" si="687">R143+Q142</f>
        <v>533923060.70804322</v>
      </c>
      <c r="S142">
        <f t="shared" ref="S142" si="688">R142/100000</f>
        <v>5339.2306070804325</v>
      </c>
      <c r="T142">
        <f t="shared" ref="T142" si="689">S142/1000</f>
        <v>5.3392306070804327</v>
      </c>
    </row>
    <row r="143" spans="1:20" x14ac:dyDescent="0.25">
      <c r="A143" s="5">
        <v>44450</v>
      </c>
      <c r="B143">
        <v>401.4</v>
      </c>
      <c r="C143">
        <v>415.3</v>
      </c>
      <c r="D143">
        <v>399.3</v>
      </c>
      <c r="E143">
        <v>405.1</v>
      </c>
      <c r="F143">
        <v>922767.05500000005</v>
      </c>
      <c r="G143">
        <v>405.1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-0.27499999999999858</v>
      </c>
      <c r="Q143">
        <f t="shared" ref="Q143" si="691">F143*P143</f>
        <v>-253760.94012499871</v>
      </c>
      <c r="R143">
        <f t="shared" ref="R143" si="692">R144+Q143</f>
        <v>533365167.78285235</v>
      </c>
      <c r="S143">
        <f t="shared" ref="S143" si="693">R143/100000</f>
        <v>5333.6516778285231</v>
      </c>
      <c r="T143">
        <f t="shared" ref="T143" si="694">S143/1000</f>
        <v>5.3336516778285228</v>
      </c>
    </row>
    <row r="144" spans="1:20" x14ac:dyDescent="0.25">
      <c r="A144" s="5">
        <v>44449</v>
      </c>
      <c r="B144">
        <v>421.3</v>
      </c>
      <c r="C144">
        <v>439.4</v>
      </c>
      <c r="D144">
        <v>393.2</v>
      </c>
      <c r="E144">
        <v>401.4</v>
      </c>
      <c r="F144">
        <v>1528906.7509999999</v>
      </c>
      <c r="G144">
        <v>401.4</v>
      </c>
      <c r="L144" t="s">
        <v>8</v>
      </c>
      <c r="M144" t="s">
        <v>7</v>
      </c>
      <c r="N144" t="s">
        <v>8</v>
      </c>
      <c r="P144">
        <f t="shared" ref="P144" si="695">IF(C144=D144,0,((E144-D144)-(C144-E144))/(C144-D144))</f>
        <v>-0.64502164502164538</v>
      </c>
      <c r="Q144">
        <f t="shared" ref="Q144" si="696">F144*P144</f>
        <v>-986177.94761471916</v>
      </c>
      <c r="R144">
        <f t="shared" ref="R144" si="697">R145+Q144</f>
        <v>533618928.72297734</v>
      </c>
      <c r="S144">
        <f t="shared" ref="S144" si="698">R144/100000</f>
        <v>5336.1892872297731</v>
      </c>
      <c r="T144">
        <f t="shared" ref="T144" si="699">S144/1000</f>
        <v>5.3361892872297734</v>
      </c>
    </row>
    <row r="145" spans="1:20" x14ac:dyDescent="0.25">
      <c r="A145" s="5">
        <v>44448</v>
      </c>
      <c r="B145">
        <v>415.2</v>
      </c>
      <c r="C145">
        <v>436.1</v>
      </c>
      <c r="D145">
        <v>403.4</v>
      </c>
      <c r="E145">
        <v>421.3</v>
      </c>
      <c r="F145">
        <v>1543293.2209999999</v>
      </c>
      <c r="G145">
        <v>421.3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9.4801223241590779E-2</v>
      </c>
      <c r="Q145">
        <f t="shared" ref="Q145" si="701">F145*P145</f>
        <v>146306.08517125467</v>
      </c>
      <c r="R145">
        <f t="shared" ref="R145" si="702">R146+Q145</f>
        <v>534605106.67059207</v>
      </c>
      <c r="S145">
        <f t="shared" ref="S145" si="703">R145/100000</f>
        <v>5346.0510667059207</v>
      </c>
      <c r="T145">
        <f t="shared" ref="T145" si="704">S145/1000</f>
        <v>5.3460510667059209</v>
      </c>
    </row>
    <row r="146" spans="1:20" x14ac:dyDescent="0.25">
      <c r="A146" s="5">
        <v>44447</v>
      </c>
      <c r="B146">
        <v>418.7</v>
      </c>
      <c r="C146">
        <v>425.5</v>
      </c>
      <c r="D146">
        <v>382.3</v>
      </c>
      <c r="E146">
        <v>415</v>
      </c>
      <c r="F146">
        <v>2058507.11</v>
      </c>
      <c r="G146">
        <v>415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0.51388888888888873</v>
      </c>
      <c r="Q146">
        <f t="shared" ref="Q146" si="706">F146*P146</f>
        <v>1057843.9315277776</v>
      </c>
      <c r="R146">
        <f t="shared" ref="R146" si="707">R147+Q146</f>
        <v>534458800.58542079</v>
      </c>
      <c r="S146">
        <f t="shared" ref="S146" si="708">R146/100000</f>
        <v>5344.5880058542079</v>
      </c>
      <c r="T146">
        <f t="shared" ref="T146" si="709">S146/1000</f>
        <v>5.3445880058542077</v>
      </c>
    </row>
    <row r="147" spans="1:20" x14ac:dyDescent="0.25">
      <c r="A147" s="5">
        <v>44446</v>
      </c>
      <c r="B147">
        <v>496.1</v>
      </c>
      <c r="C147">
        <v>504.8</v>
      </c>
      <c r="D147">
        <v>369</v>
      </c>
      <c r="E147">
        <v>418.7</v>
      </c>
      <c r="F147">
        <v>3358688.1228999998</v>
      </c>
      <c r="G147">
        <v>418.7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-0.26804123711340228</v>
      </c>
      <c r="Q147">
        <f t="shared" ref="Q147" si="711">F147*P147</f>
        <v>-900266.9195402069</v>
      </c>
      <c r="R147">
        <f t="shared" ref="R147" si="712">R148+Q147</f>
        <v>533400956.65389299</v>
      </c>
      <c r="S147">
        <f t="shared" ref="S147" si="713">R147/100000</f>
        <v>5334.0095665389299</v>
      </c>
      <c r="T147">
        <f t="shared" ref="T147" si="714">S147/1000</f>
        <v>5.3340095665389295</v>
      </c>
    </row>
    <row r="148" spans="1:20" x14ac:dyDescent="0.25">
      <c r="A148" s="5">
        <v>44445</v>
      </c>
      <c r="B148">
        <v>504.9</v>
      </c>
      <c r="C148">
        <v>509</v>
      </c>
      <c r="D148">
        <v>486.9</v>
      </c>
      <c r="E148">
        <v>496.1</v>
      </c>
      <c r="F148">
        <v>1121398.9779999999</v>
      </c>
      <c r="G148">
        <v>496.1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-0.16742081447963475</v>
      </c>
      <c r="Q148">
        <f t="shared" ref="Q148" si="716">F148*P148</f>
        <v>-187745.53025339</v>
      </c>
      <c r="R148">
        <f t="shared" ref="R148" si="717">R149+Q148</f>
        <v>534301223.57343322</v>
      </c>
      <c r="S148">
        <f t="shared" ref="S148" si="718">R148/100000</f>
        <v>5343.0122357343325</v>
      </c>
      <c r="T148">
        <f t="shared" ref="T148" si="719">S148/1000</f>
        <v>5.3430122357343324</v>
      </c>
    </row>
    <row r="149" spans="1:20" x14ac:dyDescent="0.25">
      <c r="A149" s="5">
        <v>44444</v>
      </c>
      <c r="B149">
        <v>497.8</v>
      </c>
      <c r="C149">
        <v>505.2</v>
      </c>
      <c r="D149">
        <v>488.4</v>
      </c>
      <c r="E149">
        <v>504.8</v>
      </c>
      <c r="F149">
        <v>878406.04500000004</v>
      </c>
      <c r="G149">
        <v>504.8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0.9523809523809551</v>
      </c>
      <c r="Q149">
        <f t="shared" ref="Q149" si="721">F149*P149</f>
        <v>836577.18571428815</v>
      </c>
      <c r="R149">
        <f t="shared" ref="R149" si="722">R150+Q149</f>
        <v>534488969.10368663</v>
      </c>
      <c r="S149">
        <f t="shared" ref="S149" si="723">R149/100000</f>
        <v>5344.8896910368667</v>
      </c>
      <c r="T149">
        <f t="shared" ref="T149" si="724">S149/1000</f>
        <v>5.3448896910368671</v>
      </c>
    </row>
    <row r="150" spans="1:20" x14ac:dyDescent="0.25">
      <c r="A150" s="5">
        <v>44443</v>
      </c>
      <c r="B150">
        <v>488.4</v>
      </c>
      <c r="C150">
        <v>509.9</v>
      </c>
      <c r="D150">
        <v>485.2</v>
      </c>
      <c r="E150">
        <v>497.7</v>
      </c>
      <c r="F150">
        <v>1248261.6277000001</v>
      </c>
      <c r="G150">
        <v>497.7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1.2145748987854716E-2</v>
      </c>
      <c r="Q150">
        <f t="shared" ref="Q150" si="726">F150*P150</f>
        <v>15161.072401215157</v>
      </c>
      <c r="R150">
        <f t="shared" ref="R150" si="727">R151+Q150</f>
        <v>533652391.91797233</v>
      </c>
      <c r="S150">
        <f t="shared" ref="S150" si="728">R150/100000</f>
        <v>5336.5239191797236</v>
      </c>
      <c r="T150">
        <f t="shared" ref="T150" si="729">S150/1000</f>
        <v>5.336523919179724</v>
      </c>
    </row>
    <row r="151" spans="1:20" x14ac:dyDescent="0.25">
      <c r="A151" s="5">
        <v>44442</v>
      </c>
      <c r="B151">
        <v>483.6</v>
      </c>
      <c r="C151">
        <v>495</v>
      </c>
      <c r="D151">
        <v>473</v>
      </c>
      <c r="E151">
        <v>488.5</v>
      </c>
      <c r="F151">
        <v>1094104.7420000001</v>
      </c>
      <c r="G151">
        <v>488.5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0.40909090909090912</v>
      </c>
      <c r="Q151">
        <f t="shared" ref="Q151" si="731">F151*P151</f>
        <v>447588.30354545463</v>
      </c>
      <c r="R151">
        <f t="shared" ref="R151" si="732">R152+Q151</f>
        <v>533637230.8455711</v>
      </c>
      <c r="S151">
        <f t="shared" ref="S151" si="733">R151/100000</f>
        <v>5336.3723084557114</v>
      </c>
      <c r="T151">
        <f t="shared" ref="T151" si="734">S151/1000</f>
        <v>5.3363723084557115</v>
      </c>
    </row>
    <row r="152" spans="1:20" x14ac:dyDescent="0.25">
      <c r="A152" s="5">
        <v>44441</v>
      </c>
      <c r="B152">
        <v>489.5</v>
      </c>
      <c r="C152">
        <v>504.7</v>
      </c>
      <c r="D152">
        <v>478</v>
      </c>
      <c r="E152">
        <v>483.7</v>
      </c>
      <c r="F152">
        <v>1245680.6987999999</v>
      </c>
      <c r="G152">
        <v>483.7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-0.57303370786516916</v>
      </c>
      <c r="Q152">
        <f t="shared" ref="Q152" si="736">F152*P152</f>
        <v>-713817.02964943892</v>
      </c>
      <c r="R152">
        <f t="shared" ref="R152" si="737">R153+Q152</f>
        <v>533189642.54202563</v>
      </c>
      <c r="S152">
        <f t="shared" ref="S152" si="738">R152/100000</f>
        <v>5331.8964254202565</v>
      </c>
      <c r="T152">
        <f t="shared" ref="T152" si="739">S152/1000</f>
        <v>5.3318964254202568</v>
      </c>
    </row>
    <row r="153" spans="1:20" x14ac:dyDescent="0.25">
      <c r="A153" s="5">
        <v>44440</v>
      </c>
      <c r="B153">
        <v>463.9</v>
      </c>
      <c r="C153">
        <v>490</v>
      </c>
      <c r="D153">
        <v>455.1</v>
      </c>
      <c r="E153">
        <v>489.4</v>
      </c>
      <c r="F153">
        <v>1320635.94</v>
      </c>
      <c r="G153">
        <v>489.4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0.96561604584527083</v>
      </c>
      <c r="Q153">
        <f t="shared" ref="Q153" si="741">F153*P153</f>
        <v>1275227.2543839524</v>
      </c>
      <c r="R153">
        <f t="shared" ref="R153" si="742">R154+Q153</f>
        <v>533903459.57167506</v>
      </c>
      <c r="S153">
        <f t="shared" ref="S153" si="743">R153/100000</f>
        <v>5339.034595716751</v>
      </c>
      <c r="T153">
        <f t="shared" ref="T153" si="744">S153/1000</f>
        <v>5.3390345957167513</v>
      </c>
    </row>
    <row r="154" spans="1:20" x14ac:dyDescent="0.25">
      <c r="A154" s="5">
        <v>44439</v>
      </c>
      <c r="B154">
        <v>460.2</v>
      </c>
      <c r="C154">
        <v>477.8</v>
      </c>
      <c r="D154">
        <v>448.2</v>
      </c>
      <c r="E154">
        <v>463.9</v>
      </c>
      <c r="F154">
        <v>1477345.5552000001</v>
      </c>
      <c r="G154">
        <v>463.9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6.0810810810809225E-2</v>
      </c>
      <c r="Q154">
        <f t="shared" ref="Q154" si="746">F154*P154</f>
        <v>89838.581059457123</v>
      </c>
      <c r="R154">
        <f t="shared" ref="R154" si="747">R155+Q154</f>
        <v>532628232.31729108</v>
      </c>
      <c r="S154">
        <f t="shared" ref="S154" si="748">R154/100000</f>
        <v>5326.2823231729108</v>
      </c>
      <c r="T154">
        <f t="shared" ref="T154" si="749">S154/1000</f>
        <v>5.3262823231729106</v>
      </c>
    </row>
    <row r="155" spans="1:20" x14ac:dyDescent="0.25">
      <c r="A155" s="5">
        <v>44438</v>
      </c>
      <c r="B155">
        <v>479.7</v>
      </c>
      <c r="C155">
        <v>480.9</v>
      </c>
      <c r="D155">
        <v>457</v>
      </c>
      <c r="E155">
        <v>460.3</v>
      </c>
      <c r="F155">
        <v>1125497.9612</v>
      </c>
      <c r="G155">
        <v>460.3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-0.72384937238493607</v>
      </c>
      <c r="Q155">
        <f t="shared" ref="Q155" si="751">F155*P155</f>
        <v>-814690.99283514509</v>
      </c>
      <c r="R155">
        <f t="shared" ref="R155" si="752">R156+Q155</f>
        <v>532538393.73623163</v>
      </c>
      <c r="S155">
        <f t="shared" ref="S155" si="753">R155/100000</f>
        <v>5325.3839373623159</v>
      </c>
      <c r="T155">
        <f t="shared" ref="T155" si="754">S155/1000</f>
        <v>5.3253839373623162</v>
      </c>
    </row>
    <row r="156" spans="1:20" x14ac:dyDescent="0.25">
      <c r="A156" s="5">
        <v>44437</v>
      </c>
      <c r="B156">
        <v>486.1</v>
      </c>
      <c r="C156">
        <v>495.5</v>
      </c>
      <c r="D156">
        <v>475</v>
      </c>
      <c r="E156">
        <v>479.7</v>
      </c>
      <c r="F156">
        <v>910773.93900000001</v>
      </c>
      <c r="G156">
        <v>479.7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-0.54146341463414749</v>
      </c>
      <c r="Q156">
        <f t="shared" ref="Q156" si="756">F156*P156</f>
        <v>-493150.76697073277</v>
      </c>
      <c r="R156">
        <f t="shared" ref="R156" si="757">R157+Q156</f>
        <v>533353084.72906679</v>
      </c>
      <c r="S156">
        <f t="shared" ref="S156" si="758">R156/100000</f>
        <v>5333.5308472906681</v>
      </c>
      <c r="T156">
        <f t="shared" ref="T156" si="759">S156/1000</f>
        <v>5.3335308472906684</v>
      </c>
    </row>
    <row r="157" spans="1:20" x14ac:dyDescent="0.25">
      <c r="A157" s="5">
        <v>44436</v>
      </c>
      <c r="B157">
        <v>494.6</v>
      </c>
      <c r="C157">
        <v>497</v>
      </c>
      <c r="D157">
        <v>482.3</v>
      </c>
      <c r="E157">
        <v>486.2</v>
      </c>
      <c r="F157">
        <v>891854.58380000002</v>
      </c>
      <c r="G157">
        <v>486.2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-0.4693877551020435</v>
      </c>
      <c r="Q157">
        <f t="shared" ref="Q157" si="761">F157*P157</f>
        <v>-418625.62096734933</v>
      </c>
      <c r="R157">
        <f t="shared" ref="R157" si="762">R158+Q157</f>
        <v>533846235.49603754</v>
      </c>
      <c r="S157">
        <f t="shared" ref="S157" si="763">R157/100000</f>
        <v>5338.4623549603757</v>
      </c>
      <c r="T157">
        <f t="shared" ref="T157" si="764">S157/1000</f>
        <v>5.3384623549603756</v>
      </c>
    </row>
    <row r="158" spans="1:20" x14ac:dyDescent="0.25">
      <c r="A158" s="5">
        <v>44435</v>
      </c>
      <c r="B158">
        <v>478.2</v>
      </c>
      <c r="C158">
        <v>495</v>
      </c>
      <c r="D158">
        <v>467.1</v>
      </c>
      <c r="E158">
        <v>494.5</v>
      </c>
      <c r="F158">
        <v>1549790.9246</v>
      </c>
      <c r="G158">
        <v>494.5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0.96415770609318996</v>
      </c>
      <c r="Q158">
        <f t="shared" ref="Q158" si="766">F158*P158</f>
        <v>1494242.8627863799</v>
      </c>
      <c r="R158">
        <f t="shared" ref="R158" si="767">R159+Q158</f>
        <v>534264861.11700487</v>
      </c>
      <c r="S158">
        <f t="shared" ref="S158" si="768">R158/100000</f>
        <v>5342.6486111700488</v>
      </c>
      <c r="T158">
        <f t="shared" ref="T158" si="769">S158/1000</f>
        <v>5.3426486111700484</v>
      </c>
    </row>
    <row r="159" spans="1:20" x14ac:dyDescent="0.25">
      <c r="A159" s="5">
        <v>44434</v>
      </c>
      <c r="B159">
        <v>503.17</v>
      </c>
      <c r="C159">
        <v>518.94000000000005</v>
      </c>
      <c r="D159">
        <v>471.2</v>
      </c>
      <c r="E159">
        <v>478.1</v>
      </c>
      <c r="F159">
        <v>2229652.2310000001</v>
      </c>
      <c r="G159">
        <v>478.1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-0.71093422706325826</v>
      </c>
      <c r="Q159">
        <f t="shared" ref="Q159" si="771">F159*P159</f>
        <v>-1585136.0854658545</v>
      </c>
      <c r="R159">
        <f t="shared" ref="R159" si="772">R160+Q159</f>
        <v>532770618.25421852</v>
      </c>
      <c r="S159">
        <f t="shared" ref="S159" si="773">R159/100000</f>
        <v>5327.7061825421852</v>
      </c>
      <c r="T159">
        <f t="shared" ref="T159" si="774">S159/1000</f>
        <v>5.327706182542185</v>
      </c>
    </row>
    <row r="160" spans="1:20" x14ac:dyDescent="0.25">
      <c r="A160" s="5">
        <v>44433</v>
      </c>
      <c r="B160">
        <v>471.62</v>
      </c>
      <c r="C160">
        <v>507</v>
      </c>
      <c r="D160">
        <v>470</v>
      </c>
      <c r="E160">
        <v>503.19</v>
      </c>
      <c r="F160">
        <v>2242911.0332999998</v>
      </c>
      <c r="G160">
        <v>503.19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0.79405405405405394</v>
      </c>
      <c r="Q160">
        <f t="shared" ref="Q160" si="776">F160*P160</f>
        <v>1780992.598874432</v>
      </c>
      <c r="R160">
        <f t="shared" ref="R160" si="777">R161+Q160</f>
        <v>534355754.33968437</v>
      </c>
      <c r="S160">
        <f t="shared" ref="S160" si="778">R160/100000</f>
        <v>5343.5575433968434</v>
      </c>
      <c r="T160">
        <f t="shared" ref="T160" si="779">S160/1000</f>
        <v>5.3435575433968436</v>
      </c>
    </row>
    <row r="161" spans="1:20" x14ac:dyDescent="0.25">
      <c r="A161" s="5">
        <v>44432</v>
      </c>
      <c r="B161">
        <v>499.06</v>
      </c>
      <c r="C161">
        <v>504.2</v>
      </c>
      <c r="D161">
        <v>461.12</v>
      </c>
      <c r="E161">
        <v>471.62</v>
      </c>
      <c r="F161">
        <v>2080297.6979</v>
      </c>
      <c r="G161">
        <v>471.62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-0.51253481894150399</v>
      </c>
      <c r="Q161">
        <f t="shared" ref="Q161" si="781">F161*P161</f>
        <v>-1066225.0039376041</v>
      </c>
      <c r="R161">
        <f t="shared" ref="R161" si="782">R162+Q161</f>
        <v>532574761.74080992</v>
      </c>
      <c r="S161">
        <f t="shared" ref="S161" si="783">R161/100000</f>
        <v>5325.7476174080994</v>
      </c>
      <c r="T161">
        <f t="shared" ref="T161" si="784">S161/1000</f>
        <v>5.3257476174080995</v>
      </c>
    </row>
    <row r="162" spans="1:20" x14ac:dyDescent="0.25">
      <c r="A162" s="5">
        <v>44431</v>
      </c>
      <c r="B162">
        <v>448.69</v>
      </c>
      <c r="C162">
        <v>509.71</v>
      </c>
      <c r="D162">
        <v>445.89</v>
      </c>
      <c r="E162">
        <v>499.06</v>
      </c>
      <c r="F162">
        <v>2660809.0219000001</v>
      </c>
      <c r="G162">
        <v>499.06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0.66624882481980641</v>
      </c>
      <c r="Q162">
        <f t="shared" ref="Q162" si="786">F162*P162</f>
        <v>1772760.8839108136</v>
      </c>
      <c r="R162">
        <f t="shared" ref="R162" si="787">R163+Q162</f>
        <v>533640986.74474752</v>
      </c>
      <c r="S162">
        <f t="shared" ref="S162" si="788">R162/100000</f>
        <v>5336.4098674474753</v>
      </c>
      <c r="T162">
        <f t="shared" ref="T162" si="789">S162/1000</f>
        <v>5.3364098674474754</v>
      </c>
    </row>
    <row r="163" spans="1:20" x14ac:dyDescent="0.25">
      <c r="A163" s="5">
        <v>44430</v>
      </c>
      <c r="B163">
        <v>448.74</v>
      </c>
      <c r="C163">
        <v>454.99</v>
      </c>
      <c r="D163">
        <v>447.24</v>
      </c>
      <c r="E163">
        <v>454.84</v>
      </c>
      <c r="F163">
        <v>250420.774</v>
      </c>
      <c r="G163">
        <v>454.84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0.9612903225806364</v>
      </c>
      <c r="Q163">
        <f t="shared" ref="Q163" si="791">F163*P163</f>
        <v>240727.06661935264</v>
      </c>
      <c r="R163">
        <f t="shared" ref="R163" si="792">R164+Q163</f>
        <v>531868225.86083668</v>
      </c>
      <c r="S163">
        <f t="shared" ref="S163" si="793">R163/100000</f>
        <v>5318.6822586083672</v>
      </c>
      <c r="T163">
        <f t="shared" ref="T163" si="794">S163/1000</f>
        <v>5.3186822586083675</v>
      </c>
    </row>
    <row r="164" spans="1:20" x14ac:dyDescent="0.25">
      <c r="A164" s="5">
        <v>44429</v>
      </c>
      <c r="B164">
        <v>454.92</v>
      </c>
      <c r="C164">
        <v>460</v>
      </c>
      <c r="D164">
        <v>443.47</v>
      </c>
      <c r="E164">
        <v>448.74</v>
      </c>
      <c r="F164">
        <v>1426818.8977999999</v>
      </c>
      <c r="G164">
        <v>448.74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-0.36237144585602049</v>
      </c>
      <c r="Q164">
        <f t="shared" ref="Q164" si="796">F164*P164</f>
        <v>-517038.42697047949</v>
      </c>
      <c r="R164">
        <f t="shared" ref="R164" si="797">R165+Q164</f>
        <v>531627498.79421735</v>
      </c>
      <c r="S164">
        <f t="shared" ref="S164" si="798">R164/100000</f>
        <v>5316.2749879421735</v>
      </c>
      <c r="T164">
        <f t="shared" ref="T164" si="799">S164/1000</f>
        <v>5.3162749879421733</v>
      </c>
    </row>
    <row r="165" spans="1:20" x14ac:dyDescent="0.25">
      <c r="A165" s="5">
        <v>44428</v>
      </c>
      <c r="B165">
        <v>431.21</v>
      </c>
      <c r="C165">
        <v>458</v>
      </c>
      <c r="D165">
        <v>421.84</v>
      </c>
      <c r="E165">
        <v>454.93</v>
      </c>
      <c r="F165">
        <v>1691101.5101999999</v>
      </c>
      <c r="G165">
        <v>454.93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0.83019911504424826</v>
      </c>
      <c r="Q165">
        <f t="shared" ref="Q165" si="801">F165*P165</f>
        <v>1403950.9772180317</v>
      </c>
      <c r="R165">
        <f t="shared" ref="R165" si="802">R166+Q165</f>
        <v>532144537.22118783</v>
      </c>
      <c r="S165">
        <f t="shared" ref="S165" si="803">R165/100000</f>
        <v>5321.4453722118787</v>
      </c>
      <c r="T165">
        <f t="shared" ref="T165" si="804">S165/1000</f>
        <v>5.3214453722118789</v>
      </c>
    </row>
    <row r="166" spans="1:20" x14ac:dyDescent="0.25">
      <c r="A166" s="5">
        <v>44427</v>
      </c>
      <c r="B166">
        <v>396.23</v>
      </c>
      <c r="C166">
        <v>431.7</v>
      </c>
      <c r="D166">
        <v>390.89</v>
      </c>
      <c r="E166">
        <v>431.27</v>
      </c>
      <c r="F166">
        <v>1852873.4713999999</v>
      </c>
      <c r="G166">
        <v>431.27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0.97892673364371441</v>
      </c>
      <c r="Q166">
        <f t="shared" ref="Q166" si="806">F166*P166</f>
        <v>1813827.3752126922</v>
      </c>
      <c r="R166">
        <f t="shared" ref="R166" si="807">R167+Q166</f>
        <v>530740586.2439698</v>
      </c>
      <c r="S166">
        <f t="shared" ref="S166" si="808">R166/100000</f>
        <v>5307.4058624396976</v>
      </c>
      <c r="T166">
        <f t="shared" ref="T166" si="809">S166/1000</f>
        <v>5.3074058624396976</v>
      </c>
    </row>
    <row r="167" spans="1:20" x14ac:dyDescent="0.25">
      <c r="A167" s="5">
        <v>44426</v>
      </c>
      <c r="B167">
        <v>401.86</v>
      </c>
      <c r="C167">
        <v>412.36</v>
      </c>
      <c r="D167">
        <v>385.47</v>
      </c>
      <c r="E167">
        <v>396.15</v>
      </c>
      <c r="F167">
        <v>1750539.5385</v>
      </c>
      <c r="G167">
        <v>396.15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-0.20565265898103716</v>
      </c>
      <c r="Q167">
        <f t="shared" ref="Q167" si="811">F167*P167</f>
        <v>-360003.11074396269</v>
      </c>
      <c r="R167">
        <f t="shared" ref="R167" si="812">R168+Q167</f>
        <v>528926758.86875713</v>
      </c>
      <c r="S167">
        <f t="shared" ref="S167" si="813">R167/100000</f>
        <v>5289.2675886875713</v>
      </c>
      <c r="T167">
        <f t="shared" ref="T167" si="814">S167/1000</f>
        <v>5.2892675886875713</v>
      </c>
    </row>
    <row r="168" spans="1:20" x14ac:dyDescent="0.25">
      <c r="A168" s="5">
        <v>44425</v>
      </c>
      <c r="B168">
        <v>415.72</v>
      </c>
      <c r="C168">
        <v>435.77</v>
      </c>
      <c r="D168">
        <v>398.77</v>
      </c>
      <c r="E168">
        <v>401.8</v>
      </c>
      <c r="F168">
        <v>1984029.2749999999</v>
      </c>
      <c r="G168">
        <v>401.8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-0.83621621621621467</v>
      </c>
      <c r="Q168">
        <f t="shared" ref="Q168" si="816">F168*P168</f>
        <v>-1659077.4532026995</v>
      </c>
      <c r="R168">
        <f t="shared" ref="R168" si="817">R169+Q168</f>
        <v>529286761.97950107</v>
      </c>
      <c r="S168">
        <f t="shared" ref="S168" si="818">R168/100000</f>
        <v>5292.8676197950108</v>
      </c>
      <c r="T168">
        <f t="shared" ref="T168" si="819">S168/1000</f>
        <v>5.2928676197950111</v>
      </c>
    </row>
    <row r="169" spans="1:20" x14ac:dyDescent="0.25">
      <c r="A169" s="5">
        <v>44424</v>
      </c>
      <c r="B169">
        <v>414.05</v>
      </c>
      <c r="C169">
        <v>437</v>
      </c>
      <c r="D169">
        <v>410.79</v>
      </c>
      <c r="E169">
        <v>415.72</v>
      </c>
      <c r="F169">
        <v>1850324.1906000001</v>
      </c>
      <c r="G169">
        <v>415.72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-0.62380770698206711</v>
      </c>
      <c r="Q169">
        <f t="shared" ref="Q169" si="821">F169*P169</f>
        <v>-1154246.4905116353</v>
      </c>
      <c r="R169">
        <f t="shared" ref="R169" si="822">R170+Q169</f>
        <v>530945839.43270379</v>
      </c>
      <c r="S169">
        <f t="shared" ref="S169" si="823">R169/100000</f>
        <v>5309.4583943270381</v>
      </c>
      <c r="T169">
        <f t="shared" ref="T169" si="824">S169/1000</f>
        <v>5.3094583943270379</v>
      </c>
    </row>
    <row r="170" spans="1:20" x14ac:dyDescent="0.25">
      <c r="A170" s="5">
        <v>44423</v>
      </c>
      <c r="B170">
        <v>408.66</v>
      </c>
      <c r="C170">
        <v>415.16</v>
      </c>
      <c r="D170">
        <v>395.88</v>
      </c>
      <c r="E170">
        <v>414.05</v>
      </c>
      <c r="F170">
        <v>1238115.4177999999</v>
      </c>
      <c r="G170">
        <v>414.05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0.88485477178423111</v>
      </c>
      <c r="Q170">
        <f t="shared" ref="Q170" si="826">F170*P170</f>
        <v>1095552.3354599569</v>
      </c>
      <c r="R170">
        <f t="shared" ref="R170" si="827">R171+Q170</f>
        <v>532100085.92321545</v>
      </c>
      <c r="S170">
        <f t="shared" ref="S170" si="828">R170/100000</f>
        <v>5321.0008592321547</v>
      </c>
      <c r="T170">
        <f t="shared" ref="T170" si="829">S170/1000</f>
        <v>5.3210008592321545</v>
      </c>
    </row>
    <row r="171" spans="1:20" x14ac:dyDescent="0.25">
      <c r="A171" s="5">
        <v>44422</v>
      </c>
      <c r="B171">
        <v>410.74</v>
      </c>
      <c r="C171">
        <v>418.8</v>
      </c>
      <c r="D171">
        <v>400</v>
      </c>
      <c r="E171">
        <v>408.67</v>
      </c>
      <c r="F171">
        <v>1439286.5064000001</v>
      </c>
      <c r="G171">
        <v>408.67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-7.7659574468083969E-2</v>
      </c>
      <c r="Q171">
        <f t="shared" ref="Q171" si="831">F171*P171</f>
        <v>-111774.37762467923</v>
      </c>
      <c r="R171">
        <f t="shared" ref="R171" si="832">R172+Q171</f>
        <v>531004533.5877555</v>
      </c>
      <c r="S171">
        <f t="shared" ref="S171" si="833">R171/100000</f>
        <v>5310.0453358775549</v>
      </c>
      <c r="T171">
        <f t="shared" ref="T171" si="834">S171/1000</f>
        <v>5.3100453358775548</v>
      </c>
    </row>
    <row r="172" spans="1:20" x14ac:dyDescent="0.25">
      <c r="A172" s="5">
        <v>44421</v>
      </c>
      <c r="B172">
        <v>385.69</v>
      </c>
      <c r="C172">
        <v>411.46</v>
      </c>
      <c r="D172">
        <v>382.91</v>
      </c>
      <c r="E172">
        <v>410.76</v>
      </c>
      <c r="F172">
        <v>1261827.2925</v>
      </c>
      <c r="G172">
        <v>410.76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0.9509632224168133</v>
      </c>
      <c r="Q172">
        <f t="shared" ref="Q172" si="836">F172*P172</f>
        <v>1199951.3482092828</v>
      </c>
      <c r="R172">
        <f t="shared" ref="R172" si="837">R173+Q172</f>
        <v>531116307.96538019</v>
      </c>
      <c r="S172">
        <f t="shared" ref="S172" si="838">R172/100000</f>
        <v>5311.163079653802</v>
      </c>
      <c r="T172">
        <f t="shared" ref="T172" si="839">S172/1000</f>
        <v>5.3111630796538023</v>
      </c>
    </row>
    <row r="173" spans="1:20" x14ac:dyDescent="0.25">
      <c r="A173" s="5">
        <v>44420</v>
      </c>
      <c r="B173">
        <v>390.92</v>
      </c>
      <c r="C173">
        <v>406.18</v>
      </c>
      <c r="D173">
        <v>371.59</v>
      </c>
      <c r="E173">
        <v>385.66</v>
      </c>
      <c r="F173">
        <v>1835305.9382</v>
      </c>
      <c r="G173">
        <v>385.66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-0.18647007805723984</v>
      </c>
      <c r="Q173">
        <f t="shared" ref="Q173" si="841">F173*P173</f>
        <v>-342229.64155506977</v>
      </c>
      <c r="R173">
        <f t="shared" ref="R173" si="842">R174+Q173</f>
        <v>529916356.61717093</v>
      </c>
      <c r="S173">
        <f t="shared" ref="S173" si="843">R173/100000</f>
        <v>5299.1635661717091</v>
      </c>
      <c r="T173">
        <f t="shared" ref="T173" si="844">S173/1000</f>
        <v>5.2991635661717087</v>
      </c>
    </row>
    <row r="174" spans="1:20" x14ac:dyDescent="0.25">
      <c r="A174" s="5">
        <v>44419</v>
      </c>
      <c r="B174">
        <v>371.95</v>
      </c>
      <c r="C174">
        <v>408.72</v>
      </c>
      <c r="D174">
        <v>371.09</v>
      </c>
      <c r="E174">
        <v>390.96</v>
      </c>
      <c r="F174">
        <v>1911892.6875</v>
      </c>
      <c r="G174">
        <v>390.96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5.6072282753121282E-2</v>
      </c>
      <c r="Q174">
        <f t="shared" ref="Q174" si="846">F174*P174</f>
        <v>107204.18736712495</v>
      </c>
      <c r="R174">
        <f t="shared" ref="R174" si="847">R175+Q174</f>
        <v>530258586.258726</v>
      </c>
      <c r="S174">
        <f t="shared" ref="S174" si="848">R174/100000</f>
        <v>5302.5858625872597</v>
      </c>
      <c r="T174">
        <f t="shared" ref="T174" si="849">S174/1000</f>
        <v>5.3025858625872599</v>
      </c>
    </row>
    <row r="175" spans="1:20" x14ac:dyDescent="0.25">
      <c r="A175" s="5">
        <v>44418</v>
      </c>
      <c r="B175">
        <v>354.32</v>
      </c>
      <c r="C175">
        <v>376.6</v>
      </c>
      <c r="D175">
        <v>348</v>
      </c>
      <c r="E175">
        <v>371.92</v>
      </c>
      <c r="F175">
        <v>1660844.1917999999</v>
      </c>
      <c r="G175">
        <v>371.92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0.67272727272727251</v>
      </c>
      <c r="Q175">
        <f t="shared" ref="Q175" si="851">F175*P175</f>
        <v>1117295.183574545</v>
      </c>
      <c r="R175">
        <f t="shared" ref="R175" si="852">R176+Q175</f>
        <v>530151382.07135886</v>
      </c>
      <c r="S175">
        <f t="shared" ref="S175" si="853">R175/100000</f>
        <v>5301.5138207135888</v>
      </c>
      <c r="T175">
        <f t="shared" ref="T175" si="854">S175/1000</f>
        <v>5.3015138207135886</v>
      </c>
    </row>
    <row r="176" spans="1:20" x14ac:dyDescent="0.25">
      <c r="A176" s="5">
        <v>44417</v>
      </c>
      <c r="B176">
        <v>341.79</v>
      </c>
      <c r="C176">
        <v>357.7</v>
      </c>
      <c r="D176">
        <v>333.15</v>
      </c>
      <c r="E176">
        <v>354.32</v>
      </c>
      <c r="F176">
        <v>1284975.5131999999</v>
      </c>
      <c r="G176">
        <v>354.32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0.72464358452138544</v>
      </c>
      <c r="Q176">
        <f t="shared" ref="Q176" si="856">F176*P176</f>
        <v>931149.26190745481</v>
      </c>
      <c r="R176">
        <f t="shared" ref="R176" si="857">R177+Q176</f>
        <v>529034086.8877843</v>
      </c>
      <c r="S176">
        <f t="shared" ref="S176" si="858">R176/100000</f>
        <v>5290.3408688778427</v>
      </c>
      <c r="T176">
        <f t="shared" ref="T176" si="859">S176/1000</f>
        <v>5.2903408688778431</v>
      </c>
    </row>
    <row r="177" spans="1:20" x14ac:dyDescent="0.25">
      <c r="A177" s="5">
        <v>44416</v>
      </c>
      <c r="B177">
        <v>356.18</v>
      </c>
      <c r="C177">
        <v>359.87</v>
      </c>
      <c r="D177">
        <v>337</v>
      </c>
      <c r="E177">
        <v>341.79</v>
      </c>
      <c r="F177">
        <v>1275768.1540000001</v>
      </c>
      <c r="G177">
        <v>341.79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-0.58111062527328206</v>
      </c>
      <c r="Q177">
        <f t="shared" ref="Q177" si="861">F177*P177</f>
        <v>-741362.42967468081</v>
      </c>
      <c r="R177">
        <f t="shared" ref="R177" si="862">R178+Q177</f>
        <v>528102937.62587684</v>
      </c>
      <c r="S177">
        <f t="shared" ref="S177" si="863">R177/100000</f>
        <v>5281.029376258768</v>
      </c>
      <c r="T177">
        <f t="shared" ref="T177" si="864">S177/1000</f>
        <v>5.2810293762587683</v>
      </c>
    </row>
    <row r="178" spans="1:20" x14ac:dyDescent="0.25">
      <c r="A178" s="5">
        <v>44415</v>
      </c>
      <c r="B178">
        <v>342.39</v>
      </c>
      <c r="C178">
        <v>359.74</v>
      </c>
      <c r="D178">
        <v>340.34</v>
      </c>
      <c r="E178">
        <v>356.18</v>
      </c>
      <c r="F178">
        <v>1545801.1880000001</v>
      </c>
      <c r="G178">
        <v>356.18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0.6329896907216499</v>
      </c>
      <c r="Q178">
        <f t="shared" ref="Q178" si="866">F178*P178</f>
        <v>978476.21590927907</v>
      </c>
      <c r="R178">
        <f t="shared" ref="R178" si="867">R179+Q178</f>
        <v>528844300.05555153</v>
      </c>
      <c r="S178">
        <f t="shared" ref="S178" si="868">R178/100000</f>
        <v>5288.443000555515</v>
      </c>
      <c r="T178">
        <f t="shared" ref="T178" si="869">S178/1000</f>
        <v>5.2884430005555148</v>
      </c>
    </row>
    <row r="179" spans="1:20" x14ac:dyDescent="0.25">
      <c r="A179" s="5">
        <v>44414</v>
      </c>
      <c r="B179">
        <v>337.92</v>
      </c>
      <c r="C179">
        <v>347.14</v>
      </c>
      <c r="D179">
        <v>331.12</v>
      </c>
      <c r="E179">
        <v>342.39</v>
      </c>
      <c r="F179">
        <v>1267498.9177999999</v>
      </c>
      <c r="G179">
        <v>342.39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0.40699126092384452</v>
      </c>
      <c r="Q179">
        <f t="shared" ref="Q179" si="871">F179*P179</f>
        <v>515860.98277503031</v>
      </c>
      <c r="R179">
        <f t="shared" ref="R179" si="872">R180+Q179</f>
        <v>527865823.83964223</v>
      </c>
      <c r="S179">
        <f t="shared" ref="S179" si="873">R179/100000</f>
        <v>5278.6582383964223</v>
      </c>
      <c r="T179">
        <f t="shared" ref="T179" si="874">S179/1000</f>
        <v>5.2786582383964227</v>
      </c>
    </row>
    <row r="180" spans="1:20" x14ac:dyDescent="0.25">
      <c r="A180" s="5">
        <v>44413</v>
      </c>
      <c r="B180">
        <v>334.78</v>
      </c>
      <c r="C180">
        <v>340.17</v>
      </c>
      <c r="D180">
        <v>323.37</v>
      </c>
      <c r="E180">
        <v>337.91</v>
      </c>
      <c r="F180">
        <v>1263649.4926</v>
      </c>
      <c r="G180">
        <v>337.91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0.73095238095238224</v>
      </c>
      <c r="Q180">
        <f t="shared" ref="Q180" si="876">F180*P180</f>
        <v>923667.60530523967</v>
      </c>
      <c r="R180">
        <f t="shared" ref="R180" si="877">R181+Q180</f>
        <v>527349962.85686719</v>
      </c>
      <c r="S180">
        <f t="shared" ref="S180" si="878">R180/100000</f>
        <v>5273.4996285686721</v>
      </c>
      <c r="T180">
        <f t="shared" ref="T180" si="879">S180/1000</f>
        <v>5.2734996285686719</v>
      </c>
    </row>
    <row r="181" spans="1:20" x14ac:dyDescent="0.25">
      <c r="A181" s="5">
        <v>44412</v>
      </c>
      <c r="B181">
        <v>323.44</v>
      </c>
      <c r="C181">
        <v>337.39</v>
      </c>
      <c r="D181">
        <v>319.77999999999997</v>
      </c>
      <c r="E181">
        <v>334.77</v>
      </c>
      <c r="F181">
        <v>969671.42279999994</v>
      </c>
      <c r="G181">
        <v>334.77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0.70244179443497989</v>
      </c>
      <c r="Q181">
        <f t="shared" ref="Q181" si="881">F181*P181</f>
        <v>681137.73424395209</v>
      </c>
      <c r="R181">
        <f t="shared" ref="R181" si="882">R182+Q181</f>
        <v>526426295.25156194</v>
      </c>
      <c r="S181">
        <f t="shared" ref="S181" si="883">R181/100000</f>
        <v>5264.262952515619</v>
      </c>
      <c r="T181">
        <f t="shared" ref="T181" si="884">S181/1000</f>
        <v>5.2642629525156188</v>
      </c>
    </row>
    <row r="182" spans="1:20" x14ac:dyDescent="0.25">
      <c r="A182" s="5">
        <v>44411</v>
      </c>
      <c r="B182">
        <v>330.53</v>
      </c>
      <c r="C182">
        <v>334.73</v>
      </c>
      <c r="D182">
        <v>317.02</v>
      </c>
      <c r="E182">
        <v>323.43</v>
      </c>
      <c r="F182">
        <v>1060806.3447</v>
      </c>
      <c r="G182">
        <v>323.43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-0.27611518915866606</v>
      </c>
      <c r="Q182">
        <f t="shared" ref="Q182" si="886">F182*P182</f>
        <v>-292904.74452755362</v>
      </c>
      <c r="R182">
        <f t="shared" ref="R182" si="887">R183+Q182</f>
        <v>525745157.51731801</v>
      </c>
      <c r="S182">
        <f t="shared" ref="S182" si="888">R182/100000</f>
        <v>5257.4515751731797</v>
      </c>
      <c r="T182">
        <f t="shared" ref="T182" si="889">S182/1000</f>
        <v>5.2574515751731798</v>
      </c>
    </row>
    <row r="183" spans="1:20" x14ac:dyDescent="0.25">
      <c r="A183" s="5">
        <v>44410</v>
      </c>
      <c r="B183">
        <v>332.63</v>
      </c>
      <c r="C183">
        <v>338.29</v>
      </c>
      <c r="D183">
        <v>326.17</v>
      </c>
      <c r="E183">
        <v>330.55</v>
      </c>
      <c r="F183">
        <v>1018741.3098</v>
      </c>
      <c r="G183">
        <v>330.55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-0.27722772277227825</v>
      </c>
      <c r="Q183">
        <f t="shared" ref="Q183" si="891">F183*P183</f>
        <v>-282423.33340990206</v>
      </c>
      <c r="R183">
        <f t="shared" ref="R183" si="892">R184+Q183</f>
        <v>526038062.26184559</v>
      </c>
      <c r="S183">
        <f t="shared" ref="S183" si="893">R183/100000</f>
        <v>5260.3806226184561</v>
      </c>
      <c r="T183">
        <f t="shared" ref="T183" si="894">S183/1000</f>
        <v>5.260380622618456</v>
      </c>
    </row>
    <row r="184" spans="1:20" x14ac:dyDescent="0.25">
      <c r="A184" s="5">
        <v>44409</v>
      </c>
      <c r="B184">
        <v>332.38</v>
      </c>
      <c r="C184">
        <v>347.8</v>
      </c>
      <c r="D184">
        <v>328.99</v>
      </c>
      <c r="E184">
        <v>332.59</v>
      </c>
      <c r="F184">
        <v>1514514.2178</v>
      </c>
      <c r="G184">
        <v>332.59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-0.61722488038277878</v>
      </c>
      <c r="Q184">
        <f t="shared" ref="Q184" si="896">F184*P184</f>
        <v>-934795.85691962275</v>
      </c>
      <c r="R184">
        <f t="shared" ref="R184" si="897">R185+Q184</f>
        <v>526320485.59525549</v>
      </c>
      <c r="S184">
        <f t="shared" ref="S184" si="898">R184/100000</f>
        <v>5263.2048559525547</v>
      </c>
      <c r="T184">
        <f t="shared" ref="T184" si="899">S184/1000</f>
        <v>5.2632048559525551</v>
      </c>
    </row>
    <row r="185" spans="1:20" x14ac:dyDescent="0.25">
      <c r="A185" s="5">
        <v>44408</v>
      </c>
      <c r="B185">
        <v>322.58</v>
      </c>
      <c r="C185">
        <v>338.44</v>
      </c>
      <c r="D185">
        <v>317.20999999999998</v>
      </c>
      <c r="E185">
        <v>332.38</v>
      </c>
      <c r="F185">
        <v>1393753.9650000001</v>
      </c>
      <c r="G185">
        <v>332.38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0.42910975035327392</v>
      </c>
      <c r="Q185">
        <f t="shared" ref="Q185" si="901">F185*P185</f>
        <v>598073.41597503575</v>
      </c>
      <c r="R185">
        <f t="shared" ref="R185" si="902">R186+Q185</f>
        <v>527255281.45217514</v>
      </c>
      <c r="S185">
        <f t="shared" ref="S185" si="903">R185/100000</f>
        <v>5272.5528145217513</v>
      </c>
      <c r="T185">
        <f t="shared" ref="T185" si="904">S185/1000</f>
        <v>5.2725528145217515</v>
      </c>
    </row>
    <row r="186" spans="1:20" x14ac:dyDescent="0.25">
      <c r="A186" s="5">
        <v>44407</v>
      </c>
      <c r="B186">
        <v>317.10000000000002</v>
      </c>
      <c r="C186">
        <v>325.66000000000003</v>
      </c>
      <c r="D186">
        <v>306.16000000000003</v>
      </c>
      <c r="E186">
        <v>322.58</v>
      </c>
      <c r="F186">
        <v>1297421.6444999999</v>
      </c>
      <c r="G186">
        <v>322.58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0.68410256410255987</v>
      </c>
      <c r="Q186">
        <f t="shared" ref="Q186" si="906">F186*P186</f>
        <v>887569.47372460982</v>
      </c>
      <c r="R186">
        <f t="shared" ref="R186" si="907">R187+Q186</f>
        <v>526657208.03620011</v>
      </c>
      <c r="S186">
        <f t="shared" ref="S186" si="908">R186/100000</f>
        <v>5266.5720803620006</v>
      </c>
      <c r="T186">
        <f t="shared" ref="T186" si="909">S186/1000</f>
        <v>5.2665720803620006</v>
      </c>
    </row>
    <row r="187" spans="1:20" x14ac:dyDescent="0.25">
      <c r="A187" s="5">
        <v>44406</v>
      </c>
      <c r="B187">
        <v>313.83999999999997</v>
      </c>
      <c r="C187">
        <v>320.31</v>
      </c>
      <c r="D187">
        <v>308.60000000000002</v>
      </c>
      <c r="E187">
        <v>317.02999999999997</v>
      </c>
      <c r="F187">
        <v>998946.18389999995</v>
      </c>
      <c r="G187">
        <v>317.02999999999997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0.43979504696839705</v>
      </c>
      <c r="Q187">
        <f t="shared" ref="Q187" si="911">F187*P187</f>
        <v>439331.58386720147</v>
      </c>
      <c r="R187">
        <f t="shared" ref="R187" si="912">R188+Q187</f>
        <v>525769638.5624755</v>
      </c>
      <c r="S187">
        <f t="shared" ref="S187" si="913">R187/100000</f>
        <v>5257.6963856247548</v>
      </c>
      <c r="T187">
        <f t="shared" ref="T187" si="914">S187/1000</f>
        <v>5.2576963856247545</v>
      </c>
    </row>
    <row r="188" spans="1:20" x14ac:dyDescent="0.25">
      <c r="A188" s="5">
        <v>44405</v>
      </c>
      <c r="B188">
        <v>313.47000000000003</v>
      </c>
      <c r="C188">
        <v>318.68</v>
      </c>
      <c r="D188">
        <v>308</v>
      </c>
      <c r="E188">
        <v>313.8</v>
      </c>
      <c r="F188">
        <v>1308249.1299999999</v>
      </c>
      <c r="G188">
        <v>313.8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8.6142322097379709E-2</v>
      </c>
      <c r="Q188">
        <f t="shared" ref="Q188" si="916">F188*P188</f>
        <v>112695.61794007677</v>
      </c>
      <c r="R188">
        <f t="shared" ref="R188" si="917">R189+Q188</f>
        <v>525330306.97860831</v>
      </c>
      <c r="S188">
        <f t="shared" ref="S188" si="918">R188/100000</f>
        <v>5253.3030697860831</v>
      </c>
      <c r="T188">
        <f t="shared" ref="T188" si="919">S188/1000</f>
        <v>5.2533030697860834</v>
      </c>
    </row>
    <row r="189" spans="1:20" x14ac:dyDescent="0.25">
      <c r="A189" s="5">
        <v>44404</v>
      </c>
      <c r="B189">
        <v>304</v>
      </c>
      <c r="C189">
        <v>318.41000000000003</v>
      </c>
      <c r="D189">
        <v>297.61</v>
      </c>
      <c r="E189">
        <v>313.48</v>
      </c>
      <c r="F189">
        <v>1678708.0634999999</v>
      </c>
      <c r="G189">
        <v>313.48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0.52596153846153804</v>
      </c>
      <c r="Q189">
        <f t="shared" ref="Q189" si="921">F189*P189</f>
        <v>882935.87570624927</v>
      </c>
      <c r="R189">
        <f t="shared" ref="R189" si="922">R190+Q189</f>
        <v>525217611.36066824</v>
      </c>
      <c r="S189">
        <f t="shared" ref="S189" si="923">R189/100000</f>
        <v>5252.1761136066825</v>
      </c>
      <c r="T189">
        <f t="shared" ref="T189" si="924">S189/1000</f>
        <v>5.2521761136066827</v>
      </c>
    </row>
    <row r="190" spans="1:20" x14ac:dyDescent="0.25">
      <c r="A190" s="5">
        <v>44403</v>
      </c>
      <c r="B190">
        <v>302.56</v>
      </c>
      <c r="C190">
        <v>328</v>
      </c>
      <c r="D190">
        <v>301</v>
      </c>
      <c r="E190">
        <v>304</v>
      </c>
      <c r="F190">
        <v>2575554.2801999999</v>
      </c>
      <c r="G190">
        <v>304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-0.77777777777777779</v>
      </c>
      <c r="Q190">
        <f t="shared" ref="Q190" si="926">F190*P190</f>
        <v>-2003208.8846</v>
      </c>
      <c r="R190">
        <f t="shared" ref="R190" si="927">R191+Q190</f>
        <v>524334675.48496199</v>
      </c>
      <c r="S190">
        <f t="shared" ref="S190" si="928">R190/100000</f>
        <v>5243.3467548496201</v>
      </c>
      <c r="T190">
        <f t="shared" ref="T190" si="929">S190/1000</f>
        <v>5.24334675484962</v>
      </c>
    </row>
    <row r="191" spans="1:20" x14ac:dyDescent="0.25">
      <c r="A191" s="5">
        <v>44402</v>
      </c>
      <c r="B191">
        <v>301.52999999999997</v>
      </c>
      <c r="C191">
        <v>304.44</v>
      </c>
      <c r="D191">
        <v>292.33999999999997</v>
      </c>
      <c r="E191">
        <v>302.56</v>
      </c>
      <c r="F191">
        <v>1083557.277</v>
      </c>
      <c r="G191">
        <v>302.56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0.68925619834710883</v>
      </c>
      <c r="Q191">
        <f t="shared" ref="Q191" si="931">F191*P191</f>
        <v>746848.56943636516</v>
      </c>
      <c r="R191">
        <f t="shared" ref="R191" si="932">R192+Q191</f>
        <v>526337884.36956197</v>
      </c>
      <c r="S191">
        <f t="shared" ref="S191" si="933">R191/100000</f>
        <v>5263.3788436956193</v>
      </c>
      <c r="T191">
        <f t="shared" ref="T191:T197" si="934">S191/1000</f>
        <v>5.2633788436956195</v>
      </c>
    </row>
    <row r="192" spans="1:20" x14ac:dyDescent="0.25">
      <c r="A192" s="5">
        <v>44401</v>
      </c>
      <c r="B192">
        <v>299.29000000000002</v>
      </c>
      <c r="C192">
        <v>307.79000000000002</v>
      </c>
      <c r="D192">
        <v>295.43</v>
      </c>
      <c r="E192">
        <v>301.56</v>
      </c>
      <c r="F192">
        <v>1438901.3811000001</v>
      </c>
      <c r="G192">
        <v>301.56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-8.0906148867332228E-3</v>
      </c>
      <c r="Q192">
        <f t="shared" ref="Q192" si="936">F192*P192</f>
        <v>-11641.596934468655</v>
      </c>
      <c r="R192">
        <f t="shared" ref="R192" si="937">R193+Q192</f>
        <v>525591035.8001256</v>
      </c>
      <c r="S192">
        <f t="shared" ref="S192" si="938">R192/100000</f>
        <v>5255.9103580012561</v>
      </c>
      <c r="T192">
        <f t="shared" si="934"/>
        <v>5.2559103580012563</v>
      </c>
    </row>
    <row r="193" spans="1:20" x14ac:dyDescent="0.25">
      <c r="A193" s="5">
        <v>44400</v>
      </c>
      <c r="B193">
        <v>293.39</v>
      </c>
      <c r="C193">
        <v>301.5</v>
      </c>
      <c r="D193">
        <v>281.01</v>
      </c>
      <c r="E193">
        <v>299.27</v>
      </c>
      <c r="F193">
        <v>1640999.5389</v>
      </c>
      <c r="G193">
        <v>299.27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0.78233284529038383</v>
      </c>
      <c r="Q193">
        <f t="shared" ref="Q193" si="940">F193*P193</f>
        <v>1283807.8383878449</v>
      </c>
      <c r="R193">
        <f t="shared" ref="R193" si="941">R194+Q193</f>
        <v>525602677.3970601</v>
      </c>
      <c r="S193">
        <f t="shared" ref="S193" si="942">R193/100000</f>
        <v>5256.0267739706005</v>
      </c>
      <c r="T193">
        <f t="shared" si="934"/>
        <v>5.2560267739706008</v>
      </c>
    </row>
    <row r="194" spans="1:20" x14ac:dyDescent="0.25">
      <c r="A194" s="5">
        <v>44399</v>
      </c>
      <c r="B194">
        <v>293.27</v>
      </c>
      <c r="C194">
        <v>298.44</v>
      </c>
      <c r="D194">
        <v>287.3</v>
      </c>
      <c r="E194">
        <v>293.36</v>
      </c>
      <c r="F194">
        <v>1173507.9432000001</v>
      </c>
      <c r="G194">
        <v>293.36</v>
      </c>
      <c r="L194" t="s">
        <v>8</v>
      </c>
      <c r="M194" t="s">
        <v>7</v>
      </c>
      <c r="N194" t="s">
        <v>8</v>
      </c>
      <c r="P194">
        <f t="shared" ref="P194" si="943">IF(C194=D194,0,((E194-D194)-(C194-E194))/(C194-D194))</f>
        <v>8.7971274685818612E-2</v>
      </c>
      <c r="Q194">
        <f t="shared" ref="Q194" si="944">F194*P194</f>
        <v>103234.98961723724</v>
      </c>
      <c r="R194">
        <f t="shared" ref="R194" si="945">R195+Q194</f>
        <v>524318869.55867225</v>
      </c>
      <c r="S194">
        <f t="shared" ref="S194" si="946">R194/100000</f>
        <v>5243.1886955867221</v>
      </c>
      <c r="T194">
        <f t="shared" si="934"/>
        <v>5.2431886955867224</v>
      </c>
    </row>
    <row r="195" spans="1:20" x14ac:dyDescent="0.25">
      <c r="A195" s="5">
        <v>44398</v>
      </c>
      <c r="B195">
        <v>264.43</v>
      </c>
      <c r="C195">
        <v>298.92</v>
      </c>
      <c r="D195">
        <v>261.02</v>
      </c>
      <c r="E195">
        <v>293.26</v>
      </c>
      <c r="F195">
        <v>1740736.0226</v>
      </c>
      <c r="G195">
        <v>293.26</v>
      </c>
      <c r="L195" t="s">
        <v>8</v>
      </c>
      <c r="M195" t="s">
        <v>7</v>
      </c>
      <c r="N195" t="s">
        <v>8</v>
      </c>
      <c r="P195">
        <f t="shared" ref="P195" si="947">IF(C195=D195,0,((E195-D195)-(C195-E195))/(C195-D195))</f>
        <v>0.70131926121371924</v>
      </c>
      <c r="Q195">
        <f t="shared" ref="Q195" si="948">F195*P195</f>
        <v>1220811.7013379401</v>
      </c>
      <c r="R195">
        <f t="shared" ref="R195" si="949">R196+Q195</f>
        <v>524215634.56905502</v>
      </c>
      <c r="S195">
        <f t="shared" ref="S195" si="950">R195/100000</f>
        <v>5242.1563456905506</v>
      </c>
      <c r="T195">
        <f t="shared" si="934"/>
        <v>5.2421563456905504</v>
      </c>
    </row>
    <row r="196" spans="1:20" x14ac:dyDescent="0.25">
      <c r="A196" s="5">
        <v>44397</v>
      </c>
      <c r="B196">
        <v>280.54000000000002</v>
      </c>
      <c r="C196">
        <v>283.60000000000002</v>
      </c>
      <c r="D196">
        <v>254.52</v>
      </c>
      <c r="E196">
        <v>264.44</v>
      </c>
      <c r="F196">
        <v>1796600.5803</v>
      </c>
      <c r="G196">
        <v>264.44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-0.31774415405777284</v>
      </c>
      <c r="Q196">
        <f t="shared" ref="Q196" si="952">F196*P196</f>
        <v>-570859.33156712726</v>
      </c>
      <c r="R196">
        <f t="shared" ref="R196" si="953">R197+Q196</f>
        <v>522994822.86771709</v>
      </c>
      <c r="S196">
        <f t="shared" ref="S196" si="954">R196/100000</f>
        <v>5229.9482286771708</v>
      </c>
      <c r="T196">
        <f t="shared" si="934"/>
        <v>5.2299482286771708</v>
      </c>
    </row>
    <row r="197" spans="1:20" x14ac:dyDescent="0.25">
      <c r="A197" s="5">
        <v>44396</v>
      </c>
      <c r="B197">
        <v>302.04000000000002</v>
      </c>
      <c r="C197">
        <v>303.94</v>
      </c>
      <c r="D197">
        <v>278.85000000000002</v>
      </c>
      <c r="E197">
        <v>280.54000000000002</v>
      </c>
      <c r="F197">
        <v>1318041.7074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-0.86528497409326433</v>
      </c>
      <c r="Q197">
        <f t="shared" ref="Q197" si="956">F197*P197</f>
        <v>-1140481.6846414509</v>
      </c>
      <c r="R197">
        <f t="shared" ref="R197" si="957">R198+Q197</f>
        <v>523565682.1992842</v>
      </c>
      <c r="S197">
        <f t="shared" ref="S197" si="958">R197/100000</f>
        <v>5235.6568219928422</v>
      </c>
      <c r="T197">
        <f t="shared" si="934"/>
        <v>5.2356568219928423</v>
      </c>
    </row>
    <row r="198" spans="1:20" x14ac:dyDescent="0.25">
      <c r="A198" s="5">
        <v>44395</v>
      </c>
      <c r="B198">
        <v>300.56</v>
      </c>
      <c r="C198">
        <v>309.18</v>
      </c>
      <c r="D198">
        <v>298.7</v>
      </c>
      <c r="E198">
        <v>302.10000000000002</v>
      </c>
      <c r="F198">
        <v>815497.35270000005</v>
      </c>
      <c r="G198">
        <v>0</v>
      </c>
      <c r="L198" t="s">
        <v>7</v>
      </c>
      <c r="M198" t="s">
        <v>8</v>
      </c>
      <c r="N198" t="s">
        <v>8</v>
      </c>
      <c r="P198">
        <f t="shared" ref="P198:P261" si="959">IF(C198=D198,0,((E198-D198)-(C198-E198))/(C198-D198))</f>
        <v>-0.35114503816793358</v>
      </c>
      <c r="Q198">
        <f t="shared" ref="Q198:Q261" si="960">F198*P198</f>
        <v>-286357.84903969028</v>
      </c>
      <c r="R198">
        <f t="shared" ref="R198:R261" si="961">R199+Q198</f>
        <v>524706163.88392568</v>
      </c>
      <c r="S198">
        <f t="shared" ref="S198:S261" si="962">R198/100000</f>
        <v>5247.0616388392564</v>
      </c>
      <c r="T198">
        <f t="shared" ref="T198:T261" si="963">S198/1000</f>
        <v>5.2470616388392566</v>
      </c>
    </row>
    <row r="199" spans="1:20" x14ac:dyDescent="0.25">
      <c r="A199" s="5">
        <v>44394</v>
      </c>
      <c r="B199">
        <v>302.94</v>
      </c>
      <c r="C199">
        <v>306.70999999999998</v>
      </c>
      <c r="D199">
        <v>295</v>
      </c>
      <c r="E199">
        <v>300.52</v>
      </c>
      <c r="F199">
        <v>1030879.9611</v>
      </c>
      <c r="G199">
        <v>0</v>
      </c>
      <c r="L199" t="s">
        <v>7</v>
      </c>
      <c r="M199" t="s">
        <v>8</v>
      </c>
      <c r="N199" t="s">
        <v>8</v>
      </c>
      <c r="P199">
        <f t="shared" si="959"/>
        <v>-5.7216054654143221E-2</v>
      </c>
      <c r="Q199">
        <f t="shared" si="960"/>
        <v>-58982.884196158637</v>
      </c>
      <c r="R199">
        <f t="shared" si="961"/>
        <v>524992521.73296535</v>
      </c>
      <c r="S199">
        <f t="shared" si="962"/>
        <v>5249.9252173296536</v>
      </c>
      <c r="T199">
        <f t="shared" si="963"/>
        <v>5.249925217329654</v>
      </c>
    </row>
    <row r="200" spans="1:20" x14ac:dyDescent="0.25">
      <c r="A200" s="5">
        <v>44393</v>
      </c>
      <c r="B200">
        <v>316.12</v>
      </c>
      <c r="C200">
        <v>323.5</v>
      </c>
      <c r="D200">
        <v>301.5</v>
      </c>
      <c r="E200">
        <v>302.88</v>
      </c>
      <c r="F200">
        <v>1456105.4018999999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-0.87454545454545496</v>
      </c>
      <c r="Q200">
        <f t="shared" si="960"/>
        <v>-1273430.3605707278</v>
      </c>
      <c r="R200">
        <f t="shared" si="961"/>
        <v>525051504.61716151</v>
      </c>
      <c r="S200">
        <f t="shared" si="962"/>
        <v>5250.5150461716148</v>
      </c>
      <c r="T200">
        <f t="shared" si="963"/>
        <v>5.250515046171615</v>
      </c>
    </row>
    <row r="201" spans="1:20" x14ac:dyDescent="0.25">
      <c r="A201" s="5">
        <v>44392</v>
      </c>
      <c r="B201">
        <v>309.33</v>
      </c>
      <c r="C201">
        <v>324.33</v>
      </c>
      <c r="D201">
        <v>301.32</v>
      </c>
      <c r="E201">
        <v>316.11</v>
      </c>
      <c r="F201">
        <v>2185210.8398000002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0.28552803129074544</v>
      </c>
      <c r="Q201">
        <f t="shared" si="960"/>
        <v>623938.94904329057</v>
      </c>
      <c r="R201">
        <f t="shared" si="961"/>
        <v>526324934.97773224</v>
      </c>
      <c r="S201">
        <f t="shared" si="962"/>
        <v>5263.2493497773221</v>
      </c>
      <c r="T201">
        <f t="shared" si="963"/>
        <v>5.2632493497773218</v>
      </c>
    </row>
    <row r="202" spans="1:20" x14ac:dyDescent="0.25">
      <c r="A202" s="5">
        <v>44391</v>
      </c>
      <c r="B202">
        <v>308.98</v>
      </c>
      <c r="C202">
        <v>313.45999999999998</v>
      </c>
      <c r="D202">
        <v>290.24</v>
      </c>
      <c r="E202">
        <v>309.39999999999998</v>
      </c>
      <c r="F202">
        <v>1430288.4025999999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0.65030146425495194</v>
      </c>
      <c r="Q202">
        <f t="shared" si="960"/>
        <v>930118.6425176562</v>
      </c>
      <c r="R202">
        <f t="shared" si="961"/>
        <v>525700996.02868897</v>
      </c>
      <c r="S202">
        <f t="shared" si="962"/>
        <v>5257.0099602868895</v>
      </c>
      <c r="T202">
        <f t="shared" si="963"/>
        <v>5.2570099602868892</v>
      </c>
    </row>
    <row r="203" spans="1:20" x14ac:dyDescent="0.25">
      <c r="A203" s="5">
        <v>44390</v>
      </c>
      <c r="B203">
        <v>316.11</v>
      </c>
      <c r="C203">
        <v>318.33</v>
      </c>
      <c r="D203">
        <v>305.2</v>
      </c>
      <c r="E203">
        <v>308.94</v>
      </c>
      <c r="F203">
        <v>930032.31550000003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-0.43031226199542871</v>
      </c>
      <c r="Q203">
        <f t="shared" si="960"/>
        <v>-400204.30941165122</v>
      </c>
      <c r="R203">
        <f t="shared" si="961"/>
        <v>524770877.38617128</v>
      </c>
      <c r="S203">
        <f t="shared" si="962"/>
        <v>5247.7087738617129</v>
      </c>
      <c r="T203">
        <f t="shared" si="963"/>
        <v>5.2477087738617127</v>
      </c>
    </row>
    <row r="204" spans="1:20" x14ac:dyDescent="0.25">
      <c r="A204" s="5">
        <v>44389</v>
      </c>
      <c r="B204">
        <v>322.17</v>
      </c>
      <c r="C204">
        <v>334.37</v>
      </c>
      <c r="D204">
        <v>308.57</v>
      </c>
      <c r="E204">
        <v>316.12</v>
      </c>
      <c r="F204">
        <v>1322836.6575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-0.41472868217054198</v>
      </c>
      <c r="Q204">
        <f t="shared" si="960"/>
        <v>-548618.30369185959</v>
      </c>
      <c r="R204">
        <f t="shared" si="961"/>
        <v>525171081.69558293</v>
      </c>
      <c r="S204">
        <f t="shared" si="962"/>
        <v>5251.7108169558296</v>
      </c>
      <c r="T204">
        <f t="shared" si="963"/>
        <v>5.2517108169558293</v>
      </c>
    </row>
    <row r="205" spans="1:20" x14ac:dyDescent="0.25">
      <c r="A205" s="5">
        <v>44388</v>
      </c>
      <c r="B205">
        <v>316.12</v>
      </c>
      <c r="C205">
        <v>326.82</v>
      </c>
      <c r="D205">
        <v>312.20999999999998</v>
      </c>
      <c r="E205">
        <v>322.16000000000003</v>
      </c>
      <c r="F205">
        <v>799617.83499999996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0.36208076659822536</v>
      </c>
      <c r="Q205">
        <f t="shared" si="960"/>
        <v>289526.23868241324</v>
      </c>
      <c r="R205">
        <f t="shared" si="961"/>
        <v>525719699.99927479</v>
      </c>
      <c r="S205">
        <f t="shared" si="962"/>
        <v>5257.1969999927478</v>
      </c>
      <c r="T205">
        <f t="shared" si="963"/>
        <v>5.2571969999927477</v>
      </c>
    </row>
    <row r="206" spans="1:20" x14ac:dyDescent="0.25">
      <c r="A206" s="5">
        <v>44387</v>
      </c>
      <c r="B206">
        <v>317.08999999999997</v>
      </c>
      <c r="C206">
        <v>321.44</v>
      </c>
      <c r="D206">
        <v>310.57</v>
      </c>
      <c r="E206">
        <v>316.12</v>
      </c>
      <c r="F206">
        <v>818970.92249999999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2.1159153633856311E-2</v>
      </c>
      <c r="Q206">
        <f t="shared" si="960"/>
        <v>17328.731570838529</v>
      </c>
      <c r="R206">
        <f t="shared" si="961"/>
        <v>525430173.7605924</v>
      </c>
      <c r="S206">
        <f t="shared" si="962"/>
        <v>5254.3017376059242</v>
      </c>
      <c r="T206">
        <f t="shared" si="963"/>
        <v>5.2543017376059247</v>
      </c>
    </row>
    <row r="207" spans="1:20" x14ac:dyDescent="0.25">
      <c r="A207" s="5">
        <v>44386</v>
      </c>
      <c r="B207">
        <v>310.08</v>
      </c>
      <c r="C207">
        <v>319.69</v>
      </c>
      <c r="D207">
        <v>301.43</v>
      </c>
      <c r="E207">
        <v>317.08999999999997</v>
      </c>
      <c r="F207">
        <v>1106411.7860000001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0.71522453450164025</v>
      </c>
      <c r="Q207">
        <f t="shared" si="960"/>
        <v>791332.85460897849</v>
      </c>
      <c r="R207">
        <f t="shared" si="961"/>
        <v>525412845.02902156</v>
      </c>
      <c r="S207">
        <f t="shared" si="962"/>
        <v>5254.1284502902154</v>
      </c>
      <c r="T207">
        <f t="shared" si="963"/>
        <v>5.2541284502902155</v>
      </c>
    </row>
    <row r="208" spans="1:20" x14ac:dyDescent="0.25">
      <c r="A208" s="5">
        <v>44385</v>
      </c>
      <c r="B208">
        <v>327.51</v>
      </c>
      <c r="C208">
        <v>328.21</v>
      </c>
      <c r="D208">
        <v>304.39999999999998</v>
      </c>
      <c r="E208">
        <v>310.14</v>
      </c>
      <c r="F208">
        <v>1644090.8500999999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-0.51784964300713909</v>
      </c>
      <c r="Q208">
        <f t="shared" si="960"/>
        <v>-851391.85979558877</v>
      </c>
      <c r="R208">
        <f t="shared" si="961"/>
        <v>524621512.17441261</v>
      </c>
      <c r="S208">
        <f t="shared" si="962"/>
        <v>5246.215121744126</v>
      </c>
      <c r="T208">
        <f t="shared" si="963"/>
        <v>5.2462151217441262</v>
      </c>
    </row>
    <row r="209" spans="1:20" x14ac:dyDescent="0.25">
      <c r="A209" s="5">
        <v>44384</v>
      </c>
      <c r="B209">
        <v>319.91000000000003</v>
      </c>
      <c r="C209">
        <v>340</v>
      </c>
      <c r="D209">
        <v>318.23</v>
      </c>
      <c r="E209">
        <v>327.51</v>
      </c>
      <c r="F209">
        <v>1779058.2937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-0.14745062011943219</v>
      </c>
      <c r="Q209">
        <f t="shared" si="960"/>
        <v>-262323.24863468396</v>
      </c>
      <c r="R209">
        <f t="shared" si="961"/>
        <v>525472904.03420818</v>
      </c>
      <c r="S209">
        <f t="shared" si="962"/>
        <v>5254.729040342082</v>
      </c>
      <c r="T209">
        <f t="shared" si="963"/>
        <v>5.2547290403420819</v>
      </c>
    </row>
    <row r="210" spans="1:20" x14ac:dyDescent="0.25">
      <c r="A210" s="5">
        <v>44383</v>
      </c>
      <c r="B210">
        <v>302.04000000000002</v>
      </c>
      <c r="C210">
        <v>322.5</v>
      </c>
      <c r="D210">
        <v>301.8</v>
      </c>
      <c r="E210">
        <v>319.92</v>
      </c>
      <c r="F210">
        <v>2066912.3595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0.75072463768116082</v>
      </c>
      <c r="Q210">
        <f t="shared" si="960"/>
        <v>1551682.0322043507</v>
      </c>
      <c r="R210">
        <f t="shared" si="961"/>
        <v>525735227.28284287</v>
      </c>
      <c r="S210">
        <f t="shared" si="962"/>
        <v>5257.3522728284288</v>
      </c>
      <c r="T210">
        <f t="shared" si="963"/>
        <v>5.2573522728284292</v>
      </c>
    </row>
    <row r="211" spans="1:20" x14ac:dyDescent="0.25">
      <c r="A211" s="5">
        <v>44382</v>
      </c>
      <c r="B211">
        <v>307.63</v>
      </c>
      <c r="C211">
        <v>307.68</v>
      </c>
      <c r="D211">
        <v>291</v>
      </c>
      <c r="E211">
        <v>302.02</v>
      </c>
      <c r="F211">
        <v>1403218.2408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0.3213429256594697</v>
      </c>
      <c r="Q211">
        <f t="shared" si="960"/>
        <v>450914.25483740628</v>
      </c>
      <c r="R211">
        <f t="shared" si="961"/>
        <v>524183545.25063854</v>
      </c>
      <c r="S211">
        <f t="shared" si="962"/>
        <v>5241.8354525063851</v>
      </c>
      <c r="T211">
        <f t="shared" si="963"/>
        <v>5.2418354525063853</v>
      </c>
    </row>
    <row r="212" spans="1:20" x14ac:dyDescent="0.25">
      <c r="A212" s="5">
        <v>44381</v>
      </c>
      <c r="B212">
        <v>298.18</v>
      </c>
      <c r="C212">
        <v>314.91000000000003</v>
      </c>
      <c r="D212">
        <v>292.58</v>
      </c>
      <c r="E212">
        <v>307.62</v>
      </c>
      <c r="F212">
        <v>1309414.0255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0.34706672637707059</v>
      </c>
      <c r="Q212">
        <f t="shared" si="960"/>
        <v>454454.03930250701</v>
      </c>
      <c r="R212">
        <f t="shared" si="961"/>
        <v>523732630.99580115</v>
      </c>
      <c r="S212">
        <f t="shared" si="962"/>
        <v>5237.3263099580117</v>
      </c>
      <c r="T212">
        <f t="shared" si="963"/>
        <v>5.2373263099580116</v>
      </c>
    </row>
    <row r="213" spans="1:20" x14ac:dyDescent="0.25">
      <c r="A213" s="5">
        <v>44380</v>
      </c>
      <c r="B213">
        <v>287.17</v>
      </c>
      <c r="C213">
        <v>303.20999999999998</v>
      </c>
      <c r="D213">
        <v>282.77</v>
      </c>
      <c r="E213">
        <v>298.13</v>
      </c>
      <c r="F213">
        <v>1016731.5662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0.50293542074364139</v>
      </c>
      <c r="Q213">
        <f t="shared" si="960"/>
        <v>511350.3180301385</v>
      </c>
      <c r="R213">
        <f t="shared" si="961"/>
        <v>523278176.95649862</v>
      </c>
      <c r="S213">
        <f t="shared" si="962"/>
        <v>5232.7817695649865</v>
      </c>
      <c r="T213">
        <f t="shared" si="963"/>
        <v>5.2327817695649861</v>
      </c>
    </row>
    <row r="214" spans="1:20" x14ac:dyDescent="0.25">
      <c r="A214" s="5">
        <v>44379</v>
      </c>
      <c r="B214">
        <v>287.49</v>
      </c>
      <c r="C214">
        <v>290.74</v>
      </c>
      <c r="D214">
        <v>276.39999999999998</v>
      </c>
      <c r="E214">
        <v>287.17</v>
      </c>
      <c r="F214">
        <v>1003331.2269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0.50209205020920711</v>
      </c>
      <c r="Q214">
        <f t="shared" si="960"/>
        <v>503764.63275314018</v>
      </c>
      <c r="R214">
        <f t="shared" si="961"/>
        <v>522766826.6384685</v>
      </c>
      <c r="S214">
        <f t="shared" si="962"/>
        <v>5227.668266384685</v>
      </c>
      <c r="T214">
        <f t="shared" si="963"/>
        <v>5.2276682663846854</v>
      </c>
    </row>
    <row r="215" spans="1:20" x14ac:dyDescent="0.25">
      <c r="A215" s="5">
        <v>44378</v>
      </c>
      <c r="B215">
        <v>303.75</v>
      </c>
      <c r="C215">
        <v>304</v>
      </c>
      <c r="D215">
        <v>281</v>
      </c>
      <c r="E215">
        <v>287.43</v>
      </c>
      <c r="F215">
        <v>1388151.0264999999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-0.44086956521739074</v>
      </c>
      <c r="Q215">
        <f t="shared" si="960"/>
        <v>-611993.53950912959</v>
      </c>
      <c r="R215">
        <f t="shared" si="961"/>
        <v>522263062.00571537</v>
      </c>
      <c r="S215">
        <f t="shared" si="962"/>
        <v>5222.6306200571535</v>
      </c>
      <c r="T215">
        <f t="shared" si="963"/>
        <v>5.2226306200571537</v>
      </c>
    </row>
    <row r="216" spans="1:20" x14ac:dyDescent="0.25">
      <c r="A216" s="5">
        <v>44377</v>
      </c>
      <c r="B216">
        <v>300.79000000000002</v>
      </c>
      <c r="C216">
        <v>304.88</v>
      </c>
      <c r="D216">
        <v>281.52999999999997</v>
      </c>
      <c r="E216">
        <v>303.70999999999998</v>
      </c>
      <c r="F216">
        <v>2061866.47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0.89978586723768605</v>
      </c>
      <c r="Q216">
        <f t="shared" si="960"/>
        <v>1855238.3098372563</v>
      </c>
      <c r="R216">
        <f t="shared" si="961"/>
        <v>522875055.54522449</v>
      </c>
      <c r="S216">
        <f t="shared" si="962"/>
        <v>5228.750555452245</v>
      </c>
      <c r="T216">
        <f t="shared" si="963"/>
        <v>5.2287505554522449</v>
      </c>
    </row>
    <row r="217" spans="1:20" x14ac:dyDescent="0.25">
      <c r="A217" s="5">
        <v>44376</v>
      </c>
      <c r="B217">
        <v>290</v>
      </c>
      <c r="C217">
        <v>315.60000000000002</v>
      </c>
      <c r="D217">
        <v>289.19</v>
      </c>
      <c r="E217">
        <v>300.79000000000002</v>
      </c>
      <c r="F217">
        <v>2126079.3415999999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-0.12154486936766287</v>
      </c>
      <c r="Q217">
        <f t="shared" si="960"/>
        <v>-258414.03584005867</v>
      </c>
      <c r="R217">
        <f t="shared" si="961"/>
        <v>521019817.23538721</v>
      </c>
      <c r="S217">
        <f t="shared" si="962"/>
        <v>5210.198172353872</v>
      </c>
      <c r="T217">
        <f t="shared" si="963"/>
        <v>5.2101981723538717</v>
      </c>
    </row>
    <row r="218" spans="1:20" x14ac:dyDescent="0.25">
      <c r="A218" s="5">
        <v>44375</v>
      </c>
      <c r="B218">
        <v>290.89</v>
      </c>
      <c r="C218">
        <v>299.95999999999998</v>
      </c>
      <c r="D218">
        <v>283.55</v>
      </c>
      <c r="E218">
        <v>290</v>
      </c>
      <c r="F218">
        <v>1884580.1557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-0.21389396709323569</v>
      </c>
      <c r="Q218">
        <f t="shared" si="960"/>
        <v>-403100.32580786076</v>
      </c>
      <c r="R218">
        <f t="shared" si="961"/>
        <v>521278231.27122724</v>
      </c>
      <c r="S218">
        <f t="shared" si="962"/>
        <v>5212.782312712272</v>
      </c>
      <c r="T218">
        <f t="shared" si="963"/>
        <v>5.2127823127122719</v>
      </c>
    </row>
    <row r="219" spans="1:20" x14ac:dyDescent="0.25">
      <c r="A219" s="5">
        <v>44374</v>
      </c>
      <c r="B219">
        <v>279.58</v>
      </c>
      <c r="C219">
        <v>291.7</v>
      </c>
      <c r="D219">
        <v>269.72000000000003</v>
      </c>
      <c r="E219">
        <v>290.87</v>
      </c>
      <c r="F219">
        <v>1539903.0268000001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0.92447679708826336</v>
      </c>
      <c r="Q219">
        <f t="shared" si="960"/>
        <v>1423604.6180425864</v>
      </c>
      <c r="R219">
        <f t="shared" si="961"/>
        <v>521681331.59703511</v>
      </c>
      <c r="S219">
        <f t="shared" si="962"/>
        <v>5216.8133159703511</v>
      </c>
      <c r="T219">
        <f t="shared" si="963"/>
        <v>5.2168133159703514</v>
      </c>
    </row>
    <row r="220" spans="1:20" x14ac:dyDescent="0.25">
      <c r="A220" s="5">
        <v>44373</v>
      </c>
      <c r="B220">
        <v>280.89</v>
      </c>
      <c r="C220">
        <v>290.33</v>
      </c>
      <c r="D220">
        <v>264.26</v>
      </c>
      <c r="E220">
        <v>279.64999999999998</v>
      </c>
      <c r="F220">
        <v>2263064.3632999999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0.18066743383199005</v>
      </c>
      <c r="Q220">
        <f t="shared" si="960"/>
        <v>408862.03111403744</v>
      </c>
      <c r="R220">
        <f t="shared" si="961"/>
        <v>520257726.97899252</v>
      </c>
      <c r="S220">
        <f t="shared" si="962"/>
        <v>5202.5772697899256</v>
      </c>
      <c r="T220">
        <f t="shared" si="963"/>
        <v>5.2025772697899253</v>
      </c>
    </row>
    <row r="221" spans="1:20" x14ac:dyDescent="0.25">
      <c r="A221" s="5">
        <v>44372</v>
      </c>
      <c r="B221">
        <v>308.60000000000002</v>
      </c>
      <c r="C221">
        <v>314.83999999999997</v>
      </c>
      <c r="D221">
        <v>275.24</v>
      </c>
      <c r="E221">
        <v>280.81</v>
      </c>
      <c r="F221">
        <v>2711888.8709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-0.71868686868686882</v>
      </c>
      <c r="Q221">
        <f t="shared" si="960"/>
        <v>-1948998.9208538893</v>
      </c>
      <c r="R221">
        <f t="shared" si="961"/>
        <v>519848864.94787848</v>
      </c>
      <c r="S221">
        <f t="shared" si="962"/>
        <v>5198.4886494787852</v>
      </c>
      <c r="T221">
        <f t="shared" si="963"/>
        <v>5.1984886494787848</v>
      </c>
    </row>
    <row r="222" spans="1:20" x14ac:dyDescent="0.25">
      <c r="A222" s="5">
        <v>44371</v>
      </c>
      <c r="B222">
        <v>296.17</v>
      </c>
      <c r="C222">
        <v>316.49</v>
      </c>
      <c r="D222">
        <v>281.5</v>
      </c>
      <c r="E222">
        <v>308.62</v>
      </c>
      <c r="F222">
        <v>2635799.196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0.55015718776793354</v>
      </c>
      <c r="Q222">
        <f t="shared" si="960"/>
        <v>1450103.8731923404</v>
      </c>
      <c r="R222">
        <f t="shared" si="961"/>
        <v>521797863.86873239</v>
      </c>
      <c r="S222">
        <f t="shared" si="962"/>
        <v>5217.9786386873238</v>
      </c>
      <c r="T222">
        <f t="shared" si="963"/>
        <v>5.2179786386873239</v>
      </c>
    </row>
    <row r="223" spans="1:20" x14ac:dyDescent="0.25">
      <c r="A223" s="5">
        <v>44370</v>
      </c>
      <c r="B223">
        <v>262.10000000000002</v>
      </c>
      <c r="C223">
        <v>309.75</v>
      </c>
      <c r="D223">
        <v>251.41</v>
      </c>
      <c r="E223">
        <v>296.25</v>
      </c>
      <c r="F223">
        <v>3319089.7769999998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0.53719574905725065</v>
      </c>
      <c r="Q223">
        <f t="shared" si="960"/>
        <v>1783000.9189437779</v>
      </c>
      <c r="R223">
        <f t="shared" si="961"/>
        <v>520347759.99554002</v>
      </c>
      <c r="S223">
        <f t="shared" si="962"/>
        <v>5203.4775999554004</v>
      </c>
      <c r="T223">
        <f t="shared" si="963"/>
        <v>5.2034775999554004</v>
      </c>
    </row>
    <row r="224" spans="1:20" x14ac:dyDescent="0.25">
      <c r="A224" s="5">
        <v>44369</v>
      </c>
      <c r="B224">
        <v>270.76</v>
      </c>
      <c r="C224">
        <v>291.5</v>
      </c>
      <c r="D224">
        <v>225.42</v>
      </c>
      <c r="E224">
        <v>262.10000000000002</v>
      </c>
      <c r="F224">
        <v>5570573.4851000002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0.11016949152542459</v>
      </c>
      <c r="Q224">
        <f t="shared" si="960"/>
        <v>613707.24835847935</v>
      </c>
      <c r="R224">
        <f t="shared" si="961"/>
        <v>518564759.07659626</v>
      </c>
      <c r="S224">
        <f t="shared" si="962"/>
        <v>5185.6475907659624</v>
      </c>
      <c r="T224">
        <f t="shared" si="963"/>
        <v>5.1856475907659627</v>
      </c>
    </row>
    <row r="225" spans="1:20" x14ac:dyDescent="0.25">
      <c r="A225" s="5">
        <v>44368</v>
      </c>
      <c r="B225">
        <v>339.09</v>
      </c>
      <c r="C225">
        <v>342</v>
      </c>
      <c r="D225">
        <v>268.57</v>
      </c>
      <c r="E225">
        <v>270.76</v>
      </c>
      <c r="F225">
        <v>3729539.0167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-0.94035135503200329</v>
      </c>
      <c r="Q225">
        <f t="shared" si="960"/>
        <v>-3507077.0679985704</v>
      </c>
      <c r="R225">
        <f t="shared" si="961"/>
        <v>517951051.82823777</v>
      </c>
      <c r="S225">
        <f t="shared" si="962"/>
        <v>5179.5105182823781</v>
      </c>
      <c r="T225">
        <f t="shared" si="963"/>
        <v>5.1795105182823784</v>
      </c>
    </row>
    <row r="226" spans="1:20" x14ac:dyDescent="0.25">
      <c r="A226" s="5">
        <v>44367</v>
      </c>
      <c r="B226">
        <v>334.03</v>
      </c>
      <c r="C226">
        <v>340.57</v>
      </c>
      <c r="D226">
        <v>310.13</v>
      </c>
      <c r="E226">
        <v>339.08</v>
      </c>
      <c r="F226">
        <v>1618406.0051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0.90210249671484832</v>
      </c>
      <c r="Q226">
        <f t="shared" si="960"/>
        <v>1459968.0978990134</v>
      </c>
      <c r="R226">
        <f t="shared" si="961"/>
        <v>521458128.89623636</v>
      </c>
      <c r="S226">
        <f t="shared" si="962"/>
        <v>5214.5812889623639</v>
      </c>
      <c r="T226">
        <f t="shared" si="963"/>
        <v>5.2145812889623642</v>
      </c>
    </row>
    <row r="227" spans="1:20" x14ac:dyDescent="0.25">
      <c r="A227" s="5">
        <v>44366</v>
      </c>
      <c r="B227">
        <v>337.21</v>
      </c>
      <c r="C227">
        <v>345</v>
      </c>
      <c r="D227">
        <v>331.11</v>
      </c>
      <c r="E227">
        <v>334.01</v>
      </c>
      <c r="F227">
        <v>1067456.2119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-0.5824334053275767</v>
      </c>
      <c r="Q227">
        <f t="shared" si="960"/>
        <v>-621722.15653499227</v>
      </c>
      <c r="R227">
        <f t="shared" si="961"/>
        <v>519998160.79833734</v>
      </c>
      <c r="S227">
        <f t="shared" si="962"/>
        <v>5199.9816079833736</v>
      </c>
      <c r="T227">
        <f t="shared" si="963"/>
        <v>5.1999816079833732</v>
      </c>
    </row>
    <row r="228" spans="1:20" x14ac:dyDescent="0.25">
      <c r="A228" s="5">
        <v>44365</v>
      </c>
      <c r="B228">
        <v>352.84</v>
      </c>
      <c r="C228">
        <v>357.12</v>
      </c>
      <c r="D228">
        <v>327.22000000000003</v>
      </c>
      <c r="E228">
        <v>337.16</v>
      </c>
      <c r="F228">
        <v>1583897.2790999999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-0.33511705685618692</v>
      </c>
      <c r="Q228">
        <f t="shared" si="960"/>
        <v>-530790.9945345145</v>
      </c>
      <c r="R228">
        <f t="shared" si="961"/>
        <v>520619882.95487231</v>
      </c>
      <c r="S228">
        <f t="shared" si="962"/>
        <v>5206.1988295487236</v>
      </c>
      <c r="T228">
        <f t="shared" si="963"/>
        <v>5.2061988295487236</v>
      </c>
    </row>
    <row r="229" spans="1:20" x14ac:dyDescent="0.25">
      <c r="A229" s="5">
        <v>44364</v>
      </c>
      <c r="B229">
        <v>347.22</v>
      </c>
      <c r="C229">
        <v>362.47</v>
      </c>
      <c r="D229">
        <v>345.85</v>
      </c>
      <c r="E229">
        <v>352.85</v>
      </c>
      <c r="F229">
        <v>1239146.5273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-0.15764139590854415</v>
      </c>
      <c r="Q229">
        <f t="shared" si="960"/>
        <v>-195340.78829879689</v>
      </c>
      <c r="R229">
        <f t="shared" si="961"/>
        <v>521150673.9494068</v>
      </c>
      <c r="S229">
        <f t="shared" si="962"/>
        <v>5211.5067394940679</v>
      </c>
      <c r="T229">
        <f t="shared" si="963"/>
        <v>5.2115067394940677</v>
      </c>
    </row>
    <row r="230" spans="1:20" x14ac:dyDescent="0.25">
      <c r="A230" s="5">
        <v>44363</v>
      </c>
      <c r="B230">
        <v>366.48</v>
      </c>
      <c r="C230">
        <v>366.77</v>
      </c>
      <c r="D230">
        <v>343.35</v>
      </c>
      <c r="E230">
        <v>347.22</v>
      </c>
      <c r="F230">
        <v>1531522.2061999999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-0.66951323654995631</v>
      </c>
      <c r="Q230">
        <f t="shared" si="960"/>
        <v>-1025374.3891210915</v>
      </c>
      <c r="R230">
        <f t="shared" si="961"/>
        <v>521346014.73770559</v>
      </c>
      <c r="S230">
        <f t="shared" si="962"/>
        <v>5213.4601473770563</v>
      </c>
      <c r="T230">
        <f t="shared" si="963"/>
        <v>5.2134601473770559</v>
      </c>
    </row>
    <row r="231" spans="1:20" x14ac:dyDescent="0.25">
      <c r="A231" s="5">
        <v>44362</v>
      </c>
      <c r="B231">
        <v>370.2</v>
      </c>
      <c r="C231">
        <v>379.58</v>
      </c>
      <c r="D231">
        <v>363.23</v>
      </c>
      <c r="E231">
        <v>366.48</v>
      </c>
      <c r="F231">
        <v>1545190.4369000001</v>
      </c>
      <c r="G231">
        <v>0</v>
      </c>
      <c r="L231" t="s">
        <v>8</v>
      </c>
      <c r="M231" t="s">
        <v>7</v>
      </c>
      <c r="N231" t="s">
        <v>8</v>
      </c>
      <c r="P231">
        <f t="shared" si="959"/>
        <v>-0.60244648318042726</v>
      </c>
      <c r="Q231">
        <f t="shared" si="960"/>
        <v>-930894.54455443297</v>
      </c>
      <c r="R231">
        <f t="shared" si="961"/>
        <v>522371389.1268267</v>
      </c>
      <c r="S231">
        <f t="shared" si="962"/>
        <v>5223.7138912682667</v>
      </c>
      <c r="T231">
        <f t="shared" si="963"/>
        <v>5.2237138912682664</v>
      </c>
    </row>
    <row r="232" spans="1:20" x14ac:dyDescent="0.25">
      <c r="A232" s="5">
        <v>44361</v>
      </c>
      <c r="B232">
        <v>365.81</v>
      </c>
      <c r="C232">
        <v>377.33</v>
      </c>
      <c r="D232">
        <v>355.07</v>
      </c>
      <c r="E232">
        <v>370.19</v>
      </c>
      <c r="F232">
        <v>1978613.2383999999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0.35849056603773682</v>
      </c>
      <c r="Q232">
        <f t="shared" si="960"/>
        <v>709314.17980377551</v>
      </c>
      <c r="R232">
        <f t="shared" si="961"/>
        <v>523302283.67138112</v>
      </c>
      <c r="S232">
        <f t="shared" si="962"/>
        <v>5233.0228367138116</v>
      </c>
      <c r="T232">
        <f t="shared" si="963"/>
        <v>5.2330228367138112</v>
      </c>
    </row>
    <row r="233" spans="1:20" x14ac:dyDescent="0.25">
      <c r="A233" s="5">
        <v>44360</v>
      </c>
      <c r="B233">
        <v>343.68</v>
      </c>
      <c r="C233">
        <v>369</v>
      </c>
      <c r="D233">
        <v>330.48</v>
      </c>
      <c r="E233">
        <v>365.8</v>
      </c>
      <c r="F233">
        <v>1958071.3655999999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0.83385254413291843</v>
      </c>
      <c r="Q233">
        <f t="shared" si="960"/>
        <v>1632742.7897993778</v>
      </c>
      <c r="R233">
        <f t="shared" si="961"/>
        <v>522592969.49157733</v>
      </c>
      <c r="S233">
        <f t="shared" si="962"/>
        <v>5225.9296949157733</v>
      </c>
      <c r="T233">
        <f t="shared" si="963"/>
        <v>5.2259296949157736</v>
      </c>
    </row>
    <row r="234" spans="1:20" x14ac:dyDescent="0.25">
      <c r="A234" s="5">
        <v>44359</v>
      </c>
      <c r="B234">
        <v>345.76</v>
      </c>
      <c r="C234">
        <v>348.88</v>
      </c>
      <c r="D234">
        <v>325.3</v>
      </c>
      <c r="E234">
        <v>343.7</v>
      </c>
      <c r="F234">
        <v>2074837.0012000001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0.56064461407972765</v>
      </c>
      <c r="Q234">
        <f t="shared" si="960"/>
        <v>1163246.1898161136</v>
      </c>
      <c r="R234">
        <f t="shared" si="961"/>
        <v>520960226.70177794</v>
      </c>
      <c r="S234">
        <f t="shared" si="962"/>
        <v>5209.602267017779</v>
      </c>
      <c r="T234">
        <f t="shared" si="963"/>
        <v>5.2096022670177788</v>
      </c>
    </row>
    <row r="235" spans="1:20" x14ac:dyDescent="0.25">
      <c r="A235" s="5">
        <v>44358</v>
      </c>
      <c r="B235">
        <v>351.96</v>
      </c>
      <c r="C235">
        <v>366.28</v>
      </c>
      <c r="D235">
        <v>340.84</v>
      </c>
      <c r="E235">
        <v>345.75</v>
      </c>
      <c r="F235">
        <v>2215352.7230000002</v>
      </c>
      <c r="G235">
        <v>0</v>
      </c>
      <c r="L235" t="s">
        <v>8</v>
      </c>
      <c r="M235" t="s">
        <v>7</v>
      </c>
      <c r="N235" t="s">
        <v>8</v>
      </c>
      <c r="P235">
        <f t="shared" si="959"/>
        <v>-0.61399371069182185</v>
      </c>
      <c r="Q235">
        <f t="shared" si="960"/>
        <v>-1360212.6388860019</v>
      </c>
      <c r="R235">
        <f t="shared" si="961"/>
        <v>519796980.51196182</v>
      </c>
      <c r="S235">
        <f t="shared" si="962"/>
        <v>5197.9698051196183</v>
      </c>
      <c r="T235">
        <f t="shared" si="963"/>
        <v>5.1979698051196186</v>
      </c>
    </row>
    <row r="236" spans="1:20" x14ac:dyDescent="0.25">
      <c r="A236" s="5">
        <v>44357</v>
      </c>
      <c r="B236">
        <v>375.56</v>
      </c>
      <c r="C236">
        <v>377.55</v>
      </c>
      <c r="D236">
        <v>344.13</v>
      </c>
      <c r="E236">
        <v>351.94</v>
      </c>
      <c r="F236">
        <v>2417974.6499000001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-0.53261520047875532</v>
      </c>
      <c r="Q236">
        <f t="shared" si="960"/>
        <v>-1287850.0529090369</v>
      </c>
      <c r="R236">
        <f t="shared" si="961"/>
        <v>521157193.15084779</v>
      </c>
      <c r="S236">
        <f t="shared" si="962"/>
        <v>5211.571931508478</v>
      </c>
      <c r="T236">
        <f t="shared" si="963"/>
        <v>5.2115719315084776</v>
      </c>
    </row>
    <row r="237" spans="1:20" x14ac:dyDescent="0.25">
      <c r="A237" s="5">
        <v>44356</v>
      </c>
      <c r="B237">
        <v>352.5</v>
      </c>
      <c r="C237">
        <v>378.77</v>
      </c>
      <c r="D237">
        <v>333.56</v>
      </c>
      <c r="E237">
        <v>375.54</v>
      </c>
      <c r="F237">
        <v>3494285.6690000002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0.85711125857111425</v>
      </c>
      <c r="Q237">
        <f t="shared" si="960"/>
        <v>2994991.5875635981</v>
      </c>
      <c r="R237">
        <f t="shared" si="961"/>
        <v>522445043.20375681</v>
      </c>
      <c r="S237">
        <f t="shared" si="962"/>
        <v>5224.4504320375681</v>
      </c>
      <c r="T237">
        <f t="shared" si="963"/>
        <v>5.2244504320375684</v>
      </c>
    </row>
    <row r="238" spans="1:20" x14ac:dyDescent="0.25">
      <c r="A238" s="5">
        <v>44355</v>
      </c>
      <c r="B238">
        <v>357.94</v>
      </c>
      <c r="C238">
        <v>366.33</v>
      </c>
      <c r="D238">
        <v>319.18</v>
      </c>
      <c r="E238">
        <v>352.5</v>
      </c>
      <c r="F238">
        <v>4986849.8512000004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0.41336161187698872</v>
      </c>
      <c r="Q238">
        <f t="shared" si="960"/>
        <v>2061372.2926805536</v>
      </c>
      <c r="R238">
        <f t="shared" si="961"/>
        <v>519450051.61619323</v>
      </c>
      <c r="S238">
        <f t="shared" si="962"/>
        <v>5194.500516161932</v>
      </c>
      <c r="T238">
        <f t="shared" si="963"/>
        <v>5.1945005161619315</v>
      </c>
    </row>
    <row r="239" spans="1:20" x14ac:dyDescent="0.25">
      <c r="A239" s="5">
        <v>44354</v>
      </c>
      <c r="B239">
        <v>393.82</v>
      </c>
      <c r="C239">
        <v>407.42</v>
      </c>
      <c r="D239">
        <v>353.53</v>
      </c>
      <c r="E239">
        <v>357.96</v>
      </c>
      <c r="F239">
        <v>3028938.8445000001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-0.83559101874188146</v>
      </c>
      <c r="Q239">
        <f t="shared" si="960"/>
        <v>-2530954.0947826123</v>
      </c>
      <c r="R239">
        <f t="shared" si="961"/>
        <v>517388679.32351267</v>
      </c>
      <c r="S239">
        <f t="shared" si="962"/>
        <v>5173.8867932351268</v>
      </c>
      <c r="T239">
        <f t="shared" si="963"/>
        <v>5.1738867932351269</v>
      </c>
    </row>
    <row r="240" spans="1:20" x14ac:dyDescent="0.25">
      <c r="A240" s="5">
        <v>44353</v>
      </c>
      <c r="B240">
        <v>390.05</v>
      </c>
      <c r="C240">
        <v>400.29</v>
      </c>
      <c r="D240">
        <v>381.5</v>
      </c>
      <c r="E240">
        <v>393.73</v>
      </c>
      <c r="F240">
        <v>1862065.4317999999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0.3017562533262379</v>
      </c>
      <c r="Q240">
        <f t="shared" si="960"/>
        <v>561889.88814827136</v>
      </c>
      <c r="R240">
        <f t="shared" si="961"/>
        <v>519919633.41829526</v>
      </c>
      <c r="S240">
        <f t="shared" si="962"/>
        <v>5199.1963341829523</v>
      </c>
      <c r="T240">
        <f t="shared" si="963"/>
        <v>5.1991963341829521</v>
      </c>
    </row>
    <row r="241" spans="1:20" x14ac:dyDescent="0.25">
      <c r="A241" s="5">
        <v>44352</v>
      </c>
      <c r="B241">
        <v>390.68</v>
      </c>
      <c r="C241">
        <v>426</v>
      </c>
      <c r="D241">
        <v>373.8</v>
      </c>
      <c r="E241">
        <v>390.08</v>
      </c>
      <c r="F241">
        <v>3977579.3470000001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-0.37624521072797024</v>
      </c>
      <c r="Q241">
        <f t="shared" si="960"/>
        <v>-1496545.1795992372</v>
      </c>
      <c r="R241">
        <f t="shared" si="961"/>
        <v>519357743.53014702</v>
      </c>
      <c r="S241">
        <f t="shared" si="962"/>
        <v>5193.5774353014704</v>
      </c>
      <c r="T241">
        <f t="shared" si="963"/>
        <v>5.1935774353014708</v>
      </c>
    </row>
    <row r="242" spans="1:20" x14ac:dyDescent="0.25">
      <c r="A242" s="5">
        <v>44351</v>
      </c>
      <c r="B242">
        <v>428.46</v>
      </c>
      <c r="C242">
        <v>429.5</v>
      </c>
      <c r="D242">
        <v>365</v>
      </c>
      <c r="E242">
        <v>390.7</v>
      </c>
      <c r="F242">
        <v>4926793.4499000004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-0.20310077519379879</v>
      </c>
      <c r="Q242">
        <f t="shared" si="960"/>
        <v>-1000635.5688944204</v>
      </c>
      <c r="R242">
        <f t="shared" si="961"/>
        <v>520854288.70974624</v>
      </c>
      <c r="S242">
        <f t="shared" si="962"/>
        <v>5208.542887097462</v>
      </c>
      <c r="T242">
        <f t="shared" si="963"/>
        <v>5.2085428870974617</v>
      </c>
    </row>
    <row r="243" spans="1:20" x14ac:dyDescent="0.25">
      <c r="A243" s="5">
        <v>44350</v>
      </c>
      <c r="B243">
        <v>401.52</v>
      </c>
      <c r="C243">
        <v>433</v>
      </c>
      <c r="D243">
        <v>391.32</v>
      </c>
      <c r="E243">
        <v>428.48</v>
      </c>
      <c r="F243">
        <v>4214469.415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0.78310940499040393</v>
      </c>
      <c r="Q243">
        <f t="shared" si="960"/>
        <v>3300390.6359309056</v>
      </c>
      <c r="R243">
        <f t="shared" si="961"/>
        <v>521854924.27864069</v>
      </c>
      <c r="S243">
        <f t="shared" si="962"/>
        <v>5218.5492427864065</v>
      </c>
      <c r="T243">
        <f t="shared" si="963"/>
        <v>5.2185492427864064</v>
      </c>
    </row>
    <row r="244" spans="1:20" x14ac:dyDescent="0.25">
      <c r="A244" s="5">
        <v>44349</v>
      </c>
      <c r="B244">
        <v>362.36</v>
      </c>
      <c r="C244">
        <v>419.43</v>
      </c>
      <c r="D244">
        <v>350.43</v>
      </c>
      <c r="E244">
        <v>401.54</v>
      </c>
      <c r="F244">
        <v>4377024.6684999997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0.48144927536231924</v>
      </c>
      <c r="Q244">
        <f t="shared" si="960"/>
        <v>2107315.3548923205</v>
      </c>
      <c r="R244">
        <f t="shared" si="961"/>
        <v>518554533.64270979</v>
      </c>
      <c r="S244">
        <f t="shared" si="962"/>
        <v>5185.5453364270979</v>
      </c>
      <c r="T244">
        <f t="shared" si="963"/>
        <v>5.185545336427098</v>
      </c>
    </row>
    <row r="245" spans="1:20" x14ac:dyDescent="0.25">
      <c r="A245" s="5">
        <v>44348</v>
      </c>
      <c r="B245">
        <v>353.37</v>
      </c>
      <c r="C245">
        <v>364.4</v>
      </c>
      <c r="D245">
        <v>339.48</v>
      </c>
      <c r="E245">
        <v>362.39</v>
      </c>
      <c r="F245">
        <v>3652280.6916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0.83868378812199085</v>
      </c>
      <c r="Q245">
        <f t="shared" si="960"/>
        <v>3063108.6057158927</v>
      </c>
      <c r="R245">
        <f t="shared" si="961"/>
        <v>516447218.28781748</v>
      </c>
      <c r="S245">
        <f t="shared" si="962"/>
        <v>5164.4721828781749</v>
      </c>
      <c r="T245">
        <f t="shared" si="963"/>
        <v>5.1644721828781748</v>
      </c>
    </row>
    <row r="246" spans="1:20" x14ac:dyDescent="0.25">
      <c r="A246" s="5">
        <v>44347</v>
      </c>
      <c r="B246">
        <v>325.55</v>
      </c>
      <c r="C246">
        <v>356</v>
      </c>
      <c r="D246">
        <v>307.55</v>
      </c>
      <c r="E246">
        <v>353.33</v>
      </c>
      <c r="F246">
        <v>4110136.8744000001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0.88978328173374543</v>
      </c>
      <c r="Q246">
        <f t="shared" si="960"/>
        <v>3657131.0764785111</v>
      </c>
      <c r="R246">
        <f t="shared" si="961"/>
        <v>513384109.68210161</v>
      </c>
      <c r="S246">
        <f t="shared" si="962"/>
        <v>5133.8410968210164</v>
      </c>
      <c r="T246">
        <f t="shared" si="963"/>
        <v>5.1338410968210164</v>
      </c>
    </row>
    <row r="247" spans="1:20" x14ac:dyDescent="0.25">
      <c r="A247" s="5">
        <v>44346</v>
      </c>
      <c r="B247">
        <v>305.18</v>
      </c>
      <c r="C247">
        <v>338.32</v>
      </c>
      <c r="D247">
        <v>291.06</v>
      </c>
      <c r="E247">
        <v>325.57</v>
      </c>
      <c r="F247">
        <v>3739673.1137999999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0.46043165467625891</v>
      </c>
      <c r="Q247">
        <f t="shared" si="960"/>
        <v>1721863.8797352514</v>
      </c>
      <c r="R247">
        <f t="shared" si="961"/>
        <v>509726978.60562313</v>
      </c>
      <c r="S247">
        <f t="shared" si="962"/>
        <v>5097.2697860562312</v>
      </c>
      <c r="T247">
        <f t="shared" si="963"/>
        <v>5.0972697860562315</v>
      </c>
    </row>
    <row r="248" spans="1:20" x14ac:dyDescent="0.25">
      <c r="A248" s="5">
        <v>44345</v>
      </c>
      <c r="B248">
        <v>328.86</v>
      </c>
      <c r="C248">
        <v>347</v>
      </c>
      <c r="D248">
        <v>295.22000000000003</v>
      </c>
      <c r="E248">
        <v>305.04000000000002</v>
      </c>
      <c r="F248">
        <v>3764083.2922999999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-0.62070297412128239</v>
      </c>
      <c r="Q248">
        <f t="shared" si="960"/>
        <v>-2336377.6943708383</v>
      </c>
      <c r="R248">
        <f t="shared" si="961"/>
        <v>508005114.72588789</v>
      </c>
      <c r="S248">
        <f t="shared" si="962"/>
        <v>5080.0511472588787</v>
      </c>
      <c r="T248">
        <f t="shared" si="963"/>
        <v>5.080051147258879</v>
      </c>
    </row>
    <row r="249" spans="1:20" x14ac:dyDescent="0.25">
      <c r="A249" s="5">
        <v>44344</v>
      </c>
      <c r="B249">
        <v>369.83</v>
      </c>
      <c r="C249">
        <v>373.68</v>
      </c>
      <c r="D249">
        <v>312.3</v>
      </c>
      <c r="E249">
        <v>328.82</v>
      </c>
      <c r="F249">
        <v>5253443.3618999999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-0.4617139133268171</v>
      </c>
      <c r="Q249">
        <f t="shared" si="960"/>
        <v>-2425587.8930636393</v>
      </c>
      <c r="R249">
        <f t="shared" si="961"/>
        <v>510341492.42025876</v>
      </c>
      <c r="S249">
        <f t="shared" si="962"/>
        <v>5103.4149242025878</v>
      </c>
      <c r="T249">
        <f t="shared" si="963"/>
        <v>5.1034149242025881</v>
      </c>
    </row>
    <row r="250" spans="1:20" x14ac:dyDescent="0.25">
      <c r="A250" s="5">
        <v>44343</v>
      </c>
      <c r="B250">
        <v>379.16</v>
      </c>
      <c r="C250">
        <v>387.56</v>
      </c>
      <c r="D250">
        <v>340</v>
      </c>
      <c r="E250">
        <v>369.67</v>
      </c>
      <c r="F250">
        <v>4275801.5014000004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0.24768713204373485</v>
      </c>
      <c r="Q250">
        <f t="shared" si="960"/>
        <v>1059061.0110700617</v>
      </c>
      <c r="R250">
        <f t="shared" si="961"/>
        <v>512767080.31332242</v>
      </c>
      <c r="S250">
        <f t="shared" si="962"/>
        <v>5127.6708031332246</v>
      </c>
      <c r="T250">
        <f t="shared" si="963"/>
        <v>5.127670803133225</v>
      </c>
    </row>
    <row r="251" spans="1:20" x14ac:dyDescent="0.25">
      <c r="A251" s="5">
        <v>44342</v>
      </c>
      <c r="B251">
        <v>343.18</v>
      </c>
      <c r="C251">
        <v>388.28</v>
      </c>
      <c r="D251">
        <v>336.21</v>
      </c>
      <c r="E251">
        <v>379.16</v>
      </c>
      <c r="F251">
        <v>5336916.0722000003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0.64970232379489345</v>
      </c>
      <c r="Q251">
        <f t="shared" si="960"/>
        <v>3467406.7740066554</v>
      </c>
      <c r="R251">
        <f t="shared" si="961"/>
        <v>511708019.30225235</v>
      </c>
      <c r="S251">
        <f t="shared" si="962"/>
        <v>5117.0801930225234</v>
      </c>
      <c r="T251">
        <f t="shared" si="963"/>
        <v>5.1170801930225238</v>
      </c>
    </row>
    <row r="252" spans="1:20" x14ac:dyDescent="0.25">
      <c r="A252" s="5">
        <v>44341</v>
      </c>
      <c r="B252">
        <v>345.64</v>
      </c>
      <c r="C252">
        <v>378.12</v>
      </c>
      <c r="D252">
        <v>306.61</v>
      </c>
      <c r="E252">
        <v>343.18</v>
      </c>
      <c r="F252">
        <v>7638986.0131999999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2.2794014823101602E-2</v>
      </c>
      <c r="Q252">
        <f t="shared" si="960"/>
        <v>174123.16041834661</v>
      </c>
      <c r="R252">
        <f t="shared" si="961"/>
        <v>508240612.52824569</v>
      </c>
      <c r="S252">
        <f t="shared" si="962"/>
        <v>5082.4061252824567</v>
      </c>
      <c r="T252">
        <f t="shared" si="963"/>
        <v>5.0824061252824571</v>
      </c>
    </row>
    <row r="253" spans="1:20" x14ac:dyDescent="0.25">
      <c r="A253" s="5">
        <v>44340</v>
      </c>
      <c r="B253">
        <v>260.72000000000003</v>
      </c>
      <c r="C253">
        <v>350</v>
      </c>
      <c r="D253">
        <v>257.39999999999998</v>
      </c>
      <c r="E253">
        <v>345.64</v>
      </c>
      <c r="F253">
        <v>7794003.6409999998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0.90583153347732159</v>
      </c>
      <c r="Q253">
        <f t="shared" si="960"/>
        <v>7060054.2700548582</v>
      </c>
      <c r="R253">
        <f t="shared" si="961"/>
        <v>508066489.36782736</v>
      </c>
      <c r="S253">
        <f t="shared" si="962"/>
        <v>5080.664893678274</v>
      </c>
      <c r="T253">
        <f t="shared" si="963"/>
        <v>5.0806648936782741</v>
      </c>
    </row>
    <row r="254" spans="1:20" x14ac:dyDescent="0.25">
      <c r="A254" s="5">
        <v>44339</v>
      </c>
      <c r="B254">
        <v>299.75</v>
      </c>
      <c r="C254">
        <v>313.45</v>
      </c>
      <c r="D254">
        <v>211.7</v>
      </c>
      <c r="E254">
        <v>260.72000000000003</v>
      </c>
      <c r="F254">
        <v>8801148.1831999999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-3.6461916461915704E-2</v>
      </c>
      <c r="Q254">
        <f t="shared" si="960"/>
        <v>-320906.72982477956</v>
      </c>
      <c r="R254">
        <f t="shared" si="961"/>
        <v>501006435.09777248</v>
      </c>
      <c r="S254">
        <f t="shared" si="962"/>
        <v>5010.0643509777246</v>
      </c>
      <c r="T254">
        <f t="shared" si="963"/>
        <v>5.010064350977725</v>
      </c>
    </row>
    <row r="255" spans="1:20" x14ac:dyDescent="0.25">
      <c r="A255" s="5">
        <v>44338</v>
      </c>
      <c r="B255">
        <v>326.23</v>
      </c>
      <c r="C255">
        <v>335.82</v>
      </c>
      <c r="D255">
        <v>284.55</v>
      </c>
      <c r="E255">
        <v>299.76</v>
      </c>
      <c r="F255">
        <v>5303046.0120000001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-0.40667056758338266</v>
      </c>
      <c r="Q255">
        <f t="shared" si="960"/>
        <v>-2156592.7316208337</v>
      </c>
      <c r="R255">
        <f t="shared" si="961"/>
        <v>501327341.82759726</v>
      </c>
      <c r="S255">
        <f t="shared" si="962"/>
        <v>5013.2734182759723</v>
      </c>
      <c r="T255">
        <f t="shared" si="963"/>
        <v>5.0132734182759719</v>
      </c>
    </row>
    <row r="256" spans="1:20" x14ac:dyDescent="0.25">
      <c r="A256" s="5">
        <v>44337</v>
      </c>
      <c r="B256">
        <v>391.37</v>
      </c>
      <c r="C256">
        <v>415.71</v>
      </c>
      <c r="D256">
        <v>274</v>
      </c>
      <c r="E256">
        <v>326.01</v>
      </c>
      <c r="F256">
        <v>8827845.3858000003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-0.26596570460800228</v>
      </c>
      <c r="Q256">
        <f t="shared" si="960"/>
        <v>-2347904.118204799</v>
      </c>
      <c r="R256">
        <f t="shared" si="961"/>
        <v>503483934.55921811</v>
      </c>
      <c r="S256">
        <f t="shared" si="962"/>
        <v>5034.8393455921814</v>
      </c>
      <c r="T256">
        <f t="shared" si="963"/>
        <v>5.0348393455921814</v>
      </c>
    </row>
    <row r="257" spans="1:20" x14ac:dyDescent="0.25">
      <c r="A257" s="5">
        <v>44336</v>
      </c>
      <c r="B257">
        <v>334.8</v>
      </c>
      <c r="C257">
        <v>423.83</v>
      </c>
      <c r="D257">
        <v>284.27</v>
      </c>
      <c r="E257">
        <v>391.17</v>
      </c>
      <c r="F257">
        <v>8116861.4223999996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0.53195758096875945</v>
      </c>
      <c r="Q257">
        <f t="shared" si="960"/>
        <v>4317825.9673185479</v>
      </c>
      <c r="R257">
        <f t="shared" si="961"/>
        <v>505831838.67742288</v>
      </c>
      <c r="S257">
        <f t="shared" si="962"/>
        <v>5058.3183867742291</v>
      </c>
      <c r="T257">
        <f t="shared" si="963"/>
        <v>5.0583183867742294</v>
      </c>
    </row>
    <row r="258" spans="1:20" x14ac:dyDescent="0.25">
      <c r="A258" s="5">
        <v>44335</v>
      </c>
      <c r="B258">
        <v>507.9</v>
      </c>
      <c r="C258">
        <v>516.5</v>
      </c>
      <c r="D258">
        <v>280</v>
      </c>
      <c r="E258">
        <v>334.8</v>
      </c>
      <c r="F258">
        <v>11497731.3774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-0.53657505285412255</v>
      </c>
      <c r="Q258">
        <f t="shared" si="960"/>
        <v>-6169395.8215309083</v>
      </c>
      <c r="R258">
        <f t="shared" si="961"/>
        <v>501514012.71010435</v>
      </c>
      <c r="S258">
        <f t="shared" si="962"/>
        <v>5015.1401271010436</v>
      </c>
      <c r="T258">
        <f t="shared" si="963"/>
        <v>5.0151401271010432</v>
      </c>
    </row>
    <row r="259" spans="1:20" x14ac:dyDescent="0.25">
      <c r="A259" s="5">
        <v>44334</v>
      </c>
      <c r="B259">
        <v>512.05999999999995</v>
      </c>
      <c r="C259">
        <v>534</v>
      </c>
      <c r="D259">
        <v>490</v>
      </c>
      <c r="E259">
        <v>507.88</v>
      </c>
      <c r="F259">
        <v>2720596.4374000002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-0.18727272727272748</v>
      </c>
      <c r="Q259">
        <f t="shared" si="960"/>
        <v>-509493.51464036421</v>
      </c>
      <c r="R259">
        <f t="shared" si="961"/>
        <v>507683408.53163522</v>
      </c>
      <c r="S259">
        <f t="shared" si="962"/>
        <v>5076.8340853163527</v>
      </c>
      <c r="T259">
        <f t="shared" si="963"/>
        <v>5.0768340853163529</v>
      </c>
    </row>
    <row r="260" spans="1:20" x14ac:dyDescent="0.25">
      <c r="A260" s="5">
        <v>44333</v>
      </c>
      <c r="B260">
        <v>564.66</v>
      </c>
      <c r="C260">
        <v>564.66</v>
      </c>
      <c r="D260">
        <v>483</v>
      </c>
      <c r="E260">
        <v>512.07000000000005</v>
      </c>
      <c r="F260">
        <v>4029118.3527000002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-0.28802351212343713</v>
      </c>
      <c r="Q260">
        <f t="shared" si="960"/>
        <v>-1160480.8187056514</v>
      </c>
      <c r="R260">
        <f t="shared" si="961"/>
        <v>508192902.04627562</v>
      </c>
      <c r="S260">
        <f t="shared" si="962"/>
        <v>5081.9290204627559</v>
      </c>
      <c r="T260">
        <f t="shared" si="963"/>
        <v>5.0819290204627556</v>
      </c>
    </row>
    <row r="261" spans="1:20" x14ac:dyDescent="0.25">
      <c r="A261" s="5">
        <v>44332</v>
      </c>
      <c r="B261">
        <v>563.41999999999996</v>
      </c>
      <c r="C261">
        <v>606.78</v>
      </c>
      <c r="D261">
        <v>534.88</v>
      </c>
      <c r="E261">
        <v>564.32000000000005</v>
      </c>
      <c r="F261">
        <v>2939528.1773999999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-0.18108484005563105</v>
      </c>
      <c r="Q261">
        <f t="shared" si="960"/>
        <v>-532303.98984349961</v>
      </c>
      <c r="R261">
        <f t="shared" si="961"/>
        <v>509353382.86498129</v>
      </c>
      <c r="S261">
        <f t="shared" si="962"/>
        <v>5093.5338286498127</v>
      </c>
      <c r="T261">
        <f t="shared" si="963"/>
        <v>5.0935338286498126</v>
      </c>
    </row>
    <row r="262" spans="1:20" x14ac:dyDescent="0.25">
      <c r="A262" s="5">
        <v>44331</v>
      </c>
      <c r="B262">
        <v>602.61</v>
      </c>
      <c r="C262">
        <v>611.30999999999995</v>
      </c>
      <c r="D262">
        <v>560</v>
      </c>
      <c r="E262">
        <v>563.41</v>
      </c>
      <c r="F262">
        <v>2259793.5825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-0.86708244007016289</v>
      </c>
      <c r="Q262">
        <f t="shared" ref="Q262:Q325" si="965">F262*P262</f>
        <v>-1959427.3335689949</v>
      </c>
      <c r="R262">
        <f t="shared" ref="R262:R325" si="966">R263+Q262</f>
        <v>509885686.85482478</v>
      </c>
      <c r="S262">
        <f t="shared" ref="S262:S325" si="967">R262/100000</f>
        <v>5098.8568685482478</v>
      </c>
      <c r="T262">
        <f t="shared" ref="T262:T325" si="968">S262/1000</f>
        <v>5.098856868548248</v>
      </c>
    </row>
    <row r="263" spans="1:20" x14ac:dyDescent="0.25">
      <c r="A263" s="5">
        <v>44330</v>
      </c>
      <c r="B263">
        <v>571.1</v>
      </c>
      <c r="C263">
        <v>615</v>
      </c>
      <c r="D263">
        <v>566</v>
      </c>
      <c r="E263">
        <v>602.61</v>
      </c>
      <c r="F263">
        <v>2187570.2996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0.49428571428571483</v>
      </c>
      <c r="Q263">
        <f t="shared" si="965"/>
        <v>1081284.7480880013</v>
      </c>
      <c r="R263">
        <f t="shared" si="966"/>
        <v>511845114.18839377</v>
      </c>
      <c r="S263">
        <f t="shared" si="967"/>
        <v>5118.4511418839375</v>
      </c>
      <c r="T263">
        <f t="shared" si="968"/>
        <v>5.1184511418839378</v>
      </c>
    </row>
    <row r="264" spans="1:20" x14ac:dyDescent="0.25">
      <c r="A264" s="5">
        <v>44329</v>
      </c>
      <c r="B264">
        <v>594.20000000000005</v>
      </c>
      <c r="C264">
        <v>633.5</v>
      </c>
      <c r="D264">
        <v>526.6</v>
      </c>
      <c r="E264">
        <v>571.1</v>
      </c>
      <c r="F264">
        <v>5485323.7046999997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-0.16744621141253491</v>
      </c>
      <c r="Q264">
        <f t="shared" si="965"/>
        <v>-918496.67272338539</v>
      </c>
      <c r="R264">
        <f t="shared" si="966"/>
        <v>510763829.44030577</v>
      </c>
      <c r="S264">
        <f t="shared" si="967"/>
        <v>5107.6382944030574</v>
      </c>
      <c r="T264">
        <f t="shared" si="968"/>
        <v>5.1076382944030572</v>
      </c>
    </row>
    <row r="265" spans="1:20" x14ac:dyDescent="0.25">
      <c r="A265" s="5">
        <v>44328</v>
      </c>
      <c r="B265">
        <v>671.9</v>
      </c>
      <c r="C265">
        <v>684.91</v>
      </c>
      <c r="D265">
        <v>581.4</v>
      </c>
      <c r="E265">
        <v>594.65</v>
      </c>
      <c r="F265">
        <v>2813834.8185000001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-0.74398608830064727</v>
      </c>
      <c r="Q265">
        <f t="shared" si="965"/>
        <v>-2093453.9597399768</v>
      </c>
      <c r="R265">
        <f t="shared" si="966"/>
        <v>511682326.11302918</v>
      </c>
      <c r="S265">
        <f t="shared" si="967"/>
        <v>5116.8232611302919</v>
      </c>
      <c r="T265">
        <f t="shared" si="968"/>
        <v>5.1168232611302917</v>
      </c>
    </row>
    <row r="266" spans="1:20" x14ac:dyDescent="0.25">
      <c r="A266" s="5">
        <v>44327</v>
      </c>
      <c r="B266">
        <v>631.16</v>
      </c>
      <c r="C266">
        <v>673</v>
      </c>
      <c r="D266">
        <v>621.11</v>
      </c>
      <c r="E266">
        <v>671.91</v>
      </c>
      <c r="F266">
        <v>2640713.327</v>
      </c>
      <c r="G266">
        <v>0</v>
      </c>
      <c r="L266" t="s">
        <v>7</v>
      </c>
      <c r="M266" t="s">
        <v>8</v>
      </c>
      <c r="N266" t="s">
        <v>8</v>
      </c>
      <c r="P266">
        <f t="shared" si="964"/>
        <v>0.95798805164771506</v>
      </c>
      <c r="Q266">
        <f t="shared" si="965"/>
        <v>2529771.8150928854</v>
      </c>
      <c r="R266">
        <f t="shared" si="966"/>
        <v>513775780.07276917</v>
      </c>
      <c r="S266">
        <f t="shared" si="967"/>
        <v>5137.7578007276916</v>
      </c>
      <c r="T266">
        <f t="shared" si="968"/>
        <v>5.1377578007276918</v>
      </c>
    </row>
    <row r="267" spans="1:20" x14ac:dyDescent="0.25">
      <c r="A267" s="5">
        <v>44326</v>
      </c>
      <c r="B267">
        <v>661.74</v>
      </c>
      <c r="C267">
        <v>691.77</v>
      </c>
      <c r="D267">
        <v>588</v>
      </c>
      <c r="E267">
        <v>631.1</v>
      </c>
      <c r="F267">
        <v>3074645.0691999998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-0.16931675821528322</v>
      </c>
      <c r="Q267">
        <f t="shared" si="965"/>
        <v>-520588.93577954912</v>
      </c>
      <c r="R267">
        <f t="shared" si="966"/>
        <v>511246008.2576763</v>
      </c>
      <c r="S267">
        <f t="shared" si="967"/>
        <v>5112.4600825767629</v>
      </c>
      <c r="T267">
        <f t="shared" si="968"/>
        <v>5.1124600825767628</v>
      </c>
    </row>
    <row r="268" spans="1:20" x14ac:dyDescent="0.25">
      <c r="A268" s="5">
        <v>44325</v>
      </c>
      <c r="B268">
        <v>646.07000000000005</v>
      </c>
      <c r="C268">
        <v>679</v>
      </c>
      <c r="D268">
        <v>630.54</v>
      </c>
      <c r="E268">
        <v>661.74</v>
      </c>
      <c r="F268">
        <v>2343402.1219000001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0.28765992571192828</v>
      </c>
      <c r="Q268">
        <f t="shared" si="965"/>
        <v>674102.88029892917</v>
      </c>
      <c r="R268">
        <f t="shared" si="966"/>
        <v>511766597.19345587</v>
      </c>
      <c r="S268">
        <f t="shared" si="967"/>
        <v>5117.6659719345589</v>
      </c>
      <c r="T268">
        <f t="shared" si="968"/>
        <v>5.1176659719345592</v>
      </c>
    </row>
    <row r="269" spans="1:20" x14ac:dyDescent="0.25">
      <c r="A269" s="5">
        <v>44324</v>
      </c>
      <c r="B269">
        <v>624.29999999999995</v>
      </c>
      <c r="C269">
        <v>657.91</v>
      </c>
      <c r="D269">
        <v>618.36</v>
      </c>
      <c r="E269">
        <v>646.1</v>
      </c>
      <c r="F269">
        <v>2186084.7749000001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0.4027812895069553</v>
      </c>
      <c r="Q269">
        <f t="shared" si="965"/>
        <v>880514.04460574419</v>
      </c>
      <c r="R269">
        <f t="shared" si="966"/>
        <v>511092494.31315696</v>
      </c>
      <c r="S269">
        <f t="shared" si="967"/>
        <v>5110.9249431315693</v>
      </c>
      <c r="T269">
        <f t="shared" si="968"/>
        <v>5.1109249431315691</v>
      </c>
    </row>
    <row r="270" spans="1:20" x14ac:dyDescent="0.25">
      <c r="A270" s="5">
        <v>44323</v>
      </c>
      <c r="B270">
        <v>634.03</v>
      </c>
      <c r="C270">
        <v>644.02</v>
      </c>
      <c r="D270">
        <v>611.42999999999995</v>
      </c>
      <c r="E270">
        <v>624.29999999999995</v>
      </c>
      <c r="F270">
        <v>1979435.9583999999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-0.21018717397974887</v>
      </c>
      <c r="Q270">
        <f t="shared" si="965"/>
        <v>-416052.05016999174</v>
      </c>
      <c r="R270">
        <f t="shared" si="966"/>
        <v>510211980.26855123</v>
      </c>
      <c r="S270">
        <f t="shared" si="967"/>
        <v>5102.1198026855127</v>
      </c>
      <c r="T270">
        <f t="shared" si="968"/>
        <v>5.1021198026855128</v>
      </c>
    </row>
    <row r="271" spans="1:20" x14ac:dyDescent="0.25">
      <c r="A271" s="5">
        <v>44322</v>
      </c>
      <c r="B271">
        <v>651.1</v>
      </c>
      <c r="C271">
        <v>653.77</v>
      </c>
      <c r="D271">
        <v>620</v>
      </c>
      <c r="E271">
        <v>633.99</v>
      </c>
      <c r="F271">
        <v>2065376.5441999999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-0.17145395321290988</v>
      </c>
      <c r="Q271">
        <f t="shared" si="965"/>
        <v>-354116.97337630828</v>
      </c>
      <c r="R271">
        <f t="shared" si="966"/>
        <v>510628032.31872123</v>
      </c>
      <c r="S271">
        <f t="shared" si="967"/>
        <v>5106.2803231872122</v>
      </c>
      <c r="T271">
        <f t="shared" si="968"/>
        <v>5.106280323187212</v>
      </c>
    </row>
    <row r="272" spans="1:20" x14ac:dyDescent="0.25">
      <c r="A272" s="5">
        <v>44321</v>
      </c>
      <c r="B272">
        <v>609.41</v>
      </c>
      <c r="C272">
        <v>656.67</v>
      </c>
      <c r="D272">
        <v>605</v>
      </c>
      <c r="E272">
        <v>651.1</v>
      </c>
      <c r="F272">
        <v>2270137.4731999999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0.78440100638668697</v>
      </c>
      <c r="Q272">
        <f t="shared" si="965"/>
        <v>1780698.1186142105</v>
      </c>
      <c r="R272">
        <f t="shared" si="966"/>
        <v>510982149.29209757</v>
      </c>
      <c r="S272">
        <f t="shared" si="967"/>
        <v>5109.8214929209753</v>
      </c>
      <c r="T272">
        <f t="shared" si="968"/>
        <v>5.1098214929209753</v>
      </c>
    </row>
    <row r="273" spans="1:20" x14ac:dyDescent="0.25">
      <c r="A273" s="5">
        <v>44320</v>
      </c>
      <c r="B273">
        <v>676.15</v>
      </c>
      <c r="C273">
        <v>677.71</v>
      </c>
      <c r="D273">
        <v>604.14</v>
      </c>
      <c r="E273">
        <v>609.29999999999995</v>
      </c>
      <c r="F273">
        <v>3765315.6951000001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-0.85972543156177883</v>
      </c>
      <c r="Q273">
        <f t="shared" si="965"/>
        <v>-3237137.660936187</v>
      </c>
      <c r="R273">
        <f t="shared" si="966"/>
        <v>509201451.17348337</v>
      </c>
      <c r="S273">
        <f t="shared" si="967"/>
        <v>5092.0145117348338</v>
      </c>
      <c r="T273">
        <f t="shared" si="968"/>
        <v>5.0920145117348339</v>
      </c>
    </row>
    <row r="274" spans="1:20" x14ac:dyDescent="0.25">
      <c r="A274" s="5">
        <v>44319</v>
      </c>
      <c r="B274">
        <v>621.77</v>
      </c>
      <c r="C274">
        <v>680</v>
      </c>
      <c r="D274">
        <v>621.22</v>
      </c>
      <c r="E274">
        <v>676.15</v>
      </c>
      <c r="F274">
        <v>2873379.6170000001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0.86900306226607604</v>
      </c>
      <c r="Q274">
        <f t="shared" si="965"/>
        <v>2496975.6862259246</v>
      </c>
      <c r="R274">
        <f t="shared" si="966"/>
        <v>512438588.83441955</v>
      </c>
      <c r="S274">
        <f t="shared" si="967"/>
        <v>5124.3858883441953</v>
      </c>
      <c r="T274">
        <f t="shared" si="968"/>
        <v>5.1243858883441957</v>
      </c>
    </row>
    <row r="275" spans="1:20" x14ac:dyDescent="0.25">
      <c r="A275" s="5">
        <v>44318</v>
      </c>
      <c r="B275">
        <v>620</v>
      </c>
      <c r="C275">
        <v>629</v>
      </c>
      <c r="D275">
        <v>595.29999999999995</v>
      </c>
      <c r="E275">
        <v>621.78</v>
      </c>
      <c r="F275">
        <v>2066258.2844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0.57151335311572593</v>
      </c>
      <c r="Q275">
        <f t="shared" si="965"/>
        <v>1180894.2005205913</v>
      </c>
      <c r="R275">
        <f t="shared" si="966"/>
        <v>509941613.1481936</v>
      </c>
      <c r="S275">
        <f t="shared" si="967"/>
        <v>5099.4161314819357</v>
      </c>
      <c r="T275">
        <f t="shared" si="968"/>
        <v>5.0994161314819362</v>
      </c>
    </row>
    <row r="276" spans="1:20" x14ac:dyDescent="0.25">
      <c r="A276" s="5">
        <v>44317</v>
      </c>
      <c r="B276">
        <v>622.64</v>
      </c>
      <c r="C276">
        <v>645.57000000000005</v>
      </c>
      <c r="D276">
        <v>609.21</v>
      </c>
      <c r="E276">
        <v>620</v>
      </c>
      <c r="F276">
        <v>2427568.3909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-0.40649064906490873</v>
      </c>
      <c r="Q276">
        <f t="shared" si="965"/>
        <v>-986783.85086639703</v>
      </c>
      <c r="R276">
        <f t="shared" si="966"/>
        <v>508760718.94767302</v>
      </c>
      <c r="S276">
        <f t="shared" si="967"/>
        <v>5087.6071894767301</v>
      </c>
      <c r="T276">
        <f t="shared" si="968"/>
        <v>5.0876071894767305</v>
      </c>
    </row>
    <row r="277" spans="1:20" x14ac:dyDescent="0.25">
      <c r="A277" s="5">
        <v>44316</v>
      </c>
      <c r="B277">
        <v>599.66</v>
      </c>
      <c r="C277">
        <v>628</v>
      </c>
      <c r="D277">
        <v>585.72</v>
      </c>
      <c r="E277">
        <v>622.65</v>
      </c>
      <c r="F277">
        <v>3430512.4024999999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0.74692526017029204</v>
      </c>
      <c r="Q277">
        <f t="shared" si="965"/>
        <v>2562336.3687547259</v>
      </c>
      <c r="R277">
        <f t="shared" si="966"/>
        <v>509747502.7985394</v>
      </c>
      <c r="S277">
        <f t="shared" si="967"/>
        <v>5097.4750279853943</v>
      </c>
      <c r="T277">
        <f t="shared" si="968"/>
        <v>5.0974750279853946</v>
      </c>
    </row>
    <row r="278" spans="1:20" x14ac:dyDescent="0.25">
      <c r="A278" s="5">
        <v>44315</v>
      </c>
      <c r="B278">
        <v>562.78</v>
      </c>
      <c r="C278">
        <v>615.29</v>
      </c>
      <c r="D278">
        <v>554</v>
      </c>
      <c r="E278">
        <v>599.70000000000005</v>
      </c>
      <c r="F278">
        <v>4336516.3346999995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0.49127100668951124</v>
      </c>
      <c r="Q278">
        <f t="shared" si="965"/>
        <v>2130404.7452735784</v>
      </c>
      <c r="R278">
        <f t="shared" si="966"/>
        <v>507185166.42978466</v>
      </c>
      <c r="S278">
        <f t="shared" si="967"/>
        <v>5071.8516642978466</v>
      </c>
      <c r="T278">
        <f t="shared" si="968"/>
        <v>5.0718516642978466</v>
      </c>
    </row>
    <row r="279" spans="1:20" x14ac:dyDescent="0.25">
      <c r="A279" s="5">
        <v>44314</v>
      </c>
      <c r="B279">
        <v>568.78</v>
      </c>
      <c r="C279">
        <v>578.88</v>
      </c>
      <c r="D279">
        <v>538</v>
      </c>
      <c r="E279">
        <v>562.78</v>
      </c>
      <c r="F279">
        <v>2384514.8851999999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0.21232876712328647</v>
      </c>
      <c r="Q279">
        <f t="shared" si="965"/>
        <v>506301.10576164094</v>
      </c>
      <c r="R279">
        <f t="shared" si="966"/>
        <v>505054761.68451107</v>
      </c>
      <c r="S279">
        <f t="shared" si="967"/>
        <v>5050.5476168451105</v>
      </c>
      <c r="T279">
        <f t="shared" si="968"/>
        <v>5.0505476168451109</v>
      </c>
    </row>
    <row r="280" spans="1:20" x14ac:dyDescent="0.25">
      <c r="A280" s="5">
        <v>44313</v>
      </c>
      <c r="B280">
        <v>535.33000000000004</v>
      </c>
      <c r="C280">
        <v>579.5</v>
      </c>
      <c r="D280">
        <v>525</v>
      </c>
      <c r="E280">
        <v>568.78</v>
      </c>
      <c r="F280">
        <v>2807308.6198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0.60660550458715501</v>
      </c>
      <c r="Q280">
        <f t="shared" si="965"/>
        <v>1702928.8618456486</v>
      </c>
      <c r="R280">
        <f t="shared" si="966"/>
        <v>504548460.57874942</v>
      </c>
      <c r="S280">
        <f t="shared" si="967"/>
        <v>5045.4846057874938</v>
      </c>
      <c r="T280">
        <f t="shared" si="968"/>
        <v>5.045484605787494</v>
      </c>
    </row>
    <row r="281" spans="1:20" x14ac:dyDescent="0.25">
      <c r="A281" s="5">
        <v>44312</v>
      </c>
      <c r="B281">
        <v>505</v>
      </c>
      <c r="C281">
        <v>550</v>
      </c>
      <c r="D281">
        <v>501.5</v>
      </c>
      <c r="E281">
        <v>535.33000000000004</v>
      </c>
      <c r="F281">
        <v>3098650.6351000001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0.39505154639175427</v>
      </c>
      <c r="Q281">
        <f t="shared" si="965"/>
        <v>1224126.7251240464</v>
      </c>
      <c r="R281">
        <f t="shared" si="966"/>
        <v>502845531.71690375</v>
      </c>
      <c r="S281">
        <f t="shared" si="967"/>
        <v>5028.4553171690377</v>
      </c>
      <c r="T281">
        <f t="shared" si="968"/>
        <v>5.0284553171690378</v>
      </c>
    </row>
    <row r="282" spans="1:20" x14ac:dyDescent="0.25">
      <c r="A282" s="5">
        <v>44311</v>
      </c>
      <c r="B282">
        <v>496.99200000000002</v>
      </c>
      <c r="C282">
        <v>517.74</v>
      </c>
      <c r="D282">
        <v>478.01</v>
      </c>
      <c r="E282">
        <v>505</v>
      </c>
      <c r="F282">
        <v>2489756.6252000001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0.3586710294487791</v>
      </c>
      <c r="Q282">
        <f t="shared" si="965"/>
        <v>893003.57183740207</v>
      </c>
      <c r="R282">
        <f t="shared" si="966"/>
        <v>501621404.99177969</v>
      </c>
      <c r="S282">
        <f t="shared" si="967"/>
        <v>5016.2140499177967</v>
      </c>
      <c r="T282">
        <f t="shared" si="968"/>
        <v>5.0162140499177967</v>
      </c>
    </row>
    <row r="283" spans="1:20" x14ac:dyDescent="0.25">
      <c r="A283" s="5">
        <v>44310</v>
      </c>
      <c r="B283">
        <v>526.43190000000004</v>
      </c>
      <c r="C283">
        <v>528.80880000000002</v>
      </c>
      <c r="D283">
        <v>482.30520000000001</v>
      </c>
      <c r="E283">
        <v>496.99200000000002</v>
      </c>
      <c r="F283">
        <v>3005329.0750000002</v>
      </c>
      <c r="G283">
        <v>0</v>
      </c>
      <c r="L283" t="s">
        <v>8</v>
      </c>
      <c r="M283" t="s">
        <v>7</v>
      </c>
      <c r="N283" t="s">
        <v>8</v>
      </c>
      <c r="P283">
        <f t="shared" si="964"/>
        <v>-0.36835857869068189</v>
      </c>
      <c r="Q283">
        <f t="shared" si="965"/>
        <v>-1107038.7465647818</v>
      </c>
      <c r="R283">
        <f t="shared" si="966"/>
        <v>500728401.41994226</v>
      </c>
      <c r="S283">
        <f t="shared" si="967"/>
        <v>5007.2840141994229</v>
      </c>
      <c r="T283">
        <f t="shared" si="968"/>
        <v>5.0072840141994233</v>
      </c>
    </row>
    <row r="284" spans="1:20" x14ac:dyDescent="0.25">
      <c r="A284" s="5">
        <v>44309</v>
      </c>
      <c r="B284">
        <v>505.22820000000002</v>
      </c>
      <c r="C284">
        <v>530</v>
      </c>
      <c r="D284">
        <v>450</v>
      </c>
      <c r="E284">
        <v>526.53570000000002</v>
      </c>
      <c r="F284">
        <v>6855584.9210000001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0.9133925000000005</v>
      </c>
      <c r="Q284">
        <f t="shared" si="965"/>
        <v>6261839.8499544961</v>
      </c>
      <c r="R284">
        <f t="shared" si="966"/>
        <v>501835440.16650707</v>
      </c>
      <c r="S284">
        <f t="shared" si="967"/>
        <v>5018.3544016650703</v>
      </c>
      <c r="T284">
        <f t="shared" si="968"/>
        <v>5.0183544016650705</v>
      </c>
    </row>
    <row r="285" spans="1:20" x14ac:dyDescent="0.25">
      <c r="A285" s="5">
        <v>44308</v>
      </c>
      <c r="B285">
        <v>543.68269999999995</v>
      </c>
      <c r="C285">
        <v>582.70510000000002</v>
      </c>
      <c r="D285">
        <v>480</v>
      </c>
      <c r="E285">
        <v>505.24110000000002</v>
      </c>
      <c r="F285">
        <v>6375583.1390000004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-0.50847426271918306</v>
      </c>
      <c r="Q285">
        <f t="shared" si="965"/>
        <v>-3241819.9360078801</v>
      </c>
      <c r="R285">
        <f t="shared" si="966"/>
        <v>495573600.31655258</v>
      </c>
      <c r="S285">
        <f t="shared" si="967"/>
        <v>4955.7360031655262</v>
      </c>
      <c r="T285">
        <f t="shared" si="968"/>
        <v>4.9557360031655264</v>
      </c>
    </row>
    <row r="286" spans="1:20" x14ac:dyDescent="0.25">
      <c r="A286" s="5">
        <v>44307</v>
      </c>
      <c r="B286">
        <v>586.52009999999996</v>
      </c>
      <c r="C286">
        <v>613.89750000000004</v>
      </c>
      <c r="D286">
        <v>535.91859999999997</v>
      </c>
      <c r="E286">
        <v>543.6327</v>
      </c>
      <c r="F286">
        <v>5685067.8940000003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-0.80214904288211242</v>
      </c>
      <c r="Q286">
        <f t="shared" si="965"/>
        <v>-4560271.769891927</v>
      </c>
      <c r="R286">
        <f t="shared" si="966"/>
        <v>498815420.25256044</v>
      </c>
      <c r="S286">
        <f t="shared" si="967"/>
        <v>4988.154202525604</v>
      </c>
      <c r="T286">
        <f t="shared" si="968"/>
        <v>4.988154202525604</v>
      </c>
    </row>
    <row r="287" spans="1:20" x14ac:dyDescent="0.25">
      <c r="A287" s="5">
        <v>44306</v>
      </c>
      <c r="B287">
        <v>504.03219999999999</v>
      </c>
      <c r="C287">
        <v>589.5</v>
      </c>
      <c r="D287">
        <v>470.20699999999999</v>
      </c>
      <c r="E287">
        <v>586.36350000000004</v>
      </c>
      <c r="F287">
        <v>5730895.3250000002</v>
      </c>
      <c r="G287">
        <v>0</v>
      </c>
      <c r="L287" t="s">
        <v>8</v>
      </c>
      <c r="M287" t="s">
        <v>8</v>
      </c>
      <c r="N287" t="s">
        <v>7</v>
      </c>
      <c r="P287">
        <f t="shared" si="964"/>
        <v>0.94741518781487677</v>
      </c>
      <c r="Q287">
        <f t="shared" si="965"/>
        <v>5429537.2706822744</v>
      </c>
      <c r="R287">
        <f t="shared" si="966"/>
        <v>503375692.02245235</v>
      </c>
      <c r="S287">
        <f t="shared" si="967"/>
        <v>5033.7569202245231</v>
      </c>
      <c r="T287">
        <f t="shared" si="968"/>
        <v>5.0337569202245227</v>
      </c>
    </row>
    <row r="288" spans="1:20" x14ac:dyDescent="0.25">
      <c r="A288" s="5">
        <v>44305</v>
      </c>
      <c r="B288">
        <v>481.51119999999997</v>
      </c>
      <c r="C288">
        <v>540</v>
      </c>
      <c r="D288">
        <v>467.88459999999998</v>
      </c>
      <c r="E288">
        <v>504.03219999999999</v>
      </c>
      <c r="F288">
        <v>5031325.7130000005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2.4932261347784261E-3</v>
      </c>
      <c r="Q288">
        <f t="shared" si="965"/>
        <v>12544.232760234299</v>
      </c>
      <c r="R288">
        <f t="shared" si="966"/>
        <v>497946154.75177008</v>
      </c>
      <c r="S288">
        <f t="shared" si="967"/>
        <v>4979.4615475177006</v>
      </c>
      <c r="T288">
        <f t="shared" si="968"/>
        <v>4.9794615475177002</v>
      </c>
    </row>
    <row r="289" spans="1:20" x14ac:dyDescent="0.25">
      <c r="A289" s="5">
        <v>44304</v>
      </c>
      <c r="B289">
        <v>514.81780000000003</v>
      </c>
      <c r="C289">
        <v>520.42370000000005</v>
      </c>
      <c r="D289">
        <v>428</v>
      </c>
      <c r="E289">
        <v>481.43669999999997</v>
      </c>
      <c r="F289">
        <v>4468597.46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0.15634193394118484</v>
      </c>
      <c r="Q289">
        <f t="shared" si="965"/>
        <v>698629.16890106641</v>
      </c>
      <c r="R289">
        <f t="shared" si="966"/>
        <v>497933610.51900983</v>
      </c>
      <c r="S289">
        <f t="shared" si="967"/>
        <v>4979.3361051900984</v>
      </c>
      <c r="T289">
        <f t="shared" si="968"/>
        <v>4.9793361051900984</v>
      </c>
    </row>
    <row r="290" spans="1:20" x14ac:dyDescent="0.25">
      <c r="A290" s="5">
        <v>44303</v>
      </c>
      <c r="B290">
        <v>508.26139999999998</v>
      </c>
      <c r="C290">
        <v>547.95000000000005</v>
      </c>
      <c r="D290">
        <v>506</v>
      </c>
      <c r="E290">
        <v>514.68610000000001</v>
      </c>
      <c r="F290">
        <v>2949040.2209999999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-0.58588319427890345</v>
      </c>
      <c r="Q290">
        <f t="shared" si="965"/>
        <v>-1727793.1047364434</v>
      </c>
      <c r="R290">
        <f t="shared" si="966"/>
        <v>497234981.35010874</v>
      </c>
      <c r="S290">
        <f t="shared" si="967"/>
        <v>4972.3498135010877</v>
      </c>
      <c r="T290">
        <f t="shared" si="968"/>
        <v>4.9723498135010882</v>
      </c>
    </row>
    <row r="291" spans="1:20" x14ac:dyDescent="0.25">
      <c r="A291" s="5">
        <v>44302</v>
      </c>
      <c r="B291">
        <v>541.83510000000001</v>
      </c>
      <c r="C291">
        <v>547.60739999999998</v>
      </c>
      <c r="D291">
        <v>489.73559999999998</v>
      </c>
      <c r="E291">
        <v>508.27429999999998</v>
      </c>
      <c r="F291">
        <v>4192218.4619999998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-0.35931835539934809</v>
      </c>
      <c r="Q291">
        <f t="shared" si="965"/>
        <v>-1506341.0432406245</v>
      </c>
      <c r="R291">
        <f t="shared" si="966"/>
        <v>498962774.45484519</v>
      </c>
      <c r="S291">
        <f t="shared" si="967"/>
        <v>4989.627744548452</v>
      </c>
      <c r="T291">
        <f t="shared" si="968"/>
        <v>4.9896277445484518</v>
      </c>
    </row>
    <row r="292" spans="1:20" x14ac:dyDescent="0.25">
      <c r="A292" s="5">
        <v>44301</v>
      </c>
      <c r="B292">
        <v>550.01819999999998</v>
      </c>
      <c r="C292">
        <v>556.9</v>
      </c>
      <c r="D292">
        <v>533.71659999999997</v>
      </c>
      <c r="E292">
        <v>541.88239999999996</v>
      </c>
      <c r="F292">
        <v>2306850.0449999999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-0.29554767635463408</v>
      </c>
      <c r="Q292">
        <f t="shared" si="965"/>
        <v>-681784.17049833306</v>
      </c>
      <c r="R292">
        <f t="shared" si="966"/>
        <v>500469115.4980858</v>
      </c>
      <c r="S292">
        <f t="shared" si="967"/>
        <v>5004.6911549808583</v>
      </c>
      <c r="T292">
        <f t="shared" si="968"/>
        <v>5.0046911549808586</v>
      </c>
    </row>
    <row r="293" spans="1:20" x14ac:dyDescent="0.25">
      <c r="A293" s="5">
        <v>44300</v>
      </c>
      <c r="B293">
        <v>551.39559999999994</v>
      </c>
      <c r="C293">
        <v>590.53689999999995</v>
      </c>
      <c r="D293">
        <v>521.13130000000001</v>
      </c>
      <c r="E293">
        <v>550.01819999999998</v>
      </c>
      <c r="F293">
        <v>4213337.2510000002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-0.16759166407321613</v>
      </c>
      <c r="Q293">
        <f t="shared" si="965"/>
        <v>-706120.20119675994</v>
      </c>
      <c r="R293">
        <f t="shared" si="966"/>
        <v>501150899.66858411</v>
      </c>
      <c r="S293">
        <f t="shared" si="967"/>
        <v>5011.5089966858413</v>
      </c>
      <c r="T293">
        <f t="shared" si="968"/>
        <v>5.0115089966858415</v>
      </c>
    </row>
    <row r="294" spans="1:20" x14ac:dyDescent="0.25">
      <c r="A294" s="5">
        <v>44299</v>
      </c>
      <c r="B294">
        <v>596.78779999999995</v>
      </c>
      <c r="C294">
        <v>602.78710000000001</v>
      </c>
      <c r="D294">
        <v>530.22879999999998</v>
      </c>
      <c r="E294">
        <v>551.64419999999996</v>
      </c>
      <c r="F294">
        <v>5447746.5439999998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-0.40970502340876325</v>
      </c>
      <c r="Q294">
        <f t="shared" si="965"/>
        <v>-2231969.1253345292</v>
      </c>
      <c r="R294">
        <f t="shared" si="966"/>
        <v>501857019.86978084</v>
      </c>
      <c r="S294">
        <f t="shared" si="967"/>
        <v>5018.5701986978083</v>
      </c>
      <c r="T294">
        <f t="shared" si="968"/>
        <v>5.018570198697808</v>
      </c>
    </row>
    <row r="295" spans="1:20" x14ac:dyDescent="0.25">
      <c r="A295" s="5">
        <v>44298</v>
      </c>
      <c r="B295">
        <v>525.92750000000001</v>
      </c>
      <c r="C295">
        <v>638.56730000000005</v>
      </c>
      <c r="D295">
        <v>515.1</v>
      </c>
      <c r="E295">
        <v>596.71040000000005</v>
      </c>
      <c r="F295">
        <v>9279328.8399999999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0.32197594018821196</v>
      </c>
      <c r="Q295">
        <f t="shared" si="965"/>
        <v>2987720.62757459</v>
      </c>
      <c r="R295">
        <f t="shared" si="966"/>
        <v>504088988.99511534</v>
      </c>
      <c r="S295">
        <f t="shared" si="967"/>
        <v>5040.8898899511532</v>
      </c>
      <c r="T295">
        <f t="shared" si="968"/>
        <v>5.0408898899511536</v>
      </c>
    </row>
    <row r="296" spans="1:20" x14ac:dyDescent="0.25">
      <c r="A296" s="5">
        <v>44297</v>
      </c>
      <c r="B296">
        <v>471.29739999999998</v>
      </c>
      <c r="C296">
        <v>529.21100000000001</v>
      </c>
      <c r="D296">
        <v>458.01650000000001</v>
      </c>
      <c r="E296">
        <v>525.92750000000001</v>
      </c>
      <c r="F296">
        <v>3644396.11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0.90775972863072274</v>
      </c>
      <c r="Q296">
        <f t="shared" si="965"/>
        <v>3308236.0238364614</v>
      </c>
      <c r="R296">
        <f t="shared" si="966"/>
        <v>501101268.36754078</v>
      </c>
      <c r="S296">
        <f t="shared" si="967"/>
        <v>5011.012683675408</v>
      </c>
      <c r="T296">
        <f t="shared" si="968"/>
        <v>5.0110126836754079</v>
      </c>
    </row>
    <row r="297" spans="1:20" x14ac:dyDescent="0.25">
      <c r="A297" s="5">
        <v>44296</v>
      </c>
      <c r="B297">
        <v>453.9898</v>
      </c>
      <c r="C297">
        <v>487.40620000000001</v>
      </c>
      <c r="D297">
        <v>450</v>
      </c>
      <c r="E297">
        <v>471.29750000000001</v>
      </c>
      <c r="F297">
        <v>4659107.2120000003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0.13871497238425751</v>
      </c>
      <c r="Q297">
        <f t="shared" si="965"/>
        <v>646287.92824787507</v>
      </c>
      <c r="R297">
        <f t="shared" si="966"/>
        <v>497793032.34370434</v>
      </c>
      <c r="S297">
        <f t="shared" si="967"/>
        <v>4977.9303234370436</v>
      </c>
      <c r="T297">
        <f t="shared" si="968"/>
        <v>4.977930323437044</v>
      </c>
    </row>
    <row r="298" spans="1:20" x14ac:dyDescent="0.25">
      <c r="A298" s="5">
        <v>44295</v>
      </c>
      <c r="B298">
        <v>418.7047</v>
      </c>
      <c r="C298">
        <v>453.99369999999999</v>
      </c>
      <c r="D298">
        <v>403.19</v>
      </c>
      <c r="E298">
        <v>453.99369999999999</v>
      </c>
      <c r="F298">
        <v>3670424.4330000002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1</v>
      </c>
      <c r="Q298">
        <f t="shared" si="965"/>
        <v>3670424.4330000002</v>
      </c>
      <c r="R298">
        <f t="shared" si="966"/>
        <v>497146744.41545647</v>
      </c>
      <c r="S298">
        <f t="shared" si="967"/>
        <v>4971.4674441545649</v>
      </c>
      <c r="T298">
        <f t="shared" si="968"/>
        <v>4.9714674441545652</v>
      </c>
    </row>
    <row r="299" spans="1:20" x14ac:dyDescent="0.25">
      <c r="A299" s="5">
        <v>44294</v>
      </c>
      <c r="B299">
        <v>375.55380000000002</v>
      </c>
      <c r="C299">
        <v>422.63229999999999</v>
      </c>
      <c r="D299">
        <v>371.78</v>
      </c>
      <c r="E299">
        <v>418.70479999999998</v>
      </c>
      <c r="F299">
        <v>4092498.6379999998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0.84553304373646787</v>
      </c>
      <c r="Q299">
        <f t="shared" si="965"/>
        <v>3460342.8298754892</v>
      </c>
      <c r="R299">
        <f t="shared" si="966"/>
        <v>493476319.98245645</v>
      </c>
      <c r="S299">
        <f t="shared" si="967"/>
        <v>4934.7631998245643</v>
      </c>
      <c r="T299">
        <f t="shared" si="968"/>
        <v>4.9347631998245642</v>
      </c>
    </row>
    <row r="300" spans="1:20" x14ac:dyDescent="0.25">
      <c r="A300" s="5">
        <v>44293</v>
      </c>
      <c r="B300">
        <v>403.26069999999999</v>
      </c>
      <c r="C300">
        <v>414.38029999999998</v>
      </c>
      <c r="D300">
        <v>356</v>
      </c>
      <c r="E300">
        <v>375.55380000000002</v>
      </c>
      <c r="F300">
        <v>6179859.7079999996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-0.33012334640280944</v>
      </c>
      <c r="Q300">
        <f t="shared" si="965"/>
        <v>-2040115.9671048487</v>
      </c>
      <c r="R300">
        <f t="shared" si="966"/>
        <v>490015977.15258098</v>
      </c>
      <c r="S300">
        <f t="shared" si="967"/>
        <v>4900.1597715258094</v>
      </c>
      <c r="T300">
        <f t="shared" si="968"/>
        <v>4.9001597715258098</v>
      </c>
    </row>
    <row r="301" spans="1:20" x14ac:dyDescent="0.25">
      <c r="A301" s="5">
        <v>44292</v>
      </c>
      <c r="B301">
        <v>368.1506</v>
      </c>
      <c r="C301">
        <v>411.755</v>
      </c>
      <c r="D301">
        <v>363.83330000000001</v>
      </c>
      <c r="E301">
        <v>403.3648</v>
      </c>
      <c r="F301">
        <v>4481056.4359999998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0.64983713015189382</v>
      </c>
      <c r="Q301">
        <f t="shared" si="965"/>
        <v>2911956.8544189134</v>
      </c>
      <c r="R301">
        <f t="shared" si="966"/>
        <v>492056093.11968583</v>
      </c>
      <c r="S301">
        <f t="shared" si="967"/>
        <v>4920.5609311968583</v>
      </c>
      <c r="T301">
        <f t="shared" si="968"/>
        <v>4.9205609311968583</v>
      </c>
    </row>
    <row r="302" spans="1:20" x14ac:dyDescent="0.25">
      <c r="A302" s="5">
        <v>44291</v>
      </c>
      <c r="B302">
        <v>348.87049999999999</v>
      </c>
      <c r="C302">
        <v>380</v>
      </c>
      <c r="D302">
        <v>335.8442</v>
      </c>
      <c r="E302">
        <v>368.02629999999999</v>
      </c>
      <c r="F302">
        <v>3473780.0550000002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0.4576612811906926</v>
      </c>
      <c r="Q302">
        <f t="shared" si="965"/>
        <v>1589814.6305459747</v>
      </c>
      <c r="R302">
        <f t="shared" si="966"/>
        <v>489144136.2652669</v>
      </c>
      <c r="S302">
        <f t="shared" si="967"/>
        <v>4891.4413626526693</v>
      </c>
      <c r="T302">
        <f t="shared" si="968"/>
        <v>4.8914413626526692</v>
      </c>
    </row>
    <row r="303" spans="1:20" x14ac:dyDescent="0.25">
      <c r="A303" s="5">
        <v>44290</v>
      </c>
      <c r="B303">
        <v>321.9597</v>
      </c>
      <c r="C303">
        <v>352.32749999999999</v>
      </c>
      <c r="D303">
        <v>316</v>
      </c>
      <c r="E303">
        <v>348.86169999999998</v>
      </c>
      <c r="F303">
        <v>2730876.03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0.809191383937788</v>
      </c>
      <c r="Q303">
        <f t="shared" si="965"/>
        <v>2209801.3540782323</v>
      </c>
      <c r="R303">
        <f t="shared" si="966"/>
        <v>487554321.63472092</v>
      </c>
      <c r="S303">
        <f t="shared" si="967"/>
        <v>4875.5432163472096</v>
      </c>
      <c r="T303">
        <f t="shared" si="968"/>
        <v>4.8755432163472099</v>
      </c>
    </row>
    <row r="304" spans="1:20" x14ac:dyDescent="0.25">
      <c r="A304" s="5">
        <v>44289</v>
      </c>
      <c r="B304">
        <v>338.29320000000001</v>
      </c>
      <c r="C304">
        <v>349.13470000000001</v>
      </c>
      <c r="D304">
        <v>315.91000000000003</v>
      </c>
      <c r="E304">
        <v>321.94970000000001</v>
      </c>
      <c r="F304">
        <v>3099870.8480000002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-0.63643313558888504</v>
      </c>
      <c r="Q304">
        <f t="shared" si="965"/>
        <v>-1972860.5237132162</v>
      </c>
      <c r="R304">
        <f t="shared" si="966"/>
        <v>485344520.28064269</v>
      </c>
      <c r="S304">
        <f t="shared" si="967"/>
        <v>4853.445202806427</v>
      </c>
      <c r="T304">
        <f t="shared" si="968"/>
        <v>4.8534452028064274</v>
      </c>
    </row>
    <row r="305" spans="1:20" x14ac:dyDescent="0.25">
      <c r="A305" s="5">
        <v>44288</v>
      </c>
      <c r="B305">
        <v>334.67059999999998</v>
      </c>
      <c r="C305">
        <v>356.98820000000001</v>
      </c>
      <c r="D305">
        <v>324.61619999999999</v>
      </c>
      <c r="E305">
        <v>338.29320000000001</v>
      </c>
      <c r="F305">
        <v>4205858.4780000001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-0.15501050290374305</v>
      </c>
      <c r="Q305">
        <f t="shared" si="965"/>
        <v>-651952.23781675135</v>
      </c>
      <c r="R305">
        <f t="shared" si="966"/>
        <v>487317380.80435592</v>
      </c>
      <c r="S305">
        <f t="shared" si="967"/>
        <v>4873.1738080435589</v>
      </c>
      <c r="T305">
        <f t="shared" si="968"/>
        <v>4.8731738080435587</v>
      </c>
    </row>
    <row r="306" spans="1:20" x14ac:dyDescent="0.25">
      <c r="A306" s="5">
        <v>44287</v>
      </c>
      <c r="B306">
        <v>302.45909999999998</v>
      </c>
      <c r="C306">
        <v>339</v>
      </c>
      <c r="D306">
        <v>300.7</v>
      </c>
      <c r="E306">
        <v>334.79910000000001</v>
      </c>
      <c r="F306">
        <v>4390708.5810000002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0.78063185378590139</v>
      </c>
      <c r="Q306">
        <f t="shared" si="965"/>
        <v>3427526.979019695</v>
      </c>
      <c r="R306">
        <f t="shared" si="966"/>
        <v>487969333.04217267</v>
      </c>
      <c r="S306">
        <f t="shared" si="967"/>
        <v>4879.6933304217264</v>
      </c>
      <c r="T306">
        <f t="shared" si="968"/>
        <v>4.879693330421726</v>
      </c>
    </row>
    <row r="307" spans="1:20" x14ac:dyDescent="0.25">
      <c r="A307" s="5">
        <v>44286</v>
      </c>
      <c r="B307">
        <v>311.2962</v>
      </c>
      <c r="C307">
        <v>316.69970000000001</v>
      </c>
      <c r="D307">
        <v>284</v>
      </c>
      <c r="E307">
        <v>302.37240000000003</v>
      </c>
      <c r="F307">
        <v>4719335.5060000001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0.1237044988180334</v>
      </c>
      <c r="Q307">
        <f t="shared" si="965"/>
        <v>583803.03352388006</v>
      </c>
      <c r="R307">
        <f t="shared" si="966"/>
        <v>484541806.06315297</v>
      </c>
      <c r="S307">
        <f t="shared" si="967"/>
        <v>4845.4180606315294</v>
      </c>
      <c r="T307">
        <f t="shared" si="968"/>
        <v>4.8454180606315296</v>
      </c>
    </row>
    <row r="308" spans="1:20" x14ac:dyDescent="0.25">
      <c r="A308" s="5">
        <v>44285</v>
      </c>
      <c r="B308">
        <v>275.29860000000002</v>
      </c>
      <c r="C308">
        <v>311.53250000000003</v>
      </c>
      <c r="D308">
        <v>271.28570000000002</v>
      </c>
      <c r="E308">
        <v>311.2962</v>
      </c>
      <c r="F308">
        <v>5532768.3300000001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0.98825745152409494</v>
      </c>
      <c r="Q308">
        <f t="shared" si="965"/>
        <v>5467799.5296790227</v>
      </c>
      <c r="R308">
        <f t="shared" si="966"/>
        <v>483958003.02962911</v>
      </c>
      <c r="S308">
        <f t="shared" si="967"/>
        <v>4839.5800302962907</v>
      </c>
      <c r="T308">
        <f t="shared" si="968"/>
        <v>4.8395800302962906</v>
      </c>
    </row>
    <row r="309" spans="1:20" x14ac:dyDescent="0.25">
      <c r="A309" s="5">
        <v>44284</v>
      </c>
      <c r="B309">
        <v>268.6234</v>
      </c>
      <c r="C309">
        <v>277.98129999999998</v>
      </c>
      <c r="D309">
        <v>264.45850000000002</v>
      </c>
      <c r="E309">
        <v>275.29910000000001</v>
      </c>
      <c r="F309">
        <v>2728496.99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0.60330700742450172</v>
      </c>
      <c r="Q309">
        <f t="shared" si="965"/>
        <v>1646121.3538036607</v>
      </c>
      <c r="R309">
        <f t="shared" si="966"/>
        <v>478490203.49995011</v>
      </c>
      <c r="S309">
        <f t="shared" si="967"/>
        <v>4784.9020349995008</v>
      </c>
      <c r="T309">
        <f t="shared" si="968"/>
        <v>4.7849020349995008</v>
      </c>
    </row>
    <row r="310" spans="1:20" x14ac:dyDescent="0.25">
      <c r="A310" s="5">
        <v>44283</v>
      </c>
      <c r="B310">
        <v>269.28640000000001</v>
      </c>
      <c r="C310">
        <v>281.39389999999997</v>
      </c>
      <c r="D310">
        <v>261</v>
      </c>
      <c r="E310">
        <v>268.42630000000003</v>
      </c>
      <c r="F310">
        <v>3272613.7549999999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-0.27171360063548067</v>
      </c>
      <c r="Q310">
        <f t="shared" si="965"/>
        <v>-889213.66686025076</v>
      </c>
      <c r="R310">
        <f t="shared" si="966"/>
        <v>476844082.14614648</v>
      </c>
      <c r="S310">
        <f t="shared" si="967"/>
        <v>4768.440821461465</v>
      </c>
      <c r="T310">
        <f t="shared" si="968"/>
        <v>4.7684408214614651</v>
      </c>
    </row>
    <row r="311" spans="1:20" x14ac:dyDescent="0.25">
      <c r="A311" s="5">
        <v>44282</v>
      </c>
      <c r="B311">
        <v>255.12010000000001</v>
      </c>
      <c r="C311">
        <v>276</v>
      </c>
      <c r="D311">
        <v>249.5001</v>
      </c>
      <c r="E311">
        <v>269.22340000000003</v>
      </c>
      <c r="F311">
        <v>3089181.8480000002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0.48855656059079661</v>
      </c>
      <c r="Q311">
        <f t="shared" si="965"/>
        <v>1509240.0586984011</v>
      </c>
      <c r="R311">
        <f t="shared" si="966"/>
        <v>477733295.8130067</v>
      </c>
      <c r="S311">
        <f t="shared" si="967"/>
        <v>4777.3329581300668</v>
      </c>
      <c r="T311">
        <f t="shared" si="968"/>
        <v>4.7773329581300672</v>
      </c>
    </row>
    <row r="312" spans="1:20" x14ac:dyDescent="0.25">
      <c r="A312" s="5">
        <v>44281</v>
      </c>
      <c r="B312">
        <v>234.00239999999999</v>
      </c>
      <c r="C312">
        <v>255.21129999999999</v>
      </c>
      <c r="D312">
        <v>233.81139999999999</v>
      </c>
      <c r="E312">
        <v>255.2105</v>
      </c>
      <c r="F312">
        <v>2635329.1549999998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0.99992523329548288</v>
      </c>
      <c r="Q312">
        <f t="shared" si="965"/>
        <v>2635132.1201237626</v>
      </c>
      <c r="R312">
        <f t="shared" si="966"/>
        <v>476224055.75430828</v>
      </c>
      <c r="S312">
        <f t="shared" si="967"/>
        <v>4762.240557543083</v>
      </c>
      <c r="T312">
        <f t="shared" si="968"/>
        <v>4.7622405575430831</v>
      </c>
    </row>
    <row r="313" spans="1:20" x14ac:dyDescent="0.25">
      <c r="A313" s="5">
        <v>44280</v>
      </c>
      <c r="B313">
        <v>248.53450000000001</v>
      </c>
      <c r="C313">
        <v>250.09119999999999</v>
      </c>
      <c r="D313">
        <v>224.96860000000001</v>
      </c>
      <c r="E313">
        <v>233.94659999999999</v>
      </c>
      <c r="F313">
        <v>3498082.827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-0.2852650601450496</v>
      </c>
      <c r="Q313">
        <f t="shared" si="965"/>
        <v>-997880.80803652015</v>
      </c>
      <c r="R313">
        <f t="shared" si="966"/>
        <v>473588923.63418454</v>
      </c>
      <c r="S313">
        <f t="shared" si="967"/>
        <v>4735.8892363418454</v>
      </c>
      <c r="T313">
        <f t="shared" si="968"/>
        <v>4.735889236341845</v>
      </c>
    </row>
    <row r="314" spans="1:20" x14ac:dyDescent="0.25">
      <c r="A314" s="5">
        <v>44279</v>
      </c>
      <c r="B314">
        <v>255.51910000000001</v>
      </c>
      <c r="C314">
        <v>268.70620000000002</v>
      </c>
      <c r="D314">
        <v>240.33330000000001</v>
      </c>
      <c r="E314">
        <v>248.52359999999999</v>
      </c>
      <c r="F314">
        <v>3270691.7949999999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-0.42266740445989132</v>
      </c>
      <c r="Q314">
        <f t="shared" si="965"/>
        <v>-1382414.8117809128</v>
      </c>
      <c r="R314">
        <f t="shared" si="966"/>
        <v>474586804.44222105</v>
      </c>
      <c r="S314">
        <f t="shared" si="967"/>
        <v>4745.86804442221</v>
      </c>
      <c r="T314">
        <f t="shared" si="968"/>
        <v>4.7458680444222097</v>
      </c>
    </row>
    <row r="315" spans="1:20" x14ac:dyDescent="0.25">
      <c r="A315" s="5">
        <v>44278</v>
      </c>
      <c r="B315">
        <v>254.96889999999999</v>
      </c>
      <c r="C315">
        <v>262.97000000000003</v>
      </c>
      <c r="D315">
        <v>251.83799999999999</v>
      </c>
      <c r="E315">
        <v>255.46459999999999</v>
      </c>
      <c r="F315">
        <v>2587450.7319999998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-0.34843693855551827</v>
      </c>
      <c r="Q315">
        <f t="shared" si="965"/>
        <v>-901563.41172131477</v>
      </c>
      <c r="R315">
        <f t="shared" si="966"/>
        <v>475969219.25400198</v>
      </c>
      <c r="S315">
        <f t="shared" si="967"/>
        <v>4759.6921925400202</v>
      </c>
      <c r="T315">
        <f t="shared" si="968"/>
        <v>4.7596921925400206</v>
      </c>
    </row>
    <row r="316" spans="1:20" x14ac:dyDescent="0.25">
      <c r="A316" s="5">
        <v>44277</v>
      </c>
      <c r="B316">
        <v>264.71519999999998</v>
      </c>
      <c r="C316">
        <v>277</v>
      </c>
      <c r="D316">
        <v>252.91640000000001</v>
      </c>
      <c r="E316">
        <v>254.79759999999999</v>
      </c>
      <c r="F316">
        <v>3265655.8309999998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-0.84377750834593013</v>
      </c>
      <c r="Q316">
        <f t="shared" si="965"/>
        <v>-2755486.9401965379</v>
      </c>
      <c r="R316">
        <f t="shared" si="966"/>
        <v>476870782.66572326</v>
      </c>
      <c r="S316">
        <f t="shared" si="967"/>
        <v>4768.7078266572325</v>
      </c>
      <c r="T316">
        <f t="shared" si="968"/>
        <v>4.7687078266572325</v>
      </c>
    </row>
    <row r="317" spans="1:20" x14ac:dyDescent="0.25">
      <c r="A317" s="5">
        <v>44276</v>
      </c>
      <c r="B317">
        <v>264.22129999999999</v>
      </c>
      <c r="C317">
        <v>268.03050000000002</v>
      </c>
      <c r="D317">
        <v>257.00009999999997</v>
      </c>
      <c r="E317">
        <v>264.65129999999999</v>
      </c>
      <c r="F317">
        <v>1973476.754</v>
      </c>
      <c r="G317">
        <v>0</v>
      </c>
      <c r="L317" t="s">
        <v>8</v>
      </c>
      <c r="M317" t="s">
        <v>7</v>
      </c>
      <c r="N317" t="s">
        <v>8</v>
      </c>
      <c r="P317">
        <f t="shared" si="964"/>
        <v>0.3872932985204503</v>
      </c>
      <c r="Q317">
        <f t="shared" si="965"/>
        <v>764314.32161009125</v>
      </c>
      <c r="R317">
        <f t="shared" si="966"/>
        <v>479626269.60591978</v>
      </c>
      <c r="S317">
        <f t="shared" si="967"/>
        <v>4796.2626960591979</v>
      </c>
      <c r="T317">
        <f t="shared" si="968"/>
        <v>4.7962626960591983</v>
      </c>
    </row>
    <row r="318" spans="1:20" x14ac:dyDescent="0.25">
      <c r="A318" s="5">
        <v>44275</v>
      </c>
      <c r="B318">
        <v>263.10829999999999</v>
      </c>
      <c r="C318">
        <v>274.68049999999999</v>
      </c>
      <c r="D318">
        <v>261.39999999999998</v>
      </c>
      <c r="E318">
        <v>264.3023</v>
      </c>
      <c r="F318">
        <v>2377018.11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-0.56292308271525604</v>
      </c>
      <c r="Q318">
        <f t="shared" si="965"/>
        <v>-1338078.3621511916</v>
      </c>
      <c r="R318">
        <f t="shared" si="966"/>
        <v>478861955.28430969</v>
      </c>
      <c r="S318">
        <f t="shared" si="967"/>
        <v>4788.6195528430972</v>
      </c>
      <c r="T318">
        <f t="shared" si="968"/>
        <v>4.7886195528430973</v>
      </c>
    </row>
    <row r="319" spans="1:20" x14ac:dyDescent="0.25">
      <c r="A319" s="5">
        <v>44274</v>
      </c>
      <c r="B319">
        <v>261.51569999999998</v>
      </c>
      <c r="C319">
        <v>269</v>
      </c>
      <c r="D319">
        <v>255</v>
      </c>
      <c r="E319">
        <v>262.935</v>
      </c>
      <c r="F319">
        <v>2262870.6529999999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0.1335714285714289</v>
      </c>
      <c r="Q319">
        <f t="shared" si="965"/>
        <v>302254.86579357216</v>
      </c>
      <c r="R319">
        <f t="shared" si="966"/>
        <v>480200033.64646089</v>
      </c>
      <c r="S319">
        <f t="shared" si="967"/>
        <v>4802.0003364646091</v>
      </c>
      <c r="T319">
        <f t="shared" si="968"/>
        <v>4.8020003364646087</v>
      </c>
    </row>
    <row r="320" spans="1:20" x14ac:dyDescent="0.25">
      <c r="A320" s="5">
        <v>44273</v>
      </c>
      <c r="B320">
        <v>269.8578</v>
      </c>
      <c r="C320">
        <v>277.8</v>
      </c>
      <c r="D320">
        <v>257.01</v>
      </c>
      <c r="E320">
        <v>261.48160000000001</v>
      </c>
      <c r="F320">
        <v>3152509.5890000002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-0.56983164983164802</v>
      </c>
      <c r="Q320">
        <f t="shared" si="965"/>
        <v>-1796399.7402099606</v>
      </c>
      <c r="R320">
        <f t="shared" si="966"/>
        <v>479897778.7806673</v>
      </c>
      <c r="S320">
        <f t="shared" si="967"/>
        <v>4798.9777878066734</v>
      </c>
      <c r="T320">
        <f t="shared" si="968"/>
        <v>4.7989777878066731</v>
      </c>
    </row>
    <row r="321" spans="1:20" x14ac:dyDescent="0.25">
      <c r="A321" s="5">
        <v>44272</v>
      </c>
      <c r="B321">
        <v>258.56110000000001</v>
      </c>
      <c r="C321">
        <v>272.17869999999999</v>
      </c>
      <c r="D321">
        <v>248.20009999999999</v>
      </c>
      <c r="E321">
        <v>269.78960000000001</v>
      </c>
      <c r="F321">
        <v>2856836.9190000002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0.8007306514975866</v>
      </c>
      <c r="Q321">
        <f t="shared" si="965"/>
        <v>2287556.8873732281</v>
      </c>
      <c r="R321">
        <f t="shared" si="966"/>
        <v>481694178.52087724</v>
      </c>
      <c r="S321">
        <f t="shared" si="967"/>
        <v>4816.9417852087727</v>
      </c>
      <c r="T321">
        <f t="shared" si="968"/>
        <v>4.8169417852087726</v>
      </c>
    </row>
    <row r="322" spans="1:20" x14ac:dyDescent="0.25">
      <c r="A322" s="5">
        <v>44271</v>
      </c>
      <c r="B322">
        <v>254.38939999999999</v>
      </c>
      <c r="C322">
        <v>259.78469999999999</v>
      </c>
      <c r="D322">
        <v>240.19900000000001</v>
      </c>
      <c r="E322">
        <v>258.53519999999997</v>
      </c>
      <c r="F322">
        <v>3013229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0.87240690912247065</v>
      </c>
      <c r="Q322">
        <f t="shared" si="965"/>
        <v>2628761.7983681932</v>
      </c>
      <c r="R322">
        <f t="shared" si="966"/>
        <v>479406621.63350403</v>
      </c>
      <c r="S322">
        <f t="shared" si="967"/>
        <v>4794.0662163350407</v>
      </c>
      <c r="T322">
        <f t="shared" si="968"/>
        <v>4.7940662163350405</v>
      </c>
    </row>
    <row r="323" spans="1:20" x14ac:dyDescent="0.25">
      <c r="A323" s="5">
        <v>44270</v>
      </c>
      <c r="B323">
        <v>263.35000000000002</v>
      </c>
      <c r="C323">
        <v>267.74529999999999</v>
      </c>
      <c r="D323">
        <v>249.53270000000001</v>
      </c>
      <c r="E323">
        <v>254.51439999999999</v>
      </c>
      <c r="F323">
        <v>3362734.1430000002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-0.45293917397845507</v>
      </c>
      <c r="Q323">
        <f t="shared" si="965"/>
        <v>-1523114.0250395681</v>
      </c>
      <c r="R323">
        <f t="shared" si="966"/>
        <v>476777859.83513582</v>
      </c>
      <c r="S323">
        <f t="shared" si="967"/>
        <v>4767.7785983513586</v>
      </c>
      <c r="T323">
        <f t="shared" si="968"/>
        <v>4.7677785983513585</v>
      </c>
    </row>
    <row r="324" spans="1:20" x14ac:dyDescent="0.25">
      <c r="A324" s="5">
        <v>44269</v>
      </c>
      <c r="B324">
        <v>276.28919999999999</v>
      </c>
      <c r="C324">
        <v>276.88470000000001</v>
      </c>
      <c r="D324">
        <v>263.00029999999998</v>
      </c>
      <c r="E324">
        <v>263.238</v>
      </c>
      <c r="F324">
        <v>2432196.5350000001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-0.9657601336752013</v>
      </c>
      <c r="Q324">
        <f t="shared" si="965"/>
        <v>-2348918.4507659618</v>
      </c>
      <c r="R324">
        <f t="shared" si="966"/>
        <v>478300973.86017537</v>
      </c>
      <c r="S324">
        <f t="shared" si="967"/>
        <v>4783.0097386017533</v>
      </c>
      <c r="T324">
        <f t="shared" si="968"/>
        <v>4.7830097386017529</v>
      </c>
    </row>
    <row r="325" spans="1:20" x14ac:dyDescent="0.25">
      <c r="A325" s="5">
        <v>44268</v>
      </c>
      <c r="B325">
        <v>263.19200000000001</v>
      </c>
      <c r="C325">
        <v>284.28570000000002</v>
      </c>
      <c r="D325">
        <v>255.42060000000001</v>
      </c>
      <c r="E325">
        <v>276.28219999999999</v>
      </c>
      <c r="F325">
        <v>3902398.3859999999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0.44545489189366899</v>
      </c>
      <c r="Q325">
        <f t="shared" si="965"/>
        <v>1738342.4511616584</v>
      </c>
      <c r="R325">
        <f t="shared" si="966"/>
        <v>480649892.31094134</v>
      </c>
      <c r="S325">
        <f t="shared" si="967"/>
        <v>4806.4989231094132</v>
      </c>
      <c r="T325">
        <f t="shared" si="968"/>
        <v>4.8064989231094133</v>
      </c>
    </row>
    <row r="326" spans="1:20" x14ac:dyDescent="0.25">
      <c r="A326" s="5">
        <v>44267</v>
      </c>
      <c r="B326">
        <v>289.786</v>
      </c>
      <c r="C326">
        <v>290.5</v>
      </c>
      <c r="D326">
        <v>247.5547</v>
      </c>
      <c r="E326">
        <v>263.2201</v>
      </c>
      <c r="F326">
        <v>5905880.8700000001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-0.27044868705073644</v>
      </c>
      <c r="Q326">
        <f t="shared" ref="Q326:Q389" si="970">F326*P326</f>
        <v>-1597237.727169561</v>
      </c>
      <c r="R326">
        <f t="shared" ref="R326:R389" si="971">R327+Q326</f>
        <v>478911549.85977966</v>
      </c>
      <c r="S326">
        <f t="shared" ref="S326:S389" si="972">R326/100000</f>
        <v>4789.1154985977964</v>
      </c>
      <c r="T326">
        <f t="shared" ref="T326:T389" si="973">S326/1000</f>
        <v>4.7891154985977966</v>
      </c>
    </row>
    <row r="327" spans="1:20" x14ac:dyDescent="0.25">
      <c r="A327" s="5">
        <v>44266</v>
      </c>
      <c r="B327">
        <v>278.35219999999998</v>
      </c>
      <c r="C327">
        <v>315.28550000000001</v>
      </c>
      <c r="D327">
        <v>272.12</v>
      </c>
      <c r="E327">
        <v>290.0301</v>
      </c>
      <c r="F327">
        <v>6598662.2070000004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-0.17016598904217506</v>
      </c>
      <c r="Q327">
        <f t="shared" si="970"/>
        <v>-1122867.8808093767</v>
      </c>
      <c r="R327">
        <f t="shared" si="971"/>
        <v>480508787.58694923</v>
      </c>
      <c r="S327">
        <f t="shared" si="972"/>
        <v>4805.0878758694926</v>
      </c>
      <c r="T327">
        <f t="shared" si="973"/>
        <v>4.8050878758694928</v>
      </c>
    </row>
    <row r="328" spans="1:20" x14ac:dyDescent="0.25">
      <c r="A328" s="5">
        <v>44265</v>
      </c>
      <c r="B328">
        <v>293.13049999999998</v>
      </c>
      <c r="C328">
        <v>295.5</v>
      </c>
      <c r="D328">
        <v>263.8184</v>
      </c>
      <c r="E328">
        <v>278.44990000000001</v>
      </c>
      <c r="F328">
        <v>6012304.148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-7.6340841371646928E-2</v>
      </c>
      <c r="Q328">
        <f t="shared" si="970"/>
        <v>-458984.35724056285</v>
      </c>
      <c r="R328">
        <f t="shared" si="971"/>
        <v>481631655.4677586</v>
      </c>
      <c r="S328">
        <f t="shared" si="972"/>
        <v>4816.3165546775863</v>
      </c>
      <c r="T328">
        <f t="shared" si="973"/>
        <v>4.8163165546775861</v>
      </c>
    </row>
    <row r="329" spans="1:20" x14ac:dyDescent="0.25">
      <c r="A329" s="5">
        <v>44264</v>
      </c>
      <c r="B329">
        <v>240.7852</v>
      </c>
      <c r="C329">
        <v>297.2962</v>
      </c>
      <c r="D329">
        <v>235.6001</v>
      </c>
      <c r="E329">
        <v>293.20519999999999</v>
      </c>
      <c r="F329">
        <v>7937298.7079999996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0.86738221702830465</v>
      </c>
      <c r="Q329">
        <f t="shared" si="970"/>
        <v>6884671.7505609374</v>
      </c>
      <c r="R329">
        <f t="shared" si="971"/>
        <v>482090639.82499915</v>
      </c>
      <c r="S329">
        <f t="shared" si="972"/>
        <v>4820.906398249992</v>
      </c>
      <c r="T329">
        <f t="shared" si="973"/>
        <v>4.820906398249992</v>
      </c>
    </row>
    <row r="330" spans="1:20" x14ac:dyDescent="0.25">
      <c r="A330" s="5">
        <v>44263</v>
      </c>
      <c r="B330">
        <v>240.10390000000001</v>
      </c>
      <c r="C330">
        <v>243.0986</v>
      </c>
      <c r="D330">
        <v>228.7029</v>
      </c>
      <c r="E330">
        <v>240.55090000000001</v>
      </c>
      <c r="F330">
        <v>3045991.9679999999</v>
      </c>
      <c r="G330">
        <v>0</v>
      </c>
      <c r="L330" t="s">
        <v>8</v>
      </c>
      <c r="M330" t="s">
        <v>7</v>
      </c>
      <c r="N330" t="s">
        <v>7</v>
      </c>
      <c r="P330">
        <f t="shared" si="969"/>
        <v>0.64604708350410323</v>
      </c>
      <c r="Q330">
        <f t="shared" si="970"/>
        <v>1967854.2273033236</v>
      </c>
      <c r="R330">
        <f t="shared" si="971"/>
        <v>475205968.07443821</v>
      </c>
      <c r="S330">
        <f t="shared" si="972"/>
        <v>4752.0596807443817</v>
      </c>
      <c r="T330">
        <f t="shared" si="973"/>
        <v>4.7520596807443818</v>
      </c>
    </row>
    <row r="331" spans="1:20" x14ac:dyDescent="0.25">
      <c r="A331" s="5">
        <v>44262</v>
      </c>
      <c r="B331">
        <v>226.38120000000001</v>
      </c>
      <c r="C331">
        <v>243.95</v>
      </c>
      <c r="D331">
        <v>224.95419999999999</v>
      </c>
      <c r="E331">
        <v>240.11</v>
      </c>
      <c r="F331">
        <v>3519962.929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0.59570010212784152</v>
      </c>
      <c r="Q331">
        <f t="shared" si="970"/>
        <v>2096842.2762915161</v>
      </c>
      <c r="R331">
        <f t="shared" si="971"/>
        <v>473238113.84713489</v>
      </c>
      <c r="S331">
        <f t="shared" si="972"/>
        <v>4732.381138471349</v>
      </c>
      <c r="T331">
        <f t="shared" si="973"/>
        <v>4.7323811384713492</v>
      </c>
    </row>
    <row r="332" spans="1:20" x14ac:dyDescent="0.25">
      <c r="A332" s="5">
        <v>44261</v>
      </c>
      <c r="B332">
        <v>225.53909999999999</v>
      </c>
      <c r="C332">
        <v>232.49959999999999</v>
      </c>
      <c r="D332">
        <v>219.1514</v>
      </c>
      <c r="E332">
        <v>226.38140000000001</v>
      </c>
      <c r="F332">
        <v>2663375.5359999998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8.3292129275860841E-2</v>
      </c>
      <c r="Q332">
        <f t="shared" si="970"/>
        <v>221838.21945467714</v>
      </c>
      <c r="R332">
        <f t="shared" si="971"/>
        <v>471141271.5708434</v>
      </c>
      <c r="S332">
        <f t="shared" si="972"/>
        <v>4711.412715708434</v>
      </c>
      <c r="T332">
        <f t="shared" si="973"/>
        <v>4.711412715708434</v>
      </c>
    </row>
    <row r="333" spans="1:20" x14ac:dyDescent="0.25">
      <c r="A333" s="5">
        <v>44260</v>
      </c>
      <c r="B333">
        <v>229.6369</v>
      </c>
      <c r="C333">
        <v>232.2</v>
      </c>
      <c r="D333">
        <v>215.6439</v>
      </c>
      <c r="E333">
        <v>225.47139999999999</v>
      </c>
      <c r="F333">
        <v>3654842.8050000002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0.18717572375136587</v>
      </c>
      <c r="Q333">
        <f t="shared" si="970"/>
        <v>684097.84722334717</v>
      </c>
      <c r="R333">
        <f t="shared" si="971"/>
        <v>470919433.35138869</v>
      </c>
      <c r="S333">
        <f t="shared" si="972"/>
        <v>4709.1943335138867</v>
      </c>
      <c r="T333">
        <f t="shared" si="973"/>
        <v>4.7091943335138868</v>
      </c>
    </row>
    <row r="334" spans="1:20" x14ac:dyDescent="0.25">
      <c r="A334" s="5">
        <v>44259</v>
      </c>
      <c r="B334">
        <v>240.48009999999999</v>
      </c>
      <c r="C334">
        <v>249.98849999999999</v>
      </c>
      <c r="D334">
        <v>225.5308</v>
      </c>
      <c r="E334">
        <v>229.6369</v>
      </c>
      <c r="F334">
        <v>3999983.8360000001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-0.66422844339410492</v>
      </c>
      <c r="Q334">
        <f t="shared" si="970"/>
        <v>-2656903.0369878607</v>
      </c>
      <c r="R334">
        <f t="shared" si="971"/>
        <v>470235335.50416535</v>
      </c>
      <c r="S334">
        <f t="shared" si="972"/>
        <v>4702.3533550416532</v>
      </c>
      <c r="T334">
        <f t="shared" si="973"/>
        <v>4.7023533550416534</v>
      </c>
    </row>
    <row r="335" spans="1:20" x14ac:dyDescent="0.25">
      <c r="A335" s="5">
        <v>44258</v>
      </c>
      <c r="B335">
        <v>239.72040000000001</v>
      </c>
      <c r="C335">
        <v>254.84809999999999</v>
      </c>
      <c r="D335">
        <v>236.00200000000001</v>
      </c>
      <c r="E335">
        <v>240.5701</v>
      </c>
      <c r="F335">
        <v>4278388.733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-0.51522065573248665</v>
      </c>
      <c r="Q335">
        <f t="shared" si="970"/>
        <v>-2204314.2484947429</v>
      </c>
      <c r="R335">
        <f t="shared" si="971"/>
        <v>472892238.54115319</v>
      </c>
      <c r="S335">
        <f t="shared" si="972"/>
        <v>4728.9223854115316</v>
      </c>
      <c r="T335">
        <f t="shared" si="973"/>
        <v>4.7289223854115319</v>
      </c>
    </row>
    <row r="336" spans="1:20" x14ac:dyDescent="0.25">
      <c r="A336" s="5">
        <v>44257</v>
      </c>
      <c r="B336">
        <v>254.9486</v>
      </c>
      <c r="C336">
        <v>264.89999999999998</v>
      </c>
      <c r="D336">
        <v>227</v>
      </c>
      <c r="E336">
        <v>239.6841</v>
      </c>
      <c r="F336">
        <v>5386013.7939999998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-0.33065435356200484</v>
      </c>
      <c r="Q336">
        <f t="shared" si="970"/>
        <v>-1780908.909331111</v>
      </c>
      <c r="R336">
        <f t="shared" si="971"/>
        <v>475096552.78964794</v>
      </c>
      <c r="S336">
        <f t="shared" si="972"/>
        <v>4750.9655278964792</v>
      </c>
      <c r="T336">
        <f t="shared" si="973"/>
        <v>4.7509655278964793</v>
      </c>
    </row>
    <row r="337" spans="1:20" x14ac:dyDescent="0.25">
      <c r="A337" s="5">
        <v>44256</v>
      </c>
      <c r="B337">
        <v>210.11770000000001</v>
      </c>
      <c r="C337">
        <v>260</v>
      </c>
      <c r="D337">
        <v>209.12039999999999</v>
      </c>
      <c r="E337">
        <v>254.96369999999999</v>
      </c>
      <c r="F337">
        <v>7911568.1940000001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0.8020306763417947</v>
      </c>
      <c r="Q337">
        <f t="shared" si="970"/>
        <v>6345320.3895580517</v>
      </c>
      <c r="R337">
        <f t="shared" si="971"/>
        <v>476877461.69897902</v>
      </c>
      <c r="S337">
        <f t="shared" si="972"/>
        <v>4768.77461698979</v>
      </c>
      <c r="T337">
        <f t="shared" si="973"/>
        <v>4.7687746169897904</v>
      </c>
    </row>
    <row r="338" spans="1:20" x14ac:dyDescent="0.25">
      <c r="A338" s="5">
        <v>44255</v>
      </c>
      <c r="B338">
        <v>225.45670000000001</v>
      </c>
      <c r="C338">
        <v>229.4</v>
      </c>
      <c r="D338">
        <v>195</v>
      </c>
      <c r="E338">
        <v>210.21379999999999</v>
      </c>
      <c r="F338">
        <v>5674373.2489999998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-0.11547674418604713</v>
      </c>
      <c r="Q338">
        <f t="shared" si="970"/>
        <v>-655258.14809092204</v>
      </c>
      <c r="R338">
        <f t="shared" si="971"/>
        <v>470532141.30942094</v>
      </c>
      <c r="S338">
        <f t="shared" si="972"/>
        <v>4705.3214130942097</v>
      </c>
      <c r="T338">
        <f t="shared" si="973"/>
        <v>4.70532141309421</v>
      </c>
    </row>
    <row r="339" spans="1:20" x14ac:dyDescent="0.25">
      <c r="A339" s="5">
        <v>44254</v>
      </c>
      <c r="B339">
        <v>221.95920000000001</v>
      </c>
      <c r="C339">
        <v>237.77</v>
      </c>
      <c r="D339">
        <v>219.011</v>
      </c>
      <c r="E339">
        <v>225.3853</v>
      </c>
      <c r="F339">
        <v>4192697.1519999998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-0.32040087424702807</v>
      </c>
      <c r="Q339">
        <f t="shared" si="970"/>
        <v>-1343343.8329538247</v>
      </c>
      <c r="R339">
        <f t="shared" si="971"/>
        <v>471187399.45751184</v>
      </c>
      <c r="S339">
        <f t="shared" si="972"/>
        <v>4711.8739945751186</v>
      </c>
      <c r="T339">
        <f t="shared" si="973"/>
        <v>4.7118739945751189</v>
      </c>
    </row>
    <row r="340" spans="1:20" x14ac:dyDescent="0.25">
      <c r="A340" s="5">
        <v>44253</v>
      </c>
      <c r="B340">
        <v>234.76050000000001</v>
      </c>
      <c r="C340">
        <v>239.4</v>
      </c>
      <c r="D340">
        <v>209.10499999999999</v>
      </c>
      <c r="E340">
        <v>221.71700000000001</v>
      </c>
      <c r="F340">
        <v>7410706.3849999998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-0.16738735764977611</v>
      </c>
      <c r="Q340">
        <f t="shared" si="970"/>
        <v>-1240458.5601034744</v>
      </c>
      <c r="R340">
        <f t="shared" si="971"/>
        <v>472530743.29046565</v>
      </c>
      <c r="S340">
        <f t="shared" si="972"/>
        <v>4725.3074329046567</v>
      </c>
      <c r="T340">
        <f t="shared" si="973"/>
        <v>4.7253074329046569</v>
      </c>
    </row>
    <row r="341" spans="1:20" x14ac:dyDescent="0.25">
      <c r="A341" s="5">
        <v>44252</v>
      </c>
      <c r="B341">
        <v>254.3826</v>
      </c>
      <c r="C341">
        <v>265.40140000000002</v>
      </c>
      <c r="D341">
        <v>231.5</v>
      </c>
      <c r="E341">
        <v>234.91460000000001</v>
      </c>
      <c r="F341">
        <v>6871992.7939999998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-0.79855699174665329</v>
      </c>
      <c r="Q341">
        <f t="shared" si="970"/>
        <v>-5487677.8928813189</v>
      </c>
      <c r="R341">
        <f t="shared" si="971"/>
        <v>473771201.85056913</v>
      </c>
      <c r="S341">
        <f t="shared" si="972"/>
        <v>4737.712018505691</v>
      </c>
      <c r="T341">
        <f t="shared" si="973"/>
        <v>4.7377120185056913</v>
      </c>
    </row>
    <row r="342" spans="1:20" x14ac:dyDescent="0.25">
      <c r="A342" s="5">
        <v>44251</v>
      </c>
      <c r="B342">
        <v>231.3646</v>
      </c>
      <c r="C342">
        <v>281</v>
      </c>
      <c r="D342">
        <v>213.0257</v>
      </c>
      <c r="E342">
        <v>254.50559999999999</v>
      </c>
      <c r="F342">
        <v>11777825.187000001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0.2204583202769278</v>
      </c>
      <c r="Q342">
        <f t="shared" si="970"/>
        <v>2596519.5572413132</v>
      </c>
      <c r="R342">
        <f t="shared" si="971"/>
        <v>479258879.74345046</v>
      </c>
      <c r="S342">
        <f t="shared" si="972"/>
        <v>4792.5887974345051</v>
      </c>
      <c r="T342">
        <f t="shared" si="973"/>
        <v>4.7925887974345054</v>
      </c>
    </row>
    <row r="343" spans="1:20" x14ac:dyDescent="0.25">
      <c r="A343" s="5">
        <v>44250</v>
      </c>
      <c r="B343">
        <v>267.1721</v>
      </c>
      <c r="C343">
        <v>269.44400000000002</v>
      </c>
      <c r="D343">
        <v>186.1</v>
      </c>
      <c r="E343">
        <v>231.3646</v>
      </c>
      <c r="F343">
        <v>15879767.559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8.621136494528675E-2</v>
      </c>
      <c r="Q343">
        <f t="shared" si="970"/>
        <v>1369016.4362752745</v>
      </c>
      <c r="R343">
        <f t="shared" si="971"/>
        <v>476662360.18620914</v>
      </c>
      <c r="S343">
        <f t="shared" si="972"/>
        <v>4766.6236018620912</v>
      </c>
      <c r="T343">
        <f t="shared" si="973"/>
        <v>4.7666236018620909</v>
      </c>
    </row>
    <row r="344" spans="1:20" x14ac:dyDescent="0.25">
      <c r="A344" s="5">
        <v>44249</v>
      </c>
      <c r="B344">
        <v>294.91669999999999</v>
      </c>
      <c r="C344">
        <v>296</v>
      </c>
      <c r="D344">
        <v>220.5</v>
      </c>
      <c r="E344">
        <v>267.5147</v>
      </c>
      <c r="F344">
        <v>12604399.402000001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0.24542251655629152</v>
      </c>
      <c r="Q344">
        <f t="shared" si="970"/>
        <v>3093403.4209194561</v>
      </c>
      <c r="R344">
        <f t="shared" si="971"/>
        <v>475293343.74993384</v>
      </c>
      <c r="S344">
        <f t="shared" si="972"/>
        <v>4752.9334374993387</v>
      </c>
      <c r="T344">
        <f t="shared" si="973"/>
        <v>4.7529334374993386</v>
      </c>
    </row>
    <row r="345" spans="1:20" x14ac:dyDescent="0.25">
      <c r="A345" s="5">
        <v>44248</v>
      </c>
      <c r="B345">
        <v>253.01</v>
      </c>
      <c r="C345">
        <v>309.49950000000001</v>
      </c>
      <c r="D345">
        <v>249.70439999999999</v>
      </c>
      <c r="E345">
        <v>295.25970000000001</v>
      </c>
      <c r="F345">
        <v>10646422.307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0.52371348153945729</v>
      </c>
      <c r="Q345">
        <f t="shared" si="970"/>
        <v>5575674.8923383113</v>
      </c>
      <c r="R345">
        <f t="shared" si="971"/>
        <v>472199940.32901436</v>
      </c>
      <c r="S345">
        <f t="shared" si="972"/>
        <v>4721.9994032901432</v>
      </c>
      <c r="T345">
        <f t="shared" si="973"/>
        <v>4.7219994032901429</v>
      </c>
    </row>
    <row r="346" spans="1:20" x14ac:dyDescent="0.25">
      <c r="A346" s="5">
        <v>44247</v>
      </c>
      <c r="B346">
        <v>333.22120000000001</v>
      </c>
      <c r="C346">
        <v>335</v>
      </c>
      <c r="D346">
        <v>223</v>
      </c>
      <c r="E346">
        <v>253</v>
      </c>
      <c r="F346">
        <v>13497656.247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-0.4642857142857143</v>
      </c>
      <c r="Q346">
        <f t="shared" si="970"/>
        <v>-6266768.9718214283</v>
      </c>
      <c r="R346">
        <f t="shared" si="971"/>
        <v>466624265.43667603</v>
      </c>
      <c r="S346">
        <f t="shared" si="972"/>
        <v>4666.2426543667607</v>
      </c>
      <c r="T346">
        <f t="shared" si="973"/>
        <v>4.6662426543667603</v>
      </c>
    </row>
    <row r="347" spans="1:20" x14ac:dyDescent="0.25">
      <c r="A347" s="5">
        <v>44246</v>
      </c>
      <c r="B347">
        <v>195.5549</v>
      </c>
      <c r="C347">
        <v>348.69690000000003</v>
      </c>
      <c r="D347">
        <v>194.92789999999999</v>
      </c>
      <c r="E347">
        <v>333.11099999999999</v>
      </c>
      <c r="F347">
        <v>20188858.197999999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0.79728163674082508</v>
      </c>
      <c r="Q347">
        <f t="shared" si="970"/>
        <v>16096205.908029864</v>
      </c>
      <c r="R347">
        <f t="shared" si="971"/>
        <v>472891034.40849745</v>
      </c>
      <c r="S347">
        <f t="shared" si="972"/>
        <v>4728.9103440849749</v>
      </c>
      <c r="T347">
        <f t="shared" si="973"/>
        <v>4.7289103440849747</v>
      </c>
    </row>
    <row r="348" spans="1:20" x14ac:dyDescent="0.25">
      <c r="A348" s="5">
        <v>44245</v>
      </c>
      <c r="B348">
        <v>165.3176</v>
      </c>
      <c r="C348">
        <v>199.88</v>
      </c>
      <c r="D348">
        <v>162.79689999999999</v>
      </c>
      <c r="E348">
        <v>195.6</v>
      </c>
      <c r="F348">
        <v>11226893.373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0.76916708689402979</v>
      </c>
      <c r="Q348">
        <f t="shared" si="970"/>
        <v>8635356.8705802988</v>
      </c>
      <c r="R348">
        <f t="shared" si="971"/>
        <v>456794828.5004676</v>
      </c>
      <c r="S348">
        <f t="shared" si="972"/>
        <v>4567.9482850046761</v>
      </c>
      <c r="T348">
        <f t="shared" si="973"/>
        <v>4.5679482850046762</v>
      </c>
    </row>
    <row r="349" spans="1:20" x14ac:dyDescent="0.25">
      <c r="A349" s="5">
        <v>44244</v>
      </c>
      <c r="B349">
        <v>130.18299999999999</v>
      </c>
      <c r="C349">
        <v>175.99969999999999</v>
      </c>
      <c r="D349">
        <v>126.7546</v>
      </c>
      <c r="E349">
        <v>165.32329999999999</v>
      </c>
      <c r="F349">
        <v>10185662.26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0.56639746898676202</v>
      </c>
      <c r="Q349">
        <f t="shared" si="970"/>
        <v>5769133.324017982</v>
      </c>
      <c r="R349">
        <f t="shared" si="971"/>
        <v>448159471.62988728</v>
      </c>
      <c r="S349">
        <f t="shared" si="972"/>
        <v>4481.5947162988732</v>
      </c>
      <c r="T349">
        <f t="shared" si="973"/>
        <v>4.481594716298873</v>
      </c>
    </row>
    <row r="350" spans="1:20" x14ac:dyDescent="0.25">
      <c r="A350" s="5">
        <v>44243</v>
      </c>
      <c r="B350">
        <v>129.94929999999999</v>
      </c>
      <c r="C350">
        <v>133.49250000000001</v>
      </c>
      <c r="D350">
        <v>126</v>
      </c>
      <c r="E350">
        <v>130.18299999999999</v>
      </c>
      <c r="F350">
        <v>3258276.7140000002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0.1165832499165803</v>
      </c>
      <c r="Q350">
        <f t="shared" si="970"/>
        <v>379860.48844563606</v>
      </c>
      <c r="R350">
        <f t="shared" si="971"/>
        <v>442390338.30586928</v>
      </c>
      <c r="S350">
        <f t="shared" si="972"/>
        <v>4423.9033830586932</v>
      </c>
      <c r="T350">
        <f t="shared" si="973"/>
        <v>4.4239033830586934</v>
      </c>
    </row>
    <row r="351" spans="1:20" x14ac:dyDescent="0.25">
      <c r="A351" s="5">
        <v>44242</v>
      </c>
      <c r="B351">
        <v>135.8623</v>
      </c>
      <c r="C351">
        <v>139.369</v>
      </c>
      <c r="D351">
        <v>118</v>
      </c>
      <c r="E351">
        <v>130.303</v>
      </c>
      <c r="F351">
        <v>4772752.8059999999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0.15148111750666829</v>
      </c>
      <c r="Q351">
        <f t="shared" si="970"/>
        <v>722981.92863596673</v>
      </c>
      <c r="R351">
        <f t="shared" si="971"/>
        <v>442010477.81742364</v>
      </c>
      <c r="S351">
        <f t="shared" si="972"/>
        <v>4420.1047781742363</v>
      </c>
      <c r="T351">
        <f t="shared" si="973"/>
        <v>4.4201047781742364</v>
      </c>
    </row>
    <row r="352" spans="1:20" x14ac:dyDescent="0.25">
      <c r="A352" s="5">
        <v>44241</v>
      </c>
      <c r="B352">
        <v>133.34979999999999</v>
      </c>
      <c r="C352">
        <v>139</v>
      </c>
      <c r="D352">
        <v>128.4615</v>
      </c>
      <c r="E352">
        <v>135.8623</v>
      </c>
      <c r="F352">
        <v>4405507.8849999998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0.40452626085306342</v>
      </c>
      <c r="Q352">
        <f t="shared" si="970"/>
        <v>1782143.6318777376</v>
      </c>
      <c r="R352">
        <f t="shared" si="971"/>
        <v>441287495.88878769</v>
      </c>
      <c r="S352">
        <f t="shared" si="972"/>
        <v>4412.8749588878773</v>
      </c>
      <c r="T352">
        <f t="shared" si="973"/>
        <v>4.4128749588878771</v>
      </c>
    </row>
    <row r="353" spans="1:20" x14ac:dyDescent="0.25">
      <c r="A353" s="5">
        <v>44240</v>
      </c>
      <c r="B353">
        <v>136.7321</v>
      </c>
      <c r="C353">
        <v>138.5067</v>
      </c>
      <c r="D353">
        <v>125</v>
      </c>
      <c r="E353">
        <v>133.34960000000001</v>
      </c>
      <c r="F353">
        <v>3785723.4019999998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0.23636417481694455</v>
      </c>
      <c r="Q353">
        <f t="shared" si="970"/>
        <v>894809.38799892599</v>
      </c>
      <c r="R353">
        <f t="shared" si="971"/>
        <v>439505352.25690997</v>
      </c>
      <c r="S353">
        <f t="shared" si="972"/>
        <v>4395.0535225691001</v>
      </c>
      <c r="T353">
        <f t="shared" si="973"/>
        <v>4.3950535225690999</v>
      </c>
    </row>
    <row r="354" spans="1:20" x14ac:dyDescent="0.25">
      <c r="A354" s="5">
        <v>44239</v>
      </c>
      <c r="B354">
        <v>124.1129</v>
      </c>
      <c r="C354">
        <v>141.32</v>
      </c>
      <c r="D354">
        <v>120.89</v>
      </c>
      <c r="E354">
        <v>136.6139</v>
      </c>
      <c r="F354">
        <v>5626020.824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0.53929515418502261</v>
      </c>
      <c r="Q354">
        <f t="shared" si="970"/>
        <v>3034085.7677272279</v>
      </c>
      <c r="R354">
        <f t="shared" si="971"/>
        <v>438610542.86891103</v>
      </c>
      <c r="S354">
        <f t="shared" si="972"/>
        <v>4386.1054286891103</v>
      </c>
      <c r="T354">
        <f t="shared" si="973"/>
        <v>4.3861054286891106</v>
      </c>
    </row>
    <row r="355" spans="1:20" x14ac:dyDescent="0.25">
      <c r="A355" s="5">
        <v>44238</v>
      </c>
      <c r="B355">
        <v>128.94630000000001</v>
      </c>
      <c r="C355">
        <v>132.80000000000001</v>
      </c>
      <c r="D355">
        <v>117.7289</v>
      </c>
      <c r="E355">
        <v>124.08499999999999</v>
      </c>
      <c r="F355">
        <v>5920400.2549999999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-0.15651810418615877</v>
      </c>
      <c r="Q355">
        <f t="shared" si="970"/>
        <v>-926649.82393585099</v>
      </c>
      <c r="R355">
        <f t="shared" si="971"/>
        <v>435576457.10118377</v>
      </c>
      <c r="S355">
        <f t="shared" si="972"/>
        <v>4355.7645710118377</v>
      </c>
      <c r="T355">
        <f t="shared" si="973"/>
        <v>4.3557645710118376</v>
      </c>
    </row>
    <row r="356" spans="1:20" x14ac:dyDescent="0.25">
      <c r="A356" s="5">
        <v>44237</v>
      </c>
      <c r="B356">
        <v>107.3496</v>
      </c>
      <c r="C356">
        <v>148.4</v>
      </c>
      <c r="D356">
        <v>107.2811</v>
      </c>
      <c r="E356">
        <v>128.97110000000001</v>
      </c>
      <c r="F356">
        <v>16613534.274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5.4989311484500134E-2</v>
      </c>
      <c r="Q356">
        <f t="shared" si="970"/>
        <v>913566.8110514048</v>
      </c>
      <c r="R356">
        <f t="shared" si="971"/>
        <v>436503106.92511964</v>
      </c>
      <c r="S356">
        <f t="shared" si="972"/>
        <v>4365.0310692511966</v>
      </c>
      <c r="T356">
        <f t="shared" si="973"/>
        <v>4.3650310692511969</v>
      </c>
    </row>
    <row r="357" spans="1:20" x14ac:dyDescent="0.25">
      <c r="A357" s="5">
        <v>44236</v>
      </c>
      <c r="B357">
        <v>79.873400000000004</v>
      </c>
      <c r="C357">
        <v>116.24</v>
      </c>
      <c r="D357">
        <v>78.0381</v>
      </c>
      <c r="E357">
        <v>107.34690000000001</v>
      </c>
      <c r="F357">
        <v>12487305.868000001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0.53441582748502081</v>
      </c>
      <c r="Q357">
        <f t="shared" si="970"/>
        <v>6673413.8985057762</v>
      </c>
      <c r="R357">
        <f t="shared" si="971"/>
        <v>435589540.11406821</v>
      </c>
      <c r="S357">
        <f t="shared" si="972"/>
        <v>4355.8954011406822</v>
      </c>
      <c r="T357">
        <f t="shared" si="973"/>
        <v>4.3558954011406819</v>
      </c>
    </row>
    <row r="358" spans="1:20" x14ac:dyDescent="0.25">
      <c r="A358" s="5">
        <v>44235</v>
      </c>
      <c r="B358">
        <v>68.355000000000004</v>
      </c>
      <c r="C358">
        <v>79.882300000000001</v>
      </c>
      <c r="D358">
        <v>67.615200000000002</v>
      </c>
      <c r="E358">
        <v>79.837400000000002</v>
      </c>
      <c r="F358">
        <v>7860567.3890000004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0.99267960642694719</v>
      </c>
      <c r="Q358">
        <f t="shared" si="970"/>
        <v>7803024.9420050159</v>
      </c>
      <c r="R358">
        <f t="shared" si="971"/>
        <v>428916126.21556246</v>
      </c>
      <c r="S358">
        <f t="shared" si="972"/>
        <v>4289.1612621556251</v>
      </c>
      <c r="T358">
        <f t="shared" si="973"/>
        <v>4.2891612621556252</v>
      </c>
    </row>
    <row r="359" spans="1:20" x14ac:dyDescent="0.25">
      <c r="A359" s="5">
        <v>44234</v>
      </c>
      <c r="B359">
        <v>72.869299999999996</v>
      </c>
      <c r="C359">
        <v>74.819900000000004</v>
      </c>
      <c r="D359">
        <v>64.180300000000003</v>
      </c>
      <c r="E359">
        <v>68.354200000000006</v>
      </c>
      <c r="F359">
        <v>5969908.4419999998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-0.21540283469303306</v>
      </c>
      <c r="Q359">
        <f t="shared" si="970"/>
        <v>-1285935.2012646685</v>
      </c>
      <c r="R359">
        <f t="shared" si="971"/>
        <v>421113101.27355742</v>
      </c>
      <c r="S359">
        <f t="shared" si="972"/>
        <v>4211.1310127355746</v>
      </c>
      <c r="T359">
        <f t="shared" si="973"/>
        <v>4.2111310127355743</v>
      </c>
    </row>
    <row r="360" spans="1:20" x14ac:dyDescent="0.25">
      <c r="A360" s="5">
        <v>44233</v>
      </c>
      <c r="B360">
        <v>67.621700000000004</v>
      </c>
      <c r="C360">
        <v>75.5</v>
      </c>
      <c r="D360">
        <v>61.7</v>
      </c>
      <c r="E360">
        <v>72.835599999999999</v>
      </c>
      <c r="F360">
        <v>8482528.5309999995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0.61385507246376791</v>
      </c>
      <c r="Q360">
        <f t="shared" si="970"/>
        <v>5207043.1660729833</v>
      </c>
      <c r="R360">
        <f t="shared" si="971"/>
        <v>422399036.4748221</v>
      </c>
      <c r="S360">
        <f t="shared" si="972"/>
        <v>4223.9903647482206</v>
      </c>
      <c r="T360">
        <f t="shared" si="973"/>
        <v>4.2239903647482206</v>
      </c>
    </row>
    <row r="361" spans="1:20" x14ac:dyDescent="0.25">
      <c r="A361" s="5">
        <v>44232</v>
      </c>
      <c r="B361">
        <v>55.959299999999999</v>
      </c>
      <c r="C361">
        <v>68.73</v>
      </c>
      <c r="D361">
        <v>55.920200000000001</v>
      </c>
      <c r="E361">
        <v>67.700500000000005</v>
      </c>
      <c r="F361">
        <v>5040545.2230000002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0.83926368873830992</v>
      </c>
      <c r="Q361">
        <f t="shared" si="970"/>
        <v>4230346.577107247</v>
      </c>
      <c r="R361">
        <f t="shared" si="971"/>
        <v>417191993.30874914</v>
      </c>
      <c r="S361">
        <f t="shared" si="972"/>
        <v>4171.9199330874917</v>
      </c>
      <c r="T361">
        <f t="shared" si="973"/>
        <v>4.1719199330874916</v>
      </c>
    </row>
    <row r="362" spans="1:20" x14ac:dyDescent="0.25">
      <c r="A362" s="5">
        <v>44231</v>
      </c>
      <c r="B362">
        <v>52.12</v>
      </c>
      <c r="C362">
        <v>57.054699999999997</v>
      </c>
      <c r="D362">
        <v>51.25</v>
      </c>
      <c r="E362">
        <v>55.959899999999998</v>
      </c>
      <c r="F362">
        <v>4004741.2940000002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0.62278843006529194</v>
      </c>
      <c r="Q362">
        <f t="shared" si="970"/>
        <v>2494106.543307906</v>
      </c>
      <c r="R362">
        <f t="shared" si="971"/>
        <v>412961646.73164189</v>
      </c>
      <c r="S362">
        <f t="shared" si="972"/>
        <v>4129.6164673164185</v>
      </c>
      <c r="T362">
        <f t="shared" si="973"/>
        <v>4.1296164673164188</v>
      </c>
    </row>
    <row r="363" spans="1:20" x14ac:dyDescent="0.25">
      <c r="A363" s="5">
        <v>44230</v>
      </c>
      <c r="B363">
        <v>51.029000000000003</v>
      </c>
      <c r="C363">
        <v>52.7</v>
      </c>
      <c r="D363">
        <v>49.782299999999999</v>
      </c>
      <c r="E363">
        <v>52.12</v>
      </c>
      <c r="F363">
        <v>2949735.0359999998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0.60242656887273904</v>
      </c>
      <c r="Q363">
        <f t="shared" si="970"/>
        <v>1776998.7568211854</v>
      </c>
      <c r="R363">
        <f t="shared" si="971"/>
        <v>410467540.18833399</v>
      </c>
      <c r="S363">
        <f t="shared" si="972"/>
        <v>4104.6754018833399</v>
      </c>
      <c r="T363">
        <f t="shared" si="973"/>
        <v>4.1046754018833402</v>
      </c>
    </row>
    <row r="364" spans="1:20" x14ac:dyDescent="0.25">
      <c r="A364" s="5">
        <v>44229</v>
      </c>
      <c r="B364">
        <v>51.476199999999999</v>
      </c>
      <c r="C364">
        <v>53</v>
      </c>
      <c r="D364">
        <v>49.157200000000003</v>
      </c>
      <c r="E364">
        <v>51.007100000000001</v>
      </c>
      <c r="F364">
        <v>4675040.8770000003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-3.721244925575122E-2</v>
      </c>
      <c r="Q364">
        <f t="shared" si="970"/>
        <v>-173969.72140392518</v>
      </c>
      <c r="R364">
        <f t="shared" si="971"/>
        <v>408690541.43151277</v>
      </c>
      <c r="S364">
        <f t="shared" si="972"/>
        <v>4086.9054143151279</v>
      </c>
      <c r="T364">
        <f t="shared" si="973"/>
        <v>4.0869054143151278</v>
      </c>
    </row>
    <row r="365" spans="1:20" x14ac:dyDescent="0.25">
      <c r="A365" s="5">
        <v>44228</v>
      </c>
      <c r="B365">
        <v>44.329099999999997</v>
      </c>
      <c r="C365">
        <v>52.373600000000003</v>
      </c>
      <c r="D365">
        <v>43.433100000000003</v>
      </c>
      <c r="E365">
        <v>51.478099999999998</v>
      </c>
      <c r="F365">
        <v>6095055.4129999997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0.79967563335383807</v>
      </c>
      <c r="Q365">
        <f t="shared" si="970"/>
        <v>4874067.2977175135</v>
      </c>
      <c r="R365">
        <f t="shared" si="971"/>
        <v>408864511.15291667</v>
      </c>
      <c r="S365">
        <f t="shared" si="972"/>
        <v>4088.6451115291666</v>
      </c>
      <c r="T365">
        <f t="shared" si="973"/>
        <v>4.0886451115291669</v>
      </c>
    </row>
    <row r="366" spans="1:20" x14ac:dyDescent="0.25">
      <c r="A366" s="5">
        <v>44227</v>
      </c>
      <c r="B366">
        <v>44.802199999999999</v>
      </c>
      <c r="C366">
        <v>45.826900000000002</v>
      </c>
      <c r="D366">
        <v>43.3</v>
      </c>
      <c r="E366">
        <v>44.3292</v>
      </c>
      <c r="F366">
        <v>2431692.1979999999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-0.18540504175076097</v>
      </c>
      <c r="Q366">
        <f t="shared" si="970"/>
        <v>-450847.9934951897</v>
      </c>
      <c r="R366">
        <f t="shared" si="971"/>
        <v>403990443.85519916</v>
      </c>
      <c r="S366">
        <f t="shared" si="972"/>
        <v>4039.9044385519915</v>
      </c>
      <c r="T366">
        <f t="shared" si="973"/>
        <v>4.0399044385519911</v>
      </c>
    </row>
    <row r="367" spans="1:20" x14ac:dyDescent="0.25">
      <c r="A367" s="5">
        <v>44226</v>
      </c>
      <c r="B367">
        <v>42.865299999999998</v>
      </c>
      <c r="C367">
        <v>45.107100000000003</v>
      </c>
      <c r="D367">
        <v>42.591099999999997</v>
      </c>
      <c r="E367">
        <v>44.7849</v>
      </c>
      <c r="F367">
        <v>2767954.2910000002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0.74387917329093678</v>
      </c>
      <c r="Q367">
        <f t="shared" si="970"/>
        <v>2059023.5496961812</v>
      </c>
      <c r="R367">
        <f t="shared" si="971"/>
        <v>404441291.84869432</v>
      </c>
      <c r="S367">
        <f t="shared" si="972"/>
        <v>4044.4129184869435</v>
      </c>
      <c r="T367">
        <f t="shared" si="973"/>
        <v>4.0444129184869437</v>
      </c>
    </row>
    <row r="368" spans="1:20" x14ac:dyDescent="0.25">
      <c r="A368" s="5">
        <v>44225</v>
      </c>
      <c r="B368">
        <v>42.527700000000003</v>
      </c>
      <c r="C368">
        <v>44</v>
      </c>
      <c r="D368">
        <v>41.801699999999997</v>
      </c>
      <c r="E368">
        <v>42.861800000000002</v>
      </c>
      <c r="F368">
        <v>3433689.4840000002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-3.5527453031884614E-2</v>
      </c>
      <c r="Q368">
        <f t="shared" si="970"/>
        <v>-121990.24186888612</v>
      </c>
      <c r="R368">
        <f t="shared" si="971"/>
        <v>402382268.29899812</v>
      </c>
      <c r="S368">
        <f t="shared" si="972"/>
        <v>4023.8226829899813</v>
      </c>
      <c r="T368">
        <f t="shared" si="973"/>
        <v>4.023822682989981</v>
      </c>
    </row>
    <row r="369" spans="1:20" x14ac:dyDescent="0.25">
      <c r="A369" s="5">
        <v>44224</v>
      </c>
      <c r="B369">
        <v>40.895699999999998</v>
      </c>
      <c r="C369">
        <v>43.085000000000001</v>
      </c>
      <c r="D369">
        <v>40.317</v>
      </c>
      <c r="E369">
        <v>42.525399999999998</v>
      </c>
      <c r="F369">
        <v>2984098.6510000001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0.59566473988439084</v>
      </c>
      <c r="Q369">
        <f t="shared" si="970"/>
        <v>1777522.3467372765</v>
      </c>
      <c r="R369">
        <f t="shared" si="971"/>
        <v>402504258.54086703</v>
      </c>
      <c r="S369">
        <f t="shared" si="972"/>
        <v>4025.0425854086702</v>
      </c>
      <c r="T369">
        <f t="shared" si="973"/>
        <v>4.02504258540867</v>
      </c>
    </row>
    <row r="370" spans="1:20" x14ac:dyDescent="0.25">
      <c r="A370" s="5">
        <v>44223</v>
      </c>
      <c r="B370">
        <v>41.839700000000001</v>
      </c>
      <c r="C370">
        <v>42.098399999999998</v>
      </c>
      <c r="D370">
        <v>39.610199999999999</v>
      </c>
      <c r="E370">
        <v>40.882599999999996</v>
      </c>
      <c r="F370">
        <v>2638401.378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2.2747367574952177E-2</v>
      </c>
      <c r="Q370">
        <f t="shared" si="970"/>
        <v>60016.685955626344</v>
      </c>
      <c r="R370">
        <f t="shared" si="971"/>
        <v>400726736.19412977</v>
      </c>
      <c r="S370">
        <f t="shared" si="972"/>
        <v>4007.2673619412976</v>
      </c>
      <c r="T370">
        <f t="shared" si="973"/>
        <v>4.007267361941298</v>
      </c>
    </row>
    <row r="371" spans="1:20" x14ac:dyDescent="0.25">
      <c r="A371" s="5">
        <v>44222</v>
      </c>
      <c r="B371">
        <v>41.834699999999998</v>
      </c>
      <c r="C371">
        <v>42.597999999999999</v>
      </c>
      <c r="D371">
        <v>39.695500000000003</v>
      </c>
      <c r="E371">
        <v>41.839599999999997</v>
      </c>
      <c r="F371">
        <v>2758108.622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0.47741602067183275</v>
      </c>
      <c r="Q371">
        <f t="shared" si="970"/>
        <v>1316765.2428959121</v>
      </c>
      <c r="R371">
        <f t="shared" si="971"/>
        <v>400666719.50817412</v>
      </c>
      <c r="S371">
        <f t="shared" si="972"/>
        <v>4006.6671950817413</v>
      </c>
      <c r="T371">
        <f t="shared" si="973"/>
        <v>4.0066671950817412</v>
      </c>
    </row>
    <row r="372" spans="1:20" x14ac:dyDescent="0.25">
      <c r="A372" s="5">
        <v>44221</v>
      </c>
      <c r="B372">
        <v>41.826999999999998</v>
      </c>
      <c r="C372">
        <v>43.424100000000003</v>
      </c>
      <c r="D372">
        <v>40.5364</v>
      </c>
      <c r="E372">
        <v>41.834699999999998</v>
      </c>
      <c r="F372">
        <v>2778238.02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-0.10080687051979326</v>
      </c>
      <c r="Q372">
        <f t="shared" si="970"/>
        <v>-280065.48035530682</v>
      </c>
      <c r="R372">
        <f t="shared" si="971"/>
        <v>399349954.26527822</v>
      </c>
      <c r="S372">
        <f t="shared" si="972"/>
        <v>3993.4995426527821</v>
      </c>
      <c r="T372">
        <f t="shared" si="973"/>
        <v>3.9934995426527822</v>
      </c>
    </row>
    <row r="373" spans="1:20" x14ac:dyDescent="0.25">
      <c r="A373" s="5">
        <v>44220</v>
      </c>
      <c r="B373">
        <v>40.911299999999997</v>
      </c>
      <c r="C373">
        <v>42.2</v>
      </c>
      <c r="D373">
        <v>40.314399999999999</v>
      </c>
      <c r="E373">
        <v>41.826300000000003</v>
      </c>
      <c r="F373">
        <v>2340747.6230000001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0.6036274925753089</v>
      </c>
      <c r="Q373">
        <f t="shared" si="970"/>
        <v>1412939.6184231045</v>
      </c>
      <c r="R373">
        <f t="shared" si="971"/>
        <v>399630019.74563354</v>
      </c>
      <c r="S373">
        <f t="shared" si="972"/>
        <v>3996.3001974563354</v>
      </c>
      <c r="T373">
        <f t="shared" si="973"/>
        <v>3.9963001974563355</v>
      </c>
    </row>
    <row r="374" spans="1:20" x14ac:dyDescent="0.25">
      <c r="A374" s="5">
        <v>44219</v>
      </c>
      <c r="B374">
        <v>40.893799999999999</v>
      </c>
      <c r="C374">
        <v>41.88</v>
      </c>
      <c r="D374">
        <v>39.455500000000001</v>
      </c>
      <c r="E374">
        <v>40.910899999999998</v>
      </c>
      <c r="F374">
        <v>2531809.648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0.20057743864714064</v>
      </c>
      <c r="Q374">
        <f t="shared" si="970"/>
        <v>507823.89433795877</v>
      </c>
      <c r="R374">
        <f t="shared" si="971"/>
        <v>398217080.12721044</v>
      </c>
      <c r="S374">
        <f t="shared" si="972"/>
        <v>3982.1708012721042</v>
      </c>
      <c r="T374">
        <f t="shared" si="973"/>
        <v>3.9821708012721042</v>
      </c>
    </row>
    <row r="375" spans="1:20" x14ac:dyDescent="0.25">
      <c r="A375" s="5">
        <v>44218</v>
      </c>
      <c r="B375">
        <v>38.659599999999998</v>
      </c>
      <c r="C375">
        <v>41.527999999999999</v>
      </c>
      <c r="D375">
        <v>36.851799999999997</v>
      </c>
      <c r="E375">
        <v>40.893599999999999</v>
      </c>
      <c r="F375">
        <v>3088685.2949999999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0.72866857704974153</v>
      </c>
      <c r="Q375">
        <f t="shared" si="970"/>
        <v>2250627.9188621109</v>
      </c>
      <c r="R375">
        <f t="shared" si="971"/>
        <v>397709256.23287249</v>
      </c>
      <c r="S375">
        <f t="shared" si="972"/>
        <v>3977.0925623287249</v>
      </c>
      <c r="T375">
        <f t="shared" si="973"/>
        <v>3.9770925623287248</v>
      </c>
    </row>
    <row r="376" spans="1:20" x14ac:dyDescent="0.25">
      <c r="A376" s="5">
        <v>44217</v>
      </c>
      <c r="B376">
        <v>42.605600000000003</v>
      </c>
      <c r="C376">
        <v>42.717599999999997</v>
      </c>
      <c r="D376">
        <v>38.200000000000003</v>
      </c>
      <c r="E376">
        <v>38.634300000000003</v>
      </c>
      <c r="F376">
        <v>3388587.6570000001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-0.80772976801841645</v>
      </c>
      <c r="Q376">
        <f t="shared" si="970"/>
        <v>-2737063.1220986797</v>
      </c>
      <c r="R376">
        <f t="shared" si="971"/>
        <v>395458628.31401038</v>
      </c>
      <c r="S376">
        <f t="shared" si="972"/>
        <v>3954.5862831401037</v>
      </c>
      <c r="T376">
        <f t="shared" si="973"/>
        <v>3.9545862831401037</v>
      </c>
    </row>
    <row r="377" spans="1:20" x14ac:dyDescent="0.25">
      <c r="A377" s="5">
        <v>44216</v>
      </c>
      <c r="B377">
        <v>42.524099999999997</v>
      </c>
      <c r="C377">
        <v>43.099200000000003</v>
      </c>
      <c r="D377">
        <v>40.200000000000003</v>
      </c>
      <c r="E377">
        <v>42.606900000000003</v>
      </c>
      <c r="F377">
        <v>3709936.4920000001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0.660389072847682</v>
      </c>
      <c r="Q377">
        <f t="shared" si="970"/>
        <v>2450001.5202756617</v>
      </c>
      <c r="R377">
        <f t="shared" si="971"/>
        <v>398195691.43610907</v>
      </c>
      <c r="S377">
        <f t="shared" si="972"/>
        <v>3981.9569143610906</v>
      </c>
      <c r="T377">
        <f t="shared" si="973"/>
        <v>3.9819569143610907</v>
      </c>
    </row>
    <row r="378" spans="1:20" x14ac:dyDescent="0.25">
      <c r="A378" s="5">
        <v>44215</v>
      </c>
      <c r="B378">
        <v>45.359200000000001</v>
      </c>
      <c r="C378">
        <v>47.218699999999998</v>
      </c>
      <c r="D378">
        <v>41.7</v>
      </c>
      <c r="E378">
        <v>42.524099999999997</v>
      </c>
      <c r="F378">
        <v>5151546.8720000004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-0.7013427075217008</v>
      </c>
      <c r="Q378">
        <f t="shared" si="970"/>
        <v>-3612999.831133429</v>
      </c>
      <c r="R378">
        <f t="shared" si="971"/>
        <v>395745689.91583341</v>
      </c>
      <c r="S378">
        <f t="shared" si="972"/>
        <v>3957.4568991583342</v>
      </c>
      <c r="T378">
        <f t="shared" si="973"/>
        <v>3.9574568991583341</v>
      </c>
    </row>
    <row r="379" spans="1:20" x14ac:dyDescent="0.25">
      <c r="A379" s="5">
        <v>44214</v>
      </c>
      <c r="B379">
        <v>45.8645</v>
      </c>
      <c r="C379">
        <v>46.888800000000003</v>
      </c>
      <c r="D379">
        <v>44.027799999999999</v>
      </c>
      <c r="E379">
        <v>45.341200000000001</v>
      </c>
      <c r="F379">
        <v>3069449.9380000001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-8.1859489688920289E-2</v>
      </c>
      <c r="Q379">
        <f t="shared" si="970"/>
        <v>-251263.60555036803</v>
      </c>
      <c r="R379">
        <f t="shared" si="971"/>
        <v>399358689.74696684</v>
      </c>
      <c r="S379">
        <f t="shared" si="972"/>
        <v>3993.5868974696682</v>
      </c>
      <c r="T379">
        <f t="shared" si="973"/>
        <v>3.993586897469668</v>
      </c>
    </row>
    <row r="380" spans="1:20" x14ac:dyDescent="0.25">
      <c r="A380" s="5">
        <v>44213</v>
      </c>
      <c r="B380">
        <v>43.141300000000001</v>
      </c>
      <c r="C380">
        <v>46.722799999999999</v>
      </c>
      <c r="D380">
        <v>40.919199999999996</v>
      </c>
      <c r="E380">
        <v>45.8675</v>
      </c>
      <c r="F380">
        <v>3878914.2990000001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0.70525191260596898</v>
      </c>
      <c r="Q380">
        <f t="shared" si="970"/>
        <v>2735611.7282043914</v>
      </c>
      <c r="R380">
        <f t="shared" si="971"/>
        <v>399609953.35251719</v>
      </c>
      <c r="S380">
        <f t="shared" si="972"/>
        <v>3996.0995335251719</v>
      </c>
      <c r="T380">
        <f t="shared" si="973"/>
        <v>3.9960995335251717</v>
      </c>
    </row>
    <row r="381" spans="1:20" x14ac:dyDescent="0.25">
      <c r="A381" s="5">
        <v>44212</v>
      </c>
      <c r="B381">
        <v>40.895099999999999</v>
      </c>
      <c r="C381">
        <v>44.12</v>
      </c>
      <c r="D381">
        <v>40.625</v>
      </c>
      <c r="E381">
        <v>43.142000000000003</v>
      </c>
      <c r="F381">
        <v>3243054.4139999999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0.44034334763948774</v>
      </c>
      <c r="Q381">
        <f t="shared" si="970"/>
        <v>1428057.437237777</v>
      </c>
      <c r="R381">
        <f t="shared" si="971"/>
        <v>396874341.62431282</v>
      </c>
      <c r="S381">
        <f t="shared" si="972"/>
        <v>3968.7434162431282</v>
      </c>
      <c r="T381">
        <f t="shared" si="973"/>
        <v>3.9687434162431283</v>
      </c>
    </row>
    <row r="382" spans="1:20" x14ac:dyDescent="0.25">
      <c r="A382" s="5">
        <v>44211</v>
      </c>
      <c r="B382">
        <v>41.872100000000003</v>
      </c>
      <c r="C382">
        <v>42.562199999999997</v>
      </c>
      <c r="D382">
        <v>38.6616</v>
      </c>
      <c r="E382">
        <v>40.866799999999998</v>
      </c>
      <c r="F382">
        <v>3431358.9360000002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0.13069784135773954</v>
      </c>
      <c r="Q382">
        <f t="shared" si="970"/>
        <v>448471.20585878997</v>
      </c>
      <c r="R382">
        <f t="shared" si="971"/>
        <v>395446284.18707502</v>
      </c>
      <c r="S382">
        <f t="shared" si="972"/>
        <v>3954.4628418707503</v>
      </c>
      <c r="T382">
        <f t="shared" si="973"/>
        <v>3.9544628418707504</v>
      </c>
    </row>
    <row r="383" spans="1:20" x14ac:dyDescent="0.25">
      <c r="A383" s="5">
        <v>44210</v>
      </c>
      <c r="B383">
        <v>40.111400000000003</v>
      </c>
      <c r="C383">
        <v>42</v>
      </c>
      <c r="D383">
        <v>39.573900000000002</v>
      </c>
      <c r="E383">
        <v>41.872300000000003</v>
      </c>
      <c r="F383">
        <v>3306689.9330000002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0.89472816454392035</v>
      </c>
      <c r="Q383">
        <f t="shared" si="970"/>
        <v>2958588.6144689489</v>
      </c>
      <c r="R383">
        <f t="shared" si="971"/>
        <v>394997812.98121625</v>
      </c>
      <c r="S383">
        <f t="shared" si="972"/>
        <v>3949.9781298121625</v>
      </c>
      <c r="T383">
        <f t="shared" si="973"/>
        <v>3.9499781298121626</v>
      </c>
    </row>
    <row r="384" spans="1:20" x14ac:dyDescent="0.25">
      <c r="A384" s="5">
        <v>44209</v>
      </c>
      <c r="B384">
        <v>38.270299999999999</v>
      </c>
      <c r="C384">
        <v>40.4499</v>
      </c>
      <c r="D384">
        <v>37.020000000000003</v>
      </c>
      <c r="E384">
        <v>40.111400000000003</v>
      </c>
      <c r="F384">
        <v>3512089.3849999998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0.80261815213271726</v>
      </c>
      <c r="Q384">
        <f t="shared" si="970"/>
        <v>2818866.6923136311</v>
      </c>
      <c r="R384">
        <f t="shared" si="971"/>
        <v>392039224.36674732</v>
      </c>
      <c r="S384">
        <f t="shared" si="972"/>
        <v>3920.3922436674734</v>
      </c>
      <c r="T384">
        <f t="shared" si="973"/>
        <v>3.9203922436674734</v>
      </c>
    </row>
    <row r="385" spans="1:20" x14ac:dyDescent="0.25">
      <c r="A385" s="5">
        <v>44208</v>
      </c>
      <c r="B385">
        <v>38.162300000000002</v>
      </c>
      <c r="C385">
        <v>40.198900000000002</v>
      </c>
      <c r="D385">
        <v>37</v>
      </c>
      <c r="E385">
        <v>38.254100000000001</v>
      </c>
      <c r="F385">
        <v>3261261.81</v>
      </c>
      <c r="G385">
        <v>0</v>
      </c>
      <c r="L385" t="s">
        <v>8</v>
      </c>
      <c r="M385" t="s">
        <v>7</v>
      </c>
      <c r="N385" t="s">
        <v>8</v>
      </c>
      <c r="P385">
        <f t="shared" si="969"/>
        <v>-0.21591797180280697</v>
      </c>
      <c r="Q385">
        <f t="shared" si="970"/>
        <v>-704165.03553315124</v>
      </c>
      <c r="R385">
        <f t="shared" si="971"/>
        <v>389220357.67443371</v>
      </c>
      <c r="S385">
        <f t="shared" si="972"/>
        <v>3892.2035767443372</v>
      </c>
      <c r="T385">
        <f t="shared" si="973"/>
        <v>3.892203576744337</v>
      </c>
    </row>
    <row r="386" spans="1:20" x14ac:dyDescent="0.25">
      <c r="A386" s="5">
        <v>44207</v>
      </c>
      <c r="B386">
        <v>42.403300000000002</v>
      </c>
      <c r="C386">
        <v>42.509399999999999</v>
      </c>
      <c r="D386">
        <v>35.037399999999998</v>
      </c>
      <c r="E386">
        <v>38.167400000000001</v>
      </c>
      <c r="F386">
        <v>6332801.0549999997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-0.16220556745181958</v>
      </c>
      <c r="Q386">
        <f t="shared" si="970"/>
        <v>-1027215.5886857567</v>
      </c>
      <c r="R386">
        <f t="shared" si="971"/>
        <v>389924522.70996684</v>
      </c>
      <c r="S386">
        <f t="shared" si="972"/>
        <v>3899.2452270996682</v>
      </c>
      <c r="T386">
        <f t="shared" si="973"/>
        <v>3.899245227099668</v>
      </c>
    </row>
    <row r="387" spans="1:20" x14ac:dyDescent="0.25">
      <c r="A387" s="5">
        <v>44206</v>
      </c>
      <c r="B387">
        <v>43.847900000000003</v>
      </c>
      <c r="C387">
        <v>45.161999999999999</v>
      </c>
      <c r="D387">
        <v>40</v>
      </c>
      <c r="E387">
        <v>42.403100000000002</v>
      </c>
      <c r="F387">
        <v>4277406.29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-6.8926772568770833E-2</v>
      </c>
      <c r="Q387">
        <f t="shared" si="970"/>
        <v>-294827.81053505983</v>
      </c>
      <c r="R387">
        <f t="shared" si="971"/>
        <v>390951738.29865259</v>
      </c>
      <c r="S387">
        <f t="shared" si="972"/>
        <v>3909.5173829865257</v>
      </c>
      <c r="T387">
        <f t="shared" si="973"/>
        <v>3.9095173829865257</v>
      </c>
    </row>
    <row r="388" spans="1:20" x14ac:dyDescent="0.25">
      <c r="A388" s="5">
        <v>44205</v>
      </c>
      <c r="B388">
        <v>42.344999999999999</v>
      </c>
      <c r="C388">
        <v>44.055199999999999</v>
      </c>
      <c r="D388">
        <v>41.5</v>
      </c>
      <c r="E388">
        <v>43.847900000000003</v>
      </c>
      <c r="F388">
        <v>2720363.6359999999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0.83774264245460506</v>
      </c>
      <c r="Q388">
        <f t="shared" si="970"/>
        <v>2278964.6208600574</v>
      </c>
      <c r="R388">
        <f t="shared" si="971"/>
        <v>391246566.10918766</v>
      </c>
      <c r="S388">
        <f t="shared" si="972"/>
        <v>3912.4656610918764</v>
      </c>
      <c r="T388">
        <f t="shared" si="973"/>
        <v>3.9124656610918764</v>
      </c>
    </row>
    <row r="389" spans="1:20" x14ac:dyDescent="0.25">
      <c r="A389" s="5">
        <v>44204</v>
      </c>
      <c r="B389">
        <v>43.572800000000001</v>
      </c>
      <c r="C389">
        <v>43.722000000000001</v>
      </c>
      <c r="D389">
        <v>40.231299999999997</v>
      </c>
      <c r="E389">
        <v>42.356000000000002</v>
      </c>
      <c r="F389">
        <v>3548923.7880000002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0.21734895579683267</v>
      </c>
      <c r="Q389">
        <f t="shared" si="970"/>
        <v>771354.87952434004</v>
      </c>
      <c r="R389">
        <f t="shared" si="971"/>
        <v>388967601.48832762</v>
      </c>
      <c r="S389">
        <f t="shared" si="972"/>
        <v>3889.6760148832764</v>
      </c>
      <c r="T389">
        <f t="shared" si="973"/>
        <v>3.8896760148832765</v>
      </c>
    </row>
    <row r="390" spans="1:20" x14ac:dyDescent="0.25">
      <c r="A390" s="5">
        <v>44203</v>
      </c>
      <c r="B390">
        <v>42.244</v>
      </c>
      <c r="C390">
        <v>44.9</v>
      </c>
      <c r="D390">
        <v>41.366</v>
      </c>
      <c r="E390">
        <v>43.572800000000001</v>
      </c>
      <c r="F390">
        <v>5026746.6689999998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0.2488964346349756</v>
      </c>
      <c r="Q390">
        <f t="shared" ref="Q390:Q453" si="975">F390*P390</f>
        <v>1251139.3237273397</v>
      </c>
      <c r="R390">
        <f t="shared" ref="R390:R453" si="976">R391+Q390</f>
        <v>388196246.60880327</v>
      </c>
      <c r="S390">
        <f t="shared" ref="S390:S453" si="977">R390/100000</f>
        <v>3881.9624660880327</v>
      </c>
      <c r="T390">
        <f t="shared" ref="T390:T453" si="978">S390/1000</f>
        <v>3.8819624660880327</v>
      </c>
    </row>
    <row r="391" spans="1:20" x14ac:dyDescent="0.25">
      <c r="A391" s="5">
        <v>44202</v>
      </c>
      <c r="B391">
        <v>41.827100000000002</v>
      </c>
      <c r="C391">
        <v>42.267000000000003</v>
      </c>
      <c r="D391">
        <v>40.453099999999999</v>
      </c>
      <c r="E391">
        <v>42.241700000000002</v>
      </c>
      <c r="F391">
        <v>3784444.6869999999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0.97210430563978012</v>
      </c>
      <c r="Q391">
        <f t="shared" si="975"/>
        <v>3678874.9746882902</v>
      </c>
      <c r="R391">
        <f t="shared" si="976"/>
        <v>386945107.2850759</v>
      </c>
      <c r="S391">
        <f t="shared" si="977"/>
        <v>3869.4510728507589</v>
      </c>
      <c r="T391">
        <f t="shared" si="978"/>
        <v>3.869451072850759</v>
      </c>
    </row>
    <row r="392" spans="1:20" x14ac:dyDescent="0.25">
      <c r="A392" s="5">
        <v>44201</v>
      </c>
      <c r="B392">
        <v>41.13</v>
      </c>
      <c r="C392">
        <v>41.837499999999999</v>
      </c>
      <c r="D392">
        <v>38.801400000000001</v>
      </c>
      <c r="E392">
        <v>41.821899999999999</v>
      </c>
      <c r="F392">
        <v>3513141.3459999999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0.9897236586410203</v>
      </c>
      <c r="Q392">
        <f t="shared" si="975"/>
        <v>3477039.1062861583</v>
      </c>
      <c r="R392">
        <f t="shared" si="976"/>
        <v>383266232.31038761</v>
      </c>
      <c r="S392">
        <f t="shared" si="977"/>
        <v>3832.6623231038761</v>
      </c>
      <c r="T392">
        <f t="shared" si="978"/>
        <v>3.8326623231038761</v>
      </c>
    </row>
    <row r="393" spans="1:20" x14ac:dyDescent="0.25">
      <c r="A393" s="5">
        <v>44200</v>
      </c>
      <c r="B393">
        <v>41.256</v>
      </c>
      <c r="C393">
        <v>43.203899999999997</v>
      </c>
      <c r="D393">
        <v>38.020000000000003</v>
      </c>
      <c r="E393">
        <v>41.133299999999998</v>
      </c>
      <c r="F393">
        <v>5306248.1660000002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0.20114199733791113</v>
      </c>
      <c r="Q393">
        <f t="shared" si="975"/>
        <v>1067309.354479868</v>
      </c>
      <c r="R393">
        <f t="shared" si="976"/>
        <v>379789193.20410144</v>
      </c>
      <c r="S393">
        <f t="shared" si="977"/>
        <v>3797.8919320410146</v>
      </c>
      <c r="T393">
        <f t="shared" si="978"/>
        <v>3.7978919320410145</v>
      </c>
    </row>
    <row r="394" spans="1:20" x14ac:dyDescent="0.25">
      <c r="A394" s="5">
        <v>44199</v>
      </c>
      <c r="B394">
        <v>38.2331</v>
      </c>
      <c r="C394">
        <v>41.701700000000002</v>
      </c>
      <c r="D394">
        <v>37.762999999999998</v>
      </c>
      <c r="E394">
        <v>41.2575</v>
      </c>
      <c r="F394">
        <v>4903626.6969999997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0.77444334425064021</v>
      </c>
      <c r="Q394">
        <f t="shared" si="975"/>
        <v>3797581.0581814004</v>
      </c>
      <c r="R394">
        <f t="shared" si="976"/>
        <v>378721883.84962159</v>
      </c>
      <c r="S394">
        <f t="shared" si="977"/>
        <v>3787.218838496216</v>
      </c>
      <c r="T394">
        <f t="shared" si="978"/>
        <v>3.7872188384962162</v>
      </c>
    </row>
    <row r="395" spans="1:20" x14ac:dyDescent="0.25">
      <c r="A395" s="5">
        <v>44198</v>
      </c>
      <c r="B395">
        <v>37.7637</v>
      </c>
      <c r="C395">
        <v>38.879800000000003</v>
      </c>
      <c r="D395">
        <v>36.799999999999997</v>
      </c>
      <c r="E395">
        <v>38.2331</v>
      </c>
      <c r="F395">
        <v>3018062.2059999998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0.37811328012308792</v>
      </c>
      <c r="Q395">
        <f t="shared" si="975"/>
        <v>1141169.4003261826</v>
      </c>
      <c r="R395">
        <f t="shared" si="976"/>
        <v>374924302.79144019</v>
      </c>
      <c r="S395">
        <f t="shared" si="977"/>
        <v>3749.2430279144019</v>
      </c>
      <c r="T395">
        <f t="shared" si="978"/>
        <v>3.7492430279144018</v>
      </c>
    </row>
    <row r="396" spans="1:20" x14ac:dyDescent="0.25">
      <c r="A396" s="5">
        <v>44197</v>
      </c>
      <c r="B396">
        <v>37.3596</v>
      </c>
      <c r="C396">
        <v>38.959000000000003</v>
      </c>
      <c r="D396">
        <v>36.955500000000001</v>
      </c>
      <c r="E396">
        <v>37.776200000000003</v>
      </c>
      <c r="F396">
        <v>2435989.1269999999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-0.18073371599700405</v>
      </c>
      <c r="Q396">
        <f t="shared" si="975"/>
        <v>-440265.36705100781</v>
      </c>
      <c r="R396">
        <f t="shared" si="976"/>
        <v>373783133.391114</v>
      </c>
      <c r="S396">
        <f t="shared" si="977"/>
        <v>3737.8313339111401</v>
      </c>
      <c r="T396">
        <f t="shared" si="978"/>
        <v>3.73783133391114</v>
      </c>
    </row>
    <row r="397" spans="1:20" x14ac:dyDescent="0.25">
      <c r="A397" s="5">
        <v>44196</v>
      </c>
      <c r="B397">
        <v>38.155799999999999</v>
      </c>
      <c r="C397">
        <v>38.213299999999997</v>
      </c>
      <c r="D397">
        <v>36.515700000000002</v>
      </c>
      <c r="E397">
        <v>37.358800000000002</v>
      </c>
      <c r="F397">
        <v>1887715.835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-6.7153628652184176E-3</v>
      </c>
      <c r="Q397">
        <f t="shared" si="975"/>
        <v>-12676.696818443777</v>
      </c>
      <c r="R397">
        <f t="shared" si="976"/>
        <v>374223398.758165</v>
      </c>
      <c r="S397">
        <f t="shared" si="977"/>
        <v>3742.2339875816501</v>
      </c>
      <c r="T397">
        <f t="shared" si="978"/>
        <v>3.7422339875816499</v>
      </c>
    </row>
    <row r="398" spans="1:20" x14ac:dyDescent="0.25">
      <c r="A398" s="5">
        <v>44195</v>
      </c>
      <c r="B398">
        <v>39.074599999999997</v>
      </c>
      <c r="C398">
        <v>39.270000000000003</v>
      </c>
      <c r="D398">
        <v>36.813099999999999</v>
      </c>
      <c r="E398">
        <v>38.155799999999999</v>
      </c>
      <c r="F398">
        <v>2424623.4670000002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9.3003378240871182E-2</v>
      </c>
      <c r="Q398">
        <f t="shared" si="975"/>
        <v>225498.17339309346</v>
      </c>
      <c r="R398">
        <f t="shared" si="976"/>
        <v>374236075.45498347</v>
      </c>
      <c r="S398">
        <f t="shared" si="977"/>
        <v>3742.3607545498348</v>
      </c>
      <c r="T398">
        <f t="shared" si="978"/>
        <v>3.7423607545498347</v>
      </c>
    </row>
    <row r="399" spans="1:20" x14ac:dyDescent="0.25">
      <c r="A399" s="5">
        <v>44194</v>
      </c>
      <c r="B399">
        <v>35.950699999999998</v>
      </c>
      <c r="C399">
        <v>39.999899999999997</v>
      </c>
      <c r="D399">
        <v>35.301499999999997</v>
      </c>
      <c r="E399">
        <v>39.066699999999997</v>
      </c>
      <c r="F399">
        <v>7022548.4869999997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0.60275838583347541</v>
      </c>
      <c r="Q399">
        <f t="shared" si="975"/>
        <v>4232899.9904614352</v>
      </c>
      <c r="R399">
        <f t="shared" si="976"/>
        <v>374010577.2815904</v>
      </c>
      <c r="S399">
        <f t="shared" si="977"/>
        <v>3740.1057728159039</v>
      </c>
      <c r="T399">
        <f t="shared" si="978"/>
        <v>3.740105772815904</v>
      </c>
    </row>
    <row r="400" spans="1:20" x14ac:dyDescent="0.25">
      <c r="A400" s="5">
        <v>44193</v>
      </c>
      <c r="B400">
        <v>33.674100000000003</v>
      </c>
      <c r="C400">
        <v>36.15</v>
      </c>
      <c r="D400">
        <v>33.310499999999998</v>
      </c>
      <c r="E400">
        <v>35.951000000000001</v>
      </c>
      <c r="F400">
        <v>4121783.1030000001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0.85983447790104028</v>
      </c>
      <c r="Q400">
        <f t="shared" si="975"/>
        <v>3544051.2223893348</v>
      </c>
      <c r="R400">
        <f t="shared" si="976"/>
        <v>369777677.29112899</v>
      </c>
      <c r="S400">
        <f t="shared" si="977"/>
        <v>3697.7767729112898</v>
      </c>
      <c r="T400">
        <f t="shared" si="978"/>
        <v>3.6977767729112898</v>
      </c>
    </row>
    <row r="401" spans="1:20" x14ac:dyDescent="0.25">
      <c r="A401" s="5">
        <v>44192</v>
      </c>
      <c r="B401">
        <v>33.651000000000003</v>
      </c>
      <c r="C401">
        <v>34.99</v>
      </c>
      <c r="D401">
        <v>31.860099999999999</v>
      </c>
      <c r="E401">
        <v>33.673999999999999</v>
      </c>
      <c r="F401">
        <v>3747872.7179999999</v>
      </c>
      <c r="G401">
        <v>0</v>
      </c>
      <c r="L401" t="s">
        <v>8</v>
      </c>
      <c r="M401" t="s">
        <v>7</v>
      </c>
      <c r="N401" t="s">
        <v>8</v>
      </c>
      <c r="P401">
        <f t="shared" si="974"/>
        <v>0.15907856481037649</v>
      </c>
      <c r="Q401">
        <f t="shared" si="975"/>
        <v>596206.21307140484</v>
      </c>
      <c r="R401">
        <f t="shared" si="976"/>
        <v>366233626.06873965</v>
      </c>
      <c r="S401">
        <f t="shared" si="977"/>
        <v>3662.3362606873966</v>
      </c>
      <c r="T401">
        <f t="shared" si="978"/>
        <v>3.6623362606873964</v>
      </c>
    </row>
    <row r="402" spans="1:20" x14ac:dyDescent="0.25">
      <c r="A402" s="5">
        <v>44191</v>
      </c>
      <c r="B402">
        <v>33.199599999999997</v>
      </c>
      <c r="C402">
        <v>34.049500000000002</v>
      </c>
      <c r="D402">
        <v>32.51</v>
      </c>
      <c r="E402">
        <v>33.636099999999999</v>
      </c>
      <c r="F402">
        <v>2418941.5440000002</v>
      </c>
      <c r="G402">
        <v>0</v>
      </c>
      <c r="L402" t="s">
        <v>8</v>
      </c>
      <c r="M402" t="s">
        <v>7</v>
      </c>
      <c r="N402" t="s">
        <v>8</v>
      </c>
      <c r="P402">
        <f t="shared" si="974"/>
        <v>0.46294251380318047</v>
      </c>
      <c r="Q402">
        <f t="shared" si="975"/>
        <v>1119830.8791223068</v>
      </c>
      <c r="R402">
        <f t="shared" si="976"/>
        <v>365637419.85566825</v>
      </c>
      <c r="S402">
        <f t="shared" si="977"/>
        <v>3656.3741985566826</v>
      </c>
      <c r="T402">
        <f t="shared" si="978"/>
        <v>3.6563741985566827</v>
      </c>
    </row>
    <row r="403" spans="1:20" x14ac:dyDescent="0.25">
      <c r="A403" s="5">
        <v>44190</v>
      </c>
      <c r="B403">
        <v>32.494700000000002</v>
      </c>
      <c r="C403">
        <v>33.495399999999997</v>
      </c>
      <c r="D403">
        <v>31.731300000000001</v>
      </c>
      <c r="E403">
        <v>33.199599999999997</v>
      </c>
      <c r="F403">
        <v>2596272.9049999998</v>
      </c>
      <c r="G403">
        <v>0</v>
      </c>
      <c r="L403" t="s">
        <v>8</v>
      </c>
      <c r="M403" t="s">
        <v>7</v>
      </c>
      <c r="N403" t="s">
        <v>8</v>
      </c>
      <c r="P403">
        <f t="shared" si="974"/>
        <v>0.66464486140241419</v>
      </c>
      <c r="Q403">
        <f t="shared" si="975"/>
        <v>1725599.445106568</v>
      </c>
      <c r="R403">
        <f t="shared" si="976"/>
        <v>364517588.97654593</v>
      </c>
      <c r="S403">
        <f t="shared" si="977"/>
        <v>3645.1758897654595</v>
      </c>
      <c r="T403">
        <f t="shared" si="978"/>
        <v>3.6451758897654596</v>
      </c>
    </row>
    <row r="404" spans="1:20" x14ac:dyDescent="0.25">
      <c r="A404" s="5">
        <v>44189</v>
      </c>
      <c r="B404">
        <v>31.169799999999999</v>
      </c>
      <c r="C404">
        <v>32.758899999999997</v>
      </c>
      <c r="D404">
        <v>30</v>
      </c>
      <c r="E404">
        <v>32.4895</v>
      </c>
      <c r="F404">
        <v>2999570.8530000001</v>
      </c>
      <c r="G404">
        <v>0</v>
      </c>
      <c r="L404" t="s">
        <v>8</v>
      </c>
      <c r="M404" t="s">
        <v>7</v>
      </c>
      <c r="N404" t="s">
        <v>8</v>
      </c>
      <c r="P404">
        <f t="shared" si="974"/>
        <v>0.80470477364167048</v>
      </c>
      <c r="Q404">
        <f t="shared" si="975"/>
        <v>2413768.9842855176</v>
      </c>
      <c r="R404">
        <f t="shared" si="976"/>
        <v>362791989.53143936</v>
      </c>
      <c r="S404">
        <f t="shared" si="977"/>
        <v>3627.9198953143937</v>
      </c>
      <c r="T404">
        <f t="shared" si="978"/>
        <v>3.6279198953143936</v>
      </c>
    </row>
    <row r="405" spans="1:20" x14ac:dyDescent="0.25">
      <c r="A405" s="5">
        <v>44188</v>
      </c>
      <c r="B405">
        <v>33.511200000000002</v>
      </c>
      <c r="C405">
        <v>34.505000000000003</v>
      </c>
      <c r="D405">
        <v>30</v>
      </c>
      <c r="E405">
        <v>31.1843</v>
      </c>
      <c r="F405">
        <v>3940926.4419999998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-0.47422863485016664</v>
      </c>
      <c r="Q405">
        <f t="shared" si="975"/>
        <v>-1868900.1666345843</v>
      </c>
      <c r="R405">
        <f t="shared" si="976"/>
        <v>360378220.54715383</v>
      </c>
      <c r="S405">
        <f t="shared" si="977"/>
        <v>3603.7822054715384</v>
      </c>
      <c r="T405">
        <f t="shared" si="978"/>
        <v>3.6037822054715383</v>
      </c>
    </row>
    <row r="406" spans="1:20" x14ac:dyDescent="0.25">
      <c r="A406" s="5">
        <v>44187</v>
      </c>
      <c r="B406">
        <v>32.049999999999997</v>
      </c>
      <c r="C406">
        <v>33.799999999999997</v>
      </c>
      <c r="D406">
        <v>30.471900000000002</v>
      </c>
      <c r="E406">
        <v>33.515099999999997</v>
      </c>
      <c r="F406">
        <v>3563635.673</v>
      </c>
      <c r="G406">
        <v>0</v>
      </c>
      <c r="L406" t="s">
        <v>7</v>
      </c>
      <c r="M406" t="s">
        <v>8</v>
      </c>
      <c r="N406" t="s">
        <v>8</v>
      </c>
      <c r="P406">
        <f t="shared" si="974"/>
        <v>0.82879120218743385</v>
      </c>
      <c r="Q406">
        <f t="shared" si="975"/>
        <v>2953509.8935836949</v>
      </c>
      <c r="R406">
        <f t="shared" si="976"/>
        <v>362247120.71378839</v>
      </c>
      <c r="S406">
        <f t="shared" si="977"/>
        <v>3622.471207137884</v>
      </c>
      <c r="T406">
        <f t="shared" si="978"/>
        <v>3.6224712071378842</v>
      </c>
    </row>
    <row r="407" spans="1:20" x14ac:dyDescent="0.25">
      <c r="A407" s="5">
        <v>44186</v>
      </c>
      <c r="B407">
        <v>34.307200000000002</v>
      </c>
      <c r="C407">
        <v>35.6</v>
      </c>
      <c r="D407">
        <v>31.487100000000002</v>
      </c>
      <c r="E407">
        <v>32.049999999999997</v>
      </c>
      <c r="F407">
        <v>4558115.88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-0.72627586374577768</v>
      </c>
      <c r="Q407">
        <f t="shared" si="975"/>
        <v>-3310449.5478003453</v>
      </c>
      <c r="R407">
        <f t="shared" si="976"/>
        <v>359293610.82020468</v>
      </c>
      <c r="S407">
        <f t="shared" si="977"/>
        <v>3592.9361082020469</v>
      </c>
      <c r="T407">
        <f t="shared" si="978"/>
        <v>3.5929361082020468</v>
      </c>
    </row>
    <row r="408" spans="1:20" x14ac:dyDescent="0.25">
      <c r="A408" s="5">
        <v>44185</v>
      </c>
      <c r="B408">
        <v>33.3018</v>
      </c>
      <c r="C408">
        <v>35.69</v>
      </c>
      <c r="D408">
        <v>32.5899</v>
      </c>
      <c r="E408">
        <v>34.314799999999998</v>
      </c>
      <c r="F408">
        <v>4477498.818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0.11280281281248955</v>
      </c>
      <c r="Q408">
        <f t="shared" si="975"/>
        <v>505074.46103499719</v>
      </c>
      <c r="R408">
        <f t="shared" si="976"/>
        <v>362604060.36800504</v>
      </c>
      <c r="S408">
        <f t="shared" si="977"/>
        <v>3626.0406036800505</v>
      </c>
      <c r="T408">
        <f t="shared" si="978"/>
        <v>3.6260406036800505</v>
      </c>
    </row>
    <row r="409" spans="1:20" x14ac:dyDescent="0.25">
      <c r="A409" s="5">
        <v>44184</v>
      </c>
      <c r="B409">
        <v>30.985800000000001</v>
      </c>
      <c r="C409">
        <v>34.230699999999999</v>
      </c>
      <c r="D409">
        <v>30.8812</v>
      </c>
      <c r="E409">
        <v>33.316699999999997</v>
      </c>
      <c r="F409">
        <v>4117460.2930000001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0.45424690252276356</v>
      </c>
      <c r="Q409">
        <f t="shared" si="975"/>
        <v>1870343.5843557206</v>
      </c>
      <c r="R409">
        <f t="shared" si="976"/>
        <v>362098985.90697002</v>
      </c>
      <c r="S409">
        <f t="shared" si="977"/>
        <v>3620.9898590697003</v>
      </c>
      <c r="T409">
        <f t="shared" si="978"/>
        <v>3.6209898590697005</v>
      </c>
    </row>
    <row r="410" spans="1:20" x14ac:dyDescent="0.25">
      <c r="A410" s="5">
        <v>44183</v>
      </c>
      <c r="B410">
        <v>30.2254</v>
      </c>
      <c r="C410">
        <v>31.217199999999998</v>
      </c>
      <c r="D410">
        <v>29.61</v>
      </c>
      <c r="E410">
        <v>30.988199999999999</v>
      </c>
      <c r="F410">
        <v>2045326.3430000001</v>
      </c>
      <c r="G410">
        <v>0</v>
      </c>
      <c r="L410" t="s">
        <v>8</v>
      </c>
      <c r="M410" t="s">
        <v>7</v>
      </c>
      <c r="N410" t="s">
        <v>8</v>
      </c>
      <c r="P410">
        <f t="shared" si="974"/>
        <v>0.71503235440517754</v>
      </c>
      <c r="Q410">
        <f t="shared" si="975"/>
        <v>1462474.5105622218</v>
      </c>
      <c r="R410">
        <f t="shared" si="976"/>
        <v>360228642.32261431</v>
      </c>
      <c r="S410">
        <f t="shared" si="977"/>
        <v>3602.2864232261431</v>
      </c>
      <c r="T410">
        <f t="shared" si="978"/>
        <v>3.6022864232261433</v>
      </c>
    </row>
    <row r="411" spans="1:20" x14ac:dyDescent="0.25">
      <c r="A411" s="5">
        <v>44182</v>
      </c>
      <c r="B411">
        <v>30.552399999999999</v>
      </c>
      <c r="C411">
        <v>31.5489</v>
      </c>
      <c r="D411">
        <v>29.6891</v>
      </c>
      <c r="E411">
        <v>30.2255</v>
      </c>
      <c r="F411">
        <v>3274786.1310000001</v>
      </c>
      <c r="G411">
        <v>0</v>
      </c>
      <c r="L411" t="s">
        <v>8</v>
      </c>
      <c r="M411" t="s">
        <v>7</v>
      </c>
      <c r="N411" t="s">
        <v>8</v>
      </c>
      <c r="P411">
        <f t="shared" si="974"/>
        <v>-0.42316378105172547</v>
      </c>
      <c r="Q411">
        <f t="shared" si="975"/>
        <v>-1385770.8813297113</v>
      </c>
      <c r="R411">
        <f t="shared" si="976"/>
        <v>358766167.81205207</v>
      </c>
      <c r="S411">
        <f t="shared" si="977"/>
        <v>3587.6616781205207</v>
      </c>
      <c r="T411">
        <f t="shared" si="978"/>
        <v>3.5876616781205208</v>
      </c>
    </row>
    <row r="412" spans="1:20" x14ac:dyDescent="0.25">
      <c r="A412" s="5">
        <v>44181</v>
      </c>
      <c r="B412">
        <v>29.5059</v>
      </c>
      <c r="C412">
        <v>30.614000000000001</v>
      </c>
      <c r="D412">
        <v>29.026499999999999</v>
      </c>
      <c r="E412">
        <v>30.557700000000001</v>
      </c>
      <c r="F412">
        <v>2161816.8420000002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0.92907086614173207</v>
      </c>
      <c r="Q412">
        <f t="shared" si="975"/>
        <v>2008481.0458367241</v>
      </c>
      <c r="R412">
        <f t="shared" si="976"/>
        <v>360151938.69338179</v>
      </c>
      <c r="S412">
        <f t="shared" si="977"/>
        <v>3601.5193869338177</v>
      </c>
      <c r="T412">
        <f t="shared" si="978"/>
        <v>3.6015193869338176</v>
      </c>
    </row>
    <row r="413" spans="1:20" x14ac:dyDescent="0.25">
      <c r="A413" s="5">
        <v>44180</v>
      </c>
      <c r="B413">
        <v>30.033799999999999</v>
      </c>
      <c r="C413">
        <v>30.379000000000001</v>
      </c>
      <c r="D413">
        <v>29.306899999999999</v>
      </c>
      <c r="E413">
        <v>29.505299999999998</v>
      </c>
      <c r="F413">
        <v>1624791.814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-0.62988527189628019</v>
      </c>
      <c r="Q413">
        <f t="shared" si="975"/>
        <v>-1023432.4335362404</v>
      </c>
      <c r="R413">
        <f t="shared" si="976"/>
        <v>358143457.64754504</v>
      </c>
      <c r="S413">
        <f t="shared" si="977"/>
        <v>3581.4345764754503</v>
      </c>
      <c r="T413">
        <f t="shared" si="978"/>
        <v>3.5814345764754503</v>
      </c>
    </row>
    <row r="414" spans="1:20" x14ac:dyDescent="0.25">
      <c r="A414" s="5">
        <v>44179</v>
      </c>
      <c r="B414">
        <v>29.1599</v>
      </c>
      <c r="C414">
        <v>30.188400000000001</v>
      </c>
      <c r="D414">
        <v>28.666899999999998</v>
      </c>
      <c r="E414">
        <v>30.033799999999999</v>
      </c>
      <c r="F414">
        <v>2028334.088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0.79677949392047087</v>
      </c>
      <c r="Q414">
        <f t="shared" si="975"/>
        <v>1616135.0081382799</v>
      </c>
      <c r="R414">
        <f t="shared" si="976"/>
        <v>359166890.08108127</v>
      </c>
      <c r="S414">
        <f t="shared" si="977"/>
        <v>3591.6689008108128</v>
      </c>
      <c r="T414">
        <f t="shared" si="978"/>
        <v>3.5916689008108129</v>
      </c>
    </row>
    <row r="415" spans="1:20" x14ac:dyDescent="0.25">
      <c r="A415" s="5">
        <v>44178</v>
      </c>
      <c r="B415">
        <v>28.160299999999999</v>
      </c>
      <c r="C415">
        <v>29.262799999999999</v>
      </c>
      <c r="D415">
        <v>28</v>
      </c>
      <c r="E415">
        <v>29.1571</v>
      </c>
      <c r="F415">
        <v>1639495.8160000001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0.83259423503326113</v>
      </c>
      <c r="Q415">
        <f t="shared" si="975"/>
        <v>1365034.7647627522</v>
      </c>
      <c r="R415">
        <f t="shared" si="976"/>
        <v>357550755.07294297</v>
      </c>
      <c r="S415">
        <f t="shared" si="977"/>
        <v>3575.5075507294296</v>
      </c>
      <c r="T415">
        <f t="shared" si="978"/>
        <v>3.5755075507294296</v>
      </c>
    </row>
    <row r="416" spans="1:20" x14ac:dyDescent="0.25">
      <c r="A416" s="5">
        <v>44177</v>
      </c>
      <c r="B416">
        <v>27.349</v>
      </c>
      <c r="C416">
        <v>28.23</v>
      </c>
      <c r="D416">
        <v>27.254200000000001</v>
      </c>
      <c r="E416">
        <v>28.160299999999999</v>
      </c>
      <c r="F416">
        <v>1293965.5179999999</v>
      </c>
      <c r="G416">
        <v>0</v>
      </c>
      <c r="L416" t="s">
        <v>7</v>
      </c>
      <c r="M416" t="s">
        <v>7</v>
      </c>
      <c r="N416" t="s">
        <v>8</v>
      </c>
      <c r="P416">
        <f t="shared" si="974"/>
        <v>0.8571428571428551</v>
      </c>
      <c r="Q416">
        <f t="shared" si="975"/>
        <v>1109113.3011428544</v>
      </c>
      <c r="R416">
        <f t="shared" si="976"/>
        <v>356185720.30818021</v>
      </c>
      <c r="S416">
        <f t="shared" si="977"/>
        <v>3561.8572030818023</v>
      </c>
      <c r="T416">
        <f t="shared" si="978"/>
        <v>3.5618572030818023</v>
      </c>
    </row>
    <row r="417" spans="1:20" x14ac:dyDescent="0.25">
      <c r="A417" s="5">
        <v>44176</v>
      </c>
      <c r="B417">
        <v>27.695</v>
      </c>
      <c r="C417">
        <v>27.77</v>
      </c>
      <c r="D417">
        <v>26.7273</v>
      </c>
      <c r="E417">
        <v>27.341899999999999</v>
      </c>
      <c r="F417">
        <v>1244803.112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0.17886256833221328</v>
      </c>
      <c r="Q417">
        <f t="shared" si="975"/>
        <v>222648.68168025173</v>
      </c>
      <c r="R417">
        <f t="shared" si="976"/>
        <v>355076607.00703734</v>
      </c>
      <c r="S417">
        <f t="shared" si="977"/>
        <v>3550.7660700703732</v>
      </c>
      <c r="T417">
        <f t="shared" si="978"/>
        <v>3.5507660700703734</v>
      </c>
    </row>
    <row r="418" spans="1:20" x14ac:dyDescent="0.25">
      <c r="A418" s="5">
        <v>44175</v>
      </c>
      <c r="B418">
        <v>28.143999999999998</v>
      </c>
      <c r="C418">
        <v>28.299700000000001</v>
      </c>
      <c r="D418">
        <v>27.39</v>
      </c>
      <c r="E418">
        <v>27.692599999999999</v>
      </c>
      <c r="F418">
        <v>1344683.6270000001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-0.33472573375838643</v>
      </c>
      <c r="Q418">
        <f t="shared" si="975"/>
        <v>-450100.21372046345</v>
      </c>
      <c r="R418">
        <f t="shared" si="976"/>
        <v>354853958.32535708</v>
      </c>
      <c r="S418">
        <f t="shared" si="977"/>
        <v>3548.539583253571</v>
      </c>
      <c r="T418">
        <f t="shared" si="978"/>
        <v>3.5485395832535711</v>
      </c>
    </row>
    <row r="419" spans="1:20" x14ac:dyDescent="0.25">
      <c r="A419" s="5">
        <v>44174</v>
      </c>
      <c r="B419">
        <v>27.670500000000001</v>
      </c>
      <c r="C419">
        <v>28.385300000000001</v>
      </c>
      <c r="D419">
        <v>26.924399999999999</v>
      </c>
      <c r="E419">
        <v>28.145199999999999</v>
      </c>
      <c r="F419">
        <v>1635344.1810000001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0.67129851461427703</v>
      </c>
      <c r="Q419">
        <f t="shared" si="975"/>
        <v>1097804.1195884014</v>
      </c>
      <c r="R419">
        <f t="shared" si="976"/>
        <v>355304058.53907752</v>
      </c>
      <c r="S419">
        <f t="shared" si="977"/>
        <v>3553.040585390775</v>
      </c>
      <c r="T419">
        <f t="shared" si="978"/>
        <v>3.5530405853907752</v>
      </c>
    </row>
    <row r="420" spans="1:20" x14ac:dyDescent="0.25">
      <c r="A420" s="5">
        <v>44173</v>
      </c>
      <c r="B420">
        <v>29.3705</v>
      </c>
      <c r="C420">
        <v>29.4998</v>
      </c>
      <c r="D420">
        <v>27.45</v>
      </c>
      <c r="E420">
        <v>27.670500000000001</v>
      </c>
      <c r="F420">
        <v>1844102.0560000001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-0.78485705922528914</v>
      </c>
      <c r="Q420">
        <f t="shared" si="975"/>
        <v>-1447356.5165834695</v>
      </c>
      <c r="R420">
        <f t="shared" si="976"/>
        <v>354206254.41948915</v>
      </c>
      <c r="S420">
        <f t="shared" si="977"/>
        <v>3542.0625441948914</v>
      </c>
      <c r="T420">
        <f t="shared" si="978"/>
        <v>3.5420625441948914</v>
      </c>
    </row>
    <row r="421" spans="1:20" x14ac:dyDescent="0.25">
      <c r="A421" s="5">
        <v>44172</v>
      </c>
      <c r="B421">
        <v>29.491199999999999</v>
      </c>
      <c r="C421">
        <v>29.668500000000002</v>
      </c>
      <c r="D421">
        <v>29.06</v>
      </c>
      <c r="E421">
        <v>29.37</v>
      </c>
      <c r="F421">
        <v>1219543.166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1.8898931799509557E-2</v>
      </c>
      <c r="Q421">
        <f t="shared" si="975"/>
        <v>23048.063120791961</v>
      </c>
      <c r="R421">
        <f t="shared" si="976"/>
        <v>355653610.93607259</v>
      </c>
      <c r="S421">
        <f t="shared" si="977"/>
        <v>3556.5361093607257</v>
      </c>
      <c r="T421">
        <f t="shared" si="978"/>
        <v>3.5565361093607257</v>
      </c>
    </row>
    <row r="422" spans="1:20" x14ac:dyDescent="0.25">
      <c r="A422" s="5">
        <v>44171</v>
      </c>
      <c r="B422">
        <v>29.729600000000001</v>
      </c>
      <c r="C422">
        <v>30.181899999999999</v>
      </c>
      <c r="D422">
        <v>29.0124</v>
      </c>
      <c r="E422">
        <v>29.502600000000001</v>
      </c>
      <c r="F422">
        <v>1330813.899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-0.16169303120991568</v>
      </c>
      <c r="Q422">
        <f t="shared" si="975"/>
        <v>-215183.33330559658</v>
      </c>
      <c r="R422">
        <f t="shared" si="976"/>
        <v>355630562.87295181</v>
      </c>
      <c r="S422">
        <f t="shared" si="977"/>
        <v>3556.305628729518</v>
      </c>
      <c r="T422">
        <f t="shared" si="978"/>
        <v>3.5563056287295178</v>
      </c>
    </row>
    <row r="423" spans="1:20" x14ac:dyDescent="0.25">
      <c r="A423" s="5">
        <v>44170</v>
      </c>
      <c r="B423">
        <v>29.031500000000001</v>
      </c>
      <c r="C423">
        <v>30.058800000000002</v>
      </c>
      <c r="D423">
        <v>28.658799999999999</v>
      </c>
      <c r="E423">
        <v>29.728000000000002</v>
      </c>
      <c r="F423">
        <v>1836870.1470000001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0.52742857142857213</v>
      </c>
      <c r="Q423">
        <f t="shared" si="975"/>
        <v>968817.79753200139</v>
      </c>
      <c r="R423">
        <f t="shared" si="976"/>
        <v>355845746.2062574</v>
      </c>
      <c r="S423">
        <f t="shared" si="977"/>
        <v>3558.457462062574</v>
      </c>
      <c r="T423">
        <f t="shared" si="978"/>
        <v>3.5584574620625742</v>
      </c>
    </row>
    <row r="424" spans="1:20" x14ac:dyDescent="0.25">
      <c r="A424" s="5">
        <v>44169</v>
      </c>
      <c r="B424">
        <v>30.709900000000001</v>
      </c>
      <c r="C424">
        <v>31.1371</v>
      </c>
      <c r="D424">
        <v>28.705100000000002</v>
      </c>
      <c r="E424">
        <v>29.023099999999999</v>
      </c>
      <c r="F424">
        <v>2064574.4450000001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-0.73848684210526483</v>
      </c>
      <c r="Q424">
        <f t="shared" si="975"/>
        <v>-1524661.0621792797</v>
      </c>
      <c r="R424">
        <f t="shared" si="976"/>
        <v>354876928.40872538</v>
      </c>
      <c r="S424">
        <f t="shared" si="977"/>
        <v>3548.7692840872537</v>
      </c>
      <c r="T424">
        <f t="shared" si="978"/>
        <v>3.5487692840872538</v>
      </c>
    </row>
    <row r="425" spans="1:20" x14ac:dyDescent="0.25">
      <c r="A425" s="5">
        <v>44168</v>
      </c>
      <c r="B425">
        <v>30.272400000000001</v>
      </c>
      <c r="C425">
        <v>30.792999999999999</v>
      </c>
      <c r="D425">
        <v>29.8568</v>
      </c>
      <c r="E425">
        <v>30.706499999999998</v>
      </c>
      <c r="F425">
        <v>1924462.466</v>
      </c>
      <c r="G425">
        <v>0</v>
      </c>
      <c r="L425" t="s">
        <v>7</v>
      </c>
      <c r="M425" t="s">
        <v>7</v>
      </c>
      <c r="N425" t="s">
        <v>8</v>
      </c>
      <c r="P425">
        <f t="shared" si="974"/>
        <v>0.81521042512283493</v>
      </c>
      <c r="Q425">
        <f t="shared" si="975"/>
        <v>1568841.8650407994</v>
      </c>
      <c r="R425">
        <f t="shared" si="976"/>
        <v>356401589.47090465</v>
      </c>
      <c r="S425">
        <f t="shared" si="977"/>
        <v>3564.0158947090463</v>
      </c>
      <c r="T425">
        <f t="shared" si="978"/>
        <v>3.5640158947090463</v>
      </c>
    </row>
    <row r="426" spans="1:20" x14ac:dyDescent="0.25">
      <c r="A426" s="5">
        <v>44167</v>
      </c>
      <c r="B426">
        <v>30.200299999999999</v>
      </c>
      <c r="C426">
        <v>30.999300000000002</v>
      </c>
      <c r="D426">
        <v>29.5306</v>
      </c>
      <c r="E426">
        <v>30.287500000000001</v>
      </c>
      <c r="F426">
        <v>2360296.3080000002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3.0707428337986935E-2</v>
      </c>
      <c r="Q426">
        <f t="shared" si="975"/>
        <v>72478.62973432515</v>
      </c>
      <c r="R426">
        <f t="shared" si="976"/>
        <v>354832747.60586387</v>
      </c>
      <c r="S426">
        <f t="shared" si="977"/>
        <v>3548.3274760586387</v>
      </c>
      <c r="T426">
        <f t="shared" si="978"/>
        <v>3.5483274760586387</v>
      </c>
    </row>
    <row r="427" spans="1:20" x14ac:dyDescent="0.25">
      <c r="A427" s="5">
        <v>44166</v>
      </c>
      <c r="B427">
        <v>31.493500000000001</v>
      </c>
      <c r="C427">
        <v>31.887499999999999</v>
      </c>
      <c r="D427">
        <v>29.17</v>
      </c>
      <c r="E427">
        <v>30.1996</v>
      </c>
      <c r="F427">
        <v>3139022.0830000001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-0.24224471021159197</v>
      </c>
      <c r="Q427">
        <f t="shared" si="975"/>
        <v>-760411.49484412279</v>
      </c>
      <c r="R427">
        <f t="shared" si="976"/>
        <v>354760268.97612953</v>
      </c>
      <c r="S427">
        <f t="shared" si="977"/>
        <v>3547.6026897612951</v>
      </c>
      <c r="T427">
        <f t="shared" si="978"/>
        <v>3.5476026897612951</v>
      </c>
    </row>
    <row r="428" spans="1:20" x14ac:dyDescent="0.25">
      <c r="A428" s="5">
        <v>44165</v>
      </c>
      <c r="B428">
        <v>30.100300000000001</v>
      </c>
      <c r="C428">
        <v>31.599900000000002</v>
      </c>
      <c r="D428">
        <v>29.722999999999999</v>
      </c>
      <c r="E428">
        <v>31.493500000000001</v>
      </c>
      <c r="F428">
        <v>2978036.2289999998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0.88662155682241939</v>
      </c>
      <c r="Q428">
        <f t="shared" si="975"/>
        <v>2640391.1176295467</v>
      </c>
      <c r="R428">
        <f t="shared" si="976"/>
        <v>355520680.47097367</v>
      </c>
      <c r="S428">
        <f t="shared" si="977"/>
        <v>3555.2068047097368</v>
      </c>
      <c r="T428">
        <f t="shared" si="978"/>
        <v>3.5552068047097367</v>
      </c>
    </row>
    <row r="429" spans="1:20" x14ac:dyDescent="0.25">
      <c r="A429" s="5">
        <v>44164</v>
      </c>
      <c r="B429">
        <v>29.155200000000001</v>
      </c>
      <c r="C429">
        <v>30.45</v>
      </c>
      <c r="D429">
        <v>28.854399999999998</v>
      </c>
      <c r="E429">
        <v>30.104500000000002</v>
      </c>
      <c r="F429">
        <v>2857702.301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0.56693406868889762</v>
      </c>
      <c r="Q429">
        <f t="shared" si="975"/>
        <v>1620128.7926075547</v>
      </c>
      <c r="R429">
        <f t="shared" si="976"/>
        <v>352880289.35334414</v>
      </c>
      <c r="S429">
        <f t="shared" si="977"/>
        <v>3528.8028935334414</v>
      </c>
      <c r="T429">
        <f t="shared" si="978"/>
        <v>3.5288028935334412</v>
      </c>
    </row>
    <row r="430" spans="1:20" x14ac:dyDescent="0.25">
      <c r="A430" s="5">
        <v>44163</v>
      </c>
      <c r="B430">
        <v>28.460599999999999</v>
      </c>
      <c r="C430">
        <v>29.6175</v>
      </c>
      <c r="D430">
        <v>27.9</v>
      </c>
      <c r="E430">
        <v>29.176600000000001</v>
      </c>
      <c r="F430">
        <v>2636652.594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0.48657933042212648</v>
      </c>
      <c r="Q430">
        <f t="shared" si="975"/>
        <v>1282940.6537442829</v>
      </c>
      <c r="R430">
        <f t="shared" si="976"/>
        <v>351260160.5607366</v>
      </c>
      <c r="S430">
        <f t="shared" si="977"/>
        <v>3512.6016056073659</v>
      </c>
      <c r="T430">
        <f t="shared" si="978"/>
        <v>3.5126016056073657</v>
      </c>
    </row>
    <row r="431" spans="1:20" x14ac:dyDescent="0.25">
      <c r="A431" s="5">
        <v>44162</v>
      </c>
      <c r="B431">
        <v>28.235399999999998</v>
      </c>
      <c r="C431">
        <v>28.717500000000001</v>
      </c>
      <c r="D431">
        <v>27.2042</v>
      </c>
      <c r="E431">
        <v>28.460599999999999</v>
      </c>
      <c r="F431">
        <v>2317359.7949999999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0.66047710301988827</v>
      </c>
      <c r="Q431">
        <f t="shared" si="975"/>
        <v>1530563.084056362</v>
      </c>
      <c r="R431">
        <f t="shared" si="976"/>
        <v>349977219.90699232</v>
      </c>
      <c r="S431">
        <f t="shared" si="977"/>
        <v>3499.7721990699233</v>
      </c>
      <c r="T431">
        <f t="shared" si="978"/>
        <v>3.4997721990699233</v>
      </c>
    </row>
    <row r="432" spans="1:20" x14ac:dyDescent="0.25">
      <c r="A432" s="5">
        <v>44161</v>
      </c>
      <c r="B432">
        <v>31.295000000000002</v>
      </c>
      <c r="C432">
        <v>31.770800000000001</v>
      </c>
      <c r="D432">
        <v>26.35</v>
      </c>
      <c r="E432">
        <v>28.235600000000002</v>
      </c>
      <c r="F432">
        <v>6241853.0130000003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-0.30430932703659969</v>
      </c>
      <c r="Q432">
        <f t="shared" si="975"/>
        <v>-1899454.0898474022</v>
      </c>
      <c r="R432">
        <f t="shared" si="976"/>
        <v>348446656.82293594</v>
      </c>
      <c r="S432">
        <f t="shared" si="977"/>
        <v>3484.4665682293594</v>
      </c>
      <c r="T432">
        <f t="shared" si="978"/>
        <v>3.4844665682293594</v>
      </c>
    </row>
    <row r="433" spans="1:20" x14ac:dyDescent="0.25">
      <c r="A433" s="5">
        <v>44160</v>
      </c>
      <c r="B433">
        <v>33.945099999999996</v>
      </c>
      <c r="C433">
        <v>35.433799999999998</v>
      </c>
      <c r="D433">
        <v>30.439</v>
      </c>
      <c r="E433">
        <v>31.295300000000001</v>
      </c>
      <c r="F433">
        <v>4589237.0820000004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-0.65712340834467797</v>
      </c>
      <c r="Q433">
        <f t="shared" si="975"/>
        <v>-3015695.1130256248</v>
      </c>
      <c r="R433">
        <f t="shared" si="976"/>
        <v>350346110.91278332</v>
      </c>
      <c r="S433">
        <f t="shared" si="977"/>
        <v>3503.4611091278334</v>
      </c>
      <c r="T433">
        <f t="shared" si="978"/>
        <v>3.5034611091278336</v>
      </c>
    </row>
    <row r="434" spans="1:20" x14ac:dyDescent="0.25">
      <c r="A434" s="5">
        <v>44159</v>
      </c>
      <c r="B434">
        <v>30.999400000000001</v>
      </c>
      <c r="C434">
        <v>35.14</v>
      </c>
      <c r="D434">
        <v>30.793399999999998</v>
      </c>
      <c r="E434">
        <v>33.9407</v>
      </c>
      <c r="F434">
        <v>7296367.3689999999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0.44816638291998329</v>
      </c>
      <c r="Q434">
        <f t="shared" si="975"/>
        <v>3269986.5722201248</v>
      </c>
      <c r="R434">
        <f t="shared" si="976"/>
        <v>353361806.02580893</v>
      </c>
      <c r="S434">
        <f t="shared" si="977"/>
        <v>3533.6180602580894</v>
      </c>
      <c r="T434">
        <f t="shared" si="978"/>
        <v>3.5336180602580893</v>
      </c>
    </row>
    <row r="435" spans="1:20" x14ac:dyDescent="0.25">
      <c r="A435" s="5">
        <v>44158</v>
      </c>
      <c r="B435">
        <v>30.0291</v>
      </c>
      <c r="C435">
        <v>31.1</v>
      </c>
      <c r="D435">
        <v>29.786000000000001</v>
      </c>
      <c r="E435">
        <v>30.995000000000001</v>
      </c>
      <c r="F435">
        <v>2920522.8870000001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0.84018264840182588</v>
      </c>
      <c r="Q435">
        <f t="shared" si="975"/>
        <v>2453772.6539178067</v>
      </c>
      <c r="R435">
        <f t="shared" si="976"/>
        <v>350091819.45358878</v>
      </c>
      <c r="S435">
        <f t="shared" si="977"/>
        <v>3500.9181945358878</v>
      </c>
      <c r="T435">
        <f t="shared" si="978"/>
        <v>3.5009181945358878</v>
      </c>
    </row>
    <row r="436" spans="1:20" x14ac:dyDescent="0.25">
      <c r="A436" s="5">
        <v>44157</v>
      </c>
      <c r="B436">
        <v>30.5168</v>
      </c>
      <c r="C436">
        <v>31.12</v>
      </c>
      <c r="D436">
        <v>29</v>
      </c>
      <c r="E436">
        <v>30.022600000000001</v>
      </c>
      <c r="F436">
        <v>2842370.7829999998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-3.5283018867924398E-2</v>
      </c>
      <c r="Q436">
        <f t="shared" si="975"/>
        <v>-100287.42196622604</v>
      </c>
      <c r="R436">
        <f t="shared" si="976"/>
        <v>347638046.79967099</v>
      </c>
      <c r="S436">
        <f t="shared" si="977"/>
        <v>3476.3804679967097</v>
      </c>
      <c r="T436">
        <f t="shared" si="978"/>
        <v>3.4763804679967096</v>
      </c>
    </row>
    <row r="437" spans="1:20" x14ac:dyDescent="0.25">
      <c r="A437" s="5">
        <v>44156</v>
      </c>
      <c r="B437">
        <v>28.972200000000001</v>
      </c>
      <c r="C437">
        <v>30.8</v>
      </c>
      <c r="D437">
        <v>28.295500000000001</v>
      </c>
      <c r="E437">
        <v>30.516100000000002</v>
      </c>
      <c r="F437">
        <v>3160335.4720000001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0.77328808145338457</v>
      </c>
      <c r="Q437">
        <f t="shared" si="975"/>
        <v>2443849.7538919565</v>
      </c>
      <c r="R437">
        <f t="shared" si="976"/>
        <v>347738334.22163725</v>
      </c>
      <c r="S437">
        <f t="shared" si="977"/>
        <v>3477.3833422163725</v>
      </c>
      <c r="T437">
        <f t="shared" si="978"/>
        <v>3.4773833422163727</v>
      </c>
    </row>
    <row r="438" spans="1:20" x14ac:dyDescent="0.25">
      <c r="A438" s="5">
        <v>44155</v>
      </c>
      <c r="B438">
        <v>28.1266</v>
      </c>
      <c r="C438">
        <v>29.351600000000001</v>
      </c>
      <c r="D438">
        <v>28.059799999999999</v>
      </c>
      <c r="E438">
        <v>28.971499999999999</v>
      </c>
      <c r="F438">
        <v>2491336.0789999999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0.41151881096144649</v>
      </c>
      <c r="Q438">
        <f t="shared" si="975"/>
        <v>1025231.6609354323</v>
      </c>
      <c r="R438">
        <f t="shared" si="976"/>
        <v>345294484.4677453</v>
      </c>
      <c r="S438">
        <f t="shared" si="977"/>
        <v>3452.9448446774531</v>
      </c>
      <c r="T438">
        <f t="shared" si="978"/>
        <v>3.4529448446774533</v>
      </c>
    </row>
    <row r="439" spans="1:20" x14ac:dyDescent="0.25">
      <c r="A439" s="5">
        <v>44154</v>
      </c>
      <c r="B439">
        <v>28.104900000000001</v>
      </c>
      <c r="C439">
        <v>28.366599999999998</v>
      </c>
      <c r="D439">
        <v>27.618300000000001</v>
      </c>
      <c r="E439">
        <v>28.1387</v>
      </c>
      <c r="F439">
        <v>2011350.3370000001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0.39088600828544923</v>
      </c>
      <c r="Q439">
        <f t="shared" si="975"/>
        <v>786208.70449352311</v>
      </c>
      <c r="R439">
        <f t="shared" si="976"/>
        <v>344269252.80680984</v>
      </c>
      <c r="S439">
        <f t="shared" si="977"/>
        <v>3442.6925280680985</v>
      </c>
      <c r="T439">
        <f t="shared" si="978"/>
        <v>3.4426925280680987</v>
      </c>
    </row>
    <row r="440" spans="1:20" x14ac:dyDescent="0.25">
      <c r="A440" s="5">
        <v>44153</v>
      </c>
      <c r="B440">
        <v>28.555199999999999</v>
      </c>
      <c r="C440">
        <v>28.838000000000001</v>
      </c>
      <c r="D440">
        <v>27.5</v>
      </c>
      <c r="E440">
        <v>28.0931</v>
      </c>
      <c r="F440">
        <v>2220839.9309999999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-0.11345291479820731</v>
      </c>
      <c r="Q440">
        <f t="shared" si="975"/>
        <v>-251960.76347219959</v>
      </c>
      <c r="R440">
        <f t="shared" si="976"/>
        <v>343483044.10231632</v>
      </c>
      <c r="S440">
        <f t="shared" si="977"/>
        <v>3434.8304410231631</v>
      </c>
      <c r="T440">
        <f t="shared" si="978"/>
        <v>3.4348304410231632</v>
      </c>
    </row>
    <row r="441" spans="1:20" x14ac:dyDescent="0.25">
      <c r="A441" s="5">
        <v>44152</v>
      </c>
      <c r="B441">
        <v>27.9588</v>
      </c>
      <c r="C441">
        <v>28.8</v>
      </c>
      <c r="D441">
        <v>27.926200000000001</v>
      </c>
      <c r="E441">
        <v>28.555199999999999</v>
      </c>
      <c r="F441">
        <v>2243647.2050000001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0.43968871595330355</v>
      </c>
      <c r="Q441">
        <f t="shared" si="975"/>
        <v>986506.35861866851</v>
      </c>
      <c r="R441">
        <f t="shared" si="976"/>
        <v>343735004.86578852</v>
      </c>
      <c r="S441">
        <f t="shared" si="977"/>
        <v>3437.3500486578851</v>
      </c>
      <c r="T441">
        <f t="shared" si="978"/>
        <v>3.4373500486578852</v>
      </c>
    </row>
    <row r="442" spans="1:20" x14ac:dyDescent="0.25">
      <c r="A442" s="5">
        <v>44151</v>
      </c>
      <c r="B442">
        <v>27.682200000000002</v>
      </c>
      <c r="C442">
        <v>28.220199999999998</v>
      </c>
      <c r="D442">
        <v>27.446100000000001</v>
      </c>
      <c r="E442">
        <v>27.9451</v>
      </c>
      <c r="F442">
        <v>1685368.835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0.28923911639323246</v>
      </c>
      <c r="Q442">
        <f t="shared" si="975"/>
        <v>487474.5926320916</v>
      </c>
      <c r="R442">
        <f t="shared" si="976"/>
        <v>342748498.50716984</v>
      </c>
      <c r="S442">
        <f t="shared" si="977"/>
        <v>3427.4849850716982</v>
      </c>
      <c r="T442">
        <f t="shared" si="978"/>
        <v>3.4274849850716982</v>
      </c>
    </row>
    <row r="443" spans="1:20" x14ac:dyDescent="0.25">
      <c r="A443" s="5">
        <v>44150</v>
      </c>
      <c r="B443">
        <v>27.9359</v>
      </c>
      <c r="C443">
        <v>28.2332</v>
      </c>
      <c r="D443">
        <v>27.07</v>
      </c>
      <c r="E443">
        <v>27.678599999999999</v>
      </c>
      <c r="F443">
        <v>1442022.548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4.6423658872075745E-2</v>
      </c>
      <c r="Q443">
        <f t="shared" si="975"/>
        <v>66943.962854193465</v>
      </c>
      <c r="R443">
        <f t="shared" si="976"/>
        <v>342261023.91453773</v>
      </c>
      <c r="S443">
        <f t="shared" si="977"/>
        <v>3422.6102391453774</v>
      </c>
      <c r="T443">
        <f t="shared" si="978"/>
        <v>3.4226102391453774</v>
      </c>
    </row>
    <row r="444" spans="1:20" x14ac:dyDescent="0.25">
      <c r="A444" s="5">
        <v>44149</v>
      </c>
      <c r="B444">
        <v>28.197399999999998</v>
      </c>
      <c r="C444">
        <v>28.197399999999998</v>
      </c>
      <c r="D444">
        <v>27.368400000000001</v>
      </c>
      <c r="E444">
        <v>27.931100000000001</v>
      </c>
      <c r="F444">
        <v>1503467.4990000001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0.35753920386007604</v>
      </c>
      <c r="Q444">
        <f t="shared" si="975"/>
        <v>537548.57262195973</v>
      </c>
      <c r="R444">
        <f t="shared" si="976"/>
        <v>342194079.95168352</v>
      </c>
      <c r="S444">
        <f t="shared" si="977"/>
        <v>3421.9407995168353</v>
      </c>
      <c r="T444">
        <f t="shared" si="978"/>
        <v>3.4219407995168352</v>
      </c>
    </row>
    <row r="445" spans="1:20" x14ac:dyDescent="0.25">
      <c r="A445" s="5">
        <v>44148</v>
      </c>
      <c r="B445">
        <v>27.701899999999998</v>
      </c>
      <c r="C445">
        <v>28.5198</v>
      </c>
      <c r="D445">
        <v>27.528400000000001</v>
      </c>
      <c r="E445">
        <v>28.197399999999998</v>
      </c>
      <c r="F445">
        <v>1934234.5560000001</v>
      </c>
      <c r="G445">
        <v>0</v>
      </c>
      <c r="L445" t="s">
        <v>7</v>
      </c>
      <c r="M445" t="s">
        <v>7</v>
      </c>
      <c r="N445" t="s">
        <v>8</v>
      </c>
      <c r="P445">
        <f t="shared" si="974"/>
        <v>0.34960661690538186</v>
      </c>
      <c r="Q445">
        <f t="shared" si="975"/>
        <v>676221.19942464342</v>
      </c>
      <c r="R445">
        <f t="shared" si="976"/>
        <v>341656531.37906158</v>
      </c>
      <c r="S445">
        <f t="shared" si="977"/>
        <v>3416.5653137906156</v>
      </c>
      <c r="T445">
        <f t="shared" si="978"/>
        <v>3.4165653137906156</v>
      </c>
    </row>
    <row r="446" spans="1:20" x14ac:dyDescent="0.25">
      <c r="A446" s="5">
        <v>44147</v>
      </c>
      <c r="B446">
        <v>28.005700000000001</v>
      </c>
      <c r="C446">
        <v>28.1599</v>
      </c>
      <c r="D446">
        <v>27.302800000000001</v>
      </c>
      <c r="E446">
        <v>27.6874</v>
      </c>
      <c r="F446">
        <v>1661489.2860000001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-0.10255512775638932</v>
      </c>
      <c r="Q446">
        <f t="shared" si="975"/>
        <v>-170394.24599160207</v>
      </c>
      <c r="R446">
        <f t="shared" si="976"/>
        <v>340980310.17963696</v>
      </c>
      <c r="S446">
        <f t="shared" si="977"/>
        <v>3409.8031017963694</v>
      </c>
      <c r="T446">
        <f t="shared" si="978"/>
        <v>3.4098031017963693</v>
      </c>
    </row>
    <row r="447" spans="1:20" x14ac:dyDescent="0.25">
      <c r="A447" s="5">
        <v>44146</v>
      </c>
      <c r="B447">
        <v>28.218299999999999</v>
      </c>
      <c r="C447">
        <v>28.599900000000002</v>
      </c>
      <c r="D447">
        <v>27.796600000000002</v>
      </c>
      <c r="E447">
        <v>28.015999999999998</v>
      </c>
      <c r="F447">
        <v>1974074.31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-0.45375326777045516</v>
      </c>
      <c r="Q447">
        <f t="shared" si="975"/>
        <v>-895742.66898420651</v>
      </c>
      <c r="R447">
        <f t="shared" si="976"/>
        <v>341150704.42562854</v>
      </c>
      <c r="S447">
        <f t="shared" si="977"/>
        <v>3411.5070442562856</v>
      </c>
      <c r="T447">
        <f t="shared" si="978"/>
        <v>3.4115070442562856</v>
      </c>
    </row>
    <row r="448" spans="1:20" x14ac:dyDescent="0.25">
      <c r="A448" s="5">
        <v>44145</v>
      </c>
      <c r="B448">
        <v>28.083600000000001</v>
      </c>
      <c r="C448">
        <v>28.488</v>
      </c>
      <c r="D448">
        <v>27.6114</v>
      </c>
      <c r="E448">
        <v>28.218800000000002</v>
      </c>
      <c r="F448">
        <v>2172598.7689999999</v>
      </c>
      <c r="G448">
        <v>0</v>
      </c>
      <c r="L448" t="s">
        <v>7</v>
      </c>
      <c r="M448" t="s">
        <v>7</v>
      </c>
      <c r="N448" t="s">
        <v>8</v>
      </c>
      <c r="P448">
        <f t="shared" si="974"/>
        <v>0.38580880675336998</v>
      </c>
      <c r="Q448">
        <f t="shared" si="975"/>
        <v>838207.73862173047</v>
      </c>
      <c r="R448">
        <f t="shared" si="976"/>
        <v>342046447.09461278</v>
      </c>
      <c r="S448">
        <f t="shared" si="977"/>
        <v>3420.4644709461277</v>
      </c>
      <c r="T448">
        <f t="shared" si="978"/>
        <v>3.4204644709461278</v>
      </c>
    </row>
    <row r="449" spans="1:20" x14ac:dyDescent="0.25">
      <c r="A449" s="5">
        <v>44144</v>
      </c>
      <c r="B449">
        <v>28.4101</v>
      </c>
      <c r="C449">
        <v>28.969100000000001</v>
      </c>
      <c r="D449">
        <v>27.3461</v>
      </c>
      <c r="E449">
        <v>28.094100000000001</v>
      </c>
      <c r="F449">
        <v>2148267.466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-7.8250154035735556E-2</v>
      </c>
      <c r="Q449">
        <f t="shared" si="975"/>
        <v>-168102.26012445931</v>
      </c>
      <c r="R449">
        <f t="shared" si="976"/>
        <v>341208239.35599107</v>
      </c>
      <c r="S449">
        <f t="shared" si="977"/>
        <v>3412.0823935599105</v>
      </c>
      <c r="T449">
        <f t="shared" si="978"/>
        <v>3.4120823935599107</v>
      </c>
    </row>
    <row r="450" spans="1:20" x14ac:dyDescent="0.25">
      <c r="A450" s="5">
        <v>44143</v>
      </c>
      <c r="B450">
        <v>27.762799999999999</v>
      </c>
      <c r="C450">
        <v>28.694299999999998</v>
      </c>
      <c r="D450">
        <v>27.449000000000002</v>
      </c>
      <c r="E450">
        <v>28.4101</v>
      </c>
      <c r="F450">
        <v>2298549.4550000001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0.54356379988757852</v>
      </c>
      <c r="Q450">
        <f t="shared" si="975"/>
        <v>1249408.2759893227</v>
      </c>
      <c r="R450">
        <f t="shared" si="976"/>
        <v>341376341.61611551</v>
      </c>
      <c r="S450">
        <f t="shared" si="977"/>
        <v>3413.763416161155</v>
      </c>
      <c r="T450">
        <f t="shared" si="978"/>
        <v>3.4137634161611548</v>
      </c>
    </row>
    <row r="451" spans="1:20" x14ac:dyDescent="0.25">
      <c r="A451" s="5">
        <v>44142</v>
      </c>
      <c r="B451">
        <v>29.039100000000001</v>
      </c>
      <c r="C451">
        <v>29.899000000000001</v>
      </c>
      <c r="D451">
        <v>26.85</v>
      </c>
      <c r="E451">
        <v>27.7651</v>
      </c>
      <c r="F451">
        <v>3091788.824</v>
      </c>
      <c r="G451">
        <v>0</v>
      </c>
      <c r="L451" t="s">
        <v>8</v>
      </c>
      <c r="M451" t="s">
        <v>7</v>
      </c>
      <c r="N451" t="s">
        <v>8</v>
      </c>
      <c r="P451">
        <f t="shared" si="974"/>
        <v>-0.39973761889144044</v>
      </c>
      <c r="Q451">
        <f t="shared" si="975"/>
        <v>-1235904.3026209269</v>
      </c>
      <c r="R451">
        <f t="shared" si="976"/>
        <v>340126933.34012622</v>
      </c>
      <c r="S451">
        <f t="shared" si="977"/>
        <v>3401.269333401262</v>
      </c>
      <c r="T451">
        <f t="shared" si="978"/>
        <v>3.4012693334012618</v>
      </c>
    </row>
    <row r="452" spans="1:20" x14ac:dyDescent="0.25">
      <c r="A452" s="5">
        <v>44141</v>
      </c>
      <c r="B452">
        <v>27.686</v>
      </c>
      <c r="C452">
        <v>29.469200000000001</v>
      </c>
      <c r="D452">
        <v>27.666799999999999</v>
      </c>
      <c r="E452">
        <v>29.043500000000002</v>
      </c>
      <c r="F452">
        <v>2741813.969</v>
      </c>
      <c r="G452">
        <v>0</v>
      </c>
      <c r="L452" t="s">
        <v>8</v>
      </c>
      <c r="M452" t="s">
        <v>7</v>
      </c>
      <c r="N452" t="s">
        <v>8</v>
      </c>
      <c r="P452">
        <f t="shared" si="974"/>
        <v>0.52762982689747162</v>
      </c>
      <c r="Q452">
        <f t="shared" si="975"/>
        <v>1446662.8298485395</v>
      </c>
      <c r="R452">
        <f t="shared" si="976"/>
        <v>341362837.64274716</v>
      </c>
      <c r="S452">
        <f t="shared" si="977"/>
        <v>3413.6283764274717</v>
      </c>
      <c r="T452">
        <f t="shared" si="978"/>
        <v>3.4136283764274715</v>
      </c>
    </row>
    <row r="453" spans="1:20" x14ac:dyDescent="0.25">
      <c r="A453" s="5">
        <v>44140</v>
      </c>
      <c r="B453">
        <v>26.960699999999999</v>
      </c>
      <c r="C453">
        <v>27.8947</v>
      </c>
      <c r="D453">
        <v>26.6601</v>
      </c>
      <c r="E453">
        <v>27.6875</v>
      </c>
      <c r="F453">
        <v>2396900.8220000002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0.66434472703709668</v>
      </c>
      <c r="Q453">
        <f t="shared" si="975"/>
        <v>1592368.4223265827</v>
      </c>
      <c r="R453">
        <f t="shared" si="976"/>
        <v>339916174.81289864</v>
      </c>
      <c r="S453">
        <f t="shared" si="977"/>
        <v>3399.1617481289863</v>
      </c>
      <c r="T453">
        <f t="shared" si="978"/>
        <v>3.3991617481289862</v>
      </c>
    </row>
    <row r="454" spans="1:20" x14ac:dyDescent="0.25">
      <c r="A454" s="5">
        <v>44139</v>
      </c>
      <c r="B454">
        <v>26.872199999999999</v>
      </c>
      <c r="C454">
        <v>26.97</v>
      </c>
      <c r="D454">
        <v>25.9</v>
      </c>
      <c r="E454">
        <v>26.96</v>
      </c>
      <c r="F454">
        <v>2039985.34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0.98130841121495704</v>
      </c>
      <c r="Q454">
        <f t="shared" ref="Q454:Q517" si="980">F454*P454</f>
        <v>2001854.7728972042</v>
      </c>
      <c r="R454">
        <f t="shared" ref="R454:R517" si="981">R455+Q454</f>
        <v>338323806.39057207</v>
      </c>
      <c r="S454">
        <f t="shared" ref="S454:S517" si="982">R454/100000</f>
        <v>3383.2380639057205</v>
      </c>
      <c r="T454">
        <f t="shared" ref="T454:T517" si="983">S454/1000</f>
        <v>3.3832380639057207</v>
      </c>
    </row>
    <row r="455" spans="1:20" x14ac:dyDescent="0.25">
      <c r="A455" s="5">
        <v>44138</v>
      </c>
      <c r="B455">
        <v>27.798400000000001</v>
      </c>
      <c r="C455">
        <v>27.798400000000001</v>
      </c>
      <c r="D455">
        <v>25.7499</v>
      </c>
      <c r="E455">
        <v>26.863800000000001</v>
      </c>
      <c r="F455">
        <v>2591560.855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8.7527459116427286E-2</v>
      </c>
      <c r="Q455">
        <f t="shared" si="980"/>
        <v>226832.73678374584</v>
      </c>
      <c r="R455">
        <f t="shared" si="981"/>
        <v>336321951.61767489</v>
      </c>
      <c r="S455">
        <f t="shared" si="982"/>
        <v>3363.219516176749</v>
      </c>
      <c r="T455">
        <f t="shared" si="983"/>
        <v>3.3632195161767489</v>
      </c>
    </row>
    <row r="456" spans="1:20" x14ac:dyDescent="0.25">
      <c r="A456" s="5">
        <v>44137</v>
      </c>
      <c r="B456">
        <v>28.548500000000001</v>
      </c>
      <c r="C456">
        <v>29.3079</v>
      </c>
      <c r="D456">
        <v>27.778199999999998</v>
      </c>
      <c r="E456">
        <v>27.798300000000001</v>
      </c>
      <c r="F456">
        <v>2123599.0520000001</v>
      </c>
      <c r="G456">
        <v>0</v>
      </c>
      <c r="L456" t="s">
        <v>7</v>
      </c>
      <c r="M456" t="s">
        <v>7</v>
      </c>
      <c r="N456" t="s">
        <v>8</v>
      </c>
      <c r="P456">
        <f t="shared" si="979"/>
        <v>-0.97372033732103958</v>
      </c>
      <c r="Q456">
        <f t="shared" si="980"/>
        <v>-2067791.5852480801</v>
      </c>
      <c r="R456">
        <f t="shared" si="981"/>
        <v>336095118.88089114</v>
      </c>
      <c r="S456">
        <f t="shared" si="982"/>
        <v>3360.9511888089114</v>
      </c>
      <c r="T456">
        <f t="shared" si="983"/>
        <v>3.3609511888089112</v>
      </c>
    </row>
    <row r="457" spans="1:20" x14ac:dyDescent="0.25">
      <c r="A457" s="5">
        <v>44136</v>
      </c>
      <c r="B457">
        <v>28.505800000000001</v>
      </c>
      <c r="C457">
        <v>28.678999999999998</v>
      </c>
      <c r="D457">
        <v>28</v>
      </c>
      <c r="E457">
        <v>28.5318</v>
      </c>
      <c r="F457">
        <v>1916131.6810000001</v>
      </c>
      <c r="G457">
        <v>0</v>
      </c>
      <c r="L457" t="s">
        <v>7</v>
      </c>
      <c r="M457" t="s">
        <v>7</v>
      </c>
      <c r="N457" t="s">
        <v>8</v>
      </c>
      <c r="P457">
        <f t="shared" si="979"/>
        <v>0.56642120765832604</v>
      </c>
      <c r="Q457">
        <f t="shared" si="980"/>
        <v>1085337.6207843984</v>
      </c>
      <c r="R457">
        <f t="shared" si="981"/>
        <v>338162910.4661392</v>
      </c>
      <c r="S457">
        <f t="shared" si="982"/>
        <v>3381.6291046613919</v>
      </c>
      <c r="T457">
        <f t="shared" si="983"/>
        <v>3.3816291046613918</v>
      </c>
    </row>
    <row r="458" spans="1:20" x14ac:dyDescent="0.25">
      <c r="A458" s="5">
        <v>44135</v>
      </c>
      <c r="B458">
        <v>28.4969</v>
      </c>
      <c r="C458">
        <v>28.888000000000002</v>
      </c>
      <c r="D458">
        <v>28.113199999999999</v>
      </c>
      <c r="E458">
        <v>28.505800000000001</v>
      </c>
      <c r="F458">
        <v>1986140.314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1.3422818791947079E-2</v>
      </c>
      <c r="Q458">
        <f t="shared" si="980"/>
        <v>26659.601530202872</v>
      </c>
      <c r="R458">
        <f t="shared" si="981"/>
        <v>337077572.8453548</v>
      </c>
      <c r="S458">
        <f t="shared" si="982"/>
        <v>3370.7757284535478</v>
      </c>
      <c r="T458">
        <f t="shared" si="983"/>
        <v>3.3707757284535478</v>
      </c>
    </row>
    <row r="459" spans="1:20" x14ac:dyDescent="0.25">
      <c r="A459" s="5">
        <v>44134</v>
      </c>
      <c r="B459">
        <v>29.869599999999998</v>
      </c>
      <c r="C459">
        <v>30.259599999999999</v>
      </c>
      <c r="D459">
        <v>27.511099999999999</v>
      </c>
      <c r="E459">
        <v>28.4909</v>
      </c>
      <c r="F459">
        <v>3211305.358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-0.28702928870292821</v>
      </c>
      <c r="Q459">
        <f t="shared" si="980"/>
        <v>-921738.69271464227</v>
      </c>
      <c r="R459">
        <f t="shared" si="981"/>
        <v>337050913.2438246</v>
      </c>
      <c r="S459">
        <f t="shared" si="982"/>
        <v>3370.5091324382461</v>
      </c>
      <c r="T459">
        <f t="shared" si="983"/>
        <v>3.3705091324382459</v>
      </c>
    </row>
    <row r="460" spans="1:20" x14ac:dyDescent="0.25">
      <c r="A460" s="5">
        <v>44133</v>
      </c>
      <c r="B460">
        <v>30.329499999999999</v>
      </c>
      <c r="C460">
        <v>30.427199999999999</v>
      </c>
      <c r="D460">
        <v>29.47</v>
      </c>
      <c r="E460">
        <v>29.870200000000001</v>
      </c>
      <c r="F460">
        <v>1977911.04</v>
      </c>
      <c r="G460">
        <v>0</v>
      </c>
      <c r="L460" t="s">
        <v>7</v>
      </c>
      <c r="M460" t="s">
        <v>8</v>
      </c>
      <c r="N460" t="s">
        <v>8</v>
      </c>
      <c r="P460">
        <f t="shared" si="979"/>
        <v>-0.16381111575428009</v>
      </c>
      <c r="Q460">
        <f t="shared" si="980"/>
        <v>-324003.81432510854</v>
      </c>
      <c r="R460">
        <f t="shared" si="981"/>
        <v>337972651.93653923</v>
      </c>
      <c r="S460">
        <f t="shared" si="982"/>
        <v>3379.7265193653925</v>
      </c>
      <c r="T460">
        <f t="shared" si="983"/>
        <v>3.3797265193653927</v>
      </c>
    </row>
    <row r="461" spans="1:20" x14ac:dyDescent="0.25">
      <c r="A461" s="5">
        <v>44132</v>
      </c>
      <c r="B461">
        <v>31.472999999999999</v>
      </c>
      <c r="C461">
        <v>31.9375</v>
      </c>
      <c r="D461">
        <v>29.8</v>
      </c>
      <c r="E461">
        <v>30.3338</v>
      </c>
      <c r="F461">
        <v>2208604.6090000002</v>
      </c>
      <c r="G461">
        <v>0</v>
      </c>
      <c r="L461" t="s">
        <v>7</v>
      </c>
      <c r="M461" t="s">
        <v>8</v>
      </c>
      <c r="N461" t="s">
        <v>8</v>
      </c>
      <c r="P461">
        <f t="shared" si="979"/>
        <v>-0.50053801169590684</v>
      </c>
      <c r="Q461">
        <f t="shared" si="980"/>
        <v>-1105490.5596112758</v>
      </c>
      <c r="R461">
        <f t="shared" si="981"/>
        <v>338296655.75086433</v>
      </c>
      <c r="S461">
        <f t="shared" si="982"/>
        <v>3382.9665575086433</v>
      </c>
      <c r="T461">
        <f t="shared" si="983"/>
        <v>3.3829665575086434</v>
      </c>
    </row>
    <row r="462" spans="1:20" x14ac:dyDescent="0.25">
      <c r="A462" s="5">
        <v>44131</v>
      </c>
      <c r="B462">
        <v>31.043600000000001</v>
      </c>
      <c r="C462">
        <v>32.378799999999998</v>
      </c>
      <c r="D462">
        <v>30.9</v>
      </c>
      <c r="E462">
        <v>31.482600000000001</v>
      </c>
      <c r="F462">
        <v>2889326.9679999999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-0.21206383554232752</v>
      </c>
      <c r="Q462">
        <f t="shared" si="980"/>
        <v>-612721.75896996376</v>
      </c>
      <c r="R462">
        <f t="shared" si="981"/>
        <v>339402146.31047559</v>
      </c>
      <c r="S462">
        <f t="shared" si="982"/>
        <v>3394.0214631047561</v>
      </c>
      <c r="T462">
        <f t="shared" si="983"/>
        <v>3.3940214631047563</v>
      </c>
    </row>
    <row r="463" spans="1:20" x14ac:dyDescent="0.25">
      <c r="A463" s="5">
        <v>44130</v>
      </c>
      <c r="B463">
        <v>30.1342</v>
      </c>
      <c r="C463">
        <v>31.43</v>
      </c>
      <c r="D463">
        <v>29.96</v>
      </c>
      <c r="E463">
        <v>31.046700000000001</v>
      </c>
      <c r="F463">
        <v>2648020.165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0.47850340136054598</v>
      </c>
      <c r="Q463">
        <f t="shared" si="980"/>
        <v>1267086.6558238142</v>
      </c>
      <c r="R463">
        <f t="shared" si="981"/>
        <v>340014868.06944555</v>
      </c>
      <c r="S463">
        <f t="shared" si="982"/>
        <v>3400.1486806944554</v>
      </c>
      <c r="T463">
        <f t="shared" si="983"/>
        <v>3.4001486806944552</v>
      </c>
    </row>
    <row r="464" spans="1:20" x14ac:dyDescent="0.25">
      <c r="A464" s="5">
        <v>44129</v>
      </c>
      <c r="B464">
        <v>30.652200000000001</v>
      </c>
      <c r="C464">
        <v>30.9726</v>
      </c>
      <c r="D464">
        <v>29.880500000000001</v>
      </c>
      <c r="E464">
        <v>30.128</v>
      </c>
      <c r="F464">
        <v>1486538.469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-0.54674480358941657</v>
      </c>
      <c r="Q464">
        <f t="shared" si="980"/>
        <v>-812757.18326151709</v>
      </c>
      <c r="R464">
        <f t="shared" si="981"/>
        <v>338747781.41362172</v>
      </c>
      <c r="S464">
        <f t="shared" si="982"/>
        <v>3387.4778141362171</v>
      </c>
      <c r="T464">
        <f t="shared" si="983"/>
        <v>3.3874778141362172</v>
      </c>
    </row>
    <row r="465" spans="1:20" x14ac:dyDescent="0.25">
      <c r="A465" s="5">
        <v>44128</v>
      </c>
      <c r="B465">
        <v>30.646100000000001</v>
      </c>
      <c r="C465">
        <v>30.8781</v>
      </c>
      <c r="D465">
        <v>30.424299999999999</v>
      </c>
      <c r="E465">
        <v>30.663900000000002</v>
      </c>
      <c r="F465">
        <v>1625502.524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5.5971793741746788E-2</v>
      </c>
      <c r="Q465">
        <f t="shared" si="980"/>
        <v>90982.292000016809</v>
      </c>
      <c r="R465">
        <f t="shared" si="981"/>
        <v>339560538.59688324</v>
      </c>
      <c r="S465">
        <f t="shared" si="982"/>
        <v>3395.6053859688323</v>
      </c>
      <c r="T465">
        <f t="shared" si="983"/>
        <v>3.3956053859688322</v>
      </c>
    </row>
    <row r="466" spans="1:20" x14ac:dyDescent="0.25">
      <c r="A466" s="5">
        <v>44127</v>
      </c>
      <c r="B466">
        <v>30.633400000000002</v>
      </c>
      <c r="C466">
        <v>31.2</v>
      </c>
      <c r="D466">
        <v>30.065200000000001</v>
      </c>
      <c r="E466">
        <v>30.637699999999999</v>
      </c>
      <c r="F466">
        <v>2025854.801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8.9883679943580878E-3</v>
      </c>
      <c r="Q466">
        <f t="shared" si="980"/>
        <v>18209.128454525075</v>
      </c>
      <c r="R466">
        <f t="shared" si="981"/>
        <v>339469556.30488324</v>
      </c>
      <c r="S466">
        <f t="shared" si="982"/>
        <v>3394.6955630488324</v>
      </c>
      <c r="T466">
        <f t="shared" si="983"/>
        <v>3.3946955630488325</v>
      </c>
    </row>
    <row r="467" spans="1:20" x14ac:dyDescent="0.25">
      <c r="A467" s="5">
        <v>44126</v>
      </c>
      <c r="B467">
        <v>29.735499999999998</v>
      </c>
      <c r="C467">
        <v>31.3</v>
      </c>
      <c r="D467">
        <v>29.665500000000002</v>
      </c>
      <c r="E467">
        <v>30.639600000000002</v>
      </c>
      <c r="F467">
        <v>2830836.3369999998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0.19192413582135265</v>
      </c>
      <c r="Q467">
        <f t="shared" si="980"/>
        <v>543305.81763040833</v>
      </c>
      <c r="R467">
        <f t="shared" si="981"/>
        <v>339451347.17642874</v>
      </c>
      <c r="S467">
        <f t="shared" si="982"/>
        <v>3394.5134717642873</v>
      </c>
      <c r="T467">
        <f t="shared" si="983"/>
        <v>3.3945134717642871</v>
      </c>
    </row>
    <row r="468" spans="1:20" x14ac:dyDescent="0.25">
      <c r="A468" s="5">
        <v>44125</v>
      </c>
      <c r="B468">
        <v>28.813099999999999</v>
      </c>
      <c r="C468">
        <v>30.407399999999999</v>
      </c>
      <c r="D468">
        <v>28.640599999999999</v>
      </c>
      <c r="E468">
        <v>29.732900000000001</v>
      </c>
      <c r="F468">
        <v>2663615.889</v>
      </c>
      <c r="G468">
        <v>0</v>
      </c>
      <c r="L468" t="s">
        <v>7</v>
      </c>
      <c r="M468" t="s">
        <v>8</v>
      </c>
      <c r="N468" t="s">
        <v>8</v>
      </c>
      <c r="P468">
        <f t="shared" si="979"/>
        <v>0.2364727190400743</v>
      </c>
      <c r="Q468">
        <f t="shared" si="980"/>
        <v>629872.49175017478</v>
      </c>
      <c r="R468">
        <f t="shared" si="981"/>
        <v>338908041.35879833</v>
      </c>
      <c r="S468">
        <f t="shared" si="982"/>
        <v>3389.0804135879835</v>
      </c>
      <c r="T468">
        <f t="shared" si="983"/>
        <v>3.3890804135879833</v>
      </c>
    </row>
    <row r="469" spans="1:20" x14ac:dyDescent="0.25">
      <c r="A469" s="5">
        <v>44124</v>
      </c>
      <c r="B469">
        <v>29.904299999999999</v>
      </c>
      <c r="C469">
        <v>30.089200000000002</v>
      </c>
      <c r="D469">
        <v>28.5</v>
      </c>
      <c r="E469">
        <v>28.822700000000001</v>
      </c>
      <c r="F469">
        <v>2583242.44</v>
      </c>
      <c r="G469">
        <v>0</v>
      </c>
      <c r="L469" t="s">
        <v>7</v>
      </c>
      <c r="M469" t="s">
        <v>8</v>
      </c>
      <c r="N469" t="s">
        <v>8</v>
      </c>
      <c r="P469">
        <f t="shared" si="979"/>
        <v>-0.59388371507676729</v>
      </c>
      <c r="Q469">
        <f t="shared" si="980"/>
        <v>-1534145.6172111731</v>
      </c>
      <c r="R469">
        <f t="shared" si="981"/>
        <v>338278168.86704814</v>
      </c>
      <c r="S469">
        <f t="shared" si="982"/>
        <v>3382.7816886704813</v>
      </c>
      <c r="T469">
        <f t="shared" si="983"/>
        <v>3.3827816886704811</v>
      </c>
    </row>
    <row r="470" spans="1:20" x14ac:dyDescent="0.25">
      <c r="A470" s="5">
        <v>44123</v>
      </c>
      <c r="B470">
        <v>30.6568</v>
      </c>
      <c r="C470">
        <v>30.676600000000001</v>
      </c>
      <c r="D470">
        <v>29.700199999999999</v>
      </c>
      <c r="E470">
        <v>29.910699999999999</v>
      </c>
      <c r="F470">
        <v>1752644.9990000001</v>
      </c>
      <c r="G470">
        <v>0</v>
      </c>
      <c r="L470" t="s">
        <v>8</v>
      </c>
      <c r="M470" t="s">
        <v>8</v>
      </c>
      <c r="N470" t="s">
        <v>8</v>
      </c>
      <c r="P470">
        <f t="shared" si="979"/>
        <v>-0.56882425235559342</v>
      </c>
      <c r="Q470">
        <f t="shared" si="980"/>
        <v>-996946.98120094487</v>
      </c>
      <c r="R470">
        <f t="shared" si="981"/>
        <v>339812314.48425931</v>
      </c>
      <c r="S470">
        <f t="shared" si="982"/>
        <v>3398.1231448425929</v>
      </c>
      <c r="T470">
        <f t="shared" si="983"/>
        <v>3.398123144842593</v>
      </c>
    </row>
    <row r="471" spans="1:20" x14ac:dyDescent="0.25">
      <c r="A471" s="5">
        <v>44122</v>
      </c>
      <c r="B471">
        <v>30.2423</v>
      </c>
      <c r="C471">
        <v>31.035399999999999</v>
      </c>
      <c r="D471">
        <v>30.164999999999999</v>
      </c>
      <c r="E471">
        <v>30.659300000000002</v>
      </c>
      <c r="F471">
        <v>2267377.3169999998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0.13579963235294712</v>
      </c>
      <c r="Q471">
        <f t="shared" si="980"/>
        <v>307909.00605401164</v>
      </c>
      <c r="R471">
        <f t="shared" si="981"/>
        <v>340809261.46546024</v>
      </c>
      <c r="S471">
        <f t="shared" si="982"/>
        <v>3408.0926146546026</v>
      </c>
      <c r="T471">
        <f t="shared" si="983"/>
        <v>3.4080926146546027</v>
      </c>
    </row>
    <row r="472" spans="1:20" x14ac:dyDescent="0.25">
      <c r="A472" s="5">
        <v>44121</v>
      </c>
      <c r="B472">
        <v>30.050999999999998</v>
      </c>
      <c r="C472">
        <v>30.564</v>
      </c>
      <c r="D472">
        <v>29.652100000000001</v>
      </c>
      <c r="E472">
        <v>30.241399999999999</v>
      </c>
      <c r="F472">
        <v>1854975.6229999999</v>
      </c>
      <c r="G472">
        <v>0</v>
      </c>
      <c r="L472" t="s">
        <v>8</v>
      </c>
      <c r="M472" t="s">
        <v>8</v>
      </c>
      <c r="N472" t="s">
        <v>8</v>
      </c>
      <c r="P472">
        <f t="shared" si="979"/>
        <v>0.29246627919727691</v>
      </c>
      <c r="Q472">
        <f t="shared" si="980"/>
        <v>542517.81846046064</v>
      </c>
      <c r="R472">
        <f t="shared" si="981"/>
        <v>340501352.45940626</v>
      </c>
      <c r="S472">
        <f t="shared" si="982"/>
        <v>3405.0135245940623</v>
      </c>
      <c r="T472">
        <f t="shared" si="983"/>
        <v>3.4050135245940623</v>
      </c>
    </row>
    <row r="473" spans="1:20" x14ac:dyDescent="0.25">
      <c r="A473" s="5">
        <v>44120</v>
      </c>
      <c r="B473">
        <v>31.325600000000001</v>
      </c>
      <c r="C473">
        <v>31.979800000000001</v>
      </c>
      <c r="D473">
        <v>29.570499999999999</v>
      </c>
      <c r="E473">
        <v>30.051600000000001</v>
      </c>
      <c r="F473">
        <v>2971307.3670000001</v>
      </c>
      <c r="G473">
        <v>0</v>
      </c>
      <c r="L473" t="s">
        <v>8</v>
      </c>
      <c r="M473" t="s">
        <v>8</v>
      </c>
      <c r="N473" t="s">
        <v>8</v>
      </c>
      <c r="P473">
        <f t="shared" si="979"/>
        <v>-0.60063088863985303</v>
      </c>
      <c r="Q473">
        <f t="shared" si="980"/>
        <v>-1784658.9842633519</v>
      </c>
      <c r="R473">
        <f t="shared" si="981"/>
        <v>339958834.64094579</v>
      </c>
      <c r="S473">
        <f t="shared" si="982"/>
        <v>3399.5883464094577</v>
      </c>
      <c r="T473">
        <f t="shared" si="983"/>
        <v>3.3995883464094576</v>
      </c>
    </row>
    <row r="474" spans="1:20" x14ac:dyDescent="0.25">
      <c r="A474" s="5">
        <v>44119</v>
      </c>
      <c r="B474">
        <v>30.838000000000001</v>
      </c>
      <c r="C474">
        <v>31.6663</v>
      </c>
      <c r="D474">
        <v>30.399000000000001</v>
      </c>
      <c r="E474">
        <v>31.325600000000001</v>
      </c>
      <c r="F474">
        <v>2684900.014</v>
      </c>
      <c r="G474">
        <v>0</v>
      </c>
      <c r="L474" t="s">
        <v>8</v>
      </c>
      <c r="M474" t="s">
        <v>8</v>
      </c>
      <c r="N474" t="s">
        <v>8</v>
      </c>
      <c r="P474">
        <f t="shared" si="979"/>
        <v>0.46232147084352787</v>
      </c>
      <c r="Q474">
        <f t="shared" si="980"/>
        <v>1241286.9235402886</v>
      </c>
      <c r="R474">
        <f t="shared" si="981"/>
        <v>341743493.62520915</v>
      </c>
      <c r="S474">
        <f t="shared" si="982"/>
        <v>3417.4349362520916</v>
      </c>
      <c r="T474">
        <f t="shared" si="983"/>
        <v>3.4174349362520915</v>
      </c>
    </row>
    <row r="475" spans="1:20" x14ac:dyDescent="0.25">
      <c r="A475" s="5">
        <v>44118</v>
      </c>
      <c r="B475">
        <v>30.7256</v>
      </c>
      <c r="C475">
        <v>31.33</v>
      </c>
      <c r="D475">
        <v>30.3733</v>
      </c>
      <c r="E475">
        <v>30.838000000000001</v>
      </c>
      <c r="F475">
        <v>2472670.449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-2.8535591094383642E-2</v>
      </c>
      <c r="Q475">
        <f t="shared" si="980"/>
        <v>-70559.112843830007</v>
      </c>
      <c r="R475">
        <f t="shared" si="981"/>
        <v>340502206.70166886</v>
      </c>
      <c r="S475">
        <f t="shared" si="982"/>
        <v>3405.0220670166887</v>
      </c>
      <c r="T475">
        <f t="shared" si="983"/>
        <v>3.4050220670166889</v>
      </c>
    </row>
    <row r="476" spans="1:20" x14ac:dyDescent="0.25">
      <c r="A476" s="5">
        <v>44117</v>
      </c>
      <c r="B476">
        <v>30.650300000000001</v>
      </c>
      <c r="C476">
        <v>31.799900000000001</v>
      </c>
      <c r="D476">
        <v>30.187000000000001</v>
      </c>
      <c r="E476">
        <v>30.7256</v>
      </c>
      <c r="F476">
        <v>3337167.8769999999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-0.33213466426932986</v>
      </c>
      <c r="Q476">
        <f t="shared" si="980"/>
        <v>-1108389.1324377873</v>
      </c>
      <c r="R476">
        <f t="shared" si="981"/>
        <v>340572765.81451267</v>
      </c>
      <c r="S476">
        <f t="shared" si="982"/>
        <v>3405.7276581451265</v>
      </c>
      <c r="T476">
        <f t="shared" si="983"/>
        <v>3.4057276581451266</v>
      </c>
    </row>
    <row r="477" spans="1:20" x14ac:dyDescent="0.25">
      <c r="A477" s="5">
        <v>44116</v>
      </c>
      <c r="B477">
        <v>28.52</v>
      </c>
      <c r="C477">
        <v>31.129899999999999</v>
      </c>
      <c r="D477">
        <v>28.433800000000002</v>
      </c>
      <c r="E477">
        <v>30.650300000000001</v>
      </c>
      <c r="F477">
        <v>4364790.2209999999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0.64422684618523185</v>
      </c>
      <c r="Q477">
        <f t="shared" si="980"/>
        <v>2811915.0383349713</v>
      </c>
      <c r="R477">
        <f t="shared" si="981"/>
        <v>341681154.94695044</v>
      </c>
      <c r="S477">
        <f t="shared" si="982"/>
        <v>3416.8115494695044</v>
      </c>
      <c r="T477">
        <f t="shared" si="983"/>
        <v>3.4168115494695042</v>
      </c>
    </row>
    <row r="478" spans="1:20" x14ac:dyDescent="0.25">
      <c r="A478" s="5">
        <v>44115</v>
      </c>
      <c r="B478">
        <v>28.41</v>
      </c>
      <c r="C478">
        <v>28.72</v>
      </c>
      <c r="D478">
        <v>27.876000000000001</v>
      </c>
      <c r="E478">
        <v>28.527100000000001</v>
      </c>
      <c r="F478">
        <v>2329452.6660000002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0.54289099526066675</v>
      </c>
      <c r="Q478">
        <f t="shared" si="980"/>
        <v>1264638.8762573537</v>
      </c>
      <c r="R478">
        <f t="shared" si="981"/>
        <v>338869239.90861547</v>
      </c>
      <c r="S478">
        <f t="shared" si="982"/>
        <v>3388.6923990861546</v>
      </c>
      <c r="T478">
        <f t="shared" si="983"/>
        <v>3.3886923990861546</v>
      </c>
    </row>
    <row r="479" spans="1:20" x14ac:dyDescent="0.25">
      <c r="A479" s="5">
        <v>44114</v>
      </c>
      <c r="B479">
        <v>28.398</v>
      </c>
      <c r="C479">
        <v>29.281400000000001</v>
      </c>
      <c r="D479">
        <v>28.066600000000001</v>
      </c>
      <c r="E479">
        <v>28.441400000000002</v>
      </c>
      <c r="F479">
        <v>2405371.4569999999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-0.38294369443529741</v>
      </c>
      <c r="Q479">
        <f t="shared" si="980"/>
        <v>-921121.83223279414</v>
      </c>
      <c r="R479">
        <f t="shared" si="981"/>
        <v>337604601.03235811</v>
      </c>
      <c r="S479">
        <f t="shared" si="982"/>
        <v>3376.046010323581</v>
      </c>
      <c r="T479">
        <f t="shared" si="983"/>
        <v>3.3760460103235808</v>
      </c>
    </row>
    <row r="480" spans="1:20" x14ac:dyDescent="0.25">
      <c r="A480" s="5">
        <v>44113</v>
      </c>
      <c r="B480">
        <v>27.734200000000001</v>
      </c>
      <c r="C480">
        <v>28.536799999999999</v>
      </c>
      <c r="D480">
        <v>27.454799999999999</v>
      </c>
      <c r="E480">
        <v>28.407599999999999</v>
      </c>
      <c r="F480">
        <v>2590468.0830000001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0.76118299445471205</v>
      </c>
      <c r="Q480">
        <f t="shared" si="980"/>
        <v>1971820.2524572976</v>
      </c>
      <c r="R480">
        <f t="shared" si="981"/>
        <v>338525722.86459088</v>
      </c>
      <c r="S480">
        <f t="shared" si="982"/>
        <v>3385.257228645909</v>
      </c>
      <c r="T480">
        <f t="shared" si="983"/>
        <v>3.3852572286459091</v>
      </c>
    </row>
    <row r="481" spans="1:20" x14ac:dyDescent="0.25">
      <c r="A481" s="5">
        <v>44112</v>
      </c>
      <c r="B481">
        <v>27.693100000000001</v>
      </c>
      <c r="C481">
        <v>27.815300000000001</v>
      </c>
      <c r="D481">
        <v>26.4999</v>
      </c>
      <c r="E481">
        <v>27.7424</v>
      </c>
      <c r="F481">
        <v>2476236.4610000001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0.88915919112057074</v>
      </c>
      <c r="Q481">
        <f t="shared" si="980"/>
        <v>2201768.4086860246</v>
      </c>
      <c r="R481">
        <f t="shared" si="981"/>
        <v>336553902.61213356</v>
      </c>
      <c r="S481">
        <f t="shared" si="982"/>
        <v>3365.5390261213356</v>
      </c>
      <c r="T481">
        <f t="shared" si="983"/>
        <v>3.3655390261213358</v>
      </c>
    </row>
    <row r="482" spans="1:20" x14ac:dyDescent="0.25">
      <c r="A482" s="5">
        <v>44111</v>
      </c>
      <c r="B482">
        <v>27.6907</v>
      </c>
      <c r="C482">
        <v>27.8965</v>
      </c>
      <c r="D482">
        <v>26.8401</v>
      </c>
      <c r="E482">
        <v>27.689800000000002</v>
      </c>
      <c r="F482">
        <v>2059951.007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0.60867095797046977</v>
      </c>
      <c r="Q482">
        <f t="shared" si="980"/>
        <v>1253832.3528029239</v>
      </c>
      <c r="R482">
        <f t="shared" si="981"/>
        <v>334352134.20344752</v>
      </c>
      <c r="S482">
        <f t="shared" si="982"/>
        <v>3343.5213420344753</v>
      </c>
      <c r="T482">
        <f t="shared" si="983"/>
        <v>3.3435213420344754</v>
      </c>
    </row>
    <row r="483" spans="1:20" x14ac:dyDescent="0.25">
      <c r="A483" s="5">
        <v>44110</v>
      </c>
      <c r="B483">
        <v>28.632999999999999</v>
      </c>
      <c r="C483">
        <v>28.99</v>
      </c>
      <c r="D483">
        <v>27.25</v>
      </c>
      <c r="E483">
        <v>27.6812</v>
      </c>
      <c r="F483">
        <v>2811072.145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-0.50436781609195303</v>
      </c>
      <c r="Q483">
        <f t="shared" si="980"/>
        <v>-1417814.3186505719</v>
      </c>
      <c r="R483">
        <f t="shared" si="981"/>
        <v>333098301.85064459</v>
      </c>
      <c r="S483">
        <f t="shared" si="982"/>
        <v>3330.9830185064457</v>
      </c>
      <c r="T483">
        <f t="shared" si="983"/>
        <v>3.3309830185064455</v>
      </c>
    </row>
    <row r="484" spans="1:20" x14ac:dyDescent="0.25">
      <c r="A484" s="5">
        <v>44109</v>
      </c>
      <c r="B484">
        <v>28.9832</v>
      </c>
      <c r="C484">
        <v>29.266500000000001</v>
      </c>
      <c r="D484">
        <v>28.0687</v>
      </c>
      <c r="E484">
        <v>28.6158</v>
      </c>
      <c r="F484">
        <v>2268257.1710000001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-8.6491901820003395E-2</v>
      </c>
      <c r="Q484">
        <f t="shared" si="980"/>
        <v>-196185.87653665067</v>
      </c>
      <c r="R484">
        <f t="shared" si="981"/>
        <v>334516116.16929513</v>
      </c>
      <c r="S484">
        <f t="shared" si="982"/>
        <v>3345.1611616929513</v>
      </c>
      <c r="T484">
        <f t="shared" si="983"/>
        <v>3.3451611616929511</v>
      </c>
    </row>
    <row r="485" spans="1:20" x14ac:dyDescent="0.25">
      <c r="A485" s="5">
        <v>44108</v>
      </c>
      <c r="B485">
        <v>28.187200000000001</v>
      </c>
      <c r="C485">
        <v>29.15</v>
      </c>
      <c r="D485">
        <v>27.965800000000002</v>
      </c>
      <c r="E485">
        <v>28.966799999999999</v>
      </c>
      <c r="F485">
        <v>3102597.66</v>
      </c>
      <c r="G485">
        <v>0</v>
      </c>
      <c r="L485" t="s">
        <v>8</v>
      </c>
      <c r="M485" t="s">
        <v>8</v>
      </c>
      <c r="N485" t="s">
        <v>7</v>
      </c>
      <c r="P485">
        <f t="shared" si="979"/>
        <v>0.69059280526938049</v>
      </c>
      <c r="Q485">
        <f t="shared" si="980"/>
        <v>2142631.6216416159</v>
      </c>
      <c r="R485">
        <f t="shared" si="981"/>
        <v>334712302.0458318</v>
      </c>
      <c r="S485">
        <f t="shared" si="982"/>
        <v>3347.123020458318</v>
      </c>
      <c r="T485">
        <f t="shared" si="983"/>
        <v>3.347123020458318</v>
      </c>
    </row>
    <row r="486" spans="1:20" x14ac:dyDescent="0.25">
      <c r="A486" s="5">
        <v>44107</v>
      </c>
      <c r="B486">
        <v>27.3338</v>
      </c>
      <c r="C486">
        <v>28.399699999999999</v>
      </c>
      <c r="D486">
        <v>27.0701</v>
      </c>
      <c r="E486">
        <v>28.186699999999998</v>
      </c>
      <c r="F486">
        <v>2946071.9920000001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0.67960288808664093</v>
      </c>
      <c r="Q486">
        <f t="shared" si="980"/>
        <v>2002159.0342743634</v>
      </c>
      <c r="R486">
        <f t="shared" si="981"/>
        <v>332569670.42419016</v>
      </c>
      <c r="S486">
        <f t="shared" si="982"/>
        <v>3325.6967042419014</v>
      </c>
      <c r="T486">
        <f t="shared" si="983"/>
        <v>3.3256967042419014</v>
      </c>
    </row>
    <row r="487" spans="1:20" x14ac:dyDescent="0.25">
      <c r="A487" s="5">
        <v>44106</v>
      </c>
      <c r="B487">
        <v>27.458300000000001</v>
      </c>
      <c r="C487">
        <v>28.363299999999999</v>
      </c>
      <c r="D487">
        <v>25.665199999999999</v>
      </c>
      <c r="E487">
        <v>27.3369</v>
      </c>
      <c r="F487">
        <v>4141965.5660000001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0.23916830362106756</v>
      </c>
      <c r="Q487">
        <f t="shared" si="980"/>
        <v>990626.87807709491</v>
      </c>
      <c r="R487">
        <f t="shared" si="981"/>
        <v>330567511.38991582</v>
      </c>
      <c r="S487">
        <f t="shared" si="982"/>
        <v>3305.6751138991581</v>
      </c>
      <c r="T487">
        <f t="shared" si="983"/>
        <v>3.305675113899158</v>
      </c>
    </row>
    <row r="488" spans="1:20" x14ac:dyDescent="0.25">
      <c r="A488" s="5">
        <v>44105</v>
      </c>
      <c r="B488">
        <v>29.269600000000001</v>
      </c>
      <c r="C488">
        <v>29.392700000000001</v>
      </c>
      <c r="D488">
        <v>26.211099999999998</v>
      </c>
      <c r="E488">
        <v>27.467300000000002</v>
      </c>
      <c r="F488">
        <v>4045336.8820000002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-0.21033442293185686</v>
      </c>
      <c r="Q488">
        <f t="shared" si="980"/>
        <v>-850873.59864042723</v>
      </c>
      <c r="R488">
        <f t="shared" si="981"/>
        <v>329576884.51183873</v>
      </c>
      <c r="S488">
        <f t="shared" si="982"/>
        <v>3295.7688451183872</v>
      </c>
      <c r="T488">
        <f t="shared" si="983"/>
        <v>3.2957688451183871</v>
      </c>
    </row>
    <row r="489" spans="1:20" x14ac:dyDescent="0.25">
      <c r="A489" s="5">
        <v>44104</v>
      </c>
      <c r="B489">
        <v>28.881399999999999</v>
      </c>
      <c r="C489">
        <v>29.564599999999999</v>
      </c>
      <c r="D489">
        <v>27.8813</v>
      </c>
      <c r="E489">
        <v>29.265599999999999</v>
      </c>
      <c r="F489">
        <v>3106927.077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0.6447454405037728</v>
      </c>
      <c r="Q489">
        <f t="shared" si="980"/>
        <v>2003177.0668734643</v>
      </c>
      <c r="R489">
        <f t="shared" si="981"/>
        <v>330427758.11047918</v>
      </c>
      <c r="S489">
        <f t="shared" si="982"/>
        <v>3304.2775811047918</v>
      </c>
      <c r="T489">
        <f t="shared" si="983"/>
        <v>3.3042775811047918</v>
      </c>
    </row>
    <row r="490" spans="1:20" x14ac:dyDescent="0.25">
      <c r="A490" s="5">
        <v>44103</v>
      </c>
      <c r="B490">
        <v>26.9969</v>
      </c>
      <c r="C490">
        <v>29</v>
      </c>
      <c r="D490">
        <v>26.86</v>
      </c>
      <c r="E490">
        <v>28.894600000000001</v>
      </c>
      <c r="F490">
        <v>3642915.2680000002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0.90149532710280422</v>
      </c>
      <c r="Q490">
        <f t="shared" si="980"/>
        <v>3284071.0911334599</v>
      </c>
      <c r="R490">
        <f t="shared" si="981"/>
        <v>328424581.04360569</v>
      </c>
      <c r="S490">
        <f t="shared" si="982"/>
        <v>3284.2458104360567</v>
      </c>
      <c r="T490">
        <f t="shared" si="983"/>
        <v>3.2842458104360568</v>
      </c>
    </row>
    <row r="491" spans="1:20" x14ac:dyDescent="0.25">
      <c r="A491" s="5">
        <v>44102</v>
      </c>
      <c r="B491">
        <v>26.243500000000001</v>
      </c>
      <c r="C491">
        <v>27.72</v>
      </c>
      <c r="D491">
        <v>25.831299999999999</v>
      </c>
      <c r="E491">
        <v>26.985499999999998</v>
      </c>
      <c r="F491">
        <v>3220774.85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0.2222163392809863</v>
      </c>
      <c r="Q491">
        <f t="shared" si="980"/>
        <v>715708.79681526776</v>
      </c>
      <c r="R491">
        <f t="shared" si="981"/>
        <v>325140509.95247221</v>
      </c>
      <c r="S491">
        <f t="shared" si="982"/>
        <v>3251.4050995247221</v>
      </c>
      <c r="T491">
        <f t="shared" si="983"/>
        <v>3.2514050995247219</v>
      </c>
    </row>
    <row r="492" spans="1:20" x14ac:dyDescent="0.25">
      <c r="A492" s="5">
        <v>44101</v>
      </c>
      <c r="B492">
        <v>26.188500000000001</v>
      </c>
      <c r="C492">
        <v>26.9</v>
      </c>
      <c r="D492">
        <v>25.501200000000001</v>
      </c>
      <c r="E492">
        <v>26.251000000000001</v>
      </c>
      <c r="F492">
        <v>2555050.0619999999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7.2061767229055815E-2</v>
      </c>
      <c r="Q492">
        <f t="shared" si="980"/>
        <v>184121.42282642864</v>
      </c>
      <c r="R492">
        <f t="shared" si="981"/>
        <v>324424801.15565693</v>
      </c>
      <c r="S492">
        <f t="shared" si="982"/>
        <v>3244.2480115565695</v>
      </c>
      <c r="T492">
        <f t="shared" si="983"/>
        <v>3.2442480115565697</v>
      </c>
    </row>
    <row r="493" spans="1:20" x14ac:dyDescent="0.25">
      <c r="A493" s="5">
        <v>44100</v>
      </c>
      <c r="B493">
        <v>24.692499999999999</v>
      </c>
      <c r="C493">
        <v>26.462800000000001</v>
      </c>
      <c r="D493">
        <v>24.475000000000001</v>
      </c>
      <c r="E493">
        <v>26.1998</v>
      </c>
      <c r="F493">
        <v>3124585.6209999998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0.73538585370761478</v>
      </c>
      <c r="Q493">
        <f t="shared" si="980"/>
        <v>2297776.0643816227</v>
      </c>
      <c r="R493">
        <f t="shared" si="981"/>
        <v>324240679.73283052</v>
      </c>
      <c r="S493">
        <f t="shared" si="982"/>
        <v>3242.4067973283054</v>
      </c>
      <c r="T493">
        <f t="shared" si="983"/>
        <v>3.2424067973283055</v>
      </c>
    </row>
    <row r="494" spans="1:20" x14ac:dyDescent="0.25">
      <c r="A494" s="5">
        <v>44099</v>
      </c>
      <c r="B494">
        <v>24.5749</v>
      </c>
      <c r="C494">
        <v>25.079899999999999</v>
      </c>
      <c r="D494">
        <v>23.711099999999998</v>
      </c>
      <c r="E494">
        <v>24.692399999999999</v>
      </c>
      <c r="F494">
        <v>2826869.5890000002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0.4338106370543553</v>
      </c>
      <c r="Q494">
        <f t="shared" si="980"/>
        <v>1226326.0972736736</v>
      </c>
      <c r="R494">
        <f t="shared" si="981"/>
        <v>321942903.66844893</v>
      </c>
      <c r="S494">
        <f t="shared" si="982"/>
        <v>3219.4290366844893</v>
      </c>
      <c r="T494">
        <f t="shared" si="983"/>
        <v>3.2194290366844895</v>
      </c>
    </row>
    <row r="495" spans="1:20" x14ac:dyDescent="0.25">
      <c r="A495" s="5">
        <v>44098</v>
      </c>
      <c r="B495">
        <v>22.844799999999999</v>
      </c>
      <c r="C495">
        <v>24.6999</v>
      </c>
      <c r="D495">
        <v>22.566099999999999</v>
      </c>
      <c r="E495">
        <v>24.5745</v>
      </c>
      <c r="F495">
        <v>3284994.6409999998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0.88246321117255688</v>
      </c>
      <c r="Q495">
        <f t="shared" si="980"/>
        <v>2898886.9195815003</v>
      </c>
      <c r="R495">
        <f t="shared" si="981"/>
        <v>320716577.57117528</v>
      </c>
      <c r="S495">
        <f t="shared" si="982"/>
        <v>3207.1657757117528</v>
      </c>
      <c r="T495">
        <f t="shared" si="983"/>
        <v>3.2071657757117529</v>
      </c>
    </row>
    <row r="496" spans="1:20" x14ac:dyDescent="0.25">
      <c r="A496" s="5">
        <v>44097</v>
      </c>
      <c r="B496">
        <v>24.046800000000001</v>
      </c>
      <c r="C496">
        <v>24.343699999999998</v>
      </c>
      <c r="D496">
        <v>22.4514</v>
      </c>
      <c r="E496">
        <v>22.833100000000002</v>
      </c>
      <c r="F496">
        <v>3134141.7740000002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-0.59657559583575293</v>
      </c>
      <c r="Q496">
        <f t="shared" si="980"/>
        <v>-1869752.4962577738</v>
      </c>
      <c r="R496">
        <f t="shared" si="981"/>
        <v>317817690.6515938</v>
      </c>
      <c r="S496">
        <f t="shared" si="982"/>
        <v>3178.1769065159378</v>
      </c>
      <c r="T496">
        <f t="shared" si="983"/>
        <v>3.178176906515938</v>
      </c>
    </row>
    <row r="497" spans="1:20" x14ac:dyDescent="0.25">
      <c r="A497" s="5">
        <v>44096</v>
      </c>
      <c r="B497">
        <v>23.127300000000002</v>
      </c>
      <c r="C497">
        <v>24.565000000000001</v>
      </c>
      <c r="D497">
        <v>22.666599999999999</v>
      </c>
      <c r="E497">
        <v>24.046800000000001</v>
      </c>
      <c r="F497">
        <v>3289566.923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0.45406658238516689</v>
      </c>
      <c r="Q497">
        <f t="shared" si="980"/>
        <v>1493682.4102538994</v>
      </c>
      <c r="R497">
        <f t="shared" si="981"/>
        <v>319687443.14785159</v>
      </c>
      <c r="S497">
        <f t="shared" si="982"/>
        <v>3196.8744314785158</v>
      </c>
      <c r="T497">
        <f t="shared" si="983"/>
        <v>3.1968744314785158</v>
      </c>
    </row>
    <row r="498" spans="1:20" x14ac:dyDescent="0.25">
      <c r="A498" s="5">
        <v>44095</v>
      </c>
      <c r="B498">
        <v>26.316700000000001</v>
      </c>
      <c r="C498">
        <v>26.68</v>
      </c>
      <c r="D498">
        <v>22.1</v>
      </c>
      <c r="E498">
        <v>23.123200000000001</v>
      </c>
      <c r="F498">
        <v>5251422.2429999998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-0.55318777292576438</v>
      </c>
      <c r="Q498">
        <f t="shared" si="980"/>
        <v>-2905022.5752979922</v>
      </c>
      <c r="R498">
        <f t="shared" si="981"/>
        <v>318193760.7375977</v>
      </c>
      <c r="S498">
        <f t="shared" si="982"/>
        <v>3181.9376073759772</v>
      </c>
      <c r="T498">
        <f t="shared" si="983"/>
        <v>3.1819376073759771</v>
      </c>
    </row>
    <row r="499" spans="1:20" x14ac:dyDescent="0.25">
      <c r="A499" s="5">
        <v>44094</v>
      </c>
      <c r="B499">
        <v>27.203499999999998</v>
      </c>
      <c r="C499">
        <v>27.32</v>
      </c>
      <c r="D499">
        <v>25.124700000000001</v>
      </c>
      <c r="E499">
        <v>26.315999999999999</v>
      </c>
      <c r="F499">
        <v>2854262.145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8.5318635266249235E-2</v>
      </c>
      <c r="Q499">
        <f t="shared" si="980"/>
        <v>243521.75090351718</v>
      </c>
      <c r="R499">
        <f t="shared" si="981"/>
        <v>321098783.31289572</v>
      </c>
      <c r="S499">
        <f t="shared" si="982"/>
        <v>3210.9878331289569</v>
      </c>
      <c r="T499">
        <f t="shared" si="983"/>
        <v>3.2109878331289567</v>
      </c>
    </row>
    <row r="500" spans="1:20" x14ac:dyDescent="0.25">
      <c r="A500" s="5">
        <v>44093</v>
      </c>
      <c r="B500">
        <v>27.641400000000001</v>
      </c>
      <c r="C500">
        <v>27.977</v>
      </c>
      <c r="D500">
        <v>26.659099999999999</v>
      </c>
      <c r="E500">
        <v>27.203499999999998</v>
      </c>
      <c r="F500">
        <v>2431517.15</v>
      </c>
      <c r="G500">
        <v>0</v>
      </c>
      <c r="L500" t="s">
        <v>7</v>
      </c>
      <c r="M500" t="s">
        <v>7</v>
      </c>
      <c r="N500" t="s">
        <v>8</v>
      </c>
      <c r="P500">
        <f t="shared" si="979"/>
        <v>-0.17383716518704168</v>
      </c>
      <c r="Q500">
        <f t="shared" si="980"/>
        <v>-422688.04845967476</v>
      </c>
      <c r="R500">
        <f t="shared" si="981"/>
        <v>320855261.56199217</v>
      </c>
      <c r="S500">
        <f t="shared" si="982"/>
        <v>3208.5526156199217</v>
      </c>
      <c r="T500">
        <f t="shared" si="983"/>
        <v>3.2085526156199218</v>
      </c>
    </row>
    <row r="501" spans="1:20" x14ac:dyDescent="0.25">
      <c r="A501" s="5">
        <v>44092</v>
      </c>
      <c r="B501">
        <v>27.110600000000002</v>
      </c>
      <c r="C501">
        <v>28.75</v>
      </c>
      <c r="D501">
        <v>26.570799999999998</v>
      </c>
      <c r="E501">
        <v>27.629000000000001</v>
      </c>
      <c r="F501">
        <v>4243135.9989999998</v>
      </c>
      <c r="G501">
        <v>0</v>
      </c>
      <c r="L501" t="s">
        <v>7</v>
      </c>
      <c r="M501" t="s">
        <v>7</v>
      </c>
      <c r="N501" t="s">
        <v>8</v>
      </c>
      <c r="P501">
        <f t="shared" si="979"/>
        <v>-2.8817914831128718E-2</v>
      </c>
      <c r="Q501">
        <f t="shared" si="980"/>
        <v>-122278.33183607826</v>
      </c>
      <c r="R501">
        <f t="shared" si="981"/>
        <v>321277949.61045182</v>
      </c>
      <c r="S501">
        <f t="shared" si="982"/>
        <v>3212.7794961045183</v>
      </c>
      <c r="T501">
        <f t="shared" si="983"/>
        <v>3.2127794961045182</v>
      </c>
    </row>
    <row r="502" spans="1:20" x14ac:dyDescent="0.25">
      <c r="A502" s="5">
        <v>44091</v>
      </c>
      <c r="B502">
        <v>27.853899999999999</v>
      </c>
      <c r="C502">
        <v>28.83</v>
      </c>
      <c r="D502">
        <v>26.05</v>
      </c>
      <c r="E502">
        <v>27.094999999999999</v>
      </c>
      <c r="F502">
        <v>4620518.8739999998</v>
      </c>
      <c r="G502">
        <v>0</v>
      </c>
      <c r="L502" t="s">
        <v>8</v>
      </c>
      <c r="M502" t="s">
        <v>7</v>
      </c>
      <c r="N502" t="s">
        <v>8</v>
      </c>
      <c r="P502">
        <f t="shared" si="979"/>
        <v>-0.24820143884892154</v>
      </c>
      <c r="Q502">
        <f t="shared" si="980"/>
        <v>-1146819.4327553988</v>
      </c>
      <c r="R502">
        <f t="shared" si="981"/>
        <v>321400227.94228792</v>
      </c>
      <c r="S502">
        <f t="shared" si="982"/>
        <v>3214.0022794228794</v>
      </c>
      <c r="T502">
        <f t="shared" si="983"/>
        <v>3.2140022794228793</v>
      </c>
    </row>
    <row r="503" spans="1:20" x14ac:dyDescent="0.25">
      <c r="A503" s="5">
        <v>44090</v>
      </c>
      <c r="B503">
        <v>27.114799999999999</v>
      </c>
      <c r="C503">
        <v>28.4724</v>
      </c>
      <c r="D503">
        <v>25.82</v>
      </c>
      <c r="E503">
        <v>27.869499999999999</v>
      </c>
      <c r="F503">
        <v>5777419.7520000003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0.54539285175689811</v>
      </c>
      <c r="Q503">
        <f t="shared" si="980"/>
        <v>3150963.4343399112</v>
      </c>
      <c r="R503">
        <f t="shared" si="981"/>
        <v>322547047.37504333</v>
      </c>
      <c r="S503">
        <f t="shared" si="982"/>
        <v>3225.4704737504335</v>
      </c>
      <c r="T503">
        <f t="shared" si="983"/>
        <v>3.2254704737504336</v>
      </c>
    </row>
    <row r="504" spans="1:20" x14ac:dyDescent="0.25">
      <c r="A504" s="5">
        <v>44089</v>
      </c>
      <c r="B504">
        <v>31.2546</v>
      </c>
      <c r="C504">
        <v>31.277999999999999</v>
      </c>
      <c r="D504">
        <v>26.712299999999999</v>
      </c>
      <c r="E504">
        <v>27.118099999999998</v>
      </c>
      <c r="F504">
        <v>7931354.6459999997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-0.82223974417942514</v>
      </c>
      <c r="Q504">
        <f t="shared" si="980"/>
        <v>-6521475.0151233347</v>
      </c>
      <c r="R504">
        <f t="shared" si="981"/>
        <v>319396083.94070339</v>
      </c>
      <c r="S504">
        <f t="shared" si="982"/>
        <v>3193.9608394070337</v>
      </c>
      <c r="T504">
        <f t="shared" si="983"/>
        <v>3.1939608394070338</v>
      </c>
    </row>
    <row r="505" spans="1:20" x14ac:dyDescent="0.25">
      <c r="A505" s="5">
        <v>44088</v>
      </c>
      <c r="B505">
        <v>31.165600000000001</v>
      </c>
      <c r="C505">
        <v>33.388800000000003</v>
      </c>
      <c r="D505">
        <v>29</v>
      </c>
      <c r="E505">
        <v>31.252300000000002</v>
      </c>
      <c r="F505">
        <v>9039644.3200000003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2.6385344513306607E-2</v>
      </c>
      <c r="Q505">
        <f t="shared" si="980"/>
        <v>238514.12966095525</v>
      </c>
      <c r="R505">
        <f t="shared" si="981"/>
        <v>325917558.9558267</v>
      </c>
      <c r="S505">
        <f t="shared" si="982"/>
        <v>3259.1755895582669</v>
      </c>
      <c r="T505">
        <f t="shared" si="983"/>
        <v>3.259175589558267</v>
      </c>
    </row>
    <row r="506" spans="1:20" x14ac:dyDescent="0.25">
      <c r="A506" s="5">
        <v>44087</v>
      </c>
      <c r="B506">
        <v>28.5044</v>
      </c>
      <c r="C506">
        <v>32.440100000000001</v>
      </c>
      <c r="D506">
        <v>27.61</v>
      </c>
      <c r="E506">
        <v>31.165600000000001</v>
      </c>
      <c r="F506">
        <v>10646215.66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0.47226765491397721</v>
      </c>
      <c r="Q506">
        <f t="shared" si="980"/>
        <v>5027863.3034566604</v>
      </c>
      <c r="R506">
        <f t="shared" si="981"/>
        <v>325679044.82616574</v>
      </c>
      <c r="S506">
        <f t="shared" si="982"/>
        <v>3256.7904482616573</v>
      </c>
      <c r="T506">
        <f t="shared" si="983"/>
        <v>3.2567904482616572</v>
      </c>
    </row>
    <row r="507" spans="1:20" x14ac:dyDescent="0.25">
      <c r="A507" s="5">
        <v>44086</v>
      </c>
      <c r="B507">
        <v>25.4</v>
      </c>
      <c r="C507">
        <v>28.5305</v>
      </c>
      <c r="D507">
        <v>25.357500000000002</v>
      </c>
      <c r="E507">
        <v>28.504999999999999</v>
      </c>
      <c r="F507">
        <v>6538679.8300000001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0.98392688307595277</v>
      </c>
      <c r="Q507">
        <f t="shared" si="980"/>
        <v>6433582.8645635005</v>
      </c>
      <c r="R507">
        <f t="shared" si="981"/>
        <v>320651181.52270907</v>
      </c>
      <c r="S507">
        <f t="shared" si="982"/>
        <v>3206.5118152270907</v>
      </c>
      <c r="T507">
        <f t="shared" si="983"/>
        <v>3.2065118152270906</v>
      </c>
    </row>
    <row r="508" spans="1:20" x14ac:dyDescent="0.25">
      <c r="A508" s="5">
        <v>44085</v>
      </c>
      <c r="B508">
        <v>24.5579</v>
      </c>
      <c r="C508">
        <v>25.696899999999999</v>
      </c>
      <c r="D508">
        <v>23.067699999999999</v>
      </c>
      <c r="E508">
        <v>25.399000000000001</v>
      </c>
      <c r="F508">
        <v>3622605.07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0.77339114559561961</v>
      </c>
      <c r="Q508">
        <f t="shared" si="980"/>
        <v>2801690.6851277999</v>
      </c>
      <c r="R508">
        <f t="shared" si="981"/>
        <v>314217598.65814555</v>
      </c>
      <c r="S508">
        <f t="shared" si="982"/>
        <v>3142.1759865814556</v>
      </c>
      <c r="T508">
        <f t="shared" si="983"/>
        <v>3.1421759865814556</v>
      </c>
    </row>
    <row r="509" spans="1:20" x14ac:dyDescent="0.25">
      <c r="A509" s="5">
        <v>44084</v>
      </c>
      <c r="B509">
        <v>24.4847</v>
      </c>
      <c r="C509">
        <v>25.67</v>
      </c>
      <c r="D509">
        <v>24.056799999999999</v>
      </c>
      <c r="E509">
        <v>24.5489</v>
      </c>
      <c r="F509">
        <v>4199327.55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-0.38990825688073416</v>
      </c>
      <c r="Q509">
        <f t="shared" si="980"/>
        <v>-1637352.485091744</v>
      </c>
      <c r="R509">
        <f t="shared" si="981"/>
        <v>311415907.97301775</v>
      </c>
      <c r="S509">
        <f t="shared" si="982"/>
        <v>3114.1590797301774</v>
      </c>
      <c r="T509">
        <f t="shared" si="983"/>
        <v>3.1141590797301775</v>
      </c>
    </row>
    <row r="510" spans="1:20" x14ac:dyDescent="0.25">
      <c r="A510" s="5">
        <v>44083</v>
      </c>
      <c r="B510">
        <v>23.2745</v>
      </c>
      <c r="C510">
        <v>24.520099999999999</v>
      </c>
      <c r="D510">
        <v>22.413900000000002</v>
      </c>
      <c r="E510">
        <v>24.471599999999999</v>
      </c>
      <c r="F510">
        <v>4016452.51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0.95394549425505581</v>
      </c>
      <c r="Q510">
        <f t="shared" si="980"/>
        <v>3831476.7748039095</v>
      </c>
      <c r="R510">
        <f t="shared" si="981"/>
        <v>313053260.4581095</v>
      </c>
      <c r="S510">
        <f t="shared" si="982"/>
        <v>3130.5326045810948</v>
      </c>
      <c r="T510">
        <f t="shared" si="983"/>
        <v>3.1305326045810946</v>
      </c>
    </row>
    <row r="511" spans="1:20" x14ac:dyDescent="0.25">
      <c r="A511" s="5">
        <v>44082</v>
      </c>
      <c r="B511">
        <v>22.442799999999998</v>
      </c>
      <c r="C511">
        <v>23.42</v>
      </c>
      <c r="D511">
        <v>21.273900000000001</v>
      </c>
      <c r="E511">
        <v>23.2837</v>
      </c>
      <c r="F511">
        <v>5158563.9800000004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0.87297889194352352</v>
      </c>
      <c r="Q511">
        <f t="shared" si="980"/>
        <v>4503317.4672801727</v>
      </c>
      <c r="R511">
        <f t="shared" si="981"/>
        <v>309221783.68330556</v>
      </c>
      <c r="S511">
        <f t="shared" si="982"/>
        <v>3092.2178368330556</v>
      </c>
      <c r="T511">
        <f t="shared" si="983"/>
        <v>3.0922178368330555</v>
      </c>
    </row>
    <row r="512" spans="1:20" x14ac:dyDescent="0.25">
      <c r="A512" s="5">
        <v>44081</v>
      </c>
      <c r="B512">
        <v>23.161200000000001</v>
      </c>
      <c r="C512">
        <v>23.554500000000001</v>
      </c>
      <c r="D512">
        <v>20</v>
      </c>
      <c r="E512">
        <v>22.442599999999999</v>
      </c>
      <c r="F512">
        <v>5454222.9100000001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0.37437051624700979</v>
      </c>
      <c r="Q512">
        <f t="shared" si="980"/>
        <v>2041900.2465429681</v>
      </c>
      <c r="R512">
        <f t="shared" si="981"/>
        <v>304718466.21602541</v>
      </c>
      <c r="S512">
        <f t="shared" si="982"/>
        <v>3047.184662160254</v>
      </c>
      <c r="T512">
        <f t="shared" si="983"/>
        <v>3.0471846621602539</v>
      </c>
    </row>
    <row r="513" spans="1:20" x14ac:dyDescent="0.25">
      <c r="A513" s="5">
        <v>44080</v>
      </c>
      <c r="B513">
        <v>19.473700000000001</v>
      </c>
      <c r="C513">
        <v>23.441800000000001</v>
      </c>
      <c r="D513">
        <v>18.528300000000002</v>
      </c>
      <c r="E513">
        <v>23.141999999999999</v>
      </c>
      <c r="F513">
        <v>8105158.2800000003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0.87796886130049812</v>
      </c>
      <c r="Q513">
        <f t="shared" si="980"/>
        <v>7116076.5857519042</v>
      </c>
      <c r="R513">
        <f t="shared" si="981"/>
        <v>302676565.96948242</v>
      </c>
      <c r="S513">
        <f t="shared" si="982"/>
        <v>3026.7656596948241</v>
      </c>
      <c r="T513">
        <f t="shared" si="983"/>
        <v>3.0267656596948243</v>
      </c>
    </row>
    <row r="514" spans="1:20" x14ac:dyDescent="0.25">
      <c r="A514" s="5">
        <v>44079</v>
      </c>
      <c r="B514">
        <v>20.999500000000001</v>
      </c>
      <c r="C514">
        <v>21.553899999999999</v>
      </c>
      <c r="D514">
        <v>18.010999999999999</v>
      </c>
      <c r="E514">
        <v>19.469799999999999</v>
      </c>
      <c r="F514">
        <v>4589184.1500000004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-0.17649383273589414</v>
      </c>
      <c r="Q514">
        <f t="shared" si="980"/>
        <v>-809962.69976431655</v>
      </c>
      <c r="R514">
        <f t="shared" si="981"/>
        <v>295560489.38373053</v>
      </c>
      <c r="S514">
        <f t="shared" si="982"/>
        <v>2955.6048938373051</v>
      </c>
      <c r="T514">
        <f t="shared" si="983"/>
        <v>2.9556048938373052</v>
      </c>
    </row>
    <row r="515" spans="1:20" x14ac:dyDescent="0.25">
      <c r="A515" s="5">
        <v>44078</v>
      </c>
      <c r="B515">
        <v>20.402699999999999</v>
      </c>
      <c r="C515">
        <v>21.83</v>
      </c>
      <c r="D515">
        <v>19.2</v>
      </c>
      <c r="E515">
        <v>20.9712</v>
      </c>
      <c r="F515">
        <v>5306193.0199999996</v>
      </c>
      <c r="G515">
        <v>0</v>
      </c>
      <c r="L515" t="s">
        <v>7</v>
      </c>
      <c r="M515" t="s">
        <v>7</v>
      </c>
      <c r="N515" t="s">
        <v>8</v>
      </c>
      <c r="P515">
        <f t="shared" si="979"/>
        <v>0.34692015209125554</v>
      </c>
      <c r="Q515">
        <f t="shared" si="980"/>
        <v>1840825.2895239585</v>
      </c>
      <c r="R515">
        <f t="shared" si="981"/>
        <v>296370452.08349484</v>
      </c>
      <c r="S515">
        <f t="shared" si="982"/>
        <v>2963.7045208349482</v>
      </c>
      <c r="T515">
        <f t="shared" si="983"/>
        <v>2.9637045208349484</v>
      </c>
    </row>
    <row r="516" spans="1:20" x14ac:dyDescent="0.25">
      <c r="A516" s="5">
        <v>44077</v>
      </c>
      <c r="B516">
        <v>24.7653</v>
      </c>
      <c r="C516">
        <v>25.54</v>
      </c>
      <c r="D516">
        <v>19.8765</v>
      </c>
      <c r="E516">
        <v>20.359200000000001</v>
      </c>
      <c r="F516">
        <v>7231336.21</v>
      </c>
      <c r="G516">
        <v>0</v>
      </c>
      <c r="L516" t="s">
        <v>7</v>
      </c>
      <c r="M516" t="s">
        <v>7</v>
      </c>
      <c r="N516" t="s">
        <v>8</v>
      </c>
      <c r="P516">
        <f t="shared" si="979"/>
        <v>-0.82954003707954393</v>
      </c>
      <c r="Q516">
        <f t="shared" si="980"/>
        <v>-5998682.9077780489</v>
      </c>
      <c r="R516">
        <f t="shared" si="981"/>
        <v>294529626.79397088</v>
      </c>
      <c r="S516">
        <f t="shared" si="982"/>
        <v>2945.2962679397087</v>
      </c>
      <c r="T516">
        <f t="shared" si="983"/>
        <v>2.9452962679397086</v>
      </c>
    </row>
    <row r="517" spans="1:20" x14ac:dyDescent="0.25">
      <c r="A517" s="5">
        <v>44076</v>
      </c>
      <c r="B517">
        <v>24.710100000000001</v>
      </c>
      <c r="C517">
        <v>25.8262</v>
      </c>
      <c r="D517">
        <v>23.121500000000001</v>
      </c>
      <c r="E517">
        <v>24.7652</v>
      </c>
      <c r="F517">
        <v>5879568.29</v>
      </c>
      <c r="G517">
        <v>0</v>
      </c>
      <c r="L517" t="s">
        <v>8</v>
      </c>
      <c r="M517" t="s">
        <v>8</v>
      </c>
      <c r="N517" t="s">
        <v>8</v>
      </c>
      <c r="P517">
        <f t="shared" si="979"/>
        <v>0.21543978999519331</v>
      </c>
      <c r="Q517">
        <f t="shared" si="980"/>
        <v>1266692.9576599977</v>
      </c>
      <c r="R517">
        <f t="shared" si="981"/>
        <v>300528309.70174891</v>
      </c>
      <c r="S517">
        <f t="shared" si="982"/>
        <v>3005.2830970174891</v>
      </c>
      <c r="T517">
        <f t="shared" si="983"/>
        <v>3.0052830970174891</v>
      </c>
    </row>
    <row r="518" spans="1:20" x14ac:dyDescent="0.25">
      <c r="A518" s="5">
        <v>44075</v>
      </c>
      <c r="B518">
        <v>23.148099999999999</v>
      </c>
      <c r="C518">
        <v>25.41</v>
      </c>
      <c r="D518">
        <v>22.84</v>
      </c>
      <c r="E518">
        <v>24.7028</v>
      </c>
      <c r="F518">
        <v>4442974.0999999996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0.44964980544747069</v>
      </c>
      <c r="Q518">
        <f t="shared" ref="Q518:Q581" si="985">F518*P518</f>
        <v>1997782.4396731509</v>
      </c>
      <c r="R518">
        <f t="shared" ref="R518:R581" si="986">R519+Q518</f>
        <v>299261616.74408889</v>
      </c>
      <c r="S518">
        <f t="shared" ref="S518:S581" si="987">R518/100000</f>
        <v>2992.6161674408891</v>
      </c>
      <c r="T518">
        <f t="shared" ref="T518:T581" si="988">S518/1000</f>
        <v>2.9926161674408891</v>
      </c>
    </row>
    <row r="519" spans="1:20" x14ac:dyDescent="0.25">
      <c r="A519" s="5">
        <v>44074</v>
      </c>
      <c r="B519">
        <v>23.625</v>
      </c>
      <c r="C519">
        <v>23.9</v>
      </c>
      <c r="D519">
        <v>22.966999999999999</v>
      </c>
      <c r="E519">
        <v>23.1477</v>
      </c>
      <c r="F519">
        <v>1767387.78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-0.61264737406216152</v>
      </c>
      <c r="Q519">
        <f t="shared" si="985"/>
        <v>-1082785.4823665533</v>
      </c>
      <c r="R519">
        <f t="shared" si="986"/>
        <v>297263834.30441576</v>
      </c>
      <c r="S519">
        <f t="shared" si="987"/>
        <v>2972.6383430441574</v>
      </c>
      <c r="T519">
        <f t="shared" si="988"/>
        <v>2.9726383430441574</v>
      </c>
    </row>
    <row r="520" spans="1:20" x14ac:dyDescent="0.25">
      <c r="A520" s="5">
        <v>44073</v>
      </c>
      <c r="B520">
        <v>22.944099999999999</v>
      </c>
      <c r="C520">
        <v>23.83</v>
      </c>
      <c r="D520">
        <v>22.9</v>
      </c>
      <c r="E520">
        <v>23.620799999999999</v>
      </c>
      <c r="F520">
        <v>1908490.67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0.55010752688172204</v>
      </c>
      <c r="Q520">
        <f t="shared" si="985"/>
        <v>1049875.0825505406</v>
      </c>
      <c r="R520">
        <f t="shared" si="986"/>
        <v>298346619.78678232</v>
      </c>
      <c r="S520">
        <f t="shared" si="987"/>
        <v>2983.4661978678232</v>
      </c>
      <c r="T520">
        <f t="shared" si="988"/>
        <v>2.9834661978678234</v>
      </c>
    </row>
    <row r="521" spans="1:20" x14ac:dyDescent="0.25">
      <c r="A521" s="5">
        <v>44072</v>
      </c>
      <c r="B521">
        <v>23.078299999999999</v>
      </c>
      <c r="C521">
        <v>23.5</v>
      </c>
      <c r="D521">
        <v>22.741599999999998</v>
      </c>
      <c r="E521">
        <v>22.939800000000002</v>
      </c>
      <c r="F521">
        <v>1854485.72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-0.47732067510547727</v>
      </c>
      <c r="Q521">
        <f t="shared" si="985"/>
        <v>-885184.37584386708</v>
      </c>
      <c r="R521">
        <f t="shared" si="986"/>
        <v>297296744.7042318</v>
      </c>
      <c r="S521">
        <f t="shared" si="987"/>
        <v>2972.9674470423179</v>
      </c>
      <c r="T521">
        <f t="shared" si="988"/>
        <v>2.972967447042318</v>
      </c>
    </row>
    <row r="522" spans="1:20" x14ac:dyDescent="0.25">
      <c r="A522" s="5">
        <v>44071</v>
      </c>
      <c r="B522">
        <v>23.1127</v>
      </c>
      <c r="C522">
        <v>23.584599999999998</v>
      </c>
      <c r="D522">
        <v>22.6158</v>
      </c>
      <c r="E522">
        <v>23.081099999999999</v>
      </c>
      <c r="F522">
        <v>2545445.75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-3.9430222956234377E-2</v>
      </c>
      <c r="Q522">
        <f t="shared" si="985"/>
        <v>-100367.49344549923</v>
      </c>
      <c r="R522">
        <f t="shared" si="986"/>
        <v>298181929.08007568</v>
      </c>
      <c r="S522">
        <f t="shared" si="987"/>
        <v>2981.8192908007568</v>
      </c>
      <c r="T522">
        <f t="shared" si="988"/>
        <v>2.9818192908007566</v>
      </c>
    </row>
    <row r="523" spans="1:20" x14ac:dyDescent="0.25">
      <c r="A523" s="5">
        <v>44070</v>
      </c>
      <c r="B523">
        <v>22.200500000000002</v>
      </c>
      <c r="C523">
        <v>23.150700000000001</v>
      </c>
      <c r="D523">
        <v>21.8064</v>
      </c>
      <c r="E523">
        <v>23.1127</v>
      </c>
      <c r="F523">
        <v>2927744.89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0.94346500037194048</v>
      </c>
      <c r="Q523">
        <f t="shared" si="985"/>
        <v>2762224.8337327968</v>
      </c>
      <c r="R523">
        <f t="shared" si="986"/>
        <v>298282296.5735212</v>
      </c>
      <c r="S523">
        <f t="shared" si="987"/>
        <v>2982.8229657352122</v>
      </c>
      <c r="T523">
        <f t="shared" si="988"/>
        <v>2.9828229657352123</v>
      </c>
    </row>
    <row r="524" spans="1:20" x14ac:dyDescent="0.25">
      <c r="A524" s="5">
        <v>44069</v>
      </c>
      <c r="B524">
        <v>21.388100000000001</v>
      </c>
      <c r="C524">
        <v>22.474299999999999</v>
      </c>
      <c r="D524">
        <v>21.2651</v>
      </c>
      <c r="E524">
        <v>22.1999</v>
      </c>
      <c r="F524">
        <v>2500162.91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0.54614621237181582</v>
      </c>
      <c r="Q524">
        <f t="shared" si="985"/>
        <v>1365454.5036089972</v>
      </c>
      <c r="R524">
        <f t="shared" si="986"/>
        <v>295520071.73978841</v>
      </c>
      <c r="S524">
        <f t="shared" si="987"/>
        <v>2955.2007173978841</v>
      </c>
      <c r="T524">
        <f t="shared" si="988"/>
        <v>2.9552007173978843</v>
      </c>
    </row>
    <row r="525" spans="1:20" x14ac:dyDescent="0.25">
      <c r="A525" s="5">
        <v>44068</v>
      </c>
      <c r="B525">
        <v>22.601600000000001</v>
      </c>
      <c r="C525">
        <v>22.641500000000001</v>
      </c>
      <c r="D525">
        <v>20.980499999999999</v>
      </c>
      <c r="E525">
        <v>21.388200000000001</v>
      </c>
      <c r="F525">
        <v>2271280.88</v>
      </c>
      <c r="G525">
        <v>0</v>
      </c>
      <c r="L525" t="s">
        <v>7</v>
      </c>
      <c r="M525" t="s">
        <v>8</v>
      </c>
      <c r="N525" t="s">
        <v>8</v>
      </c>
      <c r="P525">
        <f t="shared" si="984"/>
        <v>-0.50909090909090715</v>
      </c>
      <c r="Q525">
        <f t="shared" si="985"/>
        <v>-1156288.4479999954</v>
      </c>
      <c r="R525">
        <f t="shared" si="986"/>
        <v>294154617.23617941</v>
      </c>
      <c r="S525">
        <f t="shared" si="987"/>
        <v>2941.5461723617941</v>
      </c>
      <c r="T525">
        <f t="shared" si="988"/>
        <v>2.9415461723617939</v>
      </c>
    </row>
    <row r="526" spans="1:20" x14ac:dyDescent="0.25">
      <c r="A526" s="5">
        <v>44067</v>
      </c>
      <c r="B526">
        <v>21.857500000000002</v>
      </c>
      <c r="C526">
        <v>22.974599999999999</v>
      </c>
      <c r="D526">
        <v>21.665500000000002</v>
      </c>
      <c r="E526">
        <v>22.595300000000002</v>
      </c>
      <c r="F526">
        <v>1877744.04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0.42051791307005137</v>
      </c>
      <c r="Q526">
        <f t="shared" si="985"/>
        <v>789625.0049805271</v>
      </c>
      <c r="R526">
        <f t="shared" si="986"/>
        <v>295310905.68417943</v>
      </c>
      <c r="S526">
        <f t="shared" si="987"/>
        <v>2953.1090568417944</v>
      </c>
      <c r="T526">
        <f t="shared" si="988"/>
        <v>2.9531090568417944</v>
      </c>
    </row>
    <row r="527" spans="1:20" x14ac:dyDescent="0.25">
      <c r="A527" s="5">
        <v>44066</v>
      </c>
      <c r="B527">
        <v>22.201000000000001</v>
      </c>
      <c r="C527">
        <v>22.2348</v>
      </c>
      <c r="D527">
        <v>21.284099999999999</v>
      </c>
      <c r="E527">
        <v>21.855499999999999</v>
      </c>
      <c r="F527">
        <v>1618992.6</v>
      </c>
      <c r="G527">
        <v>0</v>
      </c>
      <c r="L527" t="s">
        <v>7</v>
      </c>
      <c r="M527" t="s">
        <v>8</v>
      </c>
      <c r="N527" t="s">
        <v>8</v>
      </c>
      <c r="P527">
        <f t="shared" si="984"/>
        <v>0.20206163879246838</v>
      </c>
      <c r="Q527">
        <f t="shared" si="985"/>
        <v>327136.29794887925</v>
      </c>
      <c r="R527">
        <f t="shared" si="986"/>
        <v>294521280.67919892</v>
      </c>
      <c r="S527">
        <f t="shared" si="987"/>
        <v>2945.2128067919894</v>
      </c>
      <c r="T527">
        <f t="shared" si="988"/>
        <v>2.9452128067919894</v>
      </c>
    </row>
    <row r="528" spans="1:20" x14ac:dyDescent="0.25">
      <c r="A528" s="5">
        <v>44065</v>
      </c>
      <c r="B528">
        <v>22.099399999999999</v>
      </c>
      <c r="C528">
        <v>22.246400000000001</v>
      </c>
      <c r="D528">
        <v>21.281400000000001</v>
      </c>
      <c r="E528">
        <v>22.2044</v>
      </c>
      <c r="F528">
        <v>1892077.61</v>
      </c>
      <c r="G528">
        <v>0</v>
      </c>
      <c r="L528" t="s">
        <v>7</v>
      </c>
      <c r="M528" t="s">
        <v>8</v>
      </c>
      <c r="N528" t="s">
        <v>8</v>
      </c>
      <c r="P528">
        <f t="shared" si="984"/>
        <v>0.91295336787564441</v>
      </c>
      <c r="Q528">
        <f t="shared" si="985"/>
        <v>1727378.6263316001</v>
      </c>
      <c r="R528">
        <f t="shared" si="986"/>
        <v>294194144.38125002</v>
      </c>
      <c r="S528">
        <f t="shared" si="987"/>
        <v>2941.9414438125004</v>
      </c>
      <c r="T528">
        <f t="shared" si="988"/>
        <v>2.9419414438125004</v>
      </c>
    </row>
    <row r="529" spans="1:20" x14ac:dyDescent="0.25">
      <c r="A529" s="5">
        <v>44064</v>
      </c>
      <c r="B529">
        <v>23.090900000000001</v>
      </c>
      <c r="C529">
        <v>23.32</v>
      </c>
      <c r="D529">
        <v>21.5</v>
      </c>
      <c r="E529">
        <v>22.098800000000001</v>
      </c>
      <c r="F529">
        <v>2493196.5099999998</v>
      </c>
      <c r="G529">
        <v>0</v>
      </c>
      <c r="L529" t="s">
        <v>7</v>
      </c>
      <c r="M529" t="s">
        <v>8</v>
      </c>
      <c r="N529" t="s">
        <v>8</v>
      </c>
      <c r="P529">
        <f t="shared" si="984"/>
        <v>-0.34197802197802135</v>
      </c>
      <c r="Q529">
        <f t="shared" si="985"/>
        <v>-852618.41089230601</v>
      </c>
      <c r="R529">
        <f t="shared" si="986"/>
        <v>292466765.7549184</v>
      </c>
      <c r="S529">
        <f t="shared" si="987"/>
        <v>2924.6676575491838</v>
      </c>
      <c r="T529">
        <f t="shared" si="988"/>
        <v>2.9246676575491839</v>
      </c>
    </row>
    <row r="530" spans="1:20" x14ac:dyDescent="0.25">
      <c r="A530" s="5">
        <v>44063</v>
      </c>
      <c r="B530">
        <v>22.381699999999999</v>
      </c>
      <c r="C530">
        <v>23.3</v>
      </c>
      <c r="D530">
        <v>22.026499999999999</v>
      </c>
      <c r="E530">
        <v>23.088799999999999</v>
      </c>
      <c r="F530">
        <v>2246864.02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0.66831566548880839</v>
      </c>
      <c r="Q530">
        <f t="shared" si="985"/>
        <v>1501614.4227891592</v>
      </c>
      <c r="R530">
        <f t="shared" si="986"/>
        <v>293319384.1658107</v>
      </c>
      <c r="S530">
        <f t="shared" si="987"/>
        <v>2933.193841658107</v>
      </c>
      <c r="T530">
        <f t="shared" si="988"/>
        <v>2.9331938416581069</v>
      </c>
    </row>
    <row r="531" spans="1:20" x14ac:dyDescent="0.25">
      <c r="A531" s="5">
        <v>44062</v>
      </c>
      <c r="B531">
        <v>22.9802</v>
      </c>
      <c r="C531">
        <v>23.25</v>
      </c>
      <c r="D531">
        <v>21.821899999999999</v>
      </c>
      <c r="E531">
        <v>22.376100000000001</v>
      </c>
      <c r="F531">
        <v>2128074.0299999998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-0.22386387507877412</v>
      </c>
      <c r="Q531">
        <f t="shared" si="985"/>
        <v>-476398.89881030336</v>
      </c>
      <c r="R531">
        <f t="shared" si="986"/>
        <v>291817769.74302155</v>
      </c>
      <c r="S531">
        <f t="shared" si="987"/>
        <v>2918.1776974302156</v>
      </c>
      <c r="T531">
        <f t="shared" si="988"/>
        <v>2.9181776974302158</v>
      </c>
    </row>
    <row r="532" spans="1:20" x14ac:dyDescent="0.25">
      <c r="A532" s="5">
        <v>44061</v>
      </c>
      <c r="B532">
        <v>23.486799999999999</v>
      </c>
      <c r="C532">
        <v>23.78</v>
      </c>
      <c r="D532">
        <v>22.332999999999998</v>
      </c>
      <c r="E532">
        <v>22.970500000000001</v>
      </c>
      <c r="F532">
        <v>2531759.2799999998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-0.11886662059433084</v>
      </c>
      <c r="Q532">
        <f t="shared" si="985"/>
        <v>-300941.6697719362</v>
      </c>
      <c r="R532">
        <f t="shared" si="986"/>
        <v>292294168.64183187</v>
      </c>
      <c r="S532">
        <f t="shared" si="987"/>
        <v>2922.9416864183186</v>
      </c>
      <c r="T532">
        <f t="shared" si="988"/>
        <v>2.9229416864183184</v>
      </c>
    </row>
    <row r="533" spans="1:20" x14ac:dyDescent="0.25">
      <c r="A533" s="5">
        <v>44060</v>
      </c>
      <c r="B533">
        <v>23.5291</v>
      </c>
      <c r="C533">
        <v>23.91</v>
      </c>
      <c r="D533">
        <v>22.958400000000001</v>
      </c>
      <c r="E533">
        <v>23.496099999999998</v>
      </c>
      <c r="F533">
        <v>2423484.1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0.13009667927700275</v>
      </c>
      <c r="Q533">
        <f t="shared" si="985"/>
        <v>315287.23369061569</v>
      </c>
      <c r="R533">
        <f t="shared" si="986"/>
        <v>292595110.31160378</v>
      </c>
      <c r="S533">
        <f t="shared" si="987"/>
        <v>2925.9511031160378</v>
      </c>
      <c r="T533">
        <f t="shared" si="988"/>
        <v>2.9259511031160379</v>
      </c>
    </row>
    <row r="534" spans="1:20" x14ac:dyDescent="0.25">
      <c r="A534" s="5">
        <v>44059</v>
      </c>
      <c r="B534">
        <v>23.104500000000002</v>
      </c>
      <c r="C534">
        <v>23.779</v>
      </c>
      <c r="D534">
        <v>22.7</v>
      </c>
      <c r="E534">
        <v>23.529</v>
      </c>
      <c r="F534">
        <v>2705823.75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0.53660797034291041</v>
      </c>
      <c r="Q534">
        <f t="shared" si="985"/>
        <v>1451966.5905931427</v>
      </c>
      <c r="R534">
        <f t="shared" si="986"/>
        <v>292279823.07791317</v>
      </c>
      <c r="S534">
        <f t="shared" si="987"/>
        <v>2922.7982307791317</v>
      </c>
      <c r="T534">
        <f t="shared" si="988"/>
        <v>2.9227982307791316</v>
      </c>
    </row>
    <row r="535" spans="1:20" x14ac:dyDescent="0.25">
      <c r="A535" s="5">
        <v>44058</v>
      </c>
      <c r="B535">
        <v>23.096599999999999</v>
      </c>
      <c r="C535">
        <v>23.788399999999999</v>
      </c>
      <c r="D535">
        <v>22.7</v>
      </c>
      <c r="E535">
        <v>23.088100000000001</v>
      </c>
      <c r="F535">
        <v>2752160.06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-0.28684307239985035</v>
      </c>
      <c r="Q535">
        <f t="shared" si="985"/>
        <v>-789438.04734655656</v>
      </c>
      <c r="R535">
        <f t="shared" si="986"/>
        <v>290827856.48732001</v>
      </c>
      <c r="S535">
        <f t="shared" si="987"/>
        <v>2908.2785648732001</v>
      </c>
      <c r="T535">
        <f t="shared" si="988"/>
        <v>2.9082785648732004</v>
      </c>
    </row>
    <row r="536" spans="1:20" x14ac:dyDescent="0.25">
      <c r="A536" s="5">
        <v>44057</v>
      </c>
      <c r="B536">
        <v>21.775099999999998</v>
      </c>
      <c r="C536">
        <v>23.3019</v>
      </c>
      <c r="D536">
        <v>21.26</v>
      </c>
      <c r="E536">
        <v>23.104700000000001</v>
      </c>
      <c r="F536">
        <v>3820214.92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0.80684656447426528</v>
      </c>
      <c r="Q536">
        <f t="shared" si="985"/>
        <v>3082327.2837553299</v>
      </c>
      <c r="R536">
        <f t="shared" si="986"/>
        <v>291617294.53466654</v>
      </c>
      <c r="S536">
        <f t="shared" si="987"/>
        <v>2916.1729453466655</v>
      </c>
      <c r="T536">
        <f t="shared" si="988"/>
        <v>2.9161729453466654</v>
      </c>
    </row>
    <row r="537" spans="1:20" x14ac:dyDescent="0.25">
      <c r="A537" s="5">
        <v>44056</v>
      </c>
      <c r="B537">
        <v>21.491900000000001</v>
      </c>
      <c r="C537">
        <v>21.856000000000002</v>
      </c>
      <c r="D537">
        <v>20.64</v>
      </c>
      <c r="E537">
        <v>21.7667</v>
      </c>
      <c r="F537">
        <v>3079217.71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0.85312499999999769</v>
      </c>
      <c r="Q537">
        <f t="shared" si="985"/>
        <v>2626957.6088437429</v>
      </c>
      <c r="R537">
        <f t="shared" si="986"/>
        <v>288534967.25091124</v>
      </c>
      <c r="S537">
        <f t="shared" si="987"/>
        <v>2885.3496725091122</v>
      </c>
      <c r="T537">
        <f t="shared" si="988"/>
        <v>2.8853496725091121</v>
      </c>
    </row>
    <row r="538" spans="1:20" x14ac:dyDescent="0.25">
      <c r="A538" s="5">
        <v>44055</v>
      </c>
      <c r="B538">
        <v>21.299299999999999</v>
      </c>
      <c r="C538">
        <v>21.981999999999999</v>
      </c>
      <c r="D538">
        <v>20.571000000000002</v>
      </c>
      <c r="E538">
        <v>21.491900000000001</v>
      </c>
      <c r="F538">
        <v>2455644.02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0.30531537916371515</v>
      </c>
      <c r="Q538">
        <f t="shared" si="985"/>
        <v>749745.88505740976</v>
      </c>
      <c r="R538">
        <f t="shared" si="986"/>
        <v>285908009.64206749</v>
      </c>
      <c r="S538">
        <f t="shared" si="987"/>
        <v>2859.0800964206751</v>
      </c>
      <c r="T538">
        <f t="shared" si="988"/>
        <v>2.8590800964206751</v>
      </c>
    </row>
    <row r="539" spans="1:20" x14ac:dyDescent="0.25">
      <c r="A539" s="5">
        <v>44054</v>
      </c>
      <c r="B539">
        <v>22.636900000000001</v>
      </c>
      <c r="C539">
        <v>22.730599999999999</v>
      </c>
      <c r="D539">
        <v>20.66</v>
      </c>
      <c r="E539">
        <v>21.290199999999999</v>
      </c>
      <c r="F539">
        <v>3211543.44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-0.39128754950256073</v>
      </c>
      <c r="Q539">
        <f t="shared" si="985"/>
        <v>-1256636.9627586242</v>
      </c>
      <c r="R539">
        <f t="shared" si="986"/>
        <v>285158263.7570101</v>
      </c>
      <c r="S539">
        <f t="shared" si="987"/>
        <v>2851.5826375701008</v>
      </c>
      <c r="T539">
        <f t="shared" si="988"/>
        <v>2.8515826375701008</v>
      </c>
    </row>
    <row r="540" spans="1:20" x14ac:dyDescent="0.25">
      <c r="A540" s="5">
        <v>44053</v>
      </c>
      <c r="B540">
        <v>22.4224</v>
      </c>
      <c r="C540">
        <v>22.77</v>
      </c>
      <c r="D540">
        <v>22.046199999999999</v>
      </c>
      <c r="E540">
        <v>22.636900000000001</v>
      </c>
      <c r="F540">
        <v>2108928.42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0.63221884498480585</v>
      </c>
      <c r="Q540">
        <f t="shared" si="985"/>
        <v>1333304.2898480315</v>
      </c>
      <c r="R540">
        <f t="shared" si="986"/>
        <v>286414900.7197687</v>
      </c>
      <c r="S540">
        <f t="shared" si="987"/>
        <v>2864.1490071976868</v>
      </c>
      <c r="T540">
        <f t="shared" si="988"/>
        <v>2.8641490071976867</v>
      </c>
    </row>
    <row r="541" spans="1:20" x14ac:dyDescent="0.25">
      <c r="A541" s="5">
        <v>44052</v>
      </c>
      <c r="B541">
        <v>22.922999999999998</v>
      </c>
      <c r="C541">
        <v>22.923300000000001</v>
      </c>
      <c r="D541">
        <v>22.046199999999999</v>
      </c>
      <c r="E541">
        <v>22.422000000000001</v>
      </c>
      <c r="F541">
        <v>2112178.17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-0.14308516702770324</v>
      </c>
      <c r="Q541">
        <f t="shared" si="985"/>
        <v>-302221.36624671856</v>
      </c>
      <c r="R541">
        <f t="shared" si="986"/>
        <v>285081596.42992067</v>
      </c>
      <c r="S541">
        <f t="shared" si="987"/>
        <v>2850.8159642992068</v>
      </c>
      <c r="T541">
        <f t="shared" si="988"/>
        <v>2.850815964299207</v>
      </c>
    </row>
    <row r="542" spans="1:20" x14ac:dyDescent="0.25">
      <c r="A542" s="5">
        <v>44051</v>
      </c>
      <c r="B542">
        <v>22.3323</v>
      </c>
      <c r="C542">
        <v>22.924099999999999</v>
      </c>
      <c r="D542">
        <v>21.857099999999999</v>
      </c>
      <c r="E542">
        <v>22.923400000000001</v>
      </c>
      <c r="F542">
        <v>2408862.4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0.9986879100281193</v>
      </c>
      <c r="Q542">
        <f t="shared" si="985"/>
        <v>2405701.7558013196</v>
      </c>
      <c r="R542">
        <f t="shared" si="986"/>
        <v>285383817.79616737</v>
      </c>
      <c r="S542">
        <f t="shared" si="987"/>
        <v>2853.8381779616739</v>
      </c>
      <c r="T542">
        <f t="shared" si="988"/>
        <v>2.8538381779616739</v>
      </c>
    </row>
    <row r="543" spans="1:20" x14ac:dyDescent="0.25">
      <c r="A543" s="5">
        <v>44050</v>
      </c>
      <c r="B543">
        <v>22.748799999999999</v>
      </c>
      <c r="C543">
        <v>22.9999</v>
      </c>
      <c r="D543">
        <v>21.451499999999999</v>
      </c>
      <c r="E543">
        <v>22.3323</v>
      </c>
      <c r="F543">
        <v>2770775.51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0.13769051924567319</v>
      </c>
      <c r="Q543">
        <f t="shared" si="985"/>
        <v>381509.5186850949</v>
      </c>
      <c r="R543">
        <f t="shared" si="986"/>
        <v>282978116.04036605</v>
      </c>
      <c r="S543">
        <f t="shared" si="987"/>
        <v>2829.7811604036606</v>
      </c>
      <c r="T543">
        <f t="shared" si="988"/>
        <v>2.8297811604036607</v>
      </c>
    </row>
    <row r="544" spans="1:20" x14ac:dyDescent="0.25">
      <c r="A544" s="5">
        <v>44049</v>
      </c>
      <c r="B544">
        <v>23.2685</v>
      </c>
      <c r="C544">
        <v>23.315000000000001</v>
      </c>
      <c r="D544">
        <v>22.5</v>
      </c>
      <c r="E544">
        <v>22.748699999999999</v>
      </c>
      <c r="F544">
        <v>2442941.2599999998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-0.38969325153374457</v>
      </c>
      <c r="Q544">
        <f t="shared" si="985"/>
        <v>-951997.72291534278</v>
      </c>
      <c r="R544">
        <f t="shared" si="986"/>
        <v>282596606.52168095</v>
      </c>
      <c r="S544">
        <f t="shared" si="987"/>
        <v>2825.9660652168095</v>
      </c>
      <c r="T544">
        <f t="shared" si="988"/>
        <v>2.8259660652168095</v>
      </c>
    </row>
    <row r="545" spans="1:20" x14ac:dyDescent="0.25">
      <c r="A545" s="5">
        <v>44048</v>
      </c>
      <c r="B545">
        <v>22.296700000000001</v>
      </c>
      <c r="C545">
        <v>23.54</v>
      </c>
      <c r="D545">
        <v>22.0566</v>
      </c>
      <c r="E545">
        <v>23.2728</v>
      </c>
      <c r="F545">
        <v>3698317.51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0.63974652824592282</v>
      </c>
      <c r="Q545">
        <f t="shared" si="985"/>
        <v>2365985.7873736056</v>
      </c>
      <c r="R545">
        <f t="shared" si="986"/>
        <v>283548604.2445963</v>
      </c>
      <c r="S545">
        <f t="shared" si="987"/>
        <v>2835.486042445963</v>
      </c>
      <c r="T545">
        <f t="shared" si="988"/>
        <v>2.8354860424459631</v>
      </c>
    </row>
    <row r="546" spans="1:20" x14ac:dyDescent="0.25">
      <c r="A546" s="5">
        <v>44047</v>
      </c>
      <c r="B546">
        <v>22.062200000000001</v>
      </c>
      <c r="C546">
        <v>22.443300000000001</v>
      </c>
      <c r="D546">
        <v>21.41</v>
      </c>
      <c r="E546">
        <v>22.2818</v>
      </c>
      <c r="F546">
        <v>2393749.7400000002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0.68740927126681484</v>
      </c>
      <c r="Q546">
        <f t="shared" si="985"/>
        <v>1645485.7643685276</v>
      </c>
      <c r="R546">
        <f t="shared" si="986"/>
        <v>281182618.4572227</v>
      </c>
      <c r="S546">
        <f t="shared" si="987"/>
        <v>2811.8261845722268</v>
      </c>
      <c r="T546">
        <f t="shared" si="988"/>
        <v>2.8118261845722268</v>
      </c>
    </row>
    <row r="547" spans="1:20" x14ac:dyDescent="0.25">
      <c r="A547" s="5">
        <v>44046</v>
      </c>
      <c r="B547">
        <v>20.989899999999999</v>
      </c>
      <c r="C547">
        <v>22.5</v>
      </c>
      <c r="D547">
        <v>20.7</v>
      </c>
      <c r="E547">
        <v>22.0504</v>
      </c>
      <c r="F547">
        <v>2668345.02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0.50044444444444436</v>
      </c>
      <c r="Q547">
        <f t="shared" si="985"/>
        <v>1335358.4411199999</v>
      </c>
      <c r="R547">
        <f t="shared" si="986"/>
        <v>279537132.69285417</v>
      </c>
      <c r="S547">
        <f t="shared" si="987"/>
        <v>2795.3713269285417</v>
      </c>
      <c r="T547">
        <f t="shared" si="988"/>
        <v>2.7953713269285418</v>
      </c>
    </row>
    <row r="548" spans="1:20" x14ac:dyDescent="0.25">
      <c r="A548" s="5">
        <v>44045</v>
      </c>
      <c r="B548">
        <v>21.6204</v>
      </c>
      <c r="C548">
        <v>22.183199999999999</v>
      </c>
      <c r="D548">
        <v>19.100000000000001</v>
      </c>
      <c r="E548">
        <v>20.989799999999999</v>
      </c>
      <c r="F548">
        <v>3352897.46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0.22586922677737334</v>
      </c>
      <c r="Q548">
        <f t="shared" si="985"/>
        <v>757316.35675401904</v>
      </c>
      <c r="R548">
        <f t="shared" si="986"/>
        <v>278201774.25173414</v>
      </c>
      <c r="S548">
        <f t="shared" si="987"/>
        <v>2782.0177425173415</v>
      </c>
      <c r="T548">
        <f t="shared" si="988"/>
        <v>2.7820177425173416</v>
      </c>
    </row>
    <row r="549" spans="1:20" x14ac:dyDescent="0.25">
      <c r="A549" s="5">
        <v>44044</v>
      </c>
      <c r="B549">
        <v>20.663699999999999</v>
      </c>
      <c r="C549">
        <v>21.74</v>
      </c>
      <c r="D549">
        <v>20.51</v>
      </c>
      <c r="E549">
        <v>21.616800000000001</v>
      </c>
      <c r="F549">
        <v>2657942.85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0.79967479674797171</v>
      </c>
      <c r="Q549">
        <f t="shared" si="985"/>
        <v>2125489.9083414748</v>
      </c>
      <c r="R549">
        <f t="shared" si="986"/>
        <v>277444457.89498013</v>
      </c>
      <c r="S549">
        <f t="shared" si="987"/>
        <v>2774.4445789498013</v>
      </c>
      <c r="T549">
        <f t="shared" si="988"/>
        <v>2.7744445789498013</v>
      </c>
    </row>
    <row r="550" spans="1:20" x14ac:dyDescent="0.25">
      <c r="A550" s="5">
        <v>44043</v>
      </c>
      <c r="B550">
        <v>19.97</v>
      </c>
      <c r="C550">
        <v>20.855</v>
      </c>
      <c r="D550">
        <v>19.9102</v>
      </c>
      <c r="E550">
        <v>20.6615</v>
      </c>
      <c r="F550">
        <v>2251101.21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0.59038950042336991</v>
      </c>
      <c r="Q550">
        <f t="shared" si="985"/>
        <v>1329026.5187743434</v>
      </c>
      <c r="R550">
        <f t="shared" si="986"/>
        <v>275318967.98663867</v>
      </c>
      <c r="S550">
        <f t="shared" si="987"/>
        <v>2753.1896798663865</v>
      </c>
      <c r="T550">
        <f t="shared" si="988"/>
        <v>2.7531896798663866</v>
      </c>
    </row>
    <row r="551" spans="1:20" x14ac:dyDescent="0.25">
      <c r="A551" s="5">
        <v>44042</v>
      </c>
      <c r="B551">
        <v>19.892600000000002</v>
      </c>
      <c r="C551">
        <v>20.099499999999999</v>
      </c>
      <c r="D551">
        <v>19.511099999999999</v>
      </c>
      <c r="E551">
        <v>19.97</v>
      </c>
      <c r="F551">
        <v>2052250.83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0.55982324949014217</v>
      </c>
      <c r="Q551">
        <f t="shared" si="985"/>
        <v>1148897.7284194415</v>
      </c>
      <c r="R551">
        <f t="shared" si="986"/>
        <v>273989941.46786433</v>
      </c>
      <c r="S551">
        <f t="shared" si="987"/>
        <v>2739.8994146786436</v>
      </c>
      <c r="T551">
        <f t="shared" si="988"/>
        <v>2.7398994146786437</v>
      </c>
    </row>
    <row r="552" spans="1:20" x14ac:dyDescent="0.25">
      <c r="A552" s="5">
        <v>44041</v>
      </c>
      <c r="B552">
        <v>20.1692</v>
      </c>
      <c r="C552">
        <v>20.409099999999999</v>
      </c>
      <c r="D552">
        <v>19.740400000000001</v>
      </c>
      <c r="E552">
        <v>19.899000000000001</v>
      </c>
      <c r="F552">
        <v>2219760.2000000002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-0.52564677732914489</v>
      </c>
      <c r="Q552">
        <f t="shared" si="985"/>
        <v>-1166809.7955734981</v>
      </c>
      <c r="R552">
        <f t="shared" si="986"/>
        <v>272841043.73944491</v>
      </c>
      <c r="S552">
        <f t="shared" si="987"/>
        <v>2728.4104373944492</v>
      </c>
      <c r="T552">
        <f t="shared" si="988"/>
        <v>2.7284104373944493</v>
      </c>
    </row>
    <row r="553" spans="1:20" x14ac:dyDescent="0.25">
      <c r="A553" s="5">
        <v>44040</v>
      </c>
      <c r="B553">
        <v>19.748899999999999</v>
      </c>
      <c r="C553">
        <v>20.683399999999999</v>
      </c>
      <c r="D553">
        <v>19.428100000000001</v>
      </c>
      <c r="E553">
        <v>20.173200000000001</v>
      </c>
      <c r="F553">
        <v>3516712.35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0.18712658328686652</v>
      </c>
      <c r="Q553">
        <f t="shared" si="985"/>
        <v>658070.36645822704</v>
      </c>
      <c r="R553">
        <f t="shared" si="986"/>
        <v>274007853.53501838</v>
      </c>
      <c r="S553">
        <f t="shared" si="987"/>
        <v>2740.0785353501838</v>
      </c>
      <c r="T553">
        <f t="shared" si="988"/>
        <v>2.7400785353501838</v>
      </c>
    </row>
    <row r="554" spans="1:20" x14ac:dyDescent="0.25">
      <c r="A554" s="5">
        <v>44039</v>
      </c>
      <c r="B554">
        <v>19.552399999999999</v>
      </c>
      <c r="C554">
        <v>20.1999</v>
      </c>
      <c r="D554">
        <v>18.399999999999999</v>
      </c>
      <c r="E554">
        <v>19.747399999999999</v>
      </c>
      <c r="F554">
        <v>3841364.91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0.49719428857158693</v>
      </c>
      <c r="Q554">
        <f t="shared" si="985"/>
        <v>1909904.6935713082</v>
      </c>
      <c r="R554">
        <f t="shared" si="986"/>
        <v>273349783.16856015</v>
      </c>
      <c r="S554">
        <f t="shared" si="987"/>
        <v>2733.4978316856013</v>
      </c>
      <c r="T554">
        <f t="shared" si="988"/>
        <v>2.7334978316856011</v>
      </c>
    </row>
    <row r="555" spans="1:20" x14ac:dyDescent="0.25">
      <c r="A555" s="5">
        <v>44038</v>
      </c>
      <c r="B555">
        <v>19.819600000000001</v>
      </c>
      <c r="C555">
        <v>20.49</v>
      </c>
      <c r="D555">
        <v>19.2639</v>
      </c>
      <c r="E555">
        <v>19.555700000000002</v>
      </c>
      <c r="F555">
        <v>2857739.16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-0.52401924802218036</v>
      </c>
      <c r="Q555">
        <f t="shared" si="985"/>
        <v>-1497510.3256667375</v>
      </c>
      <c r="R555">
        <f t="shared" si="986"/>
        <v>271439878.47498882</v>
      </c>
      <c r="S555">
        <f t="shared" si="987"/>
        <v>2714.3987847498884</v>
      </c>
      <c r="T555">
        <f t="shared" si="988"/>
        <v>2.7143987847498883</v>
      </c>
    </row>
    <row r="556" spans="1:20" x14ac:dyDescent="0.25">
      <c r="A556" s="5">
        <v>44037</v>
      </c>
      <c r="B556">
        <v>19.187799999999999</v>
      </c>
      <c r="C556">
        <v>20.043399999999998</v>
      </c>
      <c r="D556">
        <v>19.145099999999999</v>
      </c>
      <c r="E556">
        <v>19.824200000000001</v>
      </c>
      <c r="F556">
        <v>2956369.76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0.5119670488700937</v>
      </c>
      <c r="Q556">
        <f t="shared" si="985"/>
        <v>1513563.901395987</v>
      </c>
      <c r="R556">
        <f t="shared" si="986"/>
        <v>272937388.80065554</v>
      </c>
      <c r="S556">
        <f t="shared" si="987"/>
        <v>2729.3738880065553</v>
      </c>
      <c r="T556">
        <f t="shared" si="988"/>
        <v>2.7293738880065552</v>
      </c>
    </row>
    <row r="557" spans="1:20" x14ac:dyDescent="0.25">
      <c r="A557" s="5">
        <v>44036</v>
      </c>
      <c r="B557">
        <v>18.750800000000002</v>
      </c>
      <c r="C557">
        <v>19.55</v>
      </c>
      <c r="D557">
        <v>18.234999999999999</v>
      </c>
      <c r="E557">
        <v>19.185300000000002</v>
      </c>
      <c r="F557">
        <v>2790281.46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0.44532319391635167</v>
      </c>
      <c r="Q557">
        <f t="shared" si="985"/>
        <v>1242577.0516927808</v>
      </c>
      <c r="R557">
        <f t="shared" si="986"/>
        <v>271423824.89925957</v>
      </c>
      <c r="S557">
        <f t="shared" si="987"/>
        <v>2714.2382489925958</v>
      </c>
      <c r="T557">
        <f t="shared" si="988"/>
        <v>2.7142382489925958</v>
      </c>
    </row>
    <row r="558" spans="1:20" x14ac:dyDescent="0.25">
      <c r="A558" s="5">
        <v>44035</v>
      </c>
      <c r="B558">
        <v>18.094999999999999</v>
      </c>
      <c r="C558">
        <v>18.77</v>
      </c>
      <c r="D558">
        <v>18.042999999999999</v>
      </c>
      <c r="E558">
        <v>18.75</v>
      </c>
      <c r="F558">
        <v>2393871.4500000002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0.94497936726272469</v>
      </c>
      <c r="Q558">
        <f t="shared" si="985"/>
        <v>2262159.1281293016</v>
      </c>
      <c r="R558">
        <f t="shared" si="986"/>
        <v>270181247.84756678</v>
      </c>
      <c r="S558">
        <f t="shared" si="987"/>
        <v>2701.8124784756678</v>
      </c>
      <c r="T558">
        <f t="shared" si="988"/>
        <v>2.7018124784756679</v>
      </c>
    </row>
    <row r="559" spans="1:20" x14ac:dyDescent="0.25">
      <c r="A559" s="5">
        <v>44034</v>
      </c>
      <c r="B559">
        <v>17.726800000000001</v>
      </c>
      <c r="C559">
        <v>18.115100000000002</v>
      </c>
      <c r="D559">
        <v>17.45</v>
      </c>
      <c r="E559">
        <v>18.09</v>
      </c>
      <c r="F559">
        <v>2174379.2000000002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0.92452262817620867</v>
      </c>
      <c r="Q559">
        <f t="shared" si="985"/>
        <v>2010262.7726356823</v>
      </c>
      <c r="R559">
        <f t="shared" si="986"/>
        <v>267919088.71943748</v>
      </c>
      <c r="S559">
        <f t="shared" si="987"/>
        <v>2679.1908871943747</v>
      </c>
      <c r="T559">
        <f t="shared" si="988"/>
        <v>2.6791908871943746</v>
      </c>
    </row>
    <row r="560" spans="1:20" x14ac:dyDescent="0.25">
      <c r="A560" s="5">
        <v>44033</v>
      </c>
      <c r="B560">
        <v>17.464500000000001</v>
      </c>
      <c r="C560">
        <v>17.979900000000001</v>
      </c>
      <c r="D560">
        <v>17.399999999999999</v>
      </c>
      <c r="E560">
        <v>17.7285</v>
      </c>
      <c r="F560">
        <v>2110735.0099999998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0.13295395757889503</v>
      </c>
      <c r="Q560">
        <f t="shared" si="985"/>
        <v>280630.57297982852</v>
      </c>
      <c r="R560">
        <f t="shared" si="986"/>
        <v>265908825.94680181</v>
      </c>
      <c r="S560">
        <f t="shared" si="987"/>
        <v>2659.0882594680179</v>
      </c>
      <c r="T560">
        <f t="shared" si="988"/>
        <v>2.6590882594680179</v>
      </c>
    </row>
    <row r="561" spans="1:104" x14ac:dyDescent="0.25">
      <c r="A561" s="5">
        <v>44032</v>
      </c>
      <c r="B561">
        <v>18.0166</v>
      </c>
      <c r="C561">
        <v>18.34</v>
      </c>
      <c r="D561">
        <v>17.234999999999999</v>
      </c>
      <c r="E561">
        <v>17.464500000000001</v>
      </c>
      <c r="F561">
        <v>2487505.4900000002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-0.58461538461538187</v>
      </c>
      <c r="Q561">
        <f t="shared" si="985"/>
        <v>-1454233.9787692241</v>
      </c>
      <c r="R561">
        <f t="shared" si="986"/>
        <v>265628195.37382197</v>
      </c>
      <c r="S561">
        <f t="shared" si="987"/>
        <v>2656.2819537382197</v>
      </c>
      <c r="T561">
        <f t="shared" si="988"/>
        <v>2.6562819537382198</v>
      </c>
      <c r="CZ561" t="s">
        <v>7</v>
      </c>
    </row>
    <row r="562" spans="1:104" x14ac:dyDescent="0.25">
      <c r="A562" s="5">
        <v>44031</v>
      </c>
      <c r="B562">
        <v>17.154199999999999</v>
      </c>
      <c r="C562">
        <v>18.097999999999999</v>
      </c>
      <c r="D562">
        <v>16.89</v>
      </c>
      <c r="E562">
        <v>18.0154</v>
      </c>
      <c r="F562">
        <v>2597680.63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0.86324503311258372</v>
      </c>
      <c r="Q562">
        <f t="shared" si="985"/>
        <v>2242434.9014602671</v>
      </c>
      <c r="R562">
        <f t="shared" si="986"/>
        <v>267082429.35259119</v>
      </c>
      <c r="S562">
        <f t="shared" si="987"/>
        <v>2670.8242935259118</v>
      </c>
      <c r="T562">
        <f t="shared" si="988"/>
        <v>2.6708242935259117</v>
      </c>
      <c r="CZ562" t="s">
        <v>7</v>
      </c>
    </row>
    <row r="563" spans="1:104" x14ac:dyDescent="0.25">
      <c r="A563" s="5">
        <v>44030</v>
      </c>
      <c r="B563">
        <v>17.067499999999999</v>
      </c>
      <c r="C563">
        <v>17.3247</v>
      </c>
      <c r="D563">
        <v>16.812200000000001</v>
      </c>
      <c r="E563">
        <v>17.150700000000001</v>
      </c>
      <c r="F563">
        <v>1687884.76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0.32097560975609862</v>
      </c>
      <c r="Q563">
        <f t="shared" si="985"/>
        <v>541769.84003902622</v>
      </c>
      <c r="R563">
        <f t="shared" si="986"/>
        <v>264839994.45113093</v>
      </c>
      <c r="S563">
        <f t="shared" si="987"/>
        <v>2648.3999445113091</v>
      </c>
      <c r="T563">
        <f t="shared" si="988"/>
        <v>2.6483999445113091</v>
      </c>
      <c r="CZ563" t="s">
        <v>7</v>
      </c>
    </row>
    <row r="564" spans="1:104" x14ac:dyDescent="0.25">
      <c r="A564" s="5">
        <v>44029</v>
      </c>
      <c r="B564">
        <v>17.1647</v>
      </c>
      <c r="C564">
        <v>17.482500000000002</v>
      </c>
      <c r="D564">
        <v>16.935400000000001</v>
      </c>
      <c r="E564">
        <v>17.067599999999999</v>
      </c>
      <c r="F564">
        <v>1854764.1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-0.51672454761470543</v>
      </c>
      <c r="Q564">
        <f t="shared" si="985"/>
        <v>-958402.14050449629</v>
      </c>
      <c r="R564">
        <f t="shared" si="986"/>
        <v>264298224.61109191</v>
      </c>
      <c r="S564">
        <f t="shared" si="987"/>
        <v>2642.9822461109193</v>
      </c>
      <c r="T564">
        <f t="shared" si="988"/>
        <v>2.6429822461109191</v>
      </c>
    </row>
    <row r="565" spans="1:104" x14ac:dyDescent="0.25">
      <c r="A565" s="5">
        <v>44028</v>
      </c>
      <c r="B565">
        <v>17.635100000000001</v>
      </c>
      <c r="C565">
        <v>17.761800000000001</v>
      </c>
      <c r="D565">
        <v>16.5473</v>
      </c>
      <c r="E565">
        <v>17.1647</v>
      </c>
      <c r="F565">
        <v>2053439.44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1.6714697406339116E-2</v>
      </c>
      <c r="Q565">
        <f t="shared" si="985"/>
        <v>34322.618881842449</v>
      </c>
      <c r="R565">
        <f t="shared" si="986"/>
        <v>265256626.75159642</v>
      </c>
      <c r="S565">
        <f t="shared" si="987"/>
        <v>2652.5662675159642</v>
      </c>
      <c r="T565">
        <f t="shared" si="988"/>
        <v>2.6525662675159642</v>
      </c>
    </row>
    <row r="566" spans="1:104" x14ac:dyDescent="0.25">
      <c r="A566" s="5">
        <v>44027</v>
      </c>
      <c r="B566">
        <v>18.079000000000001</v>
      </c>
      <c r="C566">
        <v>18.1538</v>
      </c>
      <c r="D566">
        <v>17.4194</v>
      </c>
      <c r="E566">
        <v>17.635100000000001</v>
      </c>
      <c r="F566">
        <v>1959582.73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-0.41258169934640104</v>
      </c>
      <c r="Q566">
        <f t="shared" si="985"/>
        <v>-808487.97275325982</v>
      </c>
      <c r="R566">
        <f t="shared" si="986"/>
        <v>265222304.13271457</v>
      </c>
      <c r="S566">
        <f t="shared" si="987"/>
        <v>2652.2230413271459</v>
      </c>
      <c r="T566">
        <f t="shared" si="988"/>
        <v>2.6522230413271459</v>
      </c>
    </row>
    <row r="567" spans="1:104" x14ac:dyDescent="0.25">
      <c r="A567" s="5">
        <v>44026</v>
      </c>
      <c r="B567">
        <v>18.400700000000001</v>
      </c>
      <c r="C567">
        <v>18.77</v>
      </c>
      <c r="D567">
        <v>17.826599999999999</v>
      </c>
      <c r="E567">
        <v>18.079000000000001</v>
      </c>
      <c r="F567">
        <v>2385481.9700000002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-0.4649141403434357</v>
      </c>
      <c r="Q567">
        <f t="shared" si="985"/>
        <v>-1109044.2993873155</v>
      </c>
      <c r="R567">
        <f t="shared" si="986"/>
        <v>266030792.10546783</v>
      </c>
      <c r="S567">
        <f t="shared" si="987"/>
        <v>2660.3079210546784</v>
      </c>
      <c r="T567">
        <f t="shared" si="988"/>
        <v>2.6603079210546783</v>
      </c>
    </row>
    <row r="568" spans="1:104" x14ac:dyDescent="0.25">
      <c r="A568" s="5">
        <v>44025</v>
      </c>
      <c r="B568">
        <v>18.303599999999999</v>
      </c>
      <c r="C568">
        <v>18.9999</v>
      </c>
      <c r="D568">
        <v>17.728200000000001</v>
      </c>
      <c r="E568">
        <v>18.404599999999999</v>
      </c>
      <c r="F568">
        <v>3228967.7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6.3772902414088062E-2</v>
      </c>
      <c r="Q568">
        <f t="shared" si="985"/>
        <v>205920.64203034239</v>
      </c>
      <c r="R568">
        <f t="shared" si="986"/>
        <v>267139836.40485513</v>
      </c>
      <c r="S568">
        <f t="shared" si="987"/>
        <v>2671.3983640485512</v>
      </c>
      <c r="T568">
        <f t="shared" si="988"/>
        <v>2.6713983640485512</v>
      </c>
    </row>
    <row r="569" spans="1:104" x14ac:dyDescent="0.25">
      <c r="A569" s="5">
        <v>44024</v>
      </c>
      <c r="B569">
        <v>17.6205</v>
      </c>
      <c r="C569">
        <v>18.59</v>
      </c>
      <c r="D569">
        <v>17.5928</v>
      </c>
      <c r="E569">
        <v>18.299399999999999</v>
      </c>
      <c r="F569">
        <v>2995977.41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0.41716807059767053</v>
      </c>
      <c r="Q569">
        <f t="shared" si="985"/>
        <v>1249826.1156839062</v>
      </c>
      <c r="R569">
        <f t="shared" si="986"/>
        <v>266933915.7628248</v>
      </c>
      <c r="S569">
        <f t="shared" si="987"/>
        <v>2669.3391576282479</v>
      </c>
      <c r="T569">
        <f t="shared" si="988"/>
        <v>2.6693391576282477</v>
      </c>
    </row>
    <row r="570" spans="1:104" x14ac:dyDescent="0.25">
      <c r="A570" s="5">
        <v>44023</v>
      </c>
      <c r="B570">
        <v>17.313300000000002</v>
      </c>
      <c r="C570">
        <v>17.688800000000001</v>
      </c>
      <c r="D570">
        <v>17.018000000000001</v>
      </c>
      <c r="E570">
        <v>17.6205</v>
      </c>
      <c r="F570">
        <v>2318005.65</v>
      </c>
      <c r="G570">
        <v>0</v>
      </c>
      <c r="L570" t="s">
        <v>8</v>
      </c>
      <c r="M570" t="s">
        <v>7</v>
      </c>
      <c r="N570" t="s">
        <v>8</v>
      </c>
      <c r="P570">
        <f t="shared" si="984"/>
        <v>0.79636255217650354</v>
      </c>
      <c r="Q570">
        <f t="shared" si="985"/>
        <v>1845972.8953935548</v>
      </c>
      <c r="R570">
        <f t="shared" si="986"/>
        <v>265684089.64714089</v>
      </c>
      <c r="S570">
        <f t="shared" si="987"/>
        <v>2656.840896471409</v>
      </c>
      <c r="T570">
        <f t="shared" si="988"/>
        <v>2.656840896471409</v>
      </c>
    </row>
    <row r="571" spans="1:104" x14ac:dyDescent="0.25">
      <c r="A571" s="5">
        <v>44022</v>
      </c>
      <c r="B571">
        <v>16.8278</v>
      </c>
      <c r="C571">
        <v>17.331</v>
      </c>
      <c r="D571">
        <v>16.4438</v>
      </c>
      <c r="E571">
        <v>17.3123</v>
      </c>
      <c r="F571">
        <v>2099193.5699999998</v>
      </c>
      <c r="G571">
        <v>0</v>
      </c>
      <c r="L571" t="s">
        <v>8</v>
      </c>
      <c r="M571" t="s">
        <v>7</v>
      </c>
      <c r="N571" t="s">
        <v>8</v>
      </c>
      <c r="P571">
        <f t="shared" si="984"/>
        <v>0.95784490532011035</v>
      </c>
      <c r="Q571">
        <f t="shared" si="985"/>
        <v>2010701.8663052344</v>
      </c>
      <c r="R571">
        <f t="shared" si="986"/>
        <v>263838116.75174734</v>
      </c>
      <c r="S571">
        <f t="shared" si="987"/>
        <v>2638.3811675174734</v>
      </c>
      <c r="T571">
        <f t="shared" si="988"/>
        <v>2.6383811675174735</v>
      </c>
    </row>
    <row r="572" spans="1:104" x14ac:dyDescent="0.25">
      <c r="A572" s="5">
        <v>44021</v>
      </c>
      <c r="B572">
        <v>17.2819</v>
      </c>
      <c r="C572">
        <v>17.5</v>
      </c>
      <c r="D572">
        <v>16.408799999999999</v>
      </c>
      <c r="E572">
        <v>16.827400000000001</v>
      </c>
      <c r="F572">
        <v>1869273.67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-0.2327712609970653</v>
      </c>
      <c r="Q572">
        <f t="shared" si="985"/>
        <v>-435113.18931451207</v>
      </c>
      <c r="R572">
        <f t="shared" si="986"/>
        <v>261827414.88544211</v>
      </c>
      <c r="S572">
        <f t="shared" si="987"/>
        <v>2618.2741488544211</v>
      </c>
      <c r="T572">
        <f t="shared" si="988"/>
        <v>2.6182741488544212</v>
      </c>
    </row>
    <row r="573" spans="1:104" x14ac:dyDescent="0.25">
      <c r="A573" s="5">
        <v>44020</v>
      </c>
      <c r="B573">
        <v>16.799499999999998</v>
      </c>
      <c r="C573">
        <v>17.454999999999998</v>
      </c>
      <c r="D573">
        <v>16.568300000000001</v>
      </c>
      <c r="E573">
        <v>17.2819</v>
      </c>
      <c r="F573">
        <v>2271202.7200000002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0.60956355024247544</v>
      </c>
      <c r="Q573">
        <f t="shared" si="985"/>
        <v>1384442.393323567</v>
      </c>
      <c r="R573">
        <f t="shared" si="986"/>
        <v>262262528.07475662</v>
      </c>
      <c r="S573">
        <f t="shared" si="987"/>
        <v>2622.6252807475662</v>
      </c>
      <c r="T573">
        <f t="shared" si="988"/>
        <v>2.6226252807475663</v>
      </c>
    </row>
    <row r="574" spans="1:104" x14ac:dyDescent="0.25">
      <c r="A574" s="5">
        <v>44019</v>
      </c>
      <c r="B574">
        <v>16.312000000000001</v>
      </c>
      <c r="C574">
        <v>16.875699999999998</v>
      </c>
      <c r="D574">
        <v>16.030100000000001</v>
      </c>
      <c r="E574">
        <v>16.8048</v>
      </c>
      <c r="F574">
        <v>1880630.34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0.83230842005676819</v>
      </c>
      <c r="Q574">
        <f t="shared" si="985"/>
        <v>1565264.466996223</v>
      </c>
      <c r="R574">
        <f t="shared" si="986"/>
        <v>260878085.68143305</v>
      </c>
      <c r="S574">
        <f t="shared" si="987"/>
        <v>2608.7808568143305</v>
      </c>
      <c r="T574">
        <f t="shared" si="988"/>
        <v>2.6087808568143305</v>
      </c>
    </row>
    <row r="575" spans="1:104" x14ac:dyDescent="0.25">
      <c r="A575" s="5">
        <v>44018</v>
      </c>
      <c r="B575">
        <v>15.486499999999999</v>
      </c>
      <c r="C575">
        <v>16.349599999999999</v>
      </c>
      <c r="D575">
        <v>15.440099999999999</v>
      </c>
      <c r="E575">
        <v>16.311</v>
      </c>
      <c r="F575">
        <v>1606449.31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0.91511819681143736</v>
      </c>
      <c r="Q575">
        <f t="shared" si="985"/>
        <v>1470090.9958361778</v>
      </c>
      <c r="R575">
        <f t="shared" si="986"/>
        <v>259312821.21443683</v>
      </c>
      <c r="S575">
        <f t="shared" si="987"/>
        <v>2593.1282121443683</v>
      </c>
      <c r="T575">
        <f t="shared" si="988"/>
        <v>2.5931282121443684</v>
      </c>
    </row>
    <row r="576" spans="1:104" x14ac:dyDescent="0.25">
      <c r="A576" s="5">
        <v>44017</v>
      </c>
      <c r="B576">
        <v>15.5579</v>
      </c>
      <c r="C576">
        <v>15.6135</v>
      </c>
      <c r="D576">
        <v>15.1</v>
      </c>
      <c r="E576">
        <v>15.4885</v>
      </c>
      <c r="F576">
        <v>1120649.9099999999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0.51314508276533644</v>
      </c>
      <c r="Q576">
        <f t="shared" si="985"/>
        <v>575055.99081791681</v>
      </c>
      <c r="R576">
        <f t="shared" si="986"/>
        <v>257842730.21860066</v>
      </c>
      <c r="S576">
        <f t="shared" si="987"/>
        <v>2578.4273021860067</v>
      </c>
      <c r="T576">
        <f t="shared" si="988"/>
        <v>2.5784273021860069</v>
      </c>
    </row>
    <row r="577" spans="1:20" x14ac:dyDescent="0.25">
      <c r="A577" s="5">
        <v>44016</v>
      </c>
      <c r="B577">
        <v>15.285600000000001</v>
      </c>
      <c r="C577">
        <v>15.639900000000001</v>
      </c>
      <c r="D577">
        <v>15.2239</v>
      </c>
      <c r="E577">
        <v>15.5548</v>
      </c>
      <c r="F577">
        <v>1319545.75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0.59086538461538196</v>
      </c>
      <c r="Q577">
        <f t="shared" si="985"/>
        <v>779673.90709134261</v>
      </c>
      <c r="R577">
        <f t="shared" si="986"/>
        <v>257267674.22778276</v>
      </c>
      <c r="S577">
        <f t="shared" si="987"/>
        <v>2572.6767422778275</v>
      </c>
      <c r="T577">
        <f t="shared" si="988"/>
        <v>2.5726767422778276</v>
      </c>
    </row>
    <row r="578" spans="1:20" x14ac:dyDescent="0.25">
      <c r="A578" s="5">
        <v>44015</v>
      </c>
      <c r="B578">
        <v>15.364000000000001</v>
      </c>
      <c r="C578">
        <v>15.488</v>
      </c>
      <c r="D578">
        <v>15.2484</v>
      </c>
      <c r="E578">
        <v>15.286300000000001</v>
      </c>
      <c r="F578">
        <v>1211128.83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-0.6836393989983256</v>
      </c>
      <c r="Q578">
        <f t="shared" si="985"/>
        <v>-827975.38545074535</v>
      </c>
      <c r="R578">
        <f t="shared" si="986"/>
        <v>256488000.32069141</v>
      </c>
      <c r="S578">
        <f t="shared" si="987"/>
        <v>2564.8800032069139</v>
      </c>
      <c r="T578">
        <f t="shared" si="988"/>
        <v>2.5648800032069139</v>
      </c>
    </row>
    <row r="579" spans="1:20" x14ac:dyDescent="0.25">
      <c r="A579" s="5">
        <v>44014</v>
      </c>
      <c r="B579">
        <v>15.8123</v>
      </c>
      <c r="C579">
        <v>15.9796</v>
      </c>
      <c r="D579">
        <v>15.074299999999999</v>
      </c>
      <c r="E579">
        <v>15.3634</v>
      </c>
      <c r="F579">
        <v>1399345.39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-0.36131669059979871</v>
      </c>
      <c r="Q579">
        <f t="shared" si="985"/>
        <v>-505606.8453208846</v>
      </c>
      <c r="R579">
        <f t="shared" si="986"/>
        <v>257315975.70614216</v>
      </c>
      <c r="S579">
        <f t="shared" si="987"/>
        <v>2573.1597570614217</v>
      </c>
      <c r="T579">
        <f t="shared" si="988"/>
        <v>2.5731597570614215</v>
      </c>
    </row>
    <row r="580" spans="1:20" x14ac:dyDescent="0.25">
      <c r="A580" s="5">
        <v>44013</v>
      </c>
      <c r="B580">
        <v>15.395899999999999</v>
      </c>
      <c r="C580">
        <v>15.8888</v>
      </c>
      <c r="D580">
        <v>15.3363</v>
      </c>
      <c r="E580">
        <v>15.814399999999999</v>
      </c>
      <c r="F580">
        <v>1612208.19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0.73067873303167186</v>
      </c>
      <c r="Q580">
        <f t="shared" si="985"/>
        <v>1178006.2376524848</v>
      </c>
      <c r="R580">
        <f t="shared" si="986"/>
        <v>257821582.55146304</v>
      </c>
      <c r="S580">
        <f t="shared" si="987"/>
        <v>2578.2158255146305</v>
      </c>
      <c r="T580">
        <f t="shared" si="988"/>
        <v>2.5782158255146306</v>
      </c>
    </row>
    <row r="581" spans="1:20" x14ac:dyDescent="0.25">
      <c r="A581" s="5">
        <v>44012</v>
      </c>
      <c r="B581">
        <v>15.4674</v>
      </c>
      <c r="C581">
        <v>15.547599999999999</v>
      </c>
      <c r="D581">
        <v>15.251899999999999</v>
      </c>
      <c r="E581">
        <v>15.383800000000001</v>
      </c>
      <c r="F581">
        <v>1315772.42</v>
      </c>
      <c r="G581">
        <v>0</v>
      </c>
      <c r="L581" t="s">
        <v>7</v>
      </c>
      <c r="M581" t="s">
        <v>7</v>
      </c>
      <c r="N581" t="s">
        <v>8</v>
      </c>
      <c r="P581">
        <f t="shared" si="984"/>
        <v>-0.10787960771050625</v>
      </c>
      <c r="Q581">
        <f t="shared" si="985"/>
        <v>-141945.01250590346</v>
      </c>
      <c r="R581">
        <f t="shared" si="986"/>
        <v>256643576.31381056</v>
      </c>
      <c r="S581">
        <f t="shared" si="987"/>
        <v>2566.4357631381054</v>
      </c>
      <c r="T581">
        <f t="shared" si="988"/>
        <v>2.5664357631381054</v>
      </c>
    </row>
    <row r="582" spans="1:20" x14ac:dyDescent="0.25">
      <c r="A582" s="5">
        <v>44011</v>
      </c>
      <c r="B582">
        <v>15.3714</v>
      </c>
      <c r="C582">
        <v>15.5901</v>
      </c>
      <c r="D582">
        <v>15.204000000000001</v>
      </c>
      <c r="E582">
        <v>15.4656</v>
      </c>
      <c r="F582">
        <v>1511856.38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0.35508935508935657</v>
      </c>
      <c r="Q582">
        <f t="shared" ref="Q582:Q645" si="990">F582*P582</f>
        <v>536844.10696192912</v>
      </c>
      <c r="R582">
        <f t="shared" ref="R582:R645" si="991">R583+Q582</f>
        <v>256785521.32631645</v>
      </c>
      <c r="S582">
        <f t="shared" ref="S582:S645" si="992">R582/100000</f>
        <v>2567.8552132631644</v>
      </c>
      <c r="T582">
        <f t="shared" ref="T582:T645" si="993">S582/1000</f>
        <v>2.5678552132631642</v>
      </c>
    </row>
    <row r="583" spans="1:20" x14ac:dyDescent="0.25">
      <c r="A583" s="5">
        <v>44010</v>
      </c>
      <c r="B583">
        <v>15.122999999999999</v>
      </c>
      <c r="C583">
        <v>15.494400000000001</v>
      </c>
      <c r="D583">
        <v>14.924899999999999</v>
      </c>
      <c r="E583">
        <v>15.3782</v>
      </c>
      <c r="F583">
        <v>1402858.96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0.59192273924494931</v>
      </c>
      <c r="Q583">
        <f t="shared" si="990"/>
        <v>830384.1183775207</v>
      </c>
      <c r="R583">
        <f t="shared" si="991"/>
        <v>256248677.21935451</v>
      </c>
      <c r="S583">
        <f t="shared" si="992"/>
        <v>2562.4867721935452</v>
      </c>
      <c r="T583">
        <f t="shared" si="993"/>
        <v>2.5624867721935454</v>
      </c>
    </row>
    <row r="584" spans="1:20" x14ac:dyDescent="0.25">
      <c r="A584" s="5">
        <v>44009</v>
      </c>
      <c r="B584">
        <v>15.769600000000001</v>
      </c>
      <c r="C584">
        <v>15.8714</v>
      </c>
      <c r="D584">
        <v>14.8</v>
      </c>
      <c r="E584">
        <v>15.1242</v>
      </c>
      <c r="F584">
        <v>1309335.6599999999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-0.39481052828075464</v>
      </c>
      <c r="Q584">
        <f t="shared" si="990"/>
        <v>-516939.50362143049</v>
      </c>
      <c r="R584">
        <f t="shared" si="991"/>
        <v>255418293.100977</v>
      </c>
      <c r="S584">
        <f t="shared" si="992"/>
        <v>2554.1829310097701</v>
      </c>
      <c r="T584">
        <f t="shared" si="993"/>
        <v>2.5541829310097701</v>
      </c>
    </row>
    <row r="585" spans="1:20" x14ac:dyDescent="0.25">
      <c r="A585" s="5">
        <v>44008</v>
      </c>
      <c r="B585">
        <v>15.9056</v>
      </c>
      <c r="C585">
        <v>15.999599999999999</v>
      </c>
      <c r="D585">
        <v>15.5715</v>
      </c>
      <c r="E585">
        <v>15.769399999999999</v>
      </c>
      <c r="F585">
        <v>1041399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-7.544966129409296E-2</v>
      </c>
      <c r="Q585">
        <f t="shared" si="990"/>
        <v>-78573.201822007119</v>
      </c>
      <c r="R585">
        <f t="shared" si="991"/>
        <v>255935232.60459843</v>
      </c>
      <c r="S585">
        <f t="shared" si="992"/>
        <v>2559.3523260459842</v>
      </c>
      <c r="T585">
        <f t="shared" si="993"/>
        <v>2.5593523260459841</v>
      </c>
    </row>
    <row r="586" spans="1:20" x14ac:dyDescent="0.25">
      <c r="A586" s="5">
        <v>44007</v>
      </c>
      <c r="B586">
        <v>16.008400000000002</v>
      </c>
      <c r="C586">
        <v>16.081600000000002</v>
      </c>
      <c r="D586">
        <v>15.5</v>
      </c>
      <c r="E586">
        <v>15.906000000000001</v>
      </c>
      <c r="F586">
        <v>1201354.75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0.39614855570838864</v>
      </c>
      <c r="Q586">
        <f t="shared" si="990"/>
        <v>475914.9491059123</v>
      </c>
      <c r="R586">
        <f t="shared" si="991"/>
        <v>256013805.80642045</v>
      </c>
      <c r="S586">
        <f t="shared" si="992"/>
        <v>2560.1380580642044</v>
      </c>
      <c r="T586">
        <f t="shared" si="993"/>
        <v>2.5601380580642044</v>
      </c>
    </row>
    <row r="587" spans="1:20" x14ac:dyDescent="0.25">
      <c r="A587" s="5">
        <v>44006</v>
      </c>
      <c r="B587">
        <v>16.389800000000001</v>
      </c>
      <c r="C587">
        <v>16.648099999999999</v>
      </c>
      <c r="D587">
        <v>15.95</v>
      </c>
      <c r="E587">
        <v>15.9968</v>
      </c>
      <c r="F587">
        <v>1529800.3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-0.86592178770949424</v>
      </c>
      <c r="Q587">
        <f t="shared" si="990"/>
        <v>-1324687.4106145205</v>
      </c>
      <c r="R587">
        <f t="shared" si="991"/>
        <v>255537890.85731453</v>
      </c>
      <c r="S587">
        <f t="shared" si="992"/>
        <v>2555.3789085731451</v>
      </c>
      <c r="T587">
        <f t="shared" si="993"/>
        <v>2.5553789085731449</v>
      </c>
    </row>
    <row r="588" spans="1:20" x14ac:dyDescent="0.25">
      <c r="A588" s="5">
        <v>44005</v>
      </c>
      <c r="B588">
        <v>16.505099999999999</v>
      </c>
      <c r="C588">
        <v>16.5472</v>
      </c>
      <c r="D588">
        <v>16.260200000000001</v>
      </c>
      <c r="E588">
        <v>16.389800000000001</v>
      </c>
      <c r="F588">
        <v>1453306.73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-9.6864111498255231E-2</v>
      </c>
      <c r="Q588">
        <f t="shared" si="990"/>
        <v>-140773.26513588472</v>
      </c>
      <c r="R588">
        <f t="shared" si="991"/>
        <v>256862578.26792905</v>
      </c>
      <c r="S588">
        <f t="shared" si="992"/>
        <v>2568.6257826792903</v>
      </c>
      <c r="T588">
        <f t="shared" si="993"/>
        <v>2.5686257826792902</v>
      </c>
    </row>
    <row r="589" spans="1:20" x14ac:dyDescent="0.25">
      <c r="A589" s="5">
        <v>44004</v>
      </c>
      <c r="B589">
        <v>15.979200000000001</v>
      </c>
      <c r="C589">
        <v>16.55</v>
      </c>
      <c r="D589">
        <v>15.9499</v>
      </c>
      <c r="E589">
        <v>16.505099999999999</v>
      </c>
      <c r="F589">
        <v>1706812.42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0.85035827362105698</v>
      </c>
      <c r="Q589">
        <f t="shared" si="990"/>
        <v>1451402.0628661783</v>
      </c>
      <c r="R589">
        <f t="shared" si="991"/>
        <v>257003351.53306493</v>
      </c>
      <c r="S589">
        <f t="shared" si="992"/>
        <v>2570.0335153306492</v>
      </c>
      <c r="T589">
        <f t="shared" si="993"/>
        <v>2.5700335153306493</v>
      </c>
    </row>
    <row r="590" spans="1:20" x14ac:dyDescent="0.25">
      <c r="A590" s="5">
        <v>44003</v>
      </c>
      <c r="B590">
        <v>16.059000000000001</v>
      </c>
      <c r="C590">
        <v>16.335799999999999</v>
      </c>
      <c r="D590">
        <v>15.920999999999999</v>
      </c>
      <c r="E590">
        <v>15.977499999999999</v>
      </c>
      <c r="F590">
        <v>1317075.8400000001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-0.72757955641272987</v>
      </c>
      <c r="Q590">
        <f t="shared" si="990"/>
        <v>-958277.4554291236</v>
      </c>
      <c r="R590">
        <f t="shared" si="991"/>
        <v>255551949.47019875</v>
      </c>
      <c r="S590">
        <f t="shared" si="992"/>
        <v>2555.5194947019877</v>
      </c>
      <c r="T590">
        <f t="shared" si="993"/>
        <v>2.5555194947019877</v>
      </c>
    </row>
    <row r="591" spans="1:20" x14ac:dyDescent="0.25">
      <c r="A591" s="5">
        <v>44002</v>
      </c>
      <c r="B591">
        <v>15.9611</v>
      </c>
      <c r="C591">
        <v>16.0898</v>
      </c>
      <c r="D591">
        <v>15.7</v>
      </c>
      <c r="E591">
        <v>16.059000000000001</v>
      </c>
      <c r="F591">
        <v>1427210.22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0.84197024114931152</v>
      </c>
      <c r="Q591">
        <f t="shared" si="990"/>
        <v>1201668.533104162</v>
      </c>
      <c r="R591">
        <f t="shared" si="991"/>
        <v>256510226.92562789</v>
      </c>
      <c r="S591">
        <f t="shared" si="992"/>
        <v>2565.1022692562788</v>
      </c>
      <c r="T591">
        <f t="shared" si="993"/>
        <v>2.5651022692562786</v>
      </c>
    </row>
    <row r="592" spans="1:20" x14ac:dyDescent="0.25">
      <c r="A592" s="5">
        <v>44001</v>
      </c>
      <c r="B592">
        <v>16.166499999999999</v>
      </c>
      <c r="C592">
        <v>16.310600000000001</v>
      </c>
      <c r="D592">
        <v>15.896599999999999</v>
      </c>
      <c r="E592">
        <v>15.9512</v>
      </c>
      <c r="F592">
        <v>1324135.6000000001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-0.7362318840579688</v>
      </c>
      <c r="Q592">
        <f t="shared" si="990"/>
        <v>-974870.84753622906</v>
      </c>
      <c r="R592">
        <f t="shared" si="991"/>
        <v>255308558.39252374</v>
      </c>
      <c r="S592">
        <f t="shared" si="992"/>
        <v>2553.0855839252372</v>
      </c>
      <c r="T592">
        <f t="shared" si="993"/>
        <v>2.5530855839252373</v>
      </c>
    </row>
    <row r="593" spans="1:20" x14ac:dyDescent="0.25">
      <c r="A593" s="5">
        <v>44000</v>
      </c>
      <c r="B593">
        <v>16.398299999999999</v>
      </c>
      <c r="C593">
        <v>16.542300000000001</v>
      </c>
      <c r="D593">
        <v>15.878299999999999</v>
      </c>
      <c r="E593">
        <v>16.160799999999998</v>
      </c>
      <c r="F593">
        <v>1382820.87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-0.149096385542174</v>
      </c>
      <c r="Q593">
        <f t="shared" si="990"/>
        <v>-206173.59356928448</v>
      </c>
      <c r="R593">
        <f t="shared" si="991"/>
        <v>256283429.24005997</v>
      </c>
      <c r="S593">
        <f t="shared" si="992"/>
        <v>2562.8342924005997</v>
      </c>
      <c r="T593">
        <f t="shared" si="993"/>
        <v>2.5628342924005998</v>
      </c>
    </row>
    <row r="594" spans="1:20" x14ac:dyDescent="0.25">
      <c r="A594" s="5">
        <v>43999</v>
      </c>
      <c r="B594">
        <v>16.4331</v>
      </c>
      <c r="C594">
        <v>16.632000000000001</v>
      </c>
      <c r="D594">
        <v>15.9709</v>
      </c>
      <c r="E594">
        <v>16.398299999999999</v>
      </c>
      <c r="F594">
        <v>1502697.31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0.29299652094992568</v>
      </c>
      <c r="Q594">
        <f t="shared" si="990"/>
        <v>440285.08387081197</v>
      </c>
      <c r="R594">
        <f t="shared" si="991"/>
        <v>256489602.83362925</v>
      </c>
      <c r="S594">
        <f t="shared" si="992"/>
        <v>2564.8960283362926</v>
      </c>
      <c r="T594">
        <f t="shared" si="993"/>
        <v>2.5648960283362925</v>
      </c>
    </row>
    <row r="595" spans="1:20" x14ac:dyDescent="0.25">
      <c r="A595" s="5">
        <v>43998</v>
      </c>
      <c r="B595">
        <v>16.375800000000002</v>
      </c>
      <c r="C595">
        <v>16.648099999999999</v>
      </c>
      <c r="D595">
        <v>16.156199999999998</v>
      </c>
      <c r="E595">
        <v>16.4329</v>
      </c>
      <c r="F595">
        <v>1614905.64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0.12502541166904288</v>
      </c>
      <c r="Q595">
        <f t="shared" si="990"/>
        <v>201904.24244765914</v>
      </c>
      <c r="R595">
        <f t="shared" si="991"/>
        <v>256049317.74975845</v>
      </c>
      <c r="S595">
        <f t="shared" si="992"/>
        <v>2560.4931774975844</v>
      </c>
      <c r="T595">
        <f t="shared" si="993"/>
        <v>2.5604931774975843</v>
      </c>
    </row>
    <row r="596" spans="1:20" x14ac:dyDescent="0.25">
      <c r="A596" s="5">
        <v>43997</v>
      </c>
      <c r="B596">
        <v>16.572800000000001</v>
      </c>
      <c r="C596">
        <v>16.598199999999999</v>
      </c>
      <c r="D596">
        <v>15.4</v>
      </c>
      <c r="E596">
        <v>16.376999999999999</v>
      </c>
      <c r="F596">
        <v>1521685.21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0.63077950258721427</v>
      </c>
      <c r="Q596">
        <f t="shared" si="990"/>
        <v>959847.83985812066</v>
      </c>
      <c r="R596">
        <f t="shared" si="991"/>
        <v>255847413.50731081</v>
      </c>
      <c r="S596">
        <f t="shared" si="992"/>
        <v>2558.4741350731083</v>
      </c>
      <c r="T596">
        <f t="shared" si="993"/>
        <v>2.5584741350731082</v>
      </c>
    </row>
    <row r="597" spans="1:20" x14ac:dyDescent="0.25">
      <c r="A597" s="5">
        <v>43996</v>
      </c>
      <c r="B597">
        <v>16.8111</v>
      </c>
      <c r="C597">
        <v>16.8398</v>
      </c>
      <c r="D597">
        <v>16.4023</v>
      </c>
      <c r="E597">
        <v>16.572900000000001</v>
      </c>
      <c r="F597">
        <v>1697344.55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-0.22011428571428432</v>
      </c>
      <c r="Q597">
        <f t="shared" si="990"/>
        <v>-373609.78323428333</v>
      </c>
      <c r="R597">
        <f t="shared" si="991"/>
        <v>254887565.66745269</v>
      </c>
      <c r="S597">
        <f t="shared" si="992"/>
        <v>2548.8756566745269</v>
      </c>
      <c r="T597">
        <f t="shared" si="993"/>
        <v>2.548875656674527</v>
      </c>
    </row>
    <row r="598" spans="1:20" x14ac:dyDescent="0.25">
      <c r="A598" s="5">
        <v>43995</v>
      </c>
      <c r="B598">
        <v>16.641999999999999</v>
      </c>
      <c r="C598">
        <v>16.817900000000002</v>
      </c>
      <c r="D598">
        <v>16.489999999999998</v>
      </c>
      <c r="E598">
        <v>16.810099999999998</v>
      </c>
      <c r="F598">
        <v>2023311.83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0.95242451967061259</v>
      </c>
      <c r="Q598">
        <f t="shared" si="990"/>
        <v>1927051.7978316182</v>
      </c>
      <c r="R598">
        <f t="shared" si="991"/>
        <v>255261175.45068699</v>
      </c>
      <c r="S598">
        <f t="shared" si="992"/>
        <v>2552.6117545068701</v>
      </c>
      <c r="T598">
        <f t="shared" si="993"/>
        <v>2.5526117545068701</v>
      </c>
    </row>
    <row r="599" spans="1:20" x14ac:dyDescent="0.25">
      <c r="A599" s="5">
        <v>43994</v>
      </c>
      <c r="B599">
        <v>16.2376</v>
      </c>
      <c r="C599">
        <v>16.799900000000001</v>
      </c>
      <c r="D599">
        <v>16.0869</v>
      </c>
      <c r="E599">
        <v>16.637699999999999</v>
      </c>
      <c r="F599">
        <v>1932061.47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0.54502103786815737</v>
      </c>
      <c r="Q599">
        <f t="shared" si="990"/>
        <v>1053014.1476044778</v>
      </c>
      <c r="R599">
        <f t="shared" si="991"/>
        <v>253334123.65285537</v>
      </c>
      <c r="S599">
        <f t="shared" si="992"/>
        <v>2533.3412365285535</v>
      </c>
      <c r="T599">
        <f t="shared" si="993"/>
        <v>2.5333412365285537</v>
      </c>
    </row>
    <row r="600" spans="1:20" x14ac:dyDescent="0.25">
      <c r="A600" s="5">
        <v>43993</v>
      </c>
      <c r="B600">
        <v>17.4084</v>
      </c>
      <c r="C600">
        <v>17.519100000000002</v>
      </c>
      <c r="D600">
        <v>15.93</v>
      </c>
      <c r="E600">
        <v>16.229800000000001</v>
      </c>
      <c r="F600">
        <v>1801896.12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-0.62267950412182893</v>
      </c>
      <c r="Q600">
        <f t="shared" si="990"/>
        <v>-1122003.7824806476</v>
      </c>
      <c r="R600">
        <f t="shared" si="991"/>
        <v>252281109.5052509</v>
      </c>
      <c r="S600">
        <f t="shared" si="992"/>
        <v>2522.8110950525088</v>
      </c>
      <c r="T600">
        <f t="shared" si="993"/>
        <v>2.5228110950525089</v>
      </c>
    </row>
    <row r="601" spans="1:20" x14ac:dyDescent="0.25">
      <c r="A601" s="5">
        <v>43992</v>
      </c>
      <c r="B601">
        <v>17.3734</v>
      </c>
      <c r="C601">
        <v>17.583300000000001</v>
      </c>
      <c r="D601">
        <v>17.13</v>
      </c>
      <c r="E601">
        <v>17.405999999999999</v>
      </c>
      <c r="F601">
        <v>1807563.86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0.2177365982792783</v>
      </c>
      <c r="Q601">
        <f t="shared" si="990"/>
        <v>393572.80604896165</v>
      </c>
      <c r="R601">
        <f t="shared" si="991"/>
        <v>253403113.28773156</v>
      </c>
      <c r="S601">
        <f t="shared" si="992"/>
        <v>2534.0311328773155</v>
      </c>
      <c r="T601">
        <f t="shared" si="993"/>
        <v>2.5340311328773155</v>
      </c>
    </row>
    <row r="602" spans="1:20" x14ac:dyDescent="0.25">
      <c r="A602" s="5">
        <v>43991</v>
      </c>
      <c r="B602">
        <v>17.448899999999998</v>
      </c>
      <c r="C602">
        <v>17.509799999999998</v>
      </c>
      <c r="D602">
        <v>17.037400000000002</v>
      </c>
      <c r="E602">
        <v>17.3733</v>
      </c>
      <c r="F602">
        <v>1631274.58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0.42209991532599922</v>
      </c>
      <c r="Q602">
        <f t="shared" si="990"/>
        <v>688560.86209145503</v>
      </c>
      <c r="R602">
        <f t="shared" si="991"/>
        <v>253009540.4816826</v>
      </c>
      <c r="S602">
        <f t="shared" si="992"/>
        <v>2530.095404816826</v>
      </c>
      <c r="T602">
        <f t="shared" si="993"/>
        <v>2.530095404816826</v>
      </c>
    </row>
    <row r="603" spans="1:20" x14ac:dyDescent="0.25">
      <c r="A603" s="5">
        <v>43990</v>
      </c>
      <c r="B603">
        <v>17.413399999999999</v>
      </c>
      <c r="C603">
        <v>17.545400000000001</v>
      </c>
      <c r="D603">
        <v>17.259399999999999</v>
      </c>
      <c r="E603">
        <v>17.448899999999998</v>
      </c>
      <c r="F603">
        <v>1657535.11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0.32517482517481111</v>
      </c>
      <c r="Q603">
        <f t="shared" si="990"/>
        <v>538988.68961536139</v>
      </c>
      <c r="R603">
        <f t="shared" si="991"/>
        <v>252320979.61959115</v>
      </c>
      <c r="S603">
        <f t="shared" si="992"/>
        <v>2523.2097961959116</v>
      </c>
      <c r="T603">
        <f t="shared" si="993"/>
        <v>2.5232097961959115</v>
      </c>
    </row>
    <row r="604" spans="1:20" x14ac:dyDescent="0.25">
      <c r="A604" s="5">
        <v>43989</v>
      </c>
      <c r="B604">
        <v>17.550999999999998</v>
      </c>
      <c r="C604">
        <v>17.6371</v>
      </c>
      <c r="D604">
        <v>16.852599999999999</v>
      </c>
      <c r="E604">
        <v>17.413499999999999</v>
      </c>
      <c r="F604">
        <v>1816342.74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0.42995538559591906</v>
      </c>
      <c r="Q604">
        <f t="shared" si="990"/>
        <v>780946.34315104818</v>
      </c>
      <c r="R604">
        <f t="shared" si="991"/>
        <v>251781990.92997578</v>
      </c>
      <c r="S604">
        <f t="shared" si="992"/>
        <v>2517.8199092997579</v>
      </c>
      <c r="T604">
        <f t="shared" si="993"/>
        <v>2.517819909299758</v>
      </c>
    </row>
    <row r="605" spans="1:20" x14ac:dyDescent="0.25">
      <c r="A605" s="5">
        <v>43988</v>
      </c>
      <c r="B605">
        <v>17.691500000000001</v>
      </c>
      <c r="C605">
        <v>17.795100000000001</v>
      </c>
      <c r="D605">
        <v>17.489999999999998</v>
      </c>
      <c r="E605">
        <v>17.551100000000002</v>
      </c>
      <c r="F605">
        <v>2105593.92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-0.59947558177644933</v>
      </c>
      <c r="Q605">
        <f t="shared" si="990"/>
        <v>-1262252.1401769544</v>
      </c>
      <c r="R605">
        <f t="shared" si="991"/>
        <v>251001044.58682472</v>
      </c>
      <c r="S605">
        <f t="shared" si="992"/>
        <v>2510.0104458682472</v>
      </c>
      <c r="T605">
        <f t="shared" si="993"/>
        <v>2.5100104458682471</v>
      </c>
    </row>
    <row r="606" spans="1:20" x14ac:dyDescent="0.25">
      <c r="A606" s="5">
        <v>43987</v>
      </c>
      <c r="B606">
        <v>17.518000000000001</v>
      </c>
      <c r="C606">
        <v>17.899899999999999</v>
      </c>
      <c r="D606">
        <v>17.439599999999999</v>
      </c>
      <c r="E606">
        <v>17.691400000000002</v>
      </c>
      <c r="F606">
        <v>2454899.86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9.4069085379112863E-2</v>
      </c>
      <c r="Q606">
        <f t="shared" si="990"/>
        <v>230930.1845275122</v>
      </c>
      <c r="R606">
        <f t="shared" si="991"/>
        <v>252263296.72700167</v>
      </c>
      <c r="S606">
        <f t="shared" si="992"/>
        <v>2522.6329672700167</v>
      </c>
      <c r="T606">
        <f t="shared" si="993"/>
        <v>2.5226329672700167</v>
      </c>
    </row>
    <row r="607" spans="1:20" x14ac:dyDescent="0.25">
      <c r="A607" s="5">
        <v>43986</v>
      </c>
      <c r="B607">
        <v>17.577999999999999</v>
      </c>
      <c r="C607">
        <v>17.652699999999999</v>
      </c>
      <c r="D607">
        <v>17.042400000000001</v>
      </c>
      <c r="E607">
        <v>17.516999999999999</v>
      </c>
      <c r="F607">
        <v>2320525.89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0.55530067180075304</v>
      </c>
      <c r="Q607">
        <f t="shared" si="990"/>
        <v>1288589.5856480405</v>
      </c>
      <c r="R607">
        <f t="shared" si="991"/>
        <v>252032366.54247415</v>
      </c>
      <c r="S607">
        <f t="shared" si="992"/>
        <v>2520.3236654247416</v>
      </c>
      <c r="T607">
        <f t="shared" si="993"/>
        <v>2.5203236654247418</v>
      </c>
    </row>
    <row r="608" spans="1:20" x14ac:dyDescent="0.25">
      <c r="A608" s="5">
        <v>43985</v>
      </c>
      <c r="B608">
        <v>17.2761</v>
      </c>
      <c r="C608">
        <v>17.627500000000001</v>
      </c>
      <c r="D608">
        <v>16.964500000000001</v>
      </c>
      <c r="E608">
        <v>17.5779</v>
      </c>
      <c r="F608">
        <v>2650311.14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0.85037707390648076</v>
      </c>
      <c r="Q608">
        <f t="shared" si="990"/>
        <v>2253763.8321749493</v>
      </c>
      <c r="R608">
        <f t="shared" si="991"/>
        <v>250743776.95682612</v>
      </c>
      <c r="S608">
        <f t="shared" si="992"/>
        <v>2507.437769568261</v>
      </c>
      <c r="T608">
        <f t="shared" si="993"/>
        <v>2.507437769568261</v>
      </c>
    </row>
    <row r="609" spans="1:20" x14ac:dyDescent="0.25">
      <c r="A609" s="5">
        <v>43984</v>
      </c>
      <c r="B609">
        <v>17.946899999999999</v>
      </c>
      <c r="C609">
        <v>18.2</v>
      </c>
      <c r="D609">
        <v>16.68</v>
      </c>
      <c r="E609">
        <v>17.2669</v>
      </c>
      <c r="F609">
        <v>2536257.15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-0.22776315789473667</v>
      </c>
      <c r="Q609">
        <f t="shared" si="990"/>
        <v>-577665.9377171048</v>
      </c>
      <c r="R609">
        <f t="shared" si="991"/>
        <v>248490013.12465116</v>
      </c>
      <c r="S609">
        <f t="shared" si="992"/>
        <v>2484.9001312465116</v>
      </c>
      <c r="T609">
        <f t="shared" si="993"/>
        <v>2.4849001312465115</v>
      </c>
    </row>
    <row r="610" spans="1:20" x14ac:dyDescent="0.25">
      <c r="A610" s="5">
        <v>43983</v>
      </c>
      <c r="B610">
        <v>17.092600000000001</v>
      </c>
      <c r="C610">
        <v>18.122399999999999</v>
      </c>
      <c r="D610">
        <v>16.983599999999999</v>
      </c>
      <c r="E610">
        <v>17.947700000000001</v>
      </c>
      <c r="F610">
        <v>2989853.06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0.69318580962416954</v>
      </c>
      <c r="Q610">
        <f t="shared" si="990"/>
        <v>2072523.7140534008</v>
      </c>
      <c r="R610">
        <f t="shared" si="991"/>
        <v>249067679.06236827</v>
      </c>
      <c r="S610">
        <f t="shared" si="992"/>
        <v>2490.6767906236828</v>
      </c>
      <c r="T610">
        <f t="shared" si="993"/>
        <v>2.4906767906236826</v>
      </c>
    </row>
    <row r="611" spans="1:20" x14ac:dyDescent="0.25">
      <c r="A611" s="5">
        <v>43982</v>
      </c>
      <c r="B611">
        <v>17.727699999999999</v>
      </c>
      <c r="C611">
        <v>18.195399999999999</v>
      </c>
      <c r="D611">
        <v>16.841899999999999</v>
      </c>
      <c r="E611">
        <v>17.0916</v>
      </c>
      <c r="F611">
        <v>2612942.1800000002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-0.63103066124861373</v>
      </c>
      <c r="Q611">
        <f t="shared" si="990"/>
        <v>-1648846.6316497943</v>
      </c>
      <c r="R611">
        <f t="shared" si="991"/>
        <v>246995155.34831488</v>
      </c>
      <c r="S611">
        <f t="shared" si="992"/>
        <v>2469.9515534831489</v>
      </c>
      <c r="T611">
        <f t="shared" si="993"/>
        <v>2.4699515534831491</v>
      </c>
    </row>
    <row r="612" spans="1:20" x14ac:dyDescent="0.25">
      <c r="A612" s="5">
        <v>43981</v>
      </c>
      <c r="B612">
        <v>17.003</v>
      </c>
      <c r="C612">
        <v>17.785699999999999</v>
      </c>
      <c r="D612">
        <v>16.929099999999998</v>
      </c>
      <c r="E612">
        <v>17.727699999999999</v>
      </c>
      <c r="F612">
        <v>2969818.23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0.86458090123745079</v>
      </c>
      <c r="Q612">
        <f t="shared" si="990"/>
        <v>2567648.1218048111</v>
      </c>
      <c r="R612">
        <f t="shared" si="991"/>
        <v>248644001.97996467</v>
      </c>
      <c r="S612">
        <f t="shared" si="992"/>
        <v>2486.440019799647</v>
      </c>
      <c r="T612">
        <f t="shared" si="993"/>
        <v>2.4864400197996468</v>
      </c>
    </row>
    <row r="613" spans="1:20" x14ac:dyDescent="0.25">
      <c r="A613" s="5">
        <v>43980</v>
      </c>
      <c r="B613">
        <v>17.076899999999998</v>
      </c>
      <c r="C613">
        <v>17.198</v>
      </c>
      <c r="D613">
        <v>16.633299999999998</v>
      </c>
      <c r="E613">
        <v>17.0031</v>
      </c>
      <c r="F613">
        <v>2599351.65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0.30972197627058673</v>
      </c>
      <c r="Q613">
        <f t="shared" si="990"/>
        <v>805076.33006021043</v>
      </c>
      <c r="R613">
        <f t="shared" si="991"/>
        <v>246076353.85815987</v>
      </c>
      <c r="S613">
        <f t="shared" si="992"/>
        <v>2460.7635385815988</v>
      </c>
      <c r="T613">
        <f t="shared" si="993"/>
        <v>2.4607635385815989</v>
      </c>
    </row>
    <row r="614" spans="1:20" x14ac:dyDescent="0.25">
      <c r="A614" s="5">
        <v>43979</v>
      </c>
      <c r="B614">
        <v>16.47</v>
      </c>
      <c r="C614">
        <v>17.140499999999999</v>
      </c>
      <c r="D614">
        <v>16.388999999999999</v>
      </c>
      <c r="E614">
        <v>17.077200000000001</v>
      </c>
      <c r="F614">
        <v>2866468.39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0.83153692614770958</v>
      </c>
      <c r="Q614">
        <f t="shared" si="990"/>
        <v>2383574.3139201743</v>
      </c>
      <c r="R614">
        <f t="shared" si="991"/>
        <v>245271277.52809966</v>
      </c>
      <c r="S614">
        <f t="shared" si="992"/>
        <v>2452.7127752809965</v>
      </c>
      <c r="T614">
        <f t="shared" si="993"/>
        <v>2.4527127752809967</v>
      </c>
    </row>
    <row r="615" spans="1:20" x14ac:dyDescent="0.25">
      <c r="A615" s="5">
        <v>43978</v>
      </c>
      <c r="B615">
        <v>16.209700000000002</v>
      </c>
      <c r="C615">
        <v>16.510000000000002</v>
      </c>
      <c r="D615">
        <v>16.1554</v>
      </c>
      <c r="E615">
        <v>16.47</v>
      </c>
      <c r="F615">
        <v>2613812.0499999998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0.77439368302311029</v>
      </c>
      <c r="Q615">
        <f t="shared" si="990"/>
        <v>2024119.540129686</v>
      </c>
      <c r="R615">
        <f t="shared" si="991"/>
        <v>242887703.21417949</v>
      </c>
      <c r="S615">
        <f t="shared" si="992"/>
        <v>2428.8770321417946</v>
      </c>
      <c r="T615">
        <f t="shared" si="993"/>
        <v>2.4288770321417945</v>
      </c>
    </row>
    <row r="616" spans="1:20" x14ac:dyDescent="0.25">
      <c r="A616" s="5">
        <v>43977</v>
      </c>
      <c r="B616">
        <v>16.380700000000001</v>
      </c>
      <c r="C616">
        <v>16.497900000000001</v>
      </c>
      <c r="D616">
        <v>15.9537</v>
      </c>
      <c r="E616">
        <v>16.215900000000001</v>
      </c>
      <c r="F616">
        <v>2007343.82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-3.6383682469676951E-2</v>
      </c>
      <c r="Q616">
        <f t="shared" si="990"/>
        <v>-73034.560154348364</v>
      </c>
      <c r="R616">
        <f t="shared" si="991"/>
        <v>240863583.67404979</v>
      </c>
      <c r="S616">
        <f t="shared" si="992"/>
        <v>2408.6358367404978</v>
      </c>
      <c r="T616">
        <f t="shared" si="993"/>
        <v>2.4086358367404976</v>
      </c>
    </row>
    <row r="617" spans="1:20" x14ac:dyDescent="0.25">
      <c r="A617" s="5">
        <v>43976</v>
      </c>
      <c r="B617">
        <v>15.9457</v>
      </c>
      <c r="C617">
        <v>16.4161</v>
      </c>
      <c r="D617">
        <v>15.8057</v>
      </c>
      <c r="E617">
        <v>16.380700000000001</v>
      </c>
      <c r="F617">
        <v>2348512.91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0.88401048492791878</v>
      </c>
      <c r="Q617">
        <f t="shared" si="990"/>
        <v>2076110.0364285777</v>
      </c>
      <c r="R617">
        <f t="shared" si="991"/>
        <v>240936618.23420414</v>
      </c>
      <c r="S617">
        <f t="shared" si="992"/>
        <v>2409.3661823420416</v>
      </c>
      <c r="T617">
        <f t="shared" si="993"/>
        <v>2.4093661823420418</v>
      </c>
    </row>
    <row r="618" spans="1:20" x14ac:dyDescent="0.25">
      <c r="A618" s="5">
        <v>43975</v>
      </c>
      <c r="B618">
        <v>16.478899999999999</v>
      </c>
      <c r="C618">
        <v>16.79</v>
      </c>
      <c r="D618">
        <v>15.907400000000001</v>
      </c>
      <c r="E618">
        <v>15.962400000000001</v>
      </c>
      <c r="F618">
        <v>2280998.65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-0.87536823022886967</v>
      </c>
      <c r="Q618">
        <f t="shared" si="990"/>
        <v>-1996713.7514049408</v>
      </c>
      <c r="R618">
        <f t="shared" si="991"/>
        <v>238860508.19777557</v>
      </c>
      <c r="S618">
        <f t="shared" si="992"/>
        <v>2388.6050819777556</v>
      </c>
      <c r="T618">
        <f t="shared" si="993"/>
        <v>2.3886050819777558</v>
      </c>
    </row>
    <row r="619" spans="1:20" x14ac:dyDescent="0.25">
      <c r="A619" s="5">
        <v>43974</v>
      </c>
      <c r="B619">
        <v>16.5884</v>
      </c>
      <c r="C619">
        <v>16.850000000000001</v>
      </c>
      <c r="D619">
        <v>16.3202</v>
      </c>
      <c r="E619">
        <v>16.48</v>
      </c>
      <c r="F619">
        <v>2303001.13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-0.39675349188372921</v>
      </c>
      <c r="Q619">
        <f t="shared" si="990"/>
        <v>-913723.74013967416</v>
      </c>
      <c r="R619">
        <f t="shared" si="991"/>
        <v>240857221.94918051</v>
      </c>
      <c r="S619">
        <f t="shared" si="992"/>
        <v>2408.5722194918053</v>
      </c>
      <c r="T619">
        <f t="shared" si="993"/>
        <v>2.4085722194918051</v>
      </c>
    </row>
    <row r="620" spans="1:20" x14ac:dyDescent="0.25">
      <c r="A620" s="5">
        <v>43973</v>
      </c>
      <c r="B620">
        <v>16.088799999999999</v>
      </c>
      <c r="C620">
        <v>16.923999999999999</v>
      </c>
      <c r="D620">
        <v>15.9145</v>
      </c>
      <c r="E620">
        <v>16.586400000000001</v>
      </c>
      <c r="F620">
        <v>2520655.4700000002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0.33115403665181053</v>
      </c>
      <c r="Q620">
        <f t="shared" si="990"/>
        <v>834725.23389896681</v>
      </c>
      <c r="R620">
        <f t="shared" si="991"/>
        <v>241770945.68932018</v>
      </c>
      <c r="S620">
        <f t="shared" si="992"/>
        <v>2417.7094568932016</v>
      </c>
      <c r="T620">
        <f t="shared" si="993"/>
        <v>2.4177094568932018</v>
      </c>
    </row>
    <row r="621" spans="1:20" x14ac:dyDescent="0.25">
      <c r="A621" s="5">
        <v>43972</v>
      </c>
      <c r="B621">
        <v>16.8994</v>
      </c>
      <c r="C621">
        <v>17.067499999999999</v>
      </c>
      <c r="D621">
        <v>15.7218</v>
      </c>
      <c r="E621">
        <v>16.088799999999999</v>
      </c>
      <c r="F621">
        <v>2163570.98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-0.45455896559411552</v>
      </c>
      <c r="Q621">
        <f t="shared" si="990"/>
        <v>-983470.58665824682</v>
      </c>
      <c r="R621">
        <f t="shared" si="991"/>
        <v>240936220.45542121</v>
      </c>
      <c r="S621">
        <f t="shared" si="992"/>
        <v>2409.362204554212</v>
      </c>
      <c r="T621">
        <f t="shared" si="993"/>
        <v>2.409362204554212</v>
      </c>
    </row>
    <row r="622" spans="1:20" x14ac:dyDescent="0.25">
      <c r="A622" s="5">
        <v>43971</v>
      </c>
      <c r="B622">
        <v>17.209599999999998</v>
      </c>
      <c r="C622">
        <v>17.339600000000001</v>
      </c>
      <c r="D622">
        <v>16.485099999999999</v>
      </c>
      <c r="E622">
        <v>16.899799999999999</v>
      </c>
      <c r="F622">
        <v>2395316.09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-2.9373902867175953E-2</v>
      </c>
      <c r="Q622">
        <f t="shared" si="990"/>
        <v>-70359.782163843687</v>
      </c>
      <c r="R622">
        <f t="shared" si="991"/>
        <v>241919691.04207945</v>
      </c>
      <c r="S622">
        <f t="shared" si="992"/>
        <v>2419.1969104207947</v>
      </c>
      <c r="T622">
        <f t="shared" si="993"/>
        <v>2.4191969104207947</v>
      </c>
    </row>
    <row r="623" spans="1:20" x14ac:dyDescent="0.25">
      <c r="A623" s="5">
        <v>43970</v>
      </c>
      <c r="B623">
        <v>16.629799999999999</v>
      </c>
      <c r="C623">
        <v>17.248799999999999</v>
      </c>
      <c r="D623">
        <v>16.3</v>
      </c>
      <c r="E623">
        <v>17.209800000000001</v>
      </c>
      <c r="F623">
        <v>3245275.75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0.9177908937605439</v>
      </c>
      <c r="Q623">
        <f t="shared" si="990"/>
        <v>2978484.5310919196</v>
      </c>
      <c r="R623">
        <f t="shared" si="991"/>
        <v>241990050.82424331</v>
      </c>
      <c r="S623">
        <f t="shared" si="992"/>
        <v>2419.9005082424333</v>
      </c>
      <c r="T623">
        <f t="shared" si="993"/>
        <v>2.4199005082424332</v>
      </c>
    </row>
    <row r="624" spans="1:20" x14ac:dyDescent="0.25">
      <c r="A624" s="5">
        <v>43969</v>
      </c>
      <c r="B624">
        <v>16.299900000000001</v>
      </c>
      <c r="C624">
        <v>16.861999999999998</v>
      </c>
      <c r="D624">
        <v>16.251100000000001</v>
      </c>
      <c r="E624">
        <v>16.629899999999999</v>
      </c>
      <c r="F624">
        <v>3116537.96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0.24013750204616108</v>
      </c>
      <c r="Q624">
        <f t="shared" si="990"/>
        <v>748397.64074643864</v>
      </c>
      <c r="R624">
        <f t="shared" si="991"/>
        <v>239011566.29315138</v>
      </c>
      <c r="S624">
        <f t="shared" si="992"/>
        <v>2390.1156629315137</v>
      </c>
      <c r="T624">
        <f t="shared" si="993"/>
        <v>2.3901156629315139</v>
      </c>
    </row>
    <row r="625" spans="1:20" x14ac:dyDescent="0.25">
      <c r="A625" s="5">
        <v>43968</v>
      </c>
      <c r="B625">
        <v>16.058</v>
      </c>
      <c r="C625">
        <v>16.510000000000002</v>
      </c>
      <c r="D625">
        <v>16.0014</v>
      </c>
      <c r="E625">
        <v>16.2959</v>
      </c>
      <c r="F625">
        <v>2894016.23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0.15808100668501213</v>
      </c>
      <c r="Q625">
        <f t="shared" si="990"/>
        <v>457488.99900116358</v>
      </c>
      <c r="R625">
        <f t="shared" si="991"/>
        <v>238263168.65240493</v>
      </c>
      <c r="S625">
        <f t="shared" si="992"/>
        <v>2382.6316865240492</v>
      </c>
      <c r="T625">
        <f t="shared" si="993"/>
        <v>2.3826316865240491</v>
      </c>
    </row>
    <row r="626" spans="1:20" x14ac:dyDescent="0.25">
      <c r="A626" s="5">
        <v>43967</v>
      </c>
      <c r="B626">
        <v>15.7121</v>
      </c>
      <c r="C626">
        <v>16.236699999999999</v>
      </c>
      <c r="D626">
        <v>15.58</v>
      </c>
      <c r="E626">
        <v>16.058</v>
      </c>
      <c r="F626">
        <v>2730367.35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0.45576366681894481</v>
      </c>
      <c r="Q626">
        <f t="shared" si="990"/>
        <v>1244402.2351987252</v>
      </c>
      <c r="R626">
        <f t="shared" si="991"/>
        <v>237805679.65340376</v>
      </c>
      <c r="S626">
        <f t="shared" si="992"/>
        <v>2378.0567965340374</v>
      </c>
      <c r="T626">
        <f t="shared" si="993"/>
        <v>2.3780567965340373</v>
      </c>
    </row>
    <row r="627" spans="1:20" x14ac:dyDescent="0.25">
      <c r="A627" s="5">
        <v>43966</v>
      </c>
      <c r="B627">
        <v>16.372199999999999</v>
      </c>
      <c r="C627">
        <v>16.471900000000002</v>
      </c>
      <c r="D627">
        <v>15.460599999999999</v>
      </c>
      <c r="E627">
        <v>15.722200000000001</v>
      </c>
      <c r="F627">
        <v>2314685.06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-0.48264609908038991</v>
      </c>
      <c r="Q627">
        <f t="shared" si="990"/>
        <v>-1117173.7148086582</v>
      </c>
      <c r="R627">
        <f t="shared" si="991"/>
        <v>236561277.41820502</v>
      </c>
      <c r="S627">
        <f t="shared" si="992"/>
        <v>2365.6127741820501</v>
      </c>
      <c r="T627">
        <f t="shared" si="993"/>
        <v>2.3656127741820501</v>
      </c>
    </row>
    <row r="628" spans="1:20" x14ac:dyDescent="0.25">
      <c r="A628" s="5">
        <v>43965</v>
      </c>
      <c r="B628">
        <v>16.218699999999998</v>
      </c>
      <c r="C628">
        <v>16.6982</v>
      </c>
      <c r="D628">
        <v>16.0123</v>
      </c>
      <c r="E628">
        <v>16.377700000000001</v>
      </c>
      <c r="F628">
        <v>2801822.6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6.5461437527339156E-2</v>
      </c>
      <c r="Q628">
        <f t="shared" si="990"/>
        <v>183411.33509258696</v>
      </c>
      <c r="R628">
        <f t="shared" si="991"/>
        <v>237678451.1330137</v>
      </c>
      <c r="S628">
        <f t="shared" si="992"/>
        <v>2376.7845113301369</v>
      </c>
      <c r="T628">
        <f t="shared" si="993"/>
        <v>2.3767845113301367</v>
      </c>
    </row>
    <row r="629" spans="1:20" x14ac:dyDescent="0.25">
      <c r="A629" s="5">
        <v>43964</v>
      </c>
      <c r="B629">
        <v>15.7941</v>
      </c>
      <c r="C629">
        <v>16.350000000000001</v>
      </c>
      <c r="D629">
        <v>15.6785</v>
      </c>
      <c r="E629">
        <v>16.2164</v>
      </c>
      <c r="F629">
        <v>2813530.97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0.60208488458674336</v>
      </c>
      <c r="Q629">
        <f t="shared" si="990"/>
        <v>1693984.4693536782</v>
      </c>
      <c r="R629">
        <f t="shared" si="991"/>
        <v>237495039.79792112</v>
      </c>
      <c r="S629">
        <f t="shared" si="992"/>
        <v>2374.9503979792112</v>
      </c>
      <c r="T629">
        <f t="shared" si="993"/>
        <v>2.374950397979211</v>
      </c>
    </row>
    <row r="630" spans="1:20" x14ac:dyDescent="0.25">
      <c r="A630" s="5">
        <v>43963</v>
      </c>
      <c r="B630">
        <v>15.090199999999999</v>
      </c>
      <c r="C630">
        <v>16.239999999999998</v>
      </c>
      <c r="D630">
        <v>14.958600000000001</v>
      </c>
      <c r="E630">
        <v>15.789199999999999</v>
      </c>
      <c r="F630">
        <v>3026813.09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0.296394568440768</v>
      </c>
      <c r="Q630">
        <f t="shared" si="990"/>
        <v>897130.95956141746</v>
      </c>
      <c r="R630">
        <f t="shared" si="991"/>
        <v>235801055.32856745</v>
      </c>
      <c r="S630">
        <f t="shared" si="992"/>
        <v>2358.0105532856746</v>
      </c>
      <c r="T630">
        <f t="shared" si="993"/>
        <v>2.3580105532856748</v>
      </c>
    </row>
    <row r="631" spans="1:20" x14ac:dyDescent="0.25">
      <c r="A631" s="5">
        <v>43962</v>
      </c>
      <c r="B631">
        <v>15.3506</v>
      </c>
      <c r="C631">
        <v>15.546799999999999</v>
      </c>
      <c r="D631">
        <v>14.01</v>
      </c>
      <c r="E631">
        <v>15.081099999999999</v>
      </c>
      <c r="F631">
        <v>2726253.27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0.393935450286309</v>
      </c>
      <c r="Q631">
        <f t="shared" si="990"/>
        <v>1073967.8095119724</v>
      </c>
      <c r="R631">
        <f t="shared" si="991"/>
        <v>234903924.36900604</v>
      </c>
      <c r="S631">
        <f t="shared" si="992"/>
        <v>2349.0392436900602</v>
      </c>
      <c r="T631">
        <f t="shared" si="993"/>
        <v>2.34903924369006</v>
      </c>
    </row>
    <row r="632" spans="1:20" x14ac:dyDescent="0.25">
      <c r="A632" s="5">
        <v>43961</v>
      </c>
      <c r="B632">
        <v>16.775300000000001</v>
      </c>
      <c r="C632">
        <v>16.79</v>
      </c>
      <c r="D632">
        <v>13.9129</v>
      </c>
      <c r="E632">
        <v>15.3506</v>
      </c>
      <c r="F632">
        <v>2900497.8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-5.9087275381446299E-4</v>
      </c>
      <c r="Q632">
        <f t="shared" si="990"/>
        <v>-1713.8251225187914</v>
      </c>
      <c r="R632">
        <f t="shared" si="991"/>
        <v>233829956.55949408</v>
      </c>
      <c r="S632">
        <f t="shared" si="992"/>
        <v>2338.2995655949408</v>
      </c>
      <c r="T632">
        <f t="shared" si="993"/>
        <v>2.3382995655949408</v>
      </c>
    </row>
    <row r="633" spans="1:20" x14ac:dyDescent="0.25">
      <c r="A633" s="5">
        <v>43960</v>
      </c>
      <c r="B633">
        <v>17.1371</v>
      </c>
      <c r="C633">
        <v>17.492599999999999</v>
      </c>
      <c r="D633">
        <v>16.733000000000001</v>
      </c>
      <c r="E633">
        <v>16.775099999999998</v>
      </c>
      <c r="F633">
        <v>2243643.83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-0.88915218536072183</v>
      </c>
      <c r="Q633">
        <f t="shared" si="990"/>
        <v>-1994940.8146155998</v>
      </c>
      <c r="R633">
        <f t="shared" si="991"/>
        <v>233831670.38461658</v>
      </c>
      <c r="S633">
        <f t="shared" si="992"/>
        <v>2338.3167038461656</v>
      </c>
      <c r="T633">
        <f t="shared" si="993"/>
        <v>2.3383167038461656</v>
      </c>
    </row>
    <row r="634" spans="1:20" x14ac:dyDescent="0.25">
      <c r="A634" s="5">
        <v>43959</v>
      </c>
      <c r="B634">
        <v>17.000299999999999</v>
      </c>
      <c r="C634">
        <v>17.3977</v>
      </c>
      <c r="D634">
        <v>16.823</v>
      </c>
      <c r="E634">
        <v>17.1371</v>
      </c>
      <c r="F634">
        <v>2621559.87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9.3092048025055954E-2</v>
      </c>
      <c r="Q634">
        <f t="shared" si="990"/>
        <v>244046.37731859947</v>
      </c>
      <c r="R634">
        <f t="shared" si="991"/>
        <v>235826611.19923219</v>
      </c>
      <c r="S634">
        <f t="shared" si="992"/>
        <v>2358.2661119923218</v>
      </c>
      <c r="T634">
        <f t="shared" si="993"/>
        <v>2.3582661119923221</v>
      </c>
    </row>
    <row r="635" spans="1:20" x14ac:dyDescent="0.25">
      <c r="A635" s="5">
        <v>43958</v>
      </c>
      <c r="B635">
        <v>16.3672</v>
      </c>
      <c r="C635">
        <v>17.239999999999998</v>
      </c>
      <c r="D635">
        <v>16.1218</v>
      </c>
      <c r="E635">
        <v>17.000299999999999</v>
      </c>
      <c r="F635">
        <v>3030451.51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0.57127526381684934</v>
      </c>
      <c r="Q635">
        <f t="shared" si="990"/>
        <v>1731221.9858594192</v>
      </c>
      <c r="R635">
        <f t="shared" si="991"/>
        <v>235582564.8219136</v>
      </c>
      <c r="S635">
        <f t="shared" si="992"/>
        <v>2355.8256482191359</v>
      </c>
      <c r="T635">
        <f t="shared" si="993"/>
        <v>2.355825648219136</v>
      </c>
    </row>
    <row r="636" spans="1:20" x14ac:dyDescent="0.25">
      <c r="A636" s="5">
        <v>43957</v>
      </c>
      <c r="B636">
        <v>16.881399999999999</v>
      </c>
      <c r="C636">
        <v>17.145</v>
      </c>
      <c r="D636">
        <v>16.3018</v>
      </c>
      <c r="E636">
        <v>16.374300000000002</v>
      </c>
      <c r="F636">
        <v>2716280.37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-0.82803605313092599</v>
      </c>
      <c r="Q636">
        <f t="shared" si="990"/>
        <v>-2249178.0767718116</v>
      </c>
      <c r="R636">
        <f t="shared" si="991"/>
        <v>233851342.83605418</v>
      </c>
      <c r="S636">
        <f t="shared" si="992"/>
        <v>2338.5134283605416</v>
      </c>
      <c r="T636">
        <f t="shared" si="993"/>
        <v>2.3385134283605415</v>
      </c>
    </row>
    <row r="637" spans="1:20" x14ac:dyDescent="0.25">
      <c r="A637" s="5">
        <v>43956</v>
      </c>
      <c r="B637">
        <v>17.012</v>
      </c>
      <c r="C637">
        <v>17.299299999999999</v>
      </c>
      <c r="D637">
        <v>16.606000000000002</v>
      </c>
      <c r="E637">
        <v>16.8886</v>
      </c>
      <c r="F637">
        <v>2613361.65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-0.1847684984855047</v>
      </c>
      <c r="Q637">
        <f t="shared" si="990"/>
        <v>-482866.90807010105</v>
      </c>
      <c r="R637">
        <f t="shared" si="991"/>
        <v>236100520.912826</v>
      </c>
      <c r="S637">
        <f t="shared" si="992"/>
        <v>2361.00520912826</v>
      </c>
      <c r="T637">
        <f t="shared" si="993"/>
        <v>2.3610052091282601</v>
      </c>
    </row>
    <row r="638" spans="1:20" x14ac:dyDescent="0.25">
      <c r="A638" s="5">
        <v>43955</v>
      </c>
      <c r="B638">
        <v>17.102699999999999</v>
      </c>
      <c r="C638">
        <v>17.326699999999999</v>
      </c>
      <c r="D638">
        <v>16.255600000000001</v>
      </c>
      <c r="E638">
        <v>17.007400000000001</v>
      </c>
      <c r="F638">
        <v>2755883.63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0.40379049575203241</v>
      </c>
      <c r="Q638">
        <f t="shared" si="990"/>
        <v>1112799.6171926106</v>
      </c>
      <c r="R638">
        <f t="shared" si="991"/>
        <v>236583387.82089609</v>
      </c>
      <c r="S638">
        <f t="shared" si="992"/>
        <v>2365.8338782089609</v>
      </c>
      <c r="T638">
        <f t="shared" si="993"/>
        <v>2.365833878208961</v>
      </c>
    </row>
    <row r="639" spans="1:20" x14ac:dyDescent="0.25">
      <c r="A639" s="5">
        <v>43954</v>
      </c>
      <c r="B639">
        <v>17.5337</v>
      </c>
      <c r="C639">
        <v>17.809999999999999</v>
      </c>
      <c r="D639">
        <v>16.871099999999998</v>
      </c>
      <c r="E639">
        <v>17.107099999999999</v>
      </c>
      <c r="F639">
        <v>2616299.5299999998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-0.49728405580998919</v>
      </c>
      <c r="Q639">
        <f t="shared" si="990"/>
        <v>-1301044.0414921683</v>
      </c>
      <c r="R639">
        <f t="shared" si="991"/>
        <v>235470588.20370349</v>
      </c>
      <c r="S639">
        <f t="shared" si="992"/>
        <v>2354.7058820370348</v>
      </c>
      <c r="T639">
        <f t="shared" si="993"/>
        <v>2.354705882037035</v>
      </c>
    </row>
    <row r="640" spans="1:20" x14ac:dyDescent="0.25">
      <c r="A640" s="5">
        <v>43953</v>
      </c>
      <c r="B640">
        <v>17.4665</v>
      </c>
      <c r="C640">
        <v>17.571100000000001</v>
      </c>
      <c r="D640">
        <v>17.259899999999998</v>
      </c>
      <c r="E640">
        <v>17.533300000000001</v>
      </c>
      <c r="F640">
        <v>3009939.67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0.75706940874035766</v>
      </c>
      <c r="Q640">
        <f t="shared" si="990"/>
        <v>2278733.2463110471</v>
      </c>
      <c r="R640">
        <f t="shared" si="991"/>
        <v>236771632.24519566</v>
      </c>
      <c r="S640">
        <f t="shared" si="992"/>
        <v>2367.7163224519568</v>
      </c>
      <c r="T640">
        <f t="shared" si="993"/>
        <v>2.3677163224519568</v>
      </c>
    </row>
    <row r="641" spans="1:20" x14ac:dyDescent="0.25">
      <c r="A641" s="5">
        <v>43952</v>
      </c>
      <c r="B641">
        <v>16.951000000000001</v>
      </c>
      <c r="C641">
        <v>17.8551</v>
      </c>
      <c r="D641">
        <v>16.938099999999999</v>
      </c>
      <c r="E641">
        <v>17.466000000000001</v>
      </c>
      <c r="F641">
        <v>3805293.67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0.15136314067612119</v>
      </c>
      <c r="Q641">
        <f t="shared" si="990"/>
        <v>575981.20108616352</v>
      </c>
      <c r="R641">
        <f t="shared" si="991"/>
        <v>234492898.99888462</v>
      </c>
      <c r="S641">
        <f t="shared" si="992"/>
        <v>2344.9289899888463</v>
      </c>
      <c r="T641">
        <f t="shared" si="993"/>
        <v>2.3449289899888464</v>
      </c>
    </row>
    <row r="642" spans="1:20" x14ac:dyDescent="0.25">
      <c r="A642" s="5">
        <v>43951</v>
      </c>
      <c r="B642">
        <v>17.375399999999999</v>
      </c>
      <c r="C642">
        <v>18.137699999999999</v>
      </c>
      <c r="D642">
        <v>16.5</v>
      </c>
      <c r="E642">
        <v>16.9542</v>
      </c>
      <c r="F642">
        <v>4127322.51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-0.44531965561458081</v>
      </c>
      <c r="Q642">
        <f t="shared" si="990"/>
        <v>-1837977.8387635071</v>
      </c>
      <c r="R642">
        <f t="shared" si="991"/>
        <v>233916917.79779845</v>
      </c>
      <c r="S642">
        <f t="shared" si="992"/>
        <v>2339.1691779779844</v>
      </c>
      <c r="T642">
        <f t="shared" si="993"/>
        <v>2.3391691779779844</v>
      </c>
    </row>
    <row r="643" spans="1:20" x14ac:dyDescent="0.25">
      <c r="A643" s="5">
        <v>43950</v>
      </c>
      <c r="B643">
        <v>16.3354</v>
      </c>
      <c r="C643">
        <v>17.517099999999999</v>
      </c>
      <c r="D643">
        <v>16.3</v>
      </c>
      <c r="E643">
        <v>17.366700000000002</v>
      </c>
      <c r="F643">
        <v>3817656.7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0.75285514748172244</v>
      </c>
      <c r="Q643">
        <f t="shared" si="990"/>
        <v>2874142.4979130859</v>
      </c>
      <c r="R643">
        <f t="shared" si="991"/>
        <v>235754895.63656196</v>
      </c>
      <c r="S643">
        <f t="shared" si="992"/>
        <v>2357.5489563656197</v>
      </c>
      <c r="T643">
        <f t="shared" si="993"/>
        <v>2.3575489563656196</v>
      </c>
    </row>
    <row r="644" spans="1:20" x14ac:dyDescent="0.25">
      <c r="A644" s="5">
        <v>43949</v>
      </c>
      <c r="B644">
        <v>16.419899999999998</v>
      </c>
      <c r="C644">
        <v>16.489999999999998</v>
      </c>
      <c r="D644">
        <v>16.112500000000001</v>
      </c>
      <c r="E644">
        <v>16.34</v>
      </c>
      <c r="F644">
        <v>2838511.43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0.20529801324503585</v>
      </c>
      <c r="Q644">
        <f t="shared" si="990"/>
        <v>582740.75715232571</v>
      </c>
      <c r="R644">
        <f t="shared" si="991"/>
        <v>232880753.13864887</v>
      </c>
      <c r="S644">
        <f t="shared" si="992"/>
        <v>2328.8075313864888</v>
      </c>
      <c r="T644">
        <f t="shared" si="993"/>
        <v>2.3288075313864889</v>
      </c>
    </row>
    <row r="645" spans="1:20" x14ac:dyDescent="0.25">
      <c r="A645" s="5">
        <v>43948</v>
      </c>
      <c r="B645">
        <v>16.3645</v>
      </c>
      <c r="C645">
        <v>16.559999999999999</v>
      </c>
      <c r="D645">
        <v>16.062999999999999</v>
      </c>
      <c r="E645">
        <v>16.422899999999998</v>
      </c>
      <c r="F645">
        <v>2937287.36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0.44828973843058251</v>
      </c>
      <c r="Q645">
        <f t="shared" si="990"/>
        <v>1316755.7823098563</v>
      </c>
      <c r="R645">
        <f t="shared" si="991"/>
        <v>232298012.38149655</v>
      </c>
      <c r="S645">
        <f t="shared" si="992"/>
        <v>2322.9801238149653</v>
      </c>
      <c r="T645">
        <f t="shared" si="993"/>
        <v>2.3229801238149652</v>
      </c>
    </row>
    <row r="646" spans="1:20" x14ac:dyDescent="0.25">
      <c r="A646" s="5">
        <v>43947</v>
      </c>
      <c r="B646">
        <v>16.223500000000001</v>
      </c>
      <c r="C646">
        <v>16.4435</v>
      </c>
      <c r="D646">
        <v>16.04</v>
      </c>
      <c r="E646">
        <v>16.358799999999999</v>
      </c>
      <c r="F646">
        <v>3314818.91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0.58017348203221153</v>
      </c>
      <c r="Q646">
        <f t="shared" ref="Q646:Q709" si="995">F646*P646</f>
        <v>1923170.0293209201</v>
      </c>
      <c r="R646">
        <f t="shared" ref="R646:R709" si="996">R647+Q646</f>
        <v>230981256.59918669</v>
      </c>
      <c r="S646">
        <f t="shared" ref="S646:S709" si="997">R646/100000</f>
        <v>2309.8125659918669</v>
      </c>
      <c r="T646">
        <f t="shared" ref="T646:T709" si="998">S646/1000</f>
        <v>2.3098125659918667</v>
      </c>
    </row>
    <row r="647" spans="1:20" x14ac:dyDescent="0.25">
      <c r="A647" s="5">
        <v>43946</v>
      </c>
      <c r="B647">
        <v>15.931900000000001</v>
      </c>
      <c r="C647">
        <v>16.430499999999999</v>
      </c>
      <c r="D647">
        <v>15.7761</v>
      </c>
      <c r="E647">
        <v>16.228300000000001</v>
      </c>
      <c r="F647">
        <v>2946839.79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0.38202933985330678</v>
      </c>
      <c r="Q647">
        <f t="shared" si="995"/>
        <v>1125779.2596271571</v>
      </c>
      <c r="R647">
        <f t="shared" si="996"/>
        <v>229058086.56986576</v>
      </c>
      <c r="S647">
        <f t="shared" si="997"/>
        <v>2290.5808656986578</v>
      </c>
      <c r="T647">
        <f t="shared" si="998"/>
        <v>2.2905808656986579</v>
      </c>
    </row>
    <row r="648" spans="1:20" x14ac:dyDescent="0.25">
      <c r="A648" s="5">
        <v>43945</v>
      </c>
      <c r="B648">
        <v>16.0502</v>
      </c>
      <c r="C648">
        <v>16.256799999999998</v>
      </c>
      <c r="D648">
        <v>15.68</v>
      </c>
      <c r="E648">
        <v>15.931900000000001</v>
      </c>
      <c r="F648">
        <v>3008320.26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-0.12656033287100732</v>
      </c>
      <c r="Q648">
        <f t="shared" si="995"/>
        <v>-380734.01348819525</v>
      </c>
      <c r="R648">
        <f t="shared" si="996"/>
        <v>227932307.3102386</v>
      </c>
      <c r="S648">
        <f t="shared" si="997"/>
        <v>2279.3230731023859</v>
      </c>
      <c r="T648">
        <f t="shared" si="998"/>
        <v>2.2793230731023861</v>
      </c>
    </row>
    <row r="649" spans="1:20" x14ac:dyDescent="0.25">
      <c r="A649" s="5">
        <v>43944</v>
      </c>
      <c r="B649">
        <v>15.7103</v>
      </c>
      <c r="C649">
        <v>16.4666</v>
      </c>
      <c r="D649">
        <v>15.4102</v>
      </c>
      <c r="E649">
        <v>16.033999999999999</v>
      </c>
      <c r="F649">
        <v>3457409.45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0.18099204846648853</v>
      </c>
      <c r="Q649">
        <f t="shared" si="995"/>
        <v>625763.61874289555</v>
      </c>
      <c r="R649">
        <f t="shared" si="996"/>
        <v>228313041.3237268</v>
      </c>
      <c r="S649">
        <f t="shared" si="997"/>
        <v>2283.1304132372679</v>
      </c>
      <c r="T649">
        <f t="shared" si="998"/>
        <v>2.2831304132372678</v>
      </c>
    </row>
    <row r="650" spans="1:20" x14ac:dyDescent="0.25">
      <c r="A650" s="5">
        <v>43943</v>
      </c>
      <c r="B650">
        <v>15.1381</v>
      </c>
      <c r="C650">
        <v>15.803000000000001</v>
      </c>
      <c r="D650">
        <v>14.911199999999999</v>
      </c>
      <c r="E650">
        <v>15.7104</v>
      </c>
      <c r="F650">
        <v>3296897.61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0.79233011886072946</v>
      </c>
      <c r="Q650">
        <f t="shared" si="995"/>
        <v>2612231.2752029547</v>
      </c>
      <c r="R650">
        <f t="shared" si="996"/>
        <v>227687277.70498392</v>
      </c>
      <c r="S650">
        <f t="shared" si="997"/>
        <v>2276.872777049839</v>
      </c>
      <c r="T650">
        <f t="shared" si="998"/>
        <v>2.2768727770498391</v>
      </c>
    </row>
    <row r="651" spans="1:20" x14ac:dyDescent="0.25">
      <c r="A651" s="5">
        <v>43942</v>
      </c>
      <c r="B651">
        <v>14.984</v>
      </c>
      <c r="C651">
        <v>15.441599999999999</v>
      </c>
      <c r="D651">
        <v>14.6945</v>
      </c>
      <c r="E651">
        <v>15.128299999999999</v>
      </c>
      <c r="F651">
        <v>3137524.29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0.16129032258064502</v>
      </c>
      <c r="Q651">
        <f t="shared" si="995"/>
        <v>506052.30483870924</v>
      </c>
      <c r="R651">
        <f t="shared" si="996"/>
        <v>225075046.42978096</v>
      </c>
      <c r="S651">
        <f t="shared" si="997"/>
        <v>2250.7504642978097</v>
      </c>
      <c r="T651">
        <f t="shared" si="998"/>
        <v>2.2507504642978096</v>
      </c>
    </row>
    <row r="652" spans="1:20" x14ac:dyDescent="0.25">
      <c r="A652" s="5">
        <v>43941</v>
      </c>
      <c r="B652">
        <v>16.067699999999999</v>
      </c>
      <c r="C652">
        <v>16.4499</v>
      </c>
      <c r="D652">
        <v>14.821899999999999</v>
      </c>
      <c r="E652">
        <v>14.9892</v>
      </c>
      <c r="F652">
        <v>3219905.9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-0.7944717444717434</v>
      </c>
      <c r="Q652">
        <f t="shared" si="995"/>
        <v>-2558124.257407859</v>
      </c>
      <c r="R652">
        <f t="shared" si="996"/>
        <v>224568994.12494224</v>
      </c>
      <c r="S652">
        <f t="shared" si="997"/>
        <v>2245.6899412494226</v>
      </c>
      <c r="T652">
        <f t="shared" si="998"/>
        <v>2.2456899412494224</v>
      </c>
    </row>
    <row r="653" spans="1:20" x14ac:dyDescent="0.25">
      <c r="A653" s="5">
        <v>43940</v>
      </c>
      <c r="B653">
        <v>16.619800000000001</v>
      </c>
      <c r="C653">
        <v>16.693300000000001</v>
      </c>
      <c r="D653">
        <v>15.850899999999999</v>
      </c>
      <c r="E653">
        <v>16.068300000000001</v>
      </c>
      <c r="F653">
        <v>2962072.6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-0.48385565052231477</v>
      </c>
      <c r="Q653">
        <f t="shared" si="995"/>
        <v>-1433215.5647673244</v>
      </c>
      <c r="R653">
        <f t="shared" si="996"/>
        <v>227127118.38235012</v>
      </c>
      <c r="S653">
        <f t="shared" si="997"/>
        <v>2271.2711838235014</v>
      </c>
      <c r="T653">
        <f t="shared" si="998"/>
        <v>2.2712711838235013</v>
      </c>
    </row>
    <row r="654" spans="1:20" x14ac:dyDescent="0.25">
      <c r="A654" s="5">
        <v>43939</v>
      </c>
      <c r="B654">
        <v>15.6447</v>
      </c>
      <c r="C654">
        <v>16.818300000000001</v>
      </c>
      <c r="D654">
        <v>15.6242</v>
      </c>
      <c r="E654">
        <v>16.613700000000001</v>
      </c>
      <c r="F654">
        <v>3968019.07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0.65731513273595321</v>
      </c>
      <c r="Q654">
        <f t="shared" si="995"/>
        <v>2608238.9816958434</v>
      </c>
      <c r="R654">
        <f t="shared" si="996"/>
        <v>228560333.94711745</v>
      </c>
      <c r="S654">
        <f t="shared" si="997"/>
        <v>2285.6033394711744</v>
      </c>
      <c r="T654">
        <f t="shared" si="998"/>
        <v>2.2856033394711743</v>
      </c>
    </row>
    <row r="655" spans="1:20" x14ac:dyDescent="0.25">
      <c r="A655" s="5">
        <v>43938</v>
      </c>
      <c r="B655">
        <v>15.7394</v>
      </c>
      <c r="C655">
        <v>15.92</v>
      </c>
      <c r="D655">
        <v>15.2501</v>
      </c>
      <c r="E655">
        <v>15.64</v>
      </c>
      <c r="F655">
        <v>3150559.17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0.1640543364681317</v>
      </c>
      <c r="Q655">
        <f t="shared" si="995"/>
        <v>516862.89413793769</v>
      </c>
      <c r="R655">
        <f t="shared" si="996"/>
        <v>225952094.96542162</v>
      </c>
      <c r="S655">
        <f t="shared" si="997"/>
        <v>2259.5209496542161</v>
      </c>
      <c r="T655">
        <f t="shared" si="998"/>
        <v>2.2595209496542159</v>
      </c>
    </row>
    <row r="656" spans="1:20" x14ac:dyDescent="0.25">
      <c r="A656" s="5">
        <v>43937</v>
      </c>
      <c r="B656">
        <v>14.5755</v>
      </c>
      <c r="C656">
        <v>15.7669</v>
      </c>
      <c r="D656">
        <v>14.116</v>
      </c>
      <c r="E656">
        <v>15.7394</v>
      </c>
      <c r="F656">
        <v>4068049.48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0.96668483857289977</v>
      </c>
      <c r="Q656">
        <f t="shared" si="995"/>
        <v>3932521.7548803687</v>
      </c>
      <c r="R656">
        <f t="shared" si="996"/>
        <v>225435232.07128367</v>
      </c>
      <c r="S656">
        <f t="shared" si="997"/>
        <v>2254.3523207128369</v>
      </c>
      <c r="T656">
        <f t="shared" si="998"/>
        <v>2.2543523207128371</v>
      </c>
    </row>
    <row r="657" spans="1:20" x14ac:dyDescent="0.25">
      <c r="A657" s="5">
        <v>43936</v>
      </c>
      <c r="B657">
        <v>15.614800000000001</v>
      </c>
      <c r="C657">
        <v>15.8888</v>
      </c>
      <c r="D657">
        <v>14.491300000000001</v>
      </c>
      <c r="E657">
        <v>14.5755</v>
      </c>
      <c r="F657">
        <v>3795966.9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-0.87949910554561828</v>
      </c>
      <c r="Q657">
        <f t="shared" si="995"/>
        <v>-3338549.4932307731</v>
      </c>
      <c r="R657">
        <f t="shared" si="996"/>
        <v>221502710.3164033</v>
      </c>
      <c r="S657">
        <f t="shared" si="997"/>
        <v>2215.0271031640332</v>
      </c>
      <c r="T657">
        <f t="shared" si="998"/>
        <v>2.2150271031640334</v>
      </c>
    </row>
    <row r="658" spans="1:20" x14ac:dyDescent="0.25">
      <c r="A658" s="5">
        <v>43935</v>
      </c>
      <c r="B658">
        <v>15.025700000000001</v>
      </c>
      <c r="C658">
        <v>15.955500000000001</v>
      </c>
      <c r="D658">
        <v>14.7835</v>
      </c>
      <c r="E658">
        <v>15.614800000000001</v>
      </c>
      <c r="F658">
        <v>4523071.2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0.41860068259385697</v>
      </c>
      <c r="Q658">
        <f t="shared" si="995"/>
        <v>1893360.6917406158</v>
      </c>
      <c r="R658">
        <f t="shared" si="996"/>
        <v>224841259.80963406</v>
      </c>
      <c r="S658">
        <f t="shared" si="997"/>
        <v>2248.4125980963404</v>
      </c>
      <c r="T658">
        <f t="shared" si="998"/>
        <v>2.2484125980963405</v>
      </c>
    </row>
    <row r="659" spans="1:20" x14ac:dyDescent="0.25">
      <c r="A659" s="5">
        <v>43934</v>
      </c>
      <c r="B659">
        <v>14.280799999999999</v>
      </c>
      <c r="C659">
        <v>15.0799</v>
      </c>
      <c r="D659">
        <v>13.6289</v>
      </c>
      <c r="E659">
        <v>15.027699999999999</v>
      </c>
      <c r="F659">
        <v>4313190.93</v>
      </c>
      <c r="G659">
        <v>0</v>
      </c>
      <c r="L659" t="s">
        <v>8</v>
      </c>
      <c r="M659" t="s">
        <v>8</v>
      </c>
      <c r="N659" t="s">
        <v>8</v>
      </c>
      <c r="P659">
        <f t="shared" si="994"/>
        <v>0.92804962095106702</v>
      </c>
      <c r="Q659">
        <f t="shared" si="995"/>
        <v>4002855.2076760801</v>
      </c>
      <c r="R659">
        <f t="shared" si="996"/>
        <v>222947899.11789346</v>
      </c>
      <c r="S659">
        <f t="shared" si="997"/>
        <v>2229.4789911789344</v>
      </c>
      <c r="T659">
        <f t="shared" si="998"/>
        <v>2.2294789911789343</v>
      </c>
    </row>
    <row r="660" spans="1:20" x14ac:dyDescent="0.25">
      <c r="A660" s="5">
        <v>43933</v>
      </c>
      <c r="B660">
        <v>13.8089</v>
      </c>
      <c r="C660">
        <v>14.8399</v>
      </c>
      <c r="D660">
        <v>13.6439</v>
      </c>
      <c r="E660">
        <v>14.280799999999999</v>
      </c>
      <c r="F660">
        <v>4070517.82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6.5050167224078692E-2</v>
      </c>
      <c r="Q660">
        <f t="shared" si="995"/>
        <v>264787.86487959226</v>
      </c>
      <c r="R660">
        <f t="shared" si="996"/>
        <v>218945043.91021737</v>
      </c>
      <c r="S660">
        <f t="shared" si="997"/>
        <v>2189.4504391021737</v>
      </c>
      <c r="T660">
        <f t="shared" si="998"/>
        <v>2.1894504391021736</v>
      </c>
    </row>
    <row r="661" spans="1:20" x14ac:dyDescent="0.25">
      <c r="A661" s="5">
        <v>43932</v>
      </c>
      <c r="B661">
        <v>13.7171</v>
      </c>
      <c r="C661">
        <v>14.0808</v>
      </c>
      <c r="D661">
        <v>13.523400000000001</v>
      </c>
      <c r="E661">
        <v>13.807</v>
      </c>
      <c r="F661">
        <v>3692817.92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1.758162899174787E-2</v>
      </c>
      <c r="Q661">
        <f t="shared" si="995"/>
        <v>64925.754603518064</v>
      </c>
      <c r="R661">
        <f t="shared" si="996"/>
        <v>218680256.0453378</v>
      </c>
      <c r="S661">
        <f t="shared" si="997"/>
        <v>2186.8025604533777</v>
      </c>
      <c r="T661">
        <f t="shared" si="998"/>
        <v>2.1868025604533776</v>
      </c>
    </row>
    <row r="662" spans="1:20" x14ac:dyDescent="0.25">
      <c r="A662" s="5">
        <v>43931</v>
      </c>
      <c r="B662">
        <v>15.009600000000001</v>
      </c>
      <c r="C662">
        <v>15.079700000000001</v>
      </c>
      <c r="D662">
        <v>13.47</v>
      </c>
      <c r="E662">
        <v>13.72</v>
      </c>
      <c r="F662">
        <v>3999879.14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-0.68938311486612414</v>
      </c>
      <c r="Q662">
        <f t="shared" si="995"/>
        <v>-2757449.1406212337</v>
      </c>
      <c r="R662">
        <f t="shared" si="996"/>
        <v>218615330.29073429</v>
      </c>
      <c r="S662">
        <f t="shared" si="997"/>
        <v>2186.153302907343</v>
      </c>
      <c r="T662">
        <f t="shared" si="998"/>
        <v>2.1861533029073432</v>
      </c>
    </row>
    <row r="663" spans="1:20" x14ac:dyDescent="0.25">
      <c r="A663" s="5">
        <v>43930</v>
      </c>
      <c r="B663">
        <v>15.0899</v>
      </c>
      <c r="C663">
        <v>15.2011</v>
      </c>
      <c r="D663">
        <v>14.6279</v>
      </c>
      <c r="E663">
        <v>15.009600000000001</v>
      </c>
      <c r="F663">
        <v>4638418.3899999997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0.33182135380321148</v>
      </c>
      <c r="Q663">
        <f t="shared" si="995"/>
        <v>1539126.2696755126</v>
      </c>
      <c r="R663">
        <f t="shared" si="996"/>
        <v>221372779.43135554</v>
      </c>
      <c r="S663">
        <f t="shared" si="997"/>
        <v>2213.7277943135555</v>
      </c>
      <c r="T663">
        <f t="shared" si="998"/>
        <v>2.2137277943135554</v>
      </c>
    </row>
    <row r="664" spans="1:20" x14ac:dyDescent="0.25">
      <c r="A664" s="5">
        <v>43929</v>
      </c>
      <c r="B664">
        <v>14.726699999999999</v>
      </c>
      <c r="C664">
        <v>15.348599999999999</v>
      </c>
      <c r="D664">
        <v>14.57</v>
      </c>
      <c r="E664">
        <v>15.088800000000001</v>
      </c>
      <c r="F664">
        <v>4614905.63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0.33264834318006992</v>
      </c>
      <c r="Q664">
        <f t="shared" si="995"/>
        <v>1535140.7117518766</v>
      </c>
      <c r="R664">
        <f t="shared" si="996"/>
        <v>219833653.16168001</v>
      </c>
      <c r="S664">
        <f t="shared" si="997"/>
        <v>2198.3365316168001</v>
      </c>
      <c r="T664">
        <f t="shared" si="998"/>
        <v>2.1983365316168002</v>
      </c>
    </row>
    <row r="665" spans="1:20" x14ac:dyDescent="0.25">
      <c r="A665" s="5">
        <v>43928</v>
      </c>
      <c r="B665">
        <v>15.193</v>
      </c>
      <c r="C665">
        <v>15.49</v>
      </c>
      <c r="D665">
        <v>14.250299999999999</v>
      </c>
      <c r="E665">
        <v>14.726599999999999</v>
      </c>
      <c r="F665">
        <v>4718920.67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-0.23158828748890889</v>
      </c>
      <c r="Q665">
        <f t="shared" si="995"/>
        <v>-1092846.7567613146</v>
      </c>
      <c r="R665">
        <f t="shared" si="996"/>
        <v>218298512.44992813</v>
      </c>
      <c r="S665">
        <f t="shared" si="997"/>
        <v>2182.9851244992815</v>
      </c>
      <c r="T665">
        <f t="shared" si="998"/>
        <v>2.1829851244992815</v>
      </c>
    </row>
    <row r="666" spans="1:20" x14ac:dyDescent="0.25">
      <c r="A666" s="5">
        <v>43927</v>
      </c>
      <c r="B666">
        <v>13.688800000000001</v>
      </c>
      <c r="C666">
        <v>15.2149</v>
      </c>
      <c r="D666">
        <v>13.6371</v>
      </c>
      <c r="E666">
        <v>15.1989</v>
      </c>
      <c r="F666">
        <v>5583296.7599999998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0.97971859551273921</v>
      </c>
      <c r="Q666">
        <f t="shared" si="995"/>
        <v>5470059.660038027</v>
      </c>
      <c r="R666">
        <f t="shared" si="996"/>
        <v>219391359.20668945</v>
      </c>
      <c r="S666">
        <f t="shared" si="997"/>
        <v>2193.9135920668946</v>
      </c>
      <c r="T666">
        <f t="shared" si="998"/>
        <v>2.1939135920668944</v>
      </c>
    </row>
    <row r="667" spans="1:20" x14ac:dyDescent="0.25">
      <c r="A667" s="5">
        <v>43926</v>
      </c>
      <c r="B667">
        <v>13.7608</v>
      </c>
      <c r="C667">
        <v>13.963800000000001</v>
      </c>
      <c r="D667">
        <v>13.4002</v>
      </c>
      <c r="E667">
        <v>13.688800000000001</v>
      </c>
      <c r="F667">
        <v>4275639.25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2.413058907026305E-2</v>
      </c>
      <c r="Q667">
        <f t="shared" si="995"/>
        <v>103173.6937544377</v>
      </c>
      <c r="R667">
        <f t="shared" si="996"/>
        <v>213921299.54665142</v>
      </c>
      <c r="S667">
        <f t="shared" si="997"/>
        <v>2139.2129954665143</v>
      </c>
      <c r="T667">
        <f t="shared" si="998"/>
        <v>2.1392129954665142</v>
      </c>
    </row>
    <row r="668" spans="1:20" x14ac:dyDescent="0.25">
      <c r="A668" s="5">
        <v>43925</v>
      </c>
      <c r="B668">
        <v>13.3682</v>
      </c>
      <c r="C668">
        <v>14.056100000000001</v>
      </c>
      <c r="D668">
        <v>13.1724</v>
      </c>
      <c r="E668">
        <v>13.7606</v>
      </c>
      <c r="F668">
        <v>4840528.53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0.33122100260269277</v>
      </c>
      <c r="Q668">
        <f t="shared" si="995"/>
        <v>1603284.7128335387</v>
      </c>
      <c r="R668">
        <f t="shared" si="996"/>
        <v>213818125.85289699</v>
      </c>
      <c r="S668">
        <f t="shared" si="997"/>
        <v>2138.1812585289699</v>
      </c>
      <c r="T668">
        <f t="shared" si="998"/>
        <v>2.1381812585289701</v>
      </c>
    </row>
    <row r="669" spans="1:20" x14ac:dyDescent="0.25">
      <c r="A669" s="5">
        <v>43924</v>
      </c>
      <c r="B669">
        <v>13.0185</v>
      </c>
      <c r="C669">
        <v>13.57</v>
      </c>
      <c r="D669">
        <v>12.910600000000001</v>
      </c>
      <c r="E669">
        <v>13.361499999999999</v>
      </c>
      <c r="F669">
        <v>5030322.03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0.36760691537761336</v>
      </c>
      <c r="Q669">
        <f t="shared" si="995"/>
        <v>1849181.1648043543</v>
      </c>
      <c r="R669">
        <f t="shared" si="996"/>
        <v>212214841.14006346</v>
      </c>
      <c r="S669">
        <f t="shared" si="997"/>
        <v>2122.1484114006348</v>
      </c>
      <c r="T669">
        <f t="shared" si="998"/>
        <v>2.1221484114006346</v>
      </c>
    </row>
    <row r="670" spans="1:20" x14ac:dyDescent="0.25">
      <c r="A670" s="5">
        <v>43923</v>
      </c>
      <c r="B670">
        <v>12.718999999999999</v>
      </c>
      <c r="C670">
        <v>13.7362</v>
      </c>
      <c r="D670">
        <v>12.5349</v>
      </c>
      <c r="E670">
        <v>13.0166</v>
      </c>
      <c r="F670">
        <v>5332604.53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-0.19803546158328461</v>
      </c>
      <c r="Q670">
        <f t="shared" si="995"/>
        <v>-1056044.7995396645</v>
      </c>
      <c r="R670">
        <f t="shared" si="996"/>
        <v>210365659.9752591</v>
      </c>
      <c r="S670">
        <f t="shared" si="997"/>
        <v>2103.6565997525909</v>
      </c>
      <c r="T670">
        <f t="shared" si="998"/>
        <v>2.1036565997525907</v>
      </c>
    </row>
    <row r="671" spans="1:20" x14ac:dyDescent="0.25">
      <c r="A671" s="5">
        <v>43922</v>
      </c>
      <c r="B671">
        <v>12.5497</v>
      </c>
      <c r="C671">
        <v>12.7386</v>
      </c>
      <c r="D671">
        <v>11.96</v>
      </c>
      <c r="E671">
        <v>12.72</v>
      </c>
      <c r="F671">
        <v>4359956.32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0.95222193680966016</v>
      </c>
      <c r="Q671">
        <f t="shared" si="995"/>
        <v>4151646.0514359185</v>
      </c>
      <c r="R671">
        <f t="shared" si="996"/>
        <v>211421704.77479875</v>
      </c>
      <c r="S671">
        <f t="shared" si="997"/>
        <v>2114.2170477479876</v>
      </c>
      <c r="T671">
        <f t="shared" si="998"/>
        <v>2.1142170477479878</v>
      </c>
    </row>
    <row r="672" spans="1:20" x14ac:dyDescent="0.25">
      <c r="A672" s="5">
        <v>43921</v>
      </c>
      <c r="B672">
        <v>12.136799999999999</v>
      </c>
      <c r="C672">
        <v>12.732200000000001</v>
      </c>
      <c r="D672">
        <v>12.118</v>
      </c>
      <c r="E672">
        <v>12.5451</v>
      </c>
      <c r="F672">
        <v>5120471.1500000004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0.39075219798111088</v>
      </c>
      <c r="Q672">
        <f t="shared" si="995"/>
        <v>2000835.3565613667</v>
      </c>
      <c r="R672">
        <f t="shared" si="996"/>
        <v>207270058.72336283</v>
      </c>
      <c r="S672">
        <f t="shared" si="997"/>
        <v>2072.7005872336285</v>
      </c>
      <c r="T672">
        <f t="shared" si="998"/>
        <v>2.0727005872336286</v>
      </c>
    </row>
    <row r="673" spans="1:20" x14ac:dyDescent="0.25">
      <c r="A673" s="5">
        <v>43920</v>
      </c>
      <c r="B673">
        <v>11.300700000000001</v>
      </c>
      <c r="C673">
        <v>12.4277</v>
      </c>
      <c r="D673">
        <v>11.2552</v>
      </c>
      <c r="E673">
        <v>12.1365</v>
      </c>
      <c r="F673">
        <v>4237647.4800000004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0.50328358208955215</v>
      </c>
      <c r="Q673">
        <f t="shared" si="995"/>
        <v>2132738.4033671641</v>
      </c>
      <c r="R673">
        <f t="shared" si="996"/>
        <v>205269223.36680147</v>
      </c>
      <c r="S673">
        <f t="shared" si="997"/>
        <v>2052.6922336680145</v>
      </c>
      <c r="T673">
        <f t="shared" si="998"/>
        <v>2.0526922336680147</v>
      </c>
    </row>
    <row r="674" spans="1:20" x14ac:dyDescent="0.25">
      <c r="A674" s="5">
        <v>43919</v>
      </c>
      <c r="B674">
        <v>12.188800000000001</v>
      </c>
      <c r="C674">
        <v>12.2425</v>
      </c>
      <c r="D674">
        <v>11.275</v>
      </c>
      <c r="E674">
        <v>11.300800000000001</v>
      </c>
      <c r="F674">
        <v>2305768.52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-0.9466666666666661</v>
      </c>
      <c r="Q674">
        <f t="shared" si="995"/>
        <v>-2182794.1989333322</v>
      </c>
      <c r="R674">
        <f t="shared" si="996"/>
        <v>203136484.96343431</v>
      </c>
      <c r="S674">
        <f t="shared" si="997"/>
        <v>2031.364849634343</v>
      </c>
      <c r="T674">
        <f t="shared" si="998"/>
        <v>2.0313648496343428</v>
      </c>
    </row>
    <row r="675" spans="1:20" x14ac:dyDescent="0.25">
      <c r="A675" s="5">
        <v>43918</v>
      </c>
      <c r="B675">
        <v>12.3375</v>
      </c>
      <c r="C675">
        <v>12.3588</v>
      </c>
      <c r="D675">
        <v>11.641400000000001</v>
      </c>
      <c r="E675">
        <v>12.188800000000001</v>
      </c>
      <c r="F675">
        <v>2478685.11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0.52606635071090035</v>
      </c>
      <c r="Q675">
        <f t="shared" si="995"/>
        <v>1303952.8303791466</v>
      </c>
      <c r="R675">
        <f t="shared" si="996"/>
        <v>205319279.16236764</v>
      </c>
      <c r="S675">
        <f t="shared" si="997"/>
        <v>2053.1927916236764</v>
      </c>
      <c r="T675">
        <f t="shared" si="998"/>
        <v>2.0531927916236765</v>
      </c>
    </row>
    <row r="676" spans="1:20" x14ac:dyDescent="0.25">
      <c r="A676" s="5">
        <v>43917</v>
      </c>
      <c r="B676">
        <v>13.1989</v>
      </c>
      <c r="C676">
        <v>13.365500000000001</v>
      </c>
      <c r="D676">
        <v>12.16</v>
      </c>
      <c r="E676">
        <v>12.3354</v>
      </c>
      <c r="F676">
        <v>2778050.91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-0.70900041476565789</v>
      </c>
      <c r="Q676">
        <f t="shared" si="995"/>
        <v>-1969639.2474301134</v>
      </c>
      <c r="R676">
        <f t="shared" si="996"/>
        <v>204015326.33198848</v>
      </c>
      <c r="S676">
        <f t="shared" si="997"/>
        <v>2040.1532633198849</v>
      </c>
      <c r="T676">
        <f t="shared" si="998"/>
        <v>2.0401532633198851</v>
      </c>
    </row>
    <row r="677" spans="1:20" x14ac:dyDescent="0.25">
      <c r="A677" s="5">
        <v>43916</v>
      </c>
      <c r="B677">
        <v>12.3253</v>
      </c>
      <c r="C677">
        <v>13.256500000000001</v>
      </c>
      <c r="D677">
        <v>12.19</v>
      </c>
      <c r="E677">
        <v>13.199</v>
      </c>
      <c r="F677">
        <v>3439169.72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0.89217065166432086</v>
      </c>
      <c r="Q677">
        <f t="shared" si="995"/>
        <v>3068326.2902766</v>
      </c>
      <c r="R677">
        <f t="shared" si="996"/>
        <v>205984965.5794186</v>
      </c>
      <c r="S677">
        <f t="shared" si="997"/>
        <v>2059.8496557941862</v>
      </c>
      <c r="T677">
        <f t="shared" si="998"/>
        <v>2.0598496557941863</v>
      </c>
    </row>
    <row r="678" spans="1:20" x14ac:dyDescent="0.25">
      <c r="A678" s="5">
        <v>43915</v>
      </c>
      <c r="B678">
        <v>12.4261</v>
      </c>
      <c r="C678">
        <v>12.710800000000001</v>
      </c>
      <c r="D678">
        <v>12.056100000000001</v>
      </c>
      <c r="E678">
        <v>12.325100000000001</v>
      </c>
      <c r="F678">
        <v>3607793.89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-0.17824957996028684</v>
      </c>
      <c r="Q678">
        <f t="shared" si="995"/>
        <v>-643087.7454757893</v>
      </c>
      <c r="R678">
        <f t="shared" si="996"/>
        <v>202916639.28914201</v>
      </c>
      <c r="S678">
        <f t="shared" si="997"/>
        <v>2029.1663928914202</v>
      </c>
      <c r="T678">
        <f t="shared" si="998"/>
        <v>2.0291663928914203</v>
      </c>
    </row>
    <row r="679" spans="1:20" x14ac:dyDescent="0.25">
      <c r="A679" s="5">
        <v>43914</v>
      </c>
      <c r="B679">
        <v>12.188700000000001</v>
      </c>
      <c r="C679">
        <v>12.583399999999999</v>
      </c>
      <c r="D679">
        <v>11.91</v>
      </c>
      <c r="E679">
        <v>12.426</v>
      </c>
      <c r="F679">
        <v>4627182.29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0.53252153252153456</v>
      </c>
      <c r="Q679">
        <f t="shared" si="995"/>
        <v>2464074.2043273039</v>
      </c>
      <c r="R679">
        <f t="shared" si="996"/>
        <v>203559727.03461781</v>
      </c>
      <c r="S679">
        <f t="shared" si="997"/>
        <v>2035.5972703461782</v>
      </c>
      <c r="T679">
        <f t="shared" si="998"/>
        <v>2.0355972703461784</v>
      </c>
    </row>
    <row r="680" spans="1:20" x14ac:dyDescent="0.25">
      <c r="A680" s="5">
        <v>43913</v>
      </c>
      <c r="B680">
        <v>11.1494</v>
      </c>
      <c r="C680">
        <v>12.49</v>
      </c>
      <c r="D680">
        <v>10.842700000000001</v>
      </c>
      <c r="E680">
        <v>12.188700000000001</v>
      </c>
      <c r="F680">
        <v>5299899.45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0.63418927942694159</v>
      </c>
      <c r="Q680">
        <f t="shared" si="995"/>
        <v>3361139.4132307442</v>
      </c>
      <c r="R680">
        <f t="shared" si="996"/>
        <v>201095652.8302905</v>
      </c>
      <c r="S680">
        <f t="shared" si="997"/>
        <v>2010.9565283029049</v>
      </c>
      <c r="T680">
        <f t="shared" si="998"/>
        <v>2.0109565283029047</v>
      </c>
    </row>
    <row r="681" spans="1:20" x14ac:dyDescent="0.25">
      <c r="A681" s="5">
        <v>43912</v>
      </c>
      <c r="B681">
        <v>12.105</v>
      </c>
      <c r="C681">
        <v>12.4754</v>
      </c>
      <c r="D681">
        <v>11.0145</v>
      </c>
      <c r="E681">
        <v>11.167</v>
      </c>
      <c r="F681">
        <v>4562736.8600000003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-0.79122458758299707</v>
      </c>
      <c r="Q681">
        <f t="shared" si="995"/>
        <v>-3610149.5903032394</v>
      </c>
      <c r="R681">
        <f t="shared" si="996"/>
        <v>197734513.41705975</v>
      </c>
      <c r="S681">
        <f t="shared" si="997"/>
        <v>1977.3451341705975</v>
      </c>
      <c r="T681">
        <f t="shared" si="998"/>
        <v>1.9773451341705974</v>
      </c>
    </row>
    <row r="682" spans="1:20" x14ac:dyDescent="0.25">
      <c r="A682" s="5">
        <v>43911</v>
      </c>
      <c r="B682">
        <v>11.896699999999999</v>
      </c>
      <c r="C682">
        <v>12.4199</v>
      </c>
      <c r="D682">
        <v>11.25</v>
      </c>
      <c r="E682">
        <v>12.1</v>
      </c>
      <c r="F682">
        <v>5811696.5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0.4531156509103334</v>
      </c>
      <c r="Q682">
        <f t="shared" si="995"/>
        <v>2633370.6424908065</v>
      </c>
      <c r="R682">
        <f t="shared" si="996"/>
        <v>201344663.00736299</v>
      </c>
      <c r="S682">
        <f t="shared" si="997"/>
        <v>2013.4466300736299</v>
      </c>
      <c r="T682">
        <f t="shared" si="998"/>
        <v>2.0134466300736298</v>
      </c>
    </row>
    <row r="683" spans="1:20" x14ac:dyDescent="0.25">
      <c r="A683" s="5">
        <v>43910</v>
      </c>
      <c r="B683">
        <v>12.2597</v>
      </c>
      <c r="C683">
        <v>13.65</v>
      </c>
      <c r="D683">
        <v>10.401400000000001</v>
      </c>
      <c r="E683">
        <v>11.9147</v>
      </c>
      <c r="F683">
        <v>6965457.9199999999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-6.8337129840547101E-2</v>
      </c>
      <c r="Q683">
        <f t="shared" si="995"/>
        <v>-475999.40227790712</v>
      </c>
      <c r="R683">
        <f t="shared" si="996"/>
        <v>198711292.36487219</v>
      </c>
      <c r="S683">
        <f t="shared" si="997"/>
        <v>1987.1129236487218</v>
      </c>
      <c r="T683">
        <f t="shared" si="998"/>
        <v>1.9871129236487217</v>
      </c>
    </row>
    <row r="684" spans="1:20" x14ac:dyDescent="0.25">
      <c r="A684" s="5">
        <v>43909</v>
      </c>
      <c r="B684">
        <v>10.3917</v>
      </c>
      <c r="C684">
        <v>12.6891</v>
      </c>
      <c r="D684">
        <v>10.226000000000001</v>
      </c>
      <c r="E684">
        <v>12.2597</v>
      </c>
      <c r="F684">
        <v>5850057.1399999997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0.6513336851934558</v>
      </c>
      <c r="Q684">
        <f t="shared" si="995"/>
        <v>3810339.2755884882</v>
      </c>
      <c r="R684">
        <f t="shared" si="996"/>
        <v>199187291.7671501</v>
      </c>
      <c r="S684">
        <f t="shared" si="997"/>
        <v>1991.872917671501</v>
      </c>
      <c r="T684">
        <f t="shared" si="998"/>
        <v>1.9918729176715011</v>
      </c>
    </row>
    <row r="685" spans="1:20" x14ac:dyDescent="0.25">
      <c r="A685" s="5">
        <v>43908</v>
      </c>
      <c r="B685">
        <v>10.2498</v>
      </c>
      <c r="C685">
        <v>10.430099999999999</v>
      </c>
      <c r="D685">
        <v>9.6539000000000001</v>
      </c>
      <c r="E685">
        <v>10.3866</v>
      </c>
      <c r="F685">
        <v>4453108.43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0.88791548569956225</v>
      </c>
      <c r="Q685">
        <f t="shared" si="995"/>
        <v>3953983.9344962649</v>
      </c>
      <c r="R685">
        <f t="shared" si="996"/>
        <v>195376952.49156162</v>
      </c>
      <c r="S685">
        <f t="shared" si="997"/>
        <v>1953.7695249156161</v>
      </c>
      <c r="T685">
        <f t="shared" si="998"/>
        <v>1.9537695249156162</v>
      </c>
    </row>
    <row r="686" spans="1:20" x14ac:dyDescent="0.25">
      <c r="A686" s="5">
        <v>43907</v>
      </c>
      <c r="B686">
        <v>9.4290000000000003</v>
      </c>
      <c r="C686">
        <v>10.49</v>
      </c>
      <c r="D686">
        <v>9.3264999999999993</v>
      </c>
      <c r="E686">
        <v>10.2576</v>
      </c>
      <c r="F686">
        <v>5102840.45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0.6005156854318866</v>
      </c>
      <c r="Q686">
        <f t="shared" si="995"/>
        <v>3064335.730481307</v>
      </c>
      <c r="R686">
        <f t="shared" si="996"/>
        <v>191422968.55706537</v>
      </c>
      <c r="S686">
        <f t="shared" si="997"/>
        <v>1914.2296855706536</v>
      </c>
      <c r="T686">
        <f t="shared" si="998"/>
        <v>1.9142296855706535</v>
      </c>
    </row>
    <row r="687" spans="1:20" x14ac:dyDescent="0.25">
      <c r="A687" s="5">
        <v>43906</v>
      </c>
      <c r="B687">
        <v>10.380800000000001</v>
      </c>
      <c r="C687">
        <v>10.395200000000001</v>
      </c>
      <c r="D687">
        <v>8.4421999999999997</v>
      </c>
      <c r="E687">
        <v>9.4284999999999997</v>
      </c>
      <c r="F687">
        <v>5814301.1699999999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1.0035842293906154E-2</v>
      </c>
      <c r="Q687">
        <f t="shared" si="995"/>
        <v>58351.409591394033</v>
      </c>
      <c r="R687">
        <f t="shared" si="996"/>
        <v>188358632.82658407</v>
      </c>
      <c r="S687">
        <f t="shared" si="997"/>
        <v>1883.5863282658406</v>
      </c>
      <c r="T687">
        <f t="shared" si="998"/>
        <v>1.8835863282658407</v>
      </c>
    </row>
    <row r="688" spans="1:20" x14ac:dyDescent="0.25">
      <c r="A688" s="5">
        <v>43905</v>
      </c>
      <c r="B688">
        <v>10.147500000000001</v>
      </c>
      <c r="C688">
        <v>11.2644</v>
      </c>
      <c r="D688">
        <v>9.9768000000000008</v>
      </c>
      <c r="E688">
        <v>10.389799999999999</v>
      </c>
      <c r="F688">
        <v>6424065.3600000003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-0.35849642746194677</v>
      </c>
      <c r="Q688">
        <f t="shared" si="995"/>
        <v>-2303004.4813420451</v>
      </c>
      <c r="R688">
        <f t="shared" si="996"/>
        <v>188300281.41699266</v>
      </c>
      <c r="S688">
        <f t="shared" si="997"/>
        <v>1883.0028141699268</v>
      </c>
      <c r="T688">
        <f t="shared" si="998"/>
        <v>1.8830028141699267</v>
      </c>
    </row>
    <row r="689" spans="1:20" x14ac:dyDescent="0.25">
      <c r="A689" s="5">
        <v>43904</v>
      </c>
      <c r="B689">
        <v>10.9224</v>
      </c>
      <c r="C689">
        <v>11.288600000000001</v>
      </c>
      <c r="D689">
        <v>9.8651999999999997</v>
      </c>
      <c r="E689">
        <v>10.1487</v>
      </c>
      <c r="F689">
        <v>5350550.68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-0.60165800196712116</v>
      </c>
      <c r="Q689">
        <f t="shared" si="995"/>
        <v>-3219201.6315526213</v>
      </c>
      <c r="R689">
        <f t="shared" si="996"/>
        <v>190603285.89833471</v>
      </c>
      <c r="S689">
        <f t="shared" si="997"/>
        <v>1906.0328589833471</v>
      </c>
      <c r="T689">
        <f t="shared" si="998"/>
        <v>1.9060328589833471</v>
      </c>
    </row>
    <row r="690" spans="1:20" x14ac:dyDescent="0.25">
      <c r="A690" s="5">
        <v>43903</v>
      </c>
      <c r="B690">
        <v>9.2565000000000008</v>
      </c>
      <c r="C690">
        <v>11.5572</v>
      </c>
      <c r="D690">
        <v>6.38</v>
      </c>
      <c r="E690">
        <v>10.920400000000001</v>
      </c>
      <c r="F690">
        <v>11661947.1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0.75399830023951209</v>
      </c>
      <c r="Q690">
        <f t="shared" si="995"/>
        <v>8793088.2908831071</v>
      </c>
      <c r="R690">
        <f t="shared" si="996"/>
        <v>193822487.52988732</v>
      </c>
      <c r="S690">
        <f t="shared" si="997"/>
        <v>1938.2248752988733</v>
      </c>
      <c r="T690">
        <f t="shared" si="998"/>
        <v>1.9382248752988733</v>
      </c>
    </row>
    <row r="691" spans="1:20" x14ac:dyDescent="0.25">
      <c r="A691" s="5">
        <v>43902</v>
      </c>
      <c r="B691">
        <v>16.569800000000001</v>
      </c>
      <c r="C691">
        <v>16.600000000000001</v>
      </c>
      <c r="D691">
        <v>8.89</v>
      </c>
      <c r="E691">
        <v>9.2566000000000006</v>
      </c>
      <c r="F691">
        <v>8801238.3699999992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-0.90490272373540859</v>
      </c>
      <c r="Q691">
        <f t="shared" si="995"/>
        <v>-7964264.5732575869</v>
      </c>
      <c r="R691">
        <f t="shared" si="996"/>
        <v>185029399.23900422</v>
      </c>
      <c r="S691">
        <f t="shared" si="997"/>
        <v>1850.2939923900421</v>
      </c>
      <c r="T691">
        <f t="shared" si="998"/>
        <v>1.8502939923900421</v>
      </c>
    </row>
    <row r="692" spans="1:20" x14ac:dyDescent="0.25">
      <c r="A692" s="5">
        <v>43901</v>
      </c>
      <c r="B692">
        <v>16.853000000000002</v>
      </c>
      <c r="C692">
        <v>17.1388</v>
      </c>
      <c r="D692">
        <v>15.41</v>
      </c>
      <c r="E692">
        <v>16.570499999999999</v>
      </c>
      <c r="F692">
        <v>2581538.77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0.342549745488199</v>
      </c>
      <c r="Q692">
        <f t="shared" si="995"/>
        <v>884305.44863141829</v>
      </c>
      <c r="R692">
        <f t="shared" si="996"/>
        <v>192993663.81226182</v>
      </c>
      <c r="S692">
        <f t="shared" si="997"/>
        <v>1929.9366381226182</v>
      </c>
      <c r="T692">
        <f t="shared" si="998"/>
        <v>1.9299366381226182</v>
      </c>
    </row>
    <row r="693" spans="1:20" x14ac:dyDescent="0.25">
      <c r="A693" s="5">
        <v>43900</v>
      </c>
      <c r="B693">
        <v>16.593399999999999</v>
      </c>
      <c r="C693">
        <v>17.447500000000002</v>
      </c>
      <c r="D693">
        <v>16.310700000000001</v>
      </c>
      <c r="E693">
        <v>16.867100000000001</v>
      </c>
      <c r="F693">
        <v>3449744.57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-2.1111893033076083E-2</v>
      </c>
      <c r="Q693">
        <f t="shared" si="995"/>
        <v>-72830.638353275048</v>
      </c>
      <c r="R693">
        <f t="shared" si="996"/>
        <v>192109358.36363041</v>
      </c>
      <c r="S693">
        <f t="shared" si="997"/>
        <v>1921.0935836363042</v>
      </c>
      <c r="T693">
        <f t="shared" si="998"/>
        <v>1.9210935836363041</v>
      </c>
    </row>
    <row r="694" spans="1:20" x14ac:dyDescent="0.25">
      <c r="A694" s="5">
        <v>43899</v>
      </c>
      <c r="B694">
        <v>16.893899999999999</v>
      </c>
      <c r="C694">
        <v>17.477499999999999</v>
      </c>
      <c r="D694">
        <v>15.6168</v>
      </c>
      <c r="E694">
        <v>16.588799999999999</v>
      </c>
      <c r="F694">
        <v>4046754.14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4.4768098027623743E-2</v>
      </c>
      <c r="Q694">
        <f t="shared" si="995"/>
        <v>181165.48603321222</v>
      </c>
      <c r="R694">
        <f t="shared" si="996"/>
        <v>192182189.0019837</v>
      </c>
      <c r="S694">
        <f t="shared" si="997"/>
        <v>1921.8218900198369</v>
      </c>
      <c r="T694">
        <f t="shared" si="998"/>
        <v>1.9218218900198369</v>
      </c>
    </row>
    <row r="695" spans="1:20" x14ac:dyDescent="0.25">
      <c r="A695" s="5">
        <v>43898</v>
      </c>
      <c r="B695">
        <v>20.25</v>
      </c>
      <c r="C695">
        <v>20.261199999999999</v>
      </c>
      <c r="D695">
        <v>16.7315</v>
      </c>
      <c r="E695">
        <v>16.893999999999998</v>
      </c>
      <c r="F695">
        <v>3465550.25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-0.9079241861914622</v>
      </c>
      <c r="Q695">
        <f t="shared" si="995"/>
        <v>-3146456.8904368682</v>
      </c>
      <c r="R695">
        <f t="shared" si="996"/>
        <v>192001023.5159505</v>
      </c>
      <c r="S695">
        <f t="shared" si="997"/>
        <v>1920.0102351595051</v>
      </c>
      <c r="T695">
        <f t="shared" si="998"/>
        <v>1.9200102351595052</v>
      </c>
    </row>
    <row r="696" spans="1:20" x14ac:dyDescent="0.25">
      <c r="A696" s="5">
        <v>43897</v>
      </c>
      <c r="B696">
        <v>21.338899999999999</v>
      </c>
      <c r="C696">
        <v>21.49</v>
      </c>
      <c r="D696">
        <v>19.718299999999999</v>
      </c>
      <c r="E696">
        <v>20.25</v>
      </c>
      <c r="F696">
        <v>2378944.85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-0.39978551673533785</v>
      </c>
      <c r="Q696">
        <f t="shared" si="995"/>
        <v>-951067.69614212087</v>
      </c>
      <c r="R696">
        <f t="shared" si="996"/>
        <v>195147480.40638736</v>
      </c>
      <c r="S696">
        <f t="shared" si="997"/>
        <v>1951.4748040638735</v>
      </c>
      <c r="T696">
        <f t="shared" si="998"/>
        <v>1.9514748040638736</v>
      </c>
    </row>
    <row r="697" spans="1:20" x14ac:dyDescent="0.25">
      <c r="A697" s="5">
        <v>43896</v>
      </c>
      <c r="B697">
        <v>20.746300000000002</v>
      </c>
      <c r="C697">
        <v>21.762799999999999</v>
      </c>
      <c r="D697">
        <v>20.630299999999998</v>
      </c>
      <c r="E697">
        <v>21.338899999999999</v>
      </c>
      <c r="F697">
        <v>3229858.82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0.25139072847682187</v>
      </c>
      <c r="Q697">
        <f t="shared" si="995"/>
        <v>811956.56163708819</v>
      </c>
      <c r="R697">
        <f t="shared" si="996"/>
        <v>196098548.10252947</v>
      </c>
      <c r="S697">
        <f t="shared" si="997"/>
        <v>1960.9854810252946</v>
      </c>
      <c r="T697">
        <f t="shared" si="998"/>
        <v>1.9609854810252947</v>
      </c>
    </row>
    <row r="698" spans="1:20" x14ac:dyDescent="0.25">
      <c r="A698" s="5">
        <v>43895</v>
      </c>
      <c r="B698">
        <v>19.95</v>
      </c>
      <c r="C698">
        <v>21.458500000000001</v>
      </c>
      <c r="D698">
        <v>19.940100000000001</v>
      </c>
      <c r="E698">
        <v>20.746200000000002</v>
      </c>
      <c r="F698">
        <v>3090423.11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6.1775553213910483E-2</v>
      </c>
      <c r="Q698">
        <f t="shared" si="995"/>
        <v>190912.59728530372</v>
      </c>
      <c r="R698">
        <f t="shared" si="996"/>
        <v>195286591.54089239</v>
      </c>
      <c r="S698">
        <f t="shared" si="997"/>
        <v>1952.8659154089239</v>
      </c>
      <c r="T698">
        <f t="shared" si="998"/>
        <v>1.9528659154089238</v>
      </c>
    </row>
    <row r="699" spans="1:20" x14ac:dyDescent="0.25">
      <c r="A699" s="5">
        <v>43894</v>
      </c>
      <c r="B699">
        <v>19.6707</v>
      </c>
      <c r="C699">
        <v>20.284700000000001</v>
      </c>
      <c r="D699">
        <v>19.513100000000001</v>
      </c>
      <c r="E699">
        <v>19.95</v>
      </c>
      <c r="F699">
        <v>2408511.94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0.13245204769310054</v>
      </c>
      <c r="Q699">
        <f t="shared" si="995"/>
        <v>319012.33834628208</v>
      </c>
      <c r="R699">
        <f t="shared" si="996"/>
        <v>195095678.94360709</v>
      </c>
      <c r="S699">
        <f t="shared" si="997"/>
        <v>1950.9567894360709</v>
      </c>
      <c r="T699">
        <f t="shared" si="998"/>
        <v>1.9509567894360709</v>
      </c>
    </row>
    <row r="700" spans="1:20" x14ac:dyDescent="0.25">
      <c r="A700" s="5">
        <v>43893</v>
      </c>
      <c r="B700">
        <v>19.9297</v>
      </c>
      <c r="C700">
        <v>20.386500000000002</v>
      </c>
      <c r="D700">
        <v>19.3156</v>
      </c>
      <c r="E700">
        <v>19.688199999999998</v>
      </c>
      <c r="F700">
        <v>2545825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-0.30413670744234217</v>
      </c>
      <c r="Q700">
        <f t="shared" si="995"/>
        <v>-774278.83322440076</v>
      </c>
      <c r="R700">
        <f t="shared" si="996"/>
        <v>194776666.60526082</v>
      </c>
      <c r="S700">
        <f t="shared" si="997"/>
        <v>1947.7666660526081</v>
      </c>
      <c r="T700">
        <f t="shared" si="998"/>
        <v>1.9477666660526081</v>
      </c>
    </row>
    <row r="701" spans="1:20" x14ac:dyDescent="0.25">
      <c r="A701" s="5">
        <v>43892</v>
      </c>
      <c r="B701">
        <v>18.918299999999999</v>
      </c>
      <c r="C701">
        <v>20.072199999999999</v>
      </c>
      <c r="D701">
        <v>18.758299999999998</v>
      </c>
      <c r="E701">
        <v>19.928899999999999</v>
      </c>
      <c r="F701">
        <v>3267729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0.78187076642058007</v>
      </c>
      <c r="Q701">
        <f t="shared" si="995"/>
        <v>2554941.7776847556</v>
      </c>
      <c r="R701">
        <f t="shared" si="996"/>
        <v>195550945.43848521</v>
      </c>
      <c r="S701">
        <f t="shared" si="997"/>
        <v>1955.509454384852</v>
      </c>
      <c r="T701">
        <f t="shared" si="998"/>
        <v>1.9555094543848519</v>
      </c>
    </row>
    <row r="702" spans="1:20" x14ac:dyDescent="0.25">
      <c r="A702" s="5">
        <v>43891</v>
      </c>
      <c r="B702">
        <v>19.248100000000001</v>
      </c>
      <c r="C702">
        <v>19.8994</v>
      </c>
      <c r="D702">
        <v>18.488</v>
      </c>
      <c r="E702">
        <v>18.902000000000001</v>
      </c>
      <c r="F702">
        <v>2382184.7799999998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-0.41334844834915496</v>
      </c>
      <c r="Q702">
        <f t="shared" si="995"/>
        <v>-984672.38249397301</v>
      </c>
      <c r="R702">
        <f t="shared" si="996"/>
        <v>192996003.66080046</v>
      </c>
      <c r="S702">
        <f t="shared" si="997"/>
        <v>1929.9600366080047</v>
      </c>
      <c r="T702">
        <f t="shared" si="998"/>
        <v>1.9299600366080047</v>
      </c>
    </row>
    <row r="703" spans="1:20" x14ac:dyDescent="0.25">
      <c r="A703" s="5">
        <v>43890</v>
      </c>
      <c r="B703">
        <v>18.983799999999999</v>
      </c>
      <c r="C703">
        <v>20.399999999999999</v>
      </c>
      <c r="D703">
        <v>18.8</v>
      </c>
      <c r="E703">
        <v>19.23</v>
      </c>
      <c r="F703">
        <v>3569383.92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-0.46249999999999963</v>
      </c>
      <c r="Q703">
        <f t="shared" si="995"/>
        <v>-1650840.0629999987</v>
      </c>
      <c r="R703">
        <f t="shared" si="996"/>
        <v>193980676.04329443</v>
      </c>
      <c r="S703">
        <f t="shared" si="997"/>
        <v>1939.8067604329442</v>
      </c>
      <c r="T703">
        <f t="shared" si="998"/>
        <v>1.9398067604329443</v>
      </c>
    </row>
    <row r="704" spans="1:20" x14ac:dyDescent="0.25">
      <c r="A704" s="5">
        <v>43889</v>
      </c>
      <c r="B704">
        <v>19.1889</v>
      </c>
      <c r="C704">
        <v>19.755099999999999</v>
      </c>
      <c r="D704">
        <v>17.9053</v>
      </c>
      <c r="E704">
        <v>18.983799999999999</v>
      </c>
      <c r="F704">
        <v>3099999.93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0.1660720077846245</v>
      </c>
      <c r="Q704">
        <f t="shared" si="995"/>
        <v>514823.21250729542</v>
      </c>
      <c r="R704">
        <f t="shared" si="996"/>
        <v>195631516.10629442</v>
      </c>
      <c r="S704">
        <f t="shared" si="997"/>
        <v>1956.3151610629443</v>
      </c>
      <c r="T704">
        <f t="shared" si="998"/>
        <v>1.9563151610629443</v>
      </c>
    </row>
    <row r="705" spans="1:20" x14ac:dyDescent="0.25">
      <c r="A705" s="5">
        <v>43888</v>
      </c>
      <c r="B705">
        <v>18.733799999999999</v>
      </c>
      <c r="C705">
        <v>19.649899999999999</v>
      </c>
      <c r="D705">
        <v>17.705100000000002</v>
      </c>
      <c r="E705">
        <v>19.2</v>
      </c>
      <c r="F705">
        <v>3018934.76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0.53733031674208132</v>
      </c>
      <c r="Q705">
        <f t="shared" si="995"/>
        <v>1622165.170814479</v>
      </c>
      <c r="R705">
        <f t="shared" si="996"/>
        <v>195116692.89378712</v>
      </c>
      <c r="S705">
        <f t="shared" si="997"/>
        <v>1951.1669289378713</v>
      </c>
      <c r="T705">
        <f t="shared" si="998"/>
        <v>1.9511669289378712</v>
      </c>
    </row>
    <row r="706" spans="1:20" x14ac:dyDescent="0.25">
      <c r="A706" s="5">
        <v>43887</v>
      </c>
      <c r="B706">
        <v>20.331600000000002</v>
      </c>
      <c r="C706">
        <v>20.519100000000002</v>
      </c>
      <c r="D706">
        <v>17.899999999999999</v>
      </c>
      <c r="E706">
        <v>18.7441</v>
      </c>
      <c r="F706">
        <v>3772185.04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-0.35542743690580736</v>
      </c>
      <c r="Q706">
        <f t="shared" si="995"/>
        <v>-1340738.0603016305</v>
      </c>
      <c r="R706">
        <f t="shared" si="996"/>
        <v>193494527.72297263</v>
      </c>
      <c r="S706">
        <f t="shared" si="997"/>
        <v>1934.9452772297263</v>
      </c>
      <c r="T706">
        <f t="shared" si="998"/>
        <v>1.9349452772297264</v>
      </c>
    </row>
    <row r="707" spans="1:20" x14ac:dyDescent="0.25">
      <c r="A707" s="5">
        <v>43886</v>
      </c>
      <c r="B707">
        <v>22.096499999999999</v>
      </c>
      <c r="C707">
        <v>22.096699999999998</v>
      </c>
      <c r="D707">
        <v>20.071100000000001</v>
      </c>
      <c r="E707">
        <v>20.319299999999998</v>
      </c>
      <c r="F707">
        <v>2335580.11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-0.75493680884676395</v>
      </c>
      <c r="Q707">
        <f t="shared" si="995"/>
        <v>-1763215.3950493739</v>
      </c>
      <c r="R707">
        <f t="shared" si="996"/>
        <v>194835265.78327426</v>
      </c>
      <c r="S707">
        <f t="shared" si="997"/>
        <v>1948.3526578327426</v>
      </c>
      <c r="T707">
        <f t="shared" si="998"/>
        <v>1.9483526578327426</v>
      </c>
    </row>
    <row r="708" spans="1:20" x14ac:dyDescent="0.25">
      <c r="A708" s="5">
        <v>43885</v>
      </c>
      <c r="B708">
        <v>22.826699999999999</v>
      </c>
      <c r="C708">
        <v>23.254999999999999</v>
      </c>
      <c r="D708">
        <v>21.484400000000001</v>
      </c>
      <c r="E708">
        <v>22.096499999999999</v>
      </c>
      <c r="F708">
        <v>2294898.35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-0.30859595617305013</v>
      </c>
      <c r="Q708">
        <f t="shared" si="995"/>
        <v>-708196.35063820507</v>
      </c>
      <c r="R708">
        <f t="shared" si="996"/>
        <v>196598481.17832363</v>
      </c>
      <c r="S708">
        <f t="shared" si="997"/>
        <v>1965.9848117832362</v>
      </c>
      <c r="T708">
        <f t="shared" si="998"/>
        <v>1.9659848117832361</v>
      </c>
    </row>
    <row r="709" spans="1:20" x14ac:dyDescent="0.25">
      <c r="A709" s="5">
        <v>43884</v>
      </c>
      <c r="B709">
        <v>21.945799999999998</v>
      </c>
      <c r="C709">
        <v>22.98</v>
      </c>
      <c r="D709">
        <v>21.927499999999998</v>
      </c>
      <c r="E709">
        <v>22.845199999999998</v>
      </c>
      <c r="F709">
        <v>3052036.96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0.74384798099762128</v>
      </c>
      <c r="Q709">
        <f t="shared" si="995"/>
        <v>2270251.5306261177</v>
      </c>
      <c r="R709">
        <f t="shared" si="996"/>
        <v>197306677.52896184</v>
      </c>
      <c r="S709">
        <f t="shared" si="997"/>
        <v>1973.0667752896184</v>
      </c>
      <c r="T709">
        <f t="shared" si="998"/>
        <v>1.9730667752896183</v>
      </c>
    </row>
    <row r="710" spans="1:20" x14ac:dyDescent="0.25">
      <c r="A710" s="5">
        <v>43883</v>
      </c>
      <c r="B710">
        <v>22.1997</v>
      </c>
      <c r="C710">
        <v>22.35</v>
      </c>
      <c r="D710">
        <v>21.5</v>
      </c>
      <c r="E710">
        <v>21.968900000000001</v>
      </c>
      <c r="F710">
        <v>2139282.2200000002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0.10329411764706034</v>
      </c>
      <c r="Q710">
        <f t="shared" ref="Q710:Q766" si="1000">F710*P710</f>
        <v>220975.26931294444</v>
      </c>
      <c r="R710">
        <f t="shared" ref="R710:R766" si="1001">R711+Q710</f>
        <v>195036425.99833572</v>
      </c>
      <c r="S710">
        <f t="shared" ref="S710:S766" si="1002">R710/100000</f>
        <v>1950.3642599833572</v>
      </c>
      <c r="T710">
        <f t="shared" ref="T710:T766" si="1003">S710/1000</f>
        <v>1.9503642599833573</v>
      </c>
    </row>
    <row r="711" spans="1:20" x14ac:dyDescent="0.25">
      <c r="A711" s="5">
        <v>43882</v>
      </c>
      <c r="B711">
        <v>22.1617</v>
      </c>
      <c r="C711">
        <v>22.863900000000001</v>
      </c>
      <c r="D711">
        <v>21.767700000000001</v>
      </c>
      <c r="E711">
        <v>22.188800000000001</v>
      </c>
      <c r="F711">
        <v>2989205.36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-0.23170954205437094</v>
      </c>
      <c r="Q711">
        <f t="shared" si="1000"/>
        <v>-692627.40507207101</v>
      </c>
      <c r="R711">
        <f t="shared" si="1001"/>
        <v>194815450.72902277</v>
      </c>
      <c r="S711">
        <f t="shared" si="1002"/>
        <v>1948.1545072902277</v>
      </c>
      <c r="T711">
        <f t="shared" si="1003"/>
        <v>1.9481545072902278</v>
      </c>
    </row>
    <row r="712" spans="1:20" x14ac:dyDescent="0.25">
      <c r="A712" s="5">
        <v>43881</v>
      </c>
      <c r="B712">
        <v>22.370200000000001</v>
      </c>
      <c r="C712">
        <v>22.674099999999999</v>
      </c>
      <c r="D712">
        <v>21</v>
      </c>
      <c r="E712">
        <v>22.162600000000001</v>
      </c>
      <c r="F712">
        <v>2367513.62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0.38892539274834442</v>
      </c>
      <c r="Q712">
        <f t="shared" si="1000"/>
        <v>920786.16449555475</v>
      </c>
      <c r="R712">
        <f t="shared" si="1001"/>
        <v>195508078.13409483</v>
      </c>
      <c r="S712">
        <f t="shared" si="1002"/>
        <v>1955.0807813409483</v>
      </c>
      <c r="T712">
        <f t="shared" si="1003"/>
        <v>1.9550807813409483</v>
      </c>
    </row>
    <row r="713" spans="1:20" x14ac:dyDescent="0.25">
      <c r="A713" s="5">
        <v>43880</v>
      </c>
      <c r="B713">
        <v>24.0611</v>
      </c>
      <c r="C713">
        <v>24.3264</v>
      </c>
      <c r="D713">
        <v>21.8</v>
      </c>
      <c r="E713">
        <v>22.370899999999999</v>
      </c>
      <c r="F713">
        <v>2160221.91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-0.54805256491450405</v>
      </c>
      <c r="Q713">
        <f t="shared" si="1000"/>
        <v>-1183915.158560009</v>
      </c>
      <c r="R713">
        <f t="shared" si="1001"/>
        <v>194587291.96959928</v>
      </c>
      <c r="S713">
        <f t="shared" si="1002"/>
        <v>1945.8729196959928</v>
      </c>
      <c r="T713">
        <f t="shared" si="1003"/>
        <v>1.9458729196959927</v>
      </c>
    </row>
    <row r="714" spans="1:20" x14ac:dyDescent="0.25">
      <c r="A714" s="5">
        <v>43879</v>
      </c>
      <c r="B714">
        <v>23.4558</v>
      </c>
      <c r="C714">
        <v>24.4588</v>
      </c>
      <c r="D714">
        <v>22.801300000000001</v>
      </c>
      <c r="E714">
        <v>24.082100000000001</v>
      </c>
      <c r="F714">
        <v>3010749.17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0.54546003016591271</v>
      </c>
      <c r="Q714">
        <f t="shared" si="1000"/>
        <v>1642243.3330901966</v>
      </c>
      <c r="R714">
        <f t="shared" si="1001"/>
        <v>195771207.12815928</v>
      </c>
      <c r="S714">
        <f t="shared" si="1002"/>
        <v>1957.7120712815929</v>
      </c>
      <c r="T714">
        <f t="shared" si="1003"/>
        <v>1.957712071281593</v>
      </c>
    </row>
    <row r="715" spans="1:20" x14ac:dyDescent="0.25">
      <c r="A715" s="5">
        <v>43878</v>
      </c>
      <c r="B715">
        <v>23.319299999999998</v>
      </c>
      <c r="C715">
        <v>23.6</v>
      </c>
      <c r="D715">
        <v>21.550999999999998</v>
      </c>
      <c r="E715">
        <v>23.455500000000001</v>
      </c>
      <c r="F715">
        <v>3208991.96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0.85895558809175154</v>
      </c>
      <c r="Q715">
        <f t="shared" si="1000"/>
        <v>2756381.5761835026</v>
      </c>
      <c r="R715">
        <f t="shared" si="1001"/>
        <v>194128963.7950691</v>
      </c>
      <c r="S715">
        <f t="shared" si="1002"/>
        <v>1941.289637950691</v>
      </c>
      <c r="T715">
        <f t="shared" si="1003"/>
        <v>1.941289637950691</v>
      </c>
    </row>
    <row r="716" spans="1:20" x14ac:dyDescent="0.25">
      <c r="A716" s="5">
        <v>43877</v>
      </c>
      <c r="B716">
        <v>24.238800000000001</v>
      </c>
      <c r="C716">
        <v>25.2485</v>
      </c>
      <c r="D716">
        <v>21.8</v>
      </c>
      <c r="E716">
        <v>23.319299999999998</v>
      </c>
      <c r="F716">
        <v>3752723.69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-0.1188632738871985</v>
      </c>
      <c r="Q716">
        <f t="shared" si="1000"/>
        <v>-446061.02378744818</v>
      </c>
      <c r="R716">
        <f t="shared" si="1001"/>
        <v>191372582.2188856</v>
      </c>
      <c r="S716">
        <f t="shared" si="1002"/>
        <v>1913.725822188856</v>
      </c>
      <c r="T716">
        <f t="shared" si="1003"/>
        <v>1.913725822188856</v>
      </c>
    </row>
    <row r="717" spans="1:20" x14ac:dyDescent="0.25">
      <c r="A717" s="5">
        <v>43876</v>
      </c>
      <c r="B717">
        <v>26.366199999999999</v>
      </c>
      <c r="C717">
        <v>26.493099999999998</v>
      </c>
      <c r="D717">
        <v>23.5288</v>
      </c>
      <c r="E717">
        <v>24.2576</v>
      </c>
      <c r="F717">
        <v>3355196.37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-0.50828188779813099</v>
      </c>
      <c r="Q717">
        <f t="shared" si="1000"/>
        <v>-1705385.5448770365</v>
      </c>
      <c r="R717">
        <f t="shared" si="1001"/>
        <v>191818643.24267304</v>
      </c>
      <c r="S717">
        <f t="shared" si="1002"/>
        <v>1918.1864324267303</v>
      </c>
      <c r="T717">
        <f t="shared" si="1003"/>
        <v>1.9181864324267304</v>
      </c>
    </row>
    <row r="718" spans="1:20" x14ac:dyDescent="0.25">
      <c r="A718" s="5">
        <v>43875</v>
      </c>
      <c r="B718">
        <v>25.4621</v>
      </c>
      <c r="C718">
        <v>26.513000000000002</v>
      </c>
      <c r="D718">
        <v>25.0304</v>
      </c>
      <c r="E718">
        <v>26.354700000000001</v>
      </c>
      <c r="F718">
        <v>3252594.32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0.7864562255497094</v>
      </c>
      <c r="Q718">
        <f t="shared" si="1000"/>
        <v>2558023.0521516236</v>
      </c>
      <c r="R718">
        <f t="shared" si="1001"/>
        <v>193524028.78755006</v>
      </c>
      <c r="S718">
        <f t="shared" si="1002"/>
        <v>1935.2402878755006</v>
      </c>
      <c r="T718">
        <f t="shared" si="1003"/>
        <v>1.9352402878755006</v>
      </c>
    </row>
    <row r="719" spans="1:20" x14ac:dyDescent="0.25">
      <c r="A719" s="5">
        <v>43874</v>
      </c>
      <c r="B719">
        <v>26.413599999999999</v>
      </c>
      <c r="C719">
        <v>27.1905</v>
      </c>
      <c r="D719">
        <v>24.599499999999999</v>
      </c>
      <c r="E719">
        <v>25.457899999999999</v>
      </c>
      <c r="F719">
        <v>3638084.35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-0.33739868776534215</v>
      </c>
      <c r="Q719">
        <f t="shared" si="1000"/>
        <v>-1227484.8856696277</v>
      </c>
      <c r="R719">
        <f t="shared" si="1001"/>
        <v>190966005.73539844</v>
      </c>
      <c r="S719">
        <f t="shared" si="1002"/>
        <v>1909.6600573539845</v>
      </c>
      <c r="T719">
        <f t="shared" si="1003"/>
        <v>1.9096600573539846</v>
      </c>
    </row>
    <row r="720" spans="1:20" x14ac:dyDescent="0.25">
      <c r="A720" s="5">
        <v>43873</v>
      </c>
      <c r="B720">
        <v>25.672799999999999</v>
      </c>
      <c r="C720">
        <v>26.919599999999999</v>
      </c>
      <c r="D720">
        <v>25.340199999999999</v>
      </c>
      <c r="E720">
        <v>26.424299999999999</v>
      </c>
      <c r="F720">
        <v>2954235.48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0.37279979739141395</v>
      </c>
      <c r="Q720">
        <f t="shared" si="1000"/>
        <v>1101338.3883905264</v>
      </c>
      <c r="R720">
        <f t="shared" si="1001"/>
        <v>192193490.62106806</v>
      </c>
      <c r="S720">
        <f t="shared" si="1002"/>
        <v>1921.9349062106805</v>
      </c>
      <c r="T720">
        <f t="shared" si="1003"/>
        <v>1.9219349062106805</v>
      </c>
    </row>
    <row r="721" spans="1:20" x14ac:dyDescent="0.25">
      <c r="A721" s="5">
        <v>43872</v>
      </c>
      <c r="B721">
        <v>25.145</v>
      </c>
      <c r="C721">
        <v>25.74</v>
      </c>
      <c r="D721">
        <v>24.120200000000001</v>
      </c>
      <c r="E721">
        <v>25.696300000000001</v>
      </c>
      <c r="F721">
        <v>3512538.38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0.9460427213236231</v>
      </c>
      <c r="Q721">
        <f t="shared" si="1000"/>
        <v>3323011.3677688707</v>
      </c>
      <c r="R721">
        <f t="shared" si="1001"/>
        <v>191092152.23267752</v>
      </c>
      <c r="S721">
        <f t="shared" si="1002"/>
        <v>1910.9215223267752</v>
      </c>
      <c r="T721">
        <f t="shared" si="1003"/>
        <v>1.9109215223267753</v>
      </c>
    </row>
    <row r="722" spans="1:20" x14ac:dyDescent="0.25">
      <c r="A722" s="5">
        <v>43871</v>
      </c>
      <c r="B722">
        <v>24.351700000000001</v>
      </c>
      <c r="C722">
        <v>25.793500000000002</v>
      </c>
      <c r="D722">
        <v>23.3</v>
      </c>
      <c r="E722">
        <v>25.1465</v>
      </c>
      <c r="F722">
        <v>4794544.72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0.48105073190294623</v>
      </c>
      <c r="Q722">
        <f t="shared" si="1000"/>
        <v>2306419.2466974063</v>
      </c>
      <c r="R722">
        <f t="shared" si="1001"/>
        <v>187769140.86490864</v>
      </c>
      <c r="S722">
        <f t="shared" si="1002"/>
        <v>1877.6914086490863</v>
      </c>
      <c r="T722">
        <f t="shared" si="1003"/>
        <v>1.8776914086490863</v>
      </c>
    </row>
    <row r="723" spans="1:20" x14ac:dyDescent="0.25">
      <c r="A723" s="5">
        <v>43870</v>
      </c>
      <c r="B723">
        <v>21.787099999999999</v>
      </c>
      <c r="C723">
        <v>24.381399999999999</v>
      </c>
      <c r="D723">
        <v>21.7746</v>
      </c>
      <c r="E723">
        <v>24.38</v>
      </c>
      <c r="F723">
        <v>2853749.06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0.99892588614393107</v>
      </c>
      <c r="Q723">
        <f t="shared" si="1000"/>
        <v>2850683.8085929104</v>
      </c>
      <c r="R723">
        <f t="shared" si="1001"/>
        <v>185462721.61821124</v>
      </c>
      <c r="S723">
        <f t="shared" si="1002"/>
        <v>1854.6272161821123</v>
      </c>
      <c r="T723">
        <f t="shared" si="1003"/>
        <v>1.8546272161821122</v>
      </c>
    </row>
    <row r="724" spans="1:20" x14ac:dyDescent="0.25">
      <c r="A724" s="5">
        <v>43869</v>
      </c>
      <c r="B724">
        <v>22.036000000000001</v>
      </c>
      <c r="C724">
        <v>22.19</v>
      </c>
      <c r="D724">
        <v>20.894300000000001</v>
      </c>
      <c r="E724">
        <v>21.788799999999998</v>
      </c>
      <c r="F724">
        <v>2208642.4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0.38072084587481225</v>
      </c>
      <c r="Q724">
        <f t="shared" si="1000"/>
        <v>840876.20276297536</v>
      </c>
      <c r="R724">
        <f t="shared" si="1001"/>
        <v>182612037.80961832</v>
      </c>
      <c r="S724">
        <f t="shared" si="1002"/>
        <v>1826.1203780961832</v>
      </c>
      <c r="T724">
        <f t="shared" si="1003"/>
        <v>1.8261203780961832</v>
      </c>
    </row>
    <row r="725" spans="1:20" x14ac:dyDescent="0.25">
      <c r="A725" s="5">
        <v>43868</v>
      </c>
      <c r="B725">
        <v>20.666499999999999</v>
      </c>
      <c r="C725">
        <v>22.522099999999998</v>
      </c>
      <c r="D725">
        <v>20.5199</v>
      </c>
      <c r="E725">
        <v>22.055499999999999</v>
      </c>
      <c r="F725">
        <v>3187751.23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0.5339126960343622</v>
      </c>
      <c r="Q725">
        <f t="shared" si="1000"/>
        <v>1701980.8534961543</v>
      </c>
      <c r="R725">
        <f t="shared" si="1001"/>
        <v>181771161.60685536</v>
      </c>
      <c r="S725">
        <f t="shared" si="1002"/>
        <v>1817.7116160685537</v>
      </c>
      <c r="T725">
        <f t="shared" si="1003"/>
        <v>1.8177116160685536</v>
      </c>
    </row>
    <row r="726" spans="1:20" x14ac:dyDescent="0.25">
      <c r="A726" s="5">
        <v>43867</v>
      </c>
      <c r="B726">
        <v>19.268599999999999</v>
      </c>
      <c r="C726">
        <v>20.84</v>
      </c>
      <c r="D726">
        <v>19.03</v>
      </c>
      <c r="E726">
        <v>20.6675</v>
      </c>
      <c r="F726">
        <v>2794537.34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0.80939226519337071</v>
      </c>
      <c r="Q726">
        <f t="shared" si="1000"/>
        <v>2261876.9077900564</v>
      </c>
      <c r="R726">
        <f t="shared" si="1001"/>
        <v>180069180.7533592</v>
      </c>
      <c r="S726">
        <f t="shared" si="1002"/>
        <v>1800.6918075335921</v>
      </c>
      <c r="T726">
        <f t="shared" si="1003"/>
        <v>1.800691807533592</v>
      </c>
    </row>
    <row r="727" spans="1:20" x14ac:dyDescent="0.25">
      <c r="A727" s="5">
        <v>43866</v>
      </c>
      <c r="B727">
        <v>18.177800000000001</v>
      </c>
      <c r="C727">
        <v>19.458300000000001</v>
      </c>
      <c r="D727">
        <v>18.163499999999999</v>
      </c>
      <c r="E727">
        <v>19.262</v>
      </c>
      <c r="F727">
        <v>2068915.04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0.69678714859437674</v>
      </c>
      <c r="Q727">
        <f t="shared" si="1000"/>
        <v>1441593.4114056209</v>
      </c>
      <c r="R727">
        <f t="shared" si="1001"/>
        <v>177807303.84556913</v>
      </c>
      <c r="S727">
        <f t="shared" si="1002"/>
        <v>1778.0730384556914</v>
      </c>
      <c r="T727">
        <f t="shared" si="1003"/>
        <v>1.7780730384556913</v>
      </c>
    </row>
    <row r="728" spans="1:20" x14ac:dyDescent="0.25">
      <c r="A728" s="5">
        <v>43865</v>
      </c>
      <c r="B728">
        <v>18.460999999999999</v>
      </c>
      <c r="C728">
        <v>18.6158</v>
      </c>
      <c r="D728">
        <v>17.87</v>
      </c>
      <c r="E728">
        <v>18.177800000000001</v>
      </c>
      <c r="F728">
        <v>1215609.2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-0.17457763475462415</v>
      </c>
      <c r="Q728">
        <f t="shared" si="1000"/>
        <v>-212218.17892196085</v>
      </c>
      <c r="R728">
        <f t="shared" si="1001"/>
        <v>176365710.43416351</v>
      </c>
      <c r="S728">
        <f t="shared" si="1002"/>
        <v>1763.6571043416352</v>
      </c>
      <c r="T728">
        <f t="shared" si="1003"/>
        <v>1.7636571043416351</v>
      </c>
    </row>
    <row r="729" spans="1:20" x14ac:dyDescent="0.25">
      <c r="A729" s="5">
        <v>43864</v>
      </c>
      <c r="B729">
        <v>18.433299999999999</v>
      </c>
      <c r="C729">
        <v>18.876300000000001</v>
      </c>
      <c r="D729">
        <v>18.195900000000002</v>
      </c>
      <c r="E729">
        <v>18.46</v>
      </c>
      <c r="F729">
        <v>1314693.1200000001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-0.22369194591416935</v>
      </c>
      <c r="Q729">
        <f t="shared" si="1000"/>
        <v>-294086.26229277061</v>
      </c>
      <c r="R729">
        <f t="shared" si="1001"/>
        <v>176577928.61308548</v>
      </c>
      <c r="S729">
        <f t="shared" si="1002"/>
        <v>1765.7792861308549</v>
      </c>
      <c r="T729">
        <f t="shared" si="1003"/>
        <v>1.7657792861308548</v>
      </c>
    </row>
    <row r="730" spans="1:20" x14ac:dyDescent="0.25">
      <c r="A730" s="5">
        <v>43863</v>
      </c>
      <c r="B730">
        <v>18.275300000000001</v>
      </c>
      <c r="C730">
        <v>18.7714</v>
      </c>
      <c r="D730">
        <v>17.8277</v>
      </c>
      <c r="E730">
        <v>18.433299999999999</v>
      </c>
      <c r="F730">
        <v>1558716.52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0.28345872629013286</v>
      </c>
      <c r="Q730">
        <f t="shared" si="1000"/>
        <v>441831.79940658843</v>
      </c>
      <c r="R730">
        <f t="shared" si="1001"/>
        <v>176872014.87537825</v>
      </c>
      <c r="S730">
        <f t="shared" si="1002"/>
        <v>1768.7201487537825</v>
      </c>
      <c r="T730">
        <f t="shared" si="1003"/>
        <v>1.7687201487537825</v>
      </c>
    </row>
    <row r="731" spans="1:20" x14ac:dyDescent="0.25">
      <c r="A731" s="5">
        <v>43862</v>
      </c>
      <c r="B731">
        <v>18.264399999999998</v>
      </c>
      <c r="C731">
        <v>18.595600000000001</v>
      </c>
      <c r="D731">
        <v>18.03</v>
      </c>
      <c r="E731">
        <v>18.275200000000002</v>
      </c>
      <c r="F731">
        <v>1511588.86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-0.13295615275813091</v>
      </c>
      <c r="Q731">
        <f t="shared" si="1000"/>
        <v>-200975.03937764897</v>
      </c>
      <c r="R731">
        <f t="shared" si="1001"/>
        <v>176430183.07597166</v>
      </c>
      <c r="S731">
        <f t="shared" si="1002"/>
        <v>1764.3018307597167</v>
      </c>
      <c r="T731">
        <f t="shared" si="1003"/>
        <v>1.7643018307597167</v>
      </c>
    </row>
    <row r="732" spans="1:20" x14ac:dyDescent="0.25">
      <c r="A732" s="5">
        <v>43861</v>
      </c>
      <c r="B732">
        <v>18.555700000000002</v>
      </c>
      <c r="C732">
        <v>18.88</v>
      </c>
      <c r="D732">
        <v>17.8</v>
      </c>
      <c r="E732">
        <v>18.264399999999998</v>
      </c>
      <c r="F732">
        <v>1647399.08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-0.1400000000000029</v>
      </c>
      <c r="Q732">
        <f t="shared" si="1000"/>
        <v>-230635.8712000048</v>
      </c>
      <c r="R732">
        <f t="shared" si="1001"/>
        <v>176631158.11534932</v>
      </c>
      <c r="S732">
        <f t="shared" si="1002"/>
        <v>1766.3115811534933</v>
      </c>
      <c r="T732">
        <f t="shared" si="1003"/>
        <v>1.7663115811534933</v>
      </c>
    </row>
    <row r="733" spans="1:20" x14ac:dyDescent="0.25">
      <c r="A733" s="5">
        <v>43860</v>
      </c>
      <c r="B733">
        <v>17.929600000000001</v>
      </c>
      <c r="C733">
        <v>18.7027</v>
      </c>
      <c r="D733">
        <v>17.7</v>
      </c>
      <c r="E733">
        <v>18.555499999999999</v>
      </c>
      <c r="F733">
        <v>1787521.22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0.70639273960306881</v>
      </c>
      <c r="Q733">
        <f t="shared" si="1000"/>
        <v>1262692.0116944199</v>
      </c>
      <c r="R733">
        <f t="shared" si="1001"/>
        <v>176861793.98654932</v>
      </c>
      <c r="S733">
        <f t="shared" si="1002"/>
        <v>1768.6179398654931</v>
      </c>
      <c r="T733">
        <f t="shared" si="1003"/>
        <v>1.7686179398654931</v>
      </c>
    </row>
    <row r="734" spans="1:20" x14ac:dyDescent="0.25">
      <c r="A734" s="5">
        <v>43859</v>
      </c>
      <c r="B734">
        <v>18.061399999999999</v>
      </c>
      <c r="C734">
        <v>18.4437</v>
      </c>
      <c r="D734">
        <v>17.809000000000001</v>
      </c>
      <c r="E734">
        <v>17.913399999999999</v>
      </c>
      <c r="F734">
        <v>1452764.7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-0.67102568142429975</v>
      </c>
      <c r="Q734">
        <f t="shared" si="1000"/>
        <v>-974842.42276666837</v>
      </c>
      <c r="R734">
        <f t="shared" si="1001"/>
        <v>175599101.97485489</v>
      </c>
      <c r="S734">
        <f t="shared" si="1002"/>
        <v>1755.991019748549</v>
      </c>
      <c r="T734">
        <f t="shared" si="1003"/>
        <v>1.7559910197485489</v>
      </c>
    </row>
    <row r="735" spans="1:20" x14ac:dyDescent="0.25">
      <c r="A735" s="5">
        <v>43858</v>
      </c>
      <c r="B735">
        <v>17.670000000000002</v>
      </c>
      <c r="C735">
        <v>18.16</v>
      </c>
      <c r="D735">
        <v>17.4466</v>
      </c>
      <c r="E735">
        <v>18.066199999999998</v>
      </c>
      <c r="F735">
        <v>1916526.07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0.73703392206335394</v>
      </c>
      <c r="Q735">
        <f t="shared" si="1000"/>
        <v>1412544.7261087662</v>
      </c>
      <c r="R735">
        <f t="shared" si="1001"/>
        <v>176573944.39762154</v>
      </c>
      <c r="S735">
        <f t="shared" si="1002"/>
        <v>1765.7394439762154</v>
      </c>
      <c r="T735">
        <f t="shared" si="1003"/>
        <v>1.7657394439762153</v>
      </c>
    </row>
    <row r="736" spans="1:20" x14ac:dyDescent="0.25">
      <c r="A736" s="5">
        <v>43857</v>
      </c>
      <c r="B736">
        <v>17.491900000000001</v>
      </c>
      <c r="C736">
        <v>17.95</v>
      </c>
      <c r="D736">
        <v>17.219799999999999</v>
      </c>
      <c r="E736">
        <v>17.670000000000002</v>
      </c>
      <c r="F736">
        <v>1562998.84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0.23308682552725937</v>
      </c>
      <c r="Q736">
        <f t="shared" si="1000"/>
        <v>364314.43791838881</v>
      </c>
      <c r="R736">
        <f t="shared" si="1001"/>
        <v>175161399.67151278</v>
      </c>
      <c r="S736">
        <f t="shared" si="1002"/>
        <v>1751.6139967151278</v>
      </c>
      <c r="T736">
        <f t="shared" si="1003"/>
        <v>1.7516139967151279</v>
      </c>
    </row>
    <row r="737" spans="1:20" x14ac:dyDescent="0.25">
      <c r="A737" s="5">
        <v>43856</v>
      </c>
      <c r="B737">
        <v>16.9419</v>
      </c>
      <c r="C737">
        <v>17.498999999999999</v>
      </c>
      <c r="D737">
        <v>16.831499999999998</v>
      </c>
      <c r="E737">
        <v>17.498999999999999</v>
      </c>
      <c r="F737">
        <v>1619344.75</v>
      </c>
      <c r="G737">
        <v>0</v>
      </c>
      <c r="L737" t="s">
        <v>7</v>
      </c>
      <c r="M737" t="s">
        <v>8</v>
      </c>
      <c r="N737" t="s">
        <v>8</v>
      </c>
      <c r="P737">
        <f t="shared" si="999"/>
        <v>1</v>
      </c>
      <c r="Q737">
        <f t="shared" si="1000"/>
        <v>1619344.75</v>
      </c>
      <c r="R737">
        <f t="shared" si="1001"/>
        <v>174797085.23359439</v>
      </c>
      <c r="S737">
        <f t="shared" si="1002"/>
        <v>1747.9708523359438</v>
      </c>
      <c r="T737">
        <f t="shared" si="1003"/>
        <v>1.7479708523359438</v>
      </c>
    </row>
    <row r="738" spans="1:20" x14ac:dyDescent="0.25">
      <c r="A738" s="5">
        <v>43855</v>
      </c>
      <c r="B738">
        <v>17.113299999999999</v>
      </c>
      <c r="C738">
        <v>17.121500000000001</v>
      </c>
      <c r="D738">
        <v>16.5685</v>
      </c>
      <c r="E738">
        <v>16.955500000000001</v>
      </c>
      <c r="F738">
        <v>1211416.32</v>
      </c>
      <c r="G738">
        <v>0</v>
      </c>
      <c r="L738" t="s">
        <v>7</v>
      </c>
      <c r="M738" t="s">
        <v>8</v>
      </c>
      <c r="N738" t="s">
        <v>8</v>
      </c>
      <c r="P738">
        <f t="shared" si="999"/>
        <v>0.39963833634719664</v>
      </c>
      <c r="Q738">
        <f t="shared" si="1000"/>
        <v>484128.40274864325</v>
      </c>
      <c r="R738">
        <f t="shared" si="1001"/>
        <v>173177740.48359439</v>
      </c>
      <c r="S738">
        <f t="shared" si="1002"/>
        <v>1731.7774048359438</v>
      </c>
      <c r="T738">
        <f t="shared" si="1003"/>
        <v>1.7317774048359438</v>
      </c>
    </row>
    <row r="739" spans="1:20" x14ac:dyDescent="0.25">
      <c r="A739" s="5">
        <v>43854</v>
      </c>
      <c r="B739">
        <v>17.081299999999999</v>
      </c>
      <c r="C739">
        <v>17.442900000000002</v>
      </c>
      <c r="D739">
        <v>16.428799999999999</v>
      </c>
      <c r="E739">
        <v>17.114799999999999</v>
      </c>
      <c r="F739">
        <v>1411501.98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0.3529237747756595</v>
      </c>
      <c r="Q739">
        <f t="shared" si="1000"/>
        <v>498152.60688491742</v>
      </c>
      <c r="R739">
        <f t="shared" si="1001"/>
        <v>172693612.08084574</v>
      </c>
      <c r="S739">
        <f t="shared" si="1002"/>
        <v>1726.9361208084574</v>
      </c>
      <c r="T739">
        <f t="shared" si="1003"/>
        <v>1.7269361208084575</v>
      </c>
    </row>
    <row r="740" spans="1:20" x14ac:dyDescent="0.25">
      <c r="A740" s="5">
        <v>43853</v>
      </c>
      <c r="B740">
        <v>17.834399999999999</v>
      </c>
      <c r="C740">
        <v>17.834399999999999</v>
      </c>
      <c r="D740">
        <v>16.7441</v>
      </c>
      <c r="E740">
        <v>17.052399999999999</v>
      </c>
      <c r="F740">
        <v>1363632.79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-0.43446757773090089</v>
      </c>
      <c r="Q740">
        <f t="shared" si="1000"/>
        <v>-592454.23518573027</v>
      </c>
      <c r="R740">
        <f t="shared" si="1001"/>
        <v>172195459.47396082</v>
      </c>
      <c r="S740">
        <f t="shared" si="1002"/>
        <v>1721.9545947396082</v>
      </c>
      <c r="T740">
        <f t="shared" si="1003"/>
        <v>1.7219545947396082</v>
      </c>
    </row>
    <row r="741" spans="1:20" x14ac:dyDescent="0.25">
      <c r="A741" s="5">
        <v>43852</v>
      </c>
      <c r="B741">
        <v>18.110700000000001</v>
      </c>
      <c r="C741">
        <v>18.399999999999999</v>
      </c>
      <c r="D741">
        <v>17.55</v>
      </c>
      <c r="E741">
        <v>17.834399999999999</v>
      </c>
      <c r="F741">
        <v>1607749.78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-0.33082352941176774</v>
      </c>
      <c r="Q741">
        <f t="shared" si="1000"/>
        <v>-531881.45663059317</v>
      </c>
      <c r="R741">
        <f t="shared" si="1001"/>
        <v>172787913.70914656</v>
      </c>
      <c r="S741">
        <f t="shared" si="1002"/>
        <v>1727.8791370914655</v>
      </c>
      <c r="T741">
        <f t="shared" si="1003"/>
        <v>1.7278791370914655</v>
      </c>
    </row>
    <row r="742" spans="1:20" x14ac:dyDescent="0.25">
      <c r="A742" s="5">
        <v>43851</v>
      </c>
      <c r="B742">
        <v>17.326499999999999</v>
      </c>
      <c r="C742">
        <v>18.2</v>
      </c>
      <c r="D742">
        <v>17.222799999999999</v>
      </c>
      <c r="E742">
        <v>18.116599999999998</v>
      </c>
      <c r="F742">
        <v>1923914.5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0.82930822758902778</v>
      </c>
      <c r="Q742">
        <f t="shared" si="1000"/>
        <v>1595518.1240278305</v>
      </c>
      <c r="R742">
        <f t="shared" si="1001"/>
        <v>173319795.16577715</v>
      </c>
      <c r="S742">
        <f t="shared" si="1002"/>
        <v>1733.1979516577715</v>
      </c>
      <c r="T742">
        <f t="shared" si="1003"/>
        <v>1.7331979516577714</v>
      </c>
    </row>
    <row r="743" spans="1:20" x14ac:dyDescent="0.25">
      <c r="A743" s="5">
        <v>43850</v>
      </c>
      <c r="B743">
        <v>17.3706</v>
      </c>
      <c r="C743">
        <v>17.551600000000001</v>
      </c>
      <c r="D743">
        <v>16.804300000000001</v>
      </c>
      <c r="E743">
        <v>17.323499999999999</v>
      </c>
      <c r="F743">
        <v>1576499.08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0.38953566171550502</v>
      </c>
      <c r="Q743">
        <f t="shared" si="1000"/>
        <v>614102.61232168495</v>
      </c>
      <c r="R743">
        <f t="shared" si="1001"/>
        <v>171724277.04174933</v>
      </c>
      <c r="S743">
        <f t="shared" si="1002"/>
        <v>1717.2427704174934</v>
      </c>
      <c r="T743">
        <f t="shared" si="1003"/>
        <v>1.7172427704174933</v>
      </c>
    </row>
    <row r="744" spans="1:20" x14ac:dyDescent="0.25">
      <c r="A744" s="5">
        <v>43849</v>
      </c>
      <c r="B744">
        <v>17.795400000000001</v>
      </c>
      <c r="C744">
        <v>18.495000000000001</v>
      </c>
      <c r="D744">
        <v>16.666599999999999</v>
      </c>
      <c r="E744">
        <v>17.388000000000002</v>
      </c>
      <c r="F744">
        <v>2128210.7400000002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-0.21089477138481524</v>
      </c>
      <c r="Q744">
        <f t="shared" si="1000"/>
        <v>-448828.51747100853</v>
      </c>
      <c r="R744">
        <f t="shared" si="1001"/>
        <v>171110174.42942765</v>
      </c>
      <c r="S744">
        <f t="shared" si="1002"/>
        <v>1711.1017442942766</v>
      </c>
      <c r="T744">
        <f t="shared" si="1003"/>
        <v>1.7111017442942766</v>
      </c>
    </row>
    <row r="745" spans="1:20" x14ac:dyDescent="0.25">
      <c r="A745" s="5">
        <v>43848</v>
      </c>
      <c r="B745">
        <v>18.0763</v>
      </c>
      <c r="C745">
        <v>18.360199999999999</v>
      </c>
      <c r="D745">
        <v>17.45</v>
      </c>
      <c r="E745">
        <v>17.808800000000002</v>
      </c>
      <c r="F745">
        <v>1903293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-0.21160184574818203</v>
      </c>
      <c r="Q745">
        <f t="shared" si="1000"/>
        <v>-402740.31179959461</v>
      </c>
      <c r="R745">
        <f t="shared" si="1001"/>
        <v>171559002.94689867</v>
      </c>
      <c r="S745">
        <f t="shared" si="1002"/>
        <v>1715.5900294689866</v>
      </c>
      <c r="T745">
        <f t="shared" si="1003"/>
        <v>1.7155900294689865</v>
      </c>
    </row>
    <row r="746" spans="1:20" x14ac:dyDescent="0.25">
      <c r="A746" s="5">
        <v>43847</v>
      </c>
      <c r="B746">
        <v>17.04</v>
      </c>
      <c r="C746">
        <v>18.4849</v>
      </c>
      <c r="D746">
        <v>17.04</v>
      </c>
      <c r="E746">
        <v>18.072399999999998</v>
      </c>
      <c r="F746">
        <v>2734829.93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0.42902623018893865</v>
      </c>
      <c r="Q746">
        <f t="shared" si="1000"/>
        <v>1173313.7750757791</v>
      </c>
      <c r="R746">
        <f t="shared" si="1001"/>
        <v>171961743.25869825</v>
      </c>
      <c r="S746">
        <f t="shared" si="1002"/>
        <v>1719.6174325869827</v>
      </c>
      <c r="T746">
        <f t="shared" si="1003"/>
        <v>1.7196174325869826</v>
      </c>
    </row>
    <row r="747" spans="1:20" x14ac:dyDescent="0.25">
      <c r="A747" s="5">
        <v>43846</v>
      </c>
      <c r="B747">
        <v>17.665500000000002</v>
      </c>
      <c r="C747">
        <v>17.692299999999999</v>
      </c>
      <c r="D747">
        <v>16.309999999999999</v>
      </c>
      <c r="E747">
        <v>17.033300000000001</v>
      </c>
      <c r="F747">
        <v>1842017.29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4.6516675106708295E-2</v>
      </c>
      <c r="Q747">
        <f t="shared" si="1000"/>
        <v>85684.519819869281</v>
      </c>
      <c r="R747">
        <f t="shared" si="1001"/>
        <v>170788429.48362246</v>
      </c>
      <c r="S747">
        <f t="shared" si="1002"/>
        <v>1707.8842948362246</v>
      </c>
      <c r="T747">
        <f t="shared" si="1003"/>
        <v>1.7078842948362247</v>
      </c>
    </row>
    <row r="748" spans="1:20" x14ac:dyDescent="0.25">
      <c r="A748" s="5">
        <v>43845</v>
      </c>
      <c r="B748">
        <v>16.630099999999999</v>
      </c>
      <c r="C748">
        <v>18.190000000000001</v>
      </c>
      <c r="D748">
        <v>16.27</v>
      </c>
      <c r="E748">
        <v>17.665500000000002</v>
      </c>
      <c r="F748">
        <v>3041574.63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0.45364583333333408</v>
      </c>
      <c r="Q748">
        <f t="shared" si="1000"/>
        <v>1379797.6576718772</v>
      </c>
      <c r="R748">
        <f t="shared" si="1001"/>
        <v>170702744.96380261</v>
      </c>
      <c r="S748">
        <f t="shared" si="1002"/>
        <v>1707.0274496380262</v>
      </c>
      <c r="T748">
        <f t="shared" si="1003"/>
        <v>1.7070274496380262</v>
      </c>
    </row>
    <row r="749" spans="1:20" x14ac:dyDescent="0.25">
      <c r="A749" s="5">
        <v>43844</v>
      </c>
      <c r="B749">
        <v>15.173500000000001</v>
      </c>
      <c r="C749">
        <v>16.91</v>
      </c>
      <c r="D749">
        <v>15.165900000000001</v>
      </c>
      <c r="E749">
        <v>16.6371</v>
      </c>
      <c r="F749">
        <v>2711583.22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0.68705922825526056</v>
      </c>
      <c r="Q749">
        <f t="shared" si="1000"/>
        <v>1863018.2744831145</v>
      </c>
      <c r="R749">
        <f t="shared" si="1001"/>
        <v>169322947.30613074</v>
      </c>
      <c r="S749">
        <f t="shared" si="1002"/>
        <v>1693.2294730613073</v>
      </c>
      <c r="T749">
        <f t="shared" si="1003"/>
        <v>1.6932294730613073</v>
      </c>
    </row>
    <row r="750" spans="1:20" x14ac:dyDescent="0.25">
      <c r="A750" s="5">
        <v>43843</v>
      </c>
      <c r="B750">
        <v>15.337</v>
      </c>
      <c r="C750">
        <v>15.357200000000001</v>
      </c>
      <c r="D750">
        <v>14.929500000000001</v>
      </c>
      <c r="E750">
        <v>15.1736</v>
      </c>
      <c r="F750">
        <v>1522093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0.14145429039045912</v>
      </c>
      <c r="Q750">
        <f t="shared" si="1000"/>
        <v>215306.5852232851</v>
      </c>
      <c r="R750">
        <f t="shared" si="1001"/>
        <v>167459929.03164762</v>
      </c>
      <c r="S750">
        <f t="shared" si="1002"/>
        <v>1674.5992903164763</v>
      </c>
      <c r="T750">
        <f t="shared" si="1003"/>
        <v>1.6745992903164764</v>
      </c>
    </row>
    <row r="751" spans="1:20" x14ac:dyDescent="0.25">
      <c r="A751" s="5">
        <v>43842</v>
      </c>
      <c r="B751">
        <v>14.9137</v>
      </c>
      <c r="C751">
        <v>15.470700000000001</v>
      </c>
      <c r="D751">
        <v>14.8001</v>
      </c>
      <c r="E751">
        <v>15.336600000000001</v>
      </c>
      <c r="F751">
        <v>2042903.51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0.60005964807634937</v>
      </c>
      <c r="Q751">
        <f t="shared" si="1000"/>
        <v>1225863.9612645388</v>
      </c>
      <c r="R751">
        <f t="shared" si="1001"/>
        <v>167244622.44642434</v>
      </c>
      <c r="S751">
        <f t="shared" si="1002"/>
        <v>1672.4462244642434</v>
      </c>
      <c r="T751">
        <f t="shared" si="1003"/>
        <v>1.6724462244642435</v>
      </c>
    </row>
    <row r="752" spans="1:20" x14ac:dyDescent="0.25">
      <c r="A752" s="5">
        <v>43841</v>
      </c>
      <c r="B752">
        <v>15.064299999999999</v>
      </c>
      <c r="C752">
        <v>15.32</v>
      </c>
      <c r="D752">
        <v>14.7111</v>
      </c>
      <c r="E752">
        <v>14.9177</v>
      </c>
      <c r="F752">
        <v>1397398.3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-0.32139924453933383</v>
      </c>
      <c r="Q752">
        <f t="shared" si="1000"/>
        <v>-449122.7579405494</v>
      </c>
      <c r="R752">
        <f t="shared" si="1001"/>
        <v>166018758.48515978</v>
      </c>
      <c r="S752">
        <f t="shared" si="1002"/>
        <v>1660.1875848515979</v>
      </c>
      <c r="T752">
        <f t="shared" si="1003"/>
        <v>1.6601875848515979</v>
      </c>
    </row>
    <row r="753" spans="1:20" x14ac:dyDescent="0.25">
      <c r="A753" s="5">
        <v>43840</v>
      </c>
      <c r="B753">
        <v>14.380599999999999</v>
      </c>
      <c r="C753">
        <v>15.097300000000001</v>
      </c>
      <c r="D753">
        <v>14.11</v>
      </c>
      <c r="E753">
        <v>15.07</v>
      </c>
      <c r="F753">
        <v>1572086.31</v>
      </c>
      <c r="G753">
        <v>0</v>
      </c>
      <c r="L753" t="s">
        <v>8</v>
      </c>
      <c r="M753" t="s">
        <v>8</v>
      </c>
      <c r="N753" t="s">
        <v>7</v>
      </c>
      <c r="P753">
        <f t="shared" si="999"/>
        <v>0.94469766028562685</v>
      </c>
      <c r="Q753">
        <f t="shared" si="1000"/>
        <v>1485146.2588240646</v>
      </c>
      <c r="R753">
        <f t="shared" si="1001"/>
        <v>166467881.24310035</v>
      </c>
      <c r="S753">
        <f t="shared" si="1002"/>
        <v>1664.6788124310035</v>
      </c>
      <c r="T753">
        <f t="shared" si="1003"/>
        <v>1.6646788124310035</v>
      </c>
    </row>
    <row r="754" spans="1:20" x14ac:dyDescent="0.25">
      <c r="A754" s="5">
        <v>43839</v>
      </c>
      <c r="B754">
        <v>14.5334</v>
      </c>
      <c r="C754">
        <v>14.5823</v>
      </c>
      <c r="D754">
        <v>14.201000000000001</v>
      </c>
      <c r="E754">
        <v>14.3978</v>
      </c>
      <c r="F754">
        <v>1075088.98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3.2258064516128428E-2</v>
      </c>
      <c r="Q754">
        <f t="shared" si="1000"/>
        <v>34680.289677418703</v>
      </c>
      <c r="R754">
        <f t="shared" si="1001"/>
        <v>164982734.98427629</v>
      </c>
      <c r="S754">
        <f t="shared" si="1002"/>
        <v>1649.8273498427629</v>
      </c>
      <c r="T754">
        <f t="shared" si="1003"/>
        <v>1.6498273498427629</v>
      </c>
    </row>
    <row r="755" spans="1:20" x14ac:dyDescent="0.25">
      <c r="A755" s="5">
        <v>43838</v>
      </c>
      <c r="B755">
        <v>15.0212</v>
      </c>
      <c r="C755">
        <v>15.32</v>
      </c>
      <c r="D755">
        <v>14.2</v>
      </c>
      <c r="E755">
        <v>14.5334</v>
      </c>
      <c r="F755">
        <v>1497529.49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-0.40464285714285586</v>
      </c>
      <c r="Q755">
        <f t="shared" si="1000"/>
        <v>-605964.61148928374</v>
      </c>
      <c r="R755">
        <f t="shared" si="1001"/>
        <v>164948054.69459888</v>
      </c>
      <c r="S755">
        <f t="shared" si="1002"/>
        <v>1649.4805469459889</v>
      </c>
      <c r="T755">
        <f t="shared" si="1003"/>
        <v>1.6494805469459888</v>
      </c>
    </row>
    <row r="756" spans="1:20" x14ac:dyDescent="0.25">
      <c r="A756" s="5">
        <v>43837</v>
      </c>
      <c r="B756">
        <v>14.9427</v>
      </c>
      <c r="C756">
        <v>15.186999999999999</v>
      </c>
      <c r="D756">
        <v>14.456</v>
      </c>
      <c r="E756">
        <v>15.022600000000001</v>
      </c>
      <c r="F756">
        <v>1458769.7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0.55020519835841641</v>
      </c>
      <c r="Q756">
        <f t="shared" si="1000"/>
        <v>802622.67214774759</v>
      </c>
      <c r="R756">
        <f t="shared" si="1001"/>
        <v>165554019.30608818</v>
      </c>
      <c r="S756">
        <f t="shared" si="1002"/>
        <v>1655.5401930608818</v>
      </c>
      <c r="T756">
        <f t="shared" si="1003"/>
        <v>1.6555401930608817</v>
      </c>
    </row>
    <row r="757" spans="1:20" x14ac:dyDescent="0.25">
      <c r="A757" s="5">
        <v>43836</v>
      </c>
      <c r="B757">
        <v>14.0488</v>
      </c>
      <c r="C757">
        <v>14.987299999999999</v>
      </c>
      <c r="D757">
        <v>14.0168</v>
      </c>
      <c r="E757">
        <v>14.947100000000001</v>
      </c>
      <c r="F757">
        <v>1633712.04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0.9171561051004663</v>
      </c>
      <c r="Q757">
        <f t="shared" si="1000"/>
        <v>1498368.9714621373</v>
      </c>
      <c r="R757">
        <f t="shared" si="1001"/>
        <v>164751396.63394043</v>
      </c>
      <c r="S757">
        <f t="shared" si="1002"/>
        <v>1647.5139663394043</v>
      </c>
      <c r="T757">
        <f t="shared" si="1003"/>
        <v>1.6475139663394043</v>
      </c>
    </row>
    <row r="758" spans="1:20" x14ac:dyDescent="0.25">
      <c r="A758" s="5">
        <v>43835</v>
      </c>
      <c r="B758">
        <v>13.797800000000001</v>
      </c>
      <c r="C758">
        <v>14.3133</v>
      </c>
      <c r="D758">
        <v>13.791</v>
      </c>
      <c r="E758">
        <v>14.0532</v>
      </c>
      <c r="F758">
        <v>1458003.02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4.0206777713965858E-3</v>
      </c>
      <c r="Q758">
        <f t="shared" si="1000"/>
        <v>5862.1603331430915</v>
      </c>
      <c r="R758">
        <f t="shared" si="1001"/>
        <v>163253027.6624783</v>
      </c>
      <c r="S758">
        <f t="shared" si="1002"/>
        <v>1632.530276624783</v>
      </c>
      <c r="T758">
        <f t="shared" si="1003"/>
        <v>1.6325302766247831</v>
      </c>
    </row>
    <row r="759" spans="1:20" x14ac:dyDescent="0.25">
      <c r="A759" s="5">
        <v>43834</v>
      </c>
      <c r="B759">
        <v>13.648099999999999</v>
      </c>
      <c r="C759">
        <v>13.871</v>
      </c>
      <c r="D759">
        <v>13.510199999999999</v>
      </c>
      <c r="E759">
        <v>13.809200000000001</v>
      </c>
      <c r="F759">
        <v>1231281.06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0.65742793791574461</v>
      </c>
      <c r="Q759">
        <f t="shared" si="1000"/>
        <v>809478.56827051227</v>
      </c>
      <c r="R759">
        <f t="shared" si="1001"/>
        <v>163247165.50214514</v>
      </c>
      <c r="S759">
        <f t="shared" si="1002"/>
        <v>1632.4716550214514</v>
      </c>
      <c r="T759">
        <f t="shared" si="1003"/>
        <v>1.6324716550214513</v>
      </c>
    </row>
    <row r="760" spans="1:20" x14ac:dyDescent="0.25">
      <c r="A760" s="5">
        <v>43833</v>
      </c>
      <c r="B760">
        <v>13.010400000000001</v>
      </c>
      <c r="C760">
        <v>13.75</v>
      </c>
      <c r="D760">
        <v>12.9801</v>
      </c>
      <c r="E760">
        <v>13.647399999999999</v>
      </c>
      <c r="F760">
        <v>1458450.49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0.7334718794648637</v>
      </c>
      <c r="Q760">
        <f t="shared" si="1000"/>
        <v>1069732.4220067514</v>
      </c>
      <c r="R760">
        <f t="shared" si="1001"/>
        <v>162437686.93387464</v>
      </c>
      <c r="S760">
        <f t="shared" si="1002"/>
        <v>1624.3768693387465</v>
      </c>
      <c r="T760">
        <f t="shared" si="1003"/>
        <v>1.6243768693387464</v>
      </c>
    </row>
    <row r="761" spans="1:20" x14ac:dyDescent="0.25">
      <c r="A761" s="5">
        <v>43832</v>
      </c>
      <c r="B761">
        <v>13.7072</v>
      </c>
      <c r="C761">
        <v>13.7302</v>
      </c>
      <c r="D761">
        <v>12.98</v>
      </c>
      <c r="E761">
        <v>13.0105</v>
      </c>
      <c r="F761">
        <v>971190.67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-0.91868834977339375</v>
      </c>
      <c r="Q761">
        <f t="shared" si="1000"/>
        <v>-892221.55393761664</v>
      </c>
      <c r="R761">
        <f t="shared" si="1001"/>
        <v>161367954.51186788</v>
      </c>
      <c r="S761">
        <f t="shared" si="1002"/>
        <v>1613.6795451186788</v>
      </c>
      <c r="T761">
        <f t="shared" si="1003"/>
        <v>1.6136795451186787</v>
      </c>
    </row>
    <row r="762" spans="1:20" x14ac:dyDescent="0.25">
      <c r="A762" s="5">
        <v>43831</v>
      </c>
      <c r="B762">
        <v>13.7159</v>
      </c>
      <c r="C762">
        <v>13.869199999999999</v>
      </c>
      <c r="D762">
        <v>13.65</v>
      </c>
      <c r="E762">
        <v>13.718400000000001</v>
      </c>
      <c r="F762">
        <v>940625.04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-0.37591240875911691</v>
      </c>
      <c r="Q762">
        <f t="shared" si="1000"/>
        <v>-353592.62452554068</v>
      </c>
      <c r="R762">
        <f t="shared" si="1001"/>
        <v>162260176.06580549</v>
      </c>
      <c r="S762">
        <f t="shared" si="1002"/>
        <v>1622.6017606580549</v>
      </c>
      <c r="T762">
        <f t="shared" si="1003"/>
        <v>1.6226017606580549</v>
      </c>
    </row>
    <row r="763" spans="1:20" x14ac:dyDescent="0.25">
      <c r="A763" s="5">
        <v>43830</v>
      </c>
      <c r="B763">
        <v>13.8597</v>
      </c>
      <c r="C763">
        <v>14.0564</v>
      </c>
      <c r="D763">
        <v>13.64</v>
      </c>
      <c r="E763">
        <v>13.716100000000001</v>
      </c>
      <c r="F763">
        <v>970355.9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-0.63448607108549293</v>
      </c>
      <c r="Q763">
        <f t="shared" si="1000"/>
        <v>-615677.30254562746</v>
      </c>
      <c r="R763">
        <f t="shared" si="1001"/>
        <v>162613768.69033104</v>
      </c>
      <c r="S763">
        <f t="shared" si="1002"/>
        <v>1626.1376869033104</v>
      </c>
      <c r="T763">
        <f t="shared" si="1003"/>
        <v>1.6261376869033104</v>
      </c>
    </row>
    <row r="764" spans="1:20" x14ac:dyDescent="0.25">
      <c r="A764" s="5">
        <v>43829</v>
      </c>
      <c r="B764">
        <v>14.0984</v>
      </c>
      <c r="C764">
        <v>14.3796</v>
      </c>
      <c r="D764">
        <v>13.78</v>
      </c>
      <c r="E764">
        <v>13.8597</v>
      </c>
      <c r="F764">
        <v>1255190.1000000001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-0.73415610406937726</v>
      </c>
      <c r="Q764">
        <f t="shared" si="1000"/>
        <v>-921505.47368245211</v>
      </c>
      <c r="R764">
        <f t="shared" si="1001"/>
        <v>163229445.99287668</v>
      </c>
      <c r="S764">
        <f t="shared" si="1002"/>
        <v>1632.2944599287669</v>
      </c>
      <c r="T764">
        <f t="shared" si="1003"/>
        <v>1.6322944599287668</v>
      </c>
    </row>
    <row r="765" spans="1:20" x14ac:dyDescent="0.25">
      <c r="A765" s="5">
        <v>43828</v>
      </c>
      <c r="B765">
        <v>13.678800000000001</v>
      </c>
      <c r="C765">
        <v>14.2186</v>
      </c>
      <c r="D765">
        <v>13.574999999999999</v>
      </c>
      <c r="E765">
        <v>14.103999999999999</v>
      </c>
      <c r="F765">
        <v>1608498.67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0.64387818520820084</v>
      </c>
      <c r="Q765">
        <f t="shared" si="1000"/>
        <v>1035677.2045494047</v>
      </c>
      <c r="R765">
        <f t="shared" si="1001"/>
        <v>164150951.46655914</v>
      </c>
      <c r="S765">
        <f t="shared" si="1002"/>
        <v>1641.5095146655915</v>
      </c>
      <c r="T765">
        <f t="shared" si="1003"/>
        <v>1.6415095146655916</v>
      </c>
    </row>
    <row r="766" spans="1:20" x14ac:dyDescent="0.25">
      <c r="A766" s="5">
        <v>43827</v>
      </c>
      <c r="B766">
        <v>13.2888</v>
      </c>
      <c r="C766">
        <v>13.72</v>
      </c>
      <c r="D766">
        <v>13.2569</v>
      </c>
      <c r="E766">
        <v>13.677899999999999</v>
      </c>
      <c r="F766">
        <v>1358908.6</v>
      </c>
      <c r="G766">
        <v>0</v>
      </c>
      <c r="L766" t="s">
        <v>8</v>
      </c>
      <c r="M766" t="s">
        <v>7</v>
      </c>
      <c r="N766" t="s">
        <v>7</v>
      </c>
      <c r="P766">
        <f t="shared" si="999"/>
        <v>0.81818181818181257</v>
      </c>
      <c r="Q766">
        <f t="shared" si="1000"/>
        <v>1111834.3090909016</v>
      </c>
      <c r="R766">
        <f t="shared" si="1001"/>
        <v>163115274.26200974</v>
      </c>
      <c r="S766">
        <f t="shared" si="1002"/>
        <v>1631.1527426200973</v>
      </c>
      <c r="T766">
        <f t="shared" si="1003"/>
        <v>1.6311527426200974</v>
      </c>
    </row>
    <row r="767" spans="1:20" x14ac:dyDescent="0.25">
      <c r="A767" s="5">
        <v>43826</v>
      </c>
      <c r="B767">
        <v>13.1349</v>
      </c>
      <c r="C767">
        <v>13.2981</v>
      </c>
      <c r="D767">
        <v>12.8927</v>
      </c>
      <c r="E767">
        <v>13.2888</v>
      </c>
      <c r="F767">
        <v>1109927.01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0.95411938825851195</v>
      </c>
      <c r="Q767">
        <f t="shared" ref="Q767:Q830" si="1005">F767*P767</f>
        <v>1059002.8797927992</v>
      </c>
      <c r="R767">
        <f t="shared" ref="R767:R830" si="1006">R768+Q767</f>
        <v>162003439.95291883</v>
      </c>
      <c r="S767">
        <f t="shared" ref="S767:S830" si="1007">R767/100000</f>
        <v>1620.0343995291882</v>
      </c>
      <c r="T767">
        <f t="shared" ref="T767:T830" si="1008">S767/1000</f>
        <v>1.6200343995291882</v>
      </c>
    </row>
    <row r="768" spans="1:20" x14ac:dyDescent="0.25">
      <c r="A768" s="5">
        <v>43825</v>
      </c>
      <c r="B768">
        <v>13.0665</v>
      </c>
      <c r="C768">
        <v>13.5466</v>
      </c>
      <c r="D768">
        <v>13.023</v>
      </c>
      <c r="E768">
        <v>13.141400000000001</v>
      </c>
      <c r="F768">
        <v>1061255.7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-0.54774637127577863</v>
      </c>
      <c r="Q768">
        <f t="shared" si="1005"/>
        <v>-581298.95867073629</v>
      </c>
      <c r="R768">
        <f t="shared" si="1006"/>
        <v>160944437.07312602</v>
      </c>
      <c r="S768">
        <f t="shared" si="1007"/>
        <v>1609.4443707312603</v>
      </c>
      <c r="T768">
        <f t="shared" si="1008"/>
        <v>1.6094443707312602</v>
      </c>
    </row>
    <row r="769" spans="1:20" x14ac:dyDescent="0.25">
      <c r="A769" s="5">
        <v>43824</v>
      </c>
      <c r="B769">
        <v>13.334</v>
      </c>
      <c r="C769">
        <v>13.3522</v>
      </c>
      <c r="D769">
        <v>12.85</v>
      </c>
      <c r="E769">
        <v>13.066599999999999</v>
      </c>
      <c r="F769">
        <v>923872.82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-0.13739545997610675</v>
      </c>
      <c r="Q769">
        <f t="shared" si="1005"/>
        <v>-126935.93106332287</v>
      </c>
      <c r="R769">
        <f t="shared" si="1006"/>
        <v>161525736.03179675</v>
      </c>
      <c r="S769">
        <f t="shared" si="1007"/>
        <v>1615.2573603179676</v>
      </c>
      <c r="T769">
        <f t="shared" si="1008"/>
        <v>1.6152573603179676</v>
      </c>
    </row>
    <row r="770" spans="1:20" x14ac:dyDescent="0.25">
      <c r="A770" s="5">
        <v>43823</v>
      </c>
      <c r="B770">
        <v>13.2987</v>
      </c>
      <c r="C770">
        <v>13.5916</v>
      </c>
      <c r="D770">
        <v>13.229900000000001</v>
      </c>
      <c r="E770">
        <v>13.3369</v>
      </c>
      <c r="F770">
        <v>1307251.73</v>
      </c>
      <c r="G770">
        <v>0</v>
      </c>
      <c r="L770" t="s">
        <v>8</v>
      </c>
      <c r="M770" t="s">
        <v>7</v>
      </c>
      <c r="N770" t="s">
        <v>7</v>
      </c>
      <c r="P770">
        <f t="shared" si="1004"/>
        <v>-0.40834946087918383</v>
      </c>
      <c r="Q770">
        <f t="shared" si="1005"/>
        <v>-533815.5391788804</v>
      </c>
      <c r="R770">
        <f t="shared" si="1006"/>
        <v>161652671.96286008</v>
      </c>
      <c r="S770">
        <f t="shared" si="1007"/>
        <v>1616.5267196286009</v>
      </c>
      <c r="T770">
        <f t="shared" si="1008"/>
        <v>1.6165267196286008</v>
      </c>
    </row>
    <row r="771" spans="1:20" x14ac:dyDescent="0.25">
      <c r="A771" s="5">
        <v>43822</v>
      </c>
      <c r="B771">
        <v>13.7768</v>
      </c>
      <c r="C771">
        <v>13.944699999999999</v>
      </c>
      <c r="D771">
        <v>13.2</v>
      </c>
      <c r="E771">
        <v>13.299799999999999</v>
      </c>
      <c r="F771">
        <v>1226252.01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-0.73197260641869177</v>
      </c>
      <c r="Q771">
        <f t="shared" si="1005"/>
        <v>-897582.87988585967</v>
      </c>
      <c r="R771">
        <f t="shared" si="1006"/>
        <v>162186487.50203896</v>
      </c>
      <c r="S771">
        <f t="shared" si="1007"/>
        <v>1621.8648750203895</v>
      </c>
      <c r="T771">
        <f t="shared" si="1008"/>
        <v>1.6218648750203895</v>
      </c>
    </row>
    <row r="772" spans="1:20" x14ac:dyDescent="0.25">
      <c r="A772" s="5">
        <v>43821</v>
      </c>
      <c r="B772">
        <v>13.2874</v>
      </c>
      <c r="C772">
        <v>13.8309</v>
      </c>
      <c r="D772">
        <v>13.2689</v>
      </c>
      <c r="E772">
        <v>13.7798</v>
      </c>
      <c r="F772">
        <v>1505338.18</v>
      </c>
      <c r="G772">
        <v>0</v>
      </c>
      <c r="L772" t="s">
        <v>8</v>
      </c>
      <c r="M772" t="s">
        <v>7</v>
      </c>
      <c r="N772" t="s">
        <v>7</v>
      </c>
      <c r="P772">
        <f t="shared" si="1004"/>
        <v>0.81814946619217088</v>
      </c>
      <c r="Q772">
        <f t="shared" si="1005"/>
        <v>1231591.6284056939</v>
      </c>
      <c r="R772">
        <f t="shared" si="1006"/>
        <v>163084070.38192481</v>
      </c>
      <c r="S772">
        <f t="shared" si="1007"/>
        <v>1630.8407038192481</v>
      </c>
      <c r="T772">
        <f t="shared" si="1008"/>
        <v>1.6308407038192481</v>
      </c>
    </row>
    <row r="773" spans="1:20" x14ac:dyDescent="0.25">
      <c r="A773" s="5">
        <v>43820</v>
      </c>
      <c r="B773">
        <v>13.4932</v>
      </c>
      <c r="C773">
        <v>13.51</v>
      </c>
      <c r="D773">
        <v>13.26</v>
      </c>
      <c r="E773">
        <v>13.2933</v>
      </c>
      <c r="F773">
        <v>1260784.8500000001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-0.73359999999999559</v>
      </c>
      <c r="Q773">
        <f t="shared" si="1005"/>
        <v>-924911.76595999452</v>
      </c>
      <c r="R773">
        <f t="shared" si="1006"/>
        <v>161852478.75351912</v>
      </c>
      <c r="S773">
        <f t="shared" si="1007"/>
        <v>1618.5247875351911</v>
      </c>
      <c r="T773">
        <f t="shared" si="1008"/>
        <v>1.6185247875351911</v>
      </c>
    </row>
    <row r="774" spans="1:20" x14ac:dyDescent="0.25">
      <c r="A774" s="5">
        <v>43819</v>
      </c>
      <c r="B774">
        <v>13.351900000000001</v>
      </c>
      <c r="C774">
        <v>13.5291</v>
      </c>
      <c r="D774">
        <v>13.08</v>
      </c>
      <c r="E774">
        <v>13.5</v>
      </c>
      <c r="F774">
        <v>1397599.99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0.87040748162992787</v>
      </c>
      <c r="Q774">
        <f t="shared" si="1005"/>
        <v>1216481.4876219123</v>
      </c>
      <c r="R774">
        <f t="shared" si="1006"/>
        <v>162777390.51947913</v>
      </c>
      <c r="S774">
        <f t="shared" si="1007"/>
        <v>1627.7739051947913</v>
      </c>
      <c r="T774">
        <f t="shared" si="1008"/>
        <v>1.6277739051947913</v>
      </c>
    </row>
    <row r="775" spans="1:20" x14ac:dyDescent="0.25">
      <c r="A775" s="5">
        <v>43818</v>
      </c>
      <c r="B775">
        <v>13.624700000000001</v>
      </c>
      <c r="C775">
        <v>13.7631</v>
      </c>
      <c r="D775">
        <v>12.962400000000001</v>
      </c>
      <c r="E775">
        <v>13.344099999999999</v>
      </c>
      <c r="F775">
        <v>1378005.7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-4.6584238791060238E-2</v>
      </c>
      <c r="Q775">
        <f t="shared" si="1005"/>
        <v>-64193.346584242114</v>
      </c>
      <c r="R775">
        <f t="shared" si="1006"/>
        <v>161560909.03185722</v>
      </c>
      <c r="S775">
        <f t="shared" si="1007"/>
        <v>1615.6090903185723</v>
      </c>
      <c r="T775">
        <f t="shared" si="1008"/>
        <v>1.6156090903185722</v>
      </c>
    </row>
    <row r="776" spans="1:20" x14ac:dyDescent="0.25">
      <c r="A776" s="5">
        <v>43817</v>
      </c>
      <c r="B776">
        <v>12.383699999999999</v>
      </c>
      <c r="C776">
        <v>13.7348</v>
      </c>
      <c r="D776">
        <v>12.21</v>
      </c>
      <c r="E776">
        <v>13.6158</v>
      </c>
      <c r="F776">
        <v>2322029.5699999998</v>
      </c>
      <c r="G776">
        <v>0</v>
      </c>
      <c r="L776" t="s">
        <v>8</v>
      </c>
      <c r="M776" t="s">
        <v>7</v>
      </c>
      <c r="N776" t="s">
        <v>7</v>
      </c>
      <c r="P776">
        <f t="shared" si="1004"/>
        <v>0.8439139559286466</v>
      </c>
      <c r="Q776">
        <f t="shared" si="1005"/>
        <v>1959593.160201994</v>
      </c>
      <c r="R776">
        <f t="shared" si="1006"/>
        <v>161625102.37844145</v>
      </c>
      <c r="S776">
        <f t="shared" si="1007"/>
        <v>1616.2510237844144</v>
      </c>
      <c r="T776">
        <f t="shared" si="1008"/>
        <v>1.6162510237844143</v>
      </c>
    </row>
    <row r="777" spans="1:20" x14ac:dyDescent="0.25">
      <c r="A777" s="5">
        <v>43816</v>
      </c>
      <c r="B777">
        <v>13.472099999999999</v>
      </c>
      <c r="C777">
        <v>13.475</v>
      </c>
      <c r="D777">
        <v>12.1111</v>
      </c>
      <c r="E777">
        <v>12.381</v>
      </c>
      <c r="F777">
        <v>1686074.79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-0.60422318351785331</v>
      </c>
      <c r="Q777">
        <f t="shared" si="1005"/>
        <v>-1018765.477262996</v>
      </c>
      <c r="R777">
        <f t="shared" si="1006"/>
        <v>159665509.21823946</v>
      </c>
      <c r="S777">
        <f t="shared" si="1007"/>
        <v>1596.6550921823946</v>
      </c>
      <c r="T777">
        <f t="shared" si="1008"/>
        <v>1.5966550921823945</v>
      </c>
    </row>
    <row r="778" spans="1:20" x14ac:dyDescent="0.25">
      <c r="A778" s="5">
        <v>43815</v>
      </c>
      <c r="B778">
        <v>14.394600000000001</v>
      </c>
      <c r="C778">
        <v>14.435600000000001</v>
      </c>
      <c r="D778">
        <v>13.257999999999999</v>
      </c>
      <c r="E778">
        <v>13.4544</v>
      </c>
      <c r="F778">
        <v>1130101.43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-0.66644021739130388</v>
      </c>
      <c r="Q778">
        <f t="shared" si="1005"/>
        <v>-753145.04268342338</v>
      </c>
      <c r="R778">
        <f t="shared" si="1006"/>
        <v>160684274.69550246</v>
      </c>
      <c r="S778">
        <f t="shared" si="1007"/>
        <v>1606.8427469550245</v>
      </c>
      <c r="T778">
        <f t="shared" si="1008"/>
        <v>1.6068427469550246</v>
      </c>
    </row>
    <row r="779" spans="1:20" x14ac:dyDescent="0.25">
      <c r="A779" s="5">
        <v>43814</v>
      </c>
      <c r="B779">
        <v>14.3887</v>
      </c>
      <c r="C779">
        <v>14.493</v>
      </c>
      <c r="D779">
        <v>14.136100000000001</v>
      </c>
      <c r="E779">
        <v>14.3949</v>
      </c>
      <c r="F779">
        <v>786545.74</v>
      </c>
      <c r="G779">
        <v>0</v>
      </c>
      <c r="L779" t="s">
        <v>7</v>
      </c>
      <c r="M779" t="s">
        <v>8</v>
      </c>
      <c r="N779" t="s">
        <v>7</v>
      </c>
      <c r="P779">
        <f t="shared" si="1004"/>
        <v>0.45026618100307847</v>
      </c>
      <c r="Q779">
        <f t="shared" si="1005"/>
        <v>354154.94653404027</v>
      </c>
      <c r="R779">
        <f t="shared" si="1006"/>
        <v>161437419.73818588</v>
      </c>
      <c r="S779">
        <f t="shared" si="1007"/>
        <v>1614.3741973818587</v>
      </c>
      <c r="T779">
        <f t="shared" si="1008"/>
        <v>1.6143741973818586</v>
      </c>
    </row>
    <row r="780" spans="1:20" x14ac:dyDescent="0.25">
      <c r="A780" s="5">
        <v>43813</v>
      </c>
      <c r="B780">
        <v>14.855499999999999</v>
      </c>
      <c r="C780">
        <v>15</v>
      </c>
      <c r="D780">
        <v>14.1629</v>
      </c>
      <c r="E780">
        <v>14.3888</v>
      </c>
      <c r="F780">
        <v>841053.92</v>
      </c>
      <c r="G780">
        <v>0</v>
      </c>
      <c r="L780" t="s">
        <v>7</v>
      </c>
      <c r="M780" t="s">
        <v>8</v>
      </c>
      <c r="N780" t="s">
        <v>7</v>
      </c>
      <c r="P780">
        <f t="shared" si="1004"/>
        <v>-0.46027953649504372</v>
      </c>
      <c r="Q780">
        <f t="shared" si="1005"/>
        <v>-387119.90846493962</v>
      </c>
      <c r="R780">
        <f t="shared" si="1006"/>
        <v>161083264.79165184</v>
      </c>
      <c r="S780">
        <f t="shared" si="1007"/>
        <v>1610.8326479165185</v>
      </c>
      <c r="T780">
        <f t="shared" si="1008"/>
        <v>1.6108326479165185</v>
      </c>
    </row>
    <row r="781" spans="1:20" x14ac:dyDescent="0.25">
      <c r="A781" s="5">
        <v>43812</v>
      </c>
      <c r="B781">
        <v>14.7165</v>
      </c>
      <c r="C781">
        <v>14.977499999999999</v>
      </c>
      <c r="D781">
        <v>14.66</v>
      </c>
      <c r="E781">
        <v>14.855499999999999</v>
      </c>
      <c r="F781">
        <v>883903.56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0.2314960629921243</v>
      </c>
      <c r="Q781">
        <f t="shared" si="1005"/>
        <v>204620.19420472294</v>
      </c>
      <c r="R781">
        <f t="shared" si="1006"/>
        <v>161470384.70011678</v>
      </c>
      <c r="S781">
        <f t="shared" si="1007"/>
        <v>1614.7038470011678</v>
      </c>
      <c r="T781">
        <f t="shared" si="1008"/>
        <v>1.6147038470011679</v>
      </c>
    </row>
    <row r="782" spans="1:20" x14ac:dyDescent="0.25">
      <c r="A782" s="5">
        <v>43811</v>
      </c>
      <c r="B782">
        <v>14.78</v>
      </c>
      <c r="C782">
        <v>14.849500000000001</v>
      </c>
      <c r="D782">
        <v>14.35</v>
      </c>
      <c r="E782">
        <v>14.723800000000001</v>
      </c>
      <c r="F782">
        <v>740743.5</v>
      </c>
      <c r="G782">
        <v>0</v>
      </c>
      <c r="L782" t="s">
        <v>7</v>
      </c>
      <c r="M782" t="s">
        <v>8</v>
      </c>
      <c r="N782" t="s">
        <v>7</v>
      </c>
      <c r="P782">
        <f t="shared" si="1004"/>
        <v>0.4966966966966973</v>
      </c>
      <c r="Q782">
        <f t="shared" si="1005"/>
        <v>367924.84954954998</v>
      </c>
      <c r="R782">
        <f t="shared" si="1006"/>
        <v>161265764.50591207</v>
      </c>
      <c r="S782">
        <f t="shared" si="1007"/>
        <v>1612.6576450591206</v>
      </c>
      <c r="T782">
        <f t="shared" si="1008"/>
        <v>1.6126576450591206</v>
      </c>
    </row>
    <row r="783" spans="1:20" x14ac:dyDescent="0.25">
      <c r="A783" s="5">
        <v>43810</v>
      </c>
      <c r="B783">
        <v>14.8004</v>
      </c>
      <c r="C783">
        <v>14.9984</v>
      </c>
      <c r="D783">
        <v>14.6</v>
      </c>
      <c r="E783">
        <v>14.78</v>
      </c>
      <c r="F783">
        <v>803255.65</v>
      </c>
      <c r="G783">
        <v>0</v>
      </c>
      <c r="L783" t="s">
        <v>7</v>
      </c>
      <c r="M783" t="s">
        <v>8</v>
      </c>
      <c r="N783" t="s">
        <v>7</v>
      </c>
      <c r="P783">
        <f t="shared" si="1004"/>
        <v>-9.6385542168677327E-2</v>
      </c>
      <c r="Q783">
        <f t="shared" si="1005"/>
        <v>-77422.231325303321</v>
      </c>
      <c r="R783">
        <f t="shared" si="1006"/>
        <v>160897839.6563625</v>
      </c>
      <c r="S783">
        <f t="shared" si="1007"/>
        <v>1608.978396563625</v>
      </c>
      <c r="T783">
        <f t="shared" si="1008"/>
        <v>1.6089783965636251</v>
      </c>
    </row>
    <row r="784" spans="1:20" x14ac:dyDescent="0.25">
      <c r="A784" s="5">
        <v>43809</v>
      </c>
      <c r="B784">
        <v>15.3284</v>
      </c>
      <c r="C784">
        <v>15.3454</v>
      </c>
      <c r="D784">
        <v>14.6</v>
      </c>
      <c r="E784">
        <v>14.8088</v>
      </c>
      <c r="F784">
        <v>1002642.2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-0.43976388516232873</v>
      </c>
      <c r="Q784">
        <f t="shared" si="1005"/>
        <v>-440925.82929970464</v>
      </c>
      <c r="R784">
        <f t="shared" si="1006"/>
        <v>160975261.8876878</v>
      </c>
      <c r="S784">
        <f t="shared" si="1007"/>
        <v>1609.7526188768779</v>
      </c>
      <c r="T784">
        <f t="shared" si="1008"/>
        <v>1.609752618876878</v>
      </c>
    </row>
    <row r="785" spans="1:20" x14ac:dyDescent="0.25">
      <c r="A785" s="5">
        <v>43808</v>
      </c>
      <c r="B785">
        <v>15.5947</v>
      </c>
      <c r="C785">
        <v>15.798999999999999</v>
      </c>
      <c r="D785">
        <v>15.1838</v>
      </c>
      <c r="E785">
        <v>15.3284</v>
      </c>
      <c r="F785">
        <v>959668.49</v>
      </c>
      <c r="G785">
        <v>0</v>
      </c>
      <c r="L785" t="s">
        <v>7</v>
      </c>
      <c r="M785" t="s">
        <v>8</v>
      </c>
      <c r="N785" t="s">
        <v>7</v>
      </c>
      <c r="P785">
        <f t="shared" si="1004"/>
        <v>-0.5299089726918057</v>
      </c>
      <c r="Q785">
        <f t="shared" si="1005"/>
        <v>-508536.94366059639</v>
      </c>
      <c r="R785">
        <f t="shared" si="1006"/>
        <v>161416187.71698752</v>
      </c>
      <c r="S785">
        <f t="shared" si="1007"/>
        <v>1614.1618771698752</v>
      </c>
      <c r="T785">
        <f t="shared" si="1008"/>
        <v>1.6141618771698751</v>
      </c>
    </row>
    <row r="786" spans="1:20" x14ac:dyDescent="0.25">
      <c r="A786" s="5">
        <v>43807</v>
      </c>
      <c r="B786">
        <v>15.6066</v>
      </c>
      <c r="C786">
        <v>15.72</v>
      </c>
      <c r="D786">
        <v>15.349600000000001</v>
      </c>
      <c r="E786">
        <v>15.6121</v>
      </c>
      <c r="F786">
        <v>1097781.57</v>
      </c>
      <c r="G786">
        <v>0</v>
      </c>
      <c r="L786" t="s">
        <v>7</v>
      </c>
      <c r="M786" t="s">
        <v>8</v>
      </c>
      <c r="N786" t="s">
        <v>7</v>
      </c>
      <c r="P786">
        <f t="shared" si="1004"/>
        <v>0.41738660907127023</v>
      </c>
      <c r="Q786">
        <f t="shared" si="1005"/>
        <v>458199.32700323529</v>
      </c>
      <c r="R786">
        <f t="shared" si="1006"/>
        <v>161924724.66064811</v>
      </c>
      <c r="S786">
        <f t="shared" si="1007"/>
        <v>1619.247246606481</v>
      </c>
      <c r="T786">
        <f t="shared" si="1008"/>
        <v>1.6192472466064809</v>
      </c>
    </row>
    <row r="787" spans="1:20" x14ac:dyDescent="0.25">
      <c r="A787" s="5">
        <v>43806</v>
      </c>
      <c r="B787">
        <v>15.657</v>
      </c>
      <c r="C787">
        <v>15.819900000000001</v>
      </c>
      <c r="D787">
        <v>15.519</v>
      </c>
      <c r="E787">
        <v>15.6067</v>
      </c>
      <c r="F787">
        <v>1249702.29</v>
      </c>
      <c r="G787">
        <v>0</v>
      </c>
      <c r="L787" t="s">
        <v>7</v>
      </c>
      <c r="M787" t="s">
        <v>8</v>
      </c>
      <c r="N787" t="s">
        <v>7</v>
      </c>
      <c r="P787">
        <f t="shared" si="1004"/>
        <v>-0.41708208707211847</v>
      </c>
      <c r="Q787">
        <f t="shared" si="1005"/>
        <v>-521228.43933200586</v>
      </c>
      <c r="R787">
        <f t="shared" si="1006"/>
        <v>161466525.33364487</v>
      </c>
      <c r="S787">
        <f t="shared" si="1007"/>
        <v>1614.6652533364486</v>
      </c>
      <c r="T787">
        <f t="shared" si="1008"/>
        <v>1.6146652533364485</v>
      </c>
    </row>
    <row r="788" spans="1:20" x14ac:dyDescent="0.25">
      <c r="A788" s="5">
        <v>43805</v>
      </c>
      <c r="B788">
        <v>15.6532</v>
      </c>
      <c r="C788">
        <v>15.7498</v>
      </c>
      <c r="D788">
        <v>15.3</v>
      </c>
      <c r="E788">
        <v>15.666600000000001</v>
      </c>
      <c r="F788">
        <v>1427720.75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0.63005780346820917</v>
      </c>
      <c r="Q788">
        <f t="shared" si="1005"/>
        <v>899546.59971098416</v>
      </c>
      <c r="R788">
        <f t="shared" si="1006"/>
        <v>161987753.77297688</v>
      </c>
      <c r="S788">
        <f t="shared" si="1007"/>
        <v>1619.8775377297688</v>
      </c>
      <c r="T788">
        <f t="shared" si="1008"/>
        <v>1.6198775377297689</v>
      </c>
    </row>
    <row r="789" spans="1:20" x14ac:dyDescent="0.25">
      <c r="A789" s="5">
        <v>43804</v>
      </c>
      <c r="B789">
        <v>15.125400000000001</v>
      </c>
      <c r="C789">
        <v>15.72</v>
      </c>
      <c r="D789">
        <v>14.805999999999999</v>
      </c>
      <c r="E789">
        <v>15.6555</v>
      </c>
      <c r="F789">
        <v>1705007.77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0.85886214442013009</v>
      </c>
      <c r="Q789">
        <f t="shared" si="1005"/>
        <v>1464366.629595184</v>
      </c>
      <c r="R789">
        <f t="shared" si="1006"/>
        <v>161088207.1732659</v>
      </c>
      <c r="S789">
        <f t="shared" si="1007"/>
        <v>1610.8820717326591</v>
      </c>
      <c r="T789">
        <f t="shared" si="1008"/>
        <v>1.6108820717326591</v>
      </c>
    </row>
    <row r="790" spans="1:20" x14ac:dyDescent="0.25">
      <c r="A790" s="5">
        <v>43803</v>
      </c>
      <c r="B790">
        <v>15.2545</v>
      </c>
      <c r="C790">
        <v>15.88</v>
      </c>
      <c r="D790">
        <v>14.827500000000001</v>
      </c>
      <c r="E790">
        <v>15.1</v>
      </c>
      <c r="F790">
        <v>1491285.42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-0.48218527315914678</v>
      </c>
      <c r="Q790">
        <f t="shared" si="1005"/>
        <v>-719075.86760095286</v>
      </c>
      <c r="R790">
        <f t="shared" si="1006"/>
        <v>159623840.54367071</v>
      </c>
      <c r="S790">
        <f t="shared" si="1007"/>
        <v>1596.2384054367071</v>
      </c>
      <c r="T790">
        <f t="shared" si="1008"/>
        <v>1.5962384054367071</v>
      </c>
    </row>
    <row r="791" spans="1:20" x14ac:dyDescent="0.25">
      <c r="A791" s="5">
        <v>43802</v>
      </c>
      <c r="B791">
        <v>15.1394</v>
      </c>
      <c r="C791">
        <v>15.4255</v>
      </c>
      <c r="D791">
        <v>15.047499999999999</v>
      </c>
      <c r="E791">
        <v>15.254200000000001</v>
      </c>
      <c r="F791">
        <v>1260422.82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9.3650793650800937E-2</v>
      </c>
      <c r="Q791">
        <f t="shared" si="1005"/>
        <v>118039.59742858062</v>
      </c>
      <c r="R791">
        <f t="shared" si="1006"/>
        <v>160342916.41127166</v>
      </c>
      <c r="S791">
        <f t="shared" si="1007"/>
        <v>1603.4291641127165</v>
      </c>
      <c r="T791">
        <f t="shared" si="1008"/>
        <v>1.6034291641127165</v>
      </c>
    </row>
    <row r="792" spans="1:20" x14ac:dyDescent="0.25">
      <c r="A792" s="5">
        <v>43801</v>
      </c>
      <c r="B792">
        <v>15.428699999999999</v>
      </c>
      <c r="C792">
        <v>15.62</v>
      </c>
      <c r="D792">
        <v>15.019</v>
      </c>
      <c r="E792">
        <v>15.1288</v>
      </c>
      <c r="F792">
        <v>1205508.52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-0.63460898502495822</v>
      </c>
      <c r="Q792">
        <f t="shared" si="1005"/>
        <v>-765026.5383161396</v>
      </c>
      <c r="R792">
        <f t="shared" si="1006"/>
        <v>160224876.81384307</v>
      </c>
      <c r="S792">
        <f t="shared" si="1007"/>
        <v>1602.2487681384307</v>
      </c>
      <c r="T792">
        <f t="shared" si="1008"/>
        <v>1.6022487681384308</v>
      </c>
    </row>
    <row r="793" spans="1:20" x14ac:dyDescent="0.25">
      <c r="A793" s="5">
        <v>43800</v>
      </c>
      <c r="B793">
        <v>15.702999999999999</v>
      </c>
      <c r="C793">
        <v>15.713900000000001</v>
      </c>
      <c r="D793">
        <v>14.8</v>
      </c>
      <c r="E793">
        <v>15.4297</v>
      </c>
      <c r="F793">
        <v>1232843.2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0.37805011489221962</v>
      </c>
      <c r="Q793">
        <f t="shared" si="1005"/>
        <v>466076.5134040917</v>
      </c>
      <c r="R793">
        <f t="shared" si="1006"/>
        <v>160989903.3521592</v>
      </c>
      <c r="S793">
        <f t="shared" si="1007"/>
        <v>1609.8990335215919</v>
      </c>
      <c r="T793">
        <f t="shared" si="1008"/>
        <v>1.6098990335215919</v>
      </c>
    </row>
    <row r="794" spans="1:20" x14ac:dyDescent="0.25">
      <c r="A794" s="5">
        <v>43799</v>
      </c>
      <c r="B794">
        <v>16.228100000000001</v>
      </c>
      <c r="C794">
        <v>16.276499999999999</v>
      </c>
      <c r="D794">
        <v>15.450100000000001</v>
      </c>
      <c r="E794">
        <v>15.7118</v>
      </c>
      <c r="F794">
        <v>1435716.21</v>
      </c>
      <c r="G794">
        <v>0</v>
      </c>
      <c r="L794" t="s">
        <v>8</v>
      </c>
      <c r="M794" t="s">
        <v>8</v>
      </c>
      <c r="N794" t="s">
        <v>7</v>
      </c>
      <c r="P794">
        <f t="shared" si="1004"/>
        <v>-0.36665053242981588</v>
      </c>
      <c r="Q794">
        <f t="shared" si="1005"/>
        <v>-526406.11281461734</v>
      </c>
      <c r="R794">
        <f t="shared" si="1006"/>
        <v>160523826.8387551</v>
      </c>
      <c r="S794">
        <f t="shared" si="1007"/>
        <v>1605.238268387551</v>
      </c>
      <c r="T794">
        <f t="shared" si="1008"/>
        <v>1.605238268387551</v>
      </c>
    </row>
    <row r="795" spans="1:20" x14ac:dyDescent="0.25">
      <c r="A795" s="5">
        <v>43798</v>
      </c>
      <c r="B795">
        <v>15.525499999999999</v>
      </c>
      <c r="C795">
        <v>16.299800000000001</v>
      </c>
      <c r="D795">
        <v>15.469200000000001</v>
      </c>
      <c r="E795">
        <v>16.228100000000001</v>
      </c>
      <c r="F795">
        <v>2034467.97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0.82735372020226383</v>
      </c>
      <c r="Q795">
        <f t="shared" si="1005"/>
        <v>1683224.6436118477</v>
      </c>
      <c r="R795">
        <f t="shared" si="1006"/>
        <v>161050232.95156971</v>
      </c>
      <c r="S795">
        <f t="shared" si="1007"/>
        <v>1610.5023295156971</v>
      </c>
      <c r="T795">
        <f t="shared" si="1008"/>
        <v>1.6105023295156971</v>
      </c>
    </row>
    <row r="796" spans="1:20" x14ac:dyDescent="0.25">
      <c r="A796" s="5">
        <v>43797</v>
      </c>
      <c r="B796">
        <v>16.088799999999999</v>
      </c>
      <c r="C796">
        <v>16.189900000000002</v>
      </c>
      <c r="D796">
        <v>15.4404</v>
      </c>
      <c r="E796">
        <v>15.533300000000001</v>
      </c>
      <c r="F796">
        <v>1619471.91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-0.75210140093395583</v>
      </c>
      <c r="Q796">
        <f t="shared" si="1005"/>
        <v>-1218007.0922841891</v>
      </c>
      <c r="R796">
        <f t="shared" si="1006"/>
        <v>159367008.30795786</v>
      </c>
      <c r="S796">
        <f t="shared" si="1007"/>
        <v>1593.6700830795785</v>
      </c>
      <c r="T796">
        <f t="shared" si="1008"/>
        <v>1.5936700830795785</v>
      </c>
    </row>
    <row r="797" spans="1:20" x14ac:dyDescent="0.25">
      <c r="A797" s="5">
        <v>43796</v>
      </c>
      <c r="B797">
        <v>15.3565</v>
      </c>
      <c r="C797">
        <v>16.2255</v>
      </c>
      <c r="D797">
        <v>14.581099999999999</v>
      </c>
      <c r="E797">
        <v>16.088799999999999</v>
      </c>
      <c r="F797">
        <v>2414012.37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0.83373874969593642</v>
      </c>
      <c r="Q797">
        <f t="shared" si="1005"/>
        <v>2012655.6551143243</v>
      </c>
      <c r="R797">
        <f t="shared" si="1006"/>
        <v>160585015.40024206</v>
      </c>
      <c r="S797">
        <f t="shared" si="1007"/>
        <v>1605.8501540024206</v>
      </c>
      <c r="T797">
        <f t="shared" si="1008"/>
        <v>1.6058501540024206</v>
      </c>
    </row>
    <row r="798" spans="1:20" x14ac:dyDescent="0.25">
      <c r="A798" s="5">
        <v>43795</v>
      </c>
      <c r="B798">
        <v>15.146599999999999</v>
      </c>
      <c r="C798">
        <v>15.89</v>
      </c>
      <c r="D798">
        <v>14.9382</v>
      </c>
      <c r="E798">
        <v>15.356400000000001</v>
      </c>
      <c r="F798">
        <v>1658330.79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-0.12124395881487626</v>
      </c>
      <c r="Q798">
        <f t="shared" si="1005"/>
        <v>-201062.59000420122</v>
      </c>
      <c r="R798">
        <f t="shared" si="1006"/>
        <v>158572359.74512774</v>
      </c>
      <c r="S798">
        <f t="shared" si="1007"/>
        <v>1585.7235974512773</v>
      </c>
      <c r="T798">
        <f t="shared" si="1008"/>
        <v>1.5857235974512773</v>
      </c>
    </row>
    <row r="799" spans="1:20" x14ac:dyDescent="0.25">
      <c r="A799" s="5">
        <v>43794</v>
      </c>
      <c r="B799">
        <v>15.0152</v>
      </c>
      <c r="C799">
        <v>15.76</v>
      </c>
      <c r="D799">
        <v>13.88</v>
      </c>
      <c r="E799">
        <v>15.1457</v>
      </c>
      <c r="F799">
        <v>3066863.34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0.34648936170212724</v>
      </c>
      <c r="Q799">
        <f t="shared" si="1005"/>
        <v>1062635.5211042541</v>
      </c>
      <c r="R799">
        <f t="shared" si="1006"/>
        <v>158773422.33513194</v>
      </c>
      <c r="S799">
        <f t="shared" si="1007"/>
        <v>1587.7342233513195</v>
      </c>
      <c r="T799">
        <f t="shared" si="1008"/>
        <v>1.5877342233513196</v>
      </c>
    </row>
    <row r="800" spans="1:20" x14ac:dyDescent="0.25">
      <c r="A800" s="5">
        <v>43793</v>
      </c>
      <c r="B800">
        <v>16.232099999999999</v>
      </c>
      <c r="C800">
        <v>16.506</v>
      </c>
      <c r="D800">
        <v>14.9</v>
      </c>
      <c r="E800">
        <v>14.9964</v>
      </c>
      <c r="F800">
        <v>2155053.88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-0.87995018679950288</v>
      </c>
      <c r="Q800">
        <f t="shared" si="1005"/>
        <v>-1896340.0642689934</v>
      </c>
      <c r="R800">
        <f t="shared" si="1006"/>
        <v>157710786.8140277</v>
      </c>
      <c r="S800">
        <f t="shared" si="1007"/>
        <v>1577.1078681402769</v>
      </c>
      <c r="T800">
        <f t="shared" si="1008"/>
        <v>1.5771078681402768</v>
      </c>
    </row>
    <row r="801" spans="1:20" x14ac:dyDescent="0.25">
      <c r="A801" s="5">
        <v>43792</v>
      </c>
      <c r="B801">
        <v>15.487500000000001</v>
      </c>
      <c r="C801">
        <v>16.348299999999998</v>
      </c>
      <c r="D801">
        <v>14.957000000000001</v>
      </c>
      <c r="E801">
        <v>16.231999999999999</v>
      </c>
      <c r="F801">
        <v>1941371.46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0.83281822755696233</v>
      </c>
      <c r="Q801">
        <f t="shared" si="1005"/>
        <v>1616809.5383468722</v>
      </c>
      <c r="R801">
        <f t="shared" si="1006"/>
        <v>159607126.8782967</v>
      </c>
      <c r="S801">
        <f t="shared" si="1007"/>
        <v>1596.0712687829671</v>
      </c>
      <c r="T801">
        <f t="shared" si="1008"/>
        <v>1.596071268782967</v>
      </c>
    </row>
    <row r="802" spans="1:20" x14ac:dyDescent="0.25">
      <c r="A802" s="5">
        <v>43791</v>
      </c>
      <c r="B802">
        <v>16.7986</v>
      </c>
      <c r="C802">
        <v>17.279800000000002</v>
      </c>
      <c r="D802">
        <v>14.284599999999999</v>
      </c>
      <c r="E802">
        <v>15.484999999999999</v>
      </c>
      <c r="F802">
        <v>3361932.03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-0.19845085470085522</v>
      </c>
      <c r="Q802">
        <f t="shared" si="1005"/>
        <v>-667178.28479968116</v>
      </c>
      <c r="R802">
        <f t="shared" si="1006"/>
        <v>157990317.33994982</v>
      </c>
      <c r="S802">
        <f t="shared" si="1007"/>
        <v>1579.9031733994982</v>
      </c>
      <c r="T802">
        <f t="shared" si="1008"/>
        <v>1.5799031733994982</v>
      </c>
    </row>
    <row r="803" spans="1:20" x14ac:dyDescent="0.25">
      <c r="A803" s="5">
        <v>43790</v>
      </c>
      <c r="B803">
        <v>18.082699999999999</v>
      </c>
      <c r="C803">
        <v>18.239899999999999</v>
      </c>
      <c r="D803">
        <v>16.34</v>
      </c>
      <c r="E803">
        <v>16.798500000000001</v>
      </c>
      <c r="F803">
        <v>1724139.73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-0.51734301805358063</v>
      </c>
      <c r="Q803">
        <f t="shared" si="1005"/>
        <v>-891971.65146428556</v>
      </c>
      <c r="R803">
        <f t="shared" si="1006"/>
        <v>158657495.62474951</v>
      </c>
      <c r="S803">
        <f t="shared" si="1007"/>
        <v>1586.574956247495</v>
      </c>
      <c r="T803">
        <f t="shared" si="1008"/>
        <v>1.5865749562474951</v>
      </c>
    </row>
    <row r="804" spans="1:20" x14ac:dyDescent="0.25">
      <c r="A804" s="5">
        <v>43789</v>
      </c>
      <c r="B804">
        <v>18.4999</v>
      </c>
      <c r="C804">
        <v>18.749400000000001</v>
      </c>
      <c r="D804">
        <v>17.773800000000001</v>
      </c>
      <c r="E804">
        <v>18.082599999999999</v>
      </c>
      <c r="F804">
        <v>1209633.01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-0.36695366953669956</v>
      </c>
      <c r="Q804">
        <f t="shared" si="1005"/>
        <v>-443879.27181222319</v>
      </c>
      <c r="R804">
        <f t="shared" si="1006"/>
        <v>159549467.27621379</v>
      </c>
      <c r="S804">
        <f t="shared" si="1007"/>
        <v>1595.494672762138</v>
      </c>
      <c r="T804">
        <f t="shared" si="1008"/>
        <v>1.595494672762138</v>
      </c>
    </row>
    <row r="805" spans="1:20" x14ac:dyDescent="0.25">
      <c r="A805" s="5">
        <v>43788</v>
      </c>
      <c r="B805">
        <v>19.081700000000001</v>
      </c>
      <c r="C805">
        <v>19.28</v>
      </c>
      <c r="D805">
        <v>18.079999999999998</v>
      </c>
      <c r="E805">
        <v>18.499700000000001</v>
      </c>
      <c r="F805">
        <v>1218553.06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-0.30049999999999766</v>
      </c>
      <c r="Q805">
        <f t="shared" si="1005"/>
        <v>-366175.19452999718</v>
      </c>
      <c r="R805">
        <f t="shared" si="1006"/>
        <v>159993346.54802603</v>
      </c>
      <c r="S805">
        <f t="shared" si="1007"/>
        <v>1599.9334654802603</v>
      </c>
      <c r="T805">
        <f t="shared" si="1008"/>
        <v>1.5999334654802604</v>
      </c>
    </row>
    <row r="806" spans="1:20" x14ac:dyDescent="0.25">
      <c r="A806" s="5">
        <v>43787</v>
      </c>
      <c r="B806">
        <v>20.1889</v>
      </c>
      <c r="C806">
        <v>20.191600000000001</v>
      </c>
      <c r="D806">
        <v>18.600000000000001</v>
      </c>
      <c r="E806">
        <v>19.081700000000001</v>
      </c>
      <c r="F806">
        <v>1370495.1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-0.39469716009047484</v>
      </c>
      <c r="Q806">
        <f t="shared" si="1005"/>
        <v>-540930.52388791135</v>
      </c>
      <c r="R806">
        <f t="shared" si="1006"/>
        <v>160359521.74255604</v>
      </c>
      <c r="S806">
        <f t="shared" si="1007"/>
        <v>1603.5952174255603</v>
      </c>
      <c r="T806">
        <f t="shared" si="1008"/>
        <v>1.6035952174255603</v>
      </c>
    </row>
    <row r="807" spans="1:20" x14ac:dyDescent="0.25">
      <c r="A807" s="5">
        <v>43786</v>
      </c>
      <c r="B807">
        <v>20.164100000000001</v>
      </c>
      <c r="C807">
        <v>20.4359</v>
      </c>
      <c r="D807">
        <v>19.75</v>
      </c>
      <c r="E807">
        <v>20.193999999999999</v>
      </c>
      <c r="F807">
        <v>1154323.1499999999</v>
      </c>
      <c r="G807">
        <v>0</v>
      </c>
      <c r="L807" t="s">
        <v>7</v>
      </c>
      <c r="M807" t="s">
        <v>8</v>
      </c>
      <c r="N807" t="s">
        <v>8</v>
      </c>
      <c r="P807">
        <f t="shared" si="1004"/>
        <v>0.29464936579676032</v>
      </c>
      <c r="Q807">
        <f t="shared" si="1005"/>
        <v>340120.58407201862</v>
      </c>
      <c r="R807">
        <f t="shared" si="1006"/>
        <v>160900452.26644394</v>
      </c>
      <c r="S807">
        <f t="shared" si="1007"/>
        <v>1609.0045226644395</v>
      </c>
      <c r="T807">
        <f t="shared" si="1008"/>
        <v>1.6090045226644394</v>
      </c>
    </row>
    <row r="808" spans="1:20" x14ac:dyDescent="0.25">
      <c r="A808" s="5">
        <v>43785</v>
      </c>
      <c r="B808">
        <v>20.287099999999999</v>
      </c>
      <c r="C808">
        <v>20.599900000000002</v>
      </c>
      <c r="D808">
        <v>19.899999999999999</v>
      </c>
      <c r="E808">
        <v>20.1631</v>
      </c>
      <c r="F808">
        <v>1001272.54</v>
      </c>
      <c r="G808">
        <v>0</v>
      </c>
      <c r="L808" t="s">
        <v>7</v>
      </c>
      <c r="M808" t="s">
        <v>8</v>
      </c>
      <c r="N808" t="s">
        <v>8</v>
      </c>
      <c r="P808">
        <f t="shared" si="1004"/>
        <v>-0.24817831118731165</v>
      </c>
      <c r="Q808">
        <f t="shared" si="1005"/>
        <v>-248494.12801542997</v>
      </c>
      <c r="R808">
        <f t="shared" si="1006"/>
        <v>160560331.68237191</v>
      </c>
      <c r="S808">
        <f t="shared" si="1007"/>
        <v>1605.6033168237191</v>
      </c>
      <c r="T808">
        <f t="shared" si="1008"/>
        <v>1.6056033168237192</v>
      </c>
    </row>
    <row r="809" spans="1:20" x14ac:dyDescent="0.25">
      <c r="A809" s="5">
        <v>43784</v>
      </c>
      <c r="B809">
        <v>21.316500000000001</v>
      </c>
      <c r="C809">
        <v>21.3353</v>
      </c>
      <c r="D809">
        <v>19.961400000000001</v>
      </c>
      <c r="E809">
        <v>20.273499999999999</v>
      </c>
      <c r="F809">
        <v>1367539.25</v>
      </c>
      <c r="G809">
        <v>0</v>
      </c>
      <c r="L809" t="s">
        <v>7</v>
      </c>
      <c r="M809" t="s">
        <v>8</v>
      </c>
      <c r="N809" t="s">
        <v>8</v>
      </c>
      <c r="P809">
        <f t="shared" si="1004"/>
        <v>-0.5456729019579335</v>
      </c>
      <c r="Q809">
        <f t="shared" si="1005"/>
        <v>-746229.11108887591</v>
      </c>
      <c r="R809">
        <f t="shared" si="1006"/>
        <v>160808825.81038734</v>
      </c>
      <c r="S809">
        <f t="shared" si="1007"/>
        <v>1608.0882581038734</v>
      </c>
      <c r="T809">
        <f t="shared" si="1008"/>
        <v>1.6080882581038733</v>
      </c>
    </row>
    <row r="810" spans="1:20" x14ac:dyDescent="0.25">
      <c r="A810" s="5">
        <v>43783</v>
      </c>
      <c r="B810">
        <v>21.388300000000001</v>
      </c>
      <c r="C810">
        <v>21.6492</v>
      </c>
      <c r="D810">
        <v>20.711099999999998</v>
      </c>
      <c r="E810">
        <v>21.316600000000001</v>
      </c>
      <c r="F810">
        <v>1177736.52</v>
      </c>
      <c r="G810">
        <v>0</v>
      </c>
      <c r="L810" t="s">
        <v>8</v>
      </c>
      <c r="M810" t="s">
        <v>8</v>
      </c>
      <c r="N810" t="s">
        <v>8</v>
      </c>
      <c r="P810">
        <f t="shared" si="1004"/>
        <v>0.29090715275557283</v>
      </c>
      <c r="Q810">
        <f t="shared" si="1005"/>
        <v>342611.97772945673</v>
      </c>
      <c r="R810">
        <f t="shared" si="1006"/>
        <v>161555054.92147622</v>
      </c>
      <c r="S810">
        <f t="shared" si="1007"/>
        <v>1615.5505492147622</v>
      </c>
      <c r="T810">
        <f t="shared" si="1008"/>
        <v>1.6155505492147622</v>
      </c>
    </row>
    <row r="811" spans="1:20" x14ac:dyDescent="0.25">
      <c r="A811" s="5">
        <v>43782</v>
      </c>
      <c r="B811">
        <v>20.979700000000001</v>
      </c>
      <c r="C811">
        <v>21.8</v>
      </c>
      <c r="D811">
        <v>20.68</v>
      </c>
      <c r="E811">
        <v>21.384599999999999</v>
      </c>
      <c r="F811">
        <v>1369703.62</v>
      </c>
      <c r="G811">
        <v>0</v>
      </c>
      <c r="L811" t="s">
        <v>8</v>
      </c>
      <c r="M811" t="s">
        <v>8</v>
      </c>
      <c r="N811" t="s">
        <v>8</v>
      </c>
      <c r="P811">
        <f t="shared" si="1004"/>
        <v>0.25821428571428323</v>
      </c>
      <c r="Q811">
        <f t="shared" si="1005"/>
        <v>353677.04187856807</v>
      </c>
      <c r="R811">
        <f t="shared" si="1006"/>
        <v>161212442.94374675</v>
      </c>
      <c r="S811">
        <f t="shared" si="1007"/>
        <v>1612.1244294374674</v>
      </c>
      <c r="T811">
        <f t="shared" si="1008"/>
        <v>1.6121244294374675</v>
      </c>
    </row>
    <row r="812" spans="1:20" x14ac:dyDescent="0.25">
      <c r="A812" s="5">
        <v>43781</v>
      </c>
      <c r="B812">
        <v>20.0977</v>
      </c>
      <c r="C812">
        <v>20.979800000000001</v>
      </c>
      <c r="D812">
        <v>19.944299999999998</v>
      </c>
      <c r="E812">
        <v>20.979800000000001</v>
      </c>
      <c r="F812">
        <v>1236966.44</v>
      </c>
      <c r="G812">
        <v>0</v>
      </c>
      <c r="L812" t="s">
        <v>8</v>
      </c>
      <c r="M812" t="s">
        <v>8</v>
      </c>
      <c r="N812" t="s">
        <v>8</v>
      </c>
      <c r="P812">
        <f t="shared" si="1004"/>
        <v>1</v>
      </c>
      <c r="Q812">
        <f t="shared" si="1005"/>
        <v>1236966.44</v>
      </c>
      <c r="R812">
        <f t="shared" si="1006"/>
        <v>160858765.90186816</v>
      </c>
      <c r="S812">
        <f t="shared" si="1007"/>
        <v>1608.5876590186817</v>
      </c>
      <c r="T812">
        <f t="shared" si="1008"/>
        <v>1.6085876590186818</v>
      </c>
    </row>
    <row r="813" spans="1:20" x14ac:dyDescent="0.25">
      <c r="A813" s="5">
        <v>43780</v>
      </c>
      <c r="B813">
        <v>20.432300000000001</v>
      </c>
      <c r="C813">
        <v>20.627700000000001</v>
      </c>
      <c r="D813">
        <v>19.749700000000001</v>
      </c>
      <c r="E813">
        <v>20.088799999999999</v>
      </c>
      <c r="F813">
        <v>1002832.24</v>
      </c>
      <c r="G813">
        <v>0</v>
      </c>
      <c r="L813" t="s">
        <v>7</v>
      </c>
      <c r="M813" t="s">
        <v>8</v>
      </c>
      <c r="N813" t="s">
        <v>8</v>
      </c>
      <c r="P813">
        <f t="shared" si="1004"/>
        <v>-0.22756264236902424</v>
      </c>
      <c r="Q813">
        <f t="shared" si="1005"/>
        <v>-228207.15438724749</v>
      </c>
      <c r="R813">
        <f t="shared" si="1006"/>
        <v>159621799.46186817</v>
      </c>
      <c r="S813">
        <f t="shared" si="1007"/>
        <v>1596.2179946186816</v>
      </c>
      <c r="T813">
        <f t="shared" si="1008"/>
        <v>1.5962179946186816</v>
      </c>
    </row>
    <row r="814" spans="1:20" x14ac:dyDescent="0.25">
      <c r="A814" s="5">
        <v>43779</v>
      </c>
      <c r="B814">
        <v>19.7042</v>
      </c>
      <c r="C814">
        <v>20.6</v>
      </c>
      <c r="D814">
        <v>19.6694</v>
      </c>
      <c r="E814">
        <v>20.433299999999999</v>
      </c>
      <c r="F814">
        <v>1289880.02</v>
      </c>
      <c r="G814">
        <v>0</v>
      </c>
      <c r="L814" t="s">
        <v>7</v>
      </c>
      <c r="M814" t="s">
        <v>8</v>
      </c>
      <c r="N814" t="s">
        <v>8</v>
      </c>
      <c r="P814">
        <f t="shared" si="1004"/>
        <v>0.64173651407693544</v>
      </c>
      <c r="Q814">
        <f t="shared" si="1005"/>
        <v>827763.10761228774</v>
      </c>
      <c r="R814">
        <f t="shared" si="1006"/>
        <v>159850006.6162554</v>
      </c>
      <c r="S814">
        <f t="shared" si="1007"/>
        <v>1598.500066162554</v>
      </c>
      <c r="T814">
        <f t="shared" si="1008"/>
        <v>1.5985000661625541</v>
      </c>
    </row>
    <row r="815" spans="1:20" x14ac:dyDescent="0.25">
      <c r="A815" s="5">
        <v>43778</v>
      </c>
      <c r="B815">
        <v>19.646000000000001</v>
      </c>
      <c r="C815">
        <v>19.963200000000001</v>
      </c>
      <c r="D815">
        <v>19.462599999999998</v>
      </c>
      <c r="E815">
        <v>19.6999</v>
      </c>
      <c r="F815">
        <v>886139.1</v>
      </c>
      <c r="G815">
        <v>0</v>
      </c>
      <c r="L815" t="s">
        <v>7</v>
      </c>
      <c r="M815" t="s">
        <v>8</v>
      </c>
      <c r="N815" t="s">
        <v>8</v>
      </c>
      <c r="P815">
        <f t="shared" si="1004"/>
        <v>-5.1937674790251076E-2</v>
      </c>
      <c r="Q815">
        <f t="shared" si="1005"/>
        <v>-46024.004394725773</v>
      </c>
      <c r="R815">
        <f t="shared" si="1006"/>
        <v>159022243.50864312</v>
      </c>
      <c r="S815">
        <f t="shared" si="1007"/>
        <v>1590.2224350864312</v>
      </c>
      <c r="T815">
        <f t="shared" si="1008"/>
        <v>1.5902224350864311</v>
      </c>
    </row>
    <row r="816" spans="1:20" x14ac:dyDescent="0.25">
      <c r="A816" s="5">
        <v>43777</v>
      </c>
      <c r="B816">
        <v>20.434200000000001</v>
      </c>
      <c r="C816">
        <v>20.516400000000001</v>
      </c>
      <c r="D816">
        <v>19.260899999999999</v>
      </c>
      <c r="E816">
        <v>19.646000000000001</v>
      </c>
      <c r="F816">
        <v>1087142.07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-0.38653922739944102</v>
      </c>
      <c r="Q816">
        <f t="shared" si="1005"/>
        <v>-420223.05581122905</v>
      </c>
      <c r="R816">
        <f t="shared" si="1006"/>
        <v>159068267.51303786</v>
      </c>
      <c r="S816">
        <f t="shared" si="1007"/>
        <v>1590.6826751303786</v>
      </c>
      <c r="T816">
        <f t="shared" si="1008"/>
        <v>1.5906826751303786</v>
      </c>
    </row>
    <row r="817" spans="1:20" x14ac:dyDescent="0.25">
      <c r="A817" s="5">
        <v>43776</v>
      </c>
      <c r="B817">
        <v>20.699300000000001</v>
      </c>
      <c r="C817">
        <v>20.849</v>
      </c>
      <c r="D817">
        <v>19.91</v>
      </c>
      <c r="E817">
        <v>20.4208</v>
      </c>
      <c r="F817">
        <v>1034081.11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8.7965921192757549E-2</v>
      </c>
      <c r="Q817">
        <f t="shared" si="1005"/>
        <v>90963.897429179255</v>
      </c>
      <c r="R817">
        <f t="shared" si="1006"/>
        <v>159488490.56884909</v>
      </c>
      <c r="S817">
        <f t="shared" si="1007"/>
        <v>1594.8849056884908</v>
      </c>
      <c r="T817">
        <f t="shared" si="1008"/>
        <v>1.5948849056884908</v>
      </c>
    </row>
    <row r="818" spans="1:20" x14ac:dyDescent="0.25">
      <c r="A818" s="5">
        <v>43775</v>
      </c>
      <c r="B818">
        <v>20.662099999999999</v>
      </c>
      <c r="C818">
        <v>20.939900000000002</v>
      </c>
      <c r="D818">
        <v>20.440799999999999</v>
      </c>
      <c r="E818">
        <v>20.7</v>
      </c>
      <c r="F818">
        <v>1304183.99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3.8669605289516275E-2</v>
      </c>
      <c r="Q818">
        <f t="shared" si="1005"/>
        <v>50432.280118206443</v>
      </c>
      <c r="R818">
        <f t="shared" si="1006"/>
        <v>159397526.67141992</v>
      </c>
      <c r="S818">
        <f t="shared" si="1007"/>
        <v>1593.9752667141993</v>
      </c>
      <c r="T818">
        <f t="shared" si="1008"/>
        <v>1.5939752667141993</v>
      </c>
    </row>
    <row r="819" spans="1:20" x14ac:dyDescent="0.25">
      <c r="A819" s="5">
        <v>43774</v>
      </c>
      <c r="B819">
        <v>20.613900000000001</v>
      </c>
      <c r="C819">
        <v>20.89</v>
      </c>
      <c r="D819">
        <v>20.32</v>
      </c>
      <c r="E819">
        <v>20.658799999999999</v>
      </c>
      <c r="F819">
        <v>1435739.44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0.18877192982455765</v>
      </c>
      <c r="Q819">
        <f t="shared" si="1005"/>
        <v>271027.30481402966</v>
      </c>
      <c r="R819">
        <f t="shared" si="1006"/>
        <v>159347094.39130172</v>
      </c>
      <c r="S819">
        <f t="shared" si="1007"/>
        <v>1593.4709439130172</v>
      </c>
      <c r="T819">
        <f t="shared" si="1008"/>
        <v>1.5934709439130172</v>
      </c>
    </row>
    <row r="820" spans="1:20" x14ac:dyDescent="0.25">
      <c r="A820" s="5">
        <v>43773</v>
      </c>
      <c r="B820">
        <v>20.172499999999999</v>
      </c>
      <c r="C820">
        <v>20.88</v>
      </c>
      <c r="D820">
        <v>20.028500000000001</v>
      </c>
      <c r="E820">
        <v>20.613900000000001</v>
      </c>
      <c r="F820">
        <v>1642901.21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0.37498532002349111</v>
      </c>
      <c r="Q820">
        <f t="shared" si="1005"/>
        <v>616063.83599883073</v>
      </c>
      <c r="R820">
        <f t="shared" si="1006"/>
        <v>159076067.08648768</v>
      </c>
      <c r="S820">
        <f t="shared" si="1007"/>
        <v>1590.7606708648768</v>
      </c>
      <c r="T820">
        <f t="shared" si="1008"/>
        <v>1.5907606708648769</v>
      </c>
    </row>
    <row r="821" spans="1:20" x14ac:dyDescent="0.25">
      <c r="A821" s="5">
        <v>43772</v>
      </c>
      <c r="B821">
        <v>20.184699999999999</v>
      </c>
      <c r="C821">
        <v>20.39</v>
      </c>
      <c r="D821">
        <v>19.805299999999999</v>
      </c>
      <c r="E821">
        <v>20.1874</v>
      </c>
      <c r="F821">
        <v>1331174.6000000001</v>
      </c>
      <c r="G821">
        <v>0</v>
      </c>
      <c r="L821" t="s">
        <v>8</v>
      </c>
      <c r="M821" t="s">
        <v>8</v>
      </c>
      <c r="N821" t="s">
        <v>8</v>
      </c>
      <c r="P821">
        <f t="shared" si="1004"/>
        <v>0.30699504019155194</v>
      </c>
      <c r="Q821">
        <f t="shared" si="1005"/>
        <v>408663.99982897309</v>
      </c>
      <c r="R821">
        <f t="shared" si="1006"/>
        <v>158460003.25048885</v>
      </c>
      <c r="S821">
        <f t="shared" si="1007"/>
        <v>1584.6000325048885</v>
      </c>
      <c r="T821">
        <f t="shared" si="1008"/>
        <v>1.5846000325048886</v>
      </c>
    </row>
    <row r="822" spans="1:20" x14ac:dyDescent="0.25">
      <c r="A822" s="5">
        <v>43771</v>
      </c>
      <c r="B822">
        <v>19.9999</v>
      </c>
      <c r="C822">
        <v>20.3</v>
      </c>
      <c r="D822">
        <v>19.96</v>
      </c>
      <c r="E822">
        <v>20.174499999999998</v>
      </c>
      <c r="F822">
        <v>1605037.27</v>
      </c>
      <c r="G822">
        <v>0</v>
      </c>
      <c r="L822" t="s">
        <v>8</v>
      </c>
      <c r="M822" t="s">
        <v>8</v>
      </c>
      <c r="N822" t="s">
        <v>8</v>
      </c>
      <c r="P822">
        <f t="shared" si="1004"/>
        <v>0.26176470588233858</v>
      </c>
      <c r="Q822">
        <f t="shared" si="1005"/>
        <v>420142.10891174164</v>
      </c>
      <c r="R822">
        <f t="shared" si="1006"/>
        <v>158051339.25065988</v>
      </c>
      <c r="S822">
        <f t="shared" si="1007"/>
        <v>1580.5133925065988</v>
      </c>
      <c r="T822">
        <f t="shared" si="1008"/>
        <v>1.5805133925065988</v>
      </c>
    </row>
    <row r="823" spans="1:20" x14ac:dyDescent="0.25">
      <c r="A823" s="5">
        <v>43770</v>
      </c>
      <c r="B823">
        <v>19.9087</v>
      </c>
      <c r="C823">
        <v>20.039899999999999</v>
      </c>
      <c r="D823">
        <v>19.642399999999999</v>
      </c>
      <c r="E823">
        <v>19.9999</v>
      </c>
      <c r="F823">
        <v>1305053.67</v>
      </c>
      <c r="G823">
        <v>0</v>
      </c>
      <c r="L823" t="s">
        <v>8</v>
      </c>
      <c r="M823" t="s">
        <v>8</v>
      </c>
      <c r="N823" t="s">
        <v>8</v>
      </c>
      <c r="P823">
        <f t="shared" si="1004"/>
        <v>0.79874213836478458</v>
      </c>
      <c r="Q823">
        <f t="shared" si="1005"/>
        <v>1042401.3590566099</v>
      </c>
      <c r="R823">
        <f t="shared" si="1006"/>
        <v>157631197.14174813</v>
      </c>
      <c r="S823">
        <f t="shared" si="1007"/>
        <v>1576.3119714174813</v>
      </c>
      <c r="T823">
        <f t="shared" si="1008"/>
        <v>1.5763119714174814</v>
      </c>
    </row>
    <row r="824" spans="1:20" x14ac:dyDescent="0.25">
      <c r="A824" s="5">
        <v>43769</v>
      </c>
      <c r="B824">
        <v>20.05</v>
      </c>
      <c r="C824">
        <v>20.37</v>
      </c>
      <c r="D824">
        <v>19.352900000000002</v>
      </c>
      <c r="E824">
        <v>19.9099</v>
      </c>
      <c r="F824">
        <v>1679420.04</v>
      </c>
      <c r="G824">
        <v>0</v>
      </c>
      <c r="L824" t="s">
        <v>8</v>
      </c>
      <c r="M824" t="s">
        <v>8</v>
      </c>
      <c r="N824" t="s">
        <v>8</v>
      </c>
      <c r="P824">
        <f t="shared" si="1004"/>
        <v>9.5270868154555169E-2</v>
      </c>
      <c r="Q824">
        <f t="shared" si="1005"/>
        <v>159999.80520695777</v>
      </c>
      <c r="R824">
        <f t="shared" si="1006"/>
        <v>156588795.78269151</v>
      </c>
      <c r="S824">
        <f t="shared" si="1007"/>
        <v>1565.887957826915</v>
      </c>
      <c r="T824">
        <f t="shared" si="1008"/>
        <v>1.5658879578269149</v>
      </c>
    </row>
    <row r="825" spans="1:20" x14ac:dyDescent="0.25">
      <c r="A825" s="5">
        <v>43768</v>
      </c>
      <c r="B825">
        <v>20.73</v>
      </c>
      <c r="C825">
        <v>20.797499999999999</v>
      </c>
      <c r="D825">
        <v>19.107600000000001</v>
      </c>
      <c r="E825">
        <v>20.052</v>
      </c>
      <c r="F825">
        <v>1822916.43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0.11769927214627998</v>
      </c>
      <c r="Q825">
        <f t="shared" si="1005"/>
        <v>214555.93699449513</v>
      </c>
      <c r="R825">
        <f t="shared" si="1006"/>
        <v>156428795.97748455</v>
      </c>
      <c r="S825">
        <f t="shared" si="1007"/>
        <v>1564.2879597748456</v>
      </c>
      <c r="T825">
        <f t="shared" si="1008"/>
        <v>1.5642879597748456</v>
      </c>
    </row>
    <row r="826" spans="1:20" x14ac:dyDescent="0.25">
      <c r="A826" s="5">
        <v>43767</v>
      </c>
      <c r="B826">
        <v>19.937899999999999</v>
      </c>
      <c r="C826">
        <v>21.2378</v>
      </c>
      <c r="D826">
        <v>19.809999999999999</v>
      </c>
      <c r="E826">
        <v>20.745200000000001</v>
      </c>
      <c r="F826">
        <v>2298554.91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0.30998739319232521</v>
      </c>
      <c r="Q826">
        <f t="shared" si="1005"/>
        <v>712523.04466031969</v>
      </c>
      <c r="R826">
        <f t="shared" si="1006"/>
        <v>156214240.04049006</v>
      </c>
      <c r="S826">
        <f t="shared" si="1007"/>
        <v>1562.1424004049006</v>
      </c>
      <c r="T826">
        <f t="shared" si="1008"/>
        <v>1.5621424004049007</v>
      </c>
    </row>
    <row r="827" spans="1:20" x14ac:dyDescent="0.25">
      <c r="A827" s="5">
        <v>43766</v>
      </c>
      <c r="B827">
        <v>19.293800000000001</v>
      </c>
      <c r="C827">
        <v>21.15</v>
      </c>
      <c r="D827">
        <v>19.260000000000002</v>
      </c>
      <c r="E827">
        <v>19.939</v>
      </c>
      <c r="F827">
        <v>2713065.62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-0.28148148148148194</v>
      </c>
      <c r="Q827">
        <f t="shared" si="1005"/>
        <v>-763677.7300740754</v>
      </c>
      <c r="R827">
        <f t="shared" si="1006"/>
        <v>155501716.99582973</v>
      </c>
      <c r="S827">
        <f t="shared" si="1007"/>
        <v>1555.0171699582972</v>
      </c>
      <c r="T827">
        <f t="shared" si="1008"/>
        <v>1.5550171699582973</v>
      </c>
    </row>
    <row r="828" spans="1:20" x14ac:dyDescent="0.25">
      <c r="A828" s="5">
        <v>43765</v>
      </c>
      <c r="B828">
        <v>18.931100000000001</v>
      </c>
      <c r="C828">
        <v>19.63</v>
      </c>
      <c r="D828">
        <v>18.474399999999999</v>
      </c>
      <c r="E828">
        <v>19.288799999999998</v>
      </c>
      <c r="F828">
        <v>2293853.06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0.40948425060574473</v>
      </c>
      <c r="Q828">
        <f t="shared" si="1005"/>
        <v>939296.7012737944</v>
      </c>
      <c r="R828">
        <f t="shared" si="1006"/>
        <v>156265394.72590381</v>
      </c>
      <c r="S828">
        <f t="shared" si="1007"/>
        <v>1562.653947259038</v>
      </c>
      <c r="T828">
        <f t="shared" si="1008"/>
        <v>1.5626539472590379</v>
      </c>
    </row>
    <row r="829" spans="1:20" x14ac:dyDescent="0.25">
      <c r="A829" s="5">
        <v>43764</v>
      </c>
      <c r="B829">
        <v>18.6189</v>
      </c>
      <c r="C829">
        <v>19.7653</v>
      </c>
      <c r="D829">
        <v>18.030799999999999</v>
      </c>
      <c r="E829">
        <v>18.950099999999999</v>
      </c>
      <c r="F829">
        <v>3135045.71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6.001729605073447E-2</v>
      </c>
      <c r="Q829">
        <f t="shared" si="1005"/>
        <v>188156.96650965503</v>
      </c>
      <c r="R829">
        <f t="shared" si="1006"/>
        <v>155326098.02463001</v>
      </c>
      <c r="S829">
        <f t="shared" si="1007"/>
        <v>1553.2609802463001</v>
      </c>
      <c r="T829">
        <f t="shared" si="1008"/>
        <v>1.5532609802463</v>
      </c>
    </row>
    <row r="830" spans="1:20" x14ac:dyDescent="0.25">
      <c r="A830" s="5">
        <v>43763</v>
      </c>
      <c r="B830">
        <v>16.9194</v>
      </c>
      <c r="C830">
        <v>19.111000000000001</v>
      </c>
      <c r="D830">
        <v>16.7516</v>
      </c>
      <c r="E830">
        <v>18.6188</v>
      </c>
      <c r="F830">
        <v>2887081.78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0.58277528185131788</v>
      </c>
      <c r="Q830">
        <f t="shared" si="1005"/>
        <v>1682519.8980673044</v>
      </c>
      <c r="R830">
        <f t="shared" si="1006"/>
        <v>155137941.05812037</v>
      </c>
      <c r="S830">
        <f t="shared" si="1007"/>
        <v>1551.3794105812037</v>
      </c>
      <c r="T830">
        <f t="shared" si="1008"/>
        <v>1.5513794105812038</v>
      </c>
    </row>
    <row r="831" spans="1:20" x14ac:dyDescent="0.25">
      <c r="A831" s="5">
        <v>43762</v>
      </c>
      <c r="B831">
        <v>16.6798</v>
      </c>
      <c r="C831">
        <v>17.098700000000001</v>
      </c>
      <c r="D831">
        <v>16.309999999999999</v>
      </c>
      <c r="E831">
        <v>16.9194</v>
      </c>
      <c r="F831">
        <v>1244966.99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0.54532775453277327</v>
      </c>
      <c r="Q831">
        <f t="shared" ref="Q831:Q894" si="1010">F831*P831</f>
        <v>678915.05312412558</v>
      </c>
      <c r="R831">
        <f t="shared" ref="R831:R894" si="1011">R832+Q831</f>
        <v>153455421.16005307</v>
      </c>
      <c r="S831">
        <f t="shared" ref="S831:S894" si="1012">R831/100000</f>
        <v>1534.5542116005308</v>
      </c>
      <c r="T831">
        <f t="shared" ref="T831:T894" si="1013">S831/1000</f>
        <v>1.5345542116005308</v>
      </c>
    </row>
    <row r="832" spans="1:20" x14ac:dyDescent="0.25">
      <c r="A832" s="5">
        <v>43761</v>
      </c>
      <c r="B832">
        <v>18.258099999999999</v>
      </c>
      <c r="C832">
        <v>18.27</v>
      </c>
      <c r="D832">
        <v>16.121300000000002</v>
      </c>
      <c r="E832">
        <v>16.679600000000001</v>
      </c>
      <c r="F832">
        <v>1846223.72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-0.48033694792199971</v>
      </c>
      <c r="Q832">
        <f t="shared" si="1010"/>
        <v>-886809.46684600052</v>
      </c>
      <c r="R832">
        <f t="shared" si="1011"/>
        <v>152776506.10692894</v>
      </c>
      <c r="S832">
        <f t="shared" si="1012"/>
        <v>1527.7650610692895</v>
      </c>
      <c r="T832">
        <f t="shared" si="1013"/>
        <v>1.5277650610692894</v>
      </c>
    </row>
    <row r="833" spans="1:20" x14ac:dyDescent="0.25">
      <c r="A833" s="5">
        <v>43760</v>
      </c>
      <c r="B833">
        <v>18.253399999999999</v>
      </c>
      <c r="C833">
        <v>18.8</v>
      </c>
      <c r="D833">
        <v>18.069199999999999</v>
      </c>
      <c r="E833">
        <v>18.2286</v>
      </c>
      <c r="F833">
        <v>1820100.14</v>
      </c>
      <c r="G833">
        <v>0</v>
      </c>
      <c r="L833" t="s">
        <v>8</v>
      </c>
      <c r="M833" t="s">
        <v>8</v>
      </c>
      <c r="N833" t="s">
        <v>7</v>
      </c>
      <c r="P833">
        <f t="shared" si="1009"/>
        <v>-0.5637657361795263</v>
      </c>
      <c r="Q833">
        <f t="shared" si="1010"/>
        <v>-1026110.0953475588</v>
      </c>
      <c r="R833">
        <f t="shared" si="1011"/>
        <v>153663315.57377493</v>
      </c>
      <c r="S833">
        <f t="shared" si="1012"/>
        <v>1536.6331557377493</v>
      </c>
      <c r="T833">
        <f t="shared" si="1013"/>
        <v>1.5366331557377493</v>
      </c>
    </row>
    <row r="834" spans="1:20" x14ac:dyDescent="0.25">
      <c r="A834" s="5">
        <v>43759</v>
      </c>
      <c r="B834">
        <v>18.489699999999999</v>
      </c>
      <c r="C834">
        <v>18.517099999999999</v>
      </c>
      <c r="D834">
        <v>17.91</v>
      </c>
      <c r="E834">
        <v>18.255099999999999</v>
      </c>
      <c r="F834">
        <v>1497277.47</v>
      </c>
      <c r="G834">
        <v>0</v>
      </c>
      <c r="L834" t="s">
        <v>8</v>
      </c>
      <c r="M834" t="s">
        <v>8</v>
      </c>
      <c r="N834" t="s">
        <v>7</v>
      </c>
      <c r="P834">
        <f t="shared" si="1009"/>
        <v>0.13688025037061161</v>
      </c>
      <c r="Q834">
        <f t="shared" si="1010"/>
        <v>204947.71496787592</v>
      </c>
      <c r="R834">
        <f t="shared" si="1011"/>
        <v>154689425.66912249</v>
      </c>
      <c r="S834">
        <f t="shared" si="1012"/>
        <v>1546.8942566912249</v>
      </c>
      <c r="T834">
        <f t="shared" si="1013"/>
        <v>1.5468942566912249</v>
      </c>
    </row>
    <row r="835" spans="1:20" x14ac:dyDescent="0.25">
      <c r="A835" s="5">
        <v>43758</v>
      </c>
      <c r="B835">
        <v>18.218900000000001</v>
      </c>
      <c r="C835">
        <v>18.579999999999998</v>
      </c>
      <c r="D835">
        <v>17.715199999999999</v>
      </c>
      <c r="E835">
        <v>18.499700000000001</v>
      </c>
      <c r="F835">
        <v>1696662.02</v>
      </c>
      <c r="G835">
        <v>0</v>
      </c>
      <c r="L835" t="s">
        <v>8</v>
      </c>
      <c r="M835" t="s">
        <v>8</v>
      </c>
      <c r="N835" t="s">
        <v>7</v>
      </c>
      <c r="P835">
        <f t="shared" si="1009"/>
        <v>0.81429232192414969</v>
      </c>
      <c r="Q835">
        <f t="shared" si="1010"/>
        <v>1381578.8557863182</v>
      </c>
      <c r="R835">
        <f t="shared" si="1011"/>
        <v>154484477.95415461</v>
      </c>
      <c r="S835">
        <f t="shared" si="1012"/>
        <v>1544.8447795415461</v>
      </c>
      <c r="T835">
        <f t="shared" si="1013"/>
        <v>1.5448447795415461</v>
      </c>
    </row>
    <row r="836" spans="1:20" x14ac:dyDescent="0.25">
      <c r="A836" s="5">
        <v>43757</v>
      </c>
      <c r="B836">
        <v>18.218800000000002</v>
      </c>
      <c r="C836">
        <v>18.444400000000002</v>
      </c>
      <c r="D836">
        <v>17.857500000000002</v>
      </c>
      <c r="E836">
        <v>18.222899999999999</v>
      </c>
      <c r="F836">
        <v>1457873.52</v>
      </c>
      <c r="G836">
        <v>0</v>
      </c>
      <c r="L836" t="s">
        <v>8</v>
      </c>
      <c r="M836" t="s">
        <v>8</v>
      </c>
      <c r="N836" t="s">
        <v>7</v>
      </c>
      <c r="P836">
        <f t="shared" si="1009"/>
        <v>0.24518657352188625</v>
      </c>
      <c r="Q836">
        <f t="shared" si="1010"/>
        <v>357451.01299709111</v>
      </c>
      <c r="R836">
        <f t="shared" si="1011"/>
        <v>153102899.09836829</v>
      </c>
      <c r="S836">
        <f t="shared" si="1012"/>
        <v>1531.0289909836829</v>
      </c>
      <c r="T836">
        <f t="shared" si="1013"/>
        <v>1.5310289909836829</v>
      </c>
    </row>
    <row r="837" spans="1:20" x14ac:dyDescent="0.25">
      <c r="A837" s="5">
        <v>43756</v>
      </c>
      <c r="B837">
        <v>18.520499999999998</v>
      </c>
      <c r="C837">
        <v>18.7501</v>
      </c>
      <c r="D837">
        <v>17.673300000000001</v>
      </c>
      <c r="E837">
        <v>18.218800000000002</v>
      </c>
      <c r="F837">
        <v>1428262.33</v>
      </c>
      <c r="G837">
        <v>0</v>
      </c>
      <c r="L837" t="s">
        <v>8</v>
      </c>
      <c r="M837" t="s">
        <v>8</v>
      </c>
      <c r="N837" t="s">
        <v>7</v>
      </c>
      <c r="P837">
        <f t="shared" si="1009"/>
        <v>1.3187221396733331E-2</v>
      </c>
      <c r="Q837">
        <f t="shared" si="1010"/>
        <v>18834.811558324203</v>
      </c>
      <c r="R837">
        <f t="shared" si="1011"/>
        <v>152745448.0853712</v>
      </c>
      <c r="S837">
        <f t="shared" si="1012"/>
        <v>1527.4544808537119</v>
      </c>
      <c r="T837">
        <f t="shared" si="1013"/>
        <v>1.5274544808537118</v>
      </c>
    </row>
    <row r="838" spans="1:20" x14ac:dyDescent="0.25">
      <c r="A838" s="5">
        <v>43755</v>
      </c>
      <c r="B838">
        <v>17.750399999999999</v>
      </c>
      <c r="C838">
        <v>18.834599999999998</v>
      </c>
      <c r="D838">
        <v>17.562000000000001</v>
      </c>
      <c r="E838">
        <v>18.518799999999999</v>
      </c>
      <c r="F838">
        <v>1889272.66</v>
      </c>
      <c r="G838">
        <v>0</v>
      </c>
      <c r="L838" t="s">
        <v>8</v>
      </c>
      <c r="M838" t="s">
        <v>8</v>
      </c>
      <c r="N838" t="s">
        <v>7</v>
      </c>
      <c r="P838">
        <f t="shared" si="1009"/>
        <v>0.50369322646550352</v>
      </c>
      <c r="Q838">
        <f t="shared" si="1010"/>
        <v>951613.84178846423</v>
      </c>
      <c r="R838">
        <f t="shared" si="1011"/>
        <v>152726613.27381286</v>
      </c>
      <c r="S838">
        <f t="shared" si="1012"/>
        <v>1527.2661327381286</v>
      </c>
      <c r="T838">
        <f t="shared" si="1013"/>
        <v>1.5272661327381285</v>
      </c>
    </row>
    <row r="839" spans="1:20" x14ac:dyDescent="0.25">
      <c r="A839" s="5">
        <v>43754</v>
      </c>
      <c r="B839">
        <v>18.559999999999999</v>
      </c>
      <c r="C839">
        <v>18.646999999999998</v>
      </c>
      <c r="D839">
        <v>17.3627</v>
      </c>
      <c r="E839">
        <v>17.740100000000002</v>
      </c>
      <c r="F839">
        <v>1818495.34</v>
      </c>
      <c r="G839">
        <v>0</v>
      </c>
      <c r="L839" t="s">
        <v>7</v>
      </c>
      <c r="M839" t="s">
        <v>8</v>
      </c>
      <c r="N839" t="s">
        <v>7</v>
      </c>
      <c r="P839">
        <f t="shared" si="1009"/>
        <v>-0.41228684886708394</v>
      </c>
      <c r="Q839">
        <f t="shared" si="1010"/>
        <v>-749741.71340807644</v>
      </c>
      <c r="R839">
        <f t="shared" si="1011"/>
        <v>151774999.43202439</v>
      </c>
      <c r="S839">
        <f t="shared" si="1012"/>
        <v>1517.7499943202438</v>
      </c>
      <c r="T839">
        <f t="shared" si="1013"/>
        <v>1.5177499943202437</v>
      </c>
    </row>
    <row r="840" spans="1:20" x14ac:dyDescent="0.25">
      <c r="A840" s="5">
        <v>43753</v>
      </c>
      <c r="B840">
        <v>18.4389</v>
      </c>
      <c r="C840">
        <v>19.170000000000002</v>
      </c>
      <c r="D840">
        <v>18.100000000000001</v>
      </c>
      <c r="E840">
        <v>18.564299999999999</v>
      </c>
      <c r="F840">
        <v>2919838.62</v>
      </c>
      <c r="G840">
        <v>0</v>
      </c>
      <c r="L840" t="s">
        <v>8</v>
      </c>
      <c r="M840" t="s">
        <v>8</v>
      </c>
      <c r="N840" t="s">
        <v>7</v>
      </c>
      <c r="P840">
        <f t="shared" si="1009"/>
        <v>-0.13214953271028446</v>
      </c>
      <c r="Q840">
        <f t="shared" si="1010"/>
        <v>-385855.30922244187</v>
      </c>
      <c r="R840">
        <f t="shared" si="1011"/>
        <v>152524741.14543247</v>
      </c>
      <c r="S840">
        <f t="shared" si="1012"/>
        <v>1525.2474114543247</v>
      </c>
      <c r="T840">
        <f t="shared" si="1013"/>
        <v>1.5252474114543246</v>
      </c>
    </row>
    <row r="841" spans="1:20" x14ac:dyDescent="0.25">
      <c r="A841" s="5">
        <v>43752</v>
      </c>
      <c r="B841">
        <v>18.256</v>
      </c>
      <c r="C841">
        <v>18.627500000000001</v>
      </c>
      <c r="D841">
        <v>17.851099999999999</v>
      </c>
      <c r="E841">
        <v>18.4376</v>
      </c>
      <c r="F841">
        <v>1643019.36</v>
      </c>
      <c r="G841">
        <v>0</v>
      </c>
      <c r="L841" t="s">
        <v>8</v>
      </c>
      <c r="M841" t="s">
        <v>8</v>
      </c>
      <c r="N841" t="s">
        <v>7</v>
      </c>
      <c r="P841">
        <f t="shared" si="1009"/>
        <v>0.51081916537866845</v>
      </c>
      <c r="Q841">
        <f t="shared" si="1010"/>
        <v>839285.77817619406</v>
      </c>
      <c r="R841">
        <f t="shared" si="1011"/>
        <v>152910596.4546549</v>
      </c>
      <c r="S841">
        <f t="shared" si="1012"/>
        <v>1529.1059645465491</v>
      </c>
      <c r="T841">
        <f t="shared" si="1013"/>
        <v>1.529105964546549</v>
      </c>
    </row>
    <row r="842" spans="1:20" x14ac:dyDescent="0.25">
      <c r="A842" s="5">
        <v>43751</v>
      </c>
      <c r="B842">
        <v>17.166599999999999</v>
      </c>
      <c r="C842">
        <v>18.7699</v>
      </c>
      <c r="D842">
        <v>17.111000000000001</v>
      </c>
      <c r="E842">
        <v>18.256</v>
      </c>
      <c r="F842">
        <v>2233894.4300000002</v>
      </c>
      <c r="G842">
        <v>0</v>
      </c>
      <c r="L842" t="s">
        <v>8</v>
      </c>
      <c r="M842" t="s">
        <v>8</v>
      </c>
      <c r="N842" t="s">
        <v>7</v>
      </c>
      <c r="P842">
        <f t="shared" si="1009"/>
        <v>0.38043281692687947</v>
      </c>
      <c r="Q842">
        <f t="shared" si="1010"/>
        <v>849846.7507221658</v>
      </c>
      <c r="R842">
        <f t="shared" si="1011"/>
        <v>152071310.67647871</v>
      </c>
      <c r="S842">
        <f t="shared" si="1012"/>
        <v>1520.7131067647872</v>
      </c>
      <c r="T842">
        <f t="shared" si="1013"/>
        <v>1.5207131067647872</v>
      </c>
    </row>
    <row r="843" spans="1:20" x14ac:dyDescent="0.25">
      <c r="A843" s="5">
        <v>43750</v>
      </c>
      <c r="B843">
        <v>16.566600000000001</v>
      </c>
      <c r="C843">
        <v>17.486799999999999</v>
      </c>
      <c r="D843">
        <v>16.5059</v>
      </c>
      <c r="E843">
        <v>17.170000000000002</v>
      </c>
      <c r="F843">
        <v>1405695.82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0.35406259557549674</v>
      </c>
      <c r="Q843">
        <f t="shared" si="1010"/>
        <v>497704.3106188263</v>
      </c>
      <c r="R843">
        <f t="shared" si="1011"/>
        <v>151221463.92575654</v>
      </c>
      <c r="S843">
        <f t="shared" si="1012"/>
        <v>1512.2146392575655</v>
      </c>
      <c r="T843">
        <f t="shared" si="1013"/>
        <v>1.5122146392575655</v>
      </c>
    </row>
    <row r="844" spans="1:20" x14ac:dyDescent="0.25">
      <c r="A844" s="5">
        <v>43749</v>
      </c>
      <c r="B844">
        <v>17.532800000000002</v>
      </c>
      <c r="C844">
        <v>17.7</v>
      </c>
      <c r="D844">
        <v>16.510000000000002</v>
      </c>
      <c r="E844">
        <v>16.566600000000001</v>
      </c>
      <c r="F844">
        <v>1477611.99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-0.90487394957983247</v>
      </c>
      <c r="Q844">
        <f t="shared" si="1010"/>
        <v>-1337052.5973378159</v>
      </c>
      <c r="R844">
        <f t="shared" si="1011"/>
        <v>150723759.61513773</v>
      </c>
      <c r="S844">
        <f t="shared" si="1012"/>
        <v>1507.2375961513771</v>
      </c>
      <c r="T844">
        <f t="shared" si="1013"/>
        <v>1.5072375961513771</v>
      </c>
    </row>
    <row r="845" spans="1:20" x14ac:dyDescent="0.25">
      <c r="A845" s="5">
        <v>43748</v>
      </c>
      <c r="B845">
        <v>17.7089</v>
      </c>
      <c r="C845">
        <v>17.917999999999999</v>
      </c>
      <c r="D845">
        <v>17.030999999999999</v>
      </c>
      <c r="E845">
        <v>17.5288</v>
      </c>
      <c r="F845">
        <v>1785750.54</v>
      </c>
      <c r="G845">
        <v>0</v>
      </c>
      <c r="L845" t="s">
        <v>8</v>
      </c>
      <c r="M845" t="s">
        <v>8</v>
      </c>
      <c r="N845" t="s">
        <v>7</v>
      </c>
      <c r="P845">
        <f t="shared" si="1009"/>
        <v>0.12243517474633894</v>
      </c>
      <c r="Q845">
        <f t="shared" si="1010"/>
        <v>218638.67941826914</v>
      </c>
      <c r="R845">
        <f t="shared" si="1011"/>
        <v>152060812.21247554</v>
      </c>
      <c r="S845">
        <f t="shared" si="1012"/>
        <v>1520.6081221247555</v>
      </c>
      <c r="T845">
        <f t="shared" si="1013"/>
        <v>1.5206081221247554</v>
      </c>
    </row>
    <row r="846" spans="1:20" x14ac:dyDescent="0.25">
      <c r="A846" s="5">
        <v>43747</v>
      </c>
      <c r="B846">
        <v>16.020600000000002</v>
      </c>
      <c r="C846">
        <v>17.9999</v>
      </c>
      <c r="D846">
        <v>15.882899999999999</v>
      </c>
      <c r="E846">
        <v>17.717700000000001</v>
      </c>
      <c r="F846">
        <v>2825143.73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0.73339631554086027</v>
      </c>
      <c r="Q846">
        <f t="shared" si="1010"/>
        <v>2071950.0024553628</v>
      </c>
      <c r="R846">
        <f t="shared" si="1011"/>
        <v>151842173.53305727</v>
      </c>
      <c r="S846">
        <f t="shared" si="1012"/>
        <v>1518.4217353305728</v>
      </c>
      <c r="T846">
        <f t="shared" si="1013"/>
        <v>1.5184217353305729</v>
      </c>
    </row>
    <row r="847" spans="1:20" x14ac:dyDescent="0.25">
      <c r="A847" s="5">
        <v>43746</v>
      </c>
      <c r="B847">
        <v>16.025500000000001</v>
      </c>
      <c r="C847">
        <v>16.400700000000001</v>
      </c>
      <c r="D847">
        <v>15.7959</v>
      </c>
      <c r="E847">
        <v>16.0213</v>
      </c>
      <c r="F847">
        <v>992060.4</v>
      </c>
      <c r="G847">
        <v>0</v>
      </c>
      <c r="L847" t="s">
        <v>8</v>
      </c>
      <c r="M847" t="s">
        <v>7</v>
      </c>
      <c r="N847" t="s">
        <v>7</v>
      </c>
      <c r="P847">
        <f t="shared" si="1009"/>
        <v>-0.2546296296296291</v>
      </c>
      <c r="Q847">
        <f t="shared" si="1010"/>
        <v>-252607.9722222217</v>
      </c>
      <c r="R847">
        <f t="shared" si="1011"/>
        <v>149770223.53060192</v>
      </c>
      <c r="S847">
        <f t="shared" si="1012"/>
        <v>1497.7022353060192</v>
      </c>
      <c r="T847">
        <f t="shared" si="1013"/>
        <v>1.4977022353060192</v>
      </c>
    </row>
    <row r="848" spans="1:20" x14ac:dyDescent="0.25">
      <c r="A848" s="5">
        <v>43745</v>
      </c>
      <c r="B848">
        <v>15.0655</v>
      </c>
      <c r="C848">
        <v>16.128</v>
      </c>
      <c r="D848">
        <v>14.855499999999999</v>
      </c>
      <c r="E848">
        <v>16.025500000000001</v>
      </c>
      <c r="F848">
        <v>1138453.45</v>
      </c>
      <c r="G848">
        <v>0</v>
      </c>
      <c r="L848" t="s">
        <v>8</v>
      </c>
      <c r="M848" t="s">
        <v>7</v>
      </c>
      <c r="N848" t="s">
        <v>7</v>
      </c>
      <c r="P848">
        <f t="shared" si="1009"/>
        <v>0.83889980353634719</v>
      </c>
      <c r="Q848">
        <f t="shared" si="1010"/>
        <v>955048.37554027664</v>
      </c>
      <c r="R848">
        <f t="shared" si="1011"/>
        <v>150022831.50282413</v>
      </c>
      <c r="S848">
        <f t="shared" si="1012"/>
        <v>1500.2283150282412</v>
      </c>
      <c r="T848">
        <f t="shared" si="1013"/>
        <v>1.5002283150282412</v>
      </c>
    </row>
    <row r="849" spans="1:20" x14ac:dyDescent="0.25">
      <c r="A849" s="5">
        <v>43744</v>
      </c>
      <c r="B849">
        <v>15.6866</v>
      </c>
      <c r="C849">
        <v>15.729900000000001</v>
      </c>
      <c r="D849">
        <v>14.9</v>
      </c>
      <c r="E849">
        <v>15.0688</v>
      </c>
      <c r="F849">
        <v>821939.84</v>
      </c>
      <c r="G849">
        <v>0</v>
      </c>
      <c r="L849" t="s">
        <v>7</v>
      </c>
      <c r="M849" t="s">
        <v>7</v>
      </c>
      <c r="N849" t="s">
        <v>7</v>
      </c>
      <c r="P849">
        <f t="shared" si="1009"/>
        <v>-0.59320400048198796</v>
      </c>
      <c r="Q849">
        <f t="shared" si="1010"/>
        <v>-487578.00124352507</v>
      </c>
      <c r="R849">
        <f t="shared" si="1011"/>
        <v>149067783.12728384</v>
      </c>
      <c r="S849">
        <f t="shared" si="1012"/>
        <v>1490.6778312728384</v>
      </c>
      <c r="T849">
        <f t="shared" si="1013"/>
        <v>1.4906778312728384</v>
      </c>
    </row>
    <row r="850" spans="1:20" x14ac:dyDescent="0.25">
      <c r="A850" s="5">
        <v>43743</v>
      </c>
      <c r="B850">
        <v>15.6028</v>
      </c>
      <c r="C850">
        <v>15.779400000000001</v>
      </c>
      <c r="D850">
        <v>15.3644</v>
      </c>
      <c r="E850">
        <v>15.6869</v>
      </c>
      <c r="F850">
        <v>815215.74</v>
      </c>
      <c r="G850">
        <v>0</v>
      </c>
      <c r="L850" t="s">
        <v>8</v>
      </c>
      <c r="M850" t="s">
        <v>7</v>
      </c>
      <c r="N850" t="s">
        <v>7</v>
      </c>
      <c r="P850">
        <f t="shared" si="1009"/>
        <v>0.55421686746987509</v>
      </c>
      <c r="Q850">
        <f t="shared" si="1010"/>
        <v>451806.31373493612</v>
      </c>
      <c r="R850">
        <f t="shared" si="1011"/>
        <v>149555361.12852737</v>
      </c>
      <c r="S850">
        <f t="shared" si="1012"/>
        <v>1495.5536112852737</v>
      </c>
      <c r="T850">
        <f t="shared" si="1013"/>
        <v>1.4955536112852736</v>
      </c>
    </row>
    <row r="851" spans="1:20" x14ac:dyDescent="0.25">
      <c r="A851" s="5">
        <v>43742</v>
      </c>
      <c r="B851">
        <v>15.648899999999999</v>
      </c>
      <c r="C851">
        <v>15.82</v>
      </c>
      <c r="D851">
        <v>15.21</v>
      </c>
      <c r="E851">
        <v>15.613300000000001</v>
      </c>
      <c r="F851">
        <v>858010.95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0.32229508196721357</v>
      </c>
      <c r="Q851">
        <f t="shared" si="1010"/>
        <v>276532.7094590168</v>
      </c>
      <c r="R851">
        <f t="shared" si="1011"/>
        <v>149103554.81479242</v>
      </c>
      <c r="S851">
        <f t="shared" si="1012"/>
        <v>1491.0355481479241</v>
      </c>
      <c r="T851">
        <f t="shared" si="1013"/>
        <v>1.4910355481479241</v>
      </c>
    </row>
    <row r="852" spans="1:20" x14ac:dyDescent="0.25">
      <c r="A852" s="5">
        <v>43741</v>
      </c>
      <c r="B852">
        <v>15.89</v>
      </c>
      <c r="C852">
        <v>15.929</v>
      </c>
      <c r="D852">
        <v>15.25</v>
      </c>
      <c r="E852">
        <v>15.637700000000001</v>
      </c>
      <c r="F852">
        <v>904724.95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0.14197349042709997</v>
      </c>
      <c r="Q852">
        <f t="shared" si="1010"/>
        <v>128446.9590279835</v>
      </c>
      <c r="R852">
        <f t="shared" si="1011"/>
        <v>148827022.10533342</v>
      </c>
      <c r="S852">
        <f t="shared" si="1012"/>
        <v>1488.2702210533341</v>
      </c>
      <c r="T852">
        <f t="shared" si="1013"/>
        <v>1.4882702210533341</v>
      </c>
    </row>
    <row r="853" spans="1:20" x14ac:dyDescent="0.25">
      <c r="A853" s="5">
        <v>43740</v>
      </c>
      <c r="B853">
        <v>15.8689</v>
      </c>
      <c r="C853">
        <v>15.889200000000001</v>
      </c>
      <c r="D853">
        <v>15.5</v>
      </c>
      <c r="E853">
        <v>15.8742</v>
      </c>
      <c r="F853">
        <v>950491.27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0.92291880781089131</v>
      </c>
      <c r="Q853">
        <f t="shared" si="1010"/>
        <v>877226.26974305999</v>
      </c>
      <c r="R853">
        <f t="shared" si="1011"/>
        <v>148698575.14630544</v>
      </c>
      <c r="S853">
        <f t="shared" si="1012"/>
        <v>1486.9857514630544</v>
      </c>
      <c r="T853">
        <f t="shared" si="1013"/>
        <v>1.4869857514630545</v>
      </c>
    </row>
    <row r="854" spans="1:20" x14ac:dyDescent="0.25">
      <c r="A854" s="5">
        <v>43739</v>
      </c>
      <c r="B854">
        <v>15.849299999999999</v>
      </c>
      <c r="C854">
        <v>16.28</v>
      </c>
      <c r="D854">
        <v>15.6295</v>
      </c>
      <c r="E854">
        <v>15.856299999999999</v>
      </c>
      <c r="F854">
        <v>1179806.1499999999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-0.30269023827825159</v>
      </c>
      <c r="Q854">
        <f t="shared" si="1010"/>
        <v>-357115.80466564663</v>
      </c>
      <c r="R854">
        <f t="shared" si="1011"/>
        <v>147821348.87656239</v>
      </c>
      <c r="S854">
        <f t="shared" si="1012"/>
        <v>1478.2134887656239</v>
      </c>
      <c r="T854">
        <f t="shared" si="1013"/>
        <v>1.478213488765624</v>
      </c>
    </row>
    <row r="855" spans="1:20" x14ac:dyDescent="0.25">
      <c r="A855" s="5">
        <v>43738</v>
      </c>
      <c r="B855">
        <v>15.186999999999999</v>
      </c>
      <c r="C855">
        <v>15.8506</v>
      </c>
      <c r="D855">
        <v>14.62</v>
      </c>
      <c r="E855">
        <v>15.834899999999999</v>
      </c>
      <c r="F855">
        <v>1129249.1299999999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0.9744839915488368</v>
      </c>
      <c r="Q855">
        <f t="shared" si="1010"/>
        <v>1100435.1996554511</v>
      </c>
      <c r="R855">
        <f t="shared" si="1011"/>
        <v>148178464.68122804</v>
      </c>
      <c r="S855">
        <f t="shared" si="1012"/>
        <v>1481.7846468122805</v>
      </c>
      <c r="T855">
        <f t="shared" si="1013"/>
        <v>1.4817846468122804</v>
      </c>
    </row>
    <row r="856" spans="1:20" x14ac:dyDescent="0.25">
      <c r="A856" s="5">
        <v>43737</v>
      </c>
      <c r="B856">
        <v>15.733499999999999</v>
      </c>
      <c r="C856">
        <v>15.795299999999999</v>
      </c>
      <c r="D856">
        <v>14.8018</v>
      </c>
      <c r="E856">
        <v>15.1999</v>
      </c>
      <c r="F856">
        <v>965380.71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-0.19859084046300998</v>
      </c>
      <c r="Q856">
        <f t="shared" si="1010"/>
        <v>-191715.7665656773</v>
      </c>
      <c r="R856">
        <f t="shared" si="1011"/>
        <v>147078029.4815726</v>
      </c>
      <c r="S856">
        <f t="shared" si="1012"/>
        <v>1470.7802948157259</v>
      </c>
      <c r="T856">
        <f t="shared" si="1013"/>
        <v>1.470780294815726</v>
      </c>
    </row>
    <row r="857" spans="1:20" x14ac:dyDescent="0.25">
      <c r="A857" s="5">
        <v>43736</v>
      </c>
      <c r="B857">
        <v>15.666600000000001</v>
      </c>
      <c r="C857">
        <v>15.8729</v>
      </c>
      <c r="D857">
        <v>15.2911</v>
      </c>
      <c r="E857">
        <v>15.7346</v>
      </c>
      <c r="F857">
        <v>1098737.8500000001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0.52457889309041139</v>
      </c>
      <c r="Q857">
        <f t="shared" si="1010"/>
        <v>576374.68514953856</v>
      </c>
      <c r="R857">
        <f t="shared" si="1011"/>
        <v>147269745.24813828</v>
      </c>
      <c r="S857">
        <f t="shared" si="1012"/>
        <v>1472.6974524813827</v>
      </c>
      <c r="T857">
        <f t="shared" si="1013"/>
        <v>1.4726974524813827</v>
      </c>
    </row>
    <row r="858" spans="1:20" x14ac:dyDescent="0.25">
      <c r="A858" s="5">
        <v>43735</v>
      </c>
      <c r="B858">
        <v>15.2113</v>
      </c>
      <c r="C858">
        <v>15.776999999999999</v>
      </c>
      <c r="D858">
        <v>14.7</v>
      </c>
      <c r="E858">
        <v>15.666600000000001</v>
      </c>
      <c r="F858">
        <v>1435874.03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0.79498607242340114</v>
      </c>
      <c r="Q858">
        <f t="shared" si="1010"/>
        <v>1141499.8556044609</v>
      </c>
      <c r="R858">
        <f t="shared" si="1011"/>
        <v>146693370.56298873</v>
      </c>
      <c r="S858">
        <f t="shared" si="1012"/>
        <v>1466.9337056298873</v>
      </c>
      <c r="T858">
        <f t="shared" si="1013"/>
        <v>1.4669337056298872</v>
      </c>
    </row>
    <row r="859" spans="1:20" x14ac:dyDescent="0.25">
      <c r="A859" s="5">
        <v>43734</v>
      </c>
      <c r="B859">
        <v>16.0138</v>
      </c>
      <c r="C859">
        <v>16.399999999999999</v>
      </c>
      <c r="D859">
        <v>14.2555</v>
      </c>
      <c r="E859">
        <v>15.2212</v>
      </c>
      <c r="F859">
        <v>1807568.44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-9.9370482629983242E-2</v>
      </c>
      <c r="Q859">
        <f t="shared" si="1010"/>
        <v>-179618.94826952589</v>
      </c>
      <c r="R859">
        <f t="shared" si="1011"/>
        <v>145551870.70738426</v>
      </c>
      <c r="S859">
        <f t="shared" si="1012"/>
        <v>1455.5187070738425</v>
      </c>
      <c r="T859">
        <f t="shared" si="1013"/>
        <v>1.4555187070738425</v>
      </c>
    </row>
    <row r="860" spans="1:20" x14ac:dyDescent="0.25">
      <c r="A860" s="5">
        <v>43733</v>
      </c>
      <c r="B860">
        <v>15.824</v>
      </c>
      <c r="C860">
        <v>16.488199999999999</v>
      </c>
      <c r="D860">
        <v>14.894500000000001</v>
      </c>
      <c r="E860">
        <v>16.0321</v>
      </c>
      <c r="F860">
        <v>1826023.89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0.4276212587061558</v>
      </c>
      <c r="Q860">
        <f t="shared" si="1010"/>
        <v>780846.63426931098</v>
      </c>
      <c r="R860">
        <f t="shared" si="1011"/>
        <v>145731489.65565377</v>
      </c>
      <c r="S860">
        <f t="shared" si="1012"/>
        <v>1457.3148965565379</v>
      </c>
      <c r="T860">
        <f t="shared" si="1013"/>
        <v>1.4573148965565379</v>
      </c>
    </row>
    <row r="861" spans="1:20" x14ac:dyDescent="0.25">
      <c r="A861" s="5">
        <v>43732</v>
      </c>
      <c r="B861">
        <v>19.3127</v>
      </c>
      <c r="C861">
        <v>19.5</v>
      </c>
      <c r="D861">
        <v>14.5</v>
      </c>
      <c r="E861">
        <v>15.8249</v>
      </c>
      <c r="F861">
        <v>2718637.43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-0.47004000000000018</v>
      </c>
      <c r="Q861">
        <f t="shared" si="1010"/>
        <v>-1277868.3375972006</v>
      </c>
      <c r="R861">
        <f t="shared" si="1011"/>
        <v>144950643.02138448</v>
      </c>
      <c r="S861">
        <f t="shared" si="1012"/>
        <v>1449.5064302138449</v>
      </c>
      <c r="T861">
        <f t="shared" si="1013"/>
        <v>1.449506430213845</v>
      </c>
    </row>
    <row r="862" spans="1:20" x14ac:dyDescent="0.25">
      <c r="A862" s="5">
        <v>43731</v>
      </c>
      <c r="B862">
        <v>20.364000000000001</v>
      </c>
      <c r="C862">
        <v>20.364000000000001</v>
      </c>
      <c r="D862">
        <v>19.1614</v>
      </c>
      <c r="E862">
        <v>19.322800000000001</v>
      </c>
      <c r="F862">
        <v>1094670.56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-0.73158157325794049</v>
      </c>
      <c r="Q862">
        <f t="shared" si="1010"/>
        <v>-800840.81048395077</v>
      </c>
      <c r="R862">
        <f t="shared" si="1011"/>
        <v>146228511.35898167</v>
      </c>
      <c r="S862">
        <f t="shared" si="1012"/>
        <v>1462.2851135898168</v>
      </c>
      <c r="T862">
        <f t="shared" si="1013"/>
        <v>1.4622851135898167</v>
      </c>
    </row>
    <row r="863" spans="1:20" x14ac:dyDescent="0.25">
      <c r="A863" s="5">
        <v>43730</v>
      </c>
      <c r="B863">
        <v>20.973199999999999</v>
      </c>
      <c r="C863">
        <v>20.991199999999999</v>
      </c>
      <c r="D863">
        <v>20</v>
      </c>
      <c r="E863">
        <v>20.360199999999999</v>
      </c>
      <c r="F863">
        <v>972362.63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-0.27320419693301201</v>
      </c>
      <c r="Q863">
        <f t="shared" si="1010"/>
        <v>-265653.5514568215</v>
      </c>
      <c r="R863">
        <f t="shared" si="1011"/>
        <v>147029352.16946563</v>
      </c>
      <c r="S863">
        <f t="shared" si="1012"/>
        <v>1470.2935216946564</v>
      </c>
      <c r="T863">
        <f t="shared" si="1013"/>
        <v>1.4702935216946564</v>
      </c>
    </row>
    <row r="864" spans="1:20" x14ac:dyDescent="0.25">
      <c r="A864" s="5">
        <v>43729</v>
      </c>
      <c r="B864">
        <v>21.274100000000001</v>
      </c>
      <c r="C864">
        <v>21.449400000000001</v>
      </c>
      <c r="D864">
        <v>20.8096</v>
      </c>
      <c r="E864">
        <v>20.9666</v>
      </c>
      <c r="F864">
        <v>1127512.7</v>
      </c>
      <c r="G864">
        <v>0</v>
      </c>
      <c r="L864" t="s">
        <v>8</v>
      </c>
      <c r="M864" t="s">
        <v>7</v>
      </c>
      <c r="N864" t="s">
        <v>7</v>
      </c>
      <c r="P864">
        <f t="shared" si="1009"/>
        <v>-0.50922163175992563</v>
      </c>
      <c r="Q864">
        <f t="shared" si="1010"/>
        <v>-574153.85692403943</v>
      </c>
      <c r="R864">
        <f t="shared" si="1011"/>
        <v>147295005.72092244</v>
      </c>
      <c r="S864">
        <f t="shared" si="1012"/>
        <v>1472.9500572092245</v>
      </c>
      <c r="T864">
        <f t="shared" si="1013"/>
        <v>1.4729500572092245</v>
      </c>
    </row>
    <row r="865" spans="1:20" x14ac:dyDescent="0.25">
      <c r="A865" s="5">
        <v>43728</v>
      </c>
      <c r="B865">
        <v>21.528099999999998</v>
      </c>
      <c r="C865">
        <v>21.5764</v>
      </c>
      <c r="D865">
        <v>20.900500000000001</v>
      </c>
      <c r="E865">
        <v>21.269500000000001</v>
      </c>
      <c r="F865">
        <v>1390566.5</v>
      </c>
      <c r="G865">
        <v>0</v>
      </c>
      <c r="L865" t="s">
        <v>8</v>
      </c>
      <c r="M865" t="s">
        <v>7</v>
      </c>
      <c r="N865" t="s">
        <v>7</v>
      </c>
      <c r="P865">
        <f t="shared" si="1009"/>
        <v>9.1877496671106756E-2</v>
      </c>
      <c r="Q865">
        <f t="shared" si="1010"/>
        <v>127761.76897470257</v>
      </c>
      <c r="R865">
        <f t="shared" si="1011"/>
        <v>147869159.57784647</v>
      </c>
      <c r="S865">
        <f t="shared" si="1012"/>
        <v>1478.6915957784647</v>
      </c>
      <c r="T865">
        <f t="shared" si="1013"/>
        <v>1.4786915957784648</v>
      </c>
    </row>
    <row r="866" spans="1:20" x14ac:dyDescent="0.25">
      <c r="A866" s="5">
        <v>43727</v>
      </c>
      <c r="B866">
        <v>22.201799999999999</v>
      </c>
      <c r="C866">
        <v>22.438300000000002</v>
      </c>
      <c r="D866">
        <v>20.002199999999998</v>
      </c>
      <c r="E866">
        <v>21.537600000000001</v>
      </c>
      <c r="F866">
        <v>1611944.94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0.26053938672468346</v>
      </c>
      <c r="Q866">
        <f t="shared" si="1010"/>
        <v>419975.14610155666</v>
      </c>
      <c r="R866">
        <f t="shared" si="1011"/>
        <v>147741397.80887178</v>
      </c>
      <c r="S866">
        <f t="shared" si="1012"/>
        <v>1477.4139780887178</v>
      </c>
      <c r="T866">
        <f t="shared" si="1013"/>
        <v>1.4774139780887179</v>
      </c>
    </row>
    <row r="867" spans="1:20" x14ac:dyDescent="0.25">
      <c r="A867" s="5">
        <v>43726</v>
      </c>
      <c r="B867">
        <v>21.030200000000001</v>
      </c>
      <c r="C867">
        <v>23.17</v>
      </c>
      <c r="D867">
        <v>20.944199999999999</v>
      </c>
      <c r="E867">
        <v>22.201799999999999</v>
      </c>
      <c r="F867">
        <v>3303465.14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0.1300206667265687</v>
      </c>
      <c r="Q867">
        <f t="shared" si="1010"/>
        <v>429518.7400107776</v>
      </c>
      <c r="R867">
        <f t="shared" si="1011"/>
        <v>147321422.66277021</v>
      </c>
      <c r="S867">
        <f t="shared" si="1012"/>
        <v>1473.2142266277021</v>
      </c>
      <c r="T867">
        <f t="shared" si="1013"/>
        <v>1.4732142266277022</v>
      </c>
    </row>
    <row r="868" spans="1:20" x14ac:dyDescent="0.25">
      <c r="A868" s="5">
        <v>43725</v>
      </c>
      <c r="B868">
        <v>20.245999999999999</v>
      </c>
      <c r="C868">
        <v>21.439</v>
      </c>
      <c r="D868">
        <v>20.03</v>
      </c>
      <c r="E868">
        <v>21.0473</v>
      </c>
      <c r="F868">
        <v>1845592.27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0.44400283889283115</v>
      </c>
      <c r="Q868">
        <f t="shared" si="1010"/>
        <v>819448.20731866453</v>
      </c>
      <c r="R868">
        <f t="shared" si="1011"/>
        <v>146891903.92275944</v>
      </c>
      <c r="S868">
        <f t="shared" si="1012"/>
        <v>1468.9190392275943</v>
      </c>
      <c r="T868">
        <f t="shared" si="1013"/>
        <v>1.4689190392275944</v>
      </c>
    </row>
    <row r="869" spans="1:20" x14ac:dyDescent="0.25">
      <c r="A869" s="5">
        <v>43724</v>
      </c>
      <c r="B869">
        <v>20.290099999999999</v>
      </c>
      <c r="C869">
        <v>20.8</v>
      </c>
      <c r="D869">
        <v>19.877500000000001</v>
      </c>
      <c r="E869">
        <v>20.2422</v>
      </c>
      <c r="F869">
        <v>1035427.91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-0.20932249322493363</v>
      </c>
      <c r="Q869">
        <f t="shared" si="1010"/>
        <v>-216738.35167588218</v>
      </c>
      <c r="R869">
        <f t="shared" si="1011"/>
        <v>146072455.71544078</v>
      </c>
      <c r="S869">
        <f t="shared" si="1012"/>
        <v>1460.7245571544079</v>
      </c>
      <c r="T869">
        <f t="shared" si="1013"/>
        <v>1.4607245571544079</v>
      </c>
    </row>
    <row r="870" spans="1:20" x14ac:dyDescent="0.25">
      <c r="A870" s="5">
        <v>43723</v>
      </c>
      <c r="B870">
        <v>20.9438</v>
      </c>
      <c r="C870">
        <v>21.041899999999998</v>
      </c>
      <c r="D870">
        <v>20.261900000000001</v>
      </c>
      <c r="E870">
        <v>20.290099999999999</v>
      </c>
      <c r="F870">
        <v>1149167.08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-0.92769230769231203</v>
      </c>
      <c r="Q870">
        <f t="shared" si="1010"/>
        <v>-1066073.4603692358</v>
      </c>
      <c r="R870">
        <f t="shared" si="1011"/>
        <v>146289194.06711665</v>
      </c>
      <c r="S870">
        <f t="shared" si="1012"/>
        <v>1462.8919406711664</v>
      </c>
      <c r="T870">
        <f t="shared" si="1013"/>
        <v>1.4628919406711665</v>
      </c>
    </row>
    <row r="871" spans="1:20" x14ac:dyDescent="0.25">
      <c r="A871" s="5">
        <v>43722</v>
      </c>
      <c r="B871">
        <v>20.788900000000002</v>
      </c>
      <c r="C871">
        <v>21.15</v>
      </c>
      <c r="D871">
        <v>20.671399999999998</v>
      </c>
      <c r="E871">
        <v>20.955500000000001</v>
      </c>
      <c r="F871">
        <v>1306146.56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0.18721270371918997</v>
      </c>
      <c r="Q871">
        <f t="shared" si="1010"/>
        <v>244527.22895111918</v>
      </c>
      <c r="R871">
        <f t="shared" si="1011"/>
        <v>147355267.52748588</v>
      </c>
      <c r="S871">
        <f t="shared" si="1012"/>
        <v>1473.5526752748588</v>
      </c>
      <c r="T871">
        <f t="shared" si="1013"/>
        <v>1.4735526752748587</v>
      </c>
    </row>
    <row r="872" spans="1:20" x14ac:dyDescent="0.25">
      <c r="A872" s="5">
        <v>43721</v>
      </c>
      <c r="B872">
        <v>20.823599999999999</v>
      </c>
      <c r="C872">
        <v>21.247499999999999</v>
      </c>
      <c r="D872">
        <v>20.408799999999999</v>
      </c>
      <c r="E872">
        <v>20.788</v>
      </c>
      <c r="F872">
        <v>1429273.21</v>
      </c>
      <c r="G872">
        <v>0</v>
      </c>
      <c r="L872" t="s">
        <v>8</v>
      </c>
      <c r="M872" t="s">
        <v>7</v>
      </c>
      <c r="N872" t="s">
        <v>7</v>
      </c>
      <c r="P872">
        <f t="shared" si="1009"/>
        <v>-9.5743412423986721E-2</v>
      </c>
      <c r="Q872">
        <f t="shared" si="1010"/>
        <v>-136843.49441158539</v>
      </c>
      <c r="R872">
        <f t="shared" si="1011"/>
        <v>147110740.29853475</v>
      </c>
      <c r="S872">
        <f t="shared" si="1012"/>
        <v>1471.1074029853476</v>
      </c>
      <c r="T872">
        <f t="shared" si="1013"/>
        <v>1.4711074029853475</v>
      </c>
    </row>
    <row r="873" spans="1:20" x14ac:dyDescent="0.25">
      <c r="A873" s="5">
        <v>43720</v>
      </c>
      <c r="B873">
        <v>20.7315</v>
      </c>
      <c r="C873">
        <v>20.9572</v>
      </c>
      <c r="D873">
        <v>19.649999999999999</v>
      </c>
      <c r="E873">
        <v>20.82</v>
      </c>
      <c r="F873">
        <v>1700773.17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0.79008567931456575</v>
      </c>
      <c r="Q873">
        <f t="shared" si="1010"/>
        <v>1343756.5253794373</v>
      </c>
      <c r="R873">
        <f t="shared" si="1011"/>
        <v>147247583.79294634</v>
      </c>
      <c r="S873">
        <f t="shared" si="1012"/>
        <v>1472.4758379294633</v>
      </c>
      <c r="T873">
        <f t="shared" si="1013"/>
        <v>1.4724758379294633</v>
      </c>
    </row>
    <row r="874" spans="1:20" x14ac:dyDescent="0.25">
      <c r="A874" s="5">
        <v>43719</v>
      </c>
      <c r="B874">
        <v>21.770399999999999</v>
      </c>
      <c r="C874">
        <v>22.072399999999998</v>
      </c>
      <c r="D874">
        <v>20.5413</v>
      </c>
      <c r="E874">
        <v>20.7334</v>
      </c>
      <c r="F874">
        <v>1069320.6000000001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-0.749069296584155</v>
      </c>
      <c r="Q874">
        <f t="shared" si="1010"/>
        <v>-800995.22966494667</v>
      </c>
      <c r="R874">
        <f t="shared" si="1011"/>
        <v>145903827.26756689</v>
      </c>
      <c r="S874">
        <f t="shared" si="1012"/>
        <v>1459.0382726756688</v>
      </c>
      <c r="T874">
        <f t="shared" si="1013"/>
        <v>1.4590382726756688</v>
      </c>
    </row>
    <row r="875" spans="1:20" x14ac:dyDescent="0.25">
      <c r="A875" s="5">
        <v>43718</v>
      </c>
      <c r="B875">
        <v>22.103999999999999</v>
      </c>
      <c r="C875">
        <v>22.3262</v>
      </c>
      <c r="D875">
        <v>21.5</v>
      </c>
      <c r="E875">
        <v>21.767900000000001</v>
      </c>
      <c r="F875">
        <v>831852.96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-0.35148874364560423</v>
      </c>
      <c r="Q875">
        <f t="shared" si="1010"/>
        <v>-292386.95180827705</v>
      </c>
      <c r="R875">
        <f t="shared" si="1011"/>
        <v>146704822.49723184</v>
      </c>
      <c r="S875">
        <f t="shared" si="1012"/>
        <v>1467.0482249723184</v>
      </c>
      <c r="T875">
        <f t="shared" si="1013"/>
        <v>1.4670482249723185</v>
      </c>
    </row>
    <row r="876" spans="1:20" x14ac:dyDescent="0.25">
      <c r="A876" s="5">
        <v>43717</v>
      </c>
      <c r="B876">
        <v>22.374700000000001</v>
      </c>
      <c r="C876">
        <v>22.490100000000002</v>
      </c>
      <c r="D876">
        <v>21.74</v>
      </c>
      <c r="E876">
        <v>22.097799999999999</v>
      </c>
      <c r="F876">
        <v>1013284.39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-4.599386748433696E-2</v>
      </c>
      <c r="Q876">
        <f t="shared" si="1010"/>
        <v>-46604.86795760721</v>
      </c>
      <c r="R876">
        <f t="shared" si="1011"/>
        <v>146997209.44904011</v>
      </c>
      <c r="S876">
        <f t="shared" si="1012"/>
        <v>1469.9720944904011</v>
      </c>
      <c r="T876">
        <f t="shared" si="1013"/>
        <v>1.4699720944904011</v>
      </c>
    </row>
    <row r="877" spans="1:20" x14ac:dyDescent="0.25">
      <c r="A877" s="5">
        <v>43716</v>
      </c>
      <c r="B877">
        <v>22.396100000000001</v>
      </c>
      <c r="C877">
        <v>22.732099999999999</v>
      </c>
      <c r="D877">
        <v>22</v>
      </c>
      <c r="E877">
        <v>22.411100000000001</v>
      </c>
      <c r="F877">
        <v>1308063.92</v>
      </c>
      <c r="G877">
        <v>0</v>
      </c>
      <c r="L877" t="s">
        <v>7</v>
      </c>
      <c r="M877" t="s">
        <v>7</v>
      </c>
      <c r="N877" t="s">
        <v>7</v>
      </c>
      <c r="P877">
        <f t="shared" si="1009"/>
        <v>0.12307061876793238</v>
      </c>
      <c r="Q877">
        <f t="shared" si="1010"/>
        <v>160984.23602240719</v>
      </c>
      <c r="R877">
        <f t="shared" si="1011"/>
        <v>147043814.31699774</v>
      </c>
      <c r="S877">
        <f t="shared" si="1012"/>
        <v>1470.4381431699774</v>
      </c>
      <c r="T877">
        <f t="shared" si="1013"/>
        <v>1.4704381431699773</v>
      </c>
    </row>
    <row r="878" spans="1:20" x14ac:dyDescent="0.25">
      <c r="A878" s="5">
        <v>43715</v>
      </c>
      <c r="B878">
        <v>21.993200000000002</v>
      </c>
      <c r="C878">
        <v>22.65</v>
      </c>
      <c r="D878">
        <v>21.91</v>
      </c>
      <c r="E878">
        <v>22.3996</v>
      </c>
      <c r="F878">
        <v>1683916.96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0.32324324324324433</v>
      </c>
      <c r="Q878">
        <f t="shared" si="1010"/>
        <v>544314.77950270451</v>
      </c>
      <c r="R878">
        <f t="shared" si="1011"/>
        <v>146882830.08097532</v>
      </c>
      <c r="S878">
        <f t="shared" si="1012"/>
        <v>1468.8283008097533</v>
      </c>
      <c r="T878">
        <f t="shared" si="1013"/>
        <v>1.4688283008097534</v>
      </c>
    </row>
    <row r="879" spans="1:20" x14ac:dyDescent="0.25">
      <c r="A879" s="5">
        <v>43714</v>
      </c>
      <c r="B879">
        <v>22.644200000000001</v>
      </c>
      <c r="C879">
        <v>23.445</v>
      </c>
      <c r="D879">
        <v>21.6997</v>
      </c>
      <c r="E879">
        <v>21.990600000000001</v>
      </c>
      <c r="F879">
        <v>2011805.46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-0.66664756775339418</v>
      </c>
      <c r="Q879">
        <f t="shared" si="1010"/>
        <v>-1341165.2167019984</v>
      </c>
      <c r="R879">
        <f t="shared" si="1011"/>
        <v>146338515.30147263</v>
      </c>
      <c r="S879">
        <f t="shared" si="1012"/>
        <v>1463.3851530147263</v>
      </c>
      <c r="T879">
        <f t="shared" si="1013"/>
        <v>1.4633851530147262</v>
      </c>
    </row>
    <row r="880" spans="1:20" x14ac:dyDescent="0.25">
      <c r="A880" s="5">
        <v>43713</v>
      </c>
      <c r="B880">
        <v>21.682099999999998</v>
      </c>
      <c r="C880">
        <v>23.5213</v>
      </c>
      <c r="D880">
        <v>21.3</v>
      </c>
      <c r="E880">
        <v>22.6388</v>
      </c>
      <c r="F880">
        <v>2252665.09</v>
      </c>
      <c r="G880">
        <v>0</v>
      </c>
      <c r="L880" t="s">
        <v>8</v>
      </c>
      <c r="M880" t="s">
        <v>7</v>
      </c>
      <c r="N880" t="s">
        <v>7</v>
      </c>
      <c r="P880">
        <f t="shared" si="1009"/>
        <v>0.20542024940350198</v>
      </c>
      <c r="Q880">
        <f t="shared" si="1010"/>
        <v>462743.02461036219</v>
      </c>
      <c r="R880">
        <f t="shared" si="1011"/>
        <v>147679680.51817462</v>
      </c>
      <c r="S880">
        <f t="shared" si="1012"/>
        <v>1476.7968051817461</v>
      </c>
      <c r="T880">
        <f t="shared" si="1013"/>
        <v>1.4767968051817462</v>
      </c>
    </row>
    <row r="881" spans="1:20" x14ac:dyDescent="0.25">
      <c r="A881" s="5">
        <v>43712</v>
      </c>
      <c r="B881">
        <v>22.3521</v>
      </c>
      <c r="C881">
        <v>22.599799999999998</v>
      </c>
      <c r="D881">
        <v>21.469899999999999</v>
      </c>
      <c r="E881">
        <v>21.676400000000001</v>
      </c>
      <c r="F881">
        <v>1086933.26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-0.63448092751570573</v>
      </c>
      <c r="Q881">
        <f t="shared" si="1010"/>
        <v>-689638.42295246979</v>
      </c>
      <c r="R881">
        <f t="shared" si="1011"/>
        <v>147216937.49356425</v>
      </c>
      <c r="S881">
        <f t="shared" si="1012"/>
        <v>1472.1693749356425</v>
      </c>
      <c r="T881">
        <f t="shared" si="1013"/>
        <v>1.4721693749356426</v>
      </c>
    </row>
    <row r="882" spans="1:20" x14ac:dyDescent="0.25">
      <c r="A882" s="5">
        <v>43711</v>
      </c>
      <c r="B882">
        <v>22.744900000000001</v>
      </c>
      <c r="C882">
        <v>22.89</v>
      </c>
      <c r="D882">
        <v>22.1615</v>
      </c>
      <c r="E882">
        <v>22.351099999999999</v>
      </c>
      <c r="F882">
        <v>1355982.53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-0.47947838023336015</v>
      </c>
      <c r="Q882">
        <f t="shared" si="1010"/>
        <v>-650164.30710913369</v>
      </c>
      <c r="R882">
        <f t="shared" si="1011"/>
        <v>147906575.91651672</v>
      </c>
      <c r="S882">
        <f t="shared" si="1012"/>
        <v>1479.0657591651673</v>
      </c>
      <c r="T882">
        <f t="shared" si="1013"/>
        <v>1.4790657591651672</v>
      </c>
    </row>
    <row r="883" spans="1:20" x14ac:dyDescent="0.25">
      <c r="A883" s="5">
        <v>43710</v>
      </c>
      <c r="B883">
        <v>21.419499999999999</v>
      </c>
      <c r="C883">
        <v>22.830300000000001</v>
      </c>
      <c r="D883">
        <v>21.01</v>
      </c>
      <c r="E883">
        <v>22.744900000000001</v>
      </c>
      <c r="F883">
        <v>1744034.29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0.90616931275064561</v>
      </c>
      <c r="Q883">
        <f t="shared" si="1010"/>
        <v>1580390.3539828602</v>
      </c>
      <c r="R883">
        <f t="shared" si="1011"/>
        <v>148556740.22362587</v>
      </c>
      <c r="S883">
        <f t="shared" si="1012"/>
        <v>1485.5674022362587</v>
      </c>
      <c r="T883">
        <f t="shared" si="1013"/>
        <v>1.4855674022362586</v>
      </c>
    </row>
    <row r="884" spans="1:20" x14ac:dyDescent="0.25">
      <c r="A884" s="5">
        <v>43709</v>
      </c>
      <c r="B884">
        <v>21.060199999999998</v>
      </c>
      <c r="C884">
        <v>21.6828</v>
      </c>
      <c r="D884">
        <v>20.98</v>
      </c>
      <c r="E884">
        <v>21.424800000000001</v>
      </c>
      <c r="F884">
        <v>1434203.84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0.2657939669891885</v>
      </c>
      <c r="Q884">
        <f t="shared" si="1010"/>
        <v>381202.7281047274</v>
      </c>
      <c r="R884">
        <f t="shared" si="1011"/>
        <v>146976349.869643</v>
      </c>
      <c r="S884">
        <f t="shared" si="1012"/>
        <v>1469.7634986964301</v>
      </c>
      <c r="T884">
        <f t="shared" si="1013"/>
        <v>1.4697634986964301</v>
      </c>
    </row>
    <row r="885" spans="1:20" x14ac:dyDescent="0.25">
      <c r="A885" s="5">
        <v>43708</v>
      </c>
      <c r="B885">
        <v>22.1449</v>
      </c>
      <c r="C885">
        <v>22.37</v>
      </c>
      <c r="D885">
        <v>20.8857</v>
      </c>
      <c r="E885">
        <v>21.060400000000001</v>
      </c>
      <c r="F885">
        <v>1372689.99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-0.76460284309101756</v>
      </c>
      <c r="Q885">
        <f t="shared" si="1010"/>
        <v>-1049562.6690365805</v>
      </c>
      <c r="R885">
        <f t="shared" si="1011"/>
        <v>146595147.14153826</v>
      </c>
      <c r="S885">
        <f t="shared" si="1012"/>
        <v>1465.9514714153827</v>
      </c>
      <c r="T885">
        <f t="shared" si="1013"/>
        <v>1.4659514714153827</v>
      </c>
    </row>
    <row r="886" spans="1:20" x14ac:dyDescent="0.25">
      <c r="A886" s="5">
        <v>43707</v>
      </c>
      <c r="B886">
        <v>21.789400000000001</v>
      </c>
      <c r="C886">
        <v>22.567799999999998</v>
      </c>
      <c r="D886">
        <v>21.5</v>
      </c>
      <c r="E886">
        <v>22.1448</v>
      </c>
      <c r="F886">
        <v>1599602.49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0.20771680089904676</v>
      </c>
      <c r="Q886">
        <f t="shared" si="1010"/>
        <v>332264.31193294941</v>
      </c>
      <c r="R886">
        <f t="shared" si="1011"/>
        <v>147644709.81057483</v>
      </c>
      <c r="S886">
        <f t="shared" si="1012"/>
        <v>1476.4470981057482</v>
      </c>
      <c r="T886">
        <f t="shared" si="1013"/>
        <v>1.4764470981057483</v>
      </c>
    </row>
    <row r="887" spans="1:20" x14ac:dyDescent="0.25">
      <c r="A887" s="5">
        <v>43706</v>
      </c>
      <c r="B887">
        <v>23.355899999999998</v>
      </c>
      <c r="C887">
        <v>23.355899999999998</v>
      </c>
      <c r="D887">
        <v>21.220199999999998</v>
      </c>
      <c r="E887">
        <v>21.777699999999999</v>
      </c>
      <c r="F887">
        <v>1617357.37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-0.47792292925036195</v>
      </c>
      <c r="Q887">
        <f t="shared" si="1010"/>
        <v>-772972.17191506154</v>
      </c>
      <c r="R887">
        <f t="shared" si="1011"/>
        <v>147312445.49864188</v>
      </c>
      <c r="S887">
        <f t="shared" si="1012"/>
        <v>1473.1244549864189</v>
      </c>
      <c r="T887">
        <f t="shared" si="1013"/>
        <v>1.4731244549864189</v>
      </c>
    </row>
    <row r="888" spans="1:20" x14ac:dyDescent="0.25">
      <c r="A888" s="5">
        <v>43705</v>
      </c>
      <c r="B888">
        <v>25.605599999999999</v>
      </c>
      <c r="C888">
        <v>26.129000000000001</v>
      </c>
      <c r="D888">
        <v>23.202999999999999</v>
      </c>
      <c r="E888">
        <v>23.3565</v>
      </c>
      <c r="F888">
        <v>1445782.29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-0.8950786056049207</v>
      </c>
      <c r="Q888">
        <f t="shared" si="1010"/>
        <v>-1294088.7961414892</v>
      </c>
      <c r="R888">
        <f t="shared" si="1011"/>
        <v>148085417.67055693</v>
      </c>
      <c r="S888">
        <f t="shared" si="1012"/>
        <v>1480.8541767055692</v>
      </c>
      <c r="T888">
        <f t="shared" si="1013"/>
        <v>1.4808541767055692</v>
      </c>
    </row>
    <row r="889" spans="1:20" x14ac:dyDescent="0.25">
      <c r="A889" s="5">
        <v>43704</v>
      </c>
      <c r="B889">
        <v>26.1341</v>
      </c>
      <c r="C889">
        <v>26.150700000000001</v>
      </c>
      <c r="D889">
        <v>24.622399999999999</v>
      </c>
      <c r="E889">
        <v>25.6051</v>
      </c>
      <c r="F889">
        <v>1196769.3600000001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0.28600405679513219</v>
      </c>
      <c r="Q889">
        <f t="shared" si="1010"/>
        <v>342280.89200811402</v>
      </c>
      <c r="R889">
        <f t="shared" si="1011"/>
        <v>149379506.46669841</v>
      </c>
      <c r="S889">
        <f t="shared" si="1012"/>
        <v>1493.795064666984</v>
      </c>
      <c r="T889">
        <f t="shared" si="1013"/>
        <v>1.493795064666984</v>
      </c>
    </row>
    <row r="890" spans="1:20" x14ac:dyDescent="0.25">
      <c r="A890" s="5">
        <v>43703</v>
      </c>
      <c r="B890">
        <v>26.0886</v>
      </c>
      <c r="C890">
        <v>27.190799999999999</v>
      </c>
      <c r="D890">
        <v>25.650200000000002</v>
      </c>
      <c r="E890">
        <v>26.125699999999998</v>
      </c>
      <c r="F890">
        <v>1816730.9</v>
      </c>
      <c r="G890">
        <v>0</v>
      </c>
      <c r="L890" t="s">
        <v>7</v>
      </c>
      <c r="M890" t="s">
        <v>7</v>
      </c>
      <c r="N890" t="s">
        <v>7</v>
      </c>
      <c r="P890">
        <f t="shared" si="1009"/>
        <v>-0.38270803583019941</v>
      </c>
      <c r="Q890">
        <f t="shared" si="1010"/>
        <v>-695277.51437103038</v>
      </c>
      <c r="R890">
        <f t="shared" si="1011"/>
        <v>149037225.57469028</v>
      </c>
      <c r="S890">
        <f t="shared" si="1012"/>
        <v>1490.3722557469027</v>
      </c>
      <c r="T890">
        <f t="shared" si="1013"/>
        <v>1.4903722557469028</v>
      </c>
    </row>
    <row r="891" spans="1:20" x14ac:dyDescent="0.25">
      <c r="A891" s="5">
        <v>43702</v>
      </c>
      <c r="B891">
        <v>26.298200000000001</v>
      </c>
      <c r="C891">
        <v>26.4</v>
      </c>
      <c r="D891">
        <v>25.57</v>
      </c>
      <c r="E891">
        <v>26.088799999999999</v>
      </c>
      <c r="F891">
        <v>934538.7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0.25012048192771058</v>
      </c>
      <c r="Q891">
        <f t="shared" si="1010"/>
        <v>233747.27002409613</v>
      </c>
      <c r="R891">
        <f t="shared" si="1011"/>
        <v>149732503.08906132</v>
      </c>
      <c r="S891">
        <f t="shared" si="1012"/>
        <v>1497.3250308906131</v>
      </c>
      <c r="T891">
        <f t="shared" si="1013"/>
        <v>1.4973250308906132</v>
      </c>
    </row>
    <row r="892" spans="1:20" x14ac:dyDescent="0.25">
      <c r="A892" s="5">
        <v>43701</v>
      </c>
      <c r="B892">
        <v>26.939900000000002</v>
      </c>
      <c r="C892">
        <v>26.958600000000001</v>
      </c>
      <c r="D892">
        <v>26.01</v>
      </c>
      <c r="E892">
        <v>26.281400000000001</v>
      </c>
      <c r="F892">
        <v>917921.54</v>
      </c>
      <c r="G892">
        <v>0</v>
      </c>
      <c r="L892" t="s">
        <v>7</v>
      </c>
      <c r="M892" t="s">
        <v>7</v>
      </c>
      <c r="N892" t="s">
        <v>7</v>
      </c>
      <c r="P892">
        <f t="shared" si="1009"/>
        <v>-0.42778831962892655</v>
      </c>
      <c r="Q892">
        <f t="shared" si="1010"/>
        <v>-392676.11314779648</v>
      </c>
      <c r="R892">
        <f t="shared" si="1011"/>
        <v>149498755.81903723</v>
      </c>
      <c r="S892">
        <f t="shared" si="1012"/>
        <v>1494.9875581903723</v>
      </c>
      <c r="T892">
        <f t="shared" si="1013"/>
        <v>1.4949875581903722</v>
      </c>
    </row>
    <row r="893" spans="1:20" x14ac:dyDescent="0.25">
      <c r="A893" s="5">
        <v>43700</v>
      </c>
      <c r="B893">
        <v>26.9788</v>
      </c>
      <c r="C893">
        <v>27.2864</v>
      </c>
      <c r="D893">
        <v>26.5</v>
      </c>
      <c r="E893">
        <v>26.94</v>
      </c>
      <c r="F893">
        <v>1084259.29</v>
      </c>
      <c r="G893">
        <v>0</v>
      </c>
      <c r="L893" t="s">
        <v>7</v>
      </c>
      <c r="M893" t="s">
        <v>7</v>
      </c>
      <c r="N893" t="s">
        <v>7</v>
      </c>
      <c r="P893">
        <f t="shared" si="1009"/>
        <v>0.11902339776195585</v>
      </c>
      <c r="Q893">
        <f t="shared" si="1010"/>
        <v>129052.22475076585</v>
      </c>
      <c r="R893">
        <f t="shared" si="1011"/>
        <v>149891431.93218502</v>
      </c>
      <c r="S893">
        <f t="shared" si="1012"/>
        <v>1498.9143193218501</v>
      </c>
      <c r="T893">
        <f t="shared" si="1013"/>
        <v>1.4989143193218502</v>
      </c>
    </row>
    <row r="894" spans="1:20" x14ac:dyDescent="0.25">
      <c r="A894" s="5">
        <v>43699</v>
      </c>
      <c r="B894">
        <v>26.9328</v>
      </c>
      <c r="C894">
        <v>27.330100000000002</v>
      </c>
      <c r="D894">
        <v>26.210999999999999</v>
      </c>
      <c r="E894">
        <v>26.973099999999999</v>
      </c>
      <c r="F894">
        <v>1087596.45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0.36198731123223682</v>
      </c>
      <c r="Q894">
        <f t="shared" si="1010"/>
        <v>393696.1146412259</v>
      </c>
      <c r="R894">
        <f t="shared" si="1011"/>
        <v>149762379.70743427</v>
      </c>
      <c r="S894">
        <f t="shared" si="1012"/>
        <v>1497.6237970743427</v>
      </c>
      <c r="T894">
        <f t="shared" si="1013"/>
        <v>1.4976237970743427</v>
      </c>
    </row>
    <row r="895" spans="1:20" x14ac:dyDescent="0.25">
      <c r="A895" s="5">
        <v>43698</v>
      </c>
      <c r="B895">
        <v>28.037500000000001</v>
      </c>
      <c r="C895">
        <v>28.050999999999998</v>
      </c>
      <c r="D895">
        <v>26.3</v>
      </c>
      <c r="E895">
        <v>26.925000000000001</v>
      </c>
      <c r="F895">
        <v>1007261.99</v>
      </c>
      <c r="G895">
        <v>0</v>
      </c>
      <c r="L895" t="s">
        <v>7</v>
      </c>
      <c r="M895" t="s">
        <v>8</v>
      </c>
      <c r="N895" t="s">
        <v>7</v>
      </c>
      <c r="P895">
        <f t="shared" ref="P895:P958" si="1014">IF(C895=D895,0,((E895-D895)-(C895-E895))/(C895-D895))</f>
        <v>-0.286122215876641</v>
      </c>
      <c r="Q895">
        <f t="shared" ref="Q895:Q958" si="1015">F895*P895</f>
        <v>-288200.032547115</v>
      </c>
      <c r="R895">
        <f t="shared" ref="R895:R958" si="1016">R896+Q895</f>
        <v>149368683.59279305</v>
      </c>
      <c r="S895">
        <f t="shared" ref="S895:S958" si="1017">R895/100000</f>
        <v>1493.6868359279306</v>
      </c>
      <c r="T895">
        <f t="shared" ref="T895:T958" si="1018">S895/1000</f>
        <v>1.4936868359279305</v>
      </c>
    </row>
    <row r="896" spans="1:20" x14ac:dyDescent="0.25">
      <c r="A896" s="5">
        <v>43697</v>
      </c>
      <c r="B896">
        <v>28.7974</v>
      </c>
      <c r="C896">
        <v>28.8079</v>
      </c>
      <c r="D896">
        <v>27.52</v>
      </c>
      <c r="E896">
        <v>28.028600000000001</v>
      </c>
      <c r="F896">
        <v>1232000.47</v>
      </c>
      <c r="G896">
        <v>0</v>
      </c>
      <c r="L896" t="s">
        <v>8</v>
      </c>
      <c r="M896" t="s">
        <v>8</v>
      </c>
      <c r="N896" t="s">
        <v>7</v>
      </c>
      <c r="P896">
        <f t="shared" si="1014"/>
        <v>-0.21018712632968231</v>
      </c>
      <c r="Q896">
        <f t="shared" si="1015"/>
        <v>-258950.63842611798</v>
      </c>
      <c r="R896">
        <f t="shared" si="1016"/>
        <v>149656883.62534016</v>
      </c>
      <c r="S896">
        <f t="shared" si="1017"/>
        <v>1496.5688362534017</v>
      </c>
      <c r="T896">
        <f t="shared" si="1018"/>
        <v>1.4965688362534018</v>
      </c>
    </row>
    <row r="897" spans="1:20" x14ac:dyDescent="0.25">
      <c r="A897" s="5">
        <v>43696</v>
      </c>
      <c r="B897">
        <v>27.903300000000002</v>
      </c>
      <c r="C897">
        <v>29.177900000000001</v>
      </c>
      <c r="D897">
        <v>27.688400000000001</v>
      </c>
      <c r="E897">
        <v>28.793099999999999</v>
      </c>
      <c r="F897">
        <v>1802660.04</v>
      </c>
      <c r="G897">
        <v>0</v>
      </c>
      <c r="L897" t="s">
        <v>8</v>
      </c>
      <c r="M897" t="s">
        <v>8</v>
      </c>
      <c r="N897" t="s">
        <v>7</v>
      </c>
      <c r="P897">
        <f t="shared" si="1014"/>
        <v>0.4833165491775735</v>
      </c>
      <c r="Q897">
        <f t="shared" si="1015"/>
        <v>871255.42987310665</v>
      </c>
      <c r="R897">
        <f t="shared" si="1016"/>
        <v>149915834.26376629</v>
      </c>
      <c r="S897">
        <f t="shared" si="1017"/>
        <v>1499.1583426376628</v>
      </c>
      <c r="T897">
        <f t="shared" si="1018"/>
        <v>1.4991583426376629</v>
      </c>
    </row>
    <row r="898" spans="1:20" x14ac:dyDescent="0.25">
      <c r="A898" s="5">
        <v>43695</v>
      </c>
      <c r="B898">
        <v>27.503699999999998</v>
      </c>
      <c r="C898">
        <v>28.1797</v>
      </c>
      <c r="D898">
        <v>27.051100000000002</v>
      </c>
      <c r="E898">
        <v>27.8977</v>
      </c>
      <c r="F898">
        <v>1210998.25</v>
      </c>
      <c r="G898">
        <v>0</v>
      </c>
      <c r="L898" t="s">
        <v>7</v>
      </c>
      <c r="M898" t="s">
        <v>8</v>
      </c>
      <c r="N898" t="s">
        <v>7</v>
      </c>
      <c r="P898">
        <f t="shared" si="1014"/>
        <v>0.50026581605528908</v>
      </c>
      <c r="Q898">
        <f t="shared" si="1015"/>
        <v>605821.02777777694</v>
      </c>
      <c r="R898">
        <f t="shared" si="1016"/>
        <v>149044578.83389318</v>
      </c>
      <c r="S898">
        <f t="shared" si="1017"/>
        <v>1490.4457883389318</v>
      </c>
      <c r="T898">
        <f t="shared" si="1018"/>
        <v>1.4904457883389319</v>
      </c>
    </row>
    <row r="899" spans="1:20" x14ac:dyDescent="0.25">
      <c r="A899" s="5">
        <v>43694</v>
      </c>
      <c r="B899">
        <v>27.4908</v>
      </c>
      <c r="C899">
        <v>27.9605</v>
      </c>
      <c r="D899">
        <v>26.9863</v>
      </c>
      <c r="E899">
        <v>27.503799999999998</v>
      </c>
      <c r="F899">
        <v>963986.7</v>
      </c>
      <c r="G899">
        <v>0</v>
      </c>
      <c r="L899" t="s">
        <v>7</v>
      </c>
      <c r="M899" t="s">
        <v>8</v>
      </c>
      <c r="N899" t="s">
        <v>7</v>
      </c>
      <c r="P899">
        <f t="shared" si="1014"/>
        <v>6.2410182714018554E-2</v>
      </c>
      <c r="Q899">
        <f t="shared" si="1015"/>
        <v>60162.58608088379</v>
      </c>
      <c r="R899">
        <f t="shared" si="1016"/>
        <v>148438757.80611539</v>
      </c>
      <c r="S899">
        <f t="shared" si="1017"/>
        <v>1484.3875780611538</v>
      </c>
      <c r="T899">
        <f t="shared" si="1018"/>
        <v>1.4843875780611537</v>
      </c>
    </row>
    <row r="900" spans="1:20" x14ac:dyDescent="0.25">
      <c r="A900" s="5">
        <v>43693</v>
      </c>
      <c r="B900">
        <v>28.1052</v>
      </c>
      <c r="C900">
        <v>28.1313</v>
      </c>
      <c r="D900">
        <v>26.788</v>
      </c>
      <c r="E900">
        <v>27.511099999999999</v>
      </c>
      <c r="F900">
        <v>965369.63</v>
      </c>
      <c r="G900">
        <v>0</v>
      </c>
      <c r="L900" t="s">
        <v>7</v>
      </c>
      <c r="M900" t="s">
        <v>8</v>
      </c>
      <c r="N900" t="s">
        <v>7</v>
      </c>
      <c r="P900">
        <f t="shared" si="1014"/>
        <v>7.6602397081812157E-2</v>
      </c>
      <c r="Q900">
        <f t="shared" si="1015"/>
        <v>73949.627727982079</v>
      </c>
      <c r="R900">
        <f t="shared" si="1016"/>
        <v>148378595.22003451</v>
      </c>
      <c r="S900">
        <f t="shared" si="1017"/>
        <v>1483.785952200345</v>
      </c>
      <c r="T900">
        <f t="shared" si="1018"/>
        <v>1.4837859522003449</v>
      </c>
    </row>
    <row r="901" spans="1:20" x14ac:dyDescent="0.25">
      <c r="A901" s="5">
        <v>43692</v>
      </c>
      <c r="B901">
        <v>27.006499999999999</v>
      </c>
      <c r="C901">
        <v>28.217400000000001</v>
      </c>
      <c r="D901">
        <v>26.7</v>
      </c>
      <c r="E901">
        <v>28.105799999999999</v>
      </c>
      <c r="F901">
        <v>1244704.8</v>
      </c>
      <c r="G901">
        <v>0</v>
      </c>
      <c r="L901" t="s">
        <v>7</v>
      </c>
      <c r="M901" t="s">
        <v>8</v>
      </c>
      <c r="N901" t="s">
        <v>7</v>
      </c>
      <c r="P901">
        <f t="shared" si="1014"/>
        <v>0.85290628706998461</v>
      </c>
      <c r="Q901">
        <f t="shared" si="1015"/>
        <v>1061616.5494661878</v>
      </c>
      <c r="R901">
        <f t="shared" si="1016"/>
        <v>148304645.59230652</v>
      </c>
      <c r="S901">
        <f t="shared" si="1017"/>
        <v>1483.0464559230652</v>
      </c>
      <c r="T901">
        <f t="shared" si="1018"/>
        <v>1.4830464559230652</v>
      </c>
    </row>
    <row r="902" spans="1:20" x14ac:dyDescent="0.25">
      <c r="A902" s="5">
        <v>43691</v>
      </c>
      <c r="B902">
        <v>29.4512</v>
      </c>
      <c r="C902">
        <v>29.4693</v>
      </c>
      <c r="D902">
        <v>26.75</v>
      </c>
      <c r="E902">
        <v>27.025600000000001</v>
      </c>
      <c r="F902">
        <v>1193540.54</v>
      </c>
      <c r="G902">
        <v>0</v>
      </c>
      <c r="L902" t="s">
        <v>7</v>
      </c>
      <c r="M902" t="s">
        <v>8</v>
      </c>
      <c r="N902" t="s">
        <v>7</v>
      </c>
      <c r="P902">
        <f t="shared" si="1014"/>
        <v>-0.79730077593498272</v>
      </c>
      <c r="Q902">
        <f t="shared" si="1015"/>
        <v>-951610.79865185835</v>
      </c>
      <c r="R902">
        <f t="shared" si="1016"/>
        <v>147243029.04284033</v>
      </c>
      <c r="S902">
        <f t="shared" si="1017"/>
        <v>1472.4302904284034</v>
      </c>
      <c r="T902">
        <f t="shared" si="1018"/>
        <v>1.4724302904284035</v>
      </c>
    </row>
    <row r="903" spans="1:20" x14ac:dyDescent="0.25">
      <c r="A903" s="5">
        <v>43690</v>
      </c>
      <c r="B903">
        <v>30.185600000000001</v>
      </c>
      <c r="C903">
        <v>30.4496</v>
      </c>
      <c r="D903">
        <v>29.2</v>
      </c>
      <c r="E903">
        <v>29.4512</v>
      </c>
      <c r="F903">
        <v>1164703.53</v>
      </c>
      <c r="G903">
        <v>0</v>
      </c>
      <c r="L903" t="s">
        <v>7</v>
      </c>
      <c r="M903" t="s">
        <v>8</v>
      </c>
      <c r="N903" t="s">
        <v>7</v>
      </c>
      <c r="P903">
        <f t="shared" si="1014"/>
        <v>-0.5979513444302168</v>
      </c>
      <c r="Q903">
        <f t="shared" si="1015"/>
        <v>-696436.0416261194</v>
      </c>
      <c r="R903">
        <f t="shared" si="1016"/>
        <v>148194639.84149218</v>
      </c>
      <c r="S903">
        <f t="shared" si="1017"/>
        <v>1481.9463984149218</v>
      </c>
      <c r="T903">
        <f t="shared" si="1018"/>
        <v>1.4819463984149217</v>
      </c>
    </row>
    <row r="904" spans="1:20" x14ac:dyDescent="0.25">
      <c r="A904" s="5">
        <v>43689</v>
      </c>
      <c r="B904">
        <v>30.241800000000001</v>
      </c>
      <c r="C904">
        <v>30.593599999999999</v>
      </c>
      <c r="D904">
        <v>29.823</v>
      </c>
      <c r="E904">
        <v>30.185600000000001</v>
      </c>
      <c r="F904">
        <v>1525430.31</v>
      </c>
      <c r="G904">
        <v>0</v>
      </c>
      <c r="L904" t="s">
        <v>7</v>
      </c>
      <c r="M904" t="s">
        <v>8</v>
      </c>
      <c r="N904" t="s">
        <v>7</v>
      </c>
      <c r="P904">
        <f t="shared" si="1014"/>
        <v>-5.8915131066697803E-2</v>
      </c>
      <c r="Q904">
        <f t="shared" si="1015"/>
        <v>-89870.926646763459</v>
      </c>
      <c r="R904">
        <f t="shared" si="1016"/>
        <v>148891075.8831183</v>
      </c>
      <c r="S904">
        <f t="shared" si="1017"/>
        <v>1488.9107588311831</v>
      </c>
      <c r="T904">
        <f t="shared" si="1018"/>
        <v>1.4889107588311832</v>
      </c>
    </row>
    <row r="905" spans="1:20" x14ac:dyDescent="0.25">
      <c r="A905" s="5">
        <v>43688</v>
      </c>
      <c r="B905">
        <v>29.666599999999999</v>
      </c>
      <c r="C905">
        <v>30.445799999999998</v>
      </c>
      <c r="D905">
        <v>29.3</v>
      </c>
      <c r="E905">
        <v>30.2439</v>
      </c>
      <c r="F905">
        <v>1563332.29</v>
      </c>
      <c r="G905">
        <v>0</v>
      </c>
      <c r="L905" t="s">
        <v>7</v>
      </c>
      <c r="M905" t="s">
        <v>8</v>
      </c>
      <c r="N905" t="s">
        <v>7</v>
      </c>
      <c r="P905">
        <f t="shared" si="1014"/>
        <v>0.6475824751265512</v>
      </c>
      <c r="Q905">
        <f t="shared" si="1015"/>
        <v>1012386.5938034593</v>
      </c>
      <c r="R905">
        <f t="shared" si="1016"/>
        <v>148980946.80976507</v>
      </c>
      <c r="S905">
        <f t="shared" si="1017"/>
        <v>1489.8094680976508</v>
      </c>
      <c r="T905">
        <f t="shared" si="1018"/>
        <v>1.4898094680976508</v>
      </c>
    </row>
    <row r="906" spans="1:20" x14ac:dyDescent="0.25">
      <c r="A906" s="5">
        <v>43687</v>
      </c>
      <c r="B906">
        <v>29.796900000000001</v>
      </c>
      <c r="C906">
        <v>30.02</v>
      </c>
      <c r="D906">
        <v>29.033300000000001</v>
      </c>
      <c r="E906">
        <v>29.6661</v>
      </c>
      <c r="F906">
        <v>1310985.06</v>
      </c>
      <c r="G906">
        <v>0</v>
      </c>
      <c r="L906" t="s">
        <v>7</v>
      </c>
      <c r="M906" t="s">
        <v>8</v>
      </c>
      <c r="N906" t="s">
        <v>7</v>
      </c>
      <c r="P906">
        <f t="shared" si="1014"/>
        <v>0.28265936961589178</v>
      </c>
      <c r="Q906">
        <f t="shared" si="1015"/>
        <v>370562.21063545207</v>
      </c>
      <c r="R906">
        <f t="shared" si="1016"/>
        <v>147968560.21596161</v>
      </c>
      <c r="S906">
        <f t="shared" si="1017"/>
        <v>1479.6856021596161</v>
      </c>
      <c r="T906">
        <f t="shared" si="1018"/>
        <v>1.4796856021596161</v>
      </c>
    </row>
    <row r="907" spans="1:20" x14ac:dyDescent="0.25">
      <c r="A907" s="5">
        <v>43686</v>
      </c>
      <c r="B907">
        <v>31.142600000000002</v>
      </c>
      <c r="C907">
        <v>31.5</v>
      </c>
      <c r="D907">
        <v>29.666599999999999</v>
      </c>
      <c r="E907">
        <v>29.8188</v>
      </c>
      <c r="F907">
        <v>1469206.79</v>
      </c>
      <c r="G907">
        <v>0</v>
      </c>
      <c r="L907" t="s">
        <v>8</v>
      </c>
      <c r="M907" t="s">
        <v>8</v>
      </c>
      <c r="N907" t="s">
        <v>7</v>
      </c>
      <c r="P907">
        <f t="shared" si="1014"/>
        <v>-0.83396967383004206</v>
      </c>
      <c r="Q907">
        <f t="shared" si="1015"/>
        <v>-1225273.907445183</v>
      </c>
      <c r="R907">
        <f t="shared" si="1016"/>
        <v>147597998.00532615</v>
      </c>
      <c r="S907">
        <f t="shared" si="1017"/>
        <v>1475.9799800532614</v>
      </c>
      <c r="T907">
        <f t="shared" si="1018"/>
        <v>1.4759799800532614</v>
      </c>
    </row>
    <row r="908" spans="1:20" x14ac:dyDescent="0.25">
      <c r="A908" s="5">
        <v>43685</v>
      </c>
      <c r="B908">
        <v>29.669</v>
      </c>
      <c r="C908">
        <v>31.879100000000001</v>
      </c>
      <c r="D908">
        <v>29.191400000000002</v>
      </c>
      <c r="E908">
        <v>31.107399999999998</v>
      </c>
      <c r="F908">
        <v>3071362.08</v>
      </c>
      <c r="G908">
        <v>0</v>
      </c>
      <c r="L908" t="s">
        <v>8</v>
      </c>
      <c r="M908" t="s">
        <v>8</v>
      </c>
      <c r="N908" t="s">
        <v>7</v>
      </c>
      <c r="P908">
        <f t="shared" si="1014"/>
        <v>0.42575436246604692</v>
      </c>
      <c r="Q908">
        <f t="shared" si="1015"/>
        <v>1307645.8042727918</v>
      </c>
      <c r="R908">
        <f t="shared" si="1016"/>
        <v>148823271.91277134</v>
      </c>
      <c r="S908">
        <f t="shared" si="1017"/>
        <v>1488.2327191277134</v>
      </c>
      <c r="T908">
        <f t="shared" si="1018"/>
        <v>1.4882327191277134</v>
      </c>
    </row>
    <row r="909" spans="1:20" x14ac:dyDescent="0.25">
      <c r="A909" s="5">
        <v>43684</v>
      </c>
      <c r="B909">
        <v>27.6539</v>
      </c>
      <c r="C909">
        <v>29.98</v>
      </c>
      <c r="D909">
        <v>27.332999999999998</v>
      </c>
      <c r="E909">
        <v>29.6694</v>
      </c>
      <c r="F909">
        <v>2406222.92</v>
      </c>
      <c r="G909">
        <v>0</v>
      </c>
      <c r="L909" t="s">
        <v>8</v>
      </c>
      <c r="M909" t="s">
        <v>7</v>
      </c>
      <c r="N909" t="s">
        <v>7</v>
      </c>
      <c r="P909">
        <f t="shared" si="1014"/>
        <v>0.76531922931620655</v>
      </c>
      <c r="Q909">
        <f t="shared" si="1015"/>
        <v>1841528.670697392</v>
      </c>
      <c r="R909">
        <f t="shared" si="1016"/>
        <v>147515626.10849854</v>
      </c>
      <c r="S909">
        <f t="shared" si="1017"/>
        <v>1475.1562610849855</v>
      </c>
      <c r="T909">
        <f t="shared" si="1018"/>
        <v>1.4751562610849855</v>
      </c>
    </row>
    <row r="910" spans="1:20" x14ac:dyDescent="0.25">
      <c r="A910" s="5">
        <v>43683</v>
      </c>
      <c r="B910">
        <v>28.012699999999999</v>
      </c>
      <c r="C910">
        <v>28.3125</v>
      </c>
      <c r="D910">
        <v>27.333300000000001</v>
      </c>
      <c r="E910">
        <v>27.6523</v>
      </c>
      <c r="F910">
        <v>1420475.2</v>
      </c>
      <c r="G910">
        <v>0</v>
      </c>
      <c r="L910" t="s">
        <v>8</v>
      </c>
      <c r="M910" t="s">
        <v>7</v>
      </c>
      <c r="N910" t="s">
        <v>7</v>
      </c>
      <c r="P910">
        <f t="shared" si="1014"/>
        <v>-0.34844771241830175</v>
      </c>
      <c r="Q910">
        <f t="shared" si="1015"/>
        <v>-494961.33398692962</v>
      </c>
      <c r="R910">
        <f t="shared" si="1016"/>
        <v>145674097.43780115</v>
      </c>
      <c r="S910">
        <f t="shared" si="1017"/>
        <v>1456.7409743780115</v>
      </c>
      <c r="T910">
        <f t="shared" si="1018"/>
        <v>1.4567409743780115</v>
      </c>
    </row>
    <row r="911" spans="1:20" x14ac:dyDescent="0.25">
      <c r="A911" s="5">
        <v>43682</v>
      </c>
      <c r="B911">
        <v>27.383400000000002</v>
      </c>
      <c r="C911">
        <v>28.3</v>
      </c>
      <c r="D911">
        <v>27.301100000000002</v>
      </c>
      <c r="E911">
        <v>28.011399999999998</v>
      </c>
      <c r="F911">
        <v>1170561.81</v>
      </c>
      <c r="G911">
        <v>0</v>
      </c>
      <c r="L911" t="s">
        <v>8</v>
      </c>
      <c r="M911" t="s">
        <v>7</v>
      </c>
      <c r="N911" t="s">
        <v>7</v>
      </c>
      <c r="P911">
        <f t="shared" si="1014"/>
        <v>0.4221643808188954</v>
      </c>
      <c r="Q911">
        <f t="shared" si="1015"/>
        <v>494169.50172889553</v>
      </c>
      <c r="R911">
        <f t="shared" si="1016"/>
        <v>146169058.77178809</v>
      </c>
      <c r="S911">
        <f t="shared" si="1017"/>
        <v>1461.6905877178808</v>
      </c>
      <c r="T911">
        <f t="shared" si="1018"/>
        <v>1.4616905877178807</v>
      </c>
    </row>
    <row r="912" spans="1:20" x14ac:dyDescent="0.25">
      <c r="A912" s="5">
        <v>43681</v>
      </c>
      <c r="B912">
        <v>27.7333</v>
      </c>
      <c r="C912">
        <v>27.771899999999999</v>
      </c>
      <c r="D912">
        <v>27.0852</v>
      </c>
      <c r="E912">
        <v>27.383400000000002</v>
      </c>
      <c r="F912">
        <v>968862.84</v>
      </c>
      <c r="G912">
        <v>0</v>
      </c>
      <c r="L912" t="s">
        <v>8</v>
      </c>
      <c r="M912" t="s">
        <v>7</v>
      </c>
      <c r="N912" t="s">
        <v>7</v>
      </c>
      <c r="P912">
        <f t="shared" si="1014"/>
        <v>-0.13149847094800615</v>
      </c>
      <c r="Q912">
        <f t="shared" si="1015"/>
        <v>-127403.98201834272</v>
      </c>
      <c r="R912">
        <f t="shared" si="1016"/>
        <v>145674889.2700592</v>
      </c>
      <c r="S912">
        <f t="shared" si="1017"/>
        <v>1456.748892700592</v>
      </c>
      <c r="T912">
        <f t="shared" si="1018"/>
        <v>1.456748892700592</v>
      </c>
    </row>
    <row r="913" spans="1:20" x14ac:dyDescent="0.25">
      <c r="A913" s="5">
        <v>43680</v>
      </c>
      <c r="B913">
        <v>28.14</v>
      </c>
      <c r="C913">
        <v>28.340900000000001</v>
      </c>
      <c r="D913">
        <v>27.5</v>
      </c>
      <c r="E913">
        <v>27.7333</v>
      </c>
      <c r="F913">
        <v>1209344.97</v>
      </c>
      <c r="G913">
        <v>0</v>
      </c>
      <c r="L913" t="s">
        <v>8</v>
      </c>
      <c r="M913" t="s">
        <v>7</v>
      </c>
      <c r="N913" t="s">
        <v>7</v>
      </c>
      <c r="P913">
        <f t="shared" si="1014"/>
        <v>-0.44511832560352127</v>
      </c>
      <c r="Q913">
        <f t="shared" si="1015"/>
        <v>-538301.60812344064</v>
      </c>
      <c r="R913">
        <f t="shared" si="1016"/>
        <v>145802293.25207755</v>
      </c>
      <c r="S913">
        <f t="shared" si="1017"/>
        <v>1458.0229325207754</v>
      </c>
      <c r="T913">
        <f t="shared" si="1018"/>
        <v>1.4580229325207754</v>
      </c>
    </row>
    <row r="914" spans="1:20" x14ac:dyDescent="0.25">
      <c r="A914" s="5">
        <v>43679</v>
      </c>
      <c r="B914">
        <v>28.71</v>
      </c>
      <c r="C914">
        <v>28.718599999999999</v>
      </c>
      <c r="D914">
        <v>27.564299999999999</v>
      </c>
      <c r="E914">
        <v>28.14</v>
      </c>
      <c r="F914">
        <v>1503260.49</v>
      </c>
      <c r="G914">
        <v>0</v>
      </c>
      <c r="L914" t="s">
        <v>8</v>
      </c>
      <c r="M914" t="s">
        <v>7</v>
      </c>
      <c r="N914" t="s">
        <v>7</v>
      </c>
      <c r="P914">
        <f t="shared" si="1014"/>
        <v>-2.5123451442404885E-3</v>
      </c>
      <c r="Q914">
        <f t="shared" si="1015"/>
        <v>-3776.7091925800773</v>
      </c>
      <c r="R914">
        <f t="shared" si="1016"/>
        <v>146340594.860201</v>
      </c>
      <c r="S914">
        <f t="shared" si="1017"/>
        <v>1463.4059486020101</v>
      </c>
      <c r="T914">
        <f t="shared" si="1018"/>
        <v>1.4634059486020101</v>
      </c>
    </row>
    <row r="915" spans="1:20" x14ac:dyDescent="0.25">
      <c r="A915" s="5">
        <v>43678</v>
      </c>
      <c r="B915">
        <v>27.7348</v>
      </c>
      <c r="C915">
        <v>28.766400000000001</v>
      </c>
      <c r="D915">
        <v>27.45</v>
      </c>
      <c r="E915">
        <v>28.7088</v>
      </c>
      <c r="F915">
        <v>2252484.64</v>
      </c>
      <c r="G915">
        <v>0</v>
      </c>
      <c r="L915" t="s">
        <v>8</v>
      </c>
      <c r="M915" t="s">
        <v>7</v>
      </c>
      <c r="N915" t="s">
        <v>7</v>
      </c>
      <c r="P915">
        <f t="shared" si="1014"/>
        <v>0.9124886052871457</v>
      </c>
      <c r="Q915">
        <f t="shared" si="1015"/>
        <v>2055366.5675843186</v>
      </c>
      <c r="R915">
        <f t="shared" si="1016"/>
        <v>146344371.56939358</v>
      </c>
      <c r="S915">
        <f t="shared" si="1017"/>
        <v>1463.4437156939357</v>
      </c>
      <c r="T915">
        <f t="shared" si="1018"/>
        <v>1.4634437156939357</v>
      </c>
    </row>
    <row r="916" spans="1:20" x14ac:dyDescent="0.25">
      <c r="A916" s="5">
        <v>43677</v>
      </c>
      <c r="B916">
        <v>26.9879</v>
      </c>
      <c r="C916">
        <v>27.83</v>
      </c>
      <c r="D916">
        <v>26.78</v>
      </c>
      <c r="E916">
        <v>27.75</v>
      </c>
      <c r="F916">
        <v>1934429.49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0.84761904761905049</v>
      </c>
      <c r="Q916">
        <f t="shared" si="1015"/>
        <v>1639659.2820000055</v>
      </c>
      <c r="R916">
        <f t="shared" si="1016"/>
        <v>144289005.00180927</v>
      </c>
      <c r="S916">
        <f t="shared" si="1017"/>
        <v>1442.8900500180928</v>
      </c>
      <c r="T916">
        <f t="shared" si="1018"/>
        <v>1.4428900500180928</v>
      </c>
    </row>
    <row r="917" spans="1:20" x14ac:dyDescent="0.25">
      <c r="A917" s="5">
        <v>43676</v>
      </c>
      <c r="B917">
        <v>26.953900000000001</v>
      </c>
      <c r="C917">
        <v>27.119800000000001</v>
      </c>
      <c r="D917">
        <v>26.202000000000002</v>
      </c>
      <c r="E917">
        <v>26.986699999999999</v>
      </c>
      <c r="F917">
        <v>1143523.29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0.70995859664414362</v>
      </c>
      <c r="Q917">
        <f t="shared" si="1015"/>
        <v>811854.19019829412</v>
      </c>
      <c r="R917">
        <f t="shared" si="1016"/>
        <v>142649345.71980926</v>
      </c>
      <c r="S917">
        <f t="shared" si="1017"/>
        <v>1426.4934571980925</v>
      </c>
      <c r="T917">
        <f t="shared" si="1018"/>
        <v>1.4264934571980925</v>
      </c>
    </row>
    <row r="918" spans="1:20" x14ac:dyDescent="0.25">
      <c r="A918" s="5">
        <v>43675</v>
      </c>
      <c r="B918">
        <v>27.755600000000001</v>
      </c>
      <c r="C918">
        <v>28.041899999999998</v>
      </c>
      <c r="D918">
        <v>26.8202</v>
      </c>
      <c r="E918">
        <v>26.952500000000001</v>
      </c>
      <c r="F918">
        <v>1145223.44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-0.78341655070802829</v>
      </c>
      <c r="Q918">
        <f t="shared" si="1015"/>
        <v>-897186.99715478253</v>
      </c>
      <c r="R918">
        <f t="shared" si="1016"/>
        <v>141837491.52961096</v>
      </c>
      <c r="S918">
        <f t="shared" si="1017"/>
        <v>1418.3749152961095</v>
      </c>
      <c r="T918">
        <f t="shared" si="1018"/>
        <v>1.4183749152961096</v>
      </c>
    </row>
    <row r="919" spans="1:20" x14ac:dyDescent="0.25">
      <c r="A919" s="5">
        <v>43674</v>
      </c>
      <c r="B919">
        <v>27.738399999999999</v>
      </c>
      <c r="C919">
        <v>27.8459</v>
      </c>
      <c r="D919">
        <v>26.42</v>
      </c>
      <c r="E919">
        <v>27.755500000000001</v>
      </c>
      <c r="F919">
        <v>1330561.28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0.87320288940318536</v>
      </c>
      <c r="Q919">
        <f t="shared" si="1015"/>
        <v>1161849.9542240007</v>
      </c>
      <c r="R919">
        <f t="shared" si="1016"/>
        <v>142734678.52676573</v>
      </c>
      <c r="S919">
        <f t="shared" si="1017"/>
        <v>1427.3467852676574</v>
      </c>
      <c r="T919">
        <f t="shared" si="1018"/>
        <v>1.4273467852676573</v>
      </c>
    </row>
    <row r="920" spans="1:20" x14ac:dyDescent="0.25">
      <c r="A920" s="5">
        <v>43673</v>
      </c>
      <c r="B920">
        <v>28.9</v>
      </c>
      <c r="C920">
        <v>29.450199999999999</v>
      </c>
      <c r="D920">
        <v>27.206099999999999</v>
      </c>
      <c r="E920">
        <v>27.7498</v>
      </c>
      <c r="F920">
        <v>1490587.94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-0.51544048839178169</v>
      </c>
      <c r="Q920">
        <f t="shared" si="1015"/>
        <v>-768309.3757844998</v>
      </c>
      <c r="R920">
        <f t="shared" si="1016"/>
        <v>141572828.57254174</v>
      </c>
      <c r="S920">
        <f t="shared" si="1017"/>
        <v>1415.7282857254174</v>
      </c>
      <c r="T920">
        <f t="shared" si="1018"/>
        <v>1.4157282857254174</v>
      </c>
    </row>
    <row r="921" spans="1:20" x14ac:dyDescent="0.25">
      <c r="A921" s="5">
        <v>43672</v>
      </c>
      <c r="B921">
        <v>28.922699999999999</v>
      </c>
      <c r="C921">
        <v>29.05</v>
      </c>
      <c r="D921">
        <v>28.164100000000001</v>
      </c>
      <c r="E921">
        <v>28.9</v>
      </c>
      <c r="F921">
        <v>1929538.17</v>
      </c>
      <c r="G921">
        <v>0</v>
      </c>
      <c r="L921" t="s">
        <v>8</v>
      </c>
      <c r="M921" t="s">
        <v>8</v>
      </c>
      <c r="N921" t="s">
        <v>7</v>
      </c>
      <c r="P921">
        <f t="shared" si="1014"/>
        <v>0.66136132746359133</v>
      </c>
      <c r="Q921">
        <f t="shared" si="1015"/>
        <v>1276121.9255028686</v>
      </c>
      <c r="R921">
        <f t="shared" si="1016"/>
        <v>142341137.94832623</v>
      </c>
      <c r="S921">
        <f t="shared" si="1017"/>
        <v>1423.4113794832624</v>
      </c>
      <c r="T921">
        <f t="shared" si="1018"/>
        <v>1.4234113794832624</v>
      </c>
    </row>
    <row r="922" spans="1:20" x14ac:dyDescent="0.25">
      <c r="A922" s="5">
        <v>43671</v>
      </c>
      <c r="B922">
        <v>28.827500000000001</v>
      </c>
      <c r="C922">
        <v>29.659600000000001</v>
      </c>
      <c r="D922">
        <v>28.444400000000002</v>
      </c>
      <c r="E922">
        <v>28.922699999999999</v>
      </c>
      <c r="F922">
        <v>2187610.96</v>
      </c>
      <c r="G922">
        <v>0</v>
      </c>
      <c r="L922" t="s">
        <v>8</v>
      </c>
      <c r="M922" t="s">
        <v>8</v>
      </c>
      <c r="N922" t="s">
        <v>7</v>
      </c>
      <c r="P922">
        <f t="shared" si="1014"/>
        <v>-0.2128044766293655</v>
      </c>
      <c r="Q922">
        <f t="shared" si="1015"/>
        <v>-465533.40541146381</v>
      </c>
      <c r="R922">
        <f t="shared" si="1016"/>
        <v>141065016.02282336</v>
      </c>
      <c r="S922">
        <f t="shared" si="1017"/>
        <v>1410.6501602282337</v>
      </c>
      <c r="T922">
        <f t="shared" si="1018"/>
        <v>1.4106501602282338</v>
      </c>
    </row>
    <row r="923" spans="1:20" x14ac:dyDescent="0.25">
      <c r="A923" s="5">
        <v>43670</v>
      </c>
      <c r="B923">
        <v>29.438099999999999</v>
      </c>
      <c r="C923">
        <v>29.505700000000001</v>
      </c>
      <c r="D923">
        <v>27.742599999999999</v>
      </c>
      <c r="E923">
        <v>28.8261</v>
      </c>
      <c r="F923">
        <v>2337675.12</v>
      </c>
      <c r="G923">
        <v>0</v>
      </c>
      <c r="L923" t="s">
        <v>7</v>
      </c>
      <c r="M923" t="s">
        <v>8</v>
      </c>
      <c r="N923" t="s">
        <v>7</v>
      </c>
      <c r="P923">
        <f t="shared" si="1014"/>
        <v>0.2290851341387328</v>
      </c>
      <c r="Q923">
        <f t="shared" si="1015"/>
        <v>535526.61843797832</v>
      </c>
      <c r="R923">
        <f t="shared" si="1016"/>
        <v>141530549.42823482</v>
      </c>
      <c r="S923">
        <f t="shared" si="1017"/>
        <v>1415.3054942823483</v>
      </c>
      <c r="T923">
        <f t="shared" si="1018"/>
        <v>1.4153054942823482</v>
      </c>
    </row>
    <row r="924" spans="1:20" x14ac:dyDescent="0.25">
      <c r="A924" s="5">
        <v>43669</v>
      </c>
      <c r="B924">
        <v>30.922599999999999</v>
      </c>
      <c r="C924">
        <v>30.94</v>
      </c>
      <c r="D924">
        <v>28.947099999999999</v>
      </c>
      <c r="E924">
        <v>29.492899999999999</v>
      </c>
      <c r="F924">
        <v>2639256.42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-0.45225550705002843</v>
      </c>
      <c r="Q924">
        <f t="shared" si="1015"/>
        <v>-1193618.2504621428</v>
      </c>
      <c r="R924">
        <f t="shared" si="1016"/>
        <v>140995022.80979684</v>
      </c>
      <c r="S924">
        <f t="shared" si="1017"/>
        <v>1409.9502280979684</v>
      </c>
      <c r="T924">
        <f t="shared" si="1018"/>
        <v>1.4099502280979683</v>
      </c>
    </row>
    <row r="925" spans="1:20" x14ac:dyDescent="0.25">
      <c r="A925" s="5">
        <v>43668</v>
      </c>
      <c r="B925">
        <v>30.4389</v>
      </c>
      <c r="C925">
        <v>32.6</v>
      </c>
      <c r="D925">
        <v>29.6203</v>
      </c>
      <c r="E925">
        <v>30.885000000000002</v>
      </c>
      <c r="F925">
        <v>3469751.44</v>
      </c>
      <c r="G925">
        <v>0</v>
      </c>
      <c r="L925" t="s">
        <v>8</v>
      </c>
      <c r="M925" t="s">
        <v>8</v>
      </c>
      <c r="N925" t="s">
        <v>7</v>
      </c>
      <c r="P925">
        <f t="shared" si="1014"/>
        <v>-0.15112259623451973</v>
      </c>
      <c r="Q925">
        <f t="shared" si="1015"/>
        <v>-524357.84590126341</v>
      </c>
      <c r="R925">
        <f t="shared" si="1016"/>
        <v>142188641.06025898</v>
      </c>
      <c r="S925">
        <f t="shared" si="1017"/>
        <v>1421.8864106025899</v>
      </c>
      <c r="T925">
        <f t="shared" si="1018"/>
        <v>1.4218864106025899</v>
      </c>
    </row>
    <row r="926" spans="1:20" x14ac:dyDescent="0.25">
      <c r="A926" s="5">
        <v>43667</v>
      </c>
      <c r="B926">
        <v>31.122199999999999</v>
      </c>
      <c r="C926">
        <v>31.528099999999998</v>
      </c>
      <c r="D926">
        <v>29.280100000000001</v>
      </c>
      <c r="E926">
        <v>30.438800000000001</v>
      </c>
      <c r="F926">
        <v>2167635.6800000002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3.0871886120997224E-2</v>
      </c>
      <c r="Q926">
        <f t="shared" si="1015"/>
        <v>66919.001864770384</v>
      </c>
      <c r="R926">
        <f t="shared" si="1016"/>
        <v>142712998.90616024</v>
      </c>
      <c r="S926">
        <f t="shared" si="1017"/>
        <v>1427.1299890616024</v>
      </c>
      <c r="T926">
        <f t="shared" si="1018"/>
        <v>1.4271299890616023</v>
      </c>
    </row>
    <row r="927" spans="1:20" x14ac:dyDescent="0.25">
      <c r="A927" s="5">
        <v>43666</v>
      </c>
      <c r="B927">
        <v>29.0015</v>
      </c>
      <c r="C927">
        <v>31.46</v>
      </c>
      <c r="D927">
        <v>28.9</v>
      </c>
      <c r="E927">
        <v>31.0932</v>
      </c>
      <c r="F927">
        <v>2871032.06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0.71343749999999917</v>
      </c>
      <c r="Q927">
        <f t="shared" si="1015"/>
        <v>2048301.9353062476</v>
      </c>
      <c r="R927">
        <f t="shared" si="1016"/>
        <v>142646079.90429547</v>
      </c>
      <c r="S927">
        <f t="shared" si="1017"/>
        <v>1426.4607990429547</v>
      </c>
      <c r="T927">
        <f t="shared" si="1018"/>
        <v>1.4264607990429548</v>
      </c>
    </row>
    <row r="928" spans="1:20" x14ac:dyDescent="0.25">
      <c r="A928" s="5">
        <v>43665</v>
      </c>
      <c r="B928">
        <v>28.950500000000002</v>
      </c>
      <c r="C928">
        <v>29.96</v>
      </c>
      <c r="D928">
        <v>28.315799999999999</v>
      </c>
      <c r="E928">
        <v>29.009599999999999</v>
      </c>
      <c r="F928">
        <v>3934648.14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-0.15606373920447766</v>
      </c>
      <c r="Q928">
        <f t="shared" si="1015"/>
        <v>-614055.90118234314</v>
      </c>
      <c r="R928">
        <f t="shared" si="1016"/>
        <v>140597777.96898922</v>
      </c>
      <c r="S928">
        <f t="shared" si="1017"/>
        <v>1405.9777796898923</v>
      </c>
      <c r="T928">
        <f t="shared" si="1018"/>
        <v>1.4059777796898922</v>
      </c>
    </row>
    <row r="929" spans="1:20" x14ac:dyDescent="0.25">
      <c r="A929" s="5">
        <v>43664</v>
      </c>
      <c r="B929">
        <v>27.625900000000001</v>
      </c>
      <c r="C929">
        <v>29.5</v>
      </c>
      <c r="D929">
        <v>26.8</v>
      </c>
      <c r="E929">
        <v>28.955500000000001</v>
      </c>
      <c r="F929">
        <v>6272574.3799999999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0.59666666666666701</v>
      </c>
      <c r="Q929">
        <f t="shared" si="1015"/>
        <v>3742636.0467333356</v>
      </c>
      <c r="R929">
        <f t="shared" si="1016"/>
        <v>141211833.87017158</v>
      </c>
      <c r="S929">
        <f t="shared" si="1017"/>
        <v>1412.1183387017159</v>
      </c>
      <c r="T929">
        <f t="shared" si="1018"/>
        <v>1.4121183387017158</v>
      </c>
    </row>
    <row r="930" spans="1:20" x14ac:dyDescent="0.25">
      <c r="A930" s="5">
        <v>43663</v>
      </c>
      <c r="B930">
        <v>25.055199999999999</v>
      </c>
      <c r="C930">
        <v>28.2898</v>
      </c>
      <c r="D930">
        <v>24.1709</v>
      </c>
      <c r="E930">
        <v>27.628699999999998</v>
      </c>
      <c r="F930">
        <v>5620644.8700000001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0.6789919638738493</v>
      </c>
      <c r="Q930">
        <f t="shared" si="1015"/>
        <v>3816372.6985187763</v>
      </c>
      <c r="R930">
        <f t="shared" si="1016"/>
        <v>137469197.82343823</v>
      </c>
      <c r="S930">
        <f t="shared" si="1017"/>
        <v>1374.6919782343823</v>
      </c>
      <c r="T930">
        <f t="shared" si="1018"/>
        <v>1.3746919782343823</v>
      </c>
    </row>
    <row r="931" spans="1:20" x14ac:dyDescent="0.25">
      <c r="A931" s="5">
        <v>43662</v>
      </c>
      <c r="B931">
        <v>28.646999999999998</v>
      </c>
      <c r="C931">
        <v>29.58</v>
      </c>
      <c r="D931">
        <v>24.8626</v>
      </c>
      <c r="E931">
        <v>25.060099999999998</v>
      </c>
      <c r="F931">
        <v>3723845.18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-0.91626743545173273</v>
      </c>
      <c r="Q931">
        <f t="shared" si="1015"/>
        <v>-3412038.0730978963</v>
      </c>
      <c r="R931">
        <f t="shared" si="1016"/>
        <v>133652825.12491946</v>
      </c>
      <c r="S931">
        <f t="shared" si="1017"/>
        <v>1336.5282512491947</v>
      </c>
      <c r="T931">
        <f t="shared" si="1018"/>
        <v>1.3365282512491947</v>
      </c>
    </row>
    <row r="932" spans="1:20" x14ac:dyDescent="0.25">
      <c r="A932" s="5">
        <v>43661</v>
      </c>
      <c r="B932">
        <v>28.544699999999999</v>
      </c>
      <c r="C932">
        <v>28.7498</v>
      </c>
      <c r="D932">
        <v>26.318999999999999</v>
      </c>
      <c r="E932">
        <v>28.646999999999998</v>
      </c>
      <c r="F932">
        <v>2958931.55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0.91541879216718613</v>
      </c>
      <c r="Q932">
        <f t="shared" si="1015"/>
        <v>2708661.5456063799</v>
      </c>
      <c r="R932">
        <f t="shared" si="1016"/>
        <v>137064863.19801736</v>
      </c>
      <c r="S932">
        <f t="shared" si="1017"/>
        <v>1370.6486319801736</v>
      </c>
      <c r="T932">
        <f t="shared" si="1018"/>
        <v>1.3706486319801736</v>
      </c>
    </row>
    <row r="933" spans="1:20" x14ac:dyDescent="0.25">
      <c r="A933" s="5">
        <v>43660</v>
      </c>
      <c r="B933">
        <v>31.470099999999999</v>
      </c>
      <c r="C933">
        <v>31.5259</v>
      </c>
      <c r="D933">
        <v>28.3111</v>
      </c>
      <c r="E933">
        <v>28.544699999999999</v>
      </c>
      <c r="F933">
        <v>2117967.02</v>
      </c>
      <c r="G933">
        <v>0</v>
      </c>
      <c r="L933" t="s">
        <v>7</v>
      </c>
      <c r="M933" t="s">
        <v>7</v>
      </c>
      <c r="N933" t="s">
        <v>8</v>
      </c>
      <c r="P933">
        <f t="shared" si="1014"/>
        <v>-0.85467214134627401</v>
      </c>
      <c r="Q933">
        <f t="shared" si="1015"/>
        <v>-1810167.4082841869</v>
      </c>
      <c r="R933">
        <f t="shared" si="1016"/>
        <v>134356201.65241098</v>
      </c>
      <c r="S933">
        <f t="shared" si="1017"/>
        <v>1343.5620165241098</v>
      </c>
      <c r="T933">
        <f t="shared" si="1018"/>
        <v>1.3435620165241098</v>
      </c>
    </row>
    <row r="934" spans="1:20" x14ac:dyDescent="0.25">
      <c r="A934" s="5">
        <v>43659</v>
      </c>
      <c r="B934">
        <v>31.872699999999998</v>
      </c>
      <c r="C934">
        <v>32.489400000000003</v>
      </c>
      <c r="D934">
        <v>30.2075</v>
      </c>
      <c r="E934">
        <v>31.488800000000001</v>
      </c>
      <c r="F934">
        <v>1744138.78</v>
      </c>
      <c r="G934">
        <v>0</v>
      </c>
      <c r="L934" t="s">
        <v>8</v>
      </c>
      <c r="M934" t="s">
        <v>7</v>
      </c>
      <c r="N934" t="s">
        <v>8</v>
      </c>
      <c r="P934">
        <f t="shared" si="1014"/>
        <v>0.12301152548314959</v>
      </c>
      <c r="Q934">
        <f t="shared" si="1015"/>
        <v>214549.17198211944</v>
      </c>
      <c r="R934">
        <f t="shared" si="1016"/>
        <v>136166369.06069517</v>
      </c>
      <c r="S934">
        <f t="shared" si="1017"/>
        <v>1361.6636906069516</v>
      </c>
      <c r="T934">
        <f t="shared" si="1018"/>
        <v>1.3616636906069517</v>
      </c>
    </row>
    <row r="935" spans="1:20" x14ac:dyDescent="0.25">
      <c r="A935" s="5">
        <v>43658</v>
      </c>
      <c r="B935">
        <v>29.421299999999999</v>
      </c>
      <c r="C935">
        <v>32.621899999999997</v>
      </c>
      <c r="D935">
        <v>29</v>
      </c>
      <c r="E935">
        <v>31.8888</v>
      </c>
      <c r="F935">
        <v>2944729.48</v>
      </c>
      <c r="G935">
        <v>0</v>
      </c>
      <c r="L935" t="s">
        <v>8</v>
      </c>
      <c r="M935" t="s">
        <v>7</v>
      </c>
      <c r="N935" t="s">
        <v>8</v>
      </c>
      <c r="P935">
        <f t="shared" si="1014"/>
        <v>0.59518484773185487</v>
      </c>
      <c r="Q935">
        <f t="shared" si="1015"/>
        <v>1752658.3671653043</v>
      </c>
      <c r="R935">
        <f t="shared" si="1016"/>
        <v>135951819.88871306</v>
      </c>
      <c r="S935">
        <f t="shared" si="1017"/>
        <v>1359.5181988871307</v>
      </c>
      <c r="T935">
        <f t="shared" si="1018"/>
        <v>1.3595181988871308</v>
      </c>
    </row>
    <row r="936" spans="1:20" x14ac:dyDescent="0.25">
      <c r="A936" s="5">
        <v>43657</v>
      </c>
      <c r="B936">
        <v>31.222000000000001</v>
      </c>
      <c r="C936">
        <v>31.89</v>
      </c>
      <c r="D936">
        <v>28.2666</v>
      </c>
      <c r="E936">
        <v>29.418099999999999</v>
      </c>
      <c r="F936">
        <v>1746010.06</v>
      </c>
      <c r="G936">
        <v>0</v>
      </c>
      <c r="L936" t="s">
        <v>7</v>
      </c>
      <c r="M936" t="s">
        <v>7</v>
      </c>
      <c r="N936" t="s">
        <v>8</v>
      </c>
      <c r="P936">
        <f t="shared" si="1014"/>
        <v>-0.36440911850747992</v>
      </c>
      <c r="Q936">
        <f t="shared" si="1015"/>
        <v>-636261.9868697921</v>
      </c>
      <c r="R936">
        <f t="shared" si="1016"/>
        <v>134199161.52154775</v>
      </c>
      <c r="S936">
        <f t="shared" si="1017"/>
        <v>1341.9916152154774</v>
      </c>
      <c r="T936">
        <f t="shared" si="1018"/>
        <v>1.3419916152154774</v>
      </c>
    </row>
    <row r="937" spans="1:20" x14ac:dyDescent="0.25">
      <c r="A937" s="5">
        <v>43656</v>
      </c>
      <c r="B937">
        <v>32.481400000000001</v>
      </c>
      <c r="C937">
        <v>32.89</v>
      </c>
      <c r="D937">
        <v>30.51</v>
      </c>
      <c r="E937">
        <v>31.222000000000001</v>
      </c>
      <c r="F937">
        <v>1583726.64</v>
      </c>
      <c r="G937">
        <v>0</v>
      </c>
      <c r="L937" t="s">
        <v>7</v>
      </c>
      <c r="M937" t="s">
        <v>7</v>
      </c>
      <c r="N937" t="s">
        <v>8</v>
      </c>
      <c r="P937">
        <f t="shared" si="1014"/>
        <v>-0.40168067226890752</v>
      </c>
      <c r="Q937">
        <f t="shared" si="1015"/>
        <v>-636152.38144537807</v>
      </c>
      <c r="R937">
        <f t="shared" si="1016"/>
        <v>134835423.50841755</v>
      </c>
      <c r="S937">
        <f t="shared" si="1017"/>
        <v>1348.3542350841756</v>
      </c>
      <c r="T937">
        <f t="shared" si="1018"/>
        <v>1.3483542350841755</v>
      </c>
    </row>
    <row r="938" spans="1:20" x14ac:dyDescent="0.25">
      <c r="A938" s="5">
        <v>43655</v>
      </c>
      <c r="B938">
        <v>33.388800000000003</v>
      </c>
      <c r="C938">
        <v>33.9</v>
      </c>
      <c r="D938">
        <v>32.219499999999996</v>
      </c>
      <c r="E938">
        <v>32.481099999999998</v>
      </c>
      <c r="F938">
        <v>1226644.52</v>
      </c>
      <c r="G938">
        <v>0</v>
      </c>
      <c r="L938" t="s">
        <v>8</v>
      </c>
      <c r="M938" t="s">
        <v>7</v>
      </c>
      <c r="N938" t="s">
        <v>8</v>
      </c>
      <c r="P938">
        <f t="shared" si="1014"/>
        <v>-0.68866408806902579</v>
      </c>
      <c r="Q938">
        <f t="shared" si="1015"/>
        <v>-844746.02975066786</v>
      </c>
      <c r="R938">
        <f t="shared" si="1016"/>
        <v>135471575.88986292</v>
      </c>
      <c r="S938">
        <f t="shared" si="1017"/>
        <v>1354.7157588986292</v>
      </c>
      <c r="T938">
        <f t="shared" si="1018"/>
        <v>1.3547157588986292</v>
      </c>
    </row>
    <row r="939" spans="1:20" x14ac:dyDescent="0.25">
      <c r="A939" s="5">
        <v>43654</v>
      </c>
      <c r="B939">
        <v>32.932600000000001</v>
      </c>
      <c r="C939">
        <v>34.291800000000002</v>
      </c>
      <c r="D939">
        <v>32.75</v>
      </c>
      <c r="E939">
        <v>33.388800000000003</v>
      </c>
      <c r="F939">
        <v>1493676.78</v>
      </c>
      <c r="G939">
        <v>0</v>
      </c>
      <c r="L939" t="s">
        <v>8</v>
      </c>
      <c r="M939" t="s">
        <v>7</v>
      </c>
      <c r="N939" t="s">
        <v>8</v>
      </c>
      <c r="P939">
        <f t="shared" si="1014"/>
        <v>-0.1713581528084025</v>
      </c>
      <c r="Q939">
        <f t="shared" si="1015"/>
        <v>-255953.69391360259</v>
      </c>
      <c r="R939">
        <f t="shared" si="1016"/>
        <v>136316321.9196136</v>
      </c>
      <c r="S939">
        <f t="shared" si="1017"/>
        <v>1363.163219196136</v>
      </c>
      <c r="T939">
        <f t="shared" si="1018"/>
        <v>1.363163219196136</v>
      </c>
    </row>
    <row r="940" spans="1:20" x14ac:dyDescent="0.25">
      <c r="A940" s="5">
        <v>43653</v>
      </c>
      <c r="B940">
        <v>32.5471</v>
      </c>
      <c r="C940">
        <v>33.399700000000003</v>
      </c>
      <c r="D940">
        <v>32.4</v>
      </c>
      <c r="E940">
        <v>32.934399999999997</v>
      </c>
      <c r="F940">
        <v>1219900.05</v>
      </c>
      <c r="G940">
        <v>0</v>
      </c>
      <c r="L940" t="s">
        <v>8</v>
      </c>
      <c r="M940" t="s">
        <v>7</v>
      </c>
      <c r="N940" t="s">
        <v>8</v>
      </c>
      <c r="P940">
        <f t="shared" si="1014"/>
        <v>6.9120736220857681E-2</v>
      </c>
      <c r="Q940">
        <f t="shared" si="1015"/>
        <v>84320.389571861102</v>
      </c>
      <c r="R940">
        <f t="shared" si="1016"/>
        <v>136572275.61352721</v>
      </c>
      <c r="S940">
        <f t="shared" si="1017"/>
        <v>1365.722756135272</v>
      </c>
      <c r="T940">
        <f t="shared" si="1018"/>
        <v>1.3657227561352721</v>
      </c>
    </row>
    <row r="941" spans="1:20" x14ac:dyDescent="0.25">
      <c r="A941" s="5">
        <v>43652</v>
      </c>
      <c r="B941">
        <v>32.550699999999999</v>
      </c>
      <c r="C941">
        <v>33.1815</v>
      </c>
      <c r="D941">
        <v>32.5</v>
      </c>
      <c r="E941">
        <v>32.588799999999999</v>
      </c>
      <c r="F941">
        <v>1122287.44</v>
      </c>
      <c r="G941">
        <v>0</v>
      </c>
      <c r="L941" t="s">
        <v>8</v>
      </c>
      <c r="M941" t="s">
        <v>7</v>
      </c>
      <c r="N941" t="s">
        <v>8</v>
      </c>
      <c r="P941">
        <f t="shared" si="1014"/>
        <v>-0.73939838591342877</v>
      </c>
      <c r="Q941">
        <f t="shared" si="1015"/>
        <v>-829817.52166691399</v>
      </c>
      <c r="R941">
        <f t="shared" si="1016"/>
        <v>136487955.22395533</v>
      </c>
      <c r="S941">
        <f t="shared" si="1017"/>
        <v>1364.8795522395533</v>
      </c>
      <c r="T941">
        <f t="shared" si="1018"/>
        <v>1.3648795522395534</v>
      </c>
    </row>
    <row r="942" spans="1:20" x14ac:dyDescent="0.25">
      <c r="A942" s="5">
        <v>43651</v>
      </c>
      <c r="B942">
        <v>33.039900000000003</v>
      </c>
      <c r="C942">
        <v>33.649700000000003</v>
      </c>
      <c r="D942">
        <v>32.4</v>
      </c>
      <c r="E942">
        <v>32.556600000000003</v>
      </c>
      <c r="F942">
        <v>1501826.74</v>
      </c>
      <c r="G942">
        <v>0</v>
      </c>
      <c r="L942" t="s">
        <v>8</v>
      </c>
      <c r="M942" t="s">
        <v>7</v>
      </c>
      <c r="N942" t="s">
        <v>8</v>
      </c>
      <c r="P942">
        <f t="shared" si="1014"/>
        <v>-0.74937985116427308</v>
      </c>
      <c r="Q942">
        <f t="shared" si="1015"/>
        <v>-1125438.6988957254</v>
      </c>
      <c r="R942">
        <f t="shared" si="1016"/>
        <v>137317772.74562225</v>
      </c>
      <c r="S942">
        <f t="shared" si="1017"/>
        <v>1373.1777274562226</v>
      </c>
      <c r="T942">
        <f t="shared" si="1018"/>
        <v>1.3731777274562225</v>
      </c>
    </row>
    <row r="943" spans="1:20" x14ac:dyDescent="0.25">
      <c r="A943" s="5">
        <v>43650</v>
      </c>
      <c r="B943">
        <v>32.521900000000002</v>
      </c>
      <c r="C943">
        <v>34.383899999999997</v>
      </c>
      <c r="D943">
        <v>32.150300000000001</v>
      </c>
      <c r="E943">
        <v>33.088799999999999</v>
      </c>
      <c r="F943">
        <v>2194259.7999999998</v>
      </c>
      <c r="G943">
        <v>0</v>
      </c>
      <c r="L943" t="s">
        <v>8</v>
      </c>
      <c r="M943" t="s">
        <v>7</v>
      </c>
      <c r="N943" t="s">
        <v>8</v>
      </c>
      <c r="P943">
        <f t="shared" si="1014"/>
        <v>-0.15965257879656203</v>
      </c>
      <c r="Q943">
        <f t="shared" si="1015"/>
        <v>-350319.23561962839</v>
      </c>
      <c r="R943">
        <f t="shared" si="1016"/>
        <v>138443211.44451797</v>
      </c>
      <c r="S943">
        <f t="shared" si="1017"/>
        <v>1384.4321144451796</v>
      </c>
      <c r="T943">
        <f t="shared" si="1018"/>
        <v>1.3844321144451797</v>
      </c>
    </row>
    <row r="944" spans="1:20" x14ac:dyDescent="0.25">
      <c r="A944" s="5">
        <v>43649</v>
      </c>
      <c r="B944">
        <v>31.952999999999999</v>
      </c>
      <c r="C944">
        <v>33.049999999999997</v>
      </c>
      <c r="D944">
        <v>31.623000000000001</v>
      </c>
      <c r="E944">
        <v>32.521999999999998</v>
      </c>
      <c r="F944">
        <v>1929917.65</v>
      </c>
      <c r="G944">
        <v>0</v>
      </c>
      <c r="L944" t="s">
        <v>8</v>
      </c>
      <c r="M944" t="s">
        <v>7</v>
      </c>
      <c r="N944" t="s">
        <v>8</v>
      </c>
      <c r="P944">
        <f t="shared" si="1014"/>
        <v>0.25998598458304112</v>
      </c>
      <c r="Q944">
        <f t="shared" si="1015"/>
        <v>501751.54039943893</v>
      </c>
      <c r="R944">
        <f t="shared" si="1016"/>
        <v>138793530.6801376</v>
      </c>
      <c r="S944">
        <f t="shared" si="1017"/>
        <v>1387.9353068013761</v>
      </c>
      <c r="T944">
        <f t="shared" si="1018"/>
        <v>1.387935306801376</v>
      </c>
    </row>
    <row r="945" spans="1:20" x14ac:dyDescent="0.25">
      <c r="A945" s="5">
        <v>43648</v>
      </c>
      <c r="B945">
        <v>33.272199999999998</v>
      </c>
      <c r="C945">
        <v>34</v>
      </c>
      <c r="D945">
        <v>30.56</v>
      </c>
      <c r="E945">
        <v>31.977699999999999</v>
      </c>
      <c r="F945">
        <v>2017364.12</v>
      </c>
      <c r="G945">
        <v>0</v>
      </c>
      <c r="L945" t="s">
        <v>7</v>
      </c>
      <c r="M945" t="s">
        <v>7</v>
      </c>
      <c r="N945" t="s">
        <v>8</v>
      </c>
      <c r="P945">
        <f t="shared" si="1014"/>
        <v>-0.17575581395348872</v>
      </c>
      <c r="Q945">
        <f t="shared" si="1015"/>
        <v>-354563.47295116348</v>
      </c>
      <c r="R945">
        <f t="shared" si="1016"/>
        <v>138291779.13973817</v>
      </c>
      <c r="S945">
        <f t="shared" si="1017"/>
        <v>1382.9177913973817</v>
      </c>
      <c r="T945">
        <f t="shared" si="1018"/>
        <v>1.3829177913973818</v>
      </c>
    </row>
    <row r="946" spans="1:20" x14ac:dyDescent="0.25">
      <c r="A946" s="5">
        <v>43647</v>
      </c>
      <c r="B946">
        <v>32.114100000000001</v>
      </c>
      <c r="C946">
        <v>34.049999999999997</v>
      </c>
      <c r="D946">
        <v>31.368200000000002</v>
      </c>
      <c r="E946">
        <v>33.277700000000003</v>
      </c>
      <c r="F946">
        <v>1835906.62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0.42404355283764972</v>
      </c>
      <c r="Q946">
        <f t="shared" si="1015"/>
        <v>778504.36582296097</v>
      </c>
      <c r="R946">
        <f t="shared" si="1016"/>
        <v>138646342.61268935</v>
      </c>
      <c r="S946">
        <f t="shared" si="1017"/>
        <v>1386.4634261268934</v>
      </c>
      <c r="T946">
        <f t="shared" si="1018"/>
        <v>1.3864634261268933</v>
      </c>
    </row>
    <row r="947" spans="1:20" x14ac:dyDescent="0.25">
      <c r="A947" s="5">
        <v>43646</v>
      </c>
      <c r="B947">
        <v>35.511099999999999</v>
      </c>
      <c r="C947">
        <v>35.511099999999999</v>
      </c>
      <c r="D947">
        <v>32.020000000000003</v>
      </c>
      <c r="E947">
        <v>32.113999999999997</v>
      </c>
      <c r="F947">
        <v>2022992.01</v>
      </c>
      <c r="G947">
        <v>0</v>
      </c>
      <c r="L947" t="s">
        <v>7</v>
      </c>
      <c r="M947" t="s">
        <v>7</v>
      </c>
      <c r="N947" t="s">
        <v>8</v>
      </c>
      <c r="P947">
        <f t="shared" si="1014"/>
        <v>-0.94614877832202215</v>
      </c>
      <c r="Q947">
        <f t="shared" si="1015"/>
        <v>-1914051.418816712</v>
      </c>
      <c r="R947">
        <f t="shared" si="1016"/>
        <v>137867838.24686638</v>
      </c>
      <c r="S947">
        <f t="shared" si="1017"/>
        <v>1378.6783824686638</v>
      </c>
      <c r="T947">
        <f t="shared" si="1018"/>
        <v>1.3786783824686639</v>
      </c>
    </row>
    <row r="948" spans="1:20" x14ac:dyDescent="0.25">
      <c r="A948" s="5">
        <v>43645</v>
      </c>
      <c r="B948">
        <v>34.595100000000002</v>
      </c>
      <c r="C948">
        <v>35.799999999999997</v>
      </c>
      <c r="D948">
        <v>33.244700000000002</v>
      </c>
      <c r="E948">
        <v>35.5</v>
      </c>
      <c r="F948">
        <v>2591596.98</v>
      </c>
      <c r="G948">
        <v>0</v>
      </c>
      <c r="L948" t="s">
        <v>8</v>
      </c>
      <c r="M948" t="s">
        <v>7</v>
      </c>
      <c r="N948" t="s">
        <v>8</v>
      </c>
      <c r="P948">
        <f t="shared" si="1014"/>
        <v>0.7651939106954192</v>
      </c>
      <c r="Q948">
        <f t="shared" si="1015"/>
        <v>1983074.2280726382</v>
      </c>
      <c r="R948">
        <f t="shared" si="1016"/>
        <v>139781889.66568309</v>
      </c>
      <c r="S948">
        <f t="shared" si="1017"/>
        <v>1397.8188966568309</v>
      </c>
      <c r="T948">
        <f t="shared" si="1018"/>
        <v>1.397818896656831</v>
      </c>
    </row>
    <row r="949" spans="1:20" x14ac:dyDescent="0.25">
      <c r="A949" s="5">
        <v>43644</v>
      </c>
      <c r="B949">
        <v>34.341999999999999</v>
      </c>
      <c r="C949">
        <v>35.280900000000003</v>
      </c>
      <c r="D949">
        <v>33.82</v>
      </c>
      <c r="E949">
        <v>34.628900000000002</v>
      </c>
      <c r="F949">
        <v>2104975.25</v>
      </c>
      <c r="G949">
        <v>0</v>
      </c>
      <c r="L949" t="s">
        <v>7</v>
      </c>
      <c r="M949" t="s">
        <v>7</v>
      </c>
      <c r="N949" t="s">
        <v>8</v>
      </c>
      <c r="P949">
        <f t="shared" si="1014"/>
        <v>0.10739954822369772</v>
      </c>
      <c r="Q949">
        <f t="shared" si="1015"/>
        <v>226073.39087206518</v>
      </c>
      <c r="R949">
        <f t="shared" si="1016"/>
        <v>137798815.43761045</v>
      </c>
      <c r="S949">
        <f t="shared" si="1017"/>
        <v>1377.9881543761044</v>
      </c>
      <c r="T949">
        <f t="shared" si="1018"/>
        <v>1.3779881543761043</v>
      </c>
    </row>
    <row r="950" spans="1:20" x14ac:dyDescent="0.25">
      <c r="A950" s="5">
        <v>43643</v>
      </c>
      <c r="B950">
        <v>36.118499999999997</v>
      </c>
      <c r="C950">
        <v>36.35</v>
      </c>
      <c r="D950">
        <v>33.1584</v>
      </c>
      <c r="E950">
        <v>34.399900000000002</v>
      </c>
      <c r="F950">
        <v>2607428.9500000002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-0.22202030329615138</v>
      </c>
      <c r="Q950">
        <f t="shared" si="1015"/>
        <v>-578902.1663021656</v>
      </c>
      <c r="R950">
        <f t="shared" si="1016"/>
        <v>137572742.04673839</v>
      </c>
      <c r="S950">
        <f t="shared" si="1017"/>
        <v>1375.7274204673838</v>
      </c>
      <c r="T950">
        <f t="shared" si="1018"/>
        <v>1.3757274204673837</v>
      </c>
    </row>
    <row r="951" spans="1:20" x14ac:dyDescent="0.25">
      <c r="A951" s="5">
        <v>43642</v>
      </c>
      <c r="B951">
        <v>36.094099999999997</v>
      </c>
      <c r="C951">
        <v>38</v>
      </c>
      <c r="D951">
        <v>34.5</v>
      </c>
      <c r="E951">
        <v>36.118899999999996</v>
      </c>
      <c r="F951">
        <v>2857418.8</v>
      </c>
      <c r="G951">
        <v>0</v>
      </c>
      <c r="L951" t="s">
        <v>7</v>
      </c>
      <c r="M951" t="s">
        <v>8</v>
      </c>
      <c r="N951" t="s">
        <v>8</v>
      </c>
      <c r="P951">
        <f t="shared" si="1014"/>
        <v>-7.4914285714287737E-2</v>
      </c>
      <c r="Q951">
        <f t="shared" si="1015"/>
        <v>-214061.48838857719</v>
      </c>
      <c r="R951">
        <f t="shared" si="1016"/>
        <v>138151644.21304056</v>
      </c>
      <c r="S951">
        <f t="shared" si="1017"/>
        <v>1381.5164421304055</v>
      </c>
      <c r="T951">
        <f t="shared" si="1018"/>
        <v>1.3815164421304056</v>
      </c>
    </row>
    <row r="952" spans="1:20" x14ac:dyDescent="0.25">
      <c r="A952" s="5">
        <v>43641</v>
      </c>
      <c r="B952">
        <v>37.43</v>
      </c>
      <c r="C952">
        <v>37.551000000000002</v>
      </c>
      <c r="D952">
        <v>35.71</v>
      </c>
      <c r="E952">
        <v>36.094099999999997</v>
      </c>
      <c r="F952">
        <v>2000917.7</v>
      </c>
      <c r="G952">
        <v>0</v>
      </c>
      <c r="L952" t="s">
        <v>7</v>
      </c>
      <c r="M952" t="s">
        <v>8</v>
      </c>
      <c r="N952" t="s">
        <v>8</v>
      </c>
      <c r="P952">
        <f t="shared" si="1014"/>
        <v>-0.58272677892450153</v>
      </c>
      <c r="Q952">
        <f t="shared" si="1015"/>
        <v>-1165988.326214022</v>
      </c>
      <c r="R952">
        <f t="shared" si="1016"/>
        <v>138365705.70142913</v>
      </c>
      <c r="S952">
        <f t="shared" si="1017"/>
        <v>1383.6570570142912</v>
      </c>
      <c r="T952">
        <f t="shared" si="1018"/>
        <v>1.3836570570142912</v>
      </c>
    </row>
    <row r="953" spans="1:20" x14ac:dyDescent="0.25">
      <c r="A953" s="5">
        <v>43640</v>
      </c>
      <c r="B953">
        <v>37.266500000000001</v>
      </c>
      <c r="C953">
        <v>37.820999999999998</v>
      </c>
      <c r="D953">
        <v>36.000100000000003</v>
      </c>
      <c r="E953">
        <v>37.43</v>
      </c>
      <c r="F953">
        <v>2631717.19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0.57054203965072281</v>
      </c>
      <c r="Q953">
        <f t="shared" si="1015"/>
        <v>1501505.2933664687</v>
      </c>
      <c r="R953">
        <f t="shared" si="1016"/>
        <v>139531694.02764314</v>
      </c>
      <c r="S953">
        <f t="shared" si="1017"/>
        <v>1395.3169402764315</v>
      </c>
      <c r="T953">
        <f t="shared" si="1018"/>
        <v>1.3953169402764316</v>
      </c>
    </row>
    <row r="954" spans="1:20" x14ac:dyDescent="0.25">
      <c r="A954" s="5">
        <v>43639</v>
      </c>
      <c r="B954">
        <v>38.000100000000003</v>
      </c>
      <c r="C954">
        <v>38.531999999999996</v>
      </c>
      <c r="D954">
        <v>37.26</v>
      </c>
      <c r="E954">
        <v>37.2836</v>
      </c>
      <c r="F954">
        <v>2790608.54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-0.9628930817610033</v>
      </c>
      <c r="Q954">
        <f t="shared" si="1015"/>
        <v>-2687057.6570691741</v>
      </c>
      <c r="R954">
        <f t="shared" si="1016"/>
        <v>138030188.73427668</v>
      </c>
      <c r="S954">
        <f t="shared" si="1017"/>
        <v>1380.3018873427668</v>
      </c>
      <c r="T954">
        <f t="shared" si="1018"/>
        <v>1.3803018873427668</v>
      </c>
    </row>
    <row r="955" spans="1:20" x14ac:dyDescent="0.25">
      <c r="A955" s="5">
        <v>43638</v>
      </c>
      <c r="B955">
        <v>38.698099999999997</v>
      </c>
      <c r="C955">
        <v>39.594099999999997</v>
      </c>
      <c r="D955">
        <v>37.1</v>
      </c>
      <c r="E955">
        <v>38.000100000000003</v>
      </c>
      <c r="F955">
        <v>3314950.67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-0.27821659115512343</v>
      </c>
      <c r="Q955">
        <f t="shared" si="1015"/>
        <v>-922274.27525479242</v>
      </c>
      <c r="R955">
        <f t="shared" si="1016"/>
        <v>140717246.39134586</v>
      </c>
      <c r="S955">
        <f t="shared" si="1017"/>
        <v>1407.1724639134586</v>
      </c>
      <c r="T955">
        <f t="shared" si="1018"/>
        <v>1.4071724639134586</v>
      </c>
    </row>
    <row r="956" spans="1:20" x14ac:dyDescent="0.25">
      <c r="A956" s="5">
        <v>43637</v>
      </c>
      <c r="B956">
        <v>36.81</v>
      </c>
      <c r="C956">
        <v>38.85</v>
      </c>
      <c r="D956">
        <v>36.336399999999998</v>
      </c>
      <c r="E956">
        <v>38.676600000000001</v>
      </c>
      <c r="F956">
        <v>3534250.01</v>
      </c>
      <c r="G956">
        <v>0</v>
      </c>
      <c r="L956" t="s">
        <v>8</v>
      </c>
      <c r="M956" t="s">
        <v>8</v>
      </c>
      <c r="N956" t="s">
        <v>8</v>
      </c>
      <c r="P956">
        <f t="shared" si="1014"/>
        <v>0.86203055378739601</v>
      </c>
      <c r="Q956">
        <f t="shared" si="1015"/>
        <v>3046631.4933434096</v>
      </c>
      <c r="R956">
        <f t="shared" si="1016"/>
        <v>141639520.66660064</v>
      </c>
      <c r="S956">
        <f t="shared" si="1017"/>
        <v>1416.3952066660065</v>
      </c>
      <c r="T956">
        <f t="shared" si="1018"/>
        <v>1.4163952066660066</v>
      </c>
    </row>
    <row r="957" spans="1:20" x14ac:dyDescent="0.25">
      <c r="A957" s="5">
        <v>43636</v>
      </c>
      <c r="B957">
        <v>35.176400000000001</v>
      </c>
      <c r="C957">
        <v>36.9146</v>
      </c>
      <c r="D957">
        <v>34.3979</v>
      </c>
      <c r="E957">
        <v>36.838099999999997</v>
      </c>
      <c r="F957">
        <v>4152117.65</v>
      </c>
      <c r="G957">
        <v>0</v>
      </c>
      <c r="L957" t="s">
        <v>8</v>
      </c>
      <c r="M957" t="s">
        <v>8</v>
      </c>
      <c r="N957" t="s">
        <v>8</v>
      </c>
      <c r="P957">
        <f t="shared" si="1014"/>
        <v>0.93920610323041853</v>
      </c>
      <c r="Q957">
        <f t="shared" si="1015"/>
        <v>3899694.2382107428</v>
      </c>
      <c r="R957">
        <f t="shared" si="1016"/>
        <v>138592889.17325723</v>
      </c>
      <c r="S957">
        <f t="shared" si="1017"/>
        <v>1385.9288917325723</v>
      </c>
      <c r="T957">
        <f t="shared" si="1018"/>
        <v>1.3859288917325723</v>
      </c>
    </row>
    <row r="958" spans="1:20" x14ac:dyDescent="0.25">
      <c r="A958" s="5">
        <v>43635</v>
      </c>
      <c r="B958">
        <v>34.426099999999998</v>
      </c>
      <c r="C958">
        <v>35.6</v>
      </c>
      <c r="D958">
        <v>34.393900000000002</v>
      </c>
      <c r="E958">
        <v>35.188800000000001</v>
      </c>
      <c r="F958">
        <v>3662780.35</v>
      </c>
      <c r="G958">
        <v>0</v>
      </c>
      <c r="L958" t="s">
        <v>8</v>
      </c>
      <c r="M958" t="s">
        <v>8</v>
      </c>
      <c r="N958" t="s">
        <v>8</v>
      </c>
      <c r="P958">
        <f t="shared" si="1014"/>
        <v>0.31813282480722804</v>
      </c>
      <c r="Q958">
        <f t="shared" si="1015"/>
        <v>1165250.6593939075</v>
      </c>
      <c r="R958">
        <f t="shared" si="1016"/>
        <v>134693194.93504649</v>
      </c>
      <c r="S958">
        <f t="shared" si="1017"/>
        <v>1346.9319493504649</v>
      </c>
      <c r="T958">
        <f t="shared" si="1018"/>
        <v>1.346931949350465</v>
      </c>
    </row>
    <row r="959" spans="1:20" x14ac:dyDescent="0.25">
      <c r="A959" s="5">
        <v>43634</v>
      </c>
      <c r="B959">
        <v>33.854199999999999</v>
      </c>
      <c r="C959">
        <v>35.0749</v>
      </c>
      <c r="D959">
        <v>33.738599999999998</v>
      </c>
      <c r="E959">
        <v>34.433300000000003</v>
      </c>
      <c r="F959">
        <v>3404180</v>
      </c>
      <c r="G959">
        <v>0</v>
      </c>
      <c r="L959" t="s">
        <v>8</v>
      </c>
      <c r="M959" t="s">
        <v>7</v>
      </c>
      <c r="N959" t="s">
        <v>8</v>
      </c>
      <c r="P959">
        <f t="shared" ref="P959:P1022" si="1019">IF(C959=D959,0,((E959-D959)-(C959-E959))/(C959-D959))</f>
        <v>3.9736586095942258E-2</v>
      </c>
      <c r="Q959">
        <f t="shared" ref="Q959:Q1022" si="1020">F959*P959</f>
        <v>135270.49165608472</v>
      </c>
      <c r="R959">
        <f t="shared" ref="R959:R1022" si="1021">R960+Q959</f>
        <v>133527944.27565259</v>
      </c>
      <c r="S959">
        <f t="shared" ref="S959:S1022" si="1022">R959/100000</f>
        <v>1335.2794427565259</v>
      </c>
      <c r="T959">
        <f t="shared" ref="T959:T1022" si="1023">S959/1000</f>
        <v>1.335279442756526</v>
      </c>
    </row>
    <row r="960" spans="1:20" x14ac:dyDescent="0.25">
      <c r="A960" s="5">
        <v>43633</v>
      </c>
      <c r="B960">
        <v>32.195599999999999</v>
      </c>
      <c r="C960">
        <v>34.450000000000003</v>
      </c>
      <c r="D960">
        <v>32.186199999999999</v>
      </c>
      <c r="E960">
        <v>33.828600000000002</v>
      </c>
      <c r="F960">
        <v>3325355.03</v>
      </c>
      <c r="G960">
        <v>0</v>
      </c>
      <c r="L960" t="s">
        <v>8</v>
      </c>
      <c r="M960" t="s">
        <v>7</v>
      </c>
      <c r="N960" t="s">
        <v>8</v>
      </c>
      <c r="P960">
        <f t="shared" si="1019"/>
        <v>0.45101157346055271</v>
      </c>
      <c r="Q960">
        <f t="shared" si="1020"/>
        <v>1499773.6043952634</v>
      </c>
      <c r="R960">
        <f t="shared" si="1021"/>
        <v>133392673.78399651</v>
      </c>
      <c r="S960">
        <f t="shared" si="1022"/>
        <v>1333.926737839965</v>
      </c>
      <c r="T960">
        <f t="shared" si="1023"/>
        <v>1.3339267378399651</v>
      </c>
    </row>
    <row r="961" spans="1:20" x14ac:dyDescent="0.25">
      <c r="A961" s="5">
        <v>43632</v>
      </c>
      <c r="B961">
        <v>32.688499999999998</v>
      </c>
      <c r="C961">
        <v>33.2943</v>
      </c>
      <c r="D961">
        <v>31.7316</v>
      </c>
      <c r="E961">
        <v>32.188800000000001</v>
      </c>
      <c r="F961">
        <v>2831357.27</v>
      </c>
      <c r="G961">
        <v>0</v>
      </c>
      <c r="L961" t="s">
        <v>8</v>
      </c>
      <c r="M961" t="s">
        <v>7</v>
      </c>
      <c r="N961" t="s">
        <v>8</v>
      </c>
      <c r="P961">
        <f t="shared" si="1019"/>
        <v>-0.41485889806104764</v>
      </c>
      <c r="Q961">
        <f t="shared" si="1020"/>
        <v>-1174613.7570493361</v>
      </c>
      <c r="R961">
        <f t="shared" si="1021"/>
        <v>131892900.17960124</v>
      </c>
      <c r="S961">
        <f t="shared" si="1022"/>
        <v>1318.9290017960125</v>
      </c>
      <c r="T961">
        <f t="shared" si="1023"/>
        <v>1.3189290017960125</v>
      </c>
    </row>
    <row r="962" spans="1:20" x14ac:dyDescent="0.25">
      <c r="A962" s="5">
        <v>43631</v>
      </c>
      <c r="B962">
        <v>32.3887</v>
      </c>
      <c r="C962">
        <v>33.942</v>
      </c>
      <c r="D962">
        <v>31.686499999999999</v>
      </c>
      <c r="E962">
        <v>32.674300000000002</v>
      </c>
      <c r="F962">
        <v>3391510.23</v>
      </c>
      <c r="G962">
        <v>0</v>
      </c>
      <c r="L962" t="s">
        <v>8</v>
      </c>
      <c r="M962" t="s">
        <v>7</v>
      </c>
      <c r="N962" t="s">
        <v>8</v>
      </c>
      <c r="P962">
        <f t="shared" si="1019"/>
        <v>-0.12409665262690937</v>
      </c>
      <c r="Q962">
        <f t="shared" si="1020"/>
        <v>-420875.06689291954</v>
      </c>
      <c r="R962">
        <f t="shared" si="1021"/>
        <v>133067513.93665057</v>
      </c>
      <c r="S962">
        <f t="shared" si="1022"/>
        <v>1330.6751393665058</v>
      </c>
      <c r="T962">
        <f t="shared" si="1023"/>
        <v>1.3306751393665059</v>
      </c>
    </row>
    <row r="963" spans="1:20" x14ac:dyDescent="0.25">
      <c r="A963" s="5">
        <v>43630</v>
      </c>
      <c r="B963">
        <v>35.2577</v>
      </c>
      <c r="C963">
        <v>35.299999999999997</v>
      </c>
      <c r="D963">
        <v>29.814599999999999</v>
      </c>
      <c r="E963">
        <v>32.380299999999998</v>
      </c>
      <c r="F963">
        <v>4820144.32</v>
      </c>
      <c r="G963">
        <v>0</v>
      </c>
      <c r="L963" t="s">
        <v>7</v>
      </c>
      <c r="M963" t="s">
        <v>7</v>
      </c>
      <c r="N963" t="s">
        <v>8</v>
      </c>
      <c r="P963">
        <f t="shared" si="1019"/>
        <v>-6.4534947314689783E-2</v>
      </c>
      <c r="Q963">
        <f t="shared" si="1020"/>
        <v>-311067.75974040123</v>
      </c>
      <c r="R963">
        <f t="shared" si="1021"/>
        <v>133488389.0035435</v>
      </c>
      <c r="S963">
        <f t="shared" si="1022"/>
        <v>1334.8838900354349</v>
      </c>
      <c r="T963">
        <f t="shared" si="1023"/>
        <v>1.334883890035435</v>
      </c>
    </row>
    <row r="964" spans="1:20" x14ac:dyDescent="0.25">
      <c r="A964" s="5">
        <v>43629</v>
      </c>
      <c r="B964">
        <v>34.888800000000003</v>
      </c>
      <c r="C964">
        <v>36.368899999999996</v>
      </c>
      <c r="D964">
        <v>34.119999999999997</v>
      </c>
      <c r="E964">
        <v>35.250999999999998</v>
      </c>
      <c r="F964">
        <v>3534896.06</v>
      </c>
      <c r="G964">
        <v>0</v>
      </c>
      <c r="L964" t="s">
        <v>8</v>
      </c>
      <c r="M964" t="s">
        <v>8</v>
      </c>
      <c r="N964" t="s">
        <v>8</v>
      </c>
      <c r="P964">
        <f t="shared" si="1019"/>
        <v>5.8250700342396058E-3</v>
      </c>
      <c r="Q964">
        <f t="shared" si="1020"/>
        <v>20591.017113257647</v>
      </c>
      <c r="R964">
        <f t="shared" si="1021"/>
        <v>133799456.76328389</v>
      </c>
      <c r="S964">
        <f t="shared" si="1022"/>
        <v>1337.9945676328389</v>
      </c>
      <c r="T964">
        <f t="shared" si="1023"/>
        <v>1.3379945676328389</v>
      </c>
    </row>
    <row r="965" spans="1:20" x14ac:dyDescent="0.25">
      <c r="A965" s="5">
        <v>43628</v>
      </c>
      <c r="B965">
        <v>31.8889</v>
      </c>
      <c r="C965">
        <v>34.979999999999997</v>
      </c>
      <c r="D965">
        <v>31.800799999999999</v>
      </c>
      <c r="E965">
        <v>34.888800000000003</v>
      </c>
      <c r="F965">
        <v>3946303.19</v>
      </c>
      <c r="G965">
        <v>0</v>
      </c>
      <c r="L965" t="s">
        <v>8</v>
      </c>
      <c r="M965" t="s">
        <v>8</v>
      </c>
      <c r="N965" t="s">
        <v>8</v>
      </c>
      <c r="P965">
        <f t="shared" si="1019"/>
        <v>0.94262707599396478</v>
      </c>
      <c r="Q965">
        <f t="shared" si="1020"/>
        <v>3719892.2369753555</v>
      </c>
      <c r="R965">
        <f t="shared" si="1021"/>
        <v>133778865.74617064</v>
      </c>
      <c r="S965">
        <f t="shared" si="1022"/>
        <v>1337.7886574617064</v>
      </c>
      <c r="T965">
        <f t="shared" si="1023"/>
        <v>1.3377886574617064</v>
      </c>
    </row>
    <row r="966" spans="1:20" x14ac:dyDescent="0.25">
      <c r="A966" s="5">
        <v>43627</v>
      </c>
      <c r="B966">
        <v>32.0261</v>
      </c>
      <c r="C966">
        <v>32.082099999999997</v>
      </c>
      <c r="D966">
        <v>30.9312</v>
      </c>
      <c r="E966">
        <v>31.8889</v>
      </c>
      <c r="F966">
        <v>2717716.57</v>
      </c>
      <c r="G966">
        <v>0</v>
      </c>
      <c r="L966" t="s">
        <v>8</v>
      </c>
      <c r="M966" t="s">
        <v>7</v>
      </c>
      <c r="N966" t="s">
        <v>8</v>
      </c>
      <c r="P966">
        <f t="shared" si="1019"/>
        <v>0.66426275089061093</v>
      </c>
      <c r="Q966">
        <f t="shared" si="1020"/>
        <v>1805277.8849291955</v>
      </c>
      <c r="R966">
        <f t="shared" si="1021"/>
        <v>130058973.50919528</v>
      </c>
      <c r="S966">
        <f t="shared" si="1022"/>
        <v>1300.5897350919529</v>
      </c>
      <c r="T966">
        <f t="shared" si="1023"/>
        <v>1.3005897350919529</v>
      </c>
    </row>
    <row r="967" spans="1:20" x14ac:dyDescent="0.25">
      <c r="A967" s="5">
        <v>43626</v>
      </c>
      <c r="B967">
        <v>30.1174</v>
      </c>
      <c r="C967">
        <v>32.043799999999997</v>
      </c>
      <c r="D967">
        <v>29.7286</v>
      </c>
      <c r="E967">
        <v>32.027099999999997</v>
      </c>
      <c r="F967">
        <v>3550536.78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0.9855736005528678</v>
      </c>
      <c r="Q967">
        <f t="shared" si="1020"/>
        <v>3499315.3181599854</v>
      </c>
      <c r="R967">
        <f t="shared" si="1021"/>
        <v>128253695.62426609</v>
      </c>
      <c r="S967">
        <f t="shared" si="1022"/>
        <v>1282.5369562426608</v>
      </c>
      <c r="T967">
        <f t="shared" si="1023"/>
        <v>1.2825369562426607</v>
      </c>
    </row>
    <row r="968" spans="1:20" x14ac:dyDescent="0.25">
      <c r="A968" s="5">
        <v>43625</v>
      </c>
      <c r="B968">
        <v>31.7042</v>
      </c>
      <c r="C968">
        <v>31.85</v>
      </c>
      <c r="D968">
        <v>29.761099999999999</v>
      </c>
      <c r="E968">
        <v>30.094999999999999</v>
      </c>
      <c r="F968">
        <v>2532504.2999999998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-0.68031021111589884</v>
      </c>
      <c r="Q968">
        <f t="shared" si="1020"/>
        <v>-1722888.5349849216</v>
      </c>
      <c r="R968">
        <f t="shared" si="1021"/>
        <v>124754380.30610611</v>
      </c>
      <c r="S968">
        <f t="shared" si="1022"/>
        <v>1247.543803061061</v>
      </c>
      <c r="T968">
        <f t="shared" si="1023"/>
        <v>1.2475438030610611</v>
      </c>
    </row>
    <row r="969" spans="1:20" x14ac:dyDescent="0.25">
      <c r="A969" s="5">
        <v>43624</v>
      </c>
      <c r="B969">
        <v>31.347799999999999</v>
      </c>
      <c r="C969">
        <v>32.2926</v>
      </c>
      <c r="D969">
        <v>31.107099999999999</v>
      </c>
      <c r="E969">
        <v>31.7333</v>
      </c>
      <c r="F969">
        <v>3230284.59</v>
      </c>
      <c r="G969">
        <v>0</v>
      </c>
      <c r="L969" t="s">
        <v>8</v>
      </c>
      <c r="M969" t="s">
        <v>7</v>
      </c>
      <c r="N969" t="s">
        <v>8</v>
      </c>
      <c r="P969">
        <f t="shared" si="1019"/>
        <v>5.643188528047266E-2</v>
      </c>
      <c r="Q969">
        <f t="shared" si="1020"/>
        <v>182291.04940615865</v>
      </c>
      <c r="R969">
        <f t="shared" si="1021"/>
        <v>126477268.84109102</v>
      </c>
      <c r="S969">
        <f t="shared" si="1022"/>
        <v>1264.7726884109102</v>
      </c>
      <c r="T969">
        <f t="shared" si="1023"/>
        <v>1.2647726884109103</v>
      </c>
    </row>
    <row r="970" spans="1:20" x14ac:dyDescent="0.25">
      <c r="A970" s="5">
        <v>43623</v>
      </c>
      <c r="B970">
        <v>31.088799999999999</v>
      </c>
      <c r="C970">
        <v>31.991099999999999</v>
      </c>
      <c r="D970">
        <v>30.900099999999998</v>
      </c>
      <c r="E970">
        <v>31.309799999999999</v>
      </c>
      <c r="F970">
        <v>2757731.91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-0.24894592117323477</v>
      </c>
      <c r="Q970">
        <f t="shared" si="1020"/>
        <v>-686526.11068377423</v>
      </c>
      <c r="R970">
        <f t="shared" si="1021"/>
        <v>126294977.79168487</v>
      </c>
      <c r="S970">
        <f t="shared" si="1022"/>
        <v>1262.9497779168487</v>
      </c>
      <c r="T970">
        <f t="shared" si="1023"/>
        <v>1.2629497779168486</v>
      </c>
    </row>
    <row r="971" spans="1:20" x14ac:dyDescent="0.25">
      <c r="A971" s="5">
        <v>43622</v>
      </c>
      <c r="B971">
        <v>30.829000000000001</v>
      </c>
      <c r="C971">
        <v>31.990600000000001</v>
      </c>
      <c r="D971">
        <v>29.63</v>
      </c>
      <c r="E971">
        <v>31.088799999999999</v>
      </c>
      <c r="F971">
        <v>2990485.46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0.23595696009489039</v>
      </c>
      <c r="Q971">
        <f t="shared" si="1020"/>
        <v>705625.85834956996</v>
      </c>
      <c r="R971">
        <f t="shared" si="1021"/>
        <v>126981503.90236863</v>
      </c>
      <c r="S971">
        <f t="shared" si="1022"/>
        <v>1269.8150390236863</v>
      </c>
      <c r="T971">
        <f t="shared" si="1023"/>
        <v>1.2698150390236862</v>
      </c>
    </row>
    <row r="972" spans="1:20" x14ac:dyDescent="0.25">
      <c r="A972" s="5">
        <v>43621</v>
      </c>
      <c r="B972">
        <v>29.245200000000001</v>
      </c>
      <c r="C972">
        <v>31.1843</v>
      </c>
      <c r="D972">
        <v>28.943999999999999</v>
      </c>
      <c r="E972">
        <v>30.8886</v>
      </c>
      <c r="F972">
        <v>3345894.9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0.73601749765656399</v>
      </c>
      <c r="Q972">
        <f t="shared" si="1020"/>
        <v>2462637.1917198594</v>
      </c>
      <c r="R972">
        <f t="shared" si="1021"/>
        <v>126275878.04401906</v>
      </c>
      <c r="S972">
        <f t="shared" si="1022"/>
        <v>1262.7587804401905</v>
      </c>
      <c r="T972">
        <f t="shared" si="1023"/>
        <v>1.2627587804401905</v>
      </c>
    </row>
    <row r="973" spans="1:20" x14ac:dyDescent="0.25">
      <c r="A973" s="5">
        <v>43620</v>
      </c>
      <c r="B973">
        <v>30.735800000000001</v>
      </c>
      <c r="C973">
        <v>31.467300000000002</v>
      </c>
      <c r="D973">
        <v>28.716799999999999</v>
      </c>
      <c r="E973">
        <v>29.259599999999999</v>
      </c>
      <c r="F973">
        <v>2877003.62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-0.60530812579531046</v>
      </c>
      <c r="Q973">
        <f t="shared" si="1020"/>
        <v>-1741473.6691285237</v>
      </c>
      <c r="R973">
        <f t="shared" si="1021"/>
        <v>123813240.8522992</v>
      </c>
      <c r="S973">
        <f t="shared" si="1022"/>
        <v>1238.1324085229919</v>
      </c>
      <c r="T973">
        <f t="shared" si="1023"/>
        <v>1.2381324085229919</v>
      </c>
    </row>
    <row r="974" spans="1:20" x14ac:dyDescent="0.25">
      <c r="A974" s="5">
        <v>43619</v>
      </c>
      <c r="B974">
        <v>33.134300000000003</v>
      </c>
      <c r="C974">
        <v>33.1753</v>
      </c>
      <c r="D974">
        <v>30.51</v>
      </c>
      <c r="E974">
        <v>30.756399999999999</v>
      </c>
      <c r="F974">
        <v>2851908.73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-0.81510524143623764</v>
      </c>
      <c r="Q974">
        <f t="shared" si="1020"/>
        <v>-2324605.7539207637</v>
      </c>
      <c r="R974">
        <f t="shared" si="1021"/>
        <v>125554714.52142772</v>
      </c>
      <c r="S974">
        <f t="shared" si="1022"/>
        <v>1255.5471452142772</v>
      </c>
      <c r="T974">
        <f t="shared" si="1023"/>
        <v>1.2555471452142772</v>
      </c>
    </row>
    <row r="975" spans="1:20" x14ac:dyDescent="0.25">
      <c r="A975" s="5">
        <v>43618</v>
      </c>
      <c r="B975">
        <v>33.3521</v>
      </c>
      <c r="C975">
        <v>33.764699999999998</v>
      </c>
      <c r="D975">
        <v>32.68</v>
      </c>
      <c r="E975">
        <v>33.152700000000003</v>
      </c>
      <c r="F975">
        <v>3125339.52</v>
      </c>
      <c r="G975">
        <v>0</v>
      </c>
      <c r="L975" t="s">
        <v>8</v>
      </c>
      <c r="M975" t="s">
        <v>7</v>
      </c>
      <c r="N975" t="s">
        <v>8</v>
      </c>
      <c r="P975">
        <f t="shared" si="1019"/>
        <v>-0.12842260532865474</v>
      </c>
      <c r="Q975">
        <f t="shared" si="1020"/>
        <v>-401364.24369500723</v>
      </c>
      <c r="R975">
        <f t="shared" si="1021"/>
        <v>127879320.27534848</v>
      </c>
      <c r="S975">
        <f t="shared" si="1022"/>
        <v>1278.7932027534848</v>
      </c>
      <c r="T975">
        <f t="shared" si="1023"/>
        <v>1.2787932027534847</v>
      </c>
    </row>
    <row r="976" spans="1:20" x14ac:dyDescent="0.25">
      <c r="A976" s="5">
        <v>43617</v>
      </c>
      <c r="B976">
        <v>32.915999999999997</v>
      </c>
      <c r="C976">
        <v>34.353000000000002</v>
      </c>
      <c r="D976">
        <v>32.502400000000002</v>
      </c>
      <c r="E976">
        <v>33.3521</v>
      </c>
      <c r="F976">
        <v>3650894.16</v>
      </c>
      <c r="G976">
        <v>0</v>
      </c>
      <c r="L976" t="s">
        <v>8</v>
      </c>
      <c r="M976" t="s">
        <v>7</v>
      </c>
      <c r="N976" t="s">
        <v>8</v>
      </c>
      <c r="P976">
        <f t="shared" si="1019"/>
        <v>-8.170323138441743E-2</v>
      </c>
      <c r="Q976">
        <f t="shared" si="1020"/>
        <v>-298289.8503144983</v>
      </c>
      <c r="R976">
        <f t="shared" si="1021"/>
        <v>128280684.51904349</v>
      </c>
      <c r="S976">
        <f t="shared" si="1022"/>
        <v>1282.8068451904348</v>
      </c>
      <c r="T976">
        <f t="shared" si="1023"/>
        <v>1.2828068451904349</v>
      </c>
    </row>
    <row r="977" spans="1:20" x14ac:dyDescent="0.25">
      <c r="A977" s="5">
        <v>43616</v>
      </c>
      <c r="B977">
        <v>31.666599999999999</v>
      </c>
      <c r="C977">
        <v>32.9724</v>
      </c>
      <c r="D977">
        <v>30.61</v>
      </c>
      <c r="E977">
        <v>32.886200000000002</v>
      </c>
      <c r="F977">
        <v>3635551.08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0.92702336606840674</v>
      </c>
      <c r="Q977">
        <f t="shared" si="1020"/>
        <v>3370240.7996952315</v>
      </c>
      <c r="R977">
        <f t="shared" si="1021"/>
        <v>128578974.36935799</v>
      </c>
      <c r="S977">
        <f t="shared" si="1022"/>
        <v>1285.7897436935798</v>
      </c>
      <c r="T977">
        <f t="shared" si="1023"/>
        <v>1.2857897436935799</v>
      </c>
    </row>
    <row r="978" spans="1:20" x14ac:dyDescent="0.25">
      <c r="A978" s="5">
        <v>43615</v>
      </c>
      <c r="B978">
        <v>33.597700000000003</v>
      </c>
      <c r="C978">
        <v>34.96</v>
      </c>
      <c r="D978">
        <v>30.25</v>
      </c>
      <c r="E978">
        <v>31.666599999999999</v>
      </c>
      <c r="F978">
        <v>3803964.59</v>
      </c>
      <c r="G978">
        <v>0</v>
      </c>
      <c r="L978" t="s">
        <v>7</v>
      </c>
      <c r="M978" t="s">
        <v>7</v>
      </c>
      <c r="N978" t="s">
        <v>8</v>
      </c>
      <c r="P978">
        <f t="shared" si="1019"/>
        <v>-0.39847133757961839</v>
      </c>
      <c r="Q978">
        <f t="shared" si="1020"/>
        <v>-1515770.8582828045</v>
      </c>
      <c r="R978">
        <f t="shared" si="1021"/>
        <v>125208733.56966275</v>
      </c>
      <c r="S978">
        <f t="shared" si="1022"/>
        <v>1252.0873356966274</v>
      </c>
      <c r="T978">
        <f t="shared" si="1023"/>
        <v>1.2520873356966273</v>
      </c>
    </row>
    <row r="979" spans="1:20" x14ac:dyDescent="0.25">
      <c r="A979" s="5">
        <v>43614</v>
      </c>
      <c r="B979">
        <v>33.108600000000003</v>
      </c>
      <c r="C979">
        <v>33.880000000000003</v>
      </c>
      <c r="D979">
        <v>30.85</v>
      </c>
      <c r="E979">
        <v>33.6066</v>
      </c>
      <c r="F979">
        <v>3634528.09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0.81953795379537808</v>
      </c>
      <c r="Q979">
        <f t="shared" si="1020"/>
        <v>2978633.7138904235</v>
      </c>
      <c r="R979">
        <f t="shared" si="1021"/>
        <v>126724504.42794555</v>
      </c>
      <c r="S979">
        <f t="shared" si="1022"/>
        <v>1267.2450442794554</v>
      </c>
      <c r="T979">
        <f t="shared" si="1023"/>
        <v>1.2672450442794554</v>
      </c>
    </row>
    <row r="980" spans="1:20" x14ac:dyDescent="0.25">
      <c r="A980" s="5">
        <v>43613</v>
      </c>
      <c r="B980">
        <v>33.511000000000003</v>
      </c>
      <c r="C980">
        <v>34.5</v>
      </c>
      <c r="D980">
        <v>32.5</v>
      </c>
      <c r="E980">
        <v>33.1068</v>
      </c>
      <c r="F980">
        <v>3592623.04</v>
      </c>
      <c r="G980">
        <v>0</v>
      </c>
      <c r="L980" t="s">
        <v>7</v>
      </c>
      <c r="M980" t="s">
        <v>8</v>
      </c>
      <c r="N980" t="s">
        <v>8</v>
      </c>
      <c r="P980">
        <f t="shared" si="1019"/>
        <v>-0.39320000000000022</v>
      </c>
      <c r="Q980">
        <f t="shared" si="1020"/>
        <v>-1412619.3793280008</v>
      </c>
      <c r="R980">
        <f t="shared" si="1021"/>
        <v>123745870.71405514</v>
      </c>
      <c r="S980">
        <f t="shared" si="1022"/>
        <v>1237.4587071405513</v>
      </c>
      <c r="T980">
        <f t="shared" si="1023"/>
        <v>1.2374587071405512</v>
      </c>
    </row>
    <row r="981" spans="1:20" x14ac:dyDescent="0.25">
      <c r="A981" s="5">
        <v>43612</v>
      </c>
      <c r="B981">
        <v>33.050800000000002</v>
      </c>
      <c r="C981">
        <v>35.100099999999998</v>
      </c>
      <c r="D981">
        <v>32.5</v>
      </c>
      <c r="E981">
        <v>33.511000000000003</v>
      </c>
      <c r="F981">
        <v>3935155.37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-0.22233760239990485</v>
      </c>
      <c r="Q981">
        <f t="shared" si="1020"/>
        <v>-874933.01003691053</v>
      </c>
      <c r="R981">
        <f t="shared" si="1021"/>
        <v>125158490.09338313</v>
      </c>
      <c r="S981">
        <f t="shared" si="1022"/>
        <v>1251.5849009338312</v>
      </c>
      <c r="T981">
        <f t="shared" si="1023"/>
        <v>1.2515849009338313</v>
      </c>
    </row>
    <row r="982" spans="1:20" x14ac:dyDescent="0.25">
      <c r="A982" s="5">
        <v>43611</v>
      </c>
      <c r="B982">
        <v>35.110199999999999</v>
      </c>
      <c r="C982">
        <v>35.110999999999997</v>
      </c>
      <c r="D982">
        <v>32.32</v>
      </c>
      <c r="E982">
        <v>33.091900000000003</v>
      </c>
      <c r="F982">
        <v>3846254.14</v>
      </c>
      <c r="G982">
        <v>0</v>
      </c>
      <c r="L982" t="s">
        <v>7</v>
      </c>
      <c r="M982" t="s">
        <v>8</v>
      </c>
      <c r="N982" t="s">
        <v>8</v>
      </c>
      <c r="P982">
        <f t="shared" si="1019"/>
        <v>-0.44686492296667635</v>
      </c>
      <c r="Q982">
        <f t="shared" si="1020"/>
        <v>-1718756.0599813601</v>
      </c>
      <c r="R982">
        <f t="shared" si="1021"/>
        <v>126033423.10342005</v>
      </c>
      <c r="S982">
        <f t="shared" si="1022"/>
        <v>1260.3342310342005</v>
      </c>
      <c r="T982">
        <f t="shared" si="1023"/>
        <v>1.2603342310342005</v>
      </c>
    </row>
    <row r="983" spans="1:20" x14ac:dyDescent="0.25">
      <c r="A983" s="5">
        <v>43610</v>
      </c>
      <c r="B983">
        <v>34</v>
      </c>
      <c r="C983">
        <v>35.488799999999998</v>
      </c>
      <c r="D983">
        <v>33.623100000000001</v>
      </c>
      <c r="E983">
        <v>35.016800000000003</v>
      </c>
      <c r="F983">
        <v>4181724.12</v>
      </c>
      <c r="G983">
        <v>0</v>
      </c>
      <c r="L983" t="s">
        <v>8</v>
      </c>
      <c r="M983" t="s">
        <v>8</v>
      </c>
      <c r="N983" t="s">
        <v>8</v>
      </c>
      <c r="P983">
        <f t="shared" si="1019"/>
        <v>0.49402369083990461</v>
      </c>
      <c r="Q983">
        <f t="shared" si="1020"/>
        <v>2065870.7838366523</v>
      </c>
      <c r="R983">
        <f t="shared" si="1021"/>
        <v>127752179.16340141</v>
      </c>
      <c r="S983">
        <f t="shared" si="1022"/>
        <v>1277.5217916340141</v>
      </c>
      <c r="T983">
        <f t="shared" si="1023"/>
        <v>1.277521791634014</v>
      </c>
    </row>
    <row r="984" spans="1:20" x14ac:dyDescent="0.25">
      <c r="A984" s="5">
        <v>43609</v>
      </c>
      <c r="B984">
        <v>31.398599999999998</v>
      </c>
      <c r="C984">
        <v>34.706699999999998</v>
      </c>
      <c r="D984">
        <v>31.12</v>
      </c>
      <c r="E984">
        <v>33.9435</v>
      </c>
      <c r="F984">
        <v>4534224.5599999996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0.57442774695402554</v>
      </c>
      <c r="Q984">
        <f t="shared" si="1020"/>
        <v>2604584.3981844075</v>
      </c>
      <c r="R984">
        <f t="shared" si="1021"/>
        <v>125686308.37956476</v>
      </c>
      <c r="S984">
        <f t="shared" si="1022"/>
        <v>1256.8630837956475</v>
      </c>
      <c r="T984">
        <f t="shared" si="1023"/>
        <v>1.2568630837956476</v>
      </c>
    </row>
    <row r="985" spans="1:20" x14ac:dyDescent="0.25">
      <c r="A985" s="5">
        <v>43608</v>
      </c>
      <c r="B985">
        <v>30.833300000000001</v>
      </c>
      <c r="C985">
        <v>32.25</v>
      </c>
      <c r="D985">
        <v>29.669899999999998</v>
      </c>
      <c r="E985">
        <v>31.3934</v>
      </c>
      <c r="F985">
        <v>3793076.85</v>
      </c>
      <c r="G985">
        <v>0</v>
      </c>
      <c r="L985" t="s">
        <v>7</v>
      </c>
      <c r="M985" t="s">
        <v>8</v>
      </c>
      <c r="N985" t="s">
        <v>8</v>
      </c>
      <c r="P985">
        <f t="shared" si="1019"/>
        <v>0.33599472888647747</v>
      </c>
      <c r="Q985">
        <f t="shared" si="1020"/>
        <v>1274453.827861324</v>
      </c>
      <c r="R985">
        <f t="shared" si="1021"/>
        <v>123081723.98138036</v>
      </c>
      <c r="S985">
        <f t="shared" si="1022"/>
        <v>1230.8172398138036</v>
      </c>
      <c r="T985">
        <f t="shared" si="1023"/>
        <v>1.2308172398138035</v>
      </c>
    </row>
    <row r="986" spans="1:20" x14ac:dyDescent="0.25">
      <c r="A986" s="5">
        <v>43607</v>
      </c>
      <c r="B986">
        <v>32.391100000000002</v>
      </c>
      <c r="C986">
        <v>32.437399999999997</v>
      </c>
      <c r="D986">
        <v>30.61</v>
      </c>
      <c r="E986">
        <v>30.806699999999999</v>
      </c>
      <c r="F986">
        <v>3807962.58</v>
      </c>
      <c r="G986">
        <v>0</v>
      </c>
      <c r="L986" t="s">
        <v>7</v>
      </c>
      <c r="M986" t="s">
        <v>8</v>
      </c>
      <c r="N986" t="s">
        <v>8</v>
      </c>
      <c r="P986">
        <f t="shared" si="1019"/>
        <v>-0.78472146218671313</v>
      </c>
      <c r="Q986">
        <f t="shared" si="1020"/>
        <v>-2988189.9637298887</v>
      </c>
      <c r="R986">
        <f t="shared" si="1021"/>
        <v>121807270.15351903</v>
      </c>
      <c r="S986">
        <f t="shared" si="1022"/>
        <v>1218.0727015351904</v>
      </c>
      <c r="T986">
        <f t="shared" si="1023"/>
        <v>1.2180727015351904</v>
      </c>
    </row>
    <row r="987" spans="1:20" x14ac:dyDescent="0.25">
      <c r="A987" s="5">
        <v>43606</v>
      </c>
      <c r="B987">
        <v>29.2666</v>
      </c>
      <c r="C987">
        <v>32.799999999999997</v>
      </c>
      <c r="D987">
        <v>28.05</v>
      </c>
      <c r="E987">
        <v>32.390700000000002</v>
      </c>
      <c r="F987">
        <v>4704491.9800000004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0.82766315789473899</v>
      </c>
      <c r="Q987">
        <f t="shared" si="1020"/>
        <v>3893734.6884572734</v>
      </c>
      <c r="R987">
        <f t="shared" si="1021"/>
        <v>124795460.11724892</v>
      </c>
      <c r="S987">
        <f t="shared" si="1022"/>
        <v>1247.9546011724892</v>
      </c>
      <c r="T987">
        <f t="shared" si="1023"/>
        <v>1.2479546011724891</v>
      </c>
    </row>
    <row r="988" spans="1:20" x14ac:dyDescent="0.25">
      <c r="A988" s="5">
        <v>43605</v>
      </c>
      <c r="B988">
        <v>29.112200000000001</v>
      </c>
      <c r="C988">
        <v>29.3399</v>
      </c>
      <c r="D988">
        <v>27.5306</v>
      </c>
      <c r="E988">
        <v>29.2666</v>
      </c>
      <c r="F988">
        <v>3980328.45</v>
      </c>
      <c r="G988">
        <v>0</v>
      </c>
      <c r="L988" t="s">
        <v>7</v>
      </c>
      <c r="M988" t="s">
        <v>8</v>
      </c>
      <c r="N988" t="s">
        <v>8</v>
      </c>
      <c r="P988">
        <f t="shared" si="1019"/>
        <v>0.91897418891283955</v>
      </c>
      <c r="Q988">
        <f t="shared" si="1020"/>
        <v>3657819.1089454498</v>
      </c>
      <c r="R988">
        <f t="shared" si="1021"/>
        <v>120901725.42879164</v>
      </c>
      <c r="S988">
        <f t="shared" si="1022"/>
        <v>1209.0172542879163</v>
      </c>
      <c r="T988">
        <f t="shared" si="1023"/>
        <v>1.2090172542879163</v>
      </c>
    </row>
    <row r="989" spans="1:20" x14ac:dyDescent="0.25">
      <c r="A989" s="5">
        <v>43604</v>
      </c>
      <c r="B989">
        <v>28.816500000000001</v>
      </c>
      <c r="C989">
        <v>29.8368</v>
      </c>
      <c r="D989">
        <v>27.542999999999999</v>
      </c>
      <c r="E989">
        <v>29.112200000000001</v>
      </c>
      <c r="F989">
        <v>4437585.54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0.36820995727613698</v>
      </c>
      <c r="Q989">
        <f t="shared" si="1020"/>
        <v>1633963.1820926033</v>
      </c>
      <c r="R989">
        <f t="shared" si="1021"/>
        <v>117243906.3198462</v>
      </c>
      <c r="S989">
        <f t="shared" si="1022"/>
        <v>1172.439063198462</v>
      </c>
      <c r="T989">
        <f t="shared" si="1023"/>
        <v>1.172439063198462</v>
      </c>
    </row>
    <row r="990" spans="1:20" x14ac:dyDescent="0.25">
      <c r="A990" s="5">
        <v>43603</v>
      </c>
      <c r="B990">
        <v>25.7986</v>
      </c>
      <c r="C990">
        <v>29.0989</v>
      </c>
      <c r="D990">
        <v>25.112400000000001</v>
      </c>
      <c r="E990">
        <v>28.8171</v>
      </c>
      <c r="F990">
        <v>4319102.3499999996</v>
      </c>
      <c r="G990">
        <v>0</v>
      </c>
      <c r="L990" t="s">
        <v>8</v>
      </c>
      <c r="M990" t="s">
        <v>8</v>
      </c>
      <c r="N990" t="s">
        <v>8</v>
      </c>
      <c r="P990">
        <f t="shared" si="1019"/>
        <v>0.85862285212592471</v>
      </c>
      <c r="Q990">
        <f t="shared" si="1020"/>
        <v>3708479.9783807835</v>
      </c>
      <c r="R990">
        <f t="shared" si="1021"/>
        <v>115609943.13775359</v>
      </c>
      <c r="S990">
        <f t="shared" si="1022"/>
        <v>1156.0994313775359</v>
      </c>
      <c r="T990">
        <f t="shared" si="1023"/>
        <v>1.1560994313775359</v>
      </c>
    </row>
    <row r="991" spans="1:20" x14ac:dyDescent="0.25">
      <c r="A991" s="5">
        <v>43602</v>
      </c>
      <c r="B991">
        <v>26.288799999999998</v>
      </c>
      <c r="C991">
        <v>26.6783</v>
      </c>
      <c r="D991">
        <v>23.142399999999999</v>
      </c>
      <c r="E991">
        <v>25.779499999999999</v>
      </c>
      <c r="F991">
        <v>3429086.56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0.49161458186034618</v>
      </c>
      <c r="Q991">
        <f t="shared" si="1020"/>
        <v>1685788.9553573329</v>
      </c>
      <c r="R991">
        <f t="shared" si="1021"/>
        <v>111901463.15937281</v>
      </c>
      <c r="S991">
        <f t="shared" si="1022"/>
        <v>1119.0146315937282</v>
      </c>
      <c r="T991">
        <f t="shared" si="1023"/>
        <v>1.1190146315937282</v>
      </c>
    </row>
    <row r="992" spans="1:20" x14ac:dyDescent="0.25">
      <c r="A992" s="5">
        <v>43601</v>
      </c>
      <c r="B992">
        <v>26.834800000000001</v>
      </c>
      <c r="C992">
        <v>27.79</v>
      </c>
      <c r="D992">
        <v>25</v>
      </c>
      <c r="E992">
        <v>26.288799999999998</v>
      </c>
      <c r="F992">
        <v>4200071.24</v>
      </c>
      <c r="G992">
        <v>0</v>
      </c>
      <c r="L992" t="s">
        <v>7</v>
      </c>
      <c r="M992" t="s">
        <v>8</v>
      </c>
      <c r="N992" t="s">
        <v>8</v>
      </c>
      <c r="P992">
        <f t="shared" si="1019"/>
        <v>-7.6129032258065388E-2</v>
      </c>
      <c r="Q992">
        <f t="shared" si="1020"/>
        <v>-319747.35891613271</v>
      </c>
      <c r="R992">
        <f t="shared" si="1021"/>
        <v>110215674.20401548</v>
      </c>
      <c r="S992">
        <f t="shared" si="1022"/>
        <v>1102.1567420401548</v>
      </c>
      <c r="T992">
        <f t="shared" si="1023"/>
        <v>1.1021567420401548</v>
      </c>
    </row>
    <row r="993" spans="1:20" x14ac:dyDescent="0.25">
      <c r="A993" s="5">
        <v>43600</v>
      </c>
      <c r="B993">
        <v>23.6553</v>
      </c>
      <c r="C993">
        <v>27.6556</v>
      </c>
      <c r="D993">
        <v>23.46</v>
      </c>
      <c r="E993">
        <v>26.811599999999999</v>
      </c>
      <c r="F993">
        <v>3433770.34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0.59767375345600082</v>
      </c>
      <c r="Q993">
        <f t="shared" si="1020"/>
        <v>2052274.4076136879</v>
      </c>
      <c r="R993">
        <f t="shared" si="1021"/>
        <v>110535421.56293161</v>
      </c>
      <c r="S993">
        <f t="shared" si="1022"/>
        <v>1105.3542156293161</v>
      </c>
      <c r="T993">
        <f t="shared" si="1023"/>
        <v>1.1053542156293161</v>
      </c>
    </row>
    <row r="994" spans="1:20" x14ac:dyDescent="0.25">
      <c r="A994" s="5">
        <v>43599</v>
      </c>
      <c r="B994">
        <v>23.521000000000001</v>
      </c>
      <c r="C994">
        <v>24.5</v>
      </c>
      <c r="D994">
        <v>22.5748</v>
      </c>
      <c r="E994">
        <v>23.6553</v>
      </c>
      <c r="F994">
        <v>3821993.16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0.1224807812175364</v>
      </c>
      <c r="Q994">
        <f t="shared" si="1020"/>
        <v>468120.70804488059</v>
      </c>
      <c r="R994">
        <f t="shared" si="1021"/>
        <v>108483147.15531792</v>
      </c>
      <c r="S994">
        <f t="shared" si="1022"/>
        <v>1084.8314715531792</v>
      </c>
      <c r="T994">
        <f t="shared" si="1023"/>
        <v>1.0848314715531793</v>
      </c>
    </row>
    <row r="995" spans="1:20" x14ac:dyDescent="0.25">
      <c r="A995" s="5">
        <v>43598</v>
      </c>
      <c r="B995">
        <v>20.9026</v>
      </c>
      <c r="C995">
        <v>24</v>
      </c>
      <c r="D995">
        <v>20.7349</v>
      </c>
      <c r="E995">
        <v>23.521000000000001</v>
      </c>
      <c r="F995">
        <v>4566012.58</v>
      </c>
      <c r="G995">
        <v>0</v>
      </c>
      <c r="L995" t="s">
        <v>8</v>
      </c>
      <c r="M995" t="s">
        <v>8</v>
      </c>
      <c r="N995" t="s">
        <v>8</v>
      </c>
      <c r="P995">
        <f t="shared" si="1019"/>
        <v>0.70659397874490881</v>
      </c>
      <c r="Q995">
        <f t="shared" si="1020"/>
        <v>3226316.9959015064</v>
      </c>
      <c r="R995">
        <f t="shared" si="1021"/>
        <v>108015026.44727303</v>
      </c>
      <c r="S995">
        <f t="shared" si="1022"/>
        <v>1080.1502644727302</v>
      </c>
      <c r="T995">
        <f t="shared" si="1023"/>
        <v>1.0801502644727301</v>
      </c>
    </row>
    <row r="996" spans="1:20" x14ac:dyDescent="0.25">
      <c r="A996" s="5">
        <v>43597</v>
      </c>
      <c r="B996">
        <v>20.787099999999999</v>
      </c>
      <c r="C996">
        <v>21.5</v>
      </c>
      <c r="D996">
        <v>20.100000000000001</v>
      </c>
      <c r="E996">
        <v>20.8934</v>
      </c>
      <c r="F996">
        <v>3228794.38</v>
      </c>
      <c r="G996">
        <v>0</v>
      </c>
      <c r="L996" t="s">
        <v>7</v>
      </c>
      <c r="M996" t="s">
        <v>8</v>
      </c>
      <c r="N996" t="s">
        <v>8</v>
      </c>
      <c r="P996">
        <f t="shared" si="1019"/>
        <v>0.1334285714285702</v>
      </c>
      <c r="Q996">
        <f t="shared" si="1020"/>
        <v>430813.42155999603</v>
      </c>
      <c r="R996">
        <f t="shared" si="1021"/>
        <v>104788709.45137152</v>
      </c>
      <c r="S996">
        <f t="shared" si="1022"/>
        <v>1047.8870945137153</v>
      </c>
      <c r="T996">
        <f t="shared" si="1023"/>
        <v>1.0478870945137153</v>
      </c>
    </row>
    <row r="997" spans="1:20" x14ac:dyDescent="0.25">
      <c r="A997" s="5">
        <v>43596</v>
      </c>
      <c r="B997">
        <v>19.6294</v>
      </c>
      <c r="C997">
        <v>22</v>
      </c>
      <c r="D997">
        <v>18.88</v>
      </c>
      <c r="E997">
        <v>20.805900000000001</v>
      </c>
      <c r="F997">
        <v>3746402.53</v>
      </c>
      <c r="G997">
        <v>0</v>
      </c>
      <c r="L997" t="s">
        <v>8</v>
      </c>
      <c r="M997" t="s">
        <v>8</v>
      </c>
      <c r="N997" t="s">
        <v>8</v>
      </c>
      <c r="P997">
        <f t="shared" si="1019"/>
        <v>0.23455128205128303</v>
      </c>
      <c r="Q997">
        <f t="shared" si="1020"/>
        <v>878723.51649167028</v>
      </c>
      <c r="R997">
        <f t="shared" si="1021"/>
        <v>104357896.02981153</v>
      </c>
      <c r="S997">
        <f t="shared" si="1022"/>
        <v>1043.5789602981154</v>
      </c>
      <c r="T997">
        <f t="shared" si="1023"/>
        <v>1.0435789602981154</v>
      </c>
    </row>
    <row r="998" spans="1:20" x14ac:dyDescent="0.25">
      <c r="A998" s="5">
        <v>43595</v>
      </c>
      <c r="B998">
        <v>18.837700000000002</v>
      </c>
      <c r="C998">
        <v>19.988800000000001</v>
      </c>
      <c r="D998">
        <v>18.3</v>
      </c>
      <c r="E998">
        <v>19.616599999999998</v>
      </c>
      <c r="F998">
        <v>2429624.3199999998</v>
      </c>
      <c r="G998">
        <v>0</v>
      </c>
      <c r="L998" t="s">
        <v>7</v>
      </c>
      <c r="M998" t="s">
        <v>7</v>
      </c>
      <c r="N998" t="s">
        <v>8</v>
      </c>
      <c r="P998">
        <f t="shared" si="1019"/>
        <v>0.5592136428233031</v>
      </c>
      <c r="Q998">
        <f t="shared" si="1020"/>
        <v>1358679.0666792905</v>
      </c>
      <c r="R998">
        <f t="shared" si="1021"/>
        <v>103479172.51331986</v>
      </c>
      <c r="S998">
        <f t="shared" si="1022"/>
        <v>1034.7917251331987</v>
      </c>
      <c r="T998">
        <f t="shared" si="1023"/>
        <v>1.0347917251331986</v>
      </c>
    </row>
    <row r="999" spans="1:20" x14ac:dyDescent="0.25">
      <c r="A999" s="5">
        <v>43594</v>
      </c>
      <c r="B999">
        <v>20.667100000000001</v>
      </c>
      <c r="C999">
        <v>20.966999999999999</v>
      </c>
      <c r="D999">
        <v>18.540199999999999</v>
      </c>
      <c r="E999">
        <v>18.838799999999999</v>
      </c>
      <c r="F999">
        <v>2334477.6</v>
      </c>
      <c r="G999">
        <v>0</v>
      </c>
      <c r="L999" t="s">
        <v>7</v>
      </c>
      <c r="M999" t="s">
        <v>7</v>
      </c>
      <c r="N999" t="s">
        <v>8</v>
      </c>
      <c r="P999">
        <f t="shared" si="1019"/>
        <v>-0.75391462007581966</v>
      </c>
      <c r="Q999">
        <f t="shared" si="1020"/>
        <v>-1759996.7928795114</v>
      </c>
      <c r="R999">
        <f t="shared" si="1021"/>
        <v>102120493.44664058</v>
      </c>
      <c r="S999">
        <f t="shared" si="1022"/>
        <v>1021.2049344664058</v>
      </c>
      <c r="T999">
        <f t="shared" si="1023"/>
        <v>1.0212049344664058</v>
      </c>
    </row>
    <row r="1000" spans="1:20" x14ac:dyDescent="0.25">
      <c r="A1000" s="5">
        <v>43593</v>
      </c>
      <c r="B1000">
        <v>20.6602</v>
      </c>
      <c r="C1000">
        <v>21.413499999999999</v>
      </c>
      <c r="D1000">
        <v>19.510000000000002</v>
      </c>
      <c r="E1000">
        <v>20.667300000000001</v>
      </c>
      <c r="F1000">
        <v>2742356.42</v>
      </c>
      <c r="G1000">
        <v>0</v>
      </c>
      <c r="L1000" t="s">
        <v>7</v>
      </c>
      <c r="M1000" t="s">
        <v>7</v>
      </c>
      <c r="N1000" t="s">
        <v>8</v>
      </c>
      <c r="P1000">
        <f t="shared" si="1019"/>
        <v>0.21597058050958848</v>
      </c>
      <c r="Q1000">
        <f t="shared" si="1020"/>
        <v>592268.30799159687</v>
      </c>
      <c r="R1000">
        <f t="shared" si="1021"/>
        <v>103880490.23952009</v>
      </c>
      <c r="S1000">
        <f t="shared" si="1022"/>
        <v>1038.8049023952008</v>
      </c>
      <c r="T1000">
        <f t="shared" si="1023"/>
        <v>1.0388049023952008</v>
      </c>
    </row>
    <row r="1001" spans="1:20" x14ac:dyDescent="0.25">
      <c r="A1001" s="5">
        <v>43592</v>
      </c>
      <c r="B1001">
        <v>22.201799999999999</v>
      </c>
      <c r="C1001">
        <v>22.45</v>
      </c>
      <c r="D1001">
        <v>20.204999999999998</v>
      </c>
      <c r="E1001">
        <v>20.6602</v>
      </c>
      <c r="F1001">
        <v>1813897.12</v>
      </c>
      <c r="G1001">
        <v>0</v>
      </c>
      <c r="L1001" t="s">
        <v>7</v>
      </c>
      <c r="M1001" t="s">
        <v>7</v>
      </c>
      <c r="N1001" t="s">
        <v>8</v>
      </c>
      <c r="P1001">
        <f t="shared" si="1019"/>
        <v>-0.59447661469933077</v>
      </c>
      <c r="Q1001">
        <f t="shared" si="1020"/>
        <v>-1078319.4193104659</v>
      </c>
      <c r="R1001">
        <f t="shared" si="1021"/>
        <v>103288221.93152849</v>
      </c>
      <c r="S1001">
        <f t="shared" si="1022"/>
        <v>1032.8822193152848</v>
      </c>
      <c r="T1001">
        <f t="shared" si="1023"/>
        <v>1.0328822193152849</v>
      </c>
    </row>
    <row r="1002" spans="1:20" x14ac:dyDescent="0.25">
      <c r="A1002" s="5">
        <v>43591</v>
      </c>
      <c r="B1002">
        <v>22.977699999999999</v>
      </c>
      <c r="C1002">
        <v>22.997299999999999</v>
      </c>
      <c r="D1002">
        <v>21.45</v>
      </c>
      <c r="E1002">
        <v>22.189499999999999</v>
      </c>
      <c r="F1002">
        <v>1764747.54</v>
      </c>
      <c r="G1002">
        <v>0</v>
      </c>
      <c r="L1002" t="s">
        <v>7</v>
      </c>
      <c r="M1002" t="s">
        <v>7</v>
      </c>
      <c r="N1002" t="s">
        <v>8</v>
      </c>
      <c r="P1002">
        <f t="shared" si="1019"/>
        <v>-4.4141407613262261E-2</v>
      </c>
      <c r="Q1002">
        <f t="shared" si="1020"/>
        <v>-77898.440497641845</v>
      </c>
      <c r="R1002">
        <f t="shared" si="1021"/>
        <v>104366541.35083896</v>
      </c>
      <c r="S1002">
        <f t="shared" si="1022"/>
        <v>1043.6654135083895</v>
      </c>
      <c r="T1002">
        <f t="shared" si="1023"/>
        <v>1.0436654135083896</v>
      </c>
    </row>
    <row r="1003" spans="1:20" x14ac:dyDescent="0.25">
      <c r="A1003" s="5">
        <v>43590</v>
      </c>
      <c r="B1003">
        <v>22.8887</v>
      </c>
      <c r="C1003">
        <v>23.177199999999999</v>
      </c>
      <c r="D1003">
        <v>22.640799999999999</v>
      </c>
      <c r="E1003">
        <v>22.977699999999999</v>
      </c>
      <c r="F1003">
        <v>1787108.39</v>
      </c>
      <c r="G1003">
        <v>0</v>
      </c>
      <c r="L1003" t="s">
        <v>7</v>
      </c>
      <c r="M1003" t="s">
        <v>7</v>
      </c>
      <c r="N1003" t="s">
        <v>8</v>
      </c>
      <c r="P1003">
        <f t="shared" si="1019"/>
        <v>0.25615212527964099</v>
      </c>
      <c r="Q1003">
        <f t="shared" si="1020"/>
        <v>457771.61220357748</v>
      </c>
      <c r="R1003">
        <f t="shared" si="1021"/>
        <v>104444439.7913366</v>
      </c>
      <c r="S1003">
        <f t="shared" si="1022"/>
        <v>1044.4443979133659</v>
      </c>
      <c r="T1003">
        <f t="shared" si="1023"/>
        <v>1.044444397913366</v>
      </c>
    </row>
    <row r="1004" spans="1:20" x14ac:dyDescent="0.25">
      <c r="A1004" s="5">
        <v>43589</v>
      </c>
      <c r="B1004">
        <v>23.6999</v>
      </c>
      <c r="C1004">
        <v>23.796800000000001</v>
      </c>
      <c r="D1004">
        <v>22.3</v>
      </c>
      <c r="E1004">
        <v>22.8888</v>
      </c>
      <c r="F1004">
        <v>1898934.62</v>
      </c>
      <c r="G1004">
        <v>0</v>
      </c>
      <c r="L1004" t="s">
        <v>7</v>
      </c>
      <c r="M1004" t="s">
        <v>7</v>
      </c>
      <c r="N1004" t="s">
        <v>8</v>
      </c>
      <c r="P1004">
        <f t="shared" si="1019"/>
        <v>-0.21325494388027932</v>
      </c>
      <c r="Q1004">
        <f t="shared" si="1020"/>
        <v>-404957.19582041958</v>
      </c>
      <c r="R1004">
        <f t="shared" si="1021"/>
        <v>103986668.17913301</v>
      </c>
      <c r="S1004">
        <f t="shared" si="1022"/>
        <v>1039.8666817913302</v>
      </c>
      <c r="T1004">
        <f t="shared" si="1023"/>
        <v>1.0398666817913302</v>
      </c>
    </row>
    <row r="1005" spans="1:20" x14ac:dyDescent="0.25">
      <c r="A1005" s="5">
        <v>43588</v>
      </c>
      <c r="B1005">
        <v>23.616800000000001</v>
      </c>
      <c r="C1005">
        <v>23.972000000000001</v>
      </c>
      <c r="D1005">
        <v>23.010100000000001</v>
      </c>
      <c r="E1005">
        <v>23.6999</v>
      </c>
      <c r="F1005">
        <v>2230465.58</v>
      </c>
      <c r="G1005">
        <v>0</v>
      </c>
      <c r="L1005" t="s">
        <v>8</v>
      </c>
      <c r="M1005" t="s">
        <v>7</v>
      </c>
      <c r="N1005" t="s">
        <v>8</v>
      </c>
      <c r="P1005">
        <f t="shared" si="1019"/>
        <v>0.43424472398377839</v>
      </c>
      <c r="Q1005">
        <f t="shared" si="1020"/>
        <v>968567.91014241823</v>
      </c>
      <c r="R1005">
        <f t="shared" si="1021"/>
        <v>104391625.37495343</v>
      </c>
      <c r="S1005">
        <f t="shared" si="1022"/>
        <v>1043.9162537495342</v>
      </c>
      <c r="T1005">
        <f t="shared" si="1023"/>
        <v>1.0439162537495343</v>
      </c>
    </row>
    <row r="1006" spans="1:20" x14ac:dyDescent="0.25">
      <c r="A1006" s="5">
        <v>43587</v>
      </c>
      <c r="B1006">
        <v>21.881</v>
      </c>
      <c r="C1006">
        <v>24.126999999999999</v>
      </c>
      <c r="D1006">
        <v>21.749700000000001</v>
      </c>
      <c r="E1006">
        <v>23.616599999999998</v>
      </c>
      <c r="F1006">
        <v>2446015.2000000002</v>
      </c>
      <c r="G1006">
        <v>0</v>
      </c>
      <c r="L1006" t="s">
        <v>8</v>
      </c>
      <c r="M1006" t="s">
        <v>7</v>
      </c>
      <c r="N1006" t="s">
        <v>8</v>
      </c>
      <c r="P1006">
        <f t="shared" si="1019"/>
        <v>0.5706053085433046</v>
      </c>
      <c r="Q1006">
        <f t="shared" si="1020"/>
        <v>1395709.2578976131</v>
      </c>
      <c r="R1006">
        <f t="shared" si="1021"/>
        <v>103423057.46481101</v>
      </c>
      <c r="S1006">
        <f t="shared" si="1022"/>
        <v>1034.2305746481102</v>
      </c>
      <c r="T1006">
        <f t="shared" si="1023"/>
        <v>1.0342305746481102</v>
      </c>
    </row>
    <row r="1007" spans="1:20" x14ac:dyDescent="0.25">
      <c r="A1007" s="5">
        <v>43586</v>
      </c>
      <c r="B1007">
        <v>22.03</v>
      </c>
      <c r="C1007">
        <v>22.099</v>
      </c>
      <c r="D1007">
        <v>21.47</v>
      </c>
      <c r="E1007">
        <v>21.878799999999998</v>
      </c>
      <c r="F1007">
        <v>2064791.54</v>
      </c>
      <c r="G1007">
        <v>0</v>
      </c>
      <c r="L1007" t="s">
        <v>7</v>
      </c>
      <c r="M1007" t="s">
        <v>7</v>
      </c>
      <c r="N1007" t="s">
        <v>8</v>
      </c>
      <c r="P1007">
        <f t="shared" si="1019"/>
        <v>0.29984101748807163</v>
      </c>
      <c r="Q1007">
        <f t="shared" si="1020"/>
        <v>619109.19625436235</v>
      </c>
      <c r="R1007">
        <f t="shared" si="1021"/>
        <v>102027348.2069134</v>
      </c>
      <c r="S1007">
        <f t="shared" si="1022"/>
        <v>1020.2734820691339</v>
      </c>
      <c r="T1007">
        <f t="shared" si="1023"/>
        <v>1.0202734820691339</v>
      </c>
    </row>
    <row r="1008" spans="1:20" x14ac:dyDescent="0.25">
      <c r="A1008" s="5">
        <v>43585</v>
      </c>
      <c r="B1008">
        <v>21.684699999999999</v>
      </c>
      <c r="C1008">
        <v>22.3</v>
      </c>
      <c r="D1008">
        <v>21.3292</v>
      </c>
      <c r="E1008">
        <v>22.039100000000001</v>
      </c>
      <c r="F1008">
        <v>2197565.5299999998</v>
      </c>
      <c r="G1008">
        <v>0</v>
      </c>
      <c r="L1008" t="s">
        <v>7</v>
      </c>
      <c r="M1008" t="s">
        <v>7</v>
      </c>
      <c r="N1008" t="s">
        <v>8</v>
      </c>
      <c r="P1008">
        <f t="shared" si="1019"/>
        <v>0.46250515039143114</v>
      </c>
      <c r="Q1008">
        <f t="shared" si="1020"/>
        <v>1016385.375947675</v>
      </c>
      <c r="R1008">
        <f t="shared" si="1021"/>
        <v>101408239.01065904</v>
      </c>
      <c r="S1008">
        <f t="shared" si="1022"/>
        <v>1014.0823901065904</v>
      </c>
      <c r="T1008">
        <f t="shared" si="1023"/>
        <v>1.0140823901065905</v>
      </c>
    </row>
    <row r="1009" spans="1:20" x14ac:dyDescent="0.25">
      <c r="A1009" s="5">
        <v>43584</v>
      </c>
      <c r="B1009">
        <v>23.0166</v>
      </c>
      <c r="C1009">
        <v>23.082799999999999</v>
      </c>
      <c r="D1009">
        <v>21.279699999999998</v>
      </c>
      <c r="E1009">
        <v>21.678799999999999</v>
      </c>
      <c r="F1009">
        <v>2388965.0699999998</v>
      </c>
      <c r="G1009">
        <v>0</v>
      </c>
      <c r="L1009" t="s">
        <v>7</v>
      </c>
      <c r="M1009" t="s">
        <v>7</v>
      </c>
      <c r="N1009" t="s">
        <v>8</v>
      </c>
      <c r="P1009">
        <f t="shared" si="1019"/>
        <v>-0.55731795241528415</v>
      </c>
      <c r="Q1009">
        <f t="shared" si="1020"/>
        <v>-1331413.1212040358</v>
      </c>
      <c r="R1009">
        <f t="shared" si="1021"/>
        <v>100391853.63471137</v>
      </c>
      <c r="S1009">
        <f t="shared" si="1022"/>
        <v>1003.9185363471137</v>
      </c>
      <c r="T1009">
        <f t="shared" si="1023"/>
        <v>1.0039185363471137</v>
      </c>
    </row>
    <row r="1010" spans="1:20" x14ac:dyDescent="0.25">
      <c r="A1010" s="5">
        <v>43583</v>
      </c>
      <c r="B1010">
        <v>22.432600000000001</v>
      </c>
      <c r="C1010">
        <v>23.209199999999999</v>
      </c>
      <c r="D1010">
        <v>22.42</v>
      </c>
      <c r="E1010">
        <v>23.022600000000001</v>
      </c>
      <c r="F1010">
        <v>3015774.29</v>
      </c>
      <c r="G1010">
        <v>0</v>
      </c>
      <c r="L1010" t="s">
        <v>7</v>
      </c>
      <c r="M1010" t="s">
        <v>7</v>
      </c>
      <c r="N1010" t="s">
        <v>8</v>
      </c>
      <c r="P1010">
        <f t="shared" si="1019"/>
        <v>0.52711606690319524</v>
      </c>
      <c r="Q1010">
        <f t="shared" si="1020"/>
        <v>1589663.0824125761</v>
      </c>
      <c r="R1010">
        <f t="shared" si="1021"/>
        <v>101723266.7559154</v>
      </c>
      <c r="S1010">
        <f t="shared" si="1022"/>
        <v>1017.232667559154</v>
      </c>
      <c r="T1010">
        <f t="shared" si="1023"/>
        <v>1.0172326675591541</v>
      </c>
    </row>
    <row r="1011" spans="1:20" x14ac:dyDescent="0.25">
      <c r="A1011" s="5">
        <v>43582</v>
      </c>
      <c r="B1011">
        <v>23.055499999999999</v>
      </c>
      <c r="C1011">
        <v>23.120899999999999</v>
      </c>
      <c r="D1011">
        <v>22.387599999999999</v>
      </c>
      <c r="E1011">
        <v>22.432400000000001</v>
      </c>
      <c r="F1011">
        <v>2989261.07</v>
      </c>
      <c r="G1011">
        <v>0</v>
      </c>
      <c r="L1011" t="s">
        <v>7</v>
      </c>
      <c r="M1011" t="s">
        <v>7</v>
      </c>
      <c r="N1011" t="s">
        <v>8</v>
      </c>
      <c r="P1011">
        <f t="shared" si="1019"/>
        <v>-0.87781262784671432</v>
      </c>
      <c r="Q1011">
        <f t="shared" si="1020"/>
        <v>-2624011.1151765808</v>
      </c>
      <c r="R1011">
        <f t="shared" si="1021"/>
        <v>100133603.67350283</v>
      </c>
      <c r="S1011">
        <f t="shared" si="1022"/>
        <v>1001.3360367350283</v>
      </c>
      <c r="T1011">
        <f t="shared" si="1023"/>
        <v>1.0013360367350284</v>
      </c>
    </row>
    <row r="1012" spans="1:20" x14ac:dyDescent="0.25">
      <c r="A1012" s="5">
        <v>43581</v>
      </c>
      <c r="B1012">
        <v>22.486899999999999</v>
      </c>
      <c r="C1012">
        <v>23.786000000000001</v>
      </c>
      <c r="D1012">
        <v>21.650300000000001</v>
      </c>
      <c r="E1012">
        <v>23.055499999999999</v>
      </c>
      <c r="F1012">
        <v>3273950.47</v>
      </c>
      <c r="G1012">
        <v>0</v>
      </c>
      <c r="L1012" t="s">
        <v>8</v>
      </c>
      <c r="M1012" t="s">
        <v>7</v>
      </c>
      <c r="N1012" t="s">
        <v>8</v>
      </c>
      <c r="P1012">
        <f t="shared" si="1019"/>
        <v>0.31591515662311859</v>
      </c>
      <c r="Q1012">
        <f t="shared" si="1020"/>
        <v>1034290.5755063827</v>
      </c>
      <c r="R1012">
        <f t="shared" si="1021"/>
        <v>102757614.78867942</v>
      </c>
      <c r="S1012">
        <f t="shared" si="1022"/>
        <v>1027.5761478867942</v>
      </c>
      <c r="T1012">
        <f t="shared" si="1023"/>
        <v>1.0275761478867942</v>
      </c>
    </row>
    <row r="1013" spans="1:20" x14ac:dyDescent="0.25">
      <c r="A1013" s="5">
        <v>43580</v>
      </c>
      <c r="B1013">
        <v>22.9877</v>
      </c>
      <c r="C1013">
        <v>23.469799999999999</v>
      </c>
      <c r="D1013">
        <v>21.55</v>
      </c>
      <c r="E1013">
        <v>22.4863</v>
      </c>
      <c r="F1013">
        <v>3114460.9</v>
      </c>
      <c r="G1013">
        <v>0</v>
      </c>
      <c r="L1013" t="s">
        <v>8</v>
      </c>
      <c r="M1013" t="s">
        <v>7</v>
      </c>
      <c r="N1013" t="s">
        <v>8</v>
      </c>
      <c r="P1013">
        <f t="shared" si="1019"/>
        <v>-2.4585894363996337E-2</v>
      </c>
      <c r="Q1013">
        <f t="shared" si="1020"/>
        <v>-76571.806688196957</v>
      </c>
      <c r="R1013">
        <f t="shared" si="1021"/>
        <v>101723324.21317303</v>
      </c>
      <c r="S1013">
        <f t="shared" si="1022"/>
        <v>1017.2332421317303</v>
      </c>
      <c r="T1013">
        <f t="shared" si="1023"/>
        <v>1.0172332421317303</v>
      </c>
    </row>
    <row r="1014" spans="1:20" x14ac:dyDescent="0.25">
      <c r="A1014" s="5">
        <v>43579</v>
      </c>
      <c r="B1014">
        <v>22.520700000000001</v>
      </c>
      <c r="C1014">
        <v>23.120899999999999</v>
      </c>
      <c r="D1014">
        <v>20.88</v>
      </c>
      <c r="E1014">
        <v>22.970300000000002</v>
      </c>
      <c r="F1014">
        <v>2961681.74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0.86558971841671006</v>
      </c>
      <c r="Q1014">
        <f t="shared" si="1020"/>
        <v>2563601.263366512</v>
      </c>
      <c r="R1014">
        <f t="shared" si="1021"/>
        <v>101799896.01986122</v>
      </c>
      <c r="S1014">
        <f t="shared" si="1022"/>
        <v>1017.9989601986122</v>
      </c>
      <c r="T1014">
        <f t="shared" si="1023"/>
        <v>1.0179989601986121</v>
      </c>
    </row>
    <row r="1015" spans="1:20" x14ac:dyDescent="0.25">
      <c r="A1015" s="5">
        <v>43578</v>
      </c>
      <c r="B1015">
        <v>23.781199999999998</v>
      </c>
      <c r="C1015">
        <v>24.613099999999999</v>
      </c>
      <c r="D1015">
        <v>22.47</v>
      </c>
      <c r="E1015">
        <v>22.545999999999999</v>
      </c>
      <c r="F1015">
        <v>2877995.49</v>
      </c>
      <c r="G1015">
        <v>0</v>
      </c>
      <c r="L1015" t="s">
        <v>7</v>
      </c>
      <c r="M1015" t="s">
        <v>8</v>
      </c>
      <c r="N1015" t="s">
        <v>8</v>
      </c>
      <c r="P1015">
        <f t="shared" si="1019"/>
        <v>-0.92907470486678134</v>
      </c>
      <c r="Q1015">
        <f t="shared" si="1020"/>
        <v>-2673872.8104796777</v>
      </c>
      <c r="R1015">
        <f t="shared" si="1021"/>
        <v>99236294.756494716</v>
      </c>
      <c r="S1015">
        <f t="shared" si="1022"/>
        <v>992.36294756494715</v>
      </c>
      <c r="T1015">
        <f t="shared" si="1023"/>
        <v>0.99236294756494714</v>
      </c>
    </row>
    <row r="1016" spans="1:20" x14ac:dyDescent="0.25">
      <c r="A1016" s="5">
        <v>43577</v>
      </c>
      <c r="B1016">
        <v>23.9999</v>
      </c>
      <c r="C1016">
        <v>24.636800000000001</v>
      </c>
      <c r="D1016">
        <v>23.02</v>
      </c>
      <c r="E1016">
        <v>23.8</v>
      </c>
      <c r="F1016">
        <v>3005735.93</v>
      </c>
      <c r="G1016">
        <v>0</v>
      </c>
      <c r="L1016" t="s">
        <v>8</v>
      </c>
      <c r="M1016" t="s">
        <v>8</v>
      </c>
      <c r="N1016" t="s">
        <v>8</v>
      </c>
      <c r="P1016">
        <f t="shared" si="1019"/>
        <v>-3.5131123206332895E-2</v>
      </c>
      <c r="Q1016">
        <f t="shared" si="1020"/>
        <v>-105594.87928253159</v>
      </c>
      <c r="R1016">
        <f t="shared" si="1021"/>
        <v>101910167.56697439</v>
      </c>
      <c r="S1016">
        <f t="shared" si="1022"/>
        <v>1019.1016756697438</v>
      </c>
      <c r="T1016">
        <f t="shared" si="1023"/>
        <v>1.0191016756697437</v>
      </c>
    </row>
    <row r="1017" spans="1:20" x14ac:dyDescent="0.25">
      <c r="A1017" s="5">
        <v>43576</v>
      </c>
      <c r="B1017">
        <v>24.869299999999999</v>
      </c>
      <c r="C1017">
        <v>24.869299999999999</v>
      </c>
      <c r="D1017">
        <v>22.45</v>
      </c>
      <c r="E1017">
        <v>23.9999</v>
      </c>
      <c r="F1017">
        <v>3307426.84</v>
      </c>
      <c r="G1017">
        <v>0</v>
      </c>
      <c r="L1017" t="s">
        <v>7</v>
      </c>
      <c r="M1017" t="s">
        <v>8</v>
      </c>
      <c r="N1017" t="s">
        <v>8</v>
      </c>
      <c r="P1017">
        <f t="shared" si="1019"/>
        <v>0.28127970900673838</v>
      </c>
      <c r="Q1017">
        <f t="shared" si="1020"/>
        <v>930312.05911627621</v>
      </c>
      <c r="R1017">
        <f t="shared" si="1021"/>
        <v>102015762.44625692</v>
      </c>
      <c r="S1017">
        <f t="shared" si="1022"/>
        <v>1020.1576244625692</v>
      </c>
      <c r="T1017">
        <f t="shared" si="1023"/>
        <v>1.0201576244625692</v>
      </c>
    </row>
    <row r="1018" spans="1:20" x14ac:dyDescent="0.25">
      <c r="A1018" s="5">
        <v>43575</v>
      </c>
      <c r="B1018">
        <v>24.3188</v>
      </c>
      <c r="C1018">
        <v>25.497299999999999</v>
      </c>
      <c r="D1018">
        <v>23.76</v>
      </c>
      <c r="E1018">
        <v>24.8888</v>
      </c>
      <c r="F1018">
        <v>3545157.49</v>
      </c>
      <c r="G1018">
        <v>0</v>
      </c>
      <c r="L1018" t="s">
        <v>8</v>
      </c>
      <c r="M1018" t="s">
        <v>8</v>
      </c>
      <c r="N1018" t="s">
        <v>8</v>
      </c>
      <c r="P1018">
        <f t="shared" si="1019"/>
        <v>0.29948771081563319</v>
      </c>
      <c r="Q1018">
        <f t="shared" si="1020"/>
        <v>1061731.1011609961</v>
      </c>
      <c r="R1018">
        <f t="shared" si="1021"/>
        <v>101085450.38714065</v>
      </c>
      <c r="S1018">
        <f t="shared" si="1022"/>
        <v>1010.8545038714065</v>
      </c>
      <c r="T1018">
        <f t="shared" si="1023"/>
        <v>1.0108545038714065</v>
      </c>
    </row>
    <row r="1019" spans="1:20" x14ac:dyDescent="0.25">
      <c r="A1019" s="5">
        <v>43574</v>
      </c>
      <c r="B1019">
        <v>21.8888</v>
      </c>
      <c r="C1019">
        <v>24.745899999999999</v>
      </c>
      <c r="D1019">
        <v>21.12</v>
      </c>
      <c r="E1019">
        <v>24.3188</v>
      </c>
      <c r="F1019">
        <v>4247944.38</v>
      </c>
      <c r="G1019">
        <v>0</v>
      </c>
      <c r="L1019" t="s">
        <v>8</v>
      </c>
      <c r="M1019" t="s">
        <v>8</v>
      </c>
      <c r="N1019" t="s">
        <v>8</v>
      </c>
      <c r="P1019">
        <f t="shared" si="1019"/>
        <v>0.7644171102347006</v>
      </c>
      <c r="Q1019">
        <f t="shared" si="1020"/>
        <v>3247201.3673973368</v>
      </c>
      <c r="R1019">
        <f t="shared" si="1021"/>
        <v>100023719.28597964</v>
      </c>
      <c r="S1019">
        <f t="shared" si="1022"/>
        <v>1000.2371928597964</v>
      </c>
      <c r="T1019">
        <f t="shared" si="1023"/>
        <v>1.0002371928597964</v>
      </c>
    </row>
    <row r="1020" spans="1:20" x14ac:dyDescent="0.25">
      <c r="A1020" s="5">
        <v>43573</v>
      </c>
      <c r="B1020">
        <v>19.4757</v>
      </c>
      <c r="C1020">
        <v>21.998000000000001</v>
      </c>
      <c r="D1020">
        <v>19.433299999999999</v>
      </c>
      <c r="E1020">
        <v>21.8888</v>
      </c>
      <c r="F1020">
        <v>3686092.57</v>
      </c>
      <c r="G1020">
        <v>0</v>
      </c>
      <c r="L1020" t="s">
        <v>8</v>
      </c>
      <c r="M1020" t="s">
        <v>8</v>
      </c>
      <c r="N1020" t="s">
        <v>8</v>
      </c>
      <c r="P1020">
        <f t="shared" si="1019"/>
        <v>0.91484384138495634</v>
      </c>
      <c r="Q1020">
        <f t="shared" si="1020"/>
        <v>3372199.086439346</v>
      </c>
      <c r="R1020">
        <f t="shared" si="1021"/>
        <v>96776517.918582305</v>
      </c>
      <c r="S1020">
        <f t="shared" si="1022"/>
        <v>967.76517918582306</v>
      </c>
      <c r="T1020">
        <f t="shared" si="1023"/>
        <v>0.96776517918582305</v>
      </c>
    </row>
    <row r="1021" spans="1:20" x14ac:dyDescent="0.25">
      <c r="A1021" s="5">
        <v>43572</v>
      </c>
      <c r="B1021">
        <v>19.639900000000001</v>
      </c>
      <c r="C1021">
        <v>19.790800000000001</v>
      </c>
      <c r="D1021">
        <v>19.260000000000002</v>
      </c>
      <c r="E1021">
        <v>19.488800000000001</v>
      </c>
      <c r="F1021">
        <v>2005582.6</v>
      </c>
      <c r="G1021">
        <v>0</v>
      </c>
      <c r="L1021" t="s">
        <v>7</v>
      </c>
      <c r="M1021" t="s">
        <v>8</v>
      </c>
      <c r="N1021" t="s">
        <v>8</v>
      </c>
      <c r="P1021">
        <f t="shared" si="1019"/>
        <v>-0.13790504898266773</v>
      </c>
      <c r="Q1021">
        <f t="shared" si="1020"/>
        <v>-276579.96669178613</v>
      </c>
      <c r="R1021">
        <f t="shared" si="1021"/>
        <v>93404318.832142964</v>
      </c>
      <c r="S1021">
        <f t="shared" si="1022"/>
        <v>934.04318832142962</v>
      </c>
      <c r="T1021">
        <f t="shared" si="1023"/>
        <v>0.93404318832142963</v>
      </c>
    </row>
    <row r="1022" spans="1:20" x14ac:dyDescent="0.25">
      <c r="A1022" s="5">
        <v>43571</v>
      </c>
      <c r="B1022">
        <v>19.2668</v>
      </c>
      <c r="C1022">
        <v>19.748200000000001</v>
      </c>
      <c r="D1022">
        <v>18.706399999999999</v>
      </c>
      <c r="E1022">
        <v>19.640799999999999</v>
      </c>
      <c r="F1022">
        <v>2237334.6</v>
      </c>
      <c r="G1022">
        <v>0</v>
      </c>
      <c r="L1022" t="s">
        <v>7</v>
      </c>
      <c r="M1022" t="s">
        <v>8</v>
      </c>
      <c r="N1022" t="s">
        <v>8</v>
      </c>
      <c r="P1022">
        <f t="shared" si="1019"/>
        <v>0.79381839124591724</v>
      </c>
      <c r="Q1022">
        <f t="shared" si="1020"/>
        <v>1776037.3528508279</v>
      </c>
      <c r="R1022">
        <f t="shared" si="1021"/>
        <v>93680898.798834756</v>
      </c>
      <c r="S1022">
        <f t="shared" si="1022"/>
        <v>936.80898798834755</v>
      </c>
      <c r="T1022">
        <f t="shared" si="1023"/>
        <v>0.93680898798834755</v>
      </c>
    </row>
    <row r="1023" spans="1:20" x14ac:dyDescent="0.25">
      <c r="A1023" s="5">
        <v>43570</v>
      </c>
      <c r="B1023">
        <v>19.3734</v>
      </c>
      <c r="C1023">
        <v>19.78</v>
      </c>
      <c r="D1023">
        <v>18.6601</v>
      </c>
      <c r="E1023">
        <v>19.2666</v>
      </c>
      <c r="F1023">
        <v>2218308.0299999998</v>
      </c>
      <c r="G1023">
        <v>0</v>
      </c>
      <c r="L1023" t="s">
        <v>7</v>
      </c>
      <c r="M1023" t="s">
        <v>8</v>
      </c>
      <c r="N1023" t="s">
        <v>8</v>
      </c>
      <c r="P1023">
        <f t="shared" ref="P1023:P1086" si="1024">IF(C1023=D1023,0,((E1023-D1023)-(C1023-E1023))/(C1023-D1023))</f>
        <v>8.3132422537726264E-2</v>
      </c>
      <c r="Q1023">
        <f t="shared" ref="Q1023:Q1086" si="1025">F1023*P1023</f>
        <v>184413.32046879112</v>
      </c>
      <c r="R1023">
        <f t="shared" ref="R1023:R1086" si="1026">R1024+Q1023</f>
        <v>91904861.445983931</v>
      </c>
      <c r="S1023">
        <f t="shared" ref="S1023:S1086" si="1027">R1023/100000</f>
        <v>919.04861445983931</v>
      </c>
      <c r="T1023">
        <f t="shared" ref="T1023:T1086" si="1028">S1023/1000</f>
        <v>0.91904861445983932</v>
      </c>
    </row>
    <row r="1024" spans="1:20" x14ac:dyDescent="0.25">
      <c r="A1024" s="5">
        <v>43569</v>
      </c>
      <c r="B1024">
        <v>18.6111</v>
      </c>
      <c r="C1024">
        <v>19.899999999999999</v>
      </c>
      <c r="D1024">
        <v>18.425899999999999</v>
      </c>
      <c r="E1024">
        <v>19.386600000000001</v>
      </c>
      <c r="F1024">
        <v>2438051.21</v>
      </c>
      <c r="G1024">
        <v>0</v>
      </c>
      <c r="L1024" t="s">
        <v>8</v>
      </c>
      <c r="M1024" t="s">
        <v>8</v>
      </c>
      <c r="N1024" t="s">
        <v>8</v>
      </c>
      <c r="P1024">
        <f t="shared" si="1024"/>
        <v>0.30343938674445803</v>
      </c>
      <c r="Q1024">
        <f t="shared" si="1025"/>
        <v>739800.76401398389</v>
      </c>
      <c r="R1024">
        <f t="shared" si="1026"/>
        <v>91720448.125515133</v>
      </c>
      <c r="S1024">
        <f t="shared" si="1027"/>
        <v>917.20448125515134</v>
      </c>
      <c r="T1024">
        <f t="shared" si="1028"/>
        <v>0.9172044812551513</v>
      </c>
    </row>
    <row r="1025" spans="1:20" x14ac:dyDescent="0.25">
      <c r="A1025" s="5">
        <v>43568</v>
      </c>
      <c r="B1025">
        <v>18.2867</v>
      </c>
      <c r="C1025">
        <v>18.639800000000001</v>
      </c>
      <c r="D1025">
        <v>17.914300000000001</v>
      </c>
      <c r="E1025">
        <v>18.6111</v>
      </c>
      <c r="F1025">
        <v>2205194.61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0.92088215024121134</v>
      </c>
      <c r="Q1025">
        <f t="shared" si="1025"/>
        <v>2030724.3541571293</v>
      </c>
      <c r="R1025">
        <f t="shared" si="1026"/>
        <v>90980647.361501142</v>
      </c>
      <c r="S1025">
        <f t="shared" si="1027"/>
        <v>909.80647361501144</v>
      </c>
      <c r="T1025">
        <f t="shared" si="1028"/>
        <v>0.90980647361501144</v>
      </c>
    </row>
    <row r="1026" spans="1:20" x14ac:dyDescent="0.25">
      <c r="A1026" s="5">
        <v>43567</v>
      </c>
      <c r="B1026">
        <v>17.555499999999999</v>
      </c>
      <c r="C1026">
        <v>18.552</v>
      </c>
      <c r="D1026">
        <v>16.611999999999998</v>
      </c>
      <c r="E1026">
        <v>18.333300000000001</v>
      </c>
      <c r="F1026">
        <v>2325593.36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0.77453608247422867</v>
      </c>
      <c r="Q1026">
        <f t="shared" si="1025"/>
        <v>1801255.9704824784</v>
      </c>
      <c r="R1026">
        <f t="shared" si="1026"/>
        <v>88949923.007344007</v>
      </c>
      <c r="S1026">
        <f t="shared" si="1027"/>
        <v>889.49923007344012</v>
      </c>
      <c r="T1026">
        <f t="shared" si="1028"/>
        <v>0.88949923007344012</v>
      </c>
    </row>
    <row r="1027" spans="1:20" x14ac:dyDescent="0.25">
      <c r="A1027" s="5">
        <v>43566</v>
      </c>
      <c r="B1027">
        <v>18.239999999999998</v>
      </c>
      <c r="C1027">
        <v>18.239999999999998</v>
      </c>
      <c r="D1027">
        <v>16.2501</v>
      </c>
      <c r="E1027">
        <v>17.555499999999999</v>
      </c>
      <c r="F1027">
        <v>1815271.05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0.31202572993617733</v>
      </c>
      <c r="Q1027">
        <f t="shared" si="1025"/>
        <v>566411.27440826106</v>
      </c>
      <c r="R1027">
        <f t="shared" si="1026"/>
        <v>87148667.036861524</v>
      </c>
      <c r="S1027">
        <f t="shared" si="1027"/>
        <v>871.48667036861525</v>
      </c>
      <c r="T1027">
        <f t="shared" si="1028"/>
        <v>0.87148667036861527</v>
      </c>
    </row>
    <row r="1028" spans="1:20" x14ac:dyDescent="0.25">
      <c r="A1028" s="5">
        <v>43565</v>
      </c>
      <c r="B1028">
        <v>18.298400000000001</v>
      </c>
      <c r="C1028">
        <v>18.609500000000001</v>
      </c>
      <c r="D1028">
        <v>17.892700000000001</v>
      </c>
      <c r="E1028">
        <v>18.239999999999998</v>
      </c>
      <c r="F1028">
        <v>2553039.12</v>
      </c>
      <c r="G1028">
        <v>0</v>
      </c>
      <c r="L1028" t="s">
        <v>8</v>
      </c>
      <c r="M1028" t="s">
        <v>8</v>
      </c>
      <c r="N1028" t="s">
        <v>8</v>
      </c>
      <c r="P1028">
        <f t="shared" si="1024"/>
        <v>-3.0970982142864298E-2</v>
      </c>
      <c r="Q1028">
        <f t="shared" si="1025"/>
        <v>-79070.128995553983</v>
      </c>
      <c r="R1028">
        <f t="shared" si="1026"/>
        <v>86582255.762453258</v>
      </c>
      <c r="S1028">
        <f t="shared" si="1027"/>
        <v>865.82255762453258</v>
      </c>
      <c r="T1028">
        <f t="shared" si="1028"/>
        <v>0.86582255762453253</v>
      </c>
    </row>
    <row r="1029" spans="1:20" x14ac:dyDescent="0.25">
      <c r="A1029" s="5">
        <v>43564</v>
      </c>
      <c r="B1029">
        <v>17.972799999999999</v>
      </c>
      <c r="C1029">
        <v>18.54</v>
      </c>
      <c r="D1029">
        <v>17.010000000000002</v>
      </c>
      <c r="E1029">
        <v>18.298400000000001</v>
      </c>
      <c r="F1029">
        <v>2776440.48</v>
      </c>
      <c r="G1029">
        <v>0</v>
      </c>
      <c r="L1029" t="s">
        <v>7</v>
      </c>
      <c r="M1029" t="s">
        <v>8</v>
      </c>
      <c r="N1029" t="s">
        <v>8</v>
      </c>
      <c r="P1029">
        <f t="shared" si="1024"/>
        <v>0.68418300653594943</v>
      </c>
      <c r="Q1029">
        <f t="shared" si="1025"/>
        <v>1899593.3950745147</v>
      </c>
      <c r="R1029">
        <f t="shared" si="1026"/>
        <v>86661325.891448811</v>
      </c>
      <c r="S1029">
        <f t="shared" si="1027"/>
        <v>866.61325891448814</v>
      </c>
      <c r="T1029">
        <f t="shared" si="1028"/>
        <v>0.86661325891448815</v>
      </c>
    </row>
    <row r="1030" spans="1:20" x14ac:dyDescent="0.25">
      <c r="A1030" s="5">
        <v>43563</v>
      </c>
      <c r="B1030">
        <v>18.950700000000001</v>
      </c>
      <c r="C1030">
        <v>19.042000000000002</v>
      </c>
      <c r="D1030">
        <v>17.7881</v>
      </c>
      <c r="E1030">
        <v>17.977699999999999</v>
      </c>
      <c r="F1030">
        <v>2142481.92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-0.69758353935720807</v>
      </c>
      <c r="Q1030">
        <f t="shared" si="1025"/>
        <v>-1494560.1207624266</v>
      </c>
      <c r="R1030">
        <f t="shared" si="1026"/>
        <v>84761732.496374294</v>
      </c>
      <c r="S1030">
        <f t="shared" si="1027"/>
        <v>847.61732496374293</v>
      </c>
      <c r="T1030">
        <f t="shared" si="1028"/>
        <v>0.84761732496374298</v>
      </c>
    </row>
    <row r="1031" spans="1:20" x14ac:dyDescent="0.25">
      <c r="A1031" s="5">
        <v>43562</v>
      </c>
      <c r="B1031">
        <v>19.042300000000001</v>
      </c>
      <c r="C1031">
        <v>19.213699999999999</v>
      </c>
      <c r="D1031">
        <v>18.8</v>
      </c>
      <c r="E1031">
        <v>18.952300000000001</v>
      </c>
      <c r="F1031">
        <v>2329702.34</v>
      </c>
      <c r="G1031">
        <v>0</v>
      </c>
      <c r="L1031" t="s">
        <v>7</v>
      </c>
      <c r="M1031" t="s">
        <v>8</v>
      </c>
      <c r="N1031" t="s">
        <v>8</v>
      </c>
      <c r="P1031">
        <f t="shared" si="1024"/>
        <v>-0.26371766980903633</v>
      </c>
      <c r="Q1031">
        <f t="shared" si="1025"/>
        <v>-614383.67245345924</v>
      </c>
      <c r="R1031">
        <f t="shared" si="1026"/>
        <v>86256292.617136717</v>
      </c>
      <c r="S1031">
        <f t="shared" si="1027"/>
        <v>862.56292617136717</v>
      </c>
      <c r="T1031">
        <f t="shared" si="1028"/>
        <v>0.86256292617136721</v>
      </c>
    </row>
    <row r="1032" spans="1:20" x14ac:dyDescent="0.25">
      <c r="A1032" s="5">
        <v>43561</v>
      </c>
      <c r="B1032">
        <v>19.3658</v>
      </c>
      <c r="C1032">
        <v>19.386600000000001</v>
      </c>
      <c r="D1032">
        <v>18.82</v>
      </c>
      <c r="E1032">
        <v>19.0745</v>
      </c>
      <c r="F1032">
        <v>2519027.63</v>
      </c>
      <c r="G1032">
        <v>0</v>
      </c>
      <c r="L1032" t="s">
        <v>7</v>
      </c>
      <c r="M1032" t="s">
        <v>8</v>
      </c>
      <c r="N1032" t="s">
        <v>8</v>
      </c>
      <c r="P1032">
        <f t="shared" si="1024"/>
        <v>-0.10165901870808446</v>
      </c>
      <c r="Q1032">
        <f t="shared" si="1025"/>
        <v>-256081.87696435163</v>
      </c>
      <c r="R1032">
        <f t="shared" si="1026"/>
        <v>86870676.28959018</v>
      </c>
      <c r="S1032">
        <f t="shared" si="1027"/>
        <v>868.70676289590176</v>
      </c>
      <c r="T1032">
        <f t="shared" si="1028"/>
        <v>0.86870676289590176</v>
      </c>
    </row>
    <row r="1033" spans="1:20" x14ac:dyDescent="0.25">
      <c r="A1033" s="5">
        <v>43560</v>
      </c>
      <c r="B1033">
        <v>18.971</v>
      </c>
      <c r="C1033">
        <v>19.459299999999999</v>
      </c>
      <c r="D1033">
        <v>18.8445</v>
      </c>
      <c r="E1033">
        <v>19.3657</v>
      </c>
      <c r="F1033">
        <v>2703355.91</v>
      </c>
      <c r="G1033">
        <v>0</v>
      </c>
      <c r="L1033" t="s">
        <v>7</v>
      </c>
      <c r="M1033" t="s">
        <v>8</v>
      </c>
      <c r="N1033" t="s">
        <v>8</v>
      </c>
      <c r="P1033">
        <f t="shared" si="1024"/>
        <v>0.69551073519844264</v>
      </c>
      <c r="Q1033">
        <f t="shared" si="1025"/>
        <v>1880213.056467155</v>
      </c>
      <c r="R1033">
        <f t="shared" si="1026"/>
        <v>87126758.166554525</v>
      </c>
      <c r="S1033">
        <f t="shared" si="1027"/>
        <v>871.26758166554521</v>
      </c>
      <c r="T1033">
        <f t="shared" si="1028"/>
        <v>0.87126758166554519</v>
      </c>
    </row>
    <row r="1034" spans="1:20" x14ac:dyDescent="0.25">
      <c r="A1034" s="5">
        <v>43559</v>
      </c>
      <c r="B1034">
        <v>18.538799999999998</v>
      </c>
      <c r="C1034">
        <v>19.41</v>
      </c>
      <c r="D1034">
        <v>18.16</v>
      </c>
      <c r="E1034">
        <v>18.992000000000001</v>
      </c>
      <c r="F1034">
        <v>2939082.42</v>
      </c>
      <c r="G1034">
        <v>0</v>
      </c>
      <c r="L1034" t="s">
        <v>7</v>
      </c>
      <c r="M1034" t="s">
        <v>8</v>
      </c>
      <c r="N1034" t="s">
        <v>8</v>
      </c>
      <c r="P1034">
        <f t="shared" si="1024"/>
        <v>0.33120000000000116</v>
      </c>
      <c r="Q1034">
        <f t="shared" si="1025"/>
        <v>973424.09750400344</v>
      </c>
      <c r="R1034">
        <f t="shared" si="1026"/>
        <v>85246545.110087365</v>
      </c>
      <c r="S1034">
        <f t="shared" si="1027"/>
        <v>852.46545110087368</v>
      </c>
      <c r="T1034">
        <f t="shared" si="1028"/>
        <v>0.85246545110087368</v>
      </c>
    </row>
    <row r="1035" spans="1:20" x14ac:dyDescent="0.25">
      <c r="A1035" s="5">
        <v>43558</v>
      </c>
      <c r="B1035">
        <v>19.715499999999999</v>
      </c>
      <c r="C1035">
        <v>20</v>
      </c>
      <c r="D1035">
        <v>18</v>
      </c>
      <c r="E1035">
        <v>18.5489</v>
      </c>
      <c r="F1035">
        <v>3532965.97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-0.45110000000000028</v>
      </c>
      <c r="Q1035">
        <f t="shared" si="1025"/>
        <v>-1593720.949067001</v>
      </c>
      <c r="R1035">
        <f t="shared" si="1026"/>
        <v>84273121.01258336</v>
      </c>
      <c r="S1035">
        <f t="shared" si="1027"/>
        <v>842.73121012583363</v>
      </c>
      <c r="T1035">
        <f t="shared" si="1028"/>
        <v>0.84273121012583363</v>
      </c>
    </row>
    <row r="1036" spans="1:20" x14ac:dyDescent="0.25">
      <c r="A1036" s="5">
        <v>43557</v>
      </c>
      <c r="B1036">
        <v>17.8888</v>
      </c>
      <c r="C1036">
        <v>19.88</v>
      </c>
      <c r="D1036">
        <v>17.5303</v>
      </c>
      <c r="E1036">
        <v>19.715499999999999</v>
      </c>
      <c r="F1036">
        <v>3356886.89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0.85998212537770746</v>
      </c>
      <c r="Q1036">
        <f t="shared" si="1025"/>
        <v>2886862.7223147624</v>
      </c>
      <c r="R1036">
        <f t="shared" si="1026"/>
        <v>85866841.961650357</v>
      </c>
      <c r="S1036">
        <f t="shared" si="1027"/>
        <v>858.66841961650357</v>
      </c>
      <c r="T1036">
        <f t="shared" si="1028"/>
        <v>0.85866841961650353</v>
      </c>
    </row>
    <row r="1037" spans="1:20" x14ac:dyDescent="0.25">
      <c r="A1037" s="5">
        <v>43556</v>
      </c>
      <c r="B1037">
        <v>17.520099999999999</v>
      </c>
      <c r="C1037">
        <v>18.2576</v>
      </c>
      <c r="D1037">
        <v>17.331900000000001</v>
      </c>
      <c r="E1037">
        <v>17.8888</v>
      </c>
      <c r="F1037">
        <v>2966204.71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0.20319758020956982</v>
      </c>
      <c r="Q1037">
        <f t="shared" si="1025"/>
        <v>602725.61947822873</v>
      </c>
      <c r="R1037">
        <f t="shared" si="1026"/>
        <v>82979979.239335597</v>
      </c>
      <c r="S1037">
        <f t="shared" si="1027"/>
        <v>829.79979239335592</v>
      </c>
      <c r="T1037">
        <f t="shared" si="1028"/>
        <v>0.82979979239335588</v>
      </c>
    </row>
    <row r="1038" spans="1:20" x14ac:dyDescent="0.25">
      <c r="A1038" s="5">
        <v>43555</v>
      </c>
      <c r="B1038">
        <v>16.9666</v>
      </c>
      <c r="C1038">
        <v>17.738600000000002</v>
      </c>
      <c r="D1038">
        <v>16.731400000000001</v>
      </c>
      <c r="E1038">
        <v>17.537600000000001</v>
      </c>
      <c r="F1038">
        <v>3182964.85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0.60087370929308914</v>
      </c>
      <c r="Q1038">
        <f t="shared" si="1025"/>
        <v>1912559.8959690211</v>
      </c>
      <c r="R1038">
        <f t="shared" si="1026"/>
        <v>82377253.619857371</v>
      </c>
      <c r="S1038">
        <f t="shared" si="1027"/>
        <v>823.77253619857368</v>
      </c>
      <c r="T1038">
        <f t="shared" si="1028"/>
        <v>0.82377253619857371</v>
      </c>
    </row>
    <row r="1039" spans="1:20" x14ac:dyDescent="0.25">
      <c r="A1039" s="5">
        <v>43554</v>
      </c>
      <c r="B1039">
        <v>16.494900000000001</v>
      </c>
      <c r="C1039">
        <v>16.984999999999999</v>
      </c>
      <c r="D1039">
        <v>15.9612</v>
      </c>
      <c r="E1039">
        <v>16.9666</v>
      </c>
      <c r="F1039">
        <v>2790050.93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0.96405547958585713</v>
      </c>
      <c r="Q1039">
        <f t="shared" si="1025"/>
        <v>2689763.8873901167</v>
      </c>
      <c r="R1039">
        <f t="shared" si="1026"/>
        <v>80464693.723888353</v>
      </c>
      <c r="S1039">
        <f t="shared" si="1027"/>
        <v>804.64693723888354</v>
      </c>
      <c r="T1039">
        <f t="shared" si="1028"/>
        <v>0.80464693723888359</v>
      </c>
    </row>
    <row r="1040" spans="1:20" x14ac:dyDescent="0.25">
      <c r="A1040" s="5">
        <v>43553</v>
      </c>
      <c r="B1040">
        <v>16.6538</v>
      </c>
      <c r="C1040">
        <v>16.806699999999999</v>
      </c>
      <c r="D1040">
        <v>16.376999999999999</v>
      </c>
      <c r="E1040">
        <v>16.475300000000001</v>
      </c>
      <c r="F1040">
        <v>2737173.2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-0.54247149173841402</v>
      </c>
      <c r="Q1040">
        <f t="shared" si="1025"/>
        <v>-1484838.4289504085</v>
      </c>
      <c r="R1040">
        <f t="shared" si="1026"/>
        <v>77774929.836498231</v>
      </c>
      <c r="S1040">
        <f t="shared" si="1027"/>
        <v>777.74929836498234</v>
      </c>
      <c r="T1040">
        <f t="shared" si="1028"/>
        <v>0.7777492983649823</v>
      </c>
    </row>
    <row r="1041" spans="1:20" x14ac:dyDescent="0.25">
      <c r="A1041" s="5">
        <v>43552</v>
      </c>
      <c r="B1041">
        <v>16.600000000000001</v>
      </c>
      <c r="C1041">
        <v>16.718800000000002</v>
      </c>
      <c r="D1041">
        <v>16.401</v>
      </c>
      <c r="E1041">
        <v>16.666499999999999</v>
      </c>
      <c r="F1041">
        <v>2988300.97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0.67086217747009347</v>
      </c>
      <c r="Q1041">
        <f t="shared" si="1025"/>
        <v>2004738.0956701925</v>
      </c>
      <c r="R1041">
        <f t="shared" si="1026"/>
        <v>79259768.265448645</v>
      </c>
      <c r="S1041">
        <f t="shared" si="1027"/>
        <v>792.59768265448645</v>
      </c>
      <c r="T1041">
        <f t="shared" si="1028"/>
        <v>0.79259768265448649</v>
      </c>
    </row>
    <row r="1042" spans="1:20" x14ac:dyDescent="0.25">
      <c r="A1042" s="5">
        <v>43551</v>
      </c>
      <c r="B1042">
        <v>16.192799999999998</v>
      </c>
      <c r="C1042">
        <v>16.829699999999999</v>
      </c>
      <c r="D1042">
        <v>15.8697</v>
      </c>
      <c r="E1042">
        <v>16.600000000000001</v>
      </c>
      <c r="F1042">
        <v>3240914.25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0.52145833333333791</v>
      </c>
      <c r="Q1042">
        <f t="shared" si="1025"/>
        <v>1690001.7432812648</v>
      </c>
      <c r="R1042">
        <f t="shared" si="1026"/>
        <v>77255030.169778451</v>
      </c>
      <c r="S1042">
        <f t="shared" si="1027"/>
        <v>772.55030169778456</v>
      </c>
      <c r="T1042">
        <f t="shared" si="1028"/>
        <v>0.7725503016977846</v>
      </c>
    </row>
    <row r="1043" spans="1:20" x14ac:dyDescent="0.25">
      <c r="A1043" s="5">
        <v>43550</v>
      </c>
      <c r="B1043">
        <v>16.7761</v>
      </c>
      <c r="C1043">
        <v>16.8</v>
      </c>
      <c r="D1043">
        <v>15.530099999999999</v>
      </c>
      <c r="E1043">
        <v>16.1998</v>
      </c>
      <c r="F1043">
        <v>2725145.68</v>
      </c>
      <c r="G1043">
        <v>0</v>
      </c>
      <c r="L1043" t="s">
        <v>7</v>
      </c>
      <c r="M1043" t="s">
        <v>8</v>
      </c>
      <c r="N1043" t="s">
        <v>8</v>
      </c>
      <c r="P1043">
        <f t="shared" si="1024"/>
        <v>5.4728718796755324E-2</v>
      </c>
      <c r="Q1043">
        <f t="shared" si="1025"/>
        <v>149143.73160091258</v>
      </c>
      <c r="R1043">
        <f t="shared" si="1026"/>
        <v>75565028.426497191</v>
      </c>
      <c r="S1043">
        <f t="shared" si="1027"/>
        <v>755.6502842649719</v>
      </c>
      <c r="T1043">
        <f t="shared" si="1028"/>
        <v>0.75565028426497194</v>
      </c>
    </row>
    <row r="1044" spans="1:20" x14ac:dyDescent="0.25">
      <c r="A1044" s="5">
        <v>43549</v>
      </c>
      <c r="B1044">
        <v>17.1112</v>
      </c>
      <c r="C1044">
        <v>17.338000000000001</v>
      </c>
      <c r="D1044">
        <v>16.100000000000001</v>
      </c>
      <c r="E1044">
        <v>16.763100000000001</v>
      </c>
      <c r="F1044">
        <v>2775613.86</v>
      </c>
      <c r="G1044">
        <v>0</v>
      </c>
      <c r="L1044" t="s">
        <v>7</v>
      </c>
      <c r="M1044" t="s">
        <v>8</v>
      </c>
      <c r="N1044" t="s">
        <v>8</v>
      </c>
      <c r="P1044">
        <f t="shared" si="1024"/>
        <v>7.1243941841680564E-2</v>
      </c>
      <c r="Q1044">
        <f t="shared" si="1025"/>
        <v>197745.6724168025</v>
      </c>
      <c r="R1044">
        <f t="shared" si="1026"/>
        <v>75415884.694896281</v>
      </c>
      <c r="S1044">
        <f t="shared" si="1027"/>
        <v>754.15884694896283</v>
      </c>
      <c r="T1044">
        <f t="shared" si="1028"/>
        <v>0.75415884694896285</v>
      </c>
    </row>
    <row r="1045" spans="1:20" x14ac:dyDescent="0.25">
      <c r="A1045" s="5">
        <v>43548</v>
      </c>
      <c r="B1045">
        <v>15.139699999999999</v>
      </c>
      <c r="C1045">
        <v>17.5</v>
      </c>
      <c r="D1045">
        <v>14.66</v>
      </c>
      <c r="E1045">
        <v>17.1096</v>
      </c>
      <c r="F1045">
        <v>5285367.0999999996</v>
      </c>
      <c r="G1045">
        <v>0</v>
      </c>
      <c r="L1045" t="s">
        <v>8</v>
      </c>
      <c r="M1045" t="s">
        <v>8</v>
      </c>
      <c r="N1045" t="s">
        <v>8</v>
      </c>
      <c r="P1045">
        <f t="shared" si="1024"/>
        <v>0.72507042253521148</v>
      </c>
      <c r="Q1045">
        <f t="shared" si="1025"/>
        <v>3832263.3564507049</v>
      </c>
      <c r="R1045">
        <f t="shared" si="1026"/>
        <v>75218139.022479475</v>
      </c>
      <c r="S1045">
        <f t="shared" si="1027"/>
        <v>752.18139022479477</v>
      </c>
      <c r="T1045">
        <f t="shared" si="1028"/>
        <v>0.7521813902247948</v>
      </c>
    </row>
    <row r="1046" spans="1:20" x14ac:dyDescent="0.25">
      <c r="A1046" s="5">
        <v>43547</v>
      </c>
      <c r="B1046">
        <v>15.1524</v>
      </c>
      <c r="C1046">
        <v>15.44</v>
      </c>
      <c r="D1046">
        <v>14.946899999999999</v>
      </c>
      <c r="E1046">
        <v>15.139699999999999</v>
      </c>
      <c r="F1046">
        <v>2632489.7000000002</v>
      </c>
      <c r="G1046">
        <v>0</v>
      </c>
      <c r="L1046" t="s">
        <v>8</v>
      </c>
      <c r="M1046" t="s">
        <v>8</v>
      </c>
      <c r="N1046" t="s">
        <v>8</v>
      </c>
      <c r="P1046">
        <f t="shared" si="1024"/>
        <v>-0.21800851754208053</v>
      </c>
      <c r="Q1046">
        <f t="shared" si="1025"/>
        <v>-573905.17694179632</v>
      </c>
      <c r="R1046">
        <f t="shared" si="1026"/>
        <v>71385875.666028768</v>
      </c>
      <c r="S1046">
        <f t="shared" si="1027"/>
        <v>713.85875666028767</v>
      </c>
      <c r="T1046">
        <f t="shared" si="1028"/>
        <v>0.71385875666028764</v>
      </c>
    </row>
    <row r="1047" spans="1:20" x14ac:dyDescent="0.25">
      <c r="A1047" s="5">
        <v>43546</v>
      </c>
      <c r="B1047">
        <v>14.3567</v>
      </c>
      <c r="C1047">
        <v>15.226000000000001</v>
      </c>
      <c r="D1047">
        <v>14.231</v>
      </c>
      <c r="E1047">
        <v>15.1502</v>
      </c>
      <c r="F1047">
        <v>2695850.87</v>
      </c>
      <c r="G1047">
        <v>0</v>
      </c>
      <c r="L1047" t="s">
        <v>8</v>
      </c>
      <c r="M1047" t="s">
        <v>8</v>
      </c>
      <c r="N1047" t="s">
        <v>8</v>
      </c>
      <c r="P1047">
        <f t="shared" si="1024"/>
        <v>0.84763819095477211</v>
      </c>
      <c r="Q1047">
        <f t="shared" si="1025"/>
        <v>2285106.1545306486</v>
      </c>
      <c r="R1047">
        <f t="shared" si="1026"/>
        <v>71959780.842970565</v>
      </c>
      <c r="S1047">
        <f t="shared" si="1027"/>
        <v>719.59780842970565</v>
      </c>
      <c r="T1047">
        <f t="shared" si="1028"/>
        <v>0.71959780842970567</v>
      </c>
    </row>
    <row r="1048" spans="1:20" x14ac:dyDescent="0.25">
      <c r="A1048" s="5">
        <v>43545</v>
      </c>
      <c r="B1048">
        <v>15.1288</v>
      </c>
      <c r="C1048">
        <v>15.2987</v>
      </c>
      <c r="D1048">
        <v>13.8607</v>
      </c>
      <c r="E1048">
        <v>14.351100000000001</v>
      </c>
      <c r="F1048">
        <v>3015066.53</v>
      </c>
      <c r="G1048">
        <v>0</v>
      </c>
      <c r="L1048" t="s">
        <v>7</v>
      </c>
      <c r="M1048" t="s">
        <v>8</v>
      </c>
      <c r="N1048" t="s">
        <v>8</v>
      </c>
      <c r="P1048">
        <f t="shared" si="1024"/>
        <v>-0.31794158553546475</v>
      </c>
      <c r="Q1048">
        <f t="shared" si="1025"/>
        <v>-958615.03304311179</v>
      </c>
      <c r="R1048">
        <f t="shared" si="1026"/>
        <v>69674674.688439921</v>
      </c>
      <c r="S1048">
        <f t="shared" si="1027"/>
        <v>696.74674688439916</v>
      </c>
      <c r="T1048">
        <f t="shared" si="1028"/>
        <v>0.69674674688439919</v>
      </c>
    </row>
    <row r="1049" spans="1:20" x14ac:dyDescent="0.25">
      <c r="A1049" s="5">
        <v>43544</v>
      </c>
      <c r="B1049">
        <v>15.5098</v>
      </c>
      <c r="C1049">
        <v>15.5098</v>
      </c>
      <c r="D1049">
        <v>15.022</v>
      </c>
      <c r="E1049">
        <v>15.1288</v>
      </c>
      <c r="F1049">
        <v>2369648.38</v>
      </c>
      <c r="G1049">
        <v>0</v>
      </c>
      <c r="L1049" t="s">
        <v>7</v>
      </c>
      <c r="M1049" t="s">
        <v>8</v>
      </c>
      <c r="N1049" t="s">
        <v>8</v>
      </c>
      <c r="P1049">
        <f t="shared" si="1024"/>
        <v>-0.5621156211562125</v>
      </c>
      <c r="Q1049">
        <f t="shared" si="1025"/>
        <v>-1332016.3710455126</v>
      </c>
      <c r="R1049">
        <f t="shared" si="1026"/>
        <v>70633289.721483037</v>
      </c>
      <c r="S1049">
        <f t="shared" si="1027"/>
        <v>706.33289721483038</v>
      </c>
      <c r="T1049">
        <f t="shared" si="1028"/>
        <v>0.70633289721483039</v>
      </c>
    </row>
    <row r="1050" spans="1:20" x14ac:dyDescent="0.25">
      <c r="A1050" s="5">
        <v>43543</v>
      </c>
      <c r="B1050">
        <v>15.536099999999999</v>
      </c>
      <c r="C1050">
        <v>15.8</v>
      </c>
      <c r="D1050">
        <v>15</v>
      </c>
      <c r="E1050">
        <v>15.4953</v>
      </c>
      <c r="F1050">
        <v>4271050.4000000004</v>
      </c>
      <c r="G1050">
        <v>0</v>
      </c>
      <c r="L1050" t="s">
        <v>7</v>
      </c>
      <c r="M1050" t="s">
        <v>8</v>
      </c>
      <c r="N1050" t="s">
        <v>8</v>
      </c>
      <c r="P1050">
        <f t="shared" si="1024"/>
        <v>0.23824999999999963</v>
      </c>
      <c r="Q1050">
        <f t="shared" si="1025"/>
        <v>1017577.7577999985</v>
      </c>
      <c r="R1050">
        <f t="shared" si="1026"/>
        <v>71965306.092528552</v>
      </c>
      <c r="S1050">
        <f t="shared" si="1027"/>
        <v>719.65306092528556</v>
      </c>
      <c r="T1050">
        <f t="shared" si="1028"/>
        <v>0.71965306092528558</v>
      </c>
    </row>
    <row r="1051" spans="1:20" x14ac:dyDescent="0.25">
      <c r="A1051" s="5">
        <v>43542</v>
      </c>
      <c r="B1051">
        <v>15.583600000000001</v>
      </c>
      <c r="C1051">
        <v>15.7888</v>
      </c>
      <c r="D1051">
        <v>15.204000000000001</v>
      </c>
      <c r="E1051">
        <v>15.5388</v>
      </c>
      <c r="F1051">
        <v>2472584.89</v>
      </c>
      <c r="G1051">
        <v>0</v>
      </c>
      <c r="L1051" t="s">
        <v>8</v>
      </c>
      <c r="M1051" t="s">
        <v>8</v>
      </c>
      <c r="N1051" t="s">
        <v>8</v>
      </c>
      <c r="P1051">
        <f t="shared" si="1024"/>
        <v>0.14500683994527977</v>
      </c>
      <c r="Q1051">
        <f t="shared" si="1025"/>
        <v>358541.72139534721</v>
      </c>
      <c r="R1051">
        <f t="shared" si="1026"/>
        <v>70947728.334728554</v>
      </c>
      <c r="S1051">
        <f t="shared" si="1027"/>
        <v>709.47728334728549</v>
      </c>
      <c r="T1051">
        <f t="shared" si="1028"/>
        <v>0.70947728334728555</v>
      </c>
    </row>
    <row r="1052" spans="1:20" x14ac:dyDescent="0.25">
      <c r="A1052" s="5">
        <v>43541</v>
      </c>
      <c r="B1052">
        <v>15.9589</v>
      </c>
      <c r="C1052">
        <v>15.9589</v>
      </c>
      <c r="D1052">
        <v>15.44</v>
      </c>
      <c r="E1052">
        <v>15.5693</v>
      </c>
      <c r="F1052">
        <v>3106901.48</v>
      </c>
      <c r="G1052">
        <v>0</v>
      </c>
      <c r="L1052" t="s">
        <v>8</v>
      </c>
      <c r="M1052" t="s">
        <v>8</v>
      </c>
      <c r="N1052" t="s">
        <v>8</v>
      </c>
      <c r="P1052">
        <f t="shared" si="1024"/>
        <v>-0.50163808055501813</v>
      </c>
      <c r="Q1052">
        <f t="shared" si="1025"/>
        <v>-1558540.094900745</v>
      </c>
      <c r="R1052">
        <f t="shared" si="1026"/>
        <v>70589186.61333321</v>
      </c>
      <c r="S1052">
        <f t="shared" si="1027"/>
        <v>705.89186613333209</v>
      </c>
      <c r="T1052">
        <f t="shared" si="1028"/>
        <v>0.7058918661333321</v>
      </c>
    </row>
    <row r="1053" spans="1:20" x14ac:dyDescent="0.25">
      <c r="A1053" s="5">
        <v>43540</v>
      </c>
      <c r="B1053">
        <v>14.9429</v>
      </c>
      <c r="C1053">
        <v>16</v>
      </c>
      <c r="D1053">
        <v>14.88</v>
      </c>
      <c r="E1053">
        <v>15.9589</v>
      </c>
      <c r="F1053">
        <v>3293876.13</v>
      </c>
      <c r="G1053">
        <v>0</v>
      </c>
      <c r="L1053" t="s">
        <v>8</v>
      </c>
      <c r="M1053" t="s">
        <v>8</v>
      </c>
      <c r="N1053" t="s">
        <v>8</v>
      </c>
      <c r="P1053">
        <f t="shared" si="1024"/>
        <v>0.92660714285714252</v>
      </c>
      <c r="Q1053">
        <f t="shared" si="1025"/>
        <v>3052129.1497446415</v>
      </c>
      <c r="R1053">
        <f t="shared" si="1026"/>
        <v>72147726.708233953</v>
      </c>
      <c r="S1053">
        <f t="shared" si="1027"/>
        <v>721.47726708233949</v>
      </c>
      <c r="T1053">
        <f t="shared" si="1028"/>
        <v>0.7214772670823395</v>
      </c>
    </row>
    <row r="1054" spans="1:20" x14ac:dyDescent="0.25">
      <c r="A1054" s="5">
        <v>43539</v>
      </c>
      <c r="B1054">
        <v>14.8993</v>
      </c>
      <c r="C1054">
        <v>15.199</v>
      </c>
      <c r="D1054">
        <v>14.84</v>
      </c>
      <c r="E1054">
        <v>14.943199999999999</v>
      </c>
      <c r="F1054">
        <v>2986987.69</v>
      </c>
      <c r="G1054">
        <v>0</v>
      </c>
      <c r="L1054" t="s">
        <v>8</v>
      </c>
      <c r="M1054" t="s">
        <v>8</v>
      </c>
      <c r="N1054" t="s">
        <v>8</v>
      </c>
      <c r="P1054">
        <f t="shared" si="1024"/>
        <v>-0.42506963788301227</v>
      </c>
      <c r="Q1054">
        <f t="shared" si="1025"/>
        <v>-1269677.7757493153</v>
      </c>
      <c r="R1054">
        <f t="shared" si="1026"/>
        <v>69095597.558489308</v>
      </c>
      <c r="S1054">
        <f t="shared" si="1027"/>
        <v>690.95597558489305</v>
      </c>
      <c r="T1054">
        <f t="shared" si="1028"/>
        <v>0.69095597558489308</v>
      </c>
    </row>
    <row r="1055" spans="1:20" x14ac:dyDescent="0.25">
      <c r="A1055" s="5">
        <v>43538</v>
      </c>
      <c r="B1055">
        <v>15.0311</v>
      </c>
      <c r="C1055">
        <v>15.097</v>
      </c>
      <c r="D1055">
        <v>14.563000000000001</v>
      </c>
      <c r="E1055">
        <v>14.8901</v>
      </c>
      <c r="F1055">
        <v>3079956.93</v>
      </c>
      <c r="G1055">
        <v>0</v>
      </c>
      <c r="L1055" t="s">
        <v>8</v>
      </c>
      <c r="M1055" t="s">
        <v>8</v>
      </c>
      <c r="N1055" t="s">
        <v>8</v>
      </c>
      <c r="P1055">
        <f t="shared" si="1024"/>
        <v>0.22509363295880294</v>
      </c>
      <c r="Q1055">
        <f t="shared" si="1025"/>
        <v>693278.69473034155</v>
      </c>
      <c r="R1055">
        <f t="shared" si="1026"/>
        <v>70365275.334238619</v>
      </c>
      <c r="S1055">
        <f t="shared" si="1027"/>
        <v>703.65275334238618</v>
      </c>
      <c r="T1055">
        <f t="shared" si="1028"/>
        <v>0.70365275334238619</v>
      </c>
    </row>
    <row r="1056" spans="1:20" x14ac:dyDescent="0.25">
      <c r="A1056" s="5">
        <v>43537</v>
      </c>
      <c r="B1056">
        <v>15.3459</v>
      </c>
      <c r="C1056">
        <v>15.38</v>
      </c>
      <c r="D1056">
        <v>14.933299999999999</v>
      </c>
      <c r="E1056">
        <v>15.0244</v>
      </c>
      <c r="F1056">
        <v>3282883.18</v>
      </c>
      <c r="G1056">
        <v>0</v>
      </c>
      <c r="L1056" t="s">
        <v>8</v>
      </c>
      <c r="M1056" t="s">
        <v>8</v>
      </c>
      <c r="N1056" t="s">
        <v>8</v>
      </c>
      <c r="P1056">
        <f t="shared" si="1024"/>
        <v>-0.59211999104544211</v>
      </c>
      <c r="Q1056">
        <f t="shared" si="1025"/>
        <v>-1943860.7591448326</v>
      </c>
      <c r="R1056">
        <f t="shared" si="1026"/>
        <v>69671996.639508277</v>
      </c>
      <c r="S1056">
        <f t="shared" si="1027"/>
        <v>696.71996639508279</v>
      </c>
      <c r="T1056">
        <f t="shared" si="1028"/>
        <v>0.69671996639508282</v>
      </c>
    </row>
    <row r="1057" spans="1:20" x14ac:dyDescent="0.25">
      <c r="A1057" s="5">
        <v>43536</v>
      </c>
      <c r="B1057">
        <v>14.4133</v>
      </c>
      <c r="C1057">
        <v>15.428800000000001</v>
      </c>
      <c r="D1057">
        <v>14.180899999999999</v>
      </c>
      <c r="E1057">
        <v>15.333299999999999</v>
      </c>
      <c r="F1057">
        <v>4049068.39</v>
      </c>
      <c r="G1057">
        <v>0</v>
      </c>
      <c r="L1057" t="s">
        <v>8</v>
      </c>
      <c r="M1057" t="s">
        <v>8</v>
      </c>
      <c r="N1057" t="s">
        <v>8</v>
      </c>
      <c r="P1057">
        <f t="shared" si="1024"/>
        <v>0.84694286401153751</v>
      </c>
      <c r="Q1057">
        <f t="shared" si="1025"/>
        <v>3429329.5788051854</v>
      </c>
      <c r="R1057">
        <f t="shared" si="1026"/>
        <v>71615857.398653105</v>
      </c>
      <c r="S1057">
        <f t="shared" si="1027"/>
        <v>716.158573986531</v>
      </c>
      <c r="T1057">
        <f t="shared" si="1028"/>
        <v>0.71615857398653104</v>
      </c>
    </row>
    <row r="1058" spans="1:20" x14ac:dyDescent="0.25">
      <c r="A1058" s="5">
        <v>43535</v>
      </c>
      <c r="B1058">
        <v>14.3741</v>
      </c>
      <c r="C1058">
        <v>14.9</v>
      </c>
      <c r="D1058">
        <v>14.010999999999999</v>
      </c>
      <c r="E1058">
        <v>14.414300000000001</v>
      </c>
      <c r="F1058">
        <v>3757653.77</v>
      </c>
      <c r="G1058">
        <v>0</v>
      </c>
      <c r="L1058" t="s">
        <v>8</v>
      </c>
      <c r="M1058" t="s">
        <v>8</v>
      </c>
      <c r="N1058" t="s">
        <v>8</v>
      </c>
      <c r="P1058">
        <f t="shared" si="1024"/>
        <v>-9.2688413948254139E-2</v>
      </c>
      <c r="Q1058">
        <f t="shared" si="1025"/>
        <v>-348290.96810797777</v>
      </c>
      <c r="R1058">
        <f t="shared" si="1026"/>
        <v>68186527.819847926</v>
      </c>
      <c r="S1058">
        <f t="shared" si="1027"/>
        <v>681.86527819847925</v>
      </c>
      <c r="T1058">
        <f t="shared" si="1028"/>
        <v>0.6818652781984792</v>
      </c>
    </row>
    <row r="1059" spans="1:20" x14ac:dyDescent="0.25">
      <c r="A1059" s="5">
        <v>43534</v>
      </c>
      <c r="B1059">
        <v>14.4651</v>
      </c>
      <c r="C1059">
        <v>14.5075</v>
      </c>
      <c r="D1059">
        <v>13.86</v>
      </c>
      <c r="E1059">
        <v>14.3711</v>
      </c>
      <c r="F1059">
        <v>3531708.7</v>
      </c>
      <c r="G1059">
        <v>0</v>
      </c>
      <c r="L1059" t="s">
        <v>7</v>
      </c>
      <c r="M1059" t="s">
        <v>8</v>
      </c>
      <c r="N1059" t="s">
        <v>8</v>
      </c>
      <c r="P1059">
        <f t="shared" si="1024"/>
        <v>0.57868725868725901</v>
      </c>
      <c r="Q1059">
        <f t="shared" si="1025"/>
        <v>2043754.8260849433</v>
      </c>
      <c r="R1059">
        <f t="shared" si="1026"/>
        <v>68534818.78795591</v>
      </c>
      <c r="S1059">
        <f t="shared" si="1027"/>
        <v>685.34818787955908</v>
      </c>
      <c r="T1059">
        <f t="shared" si="1028"/>
        <v>0.68534818787955909</v>
      </c>
    </row>
    <row r="1060" spans="1:20" x14ac:dyDescent="0.25">
      <c r="A1060" s="5">
        <v>43533</v>
      </c>
      <c r="B1060">
        <v>14.284800000000001</v>
      </c>
      <c r="C1060">
        <v>14.92</v>
      </c>
      <c r="D1060">
        <v>13.960900000000001</v>
      </c>
      <c r="E1060">
        <v>14.4651</v>
      </c>
      <c r="F1060">
        <v>3996324.55</v>
      </c>
      <c r="G1060">
        <v>0</v>
      </c>
      <c r="L1060" t="s">
        <v>8</v>
      </c>
      <c r="M1060" t="s">
        <v>8</v>
      </c>
      <c r="N1060" t="s">
        <v>8</v>
      </c>
      <c r="P1060">
        <f t="shared" si="1024"/>
        <v>5.1402356375767719E-2</v>
      </c>
      <c r="Q1060">
        <f t="shared" si="1025"/>
        <v>205420.49871232954</v>
      </c>
      <c r="R1060">
        <f t="shared" si="1026"/>
        <v>66491063.961870961</v>
      </c>
      <c r="S1060">
        <f t="shared" si="1027"/>
        <v>664.91063961870964</v>
      </c>
      <c r="T1060">
        <f t="shared" si="1028"/>
        <v>0.66491063961870966</v>
      </c>
    </row>
    <row r="1061" spans="1:20" x14ac:dyDescent="0.25">
      <c r="A1061" s="5">
        <v>43532</v>
      </c>
      <c r="B1061">
        <v>15.0999</v>
      </c>
      <c r="C1061">
        <v>15.2194</v>
      </c>
      <c r="D1061">
        <v>13.5578</v>
      </c>
      <c r="E1061">
        <v>14.293100000000001</v>
      </c>
      <c r="F1061">
        <v>6343194.0300000003</v>
      </c>
      <c r="G1061">
        <v>0</v>
      </c>
      <c r="L1061" t="s">
        <v>7</v>
      </c>
      <c r="M1061" t="s">
        <v>8</v>
      </c>
      <c r="N1061" t="s">
        <v>8</v>
      </c>
      <c r="P1061">
        <f t="shared" si="1024"/>
        <v>-0.11494944631680246</v>
      </c>
      <c r="Q1061">
        <f t="shared" si="1025"/>
        <v>-729146.64162854687</v>
      </c>
      <c r="R1061">
        <f t="shared" si="1026"/>
        <v>66285643.46315863</v>
      </c>
      <c r="S1061">
        <f t="shared" si="1027"/>
        <v>662.85643463158635</v>
      </c>
      <c r="T1061">
        <f t="shared" si="1028"/>
        <v>0.66285643463158639</v>
      </c>
    </row>
    <row r="1062" spans="1:20" x14ac:dyDescent="0.25">
      <c r="A1062" s="5">
        <v>43531</v>
      </c>
      <c r="B1062">
        <v>14.529</v>
      </c>
      <c r="C1062">
        <v>15.56</v>
      </c>
      <c r="D1062">
        <v>14.327</v>
      </c>
      <c r="E1062">
        <v>15.1</v>
      </c>
      <c r="F1062">
        <v>6757497.3300000001</v>
      </c>
      <c r="G1062">
        <v>0</v>
      </c>
      <c r="L1062" t="s">
        <v>8</v>
      </c>
      <c r="M1062" t="s">
        <v>8</v>
      </c>
      <c r="N1062" t="s">
        <v>8</v>
      </c>
      <c r="P1062">
        <f t="shared" si="1024"/>
        <v>0.25385239253852288</v>
      </c>
      <c r="Q1062">
        <f t="shared" si="1025"/>
        <v>1715406.8647931803</v>
      </c>
      <c r="R1062">
        <f t="shared" si="1026"/>
        <v>67014790.104787178</v>
      </c>
      <c r="S1062">
        <f t="shared" si="1027"/>
        <v>670.14790104787176</v>
      </c>
      <c r="T1062">
        <f t="shared" si="1028"/>
        <v>0.67014790104787181</v>
      </c>
    </row>
    <row r="1063" spans="1:20" x14ac:dyDescent="0.25">
      <c r="A1063" s="5">
        <v>43530</v>
      </c>
      <c r="B1063">
        <v>13.622999999999999</v>
      </c>
      <c r="C1063">
        <v>14.663</v>
      </c>
      <c r="D1063">
        <v>12.9</v>
      </c>
      <c r="E1063">
        <v>14.529400000000001</v>
      </c>
      <c r="F1063">
        <v>6158611.9699999997</v>
      </c>
      <c r="G1063">
        <v>0</v>
      </c>
      <c r="L1063" t="s">
        <v>8</v>
      </c>
      <c r="M1063" t="s">
        <v>8</v>
      </c>
      <c r="N1063" t="s">
        <v>8</v>
      </c>
      <c r="P1063">
        <f t="shared" si="1024"/>
        <v>0.84844015882019341</v>
      </c>
      <c r="Q1063">
        <f t="shared" si="1025"/>
        <v>5225213.7179387445</v>
      </c>
      <c r="R1063">
        <f t="shared" si="1026"/>
        <v>65299383.239993997</v>
      </c>
      <c r="S1063">
        <f t="shared" si="1027"/>
        <v>652.99383239993995</v>
      </c>
      <c r="T1063">
        <f t="shared" si="1028"/>
        <v>0.65299383239993991</v>
      </c>
    </row>
    <row r="1064" spans="1:20" x14ac:dyDescent="0.25">
      <c r="A1064" s="5">
        <v>43529</v>
      </c>
      <c r="B1064">
        <v>11.404999999999999</v>
      </c>
      <c r="C1064">
        <v>13.75</v>
      </c>
      <c r="D1064">
        <v>11.395</v>
      </c>
      <c r="E1064">
        <v>13.6229</v>
      </c>
      <c r="F1064">
        <v>8340655.3200000003</v>
      </c>
      <c r="G1064">
        <v>0</v>
      </c>
      <c r="L1064" t="s">
        <v>8</v>
      </c>
      <c r="M1064" t="s">
        <v>8</v>
      </c>
      <c r="N1064" t="s">
        <v>8</v>
      </c>
      <c r="P1064">
        <f t="shared" si="1024"/>
        <v>0.89205944798301451</v>
      </c>
      <c r="Q1064">
        <f t="shared" si="1025"/>
        <v>7440360.3805757938</v>
      </c>
      <c r="R1064">
        <f t="shared" si="1026"/>
        <v>60074169.522055253</v>
      </c>
      <c r="S1064">
        <f t="shared" si="1027"/>
        <v>600.74169522055251</v>
      </c>
      <c r="T1064">
        <f t="shared" si="1028"/>
        <v>0.60074169522055254</v>
      </c>
    </row>
    <row r="1065" spans="1:20" x14ac:dyDescent="0.25">
      <c r="A1065" s="5">
        <v>43528</v>
      </c>
      <c r="B1065">
        <v>11.4511</v>
      </c>
      <c r="C1065">
        <v>11.507999999999999</v>
      </c>
      <c r="D1065">
        <v>10.85</v>
      </c>
      <c r="E1065">
        <v>11.400600000000001</v>
      </c>
      <c r="F1065">
        <v>2739049.08</v>
      </c>
      <c r="G1065">
        <v>0</v>
      </c>
      <c r="L1065" t="s">
        <v>7</v>
      </c>
      <c r="M1065" t="s">
        <v>8</v>
      </c>
      <c r="N1065" t="s">
        <v>8</v>
      </c>
      <c r="P1065">
        <f t="shared" si="1024"/>
        <v>0.67355623100304418</v>
      </c>
      <c r="Q1065">
        <f t="shared" si="1025"/>
        <v>1844903.5748571558</v>
      </c>
      <c r="R1065">
        <f t="shared" si="1026"/>
        <v>52633809.141479462</v>
      </c>
      <c r="S1065">
        <f t="shared" si="1027"/>
        <v>526.33809141479458</v>
      </c>
      <c r="T1065">
        <f t="shared" si="1028"/>
        <v>0.5263380914147946</v>
      </c>
    </row>
    <row r="1066" spans="1:20" x14ac:dyDescent="0.25">
      <c r="A1066" s="5">
        <v>43527</v>
      </c>
      <c r="B1066">
        <v>11.756399999999999</v>
      </c>
      <c r="C1066">
        <v>11.870100000000001</v>
      </c>
      <c r="D1066">
        <v>11.190200000000001</v>
      </c>
      <c r="E1066">
        <v>11.4511</v>
      </c>
      <c r="F1066">
        <v>2853200.15</v>
      </c>
      <c r="G1066">
        <v>0</v>
      </c>
      <c r="L1066" t="s">
        <v>8</v>
      </c>
      <c r="M1066" t="s">
        <v>8</v>
      </c>
      <c r="N1066" t="s">
        <v>8</v>
      </c>
      <c r="P1066">
        <f t="shared" si="1024"/>
        <v>-0.23253419620532584</v>
      </c>
      <c r="Q1066">
        <f t="shared" si="1025"/>
        <v>-663466.60349316511</v>
      </c>
      <c r="R1066">
        <f t="shared" si="1026"/>
        <v>50788905.566622309</v>
      </c>
      <c r="S1066">
        <f t="shared" si="1027"/>
        <v>507.8890556662231</v>
      </c>
      <c r="T1066">
        <f t="shared" si="1028"/>
        <v>0.50788905566622311</v>
      </c>
    </row>
    <row r="1067" spans="1:20" x14ac:dyDescent="0.25">
      <c r="A1067" s="5">
        <v>43526</v>
      </c>
      <c r="B1067">
        <v>11.3353</v>
      </c>
      <c r="C1067">
        <v>11.8</v>
      </c>
      <c r="D1067">
        <v>10.8</v>
      </c>
      <c r="E1067">
        <v>11.756600000000001</v>
      </c>
      <c r="F1067">
        <v>3893847.16</v>
      </c>
      <c r="G1067">
        <v>0</v>
      </c>
      <c r="L1067" t="s">
        <v>8</v>
      </c>
      <c r="M1067" t="s">
        <v>8</v>
      </c>
      <c r="N1067" t="s">
        <v>8</v>
      </c>
      <c r="P1067">
        <f t="shared" si="1024"/>
        <v>0.91319999999999979</v>
      </c>
      <c r="Q1067">
        <f t="shared" si="1025"/>
        <v>3555861.2265119995</v>
      </c>
      <c r="R1067">
        <f t="shared" si="1026"/>
        <v>51452372.170115471</v>
      </c>
      <c r="S1067">
        <f t="shared" si="1027"/>
        <v>514.52372170115473</v>
      </c>
      <c r="T1067">
        <f t="shared" si="1028"/>
        <v>0.51452372170115468</v>
      </c>
    </row>
    <row r="1068" spans="1:20" x14ac:dyDescent="0.25">
      <c r="A1068" s="5">
        <v>43525</v>
      </c>
      <c r="B1068">
        <v>10.277699999999999</v>
      </c>
      <c r="C1068">
        <v>11.551</v>
      </c>
      <c r="D1068">
        <v>10.2067</v>
      </c>
      <c r="E1068">
        <v>11.3111</v>
      </c>
      <c r="F1068">
        <v>4025695.97</v>
      </c>
      <c r="G1068">
        <v>0</v>
      </c>
      <c r="L1068" t="s">
        <v>8</v>
      </c>
      <c r="M1068" t="s">
        <v>8</v>
      </c>
      <c r="N1068" t="s">
        <v>8</v>
      </c>
      <c r="P1068">
        <f t="shared" si="1024"/>
        <v>0.64308562076917297</v>
      </c>
      <c r="Q1068">
        <f t="shared" si="1025"/>
        <v>2588867.1918954081</v>
      </c>
      <c r="R1068">
        <f t="shared" si="1026"/>
        <v>47896510.943603471</v>
      </c>
      <c r="S1068">
        <f t="shared" si="1027"/>
        <v>478.96510943603471</v>
      </c>
      <c r="T1068">
        <f t="shared" si="1028"/>
        <v>0.47896510943603471</v>
      </c>
    </row>
    <row r="1069" spans="1:20" x14ac:dyDescent="0.25">
      <c r="A1069" s="5">
        <v>43524</v>
      </c>
      <c r="B1069">
        <v>9.8501999999999992</v>
      </c>
      <c r="C1069">
        <v>10.491400000000001</v>
      </c>
      <c r="D1069">
        <v>9.7898999999999994</v>
      </c>
      <c r="E1069">
        <v>10.277900000000001</v>
      </c>
      <c r="F1069">
        <v>3693794.54</v>
      </c>
      <c r="G1069">
        <v>0</v>
      </c>
      <c r="L1069" t="s">
        <v>8</v>
      </c>
      <c r="M1069" t="s">
        <v>7</v>
      </c>
      <c r="N1069" t="s">
        <v>8</v>
      </c>
      <c r="P1069">
        <f t="shared" si="1024"/>
        <v>0.39130434782608847</v>
      </c>
      <c r="Q1069">
        <f t="shared" si="1025"/>
        <v>1445397.8634782664</v>
      </c>
      <c r="R1069">
        <f t="shared" si="1026"/>
        <v>45307643.751708061</v>
      </c>
      <c r="S1069">
        <f t="shared" si="1027"/>
        <v>453.07643751708059</v>
      </c>
      <c r="T1069">
        <f t="shared" si="1028"/>
        <v>0.4530764375170806</v>
      </c>
    </row>
    <row r="1070" spans="1:20" x14ac:dyDescent="0.25">
      <c r="A1070" s="5">
        <v>43523</v>
      </c>
      <c r="B1070">
        <v>9.4238</v>
      </c>
      <c r="C1070">
        <v>9.9998000000000005</v>
      </c>
      <c r="D1070">
        <v>9.35</v>
      </c>
      <c r="E1070">
        <v>9.8467000000000002</v>
      </c>
      <c r="F1070">
        <v>3524897.35</v>
      </c>
      <c r="G1070">
        <v>0</v>
      </c>
      <c r="L1070" t="s">
        <v>8</v>
      </c>
      <c r="M1070" t="s">
        <v>7</v>
      </c>
      <c r="N1070" t="s">
        <v>8</v>
      </c>
      <c r="P1070">
        <f t="shared" si="1024"/>
        <v>0.528778085564789</v>
      </c>
      <c r="Q1070">
        <f t="shared" si="1025"/>
        <v>1863888.4725453982</v>
      </c>
      <c r="R1070">
        <f t="shared" si="1026"/>
        <v>43862245.888229795</v>
      </c>
      <c r="S1070">
        <f t="shared" si="1027"/>
        <v>438.62245888229796</v>
      </c>
      <c r="T1070">
        <f t="shared" si="1028"/>
        <v>0.43862245888229795</v>
      </c>
    </row>
    <row r="1071" spans="1:20" x14ac:dyDescent="0.25">
      <c r="A1071" s="5">
        <v>43522</v>
      </c>
      <c r="B1071">
        <v>9.6966999999999999</v>
      </c>
      <c r="C1071">
        <v>9.7556999999999992</v>
      </c>
      <c r="D1071">
        <v>9.3551000000000002</v>
      </c>
      <c r="E1071">
        <v>9.4168000000000003</v>
      </c>
      <c r="F1071">
        <v>3118340.95</v>
      </c>
      <c r="G1071">
        <v>0</v>
      </c>
      <c r="L1071" t="s">
        <v>7</v>
      </c>
      <c r="M1071" t="s">
        <v>7</v>
      </c>
      <c r="N1071" t="s">
        <v>8</v>
      </c>
      <c r="P1071">
        <f t="shared" si="1024"/>
        <v>-0.69196205691462687</v>
      </c>
      <c r="Q1071">
        <f t="shared" si="1025"/>
        <v>-2157773.6179231117</v>
      </c>
      <c r="R1071">
        <f t="shared" si="1026"/>
        <v>41998357.415684395</v>
      </c>
      <c r="S1071">
        <f t="shared" si="1027"/>
        <v>419.98357415684393</v>
      </c>
      <c r="T1071">
        <f t="shared" si="1028"/>
        <v>0.41998357415684395</v>
      </c>
    </row>
    <row r="1072" spans="1:20" x14ac:dyDescent="0.25">
      <c r="A1072" s="5">
        <v>43521</v>
      </c>
      <c r="B1072">
        <v>9.9442000000000004</v>
      </c>
      <c r="C1072">
        <v>10.2361</v>
      </c>
      <c r="D1072">
        <v>9.2684999999999995</v>
      </c>
      <c r="E1072">
        <v>9.6966999999999999</v>
      </c>
      <c r="F1072">
        <v>5348579.57</v>
      </c>
      <c r="G1072">
        <v>0</v>
      </c>
      <c r="L1072" t="s">
        <v>7</v>
      </c>
      <c r="M1072" t="s">
        <v>7</v>
      </c>
      <c r="N1072" t="s">
        <v>8</v>
      </c>
      <c r="P1072">
        <f t="shared" si="1024"/>
        <v>-0.11492352211657718</v>
      </c>
      <c r="Q1072">
        <f t="shared" si="1025"/>
        <v>-614677.60250516795</v>
      </c>
      <c r="R1072">
        <f t="shared" si="1026"/>
        <v>44156131.033607505</v>
      </c>
      <c r="S1072">
        <f t="shared" si="1027"/>
        <v>441.56131033607505</v>
      </c>
      <c r="T1072">
        <f t="shared" si="1028"/>
        <v>0.44156131033607504</v>
      </c>
    </row>
    <row r="1073" spans="1:20" x14ac:dyDescent="0.25">
      <c r="A1073" s="5">
        <v>43520</v>
      </c>
      <c r="B1073">
        <v>10.726699999999999</v>
      </c>
      <c r="C1073">
        <v>11.09</v>
      </c>
      <c r="D1073">
        <v>9.3901000000000003</v>
      </c>
      <c r="E1073">
        <v>9.9475999999999996</v>
      </c>
      <c r="F1073">
        <v>4800152.25</v>
      </c>
      <c r="G1073">
        <v>0</v>
      </c>
      <c r="L1073" t="s">
        <v>8</v>
      </c>
      <c r="M1073" t="s">
        <v>7</v>
      </c>
      <c r="N1073" t="s">
        <v>8</v>
      </c>
      <c r="P1073">
        <f t="shared" si="1024"/>
        <v>-0.34407906347432277</v>
      </c>
      <c r="Q1073">
        <f t="shared" si="1025"/>
        <v>-1651631.8907141632</v>
      </c>
      <c r="R1073">
        <f t="shared" si="1026"/>
        <v>44770808.636112675</v>
      </c>
      <c r="S1073">
        <f t="shared" si="1027"/>
        <v>447.70808636112673</v>
      </c>
      <c r="T1073">
        <f t="shared" si="1028"/>
        <v>0.44770808636112674</v>
      </c>
    </row>
    <row r="1074" spans="1:20" x14ac:dyDescent="0.25">
      <c r="A1074" s="5">
        <v>43519</v>
      </c>
      <c r="B1074">
        <v>10.757199999999999</v>
      </c>
      <c r="C1074">
        <v>10.85</v>
      </c>
      <c r="D1074">
        <v>10.4</v>
      </c>
      <c r="E1074">
        <v>10.7265</v>
      </c>
      <c r="F1074">
        <v>2877713.15</v>
      </c>
      <c r="G1074">
        <v>0</v>
      </c>
      <c r="L1074" t="s">
        <v>8</v>
      </c>
      <c r="M1074" t="s">
        <v>8</v>
      </c>
      <c r="N1074" t="s">
        <v>8</v>
      </c>
      <c r="P1074">
        <f t="shared" si="1024"/>
        <v>0.45111111111111052</v>
      </c>
      <c r="Q1074">
        <f t="shared" si="1025"/>
        <v>1298168.3765555539</v>
      </c>
      <c r="R1074">
        <f t="shared" si="1026"/>
        <v>46422440.526826836</v>
      </c>
      <c r="S1074">
        <f t="shared" si="1027"/>
        <v>464.22440526826836</v>
      </c>
      <c r="T1074">
        <f t="shared" si="1028"/>
        <v>0.46422440526826836</v>
      </c>
    </row>
    <row r="1075" spans="1:20" x14ac:dyDescent="0.25">
      <c r="A1075" s="5">
        <v>43518</v>
      </c>
      <c r="B1075">
        <v>10.4695</v>
      </c>
      <c r="C1075">
        <v>10.9611</v>
      </c>
      <c r="D1075">
        <v>10.379899999999999</v>
      </c>
      <c r="E1075">
        <v>10.7576</v>
      </c>
      <c r="F1075">
        <v>3038507.76</v>
      </c>
      <c r="G1075">
        <v>0</v>
      </c>
      <c r="L1075" t="s">
        <v>8</v>
      </c>
      <c r="M1075" t="s">
        <v>8</v>
      </c>
      <c r="N1075" t="s">
        <v>8</v>
      </c>
      <c r="P1075">
        <f t="shared" si="1024"/>
        <v>0.29972470750172153</v>
      </c>
      <c r="Q1075">
        <f t="shared" si="1025"/>
        <v>910715.84960771108</v>
      </c>
      <c r="R1075">
        <f t="shared" si="1026"/>
        <v>45124272.150271282</v>
      </c>
      <c r="S1075">
        <f t="shared" si="1027"/>
        <v>451.24272150271281</v>
      </c>
      <c r="T1075">
        <f t="shared" si="1028"/>
        <v>0.45124272150271283</v>
      </c>
    </row>
    <row r="1076" spans="1:20" x14ac:dyDescent="0.25">
      <c r="A1076" s="5">
        <v>43517</v>
      </c>
      <c r="B1076">
        <v>10.9199</v>
      </c>
      <c r="C1076">
        <v>10.936</v>
      </c>
      <c r="D1076">
        <v>10.130000000000001</v>
      </c>
      <c r="E1076">
        <v>10.466100000000001</v>
      </c>
      <c r="F1076">
        <v>3077022.99</v>
      </c>
      <c r="G1076">
        <v>0</v>
      </c>
      <c r="L1076" t="s">
        <v>7</v>
      </c>
      <c r="M1076" t="s">
        <v>8</v>
      </c>
      <c r="N1076" t="s">
        <v>8</v>
      </c>
      <c r="P1076">
        <f t="shared" si="1024"/>
        <v>-0.1660049627791553</v>
      </c>
      <c r="Q1076">
        <f t="shared" si="1025"/>
        <v>-510801.0869255552</v>
      </c>
      <c r="R1076">
        <f t="shared" si="1026"/>
        <v>44213556.300663568</v>
      </c>
      <c r="S1076">
        <f t="shared" si="1027"/>
        <v>442.13556300663566</v>
      </c>
      <c r="T1076">
        <f t="shared" si="1028"/>
        <v>0.44213556300663565</v>
      </c>
    </row>
    <row r="1077" spans="1:20" x14ac:dyDescent="0.25">
      <c r="A1077" s="5">
        <v>43516</v>
      </c>
      <c r="B1077">
        <v>10.4687</v>
      </c>
      <c r="C1077">
        <v>11.2951</v>
      </c>
      <c r="D1077">
        <v>10.392799999999999</v>
      </c>
      <c r="E1077">
        <v>10.921099999999999</v>
      </c>
      <c r="F1077">
        <v>4346711.07</v>
      </c>
      <c r="G1077">
        <v>0</v>
      </c>
      <c r="L1077" t="s">
        <v>8</v>
      </c>
      <c r="M1077" t="s">
        <v>8</v>
      </c>
      <c r="N1077" t="s">
        <v>8</v>
      </c>
      <c r="P1077">
        <f t="shared" si="1024"/>
        <v>0.17100742546824688</v>
      </c>
      <c r="Q1077">
        <f t="shared" si="1025"/>
        <v>743319.86933502869</v>
      </c>
      <c r="R1077">
        <f t="shared" si="1026"/>
        <v>44724357.387589127</v>
      </c>
      <c r="S1077">
        <f t="shared" si="1027"/>
        <v>447.24357387589129</v>
      </c>
      <c r="T1077">
        <f t="shared" si="1028"/>
        <v>0.44724357387589131</v>
      </c>
    </row>
    <row r="1078" spans="1:20" x14ac:dyDescent="0.25">
      <c r="A1078" s="5">
        <v>43515</v>
      </c>
      <c r="B1078">
        <v>9.6127000000000002</v>
      </c>
      <c r="C1078">
        <v>11.130699999999999</v>
      </c>
      <c r="D1078">
        <v>9.4809999999999999</v>
      </c>
      <c r="E1078">
        <v>10.472799999999999</v>
      </c>
      <c r="F1078">
        <v>4894965.38</v>
      </c>
      <c r="G1078">
        <v>0</v>
      </c>
      <c r="L1078" t="s">
        <v>8</v>
      </c>
      <c r="M1078" t="s">
        <v>8</v>
      </c>
      <c r="N1078" t="s">
        <v>8</v>
      </c>
      <c r="P1078">
        <f t="shared" si="1024"/>
        <v>0.20240043644298963</v>
      </c>
      <c r="Q1078">
        <f t="shared" si="1025"/>
        <v>990743.1292853246</v>
      </c>
      <c r="R1078">
        <f t="shared" si="1026"/>
        <v>43981037.518254101</v>
      </c>
      <c r="S1078">
        <f t="shared" si="1027"/>
        <v>439.81037518254101</v>
      </c>
      <c r="T1078">
        <f t="shared" si="1028"/>
        <v>0.43981037518254101</v>
      </c>
    </row>
    <row r="1079" spans="1:20" x14ac:dyDescent="0.25">
      <c r="A1079" s="5">
        <v>43514</v>
      </c>
      <c r="B1079">
        <v>9.2166999999999994</v>
      </c>
      <c r="C1079">
        <v>9.6998999999999995</v>
      </c>
      <c r="D1079">
        <v>9.1776999999999997</v>
      </c>
      <c r="E1079">
        <v>9.6127000000000002</v>
      </c>
      <c r="F1079">
        <v>2809984.65</v>
      </c>
      <c r="G1079">
        <v>0</v>
      </c>
      <c r="L1079" t="s">
        <v>8</v>
      </c>
      <c r="M1079" t="s">
        <v>8</v>
      </c>
      <c r="N1079" t="s">
        <v>8</v>
      </c>
      <c r="P1079">
        <f t="shared" si="1024"/>
        <v>0.66602834163156144</v>
      </c>
      <c r="Q1079">
        <f t="shared" si="1025"/>
        <v>1871529.4164496434</v>
      </c>
      <c r="R1079">
        <f t="shared" si="1026"/>
        <v>42990294.388968773</v>
      </c>
      <c r="S1079">
        <f t="shared" si="1027"/>
        <v>429.90294388968772</v>
      </c>
      <c r="T1079">
        <f t="shared" si="1028"/>
        <v>0.42990294388968769</v>
      </c>
    </row>
    <row r="1080" spans="1:20" x14ac:dyDescent="0.25">
      <c r="A1080" s="5">
        <v>43513</v>
      </c>
      <c r="B1080">
        <v>9.0972000000000008</v>
      </c>
      <c r="C1080">
        <v>9.2200000000000006</v>
      </c>
      <c r="D1080">
        <v>8.8902999999999999</v>
      </c>
      <c r="E1080">
        <v>9.2200000000000006</v>
      </c>
      <c r="F1080">
        <v>2460188.81</v>
      </c>
      <c r="G1080">
        <v>0</v>
      </c>
      <c r="L1080" t="s">
        <v>8</v>
      </c>
      <c r="M1080" t="s">
        <v>8</v>
      </c>
      <c r="N1080" t="s">
        <v>8</v>
      </c>
      <c r="P1080">
        <f t="shared" si="1024"/>
        <v>1</v>
      </c>
      <c r="Q1080">
        <f t="shared" si="1025"/>
        <v>2460188.81</v>
      </c>
      <c r="R1080">
        <f t="shared" si="1026"/>
        <v>41118764.97251913</v>
      </c>
      <c r="S1080">
        <f t="shared" si="1027"/>
        <v>411.18764972519131</v>
      </c>
      <c r="T1080">
        <f t="shared" si="1028"/>
        <v>0.41118764972519128</v>
      </c>
    </row>
    <row r="1081" spans="1:20" x14ac:dyDescent="0.25">
      <c r="A1081" s="5">
        <v>43512</v>
      </c>
      <c r="B1081">
        <v>9.2853999999999992</v>
      </c>
      <c r="C1081">
        <v>9.3399000000000001</v>
      </c>
      <c r="D1081">
        <v>9.048</v>
      </c>
      <c r="E1081">
        <v>9.1087000000000007</v>
      </c>
      <c r="F1081">
        <v>2499086.4</v>
      </c>
      <c r="G1081">
        <v>0</v>
      </c>
      <c r="L1081" t="s">
        <v>8</v>
      </c>
      <c r="M1081" t="s">
        <v>8</v>
      </c>
      <c r="N1081" t="s">
        <v>8</v>
      </c>
      <c r="P1081">
        <f t="shared" si="1024"/>
        <v>-0.58410414525522003</v>
      </c>
      <c r="Q1081">
        <f t="shared" si="1025"/>
        <v>-1459726.7255909448</v>
      </c>
      <c r="R1081">
        <f t="shared" si="1026"/>
        <v>38658576.162519127</v>
      </c>
      <c r="S1081">
        <f t="shared" si="1027"/>
        <v>386.58576162519125</v>
      </c>
      <c r="T1081">
        <f t="shared" si="1028"/>
        <v>0.38658576162519126</v>
      </c>
    </row>
    <row r="1082" spans="1:20" x14ac:dyDescent="0.25">
      <c r="A1082" s="5">
        <v>43511</v>
      </c>
      <c r="B1082">
        <v>8.7636000000000003</v>
      </c>
      <c r="C1082">
        <v>9.4997000000000007</v>
      </c>
      <c r="D1082">
        <v>8.7293000000000003</v>
      </c>
      <c r="E1082">
        <v>9.2911000000000001</v>
      </c>
      <c r="F1082">
        <v>3326003.04</v>
      </c>
      <c r="G1082">
        <v>0</v>
      </c>
      <c r="L1082" t="s">
        <v>8</v>
      </c>
      <c r="M1082" t="s">
        <v>8</v>
      </c>
      <c r="N1082" t="s">
        <v>8</v>
      </c>
      <c r="P1082">
        <f t="shared" si="1024"/>
        <v>0.4584631360332283</v>
      </c>
      <c r="Q1082">
        <f t="shared" si="1025"/>
        <v>1524849.7841744509</v>
      </c>
      <c r="R1082">
        <f t="shared" si="1026"/>
        <v>40118302.888110071</v>
      </c>
      <c r="S1082">
        <f t="shared" si="1027"/>
        <v>401.18302888110071</v>
      </c>
      <c r="T1082">
        <f t="shared" si="1028"/>
        <v>0.40118302888110069</v>
      </c>
    </row>
    <row r="1083" spans="1:20" x14ac:dyDescent="0.25">
      <c r="A1083" s="5">
        <v>43510</v>
      </c>
      <c r="B1083">
        <v>8.9164999999999992</v>
      </c>
      <c r="C1083">
        <v>9.0500000000000007</v>
      </c>
      <c r="D1083">
        <v>8.4050999999999991</v>
      </c>
      <c r="E1083">
        <v>8.7654999999999994</v>
      </c>
      <c r="F1083">
        <v>2803390.01</v>
      </c>
      <c r="G1083">
        <v>0</v>
      </c>
      <c r="L1083" t="s">
        <v>7</v>
      </c>
      <c r="M1083" t="s">
        <v>8</v>
      </c>
      <c r="N1083" t="s">
        <v>8</v>
      </c>
      <c r="P1083">
        <f t="shared" si="1024"/>
        <v>0.11769266552953757</v>
      </c>
      <c r="Q1083">
        <f t="shared" si="1025"/>
        <v>329938.44279577694</v>
      </c>
      <c r="R1083">
        <f t="shared" si="1026"/>
        <v>38593453.103935622</v>
      </c>
      <c r="S1083">
        <f t="shared" si="1027"/>
        <v>385.93453103935622</v>
      </c>
      <c r="T1083">
        <f t="shared" si="1028"/>
        <v>0.38593453103935621</v>
      </c>
    </row>
    <row r="1084" spans="1:20" x14ac:dyDescent="0.25">
      <c r="A1084" s="5">
        <v>43509</v>
      </c>
      <c r="B1084">
        <v>9.2763000000000009</v>
      </c>
      <c r="C1084">
        <v>9.2763000000000009</v>
      </c>
      <c r="D1084">
        <v>8.7100000000000009</v>
      </c>
      <c r="E1084">
        <v>8.9102999999999994</v>
      </c>
      <c r="F1084">
        <v>4005598.1</v>
      </c>
      <c r="G1084">
        <v>0</v>
      </c>
      <c r="L1084" t="s">
        <v>7</v>
      </c>
      <c r="M1084" t="s">
        <v>8</v>
      </c>
      <c r="N1084" t="s">
        <v>8</v>
      </c>
      <c r="P1084">
        <f t="shared" si="1024"/>
        <v>-0.29260109482606894</v>
      </c>
      <c r="Q1084">
        <f t="shared" si="1025"/>
        <v>-1172042.3894932216</v>
      </c>
      <c r="R1084">
        <f t="shared" si="1026"/>
        <v>38263514.661139846</v>
      </c>
      <c r="S1084">
        <f t="shared" si="1027"/>
        <v>382.63514661139845</v>
      </c>
      <c r="T1084">
        <f t="shared" si="1028"/>
        <v>0.38263514661139847</v>
      </c>
    </row>
    <row r="1085" spans="1:20" x14ac:dyDescent="0.25">
      <c r="A1085" s="5">
        <v>43508</v>
      </c>
      <c r="B1085">
        <v>9.5250000000000004</v>
      </c>
      <c r="C1085">
        <v>9.9</v>
      </c>
      <c r="D1085">
        <v>8.9209999999999994</v>
      </c>
      <c r="E1085">
        <v>9.2765000000000004</v>
      </c>
      <c r="F1085">
        <v>4945231.46</v>
      </c>
      <c r="G1085">
        <v>0</v>
      </c>
      <c r="L1085" t="s">
        <v>7</v>
      </c>
      <c r="M1085" t="s">
        <v>8</v>
      </c>
      <c r="N1085" t="s">
        <v>8</v>
      </c>
      <c r="P1085">
        <f t="shared" si="1024"/>
        <v>-0.27374872318692406</v>
      </c>
      <c r="Q1085">
        <f t="shared" si="1025"/>
        <v>-1353750.7980388084</v>
      </c>
      <c r="R1085">
        <f t="shared" si="1026"/>
        <v>39435557.050633065</v>
      </c>
      <c r="S1085">
        <f t="shared" si="1027"/>
        <v>394.35557050633065</v>
      </c>
      <c r="T1085">
        <f t="shared" si="1028"/>
        <v>0.39435557050633063</v>
      </c>
    </row>
    <row r="1086" spans="1:20" x14ac:dyDescent="0.25">
      <c r="A1086" s="5">
        <v>43507</v>
      </c>
      <c r="B1086">
        <v>9.1694999999999993</v>
      </c>
      <c r="C1086">
        <v>9.7780000000000005</v>
      </c>
      <c r="D1086">
        <v>9.01</v>
      </c>
      <c r="E1086">
        <v>9.5288000000000004</v>
      </c>
      <c r="F1086">
        <v>6041136.0700000003</v>
      </c>
      <c r="G1086">
        <v>0</v>
      </c>
      <c r="L1086" t="s">
        <v>8</v>
      </c>
      <c r="M1086" t="s">
        <v>8</v>
      </c>
      <c r="N1086" t="s">
        <v>8</v>
      </c>
      <c r="P1086">
        <f t="shared" si="1024"/>
        <v>0.35104166666666703</v>
      </c>
      <c r="Q1086">
        <f t="shared" si="1025"/>
        <v>2120690.4745729188</v>
      </c>
      <c r="R1086">
        <f t="shared" si="1026"/>
        <v>40789307.848671876</v>
      </c>
      <c r="S1086">
        <f t="shared" si="1027"/>
        <v>407.89307848671876</v>
      </c>
      <c r="T1086">
        <f t="shared" si="1028"/>
        <v>0.40789307848671874</v>
      </c>
    </row>
    <row r="1087" spans="1:20" x14ac:dyDescent="0.25">
      <c r="A1087" s="5">
        <v>43506</v>
      </c>
      <c r="B1087">
        <v>8.9001000000000001</v>
      </c>
      <c r="C1087">
        <v>9.2998999999999992</v>
      </c>
      <c r="D1087">
        <v>8.8263999999999996</v>
      </c>
      <c r="E1087">
        <v>9.1697000000000006</v>
      </c>
      <c r="F1087">
        <v>5750442.0599999996</v>
      </c>
      <c r="G1087">
        <v>0</v>
      </c>
      <c r="L1087" t="s">
        <v>8</v>
      </c>
      <c r="M1087" t="s">
        <v>8</v>
      </c>
      <c r="N1087" t="s">
        <v>8</v>
      </c>
      <c r="P1087">
        <f t="shared" ref="P1087:P1150" si="1029">IF(C1087=D1087,0,((E1087-D1087)-(C1087-E1087))/(C1087-D1087))</f>
        <v>0.45005279831045975</v>
      </c>
      <c r="Q1087">
        <f t="shared" ref="Q1087:Q1150" si="1030">F1087*P1087</f>
        <v>2588002.5406251643</v>
      </c>
      <c r="R1087">
        <f t="shared" ref="R1087:R1150" si="1031">R1088+Q1087</f>
        <v>38668617.374098957</v>
      </c>
      <c r="S1087">
        <f t="shared" ref="S1087:S1150" si="1032">R1087/100000</f>
        <v>386.68617374098955</v>
      </c>
      <c r="T1087">
        <f t="shared" ref="T1087:T1150" si="1033">S1087/1000</f>
        <v>0.38668617374098957</v>
      </c>
    </row>
    <row r="1088" spans="1:20" x14ac:dyDescent="0.25">
      <c r="A1088" s="5">
        <v>43505</v>
      </c>
      <c r="B1088">
        <v>8.5972000000000008</v>
      </c>
      <c r="C1088">
        <v>8.9209999999999994</v>
      </c>
      <c r="D1088">
        <v>8.4052000000000007</v>
      </c>
      <c r="E1088">
        <v>8.9050999999999991</v>
      </c>
      <c r="F1088">
        <v>5440051.1100000003</v>
      </c>
      <c r="G1088">
        <v>0</v>
      </c>
      <c r="L1088" t="s">
        <v>8</v>
      </c>
      <c r="M1088" t="s">
        <v>8</v>
      </c>
      <c r="N1088" t="s">
        <v>8</v>
      </c>
      <c r="P1088">
        <f t="shared" si="1029"/>
        <v>0.93834819697557081</v>
      </c>
      <c r="Q1088">
        <f t="shared" si="1030"/>
        <v>5104662.150523453</v>
      </c>
      <c r="R1088">
        <f t="shared" si="1031"/>
        <v>36080614.833473794</v>
      </c>
      <c r="S1088">
        <f t="shared" si="1032"/>
        <v>360.80614833473794</v>
      </c>
      <c r="T1088">
        <f t="shared" si="1033"/>
        <v>0.36080614833473795</v>
      </c>
    </row>
    <row r="1089" spans="1:20" x14ac:dyDescent="0.25">
      <c r="A1089" s="5">
        <v>43504</v>
      </c>
      <c r="B1089">
        <v>7.8070000000000004</v>
      </c>
      <c r="C1089">
        <v>8.8386999999999993</v>
      </c>
      <c r="D1089">
        <v>7.61</v>
      </c>
      <c r="E1089">
        <v>8.5972000000000008</v>
      </c>
      <c r="F1089">
        <v>4960284.84</v>
      </c>
      <c r="G1089">
        <v>0</v>
      </c>
      <c r="L1089" t="s">
        <v>8</v>
      </c>
      <c r="M1089" t="s">
        <v>8</v>
      </c>
      <c r="N1089" t="s">
        <v>8</v>
      </c>
      <c r="P1089">
        <f t="shared" si="1029"/>
        <v>0.60690160332058485</v>
      </c>
      <c r="Q1089">
        <f t="shared" si="1030"/>
        <v>3010404.8223227905</v>
      </c>
      <c r="R1089">
        <f t="shared" si="1031"/>
        <v>30975952.682950344</v>
      </c>
      <c r="S1089">
        <f t="shared" si="1032"/>
        <v>309.75952682950344</v>
      </c>
      <c r="T1089">
        <f t="shared" si="1033"/>
        <v>0.30975952682950342</v>
      </c>
    </row>
    <row r="1090" spans="1:20" x14ac:dyDescent="0.25">
      <c r="A1090" s="5">
        <v>43503</v>
      </c>
      <c r="B1090">
        <v>8.1347000000000005</v>
      </c>
      <c r="C1090">
        <v>8.4665999999999997</v>
      </c>
      <c r="D1090">
        <v>7.6733000000000002</v>
      </c>
      <c r="E1090">
        <v>7.81</v>
      </c>
      <c r="F1090">
        <v>4354792.8</v>
      </c>
      <c r="G1090">
        <v>0</v>
      </c>
      <c r="L1090" t="s">
        <v>7</v>
      </c>
      <c r="M1090" t="s">
        <v>8</v>
      </c>
      <c r="N1090" t="s">
        <v>8</v>
      </c>
      <c r="P1090">
        <f t="shared" si="1029"/>
        <v>-0.65536367074246948</v>
      </c>
      <c r="Q1090">
        <f t="shared" si="1030"/>
        <v>-2853972.9947308768</v>
      </c>
      <c r="R1090">
        <f t="shared" si="1031"/>
        <v>27965547.860627554</v>
      </c>
      <c r="S1090">
        <f t="shared" si="1032"/>
        <v>279.65547860627555</v>
      </c>
      <c r="T1090">
        <f t="shared" si="1033"/>
        <v>0.27965547860627554</v>
      </c>
    </row>
    <row r="1091" spans="1:20" x14ac:dyDescent="0.25">
      <c r="A1091" s="5">
        <v>43502</v>
      </c>
      <c r="B1091">
        <v>7.8569000000000004</v>
      </c>
      <c r="C1091">
        <v>8.48</v>
      </c>
      <c r="D1091">
        <v>7.32</v>
      </c>
      <c r="E1091">
        <v>8.1303000000000001</v>
      </c>
      <c r="F1091">
        <v>5817391.7599999998</v>
      </c>
      <c r="G1091">
        <v>0</v>
      </c>
      <c r="L1091" t="s">
        <v>8</v>
      </c>
      <c r="M1091" t="s">
        <v>8</v>
      </c>
      <c r="N1091" t="s">
        <v>8</v>
      </c>
      <c r="P1091">
        <f t="shared" si="1029"/>
        <v>0.39706896551724086</v>
      </c>
      <c r="Q1091">
        <f t="shared" si="1030"/>
        <v>2309905.7281517209</v>
      </c>
      <c r="R1091">
        <f t="shared" si="1031"/>
        <v>30819520.855358433</v>
      </c>
      <c r="S1091">
        <f t="shared" si="1032"/>
        <v>308.19520855358434</v>
      </c>
      <c r="T1091">
        <f t="shared" si="1033"/>
        <v>0.30819520855358434</v>
      </c>
    </row>
    <row r="1092" spans="1:20" x14ac:dyDescent="0.25">
      <c r="A1092" s="5">
        <v>43501</v>
      </c>
      <c r="B1092">
        <v>7.1028000000000002</v>
      </c>
      <c r="C1092">
        <v>7.9714999999999998</v>
      </c>
      <c r="D1092">
        <v>6.9500999999999999</v>
      </c>
      <c r="E1092">
        <v>7.8665000000000003</v>
      </c>
      <c r="F1092">
        <v>4154631.43</v>
      </c>
      <c r="G1092">
        <v>0</v>
      </c>
      <c r="L1092" t="s">
        <v>8</v>
      </c>
      <c r="M1092" t="s">
        <v>8</v>
      </c>
      <c r="N1092" t="s">
        <v>8</v>
      </c>
      <c r="P1092">
        <f t="shared" si="1029"/>
        <v>0.79439984335226244</v>
      </c>
      <c r="Q1092">
        <f t="shared" si="1030"/>
        <v>3300438.557178386</v>
      </c>
      <c r="R1092">
        <f t="shared" si="1031"/>
        <v>28509615.127206713</v>
      </c>
      <c r="S1092">
        <f t="shared" si="1032"/>
        <v>285.09615127206712</v>
      </c>
      <c r="T1092">
        <f t="shared" si="1033"/>
        <v>0.28509615127206711</v>
      </c>
    </row>
    <row r="1093" spans="1:20" x14ac:dyDescent="0.25">
      <c r="A1093" s="5">
        <v>43500</v>
      </c>
      <c r="B1093">
        <v>6.7888000000000002</v>
      </c>
      <c r="C1093">
        <v>7.1849999999999996</v>
      </c>
      <c r="D1093">
        <v>6.68</v>
      </c>
      <c r="E1093">
        <v>7.1069000000000004</v>
      </c>
      <c r="F1093">
        <v>3306867.31</v>
      </c>
      <c r="G1093">
        <v>0</v>
      </c>
      <c r="L1093" t="s">
        <v>8</v>
      </c>
      <c r="M1093" t="s">
        <v>8</v>
      </c>
      <c r="N1093" t="s">
        <v>8</v>
      </c>
      <c r="P1093">
        <f t="shared" si="1029"/>
        <v>0.69069306930693386</v>
      </c>
      <c r="Q1093">
        <f t="shared" si="1030"/>
        <v>2284030.3321346641</v>
      </c>
      <c r="R1093">
        <f t="shared" si="1031"/>
        <v>25209176.570028327</v>
      </c>
      <c r="S1093">
        <f t="shared" si="1032"/>
        <v>252.09176570028328</v>
      </c>
      <c r="T1093">
        <f t="shared" si="1033"/>
        <v>0.2520917657002833</v>
      </c>
    </row>
    <row r="1094" spans="1:20" x14ac:dyDescent="0.25">
      <c r="A1094" s="5">
        <v>43499</v>
      </c>
      <c r="B1094">
        <v>6.8688000000000002</v>
      </c>
      <c r="C1094">
        <v>6.9</v>
      </c>
      <c r="D1094">
        <v>6.6147999999999998</v>
      </c>
      <c r="E1094">
        <v>6.7887000000000004</v>
      </c>
      <c r="F1094">
        <v>3095048.16</v>
      </c>
      <c r="G1094">
        <v>0</v>
      </c>
      <c r="L1094" t="s">
        <v>8</v>
      </c>
      <c r="M1094" t="s">
        <v>7</v>
      </c>
      <c r="N1094" t="s">
        <v>8</v>
      </c>
      <c r="P1094">
        <f t="shared" si="1029"/>
        <v>0.21949509116409724</v>
      </c>
      <c r="Q1094">
        <f t="shared" si="1030"/>
        <v>679347.87803647143</v>
      </c>
      <c r="R1094">
        <f t="shared" si="1031"/>
        <v>22925146.237893663</v>
      </c>
      <c r="S1094">
        <f t="shared" si="1032"/>
        <v>229.25146237893662</v>
      </c>
      <c r="T1094">
        <f t="shared" si="1033"/>
        <v>0.22925146237893662</v>
      </c>
    </row>
    <row r="1095" spans="1:20" x14ac:dyDescent="0.25">
      <c r="A1095" s="5">
        <v>43498</v>
      </c>
      <c r="B1095">
        <v>6.5185000000000004</v>
      </c>
      <c r="C1095">
        <v>6.9</v>
      </c>
      <c r="D1095">
        <v>6.4823000000000004</v>
      </c>
      <c r="E1095">
        <v>6.8654999999999999</v>
      </c>
      <c r="F1095">
        <v>3251363.16</v>
      </c>
      <c r="G1095">
        <v>0</v>
      </c>
      <c r="L1095" t="s">
        <v>8</v>
      </c>
      <c r="M1095" t="s">
        <v>7</v>
      </c>
      <c r="N1095" t="s">
        <v>8</v>
      </c>
      <c r="P1095">
        <f t="shared" si="1029"/>
        <v>0.83480967201340472</v>
      </c>
      <c r="Q1095">
        <f t="shared" si="1030"/>
        <v>2714269.4131960673</v>
      </c>
      <c r="R1095">
        <f t="shared" si="1031"/>
        <v>22245798.35985719</v>
      </c>
      <c r="S1095">
        <f t="shared" si="1032"/>
        <v>222.4579835985719</v>
      </c>
      <c r="T1095">
        <f t="shared" si="1033"/>
        <v>0.22245798359857191</v>
      </c>
    </row>
    <row r="1096" spans="1:20" x14ac:dyDescent="0.25">
      <c r="A1096" s="5">
        <v>43497</v>
      </c>
      <c r="B1096">
        <v>6.2249999999999996</v>
      </c>
      <c r="C1096">
        <v>6.65</v>
      </c>
      <c r="D1096">
        <v>6.1172000000000004</v>
      </c>
      <c r="E1096">
        <v>6.5228999999999999</v>
      </c>
      <c r="F1096">
        <v>2942865.68</v>
      </c>
      <c r="G1096">
        <v>0</v>
      </c>
      <c r="L1096" t="s">
        <v>8</v>
      </c>
      <c r="M1096" t="s">
        <v>7</v>
      </c>
      <c r="N1096" t="s">
        <v>8</v>
      </c>
      <c r="P1096">
        <f t="shared" si="1029"/>
        <v>0.5228978978978962</v>
      </c>
      <c r="Q1096">
        <f t="shared" si="1030"/>
        <v>1538818.277867863</v>
      </c>
      <c r="R1096">
        <f t="shared" si="1031"/>
        <v>19531528.946661122</v>
      </c>
      <c r="S1096">
        <f t="shared" si="1032"/>
        <v>195.31528946661123</v>
      </c>
      <c r="T1096">
        <f t="shared" si="1033"/>
        <v>0.19531528946661122</v>
      </c>
    </row>
    <row r="1097" spans="1:20" x14ac:dyDescent="0.25">
      <c r="A1097" s="5">
        <v>43496</v>
      </c>
      <c r="B1097">
        <v>6.1383999999999999</v>
      </c>
      <c r="C1097">
        <v>6.2663000000000002</v>
      </c>
      <c r="D1097">
        <v>5.9467999999999996</v>
      </c>
      <c r="E1097">
        <v>6.22</v>
      </c>
      <c r="F1097">
        <v>2264988.86</v>
      </c>
      <c r="G1097">
        <v>0</v>
      </c>
      <c r="L1097" t="s">
        <v>7</v>
      </c>
      <c r="M1097" t="s">
        <v>7</v>
      </c>
      <c r="N1097" t="s">
        <v>8</v>
      </c>
      <c r="P1097">
        <f t="shared" si="1029"/>
        <v>0.71017214397495854</v>
      </c>
      <c r="Q1097">
        <f t="shared" si="1030"/>
        <v>1608531.9947855971</v>
      </c>
      <c r="R1097">
        <f t="shared" si="1031"/>
        <v>17992710.668793257</v>
      </c>
      <c r="S1097">
        <f t="shared" si="1032"/>
        <v>179.92710668793256</v>
      </c>
      <c r="T1097">
        <f t="shared" si="1033"/>
        <v>0.17992710668793258</v>
      </c>
    </row>
    <row r="1098" spans="1:20" x14ac:dyDescent="0.25">
      <c r="A1098" s="5">
        <v>43495</v>
      </c>
      <c r="B1098">
        <v>6.1334999999999997</v>
      </c>
      <c r="C1098">
        <v>6.1999000000000004</v>
      </c>
      <c r="D1098">
        <v>6.0010000000000003</v>
      </c>
      <c r="E1098">
        <v>6.1387999999999998</v>
      </c>
      <c r="F1098">
        <v>2238811.59</v>
      </c>
      <c r="G1098">
        <v>0</v>
      </c>
      <c r="L1098" t="s">
        <v>7</v>
      </c>
      <c r="M1098" t="s">
        <v>7</v>
      </c>
      <c r="N1098" t="s">
        <v>8</v>
      </c>
      <c r="P1098">
        <f t="shared" si="1029"/>
        <v>0.38562091503267398</v>
      </c>
      <c r="Q1098">
        <f t="shared" si="1030"/>
        <v>863332.57392155565</v>
      </c>
      <c r="R1098">
        <f t="shared" si="1031"/>
        <v>16384178.67400766</v>
      </c>
      <c r="S1098">
        <f t="shared" si="1032"/>
        <v>163.8417867400766</v>
      </c>
      <c r="T1098">
        <f t="shared" si="1033"/>
        <v>0.1638417867400766</v>
      </c>
    </row>
    <row r="1099" spans="1:20" x14ac:dyDescent="0.25">
      <c r="A1099" s="5">
        <v>43494</v>
      </c>
      <c r="B1099">
        <v>6.1642000000000001</v>
      </c>
      <c r="C1099">
        <v>6.2599</v>
      </c>
      <c r="D1099">
        <v>5.968</v>
      </c>
      <c r="E1099">
        <v>6.1661000000000001</v>
      </c>
      <c r="F1099">
        <v>2967157.36</v>
      </c>
      <c r="G1099">
        <v>0</v>
      </c>
      <c r="L1099" t="s">
        <v>7</v>
      </c>
      <c r="M1099" t="s">
        <v>7</v>
      </c>
      <c r="N1099" t="s">
        <v>8</v>
      </c>
      <c r="P1099">
        <f t="shared" si="1029"/>
        <v>0.35731414868105604</v>
      </c>
      <c r="Q1099">
        <f t="shared" si="1030"/>
        <v>1060207.3060911298</v>
      </c>
      <c r="R1099">
        <f t="shared" si="1031"/>
        <v>15520846.100086104</v>
      </c>
      <c r="S1099">
        <f t="shared" si="1032"/>
        <v>155.20846100086104</v>
      </c>
      <c r="T1099">
        <f t="shared" si="1033"/>
        <v>0.15520846100086103</v>
      </c>
    </row>
    <row r="1100" spans="1:20" x14ac:dyDescent="0.25">
      <c r="A1100" s="5">
        <v>43493</v>
      </c>
      <c r="B1100">
        <v>7.0399000000000003</v>
      </c>
      <c r="C1100">
        <v>7.1398000000000001</v>
      </c>
      <c r="D1100">
        <v>5.94</v>
      </c>
      <c r="E1100">
        <v>6.1647999999999996</v>
      </c>
      <c r="F1100">
        <v>4950985.6900000004</v>
      </c>
      <c r="G1100">
        <v>0</v>
      </c>
      <c r="L1100" t="s">
        <v>7</v>
      </c>
      <c r="M1100" t="s">
        <v>7</v>
      </c>
      <c r="N1100" t="s">
        <v>8</v>
      </c>
      <c r="P1100">
        <f t="shared" si="1029"/>
        <v>-0.62527087847974783</v>
      </c>
      <c r="Q1100">
        <f t="shared" si="1030"/>
        <v>-3095707.1717269607</v>
      </c>
      <c r="R1100">
        <f t="shared" si="1031"/>
        <v>14460638.793994974</v>
      </c>
      <c r="S1100">
        <f t="shared" si="1032"/>
        <v>144.60638793994974</v>
      </c>
      <c r="T1100">
        <f t="shared" si="1033"/>
        <v>0.14460638793994973</v>
      </c>
    </row>
    <row r="1101" spans="1:20" x14ac:dyDescent="0.25">
      <c r="A1101" s="5">
        <v>43492</v>
      </c>
      <c r="B1101">
        <v>6.9452999999999996</v>
      </c>
      <c r="C1101">
        <v>7.2157</v>
      </c>
      <c r="D1101">
        <v>6.7919</v>
      </c>
      <c r="E1101">
        <v>7.0396000000000001</v>
      </c>
      <c r="F1101">
        <v>2776887.68</v>
      </c>
      <c r="G1101">
        <v>0</v>
      </c>
      <c r="L1101" t="s">
        <v>8</v>
      </c>
      <c r="M1101" t="s">
        <v>8</v>
      </c>
      <c r="N1101" t="s">
        <v>8</v>
      </c>
      <c r="P1101">
        <f t="shared" si="1029"/>
        <v>0.16894761680037781</v>
      </c>
      <c r="Q1101">
        <f t="shared" si="1030"/>
        <v>469148.55565833021</v>
      </c>
      <c r="R1101">
        <f t="shared" si="1031"/>
        <v>17556345.965721935</v>
      </c>
      <c r="S1101">
        <f t="shared" si="1032"/>
        <v>175.56345965721934</v>
      </c>
      <c r="T1101">
        <f t="shared" si="1033"/>
        <v>0.17556345965721934</v>
      </c>
    </row>
    <row r="1102" spans="1:20" x14ac:dyDescent="0.25">
      <c r="A1102" s="5">
        <v>43491</v>
      </c>
      <c r="B1102">
        <v>6.6890000000000001</v>
      </c>
      <c r="C1102">
        <v>6.9786000000000001</v>
      </c>
      <c r="D1102">
        <v>6.6196000000000002</v>
      </c>
      <c r="E1102">
        <v>6.9462999999999999</v>
      </c>
      <c r="F1102">
        <v>2734629.11</v>
      </c>
      <c r="G1102">
        <v>0</v>
      </c>
      <c r="L1102" t="s">
        <v>8</v>
      </c>
      <c r="M1102" t="s">
        <v>8</v>
      </c>
      <c r="N1102" t="s">
        <v>8</v>
      </c>
      <c r="P1102">
        <f t="shared" si="1029"/>
        <v>0.82005571030640545</v>
      </c>
      <c r="Q1102">
        <f t="shared" si="1030"/>
        <v>2242548.2172256233</v>
      </c>
      <c r="R1102">
        <f t="shared" si="1031"/>
        <v>17087197.410063606</v>
      </c>
      <c r="S1102">
        <f t="shared" si="1032"/>
        <v>170.87197410063607</v>
      </c>
      <c r="T1102">
        <f t="shared" si="1033"/>
        <v>0.17087197410063606</v>
      </c>
    </row>
    <row r="1103" spans="1:20" x14ac:dyDescent="0.25">
      <c r="A1103" s="5">
        <v>43490</v>
      </c>
      <c r="B1103">
        <v>6.4554999999999998</v>
      </c>
      <c r="C1103">
        <v>6.7502000000000004</v>
      </c>
      <c r="D1103">
        <v>6.4408000000000003</v>
      </c>
      <c r="E1103">
        <v>6.6898999999999997</v>
      </c>
      <c r="F1103">
        <v>2583153.38</v>
      </c>
      <c r="G1103">
        <v>0</v>
      </c>
      <c r="L1103" t="s">
        <v>8</v>
      </c>
      <c r="M1103" t="s">
        <v>8</v>
      </c>
      <c r="N1103" t="s">
        <v>8</v>
      </c>
      <c r="P1103">
        <f t="shared" si="1029"/>
        <v>0.61021331609566476</v>
      </c>
      <c r="Q1103">
        <f t="shared" si="1030"/>
        <v>1576274.5899935248</v>
      </c>
      <c r="R1103">
        <f t="shared" si="1031"/>
        <v>14844649.192837983</v>
      </c>
      <c r="S1103">
        <f t="shared" si="1032"/>
        <v>148.44649192837983</v>
      </c>
      <c r="T1103">
        <f t="shared" si="1033"/>
        <v>0.14844649192837983</v>
      </c>
    </row>
    <row r="1104" spans="1:20" x14ac:dyDescent="0.25">
      <c r="A1104" s="5">
        <v>43489</v>
      </c>
      <c r="B1104">
        <v>6.4962999999999997</v>
      </c>
      <c r="C1104">
        <v>6.4962999999999997</v>
      </c>
      <c r="D1104">
        <v>6.3914999999999997</v>
      </c>
      <c r="E1104">
        <v>6.4588000000000001</v>
      </c>
      <c r="F1104">
        <v>1514319.91</v>
      </c>
      <c r="G1104">
        <v>0</v>
      </c>
      <c r="L1104" t="s">
        <v>8</v>
      </c>
      <c r="M1104" t="s">
        <v>8</v>
      </c>
      <c r="N1104" t="s">
        <v>8</v>
      </c>
      <c r="P1104">
        <f t="shared" si="1029"/>
        <v>0.28435114503817477</v>
      </c>
      <c r="Q1104">
        <f t="shared" si="1030"/>
        <v>430598.60036260576</v>
      </c>
      <c r="R1104">
        <f t="shared" si="1031"/>
        <v>13268374.602844458</v>
      </c>
      <c r="S1104">
        <f t="shared" si="1032"/>
        <v>132.68374602844457</v>
      </c>
      <c r="T1104">
        <f t="shared" si="1033"/>
        <v>0.13268374602844457</v>
      </c>
    </row>
    <row r="1105" spans="1:20" x14ac:dyDescent="0.25">
      <c r="A1105" s="5">
        <v>43488</v>
      </c>
      <c r="B1105">
        <v>6.4779999999999998</v>
      </c>
      <c r="C1105">
        <v>6.53</v>
      </c>
      <c r="D1105">
        <v>6.3498999999999999</v>
      </c>
      <c r="E1105">
        <v>6.4969000000000001</v>
      </c>
      <c r="F1105">
        <v>1928704.72</v>
      </c>
      <c r="G1105">
        <v>0</v>
      </c>
      <c r="L1105" t="s">
        <v>8</v>
      </c>
      <c r="M1105" t="s">
        <v>8</v>
      </c>
      <c r="N1105" t="s">
        <v>8</v>
      </c>
      <c r="P1105">
        <f t="shared" si="1029"/>
        <v>0.63242642976124308</v>
      </c>
      <c r="Q1105">
        <f t="shared" si="1030"/>
        <v>1219763.8401332579</v>
      </c>
      <c r="R1105">
        <f t="shared" si="1031"/>
        <v>12837776.002481852</v>
      </c>
      <c r="S1105">
        <f t="shared" si="1032"/>
        <v>128.37776002481851</v>
      </c>
      <c r="T1105">
        <f t="shared" si="1033"/>
        <v>0.12837776002481852</v>
      </c>
    </row>
    <row r="1106" spans="1:20" x14ac:dyDescent="0.25">
      <c r="A1106" s="5">
        <v>43487</v>
      </c>
      <c r="B1106">
        <v>6.4680999999999997</v>
      </c>
      <c r="C1106">
        <v>6.5087999999999999</v>
      </c>
      <c r="D1106">
        <v>6.25</v>
      </c>
      <c r="E1106">
        <v>6.4736000000000002</v>
      </c>
      <c r="F1106">
        <v>1854629.75</v>
      </c>
      <c r="G1106">
        <v>0</v>
      </c>
      <c r="L1106" t="s">
        <v>8</v>
      </c>
      <c r="M1106" t="s">
        <v>8</v>
      </c>
      <c r="N1106" t="s">
        <v>8</v>
      </c>
      <c r="P1106">
        <f t="shared" si="1029"/>
        <v>0.7279752704791369</v>
      </c>
      <c r="Q1106">
        <f t="shared" si="1030"/>
        <v>1350124.593894904</v>
      </c>
      <c r="R1106">
        <f t="shared" si="1031"/>
        <v>11618012.162348595</v>
      </c>
      <c r="S1106">
        <f t="shared" si="1032"/>
        <v>116.18012162348595</v>
      </c>
      <c r="T1106">
        <f t="shared" si="1033"/>
        <v>0.11618012162348594</v>
      </c>
    </row>
    <row r="1107" spans="1:20" x14ac:dyDescent="0.25">
      <c r="A1107" s="5">
        <v>43486</v>
      </c>
      <c r="B1107">
        <v>6.4069000000000003</v>
      </c>
      <c r="C1107">
        <v>6.5149999999999997</v>
      </c>
      <c r="D1107">
        <v>6.2788000000000004</v>
      </c>
      <c r="E1107">
        <v>6.4724000000000004</v>
      </c>
      <c r="F1107">
        <v>1851048.49</v>
      </c>
      <c r="G1107">
        <v>0</v>
      </c>
      <c r="L1107" t="s">
        <v>8</v>
      </c>
      <c r="M1107" t="s">
        <v>8</v>
      </c>
      <c r="N1107" t="s">
        <v>8</v>
      </c>
      <c r="P1107">
        <f t="shared" si="1029"/>
        <v>0.63928873835732913</v>
      </c>
      <c r="Q1107">
        <f t="shared" si="1030"/>
        <v>1183354.4538103391</v>
      </c>
      <c r="R1107">
        <f t="shared" si="1031"/>
        <v>10267887.56845369</v>
      </c>
      <c r="S1107">
        <f t="shared" si="1032"/>
        <v>102.67887568453691</v>
      </c>
      <c r="T1107">
        <f t="shared" si="1033"/>
        <v>0.1026788756845369</v>
      </c>
    </row>
    <row r="1108" spans="1:20" x14ac:dyDescent="0.25">
      <c r="A1108" s="5">
        <v>43485</v>
      </c>
      <c r="B1108">
        <v>6.5221</v>
      </c>
      <c r="C1108">
        <v>6.6295000000000002</v>
      </c>
      <c r="D1108">
        <v>6.2401</v>
      </c>
      <c r="E1108">
        <v>6.4008000000000003</v>
      </c>
      <c r="F1108">
        <v>1778376.93</v>
      </c>
      <c r="G1108">
        <v>0</v>
      </c>
      <c r="L1108" t="s">
        <v>8</v>
      </c>
      <c r="M1108" t="s">
        <v>8</v>
      </c>
      <c r="N1108" t="s">
        <v>8</v>
      </c>
      <c r="P1108">
        <f t="shared" si="1029"/>
        <v>-0.17462763225474984</v>
      </c>
      <c r="Q1108">
        <f t="shared" si="1030"/>
        <v>-310553.75254237099</v>
      </c>
      <c r="R1108">
        <f t="shared" si="1031"/>
        <v>9084533.1146433502</v>
      </c>
      <c r="S1108">
        <f t="shared" si="1032"/>
        <v>90.845331146433509</v>
      </c>
      <c r="T1108">
        <f t="shared" si="1033"/>
        <v>9.0845331146433506E-2</v>
      </c>
    </row>
    <row r="1109" spans="1:20" x14ac:dyDescent="0.25">
      <c r="A1109" s="5">
        <v>43484</v>
      </c>
      <c r="B1109">
        <v>6.4886999999999997</v>
      </c>
      <c r="C1109">
        <v>6.64</v>
      </c>
      <c r="D1109">
        <v>6.2435</v>
      </c>
      <c r="E1109">
        <v>6.5198999999999998</v>
      </c>
      <c r="F1109">
        <v>2269437.98</v>
      </c>
      <c r="G1109">
        <v>0</v>
      </c>
      <c r="L1109" t="s">
        <v>8</v>
      </c>
      <c r="M1109" t="s">
        <v>8</v>
      </c>
      <c r="N1109" t="s">
        <v>8</v>
      </c>
      <c r="P1109">
        <f t="shared" si="1029"/>
        <v>0.3941992433795713</v>
      </c>
      <c r="Q1109">
        <f t="shared" si="1030"/>
        <v>894610.7346128627</v>
      </c>
      <c r="R1109">
        <f t="shared" si="1031"/>
        <v>9395086.8671857212</v>
      </c>
      <c r="S1109">
        <f t="shared" si="1032"/>
        <v>93.950868671857208</v>
      </c>
      <c r="T1109">
        <f t="shared" si="1033"/>
        <v>9.3950868671857202E-2</v>
      </c>
    </row>
    <row r="1110" spans="1:20" x14ac:dyDescent="0.25">
      <c r="A1110" s="5">
        <v>43483</v>
      </c>
      <c r="B1110">
        <v>6.3151999999999999</v>
      </c>
      <c r="C1110">
        <v>6.5879000000000003</v>
      </c>
      <c r="D1110">
        <v>6.2131999999999996</v>
      </c>
      <c r="E1110">
        <v>6.4866999999999999</v>
      </c>
      <c r="F1110">
        <v>2495447.2200000002</v>
      </c>
      <c r="G1110">
        <v>0</v>
      </c>
      <c r="L1110" t="s">
        <v>8</v>
      </c>
      <c r="M1110" t="s">
        <v>8</v>
      </c>
      <c r="N1110" t="s">
        <v>8</v>
      </c>
      <c r="P1110">
        <f t="shared" si="1029"/>
        <v>0.45983453429410082</v>
      </c>
      <c r="Q1110">
        <f t="shared" si="1030"/>
        <v>1147492.8102642086</v>
      </c>
      <c r="R1110">
        <f t="shared" si="1031"/>
        <v>8500476.1325728577</v>
      </c>
      <c r="S1110">
        <f t="shared" si="1032"/>
        <v>85.00476132572858</v>
      </c>
      <c r="T1110">
        <f t="shared" si="1033"/>
        <v>8.5004761325728581E-2</v>
      </c>
    </row>
    <row r="1111" spans="1:20" x14ac:dyDescent="0.25">
      <c r="A1111" s="5">
        <v>43482</v>
      </c>
      <c r="B1111">
        <v>6.0941000000000001</v>
      </c>
      <c r="C1111">
        <v>6.33</v>
      </c>
      <c r="D1111">
        <v>5.9603999999999999</v>
      </c>
      <c r="E1111">
        <v>6.3266</v>
      </c>
      <c r="F1111">
        <v>2312287.7400000002</v>
      </c>
      <c r="G1111">
        <v>0</v>
      </c>
      <c r="L1111" t="s">
        <v>8</v>
      </c>
      <c r="M1111" t="s">
        <v>7</v>
      </c>
      <c r="N1111" t="s">
        <v>8</v>
      </c>
      <c r="P1111">
        <f t="shared" si="1029"/>
        <v>0.98160173160173125</v>
      </c>
      <c r="Q1111">
        <f t="shared" si="1030"/>
        <v>2269745.649545454</v>
      </c>
      <c r="R1111">
        <f t="shared" si="1031"/>
        <v>7352983.3223086484</v>
      </c>
      <c r="S1111">
        <f t="shared" si="1032"/>
        <v>73.529833223086484</v>
      </c>
      <c r="T1111">
        <f t="shared" si="1033"/>
        <v>7.3529833223086483E-2</v>
      </c>
    </row>
    <row r="1112" spans="1:20" x14ac:dyDescent="0.25">
      <c r="A1112" s="5">
        <v>43481</v>
      </c>
      <c r="B1112">
        <v>5.8007</v>
      </c>
      <c r="C1112">
        <v>6.1817000000000002</v>
      </c>
      <c r="D1112">
        <v>5.7740999999999998</v>
      </c>
      <c r="E1112">
        <v>6.0911</v>
      </c>
      <c r="F1112">
        <v>2164639.9</v>
      </c>
      <c r="G1112">
        <v>0</v>
      </c>
      <c r="L1112" t="s">
        <v>8</v>
      </c>
      <c r="M1112" t="s">
        <v>7</v>
      </c>
      <c r="N1112" t="s">
        <v>8</v>
      </c>
      <c r="P1112">
        <f t="shared" si="1029"/>
        <v>0.55544651619234475</v>
      </c>
      <c r="Q1112">
        <f t="shared" si="1030"/>
        <v>1202341.6912659456</v>
      </c>
      <c r="R1112">
        <f t="shared" si="1031"/>
        <v>5083237.672763194</v>
      </c>
      <c r="S1112">
        <f t="shared" si="1032"/>
        <v>50.832376727631939</v>
      </c>
      <c r="T1112">
        <f t="shared" si="1033"/>
        <v>5.0832376727631939E-2</v>
      </c>
    </row>
    <row r="1113" spans="1:20" x14ac:dyDescent="0.25">
      <c r="A1113" s="5">
        <v>43480</v>
      </c>
      <c r="B1113">
        <v>6.0564999999999998</v>
      </c>
      <c r="C1113">
        <v>6.0648999999999997</v>
      </c>
      <c r="D1113">
        <v>5.6600999999999999</v>
      </c>
      <c r="E1113">
        <v>5.8110999999999997</v>
      </c>
      <c r="F1113">
        <v>1366715.25</v>
      </c>
      <c r="G1113">
        <v>0</v>
      </c>
      <c r="L1113" t="s">
        <v>7</v>
      </c>
      <c r="M1113" t="s">
        <v>7</v>
      </c>
      <c r="N1113" t="s">
        <v>8</v>
      </c>
      <c r="P1113">
        <f t="shared" si="1029"/>
        <v>-0.25395256916996112</v>
      </c>
      <c r="Q1113">
        <f t="shared" si="1030"/>
        <v>-347080.8490612657</v>
      </c>
      <c r="R1113">
        <f t="shared" si="1031"/>
        <v>3880895.9814972486</v>
      </c>
      <c r="S1113">
        <f t="shared" si="1032"/>
        <v>38.808959814972489</v>
      </c>
      <c r="T1113">
        <f t="shared" si="1033"/>
        <v>3.8808959814972489E-2</v>
      </c>
    </row>
    <row r="1114" spans="1:20" x14ac:dyDescent="0.25">
      <c r="A1114" s="5">
        <v>43479</v>
      </c>
      <c r="B1114">
        <v>5.4687999999999999</v>
      </c>
      <c r="C1114">
        <v>6.0620000000000003</v>
      </c>
      <c r="D1114">
        <v>5.4585999999999997</v>
      </c>
      <c r="E1114">
        <v>6.0583</v>
      </c>
      <c r="F1114">
        <v>2330172.48</v>
      </c>
      <c r="G1114">
        <v>0</v>
      </c>
      <c r="L1114" t="s">
        <v>8</v>
      </c>
      <c r="M1114" t="s">
        <v>7</v>
      </c>
      <c r="N1114" t="s">
        <v>8</v>
      </c>
      <c r="P1114">
        <f t="shared" si="1029"/>
        <v>0.98773616175008205</v>
      </c>
      <c r="Q1114">
        <f t="shared" si="1030"/>
        <v>2301595.6216108697</v>
      </c>
      <c r="R1114">
        <f t="shared" si="1031"/>
        <v>4227976.8305585142</v>
      </c>
      <c r="S1114">
        <f t="shared" si="1032"/>
        <v>42.279768305585144</v>
      </c>
      <c r="T1114">
        <f t="shared" si="1033"/>
        <v>4.2279768305585143E-2</v>
      </c>
    </row>
    <row r="1115" spans="1:20" x14ac:dyDescent="0.25">
      <c r="A1115" s="5">
        <v>43478</v>
      </c>
      <c r="B1115">
        <v>5.8628999999999998</v>
      </c>
      <c r="C1115">
        <v>5.8883999999999999</v>
      </c>
      <c r="D1115">
        <v>5.3733000000000004</v>
      </c>
      <c r="E1115">
        <v>5.4687999999999999</v>
      </c>
      <c r="F1115">
        <v>1420692.05</v>
      </c>
      <c r="G1115">
        <v>0</v>
      </c>
      <c r="L1115" t="s">
        <v>7</v>
      </c>
      <c r="M1115" t="s">
        <v>7</v>
      </c>
      <c r="N1115" t="s">
        <v>8</v>
      </c>
      <c r="P1115">
        <f t="shared" si="1029"/>
        <v>-0.62919821393904263</v>
      </c>
      <c r="Q1115">
        <f t="shared" si="1030"/>
        <v>-893896.90041739703</v>
      </c>
      <c r="R1115">
        <f t="shared" si="1031"/>
        <v>1926381.2089476443</v>
      </c>
      <c r="S1115">
        <f t="shared" si="1032"/>
        <v>19.263812089476442</v>
      </c>
      <c r="T1115">
        <f t="shared" si="1033"/>
        <v>1.9263812089476442E-2</v>
      </c>
    </row>
    <row r="1116" spans="1:20" x14ac:dyDescent="0.25">
      <c r="A1116" s="5">
        <v>43477</v>
      </c>
      <c r="B1116">
        <v>5.9551999999999996</v>
      </c>
      <c r="C1116">
        <v>5.9657</v>
      </c>
      <c r="D1116">
        <v>5.8</v>
      </c>
      <c r="E1116">
        <v>5.8593999999999999</v>
      </c>
      <c r="F1116">
        <v>1743319.31</v>
      </c>
      <c r="G1116">
        <v>0</v>
      </c>
      <c r="L1116" t="s">
        <v>8</v>
      </c>
      <c r="M1116" t="s">
        <v>7</v>
      </c>
      <c r="N1116" t="s">
        <v>8</v>
      </c>
      <c r="P1116">
        <f t="shared" si="1029"/>
        <v>-0.28304164152082012</v>
      </c>
      <c r="Q1116">
        <f t="shared" si="1030"/>
        <v>-493431.9591973435</v>
      </c>
      <c r="R1116">
        <f t="shared" si="1031"/>
        <v>2820278.1093650414</v>
      </c>
      <c r="S1116">
        <f t="shared" si="1032"/>
        <v>28.202781093650415</v>
      </c>
      <c r="T1116">
        <f t="shared" si="1033"/>
        <v>2.8202781093650417E-2</v>
      </c>
    </row>
    <row r="1117" spans="1:20" x14ac:dyDescent="0.25">
      <c r="A1117" s="5">
        <v>43476</v>
      </c>
      <c r="B1117">
        <v>5.8440000000000003</v>
      </c>
      <c r="C1117">
        <v>6.1197999999999997</v>
      </c>
      <c r="D1117">
        <v>5.6852999999999998</v>
      </c>
      <c r="E1117">
        <v>5.9595000000000002</v>
      </c>
      <c r="F1117">
        <v>2559930.81</v>
      </c>
      <c r="G1117">
        <v>0</v>
      </c>
      <c r="L1117" t="s">
        <v>8</v>
      </c>
      <c r="M1117" t="s">
        <v>7</v>
      </c>
      <c r="N1117" t="s">
        <v>8</v>
      </c>
      <c r="P1117">
        <f t="shared" si="1029"/>
        <v>0.26214039125431765</v>
      </c>
      <c r="Q1117">
        <f t="shared" si="1030"/>
        <v>671061.26411738235</v>
      </c>
      <c r="R1117">
        <f t="shared" si="1031"/>
        <v>3313710.0685623847</v>
      </c>
      <c r="S1117">
        <f t="shared" si="1032"/>
        <v>33.137100685623849</v>
      </c>
      <c r="T1117">
        <f t="shared" si="1033"/>
        <v>3.3137100685623852E-2</v>
      </c>
    </row>
    <row r="1118" spans="1:20" x14ac:dyDescent="0.25">
      <c r="A1118" s="5">
        <v>43475</v>
      </c>
      <c r="B1118">
        <v>6.5510999999999999</v>
      </c>
      <c r="C1118">
        <v>6.5763999999999996</v>
      </c>
      <c r="D1118">
        <v>5.65</v>
      </c>
      <c r="E1118">
        <v>5.8449</v>
      </c>
      <c r="F1118">
        <v>3348790.03</v>
      </c>
      <c r="G1118">
        <v>0</v>
      </c>
      <c r="L1118" t="s">
        <v>7</v>
      </c>
      <c r="M1118" t="s">
        <v>7</v>
      </c>
      <c r="N1118" t="s">
        <v>8</v>
      </c>
      <c r="P1118">
        <f t="shared" si="1029"/>
        <v>-0.57923143350604533</v>
      </c>
      <c r="Q1118">
        <f t="shared" si="1030"/>
        <v>-1939724.4495876525</v>
      </c>
      <c r="R1118">
        <f t="shared" si="1031"/>
        <v>2642648.8044450022</v>
      </c>
      <c r="S1118">
        <f t="shared" si="1032"/>
        <v>26.426488044450021</v>
      </c>
      <c r="T1118">
        <f t="shared" si="1033"/>
        <v>2.6426488044450022E-2</v>
      </c>
    </row>
    <row r="1119" spans="1:20" x14ac:dyDescent="0.25">
      <c r="A1119" s="5">
        <v>43474</v>
      </c>
      <c r="B1119">
        <v>6.5197000000000003</v>
      </c>
      <c r="C1119">
        <v>6.8540000000000001</v>
      </c>
      <c r="D1119">
        <v>6.3385999999999996</v>
      </c>
      <c r="E1119">
        <v>6.5510999999999999</v>
      </c>
      <c r="F1119">
        <v>4167653.69</v>
      </c>
      <c r="G1119">
        <v>0</v>
      </c>
      <c r="L1119" t="s">
        <v>8</v>
      </c>
      <c r="M1119" t="s">
        <v>8</v>
      </c>
      <c r="N1119" t="s">
        <v>8</v>
      </c>
      <c r="P1119">
        <f t="shared" si="1029"/>
        <v>-0.17539774932091526</v>
      </c>
      <c r="Q1119">
        <f t="shared" si="1030"/>
        <v>-730997.07717500743</v>
      </c>
      <c r="R1119">
        <f t="shared" si="1031"/>
        <v>4582373.2540326547</v>
      </c>
      <c r="S1119">
        <f t="shared" si="1032"/>
        <v>45.823732540326546</v>
      </c>
      <c r="T1119">
        <f t="shared" si="1033"/>
        <v>4.5823732540326546E-2</v>
      </c>
    </row>
    <row r="1120" spans="1:20" x14ac:dyDescent="0.25">
      <c r="A1120" s="5">
        <v>43473</v>
      </c>
      <c r="B1120">
        <v>6.1978999999999997</v>
      </c>
      <c r="C1120">
        <v>6.7984</v>
      </c>
      <c r="D1120">
        <v>6.1380999999999997</v>
      </c>
      <c r="E1120">
        <v>6.5128000000000004</v>
      </c>
      <c r="F1120">
        <v>3946905.61</v>
      </c>
      <c r="G1120">
        <v>0</v>
      </c>
      <c r="L1120" t="s">
        <v>8</v>
      </c>
      <c r="M1120" t="s">
        <v>8</v>
      </c>
      <c r="N1120" t="s">
        <v>8</v>
      </c>
      <c r="P1120">
        <f t="shared" si="1029"/>
        <v>0.13493866424352721</v>
      </c>
      <c r="Q1120">
        <f t="shared" si="1030"/>
        <v>532590.17090868391</v>
      </c>
      <c r="R1120">
        <f t="shared" si="1031"/>
        <v>5313370.3312076619</v>
      </c>
      <c r="S1120">
        <f t="shared" si="1032"/>
        <v>53.133703312076619</v>
      </c>
      <c r="T1120">
        <f t="shared" si="1033"/>
        <v>5.3133703312076619E-2</v>
      </c>
    </row>
    <row r="1121" spans="1:20" x14ac:dyDescent="0.25">
      <c r="A1121" s="5">
        <v>43472</v>
      </c>
      <c r="B1121">
        <v>6.2680999999999996</v>
      </c>
      <c r="C1121">
        <v>6.3094000000000001</v>
      </c>
      <c r="D1121">
        <v>6.0061</v>
      </c>
      <c r="E1121">
        <v>6.2008999999999999</v>
      </c>
      <c r="F1121">
        <v>1683858.68</v>
      </c>
      <c r="G1121">
        <v>0</v>
      </c>
      <c r="L1121" t="s">
        <v>8</v>
      </c>
      <c r="M1121" t="s">
        <v>8</v>
      </c>
      <c r="N1121" t="s">
        <v>8</v>
      </c>
      <c r="P1121">
        <f t="shared" si="1029"/>
        <v>0.28453676228156799</v>
      </c>
      <c r="Q1121">
        <f t="shared" si="1030"/>
        <v>479119.69694691483</v>
      </c>
      <c r="R1121">
        <f t="shared" si="1031"/>
        <v>4780780.160298978</v>
      </c>
      <c r="S1121">
        <f t="shared" si="1032"/>
        <v>47.807801602989777</v>
      </c>
      <c r="T1121">
        <f t="shared" si="1033"/>
        <v>4.780780160298978E-2</v>
      </c>
    </row>
    <row r="1122" spans="1:20" x14ac:dyDescent="0.25">
      <c r="A1122" s="5">
        <v>43471</v>
      </c>
      <c r="B1122">
        <v>5.9626000000000001</v>
      </c>
      <c r="C1122">
        <v>6.3887999999999998</v>
      </c>
      <c r="D1122">
        <v>5.9249999999999998</v>
      </c>
      <c r="E1122">
        <v>6.2687999999999997</v>
      </c>
      <c r="F1122">
        <v>2511301.27</v>
      </c>
      <c r="G1122">
        <v>0</v>
      </c>
      <c r="L1122" t="s">
        <v>8</v>
      </c>
      <c r="M1122" t="s">
        <v>8</v>
      </c>
      <c r="N1122" t="s">
        <v>8</v>
      </c>
      <c r="P1122">
        <f t="shared" si="1029"/>
        <v>0.4825355756791716</v>
      </c>
      <c r="Q1122">
        <f t="shared" si="1030"/>
        <v>1211792.2040232848</v>
      </c>
      <c r="R1122">
        <f t="shared" si="1031"/>
        <v>4301660.4633520627</v>
      </c>
      <c r="S1122">
        <f t="shared" si="1032"/>
        <v>43.016604633520629</v>
      </c>
      <c r="T1122">
        <f t="shared" si="1033"/>
        <v>4.3016604633520632E-2</v>
      </c>
    </row>
    <row r="1123" spans="1:20" x14ac:dyDescent="0.25">
      <c r="A1123" s="5">
        <v>43470</v>
      </c>
      <c r="B1123">
        <v>5.9687999999999999</v>
      </c>
      <c r="C1123">
        <v>6.1043000000000003</v>
      </c>
      <c r="D1123">
        <v>5.9188000000000001</v>
      </c>
      <c r="E1123">
        <v>5.9625000000000004</v>
      </c>
      <c r="F1123">
        <v>1636284.99</v>
      </c>
      <c r="G1123">
        <v>0</v>
      </c>
      <c r="L1123" t="s">
        <v>7</v>
      </c>
      <c r="M1123" t="s">
        <v>8</v>
      </c>
      <c r="N1123" t="s">
        <v>8</v>
      </c>
      <c r="P1123">
        <f t="shared" si="1029"/>
        <v>-0.52884097035040167</v>
      </c>
      <c r="Q1123">
        <f t="shared" si="1030"/>
        <v>-865334.54188139725</v>
      </c>
      <c r="R1123">
        <f t="shared" si="1031"/>
        <v>3089868.2593287779</v>
      </c>
      <c r="S1123">
        <f t="shared" si="1032"/>
        <v>30.898682593287781</v>
      </c>
      <c r="T1123">
        <f t="shared" si="1033"/>
        <v>3.089868259328778E-2</v>
      </c>
    </row>
    <row r="1124" spans="1:20" x14ac:dyDescent="0.25">
      <c r="A1124" s="5">
        <v>43469</v>
      </c>
      <c r="B1124">
        <v>5.7946999999999997</v>
      </c>
      <c r="C1124">
        <v>5.99</v>
      </c>
      <c r="D1124">
        <v>5.7401999999999997</v>
      </c>
      <c r="E1124">
        <v>5.9691999999999998</v>
      </c>
      <c r="F1124">
        <v>1657441.74</v>
      </c>
      <c r="G1124">
        <v>0</v>
      </c>
      <c r="L1124" t="s">
        <v>7</v>
      </c>
      <c r="M1124" t="s">
        <v>8</v>
      </c>
      <c r="N1124" t="s">
        <v>8</v>
      </c>
      <c r="P1124">
        <f t="shared" si="1029"/>
        <v>0.83346677341873232</v>
      </c>
      <c r="Q1124">
        <f t="shared" si="1030"/>
        <v>1381422.6191673295</v>
      </c>
      <c r="R1124">
        <f t="shared" si="1031"/>
        <v>3955202.8012101753</v>
      </c>
      <c r="S1124">
        <f t="shared" si="1032"/>
        <v>39.552028012101751</v>
      </c>
      <c r="T1124">
        <f t="shared" si="1033"/>
        <v>3.9552028012101753E-2</v>
      </c>
    </row>
    <row r="1125" spans="1:20" x14ac:dyDescent="0.25">
      <c r="A1125" s="5">
        <v>43468</v>
      </c>
      <c r="B1125">
        <v>6.0445000000000002</v>
      </c>
      <c r="C1125">
        <v>6.0620000000000003</v>
      </c>
      <c r="D1125">
        <v>5.7739000000000003</v>
      </c>
      <c r="E1125">
        <v>5.7979000000000003</v>
      </c>
      <c r="F1125">
        <v>1524726.37</v>
      </c>
      <c r="G1125">
        <v>0</v>
      </c>
      <c r="L1125" t="s">
        <v>7</v>
      </c>
      <c r="M1125" t="s">
        <v>8</v>
      </c>
      <c r="N1125" t="s">
        <v>8</v>
      </c>
      <c r="P1125">
        <f t="shared" si="1029"/>
        <v>-0.83339118361679954</v>
      </c>
      <c r="Q1125">
        <f t="shared" si="1030"/>
        <v>-1270693.5141860463</v>
      </c>
      <c r="R1125">
        <f t="shared" si="1031"/>
        <v>2573780.1820428455</v>
      </c>
      <c r="S1125">
        <f t="shared" si="1032"/>
        <v>25.737801820428455</v>
      </c>
      <c r="T1125">
        <f t="shared" si="1033"/>
        <v>2.5737801820428455E-2</v>
      </c>
    </row>
    <row r="1126" spans="1:20" x14ac:dyDescent="0.25">
      <c r="A1126" s="5">
        <v>43467</v>
      </c>
      <c r="B1126">
        <v>5.9909999999999997</v>
      </c>
      <c r="C1126">
        <v>6.0938999999999997</v>
      </c>
      <c r="D1126">
        <v>5.8371000000000004</v>
      </c>
      <c r="E1126">
        <v>6.0510000000000002</v>
      </c>
      <c r="F1126">
        <v>2130127</v>
      </c>
      <c r="G1126">
        <v>0</v>
      </c>
      <c r="L1126" t="s">
        <v>7</v>
      </c>
      <c r="M1126" t="s">
        <v>8</v>
      </c>
      <c r="N1126" t="s">
        <v>8</v>
      </c>
      <c r="P1126">
        <f t="shared" si="1029"/>
        <v>0.66588785046729271</v>
      </c>
      <c r="Q1126">
        <f t="shared" si="1030"/>
        <v>1418425.6892523428</v>
      </c>
      <c r="R1126">
        <f t="shared" si="1031"/>
        <v>3844473.6962288916</v>
      </c>
      <c r="S1126">
        <f t="shared" si="1032"/>
        <v>38.444736962288914</v>
      </c>
      <c r="T1126">
        <f t="shared" si="1033"/>
        <v>3.8444736962288915E-2</v>
      </c>
    </row>
    <row r="1127" spans="1:20" x14ac:dyDescent="0.25">
      <c r="A1127" s="5">
        <v>43466</v>
      </c>
      <c r="B1127">
        <v>6.1139000000000001</v>
      </c>
      <c r="C1127">
        <v>6.1227999999999998</v>
      </c>
      <c r="D1127">
        <v>5.7735000000000003</v>
      </c>
      <c r="E1127">
        <v>5.9909999999999997</v>
      </c>
      <c r="F1127">
        <v>1412914.18</v>
      </c>
      <c r="G1127">
        <v>0</v>
      </c>
      <c r="L1127" t="s">
        <v>7</v>
      </c>
      <c r="M1127" t="s">
        <v>8</v>
      </c>
      <c r="N1127" t="s">
        <v>8</v>
      </c>
      <c r="P1127">
        <f t="shared" si="1029"/>
        <v>0.24534783853420941</v>
      </c>
      <c r="Q1127">
        <f t="shared" si="1030"/>
        <v>346655.44009733485</v>
      </c>
      <c r="R1127">
        <f t="shared" si="1031"/>
        <v>2426048.0069765486</v>
      </c>
      <c r="S1127">
        <f t="shared" si="1032"/>
        <v>24.260480069765485</v>
      </c>
      <c r="T1127">
        <f t="shared" si="1033"/>
        <v>2.4260480069765486E-2</v>
      </c>
    </row>
    <row r="1128" spans="1:20" x14ac:dyDescent="0.25">
      <c r="A1128" s="5">
        <v>43465</v>
      </c>
      <c r="B1128">
        <v>5.9</v>
      </c>
      <c r="C1128">
        <v>6.2432999999999996</v>
      </c>
      <c r="D1128">
        <v>5.8304</v>
      </c>
      <c r="E1128">
        <v>6.1111000000000004</v>
      </c>
      <c r="F1128">
        <v>2388899.23</v>
      </c>
      <c r="G1128">
        <v>0</v>
      </c>
      <c r="L1128" t="s">
        <v>8</v>
      </c>
      <c r="M1128" t="s">
        <v>8</v>
      </c>
      <c r="N1128" t="s">
        <v>8</v>
      </c>
      <c r="P1128">
        <f t="shared" si="1029"/>
        <v>0.35965124727537257</v>
      </c>
      <c r="Q1128">
        <f t="shared" si="1030"/>
        <v>859170.5876846771</v>
      </c>
      <c r="R1128">
        <f t="shared" si="1031"/>
        <v>2079392.5668792138</v>
      </c>
      <c r="S1128">
        <f t="shared" si="1032"/>
        <v>20.793925668792138</v>
      </c>
      <c r="T1128">
        <f t="shared" si="1033"/>
        <v>2.0793925668792138E-2</v>
      </c>
    </row>
    <row r="1129" spans="1:20" x14ac:dyDescent="0.25">
      <c r="A1129" s="5">
        <v>43464</v>
      </c>
      <c r="B1129">
        <v>5.67</v>
      </c>
      <c r="C1129">
        <v>5.9185999999999996</v>
      </c>
      <c r="D1129">
        <v>5.5579999999999998</v>
      </c>
      <c r="E1129">
        <v>5.8939000000000004</v>
      </c>
      <c r="F1129">
        <v>1394241.09</v>
      </c>
      <c r="G1129">
        <v>0</v>
      </c>
      <c r="L1129" t="s">
        <v>7</v>
      </c>
      <c r="M1129" t="s">
        <v>7</v>
      </c>
      <c r="N1129" t="s">
        <v>8</v>
      </c>
      <c r="P1129">
        <f t="shared" si="1029"/>
        <v>0.86300610094287689</v>
      </c>
      <c r="Q1129">
        <f t="shared" si="1030"/>
        <v>1203238.5668552467</v>
      </c>
      <c r="R1129">
        <f t="shared" si="1031"/>
        <v>1220221.9791945368</v>
      </c>
      <c r="S1129">
        <f t="shared" si="1032"/>
        <v>12.202219791945367</v>
      </c>
      <c r="T1129">
        <f t="shared" si="1033"/>
        <v>1.2202219791945367E-2</v>
      </c>
    </row>
    <row r="1130" spans="1:20" x14ac:dyDescent="0.25">
      <c r="A1130" s="5">
        <v>43463</v>
      </c>
      <c r="B1130">
        <v>5.8803000000000001</v>
      </c>
      <c r="C1130">
        <v>6</v>
      </c>
      <c r="D1130">
        <v>5.61</v>
      </c>
      <c r="E1130">
        <v>5.66</v>
      </c>
      <c r="F1130">
        <v>1232874.45</v>
      </c>
      <c r="G1130">
        <v>0</v>
      </c>
      <c r="L1130" t="s">
        <v>8</v>
      </c>
      <c r="M1130" t="s">
        <v>7</v>
      </c>
      <c r="N1130" t="s">
        <v>8</v>
      </c>
      <c r="P1130">
        <f t="shared" si="1029"/>
        <v>-0.74358974358974428</v>
      </c>
      <c r="Q1130">
        <f t="shared" si="1030"/>
        <v>-916752.79615384701</v>
      </c>
      <c r="R1130">
        <f t="shared" si="1031"/>
        <v>16983.412339290022</v>
      </c>
      <c r="S1130">
        <f t="shared" si="1032"/>
        <v>0.16983412339290022</v>
      </c>
      <c r="T1130">
        <f t="shared" si="1033"/>
        <v>1.6983412339290023E-4</v>
      </c>
    </row>
    <row r="1131" spans="1:20" x14ac:dyDescent="0.25">
      <c r="A1131" s="5">
        <v>43462</v>
      </c>
      <c r="B1131">
        <v>5.1818</v>
      </c>
      <c r="C1131">
        <v>5.8994999999999997</v>
      </c>
      <c r="D1131">
        <v>5.1002999999999998</v>
      </c>
      <c r="E1131">
        <v>5.8811</v>
      </c>
      <c r="F1131">
        <v>1505031.24</v>
      </c>
      <c r="G1131">
        <v>0</v>
      </c>
      <c r="L1131" t="s">
        <v>8</v>
      </c>
      <c r="M1131" t="s">
        <v>7</v>
      </c>
      <c r="N1131" t="s">
        <v>8</v>
      </c>
      <c r="P1131">
        <f t="shared" si="1029"/>
        <v>0.95395395395395455</v>
      </c>
      <c r="Q1131">
        <f t="shared" si="1030"/>
        <v>1435730.5022222232</v>
      </c>
      <c r="R1131">
        <f t="shared" si="1031"/>
        <v>933736.20849313703</v>
      </c>
      <c r="S1131">
        <f t="shared" si="1032"/>
        <v>9.337362084931371</v>
      </c>
      <c r="T1131">
        <f t="shared" si="1033"/>
        <v>9.3373620849313711E-3</v>
      </c>
    </row>
    <row r="1132" spans="1:20" x14ac:dyDescent="0.25">
      <c r="A1132" s="5">
        <v>43461</v>
      </c>
      <c r="B1132">
        <v>5.6062000000000003</v>
      </c>
      <c r="C1132">
        <v>5.6558999999999999</v>
      </c>
      <c r="D1132">
        <v>5.0999999999999996</v>
      </c>
      <c r="E1132">
        <v>5.1791</v>
      </c>
      <c r="F1132">
        <v>1148939.3700000001</v>
      </c>
      <c r="G1132">
        <v>0</v>
      </c>
      <c r="L1132" t="s">
        <v>7</v>
      </c>
      <c r="M1132" t="s">
        <v>7</v>
      </c>
      <c r="N1132" t="s">
        <v>8</v>
      </c>
      <c r="P1132">
        <f t="shared" si="1029"/>
        <v>-0.715416441806079</v>
      </c>
      <c r="Q1132">
        <f t="shared" si="1030"/>
        <v>-821970.11593631818</v>
      </c>
      <c r="R1132">
        <f t="shared" si="1031"/>
        <v>-501994.29372908617</v>
      </c>
      <c r="S1132">
        <f t="shared" si="1032"/>
        <v>-5.0199429372908622</v>
      </c>
      <c r="T1132">
        <f t="shared" si="1033"/>
        <v>-5.0199429372908624E-3</v>
      </c>
    </row>
    <row r="1133" spans="1:20" x14ac:dyDescent="0.25">
      <c r="A1133" s="5">
        <v>43460</v>
      </c>
      <c r="B1133">
        <v>5.4432</v>
      </c>
      <c r="C1133">
        <v>5.6840000000000002</v>
      </c>
      <c r="D1133">
        <v>5.37</v>
      </c>
      <c r="E1133">
        <v>5.6029</v>
      </c>
      <c r="F1133">
        <v>1351072.48</v>
      </c>
      <c r="G1133">
        <v>0</v>
      </c>
      <c r="L1133" t="s">
        <v>7</v>
      </c>
      <c r="M1133" t="s">
        <v>7</v>
      </c>
      <c r="N1133" t="s">
        <v>8</v>
      </c>
      <c r="P1133">
        <f t="shared" si="1029"/>
        <v>0.48343949044585888</v>
      </c>
      <c r="Q1133">
        <f t="shared" si="1030"/>
        <v>653161.79128662287</v>
      </c>
      <c r="R1133">
        <f t="shared" si="1031"/>
        <v>319975.82220723201</v>
      </c>
      <c r="S1133">
        <f t="shared" si="1032"/>
        <v>3.1997582220723202</v>
      </c>
      <c r="T1133">
        <f t="shared" si="1033"/>
        <v>3.1997582220723202E-3</v>
      </c>
    </row>
    <row r="1134" spans="1:20" x14ac:dyDescent="0.25">
      <c r="A1134" s="5">
        <v>43459</v>
      </c>
      <c r="B1134">
        <v>6.0975000000000001</v>
      </c>
      <c r="C1134">
        <v>6.0994000000000002</v>
      </c>
      <c r="D1134">
        <v>5.3127000000000004</v>
      </c>
      <c r="E1134">
        <v>5.45</v>
      </c>
      <c r="F1134">
        <v>1443517.22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-0.65094699377145082</v>
      </c>
      <c r="Q1134">
        <f t="shared" si="1030"/>
        <v>-939653.19481632195</v>
      </c>
      <c r="R1134">
        <f t="shared" si="1031"/>
        <v>-333185.96907939087</v>
      </c>
      <c r="S1134">
        <f t="shared" si="1032"/>
        <v>-3.3318596907939089</v>
      </c>
      <c r="T1134">
        <f t="shared" si="1033"/>
        <v>-3.331859690793909E-3</v>
      </c>
    </row>
    <row r="1135" spans="1:20" x14ac:dyDescent="0.25">
      <c r="A1135" s="5">
        <v>43458</v>
      </c>
      <c r="B1135">
        <v>5.9588000000000001</v>
      </c>
      <c r="C1135">
        <v>6.4734999999999996</v>
      </c>
      <c r="D1135">
        <v>5.93</v>
      </c>
      <c r="E1135">
        <v>6.0979000000000001</v>
      </c>
      <c r="F1135">
        <v>2058385.46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-0.38215271389144279</v>
      </c>
      <c r="Q1135">
        <f t="shared" si="1030"/>
        <v>-786617.58977368579</v>
      </c>
      <c r="R1135">
        <f t="shared" si="1031"/>
        <v>606467.22573693108</v>
      </c>
      <c r="S1135">
        <f t="shared" si="1032"/>
        <v>6.0646722573693106</v>
      </c>
      <c r="T1135">
        <f t="shared" si="1033"/>
        <v>6.0646722573693109E-3</v>
      </c>
    </row>
    <row r="1136" spans="1:20" x14ac:dyDescent="0.25">
      <c r="A1136" s="5">
        <v>43457</v>
      </c>
      <c r="B1136">
        <v>5.8399000000000001</v>
      </c>
      <c r="C1136">
        <v>6.1318000000000001</v>
      </c>
      <c r="D1136">
        <v>5.7588999999999997</v>
      </c>
      <c r="E1136">
        <v>5.9589999999999996</v>
      </c>
      <c r="F1136">
        <v>1878151.13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7.3209975864841514E-2</v>
      </c>
      <c r="Q1136">
        <f t="shared" si="1030"/>
        <v>137499.39889782481</v>
      </c>
      <c r="R1136">
        <f t="shared" si="1031"/>
        <v>1393084.8155106169</v>
      </c>
      <c r="S1136">
        <f t="shared" si="1032"/>
        <v>13.930848155106169</v>
      </c>
      <c r="T1136">
        <f t="shared" si="1033"/>
        <v>1.3930848155106168E-2</v>
      </c>
    </row>
    <row r="1137" spans="1:20" x14ac:dyDescent="0.25">
      <c r="A1137" s="5">
        <v>43456</v>
      </c>
      <c r="B1137">
        <v>5.4766000000000004</v>
      </c>
      <c r="C1137">
        <v>5.8802000000000003</v>
      </c>
      <c r="D1137">
        <v>5.3949999999999996</v>
      </c>
      <c r="E1137">
        <v>5.8398000000000003</v>
      </c>
      <c r="F1137">
        <v>1775214.59</v>
      </c>
      <c r="G1137">
        <v>0</v>
      </c>
      <c r="L1137" t="s">
        <v>8</v>
      </c>
      <c r="M1137" t="s">
        <v>8</v>
      </c>
      <c r="N1137" t="s">
        <v>8</v>
      </c>
      <c r="P1137">
        <f t="shared" si="1029"/>
        <v>0.83347073371805469</v>
      </c>
      <c r="Q1137">
        <f t="shared" si="1030"/>
        <v>1479589.4068342957</v>
      </c>
      <c r="R1137">
        <f t="shared" si="1031"/>
        <v>1255585.4166127921</v>
      </c>
      <c r="S1137">
        <f t="shared" si="1032"/>
        <v>12.55585416612792</v>
      </c>
      <c r="T1137">
        <f t="shared" si="1033"/>
        <v>1.255585416612792E-2</v>
      </c>
    </row>
    <row r="1138" spans="1:20" x14ac:dyDescent="0.25">
      <c r="A1138" s="5">
        <v>43455</v>
      </c>
      <c r="B1138">
        <v>5.6760999999999999</v>
      </c>
      <c r="C1138">
        <v>5.7896999999999998</v>
      </c>
      <c r="D1138">
        <v>5.3166000000000002</v>
      </c>
      <c r="E1138">
        <v>5.4766000000000004</v>
      </c>
      <c r="F1138">
        <v>1592262.74</v>
      </c>
      <c r="G1138">
        <v>0</v>
      </c>
      <c r="L1138" t="s">
        <v>8</v>
      </c>
      <c r="M1138" t="s">
        <v>8</v>
      </c>
      <c r="N1138" t="s">
        <v>8</v>
      </c>
      <c r="P1138">
        <f t="shared" si="1029"/>
        <v>-0.32361023039526415</v>
      </c>
      <c r="Q1138">
        <f t="shared" si="1030"/>
        <v>-515272.5121411946</v>
      </c>
      <c r="R1138">
        <f t="shared" si="1031"/>
        <v>-224003.9902215036</v>
      </c>
      <c r="S1138">
        <f t="shared" si="1032"/>
        <v>-2.2400399022150359</v>
      </c>
      <c r="T1138">
        <f t="shared" si="1033"/>
        <v>-2.2400399022150358E-3</v>
      </c>
    </row>
    <row r="1139" spans="1:20" x14ac:dyDescent="0.25">
      <c r="A1139" s="5">
        <v>43454</v>
      </c>
      <c r="B1139">
        <v>5.3627000000000002</v>
      </c>
      <c r="C1139">
        <v>5.79</v>
      </c>
      <c r="D1139">
        <v>5.2369000000000003</v>
      </c>
      <c r="E1139">
        <v>5.6765999999999996</v>
      </c>
      <c r="F1139">
        <v>2160302.61</v>
      </c>
      <c r="G1139">
        <v>0</v>
      </c>
      <c r="L1139" t="s">
        <v>7</v>
      </c>
      <c r="M1139" t="s">
        <v>8</v>
      </c>
      <c r="N1139" t="s">
        <v>8</v>
      </c>
      <c r="P1139">
        <f t="shared" si="1029"/>
        <v>0.58994756825167072</v>
      </c>
      <c r="Q1139">
        <f t="shared" si="1030"/>
        <v>1274465.2714572374</v>
      </c>
      <c r="R1139">
        <f t="shared" si="1031"/>
        <v>291268.521919691</v>
      </c>
      <c r="S1139">
        <f t="shared" si="1032"/>
        <v>2.9126852191969101</v>
      </c>
      <c r="T1139">
        <f t="shared" si="1033"/>
        <v>2.9126852191969101E-3</v>
      </c>
    </row>
    <row r="1140" spans="1:20" x14ac:dyDescent="0.25">
      <c r="A1140" s="5">
        <v>43453</v>
      </c>
      <c r="B1140">
        <v>5.5349000000000004</v>
      </c>
      <c r="C1140">
        <v>5.8331</v>
      </c>
      <c r="D1140">
        <v>5.2847</v>
      </c>
      <c r="E1140">
        <v>5.3632999999999997</v>
      </c>
      <c r="F1140">
        <v>1805892.76</v>
      </c>
      <c r="G1140">
        <v>0</v>
      </c>
      <c r="L1140" t="s">
        <v>8</v>
      </c>
      <c r="M1140" t="s">
        <v>8</v>
      </c>
      <c r="N1140" t="s">
        <v>8</v>
      </c>
      <c r="P1140">
        <f t="shared" si="1029"/>
        <v>-0.71334792122538371</v>
      </c>
      <c r="Q1140">
        <f t="shared" si="1030"/>
        <v>-1288229.8463019708</v>
      </c>
      <c r="R1140">
        <f t="shared" si="1031"/>
        <v>-983196.74953754642</v>
      </c>
      <c r="S1140">
        <f t="shared" si="1032"/>
        <v>-9.8319674953754639</v>
      </c>
      <c r="T1140">
        <f t="shared" si="1033"/>
        <v>-9.8319674953754634E-3</v>
      </c>
    </row>
    <row r="1141" spans="1:20" x14ac:dyDescent="0.25">
      <c r="A1141" s="5">
        <v>43452</v>
      </c>
      <c r="B1141">
        <v>5.0650000000000004</v>
      </c>
      <c r="C1141">
        <v>5.5362</v>
      </c>
      <c r="D1141">
        <v>4.9000000000000004</v>
      </c>
      <c r="E1141">
        <v>5.5308000000000002</v>
      </c>
      <c r="F1141">
        <v>1906857.24</v>
      </c>
      <c r="G1141">
        <v>0</v>
      </c>
      <c r="L1141" t="s">
        <v>8</v>
      </c>
      <c r="M1141" t="s">
        <v>8</v>
      </c>
      <c r="N1141" t="s">
        <v>7</v>
      </c>
      <c r="P1141">
        <f t="shared" si="1029"/>
        <v>0.98302420622445819</v>
      </c>
      <c r="Q1141">
        <f t="shared" si="1030"/>
        <v>1874486.8247343611</v>
      </c>
      <c r="R1141">
        <f t="shared" si="1031"/>
        <v>305033.09676442435</v>
      </c>
      <c r="S1141">
        <f t="shared" si="1032"/>
        <v>3.0503309676442436</v>
      </c>
      <c r="T1141">
        <f t="shared" si="1033"/>
        <v>3.0503309676442438E-3</v>
      </c>
    </row>
    <row r="1142" spans="1:20" x14ac:dyDescent="0.25">
      <c r="A1142" s="5">
        <v>43451</v>
      </c>
      <c r="B1142">
        <v>4.6193</v>
      </c>
      <c r="C1142">
        <v>5.1271000000000004</v>
      </c>
      <c r="D1142">
        <v>4.601</v>
      </c>
      <c r="E1142">
        <v>5.0650000000000004</v>
      </c>
      <c r="F1142">
        <v>1507154.37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0.76392320851549134</v>
      </c>
      <c r="Q1142">
        <f t="shared" si="1030"/>
        <v>1151350.2020585441</v>
      </c>
      <c r="R1142">
        <f t="shared" si="1031"/>
        <v>-1569453.7279699368</v>
      </c>
      <c r="S1142">
        <f t="shared" si="1032"/>
        <v>-15.694537279699368</v>
      </c>
      <c r="T1142">
        <f t="shared" si="1033"/>
        <v>-1.5694537279699369E-2</v>
      </c>
    </row>
    <row r="1143" spans="1:20" x14ac:dyDescent="0.25">
      <c r="A1143" s="5">
        <v>43450</v>
      </c>
      <c r="B1143">
        <v>4.5479000000000003</v>
      </c>
      <c r="C1143">
        <v>4.7064000000000004</v>
      </c>
      <c r="D1143">
        <v>4.5088999999999997</v>
      </c>
      <c r="E1143">
        <v>4.6159999999999997</v>
      </c>
      <c r="F1143">
        <v>1069563.77</v>
      </c>
      <c r="G1143">
        <v>0</v>
      </c>
      <c r="L1143" t="s">
        <v>7</v>
      </c>
      <c r="M1143" t="s">
        <v>8</v>
      </c>
      <c r="N1143" t="s">
        <v>7</v>
      </c>
      <c r="P1143">
        <f t="shared" si="1029"/>
        <v>8.4556962025312474E-2</v>
      </c>
      <c r="Q1143">
        <f t="shared" si="1030"/>
        <v>90439.063083540052</v>
      </c>
      <c r="R1143">
        <f t="shared" si="1031"/>
        <v>-2720803.9300284809</v>
      </c>
      <c r="S1143">
        <f t="shared" si="1032"/>
        <v>-27.20803930028481</v>
      </c>
      <c r="T1143">
        <f t="shared" si="1033"/>
        <v>-2.7208039300284811E-2</v>
      </c>
    </row>
    <row r="1144" spans="1:20" x14ac:dyDescent="0.25">
      <c r="A1144" s="5">
        <v>43449</v>
      </c>
      <c r="B1144">
        <v>4.5148000000000001</v>
      </c>
      <c r="C1144">
        <v>4.5990000000000002</v>
      </c>
      <c r="D1144">
        <v>4.4436</v>
      </c>
      <c r="E1144">
        <v>4.5530999999999997</v>
      </c>
      <c r="F1144">
        <v>969833.44</v>
      </c>
      <c r="G1144">
        <v>0</v>
      </c>
      <c r="L1144" t="s">
        <v>7</v>
      </c>
      <c r="M1144" t="s">
        <v>8</v>
      </c>
      <c r="N1144" t="s">
        <v>7</v>
      </c>
      <c r="P1144">
        <f t="shared" si="1029"/>
        <v>0.40926640926640367</v>
      </c>
      <c r="Q1144">
        <f t="shared" si="1030"/>
        <v>396920.24957528414</v>
      </c>
      <c r="R1144">
        <f t="shared" si="1031"/>
        <v>-2811242.9931120211</v>
      </c>
      <c r="S1144">
        <f t="shared" si="1032"/>
        <v>-28.112429931120211</v>
      </c>
      <c r="T1144">
        <f t="shared" si="1033"/>
        <v>-2.811242993112021E-2</v>
      </c>
    </row>
    <row r="1145" spans="1:20" x14ac:dyDescent="0.25">
      <c r="A1145" s="5">
        <v>43448</v>
      </c>
      <c r="B1145">
        <v>4.6398999999999999</v>
      </c>
      <c r="C1145">
        <v>4.75</v>
      </c>
      <c r="D1145">
        <v>4.43</v>
      </c>
      <c r="E1145">
        <v>4.5210999999999997</v>
      </c>
      <c r="F1145">
        <v>946936.19</v>
      </c>
      <c r="G1145">
        <v>0</v>
      </c>
      <c r="L1145" t="s">
        <v>7</v>
      </c>
      <c r="M1145" t="s">
        <v>8</v>
      </c>
      <c r="N1145" t="s">
        <v>7</v>
      </c>
      <c r="P1145">
        <f t="shared" si="1029"/>
        <v>-0.43062500000000076</v>
      </c>
      <c r="Q1145">
        <f t="shared" si="1030"/>
        <v>-407774.39681875071</v>
      </c>
      <c r="R1145">
        <f t="shared" si="1031"/>
        <v>-3208163.2426873054</v>
      </c>
      <c r="S1145">
        <f t="shared" si="1032"/>
        <v>-32.081632426873057</v>
      </c>
      <c r="T1145">
        <f t="shared" si="1033"/>
        <v>-3.2081632426873057E-2</v>
      </c>
    </row>
    <row r="1146" spans="1:20" x14ac:dyDescent="0.25">
      <c r="A1146" s="5">
        <v>43447</v>
      </c>
      <c r="B1146">
        <v>4.9820000000000002</v>
      </c>
      <c r="C1146">
        <v>4.9932999999999996</v>
      </c>
      <c r="D1146">
        <v>4.5563000000000002</v>
      </c>
      <c r="E1146">
        <v>4.6383999999999999</v>
      </c>
      <c r="F1146">
        <v>1003196.18</v>
      </c>
      <c r="G1146">
        <v>0</v>
      </c>
      <c r="L1146" t="s">
        <v>7</v>
      </c>
      <c r="M1146" t="s">
        <v>8</v>
      </c>
      <c r="N1146" t="s">
        <v>7</v>
      </c>
      <c r="P1146">
        <f t="shared" si="1029"/>
        <v>-0.62425629290617968</v>
      </c>
      <c r="Q1146">
        <f t="shared" si="1030"/>
        <v>-626251.52838444058</v>
      </c>
      <c r="R1146">
        <f t="shared" si="1031"/>
        <v>-2800388.8458685549</v>
      </c>
      <c r="S1146">
        <f t="shared" si="1032"/>
        <v>-28.003888458685548</v>
      </c>
      <c r="T1146">
        <f t="shared" si="1033"/>
        <v>-2.8003888458685549E-2</v>
      </c>
    </row>
    <row r="1147" spans="1:20" x14ac:dyDescent="0.25">
      <c r="A1147" s="5">
        <v>43446</v>
      </c>
      <c r="B1147">
        <v>4.8936000000000002</v>
      </c>
      <c r="C1147">
        <v>5.15</v>
      </c>
      <c r="D1147">
        <v>4.7389999999999999</v>
      </c>
      <c r="E1147">
        <v>4.9814999999999996</v>
      </c>
      <c r="F1147">
        <v>1196552.29</v>
      </c>
      <c r="G1147">
        <v>0</v>
      </c>
      <c r="L1147" t="s">
        <v>8</v>
      </c>
      <c r="M1147" t="s">
        <v>8</v>
      </c>
      <c r="N1147" t="s">
        <v>7</v>
      </c>
      <c r="P1147">
        <f t="shared" si="1029"/>
        <v>0.18004866180048387</v>
      </c>
      <c r="Q1147">
        <f t="shared" si="1030"/>
        <v>215437.63858880452</v>
      </c>
      <c r="R1147">
        <f t="shared" si="1031"/>
        <v>-2174137.3174841143</v>
      </c>
      <c r="S1147">
        <f t="shared" si="1032"/>
        <v>-21.741373174841144</v>
      </c>
      <c r="T1147">
        <f t="shared" si="1033"/>
        <v>-2.1741373174841143E-2</v>
      </c>
    </row>
    <row r="1148" spans="1:20" x14ac:dyDescent="0.25">
      <c r="A1148" s="5">
        <v>43445</v>
      </c>
      <c r="B1148">
        <v>4.6296999999999997</v>
      </c>
      <c r="C1148">
        <v>4.9295</v>
      </c>
      <c r="D1148">
        <v>4.5</v>
      </c>
      <c r="E1148">
        <v>4.8973000000000004</v>
      </c>
      <c r="F1148">
        <v>1232098.43</v>
      </c>
      <c r="G1148">
        <v>0</v>
      </c>
      <c r="L1148" t="s">
        <v>8</v>
      </c>
      <c r="M1148" t="s">
        <v>7</v>
      </c>
      <c r="N1148" t="s">
        <v>7</v>
      </c>
      <c r="P1148">
        <f t="shared" si="1029"/>
        <v>0.85005820721769698</v>
      </c>
      <c r="Q1148">
        <f t="shared" si="1030"/>
        <v>1047355.3825215391</v>
      </c>
      <c r="R1148">
        <f t="shared" si="1031"/>
        <v>-2389574.9560729191</v>
      </c>
      <c r="S1148">
        <f t="shared" si="1032"/>
        <v>-23.89574956072919</v>
      </c>
      <c r="T1148">
        <f t="shared" si="1033"/>
        <v>-2.389574956072919E-2</v>
      </c>
    </row>
    <row r="1149" spans="1:20" x14ac:dyDescent="0.25">
      <c r="A1149" s="5">
        <v>43444</v>
      </c>
      <c r="B1149">
        <v>4.7693000000000003</v>
      </c>
      <c r="C1149">
        <v>4.9398</v>
      </c>
      <c r="D1149">
        <v>4.4698000000000002</v>
      </c>
      <c r="E1149">
        <v>4.6276000000000002</v>
      </c>
      <c r="F1149">
        <v>928495.85</v>
      </c>
      <c r="G1149">
        <v>0</v>
      </c>
      <c r="L1149" t="s">
        <v>7</v>
      </c>
      <c r="M1149" t="s">
        <v>7</v>
      </c>
      <c r="N1149" t="s">
        <v>7</v>
      </c>
      <c r="P1149">
        <f t="shared" si="1029"/>
        <v>-0.32851063829787225</v>
      </c>
      <c r="Q1149">
        <f t="shared" si="1030"/>
        <v>-305020.76434042543</v>
      </c>
      <c r="R1149">
        <f t="shared" si="1031"/>
        <v>-3436930.3385944581</v>
      </c>
      <c r="S1149">
        <f t="shared" si="1032"/>
        <v>-34.369303385944583</v>
      </c>
      <c r="T1149">
        <f t="shared" si="1033"/>
        <v>-3.4369303385944586E-2</v>
      </c>
    </row>
    <row r="1150" spans="1:20" x14ac:dyDescent="0.25">
      <c r="A1150" s="5">
        <v>43443</v>
      </c>
      <c r="B1150">
        <v>4.6280000000000001</v>
      </c>
      <c r="C1150">
        <v>5.0003000000000002</v>
      </c>
      <c r="D1150">
        <v>4.5167000000000002</v>
      </c>
      <c r="E1150">
        <v>4.7693000000000003</v>
      </c>
      <c r="F1150">
        <v>1505537.64</v>
      </c>
      <c r="G1150">
        <v>0</v>
      </c>
      <c r="L1150" t="s">
        <v>8</v>
      </c>
      <c r="M1150" t="s">
        <v>7</v>
      </c>
      <c r="N1150" t="s">
        <v>7</v>
      </c>
      <c r="P1150">
        <f t="shared" si="1029"/>
        <v>4.4665012406948479E-2</v>
      </c>
      <c r="Q1150">
        <f t="shared" si="1030"/>
        <v>67244.857369727921</v>
      </c>
      <c r="R1150">
        <f t="shared" si="1031"/>
        <v>-3131909.5742540327</v>
      </c>
      <c r="S1150">
        <f t="shared" si="1032"/>
        <v>-31.319095742540327</v>
      </c>
      <c r="T1150">
        <f t="shared" si="1033"/>
        <v>-3.1319095742540326E-2</v>
      </c>
    </row>
    <row r="1151" spans="1:20" x14ac:dyDescent="0.25">
      <c r="A1151" s="5">
        <v>43442</v>
      </c>
      <c r="B1151">
        <v>4.5118</v>
      </c>
      <c r="C1151">
        <v>4.8009000000000004</v>
      </c>
      <c r="D1151">
        <v>4.3000999999999996</v>
      </c>
      <c r="E1151">
        <v>4.6360999999999999</v>
      </c>
      <c r="F1151">
        <v>1260790.7</v>
      </c>
      <c r="G1151">
        <v>0</v>
      </c>
      <c r="L1151" t="s">
        <v>8</v>
      </c>
      <c r="M1151" t="s">
        <v>7</v>
      </c>
      <c r="N1151" t="s">
        <v>7</v>
      </c>
      <c r="P1151">
        <f t="shared" ref="P1151:P1195" si="1034">IF(C1151=D1151,0,((E1151-D1151)-(C1151-E1151))/(C1151-D1151))</f>
        <v>0.34185303514376902</v>
      </c>
      <c r="Q1151">
        <f t="shared" ref="Q1151:Q1195" si="1035">F1151*P1151</f>
        <v>431005.12747603713</v>
      </c>
      <c r="R1151">
        <f t="shared" ref="R1151:R1195" si="1036">R1152+Q1151</f>
        <v>-3199154.4316237606</v>
      </c>
      <c r="S1151">
        <f t="shared" ref="S1151:S1195" si="1037">R1151/100000</f>
        <v>-31.991544316237608</v>
      </c>
      <c r="T1151">
        <f t="shared" ref="T1151:T1195" si="1038">S1151/1000</f>
        <v>-3.1991544316237609E-2</v>
      </c>
    </row>
    <row r="1152" spans="1:20" x14ac:dyDescent="0.25">
      <c r="A1152" s="5">
        <v>43441</v>
      </c>
      <c r="B1152">
        <v>4.8977000000000004</v>
      </c>
      <c r="C1152">
        <v>4.9996999999999998</v>
      </c>
      <c r="D1152">
        <v>4.12</v>
      </c>
      <c r="E1152">
        <v>4.516</v>
      </c>
      <c r="F1152">
        <v>2250208.5299999998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-9.9693077185404017E-2</v>
      </c>
      <c r="Q1152">
        <f t="shared" si="1035"/>
        <v>-224330.2126645445</v>
      </c>
      <c r="R1152">
        <f t="shared" si="1036"/>
        <v>-3630159.5590997976</v>
      </c>
      <c r="S1152">
        <f t="shared" si="1037"/>
        <v>-36.301595590997977</v>
      </c>
      <c r="T1152">
        <f t="shared" si="1038"/>
        <v>-3.6301595590997979E-2</v>
      </c>
    </row>
    <row r="1153" spans="1:20" x14ac:dyDescent="0.25">
      <c r="A1153" s="5">
        <v>43440</v>
      </c>
      <c r="B1153">
        <v>6.0689000000000002</v>
      </c>
      <c r="C1153">
        <v>6.109</v>
      </c>
      <c r="D1153">
        <v>4.8499999999999996</v>
      </c>
      <c r="E1153">
        <v>4.9023000000000003</v>
      </c>
      <c r="F1153">
        <v>3033034.77</v>
      </c>
      <c r="G1153">
        <v>0</v>
      </c>
      <c r="L1153" t="s">
        <v>7</v>
      </c>
      <c r="M1153" t="s">
        <v>7</v>
      </c>
      <c r="N1153" t="s">
        <v>8</v>
      </c>
      <c r="P1153">
        <f t="shared" si="1034"/>
        <v>-0.91691818903891875</v>
      </c>
      <c r="Q1153">
        <f t="shared" si="1035"/>
        <v>-2781044.7486004736</v>
      </c>
      <c r="R1153">
        <f t="shared" si="1036"/>
        <v>-3405829.346435253</v>
      </c>
      <c r="S1153">
        <f t="shared" si="1037"/>
        <v>-34.058293464352531</v>
      </c>
      <c r="T1153">
        <f t="shared" si="1038"/>
        <v>-3.4058293464352532E-2</v>
      </c>
    </row>
    <row r="1154" spans="1:20" x14ac:dyDescent="0.25">
      <c r="A1154" s="5">
        <v>43439</v>
      </c>
      <c r="B1154">
        <v>5.9020000000000001</v>
      </c>
      <c r="C1154">
        <v>6.62</v>
      </c>
      <c r="D1154">
        <v>5.7225000000000001</v>
      </c>
      <c r="E1154">
        <v>6.0727000000000002</v>
      </c>
      <c r="F1154">
        <v>4208247.78</v>
      </c>
      <c r="G1154">
        <v>0</v>
      </c>
      <c r="L1154" t="s">
        <v>8</v>
      </c>
      <c r="M1154" t="s">
        <v>8</v>
      </c>
      <c r="N1154" t="s">
        <v>8</v>
      </c>
      <c r="P1154">
        <f t="shared" si="1034"/>
        <v>-0.21961002785515302</v>
      </c>
      <c r="Q1154">
        <f t="shared" si="1035"/>
        <v>-924173.41218718595</v>
      </c>
      <c r="R1154">
        <f t="shared" si="1036"/>
        <v>-624784.59783477953</v>
      </c>
      <c r="S1154">
        <f t="shared" si="1037"/>
        <v>-6.2478459783477955</v>
      </c>
      <c r="T1154">
        <f t="shared" si="1038"/>
        <v>-6.2478459783477953E-3</v>
      </c>
    </row>
    <row r="1155" spans="1:20" x14ac:dyDescent="0.25">
      <c r="A1155" s="5">
        <v>43438</v>
      </c>
      <c r="B1155">
        <v>5.1294000000000004</v>
      </c>
      <c r="C1155">
        <v>6.3648999999999996</v>
      </c>
      <c r="D1155">
        <v>5.0856000000000003</v>
      </c>
      <c r="E1155">
        <v>5.9020000000000001</v>
      </c>
      <c r="F1155">
        <v>2238490.16</v>
      </c>
      <c r="G1155">
        <v>0</v>
      </c>
      <c r="L1155" t="s">
        <v>8</v>
      </c>
      <c r="M1155" t="s">
        <v>8</v>
      </c>
      <c r="N1155" t="s">
        <v>8</v>
      </c>
      <c r="P1155">
        <f t="shared" si="1034"/>
        <v>0.27632298913468351</v>
      </c>
      <c r="Q1155">
        <f t="shared" si="1035"/>
        <v>618546.29215977597</v>
      </c>
      <c r="R1155">
        <f t="shared" si="1036"/>
        <v>299388.81435240642</v>
      </c>
      <c r="S1155">
        <f t="shared" si="1037"/>
        <v>2.9938881435240643</v>
      </c>
      <c r="T1155">
        <f t="shared" si="1038"/>
        <v>2.9938881435240643E-3</v>
      </c>
    </row>
    <row r="1156" spans="1:20" x14ac:dyDescent="0.25">
      <c r="A1156" s="5">
        <v>43437</v>
      </c>
      <c r="B1156">
        <v>5.2831000000000001</v>
      </c>
      <c r="C1156">
        <v>5.2956000000000003</v>
      </c>
      <c r="D1156">
        <v>5.01</v>
      </c>
      <c r="E1156">
        <v>5.1265999999999998</v>
      </c>
      <c r="F1156">
        <v>673983.38</v>
      </c>
      <c r="G1156">
        <v>0</v>
      </c>
      <c r="L1156" t="s">
        <v>7</v>
      </c>
      <c r="M1156" t="s">
        <v>8</v>
      </c>
      <c r="N1156" t="s">
        <v>7</v>
      </c>
      <c r="P1156">
        <f t="shared" si="1034"/>
        <v>-0.18347338935574353</v>
      </c>
      <c r="Q1156">
        <f t="shared" si="1035"/>
        <v>-123658.01509804005</v>
      </c>
      <c r="R1156">
        <f t="shared" si="1036"/>
        <v>-319157.47780736955</v>
      </c>
      <c r="S1156">
        <f t="shared" si="1037"/>
        <v>-3.1915747780736954</v>
      </c>
      <c r="T1156">
        <f t="shared" si="1038"/>
        <v>-3.1915747780736953E-3</v>
      </c>
    </row>
    <row r="1157" spans="1:20" x14ac:dyDescent="0.25">
      <c r="A1157" s="5">
        <v>43436</v>
      </c>
      <c r="B1157">
        <v>5.2786999999999997</v>
      </c>
      <c r="C1157">
        <v>5.4356999999999998</v>
      </c>
      <c r="D1157">
        <v>5.2050000000000001</v>
      </c>
      <c r="E1157">
        <v>5.2888000000000002</v>
      </c>
      <c r="F1157">
        <v>853331.61</v>
      </c>
      <c r="G1157">
        <v>0</v>
      </c>
      <c r="L1157" t="s">
        <v>8</v>
      </c>
      <c r="M1157" t="s">
        <v>8</v>
      </c>
      <c r="N1157" t="s">
        <v>7</v>
      </c>
      <c r="P1157">
        <f t="shared" si="1034"/>
        <v>-0.27351538794971642</v>
      </c>
      <c r="Q1157">
        <f t="shared" si="1035"/>
        <v>-233399.32635890611</v>
      </c>
      <c r="R1157">
        <f t="shared" si="1036"/>
        <v>-195499.4627093295</v>
      </c>
      <c r="S1157">
        <f t="shared" si="1037"/>
        <v>-1.954994627093295</v>
      </c>
      <c r="T1157">
        <f t="shared" si="1038"/>
        <v>-1.9549946270932951E-3</v>
      </c>
    </row>
    <row r="1158" spans="1:20" x14ac:dyDescent="0.25">
      <c r="A1158" s="5">
        <v>43435</v>
      </c>
      <c r="B1158">
        <v>5.1121999999999996</v>
      </c>
      <c r="C1158">
        <v>5.4005999999999998</v>
      </c>
      <c r="D1158">
        <v>5.0072000000000001</v>
      </c>
      <c r="E1158">
        <v>5.2899000000000003</v>
      </c>
      <c r="F1158">
        <v>925388.42</v>
      </c>
      <c r="G1158">
        <v>0</v>
      </c>
      <c r="L1158" t="s">
        <v>8</v>
      </c>
      <c r="M1158" t="s">
        <v>8</v>
      </c>
      <c r="N1158" t="s">
        <v>7</v>
      </c>
      <c r="P1158">
        <f t="shared" si="1034"/>
        <v>0.43721403152008315</v>
      </c>
      <c r="Q1158">
        <f t="shared" si="1035"/>
        <v>404592.80183019995</v>
      </c>
      <c r="R1158">
        <f t="shared" si="1036"/>
        <v>37899.863649576611</v>
      </c>
      <c r="S1158">
        <f t="shared" si="1037"/>
        <v>0.37899863649576609</v>
      </c>
      <c r="T1158">
        <f t="shared" si="1038"/>
        <v>3.7899863649576611E-4</v>
      </c>
    </row>
    <row r="1159" spans="1:20" x14ac:dyDescent="0.25">
      <c r="A1159" s="5">
        <v>43434</v>
      </c>
      <c r="B1159">
        <v>5.3902000000000001</v>
      </c>
      <c r="C1159">
        <v>5.4480000000000004</v>
      </c>
      <c r="D1159">
        <v>4.9534000000000002</v>
      </c>
      <c r="E1159">
        <v>5.1150000000000002</v>
      </c>
      <c r="F1159">
        <v>709284.02</v>
      </c>
      <c r="G1159">
        <v>0</v>
      </c>
      <c r="L1159" t="s">
        <v>7</v>
      </c>
      <c r="M1159" t="s">
        <v>8</v>
      </c>
      <c r="N1159" t="s">
        <v>7</v>
      </c>
      <c r="P1159">
        <f t="shared" si="1034"/>
        <v>-0.34654266073594858</v>
      </c>
      <c r="Q1159">
        <f t="shared" si="1035"/>
        <v>-245797.17150828979</v>
      </c>
      <c r="R1159">
        <f t="shared" si="1036"/>
        <v>-366692.93818062334</v>
      </c>
      <c r="S1159">
        <f t="shared" si="1037"/>
        <v>-3.6669293818062334</v>
      </c>
      <c r="T1159">
        <f t="shared" si="1038"/>
        <v>-3.6669293818062335E-3</v>
      </c>
    </row>
    <row r="1160" spans="1:20" x14ac:dyDescent="0.25">
      <c r="A1160" s="5">
        <v>43433</v>
      </c>
      <c r="B1160">
        <v>5.3498000000000001</v>
      </c>
      <c r="C1160">
        <v>5.6344000000000003</v>
      </c>
      <c r="D1160">
        <v>5.1242999999999999</v>
      </c>
      <c r="E1160">
        <v>5.3804999999999996</v>
      </c>
      <c r="F1160">
        <v>1018322.99</v>
      </c>
      <c r="G1160">
        <v>0</v>
      </c>
      <c r="L1160" t="s">
        <v>8</v>
      </c>
      <c r="M1160" t="s">
        <v>8</v>
      </c>
      <c r="N1160" t="s">
        <v>7</v>
      </c>
      <c r="P1160">
        <f t="shared" si="1034"/>
        <v>4.5089198196414009E-3</v>
      </c>
      <c r="Q1160">
        <f t="shared" si="1035"/>
        <v>4591.5367124074919</v>
      </c>
      <c r="R1160">
        <f t="shared" si="1036"/>
        <v>-120895.76667233357</v>
      </c>
      <c r="S1160">
        <f t="shared" si="1037"/>
        <v>-1.2089576667233357</v>
      </c>
      <c r="T1160">
        <f t="shared" si="1038"/>
        <v>-1.2089576667233357E-3</v>
      </c>
    </row>
    <row r="1161" spans="1:20" x14ac:dyDescent="0.25">
      <c r="A1161" s="5">
        <v>43432</v>
      </c>
      <c r="B1161">
        <v>4.984</v>
      </c>
      <c r="C1161">
        <v>5.4603000000000002</v>
      </c>
      <c r="D1161">
        <v>4.984</v>
      </c>
      <c r="E1161">
        <v>5.3498999999999999</v>
      </c>
      <c r="F1161">
        <v>1144816.8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0.53642662187696732</v>
      </c>
      <c r="Q1161">
        <f t="shared" si="1035"/>
        <v>614110.20869199978</v>
      </c>
      <c r="R1161">
        <f t="shared" si="1036"/>
        <v>-125487.30338474107</v>
      </c>
      <c r="S1161">
        <f t="shared" si="1037"/>
        <v>-1.2548730338474108</v>
      </c>
      <c r="T1161">
        <f t="shared" si="1038"/>
        <v>-1.2548730338474109E-3</v>
      </c>
    </row>
    <row r="1162" spans="1:20" x14ac:dyDescent="0.25">
      <c r="A1162" s="5">
        <v>43431</v>
      </c>
      <c r="B1162">
        <v>5.0629999999999997</v>
      </c>
      <c r="C1162">
        <v>5.0629999999999997</v>
      </c>
      <c r="D1162">
        <v>4.7045000000000003</v>
      </c>
      <c r="E1162">
        <v>4.984</v>
      </c>
      <c r="F1162">
        <v>701759.11</v>
      </c>
      <c r="G1162">
        <v>0</v>
      </c>
      <c r="L1162" t="s">
        <v>7</v>
      </c>
      <c r="M1162" t="s">
        <v>8</v>
      </c>
      <c r="N1162" t="s">
        <v>7</v>
      </c>
      <c r="P1162">
        <f t="shared" si="1034"/>
        <v>0.55927475592747633</v>
      </c>
      <c r="Q1162">
        <f t="shared" si="1035"/>
        <v>392476.154965133</v>
      </c>
      <c r="R1162">
        <f t="shared" si="1036"/>
        <v>-739597.51207674085</v>
      </c>
      <c r="S1162">
        <f t="shared" si="1037"/>
        <v>-7.3959751207674085</v>
      </c>
      <c r="T1162">
        <f t="shared" si="1038"/>
        <v>-7.3959751207674082E-3</v>
      </c>
    </row>
    <row r="1163" spans="1:20" x14ac:dyDescent="0.25">
      <c r="A1163" s="5">
        <v>43430</v>
      </c>
      <c r="B1163">
        <v>5.28</v>
      </c>
      <c r="C1163">
        <v>5.4</v>
      </c>
      <c r="D1163">
        <v>4.7568000000000001</v>
      </c>
      <c r="E1163">
        <v>5.0631000000000004</v>
      </c>
      <c r="F1163">
        <v>852519.37</v>
      </c>
      <c r="G1163">
        <v>0</v>
      </c>
      <c r="L1163" t="s">
        <v>8</v>
      </c>
      <c r="M1163" t="s">
        <v>8</v>
      </c>
      <c r="N1163" t="s">
        <v>7</v>
      </c>
      <c r="P1163">
        <f t="shared" si="1034"/>
        <v>-4.7574626865671217E-2</v>
      </c>
      <c r="Q1163">
        <f t="shared" si="1035"/>
        <v>-40558.290923507098</v>
      </c>
      <c r="R1163">
        <f t="shared" si="1036"/>
        <v>-1132073.6670418738</v>
      </c>
      <c r="S1163">
        <f t="shared" si="1037"/>
        <v>-11.320736670418738</v>
      </c>
      <c r="T1163">
        <f t="shared" si="1038"/>
        <v>-1.1320736670418738E-2</v>
      </c>
    </row>
    <row r="1164" spans="1:20" x14ac:dyDescent="0.25">
      <c r="A1164" s="5">
        <v>43429</v>
      </c>
      <c r="B1164">
        <v>5.1989999999999998</v>
      </c>
      <c r="C1164">
        <v>5.38</v>
      </c>
      <c r="D1164">
        <v>4.532</v>
      </c>
      <c r="E1164">
        <v>5.2873000000000001</v>
      </c>
      <c r="F1164">
        <v>1003892.67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0.78136792452830239</v>
      </c>
      <c r="Q1164">
        <f t="shared" si="1035"/>
        <v>784409.53200707596</v>
      </c>
      <c r="R1164">
        <f t="shared" si="1036"/>
        <v>-1091515.3761183666</v>
      </c>
      <c r="S1164">
        <f t="shared" si="1037"/>
        <v>-10.915153761183666</v>
      </c>
      <c r="T1164">
        <f t="shared" si="1038"/>
        <v>-1.0915153761183665E-2</v>
      </c>
    </row>
    <row r="1165" spans="1:20" x14ac:dyDescent="0.25">
      <c r="A1165" s="5">
        <v>43428</v>
      </c>
      <c r="B1165">
        <v>5.6524999999999999</v>
      </c>
      <c r="C1165">
        <v>5.8055000000000003</v>
      </c>
      <c r="D1165">
        <v>4.7632000000000003</v>
      </c>
      <c r="E1165">
        <v>5.1929999999999996</v>
      </c>
      <c r="F1165">
        <v>917700.21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-0.17528542646071324</v>
      </c>
      <c r="Q1165">
        <f t="shared" si="1035"/>
        <v>-160859.4726729361</v>
      </c>
      <c r="R1165">
        <f t="shared" si="1036"/>
        <v>-1875924.9081254425</v>
      </c>
      <c r="S1165">
        <f t="shared" si="1037"/>
        <v>-18.759249081254424</v>
      </c>
      <c r="T1165">
        <f t="shared" si="1038"/>
        <v>-1.8759249081254425E-2</v>
      </c>
    </row>
    <row r="1166" spans="1:20" x14ac:dyDescent="0.25">
      <c r="A1166" s="5">
        <v>43427</v>
      </c>
      <c r="B1166">
        <v>5.7755000000000001</v>
      </c>
      <c r="C1166">
        <v>5.8395999999999999</v>
      </c>
      <c r="D1166">
        <v>5.45</v>
      </c>
      <c r="E1166">
        <v>5.6611000000000002</v>
      </c>
      <c r="F1166">
        <v>598556.9</v>
      </c>
      <c r="G1166">
        <v>0</v>
      </c>
      <c r="L1166" t="s">
        <v>7</v>
      </c>
      <c r="M1166" t="s">
        <v>7</v>
      </c>
      <c r="N1166" t="s">
        <v>7</v>
      </c>
      <c r="P1166">
        <f t="shared" si="1034"/>
        <v>8.3675564681725947E-2</v>
      </c>
      <c r="Q1166">
        <f t="shared" si="1035"/>
        <v>50084.586601643372</v>
      </c>
      <c r="R1166">
        <f t="shared" si="1036"/>
        <v>-1715065.4354525064</v>
      </c>
      <c r="S1166">
        <f t="shared" si="1037"/>
        <v>-17.150654354525063</v>
      </c>
      <c r="T1166">
        <f t="shared" si="1038"/>
        <v>-1.7150654354525063E-2</v>
      </c>
    </row>
    <row r="1167" spans="1:20" x14ac:dyDescent="0.25">
      <c r="A1167" s="5">
        <v>43426</v>
      </c>
      <c r="B1167">
        <v>6.2896000000000001</v>
      </c>
      <c r="C1167">
        <v>6.3727</v>
      </c>
      <c r="D1167">
        <v>5.7172000000000001</v>
      </c>
      <c r="E1167">
        <v>5.77</v>
      </c>
      <c r="F1167">
        <v>630372.06999999995</v>
      </c>
      <c r="G1167">
        <v>0</v>
      </c>
      <c r="L1167" t="s">
        <v>7</v>
      </c>
      <c r="M1167" t="s">
        <v>7</v>
      </c>
      <c r="N1167" t="s">
        <v>7</v>
      </c>
      <c r="P1167">
        <f t="shared" si="1034"/>
        <v>-0.83890160183066509</v>
      </c>
      <c r="Q1167">
        <f t="shared" si="1035"/>
        <v>-528820.13927231205</v>
      </c>
      <c r="R1167">
        <f t="shared" si="1036"/>
        <v>-1765150.0220541498</v>
      </c>
      <c r="S1167">
        <f t="shared" si="1037"/>
        <v>-17.651500220541497</v>
      </c>
      <c r="T1167">
        <f t="shared" si="1038"/>
        <v>-1.7651500220541495E-2</v>
      </c>
    </row>
    <row r="1168" spans="1:20" x14ac:dyDescent="0.25">
      <c r="A1168" s="5">
        <v>43425</v>
      </c>
      <c r="B1168">
        <v>5.9419000000000004</v>
      </c>
      <c r="C1168">
        <v>6.3230000000000004</v>
      </c>
      <c r="D1168">
        <v>5.6501999999999999</v>
      </c>
      <c r="E1168">
        <v>6.2893999999999997</v>
      </c>
      <c r="F1168">
        <v>842731.41</v>
      </c>
      <c r="G1168">
        <v>0</v>
      </c>
      <c r="L1168" t="s">
        <v>8</v>
      </c>
      <c r="M1168" t="s">
        <v>7</v>
      </c>
      <c r="N1168" t="s">
        <v>7</v>
      </c>
      <c r="P1168">
        <f t="shared" si="1034"/>
        <v>0.90011890606420719</v>
      </c>
      <c r="Q1168">
        <f t="shared" si="1035"/>
        <v>758558.47487514687</v>
      </c>
      <c r="R1168">
        <f t="shared" si="1036"/>
        <v>-1236329.8827818376</v>
      </c>
      <c r="S1168">
        <f t="shared" si="1037"/>
        <v>-12.363298827818376</v>
      </c>
      <c r="T1168">
        <f t="shared" si="1038"/>
        <v>-1.2363298827818376E-2</v>
      </c>
    </row>
    <row r="1169" spans="1:20" x14ac:dyDescent="0.25">
      <c r="A1169" s="5">
        <v>43424</v>
      </c>
      <c r="B1169">
        <v>6.7039999999999997</v>
      </c>
      <c r="C1169">
        <v>6.9050000000000002</v>
      </c>
      <c r="D1169">
        <v>5.6120000000000001</v>
      </c>
      <c r="E1169">
        <v>5.92</v>
      </c>
      <c r="F1169">
        <v>1624846.64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-0.52358855375096702</v>
      </c>
      <c r="Q1169">
        <f t="shared" si="1035"/>
        <v>-850751.10230471811</v>
      </c>
      <c r="R1169">
        <f t="shared" si="1036"/>
        <v>-1994888.3576569846</v>
      </c>
      <c r="S1169">
        <f t="shared" si="1037"/>
        <v>-19.948883576569845</v>
      </c>
      <c r="T1169">
        <f t="shared" si="1038"/>
        <v>-1.9948883576569845E-2</v>
      </c>
    </row>
    <row r="1170" spans="1:20" x14ac:dyDescent="0.25">
      <c r="A1170" s="5">
        <v>43423</v>
      </c>
      <c r="B1170">
        <v>8.0832999999999995</v>
      </c>
      <c r="C1170">
        <v>8.0917999999999992</v>
      </c>
      <c r="D1170">
        <v>6.6452999999999998</v>
      </c>
      <c r="E1170">
        <v>6.6844000000000001</v>
      </c>
      <c r="F1170">
        <v>1052222.08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-0.94593847217421312</v>
      </c>
      <c r="Q1170">
        <f t="shared" si="1035"/>
        <v>-995337.34674317273</v>
      </c>
      <c r="R1170">
        <f t="shared" si="1036"/>
        <v>-1144137.2553522666</v>
      </c>
      <c r="S1170">
        <f t="shared" si="1037"/>
        <v>-11.441372553522665</v>
      </c>
      <c r="T1170">
        <f t="shared" si="1038"/>
        <v>-1.1441372553522665E-2</v>
      </c>
    </row>
    <row r="1171" spans="1:20" x14ac:dyDescent="0.25">
      <c r="A1171" s="5">
        <v>43422</v>
      </c>
      <c r="B1171">
        <v>7.8493000000000004</v>
      </c>
      <c r="C1171">
        <v>8.1660000000000004</v>
      </c>
      <c r="D1171">
        <v>7.8300999999999998</v>
      </c>
      <c r="E1171">
        <v>8.0831999999999997</v>
      </c>
      <c r="F1171">
        <v>604839.75</v>
      </c>
      <c r="G1171">
        <v>0</v>
      </c>
      <c r="L1171" t="s">
        <v>8</v>
      </c>
      <c r="M1171" t="s">
        <v>7</v>
      </c>
      <c r="N1171" t="s">
        <v>8</v>
      </c>
      <c r="P1171">
        <f t="shared" si="1034"/>
        <v>0.50699612980053277</v>
      </c>
      <c r="Q1171">
        <f t="shared" si="1035"/>
        <v>306651.4123995218</v>
      </c>
      <c r="R1171">
        <f t="shared" si="1036"/>
        <v>-148799.90860909387</v>
      </c>
      <c r="S1171">
        <f t="shared" si="1037"/>
        <v>-1.4879990860909387</v>
      </c>
      <c r="T1171">
        <f t="shared" si="1038"/>
        <v>-1.4879990860909387E-3</v>
      </c>
    </row>
    <row r="1172" spans="1:20" x14ac:dyDescent="0.25">
      <c r="A1172" s="5">
        <v>43421</v>
      </c>
      <c r="B1172">
        <v>8.0097000000000005</v>
      </c>
      <c r="C1172">
        <v>8.0191999999999997</v>
      </c>
      <c r="D1172">
        <v>7.6845999999999997</v>
      </c>
      <c r="E1172">
        <v>7.8494000000000002</v>
      </c>
      <c r="F1172">
        <v>752867.47</v>
      </c>
      <c r="G1172">
        <v>0</v>
      </c>
      <c r="L1172" t="s">
        <v>7</v>
      </c>
      <c r="M1172" t="s">
        <v>7</v>
      </c>
      <c r="N1172" t="s">
        <v>8</v>
      </c>
      <c r="P1172">
        <f t="shared" si="1034"/>
        <v>-1.494321578003289E-2</v>
      </c>
      <c r="Q1172">
        <f t="shared" si="1035"/>
        <v>-11250.261057977437</v>
      </c>
      <c r="R1172">
        <f t="shared" si="1036"/>
        <v>-455451.32100861566</v>
      </c>
      <c r="S1172">
        <f t="shared" si="1037"/>
        <v>-4.5545132100861565</v>
      </c>
      <c r="T1172">
        <f t="shared" si="1038"/>
        <v>-4.5545132100861564E-3</v>
      </c>
    </row>
    <row r="1173" spans="1:20" x14ac:dyDescent="0.25">
      <c r="A1173" s="5">
        <v>43420</v>
      </c>
      <c r="B1173">
        <v>8.3793000000000006</v>
      </c>
      <c r="C1173">
        <v>8.4048999999999996</v>
      </c>
      <c r="D1173">
        <v>7.8</v>
      </c>
      <c r="E1173">
        <v>8.01</v>
      </c>
      <c r="F1173">
        <v>901842.25</v>
      </c>
      <c r="G1173">
        <v>0</v>
      </c>
      <c r="L1173" t="s">
        <v>8</v>
      </c>
      <c r="M1173" t="s">
        <v>7</v>
      </c>
      <c r="N1173" t="s">
        <v>8</v>
      </c>
      <c r="P1173">
        <f t="shared" si="1034"/>
        <v>-0.30567035873698117</v>
      </c>
      <c r="Q1173">
        <f t="shared" si="1035"/>
        <v>-275666.44408166624</v>
      </c>
      <c r="R1173">
        <f t="shared" si="1036"/>
        <v>-444201.05995063821</v>
      </c>
      <c r="S1173">
        <f t="shared" si="1037"/>
        <v>-4.4420105995063821</v>
      </c>
      <c r="T1173">
        <f t="shared" si="1038"/>
        <v>-4.4420105995063817E-3</v>
      </c>
    </row>
    <row r="1174" spans="1:20" x14ac:dyDescent="0.25">
      <c r="A1174" s="5">
        <v>43419</v>
      </c>
      <c r="B1174">
        <v>8.6896000000000004</v>
      </c>
      <c r="C1174">
        <v>8.7341999999999995</v>
      </c>
      <c r="D1174">
        <v>7.8</v>
      </c>
      <c r="E1174">
        <v>8.3793000000000006</v>
      </c>
      <c r="F1174">
        <v>822045.1</v>
      </c>
      <c r="G1174">
        <v>0</v>
      </c>
      <c r="L1174" t="s">
        <v>7</v>
      </c>
      <c r="M1174" t="s">
        <v>7</v>
      </c>
      <c r="N1174" t="s">
        <v>8</v>
      </c>
      <c r="P1174">
        <f t="shared" si="1034"/>
        <v>0.2402055234425198</v>
      </c>
      <c r="Q1174">
        <f t="shared" si="1035"/>
        <v>197459.77353885854</v>
      </c>
      <c r="R1174">
        <f t="shared" si="1036"/>
        <v>-168534.615868972</v>
      </c>
      <c r="S1174">
        <f t="shared" si="1037"/>
        <v>-1.68534615868972</v>
      </c>
      <c r="T1174">
        <f t="shared" si="1038"/>
        <v>-1.6853461586897201E-3</v>
      </c>
    </row>
    <row r="1175" spans="1:20" x14ac:dyDescent="0.25">
      <c r="A1175" s="5">
        <v>43418</v>
      </c>
      <c r="B1175">
        <v>9.3870000000000005</v>
      </c>
      <c r="C1175">
        <v>9.4452999999999996</v>
      </c>
      <c r="D1175">
        <v>8.3359000000000005</v>
      </c>
      <c r="E1175">
        <v>8.6811000000000007</v>
      </c>
      <c r="F1175">
        <v>672611.06</v>
      </c>
      <c r="G1175">
        <v>0</v>
      </c>
      <c r="L1175" t="s">
        <v>7</v>
      </c>
      <c r="M1175" t="s">
        <v>7</v>
      </c>
      <c r="N1175" t="s">
        <v>8</v>
      </c>
      <c r="P1175">
        <f t="shared" si="1034"/>
        <v>-0.37768162970975216</v>
      </c>
      <c r="Q1175">
        <f t="shared" si="1035"/>
        <v>-254032.84130160391</v>
      </c>
      <c r="R1175">
        <f t="shared" si="1036"/>
        <v>-365994.38940783055</v>
      </c>
      <c r="S1175">
        <f t="shared" si="1037"/>
        <v>-3.6599438940783053</v>
      </c>
      <c r="T1175">
        <f t="shared" si="1038"/>
        <v>-3.6599438940783055E-3</v>
      </c>
    </row>
    <row r="1176" spans="1:20" x14ac:dyDescent="0.25">
      <c r="A1176" s="5">
        <v>43417</v>
      </c>
      <c r="B1176">
        <v>9.4862000000000002</v>
      </c>
      <c r="C1176">
        <v>9.5891000000000002</v>
      </c>
      <c r="D1176">
        <v>9.3602000000000007</v>
      </c>
      <c r="E1176">
        <v>9.3935999999999993</v>
      </c>
      <c r="F1176">
        <v>658735.46</v>
      </c>
      <c r="G1176">
        <v>0</v>
      </c>
      <c r="L1176" t="s">
        <v>7</v>
      </c>
      <c r="M1176" t="s">
        <v>8</v>
      </c>
      <c r="N1176" t="s">
        <v>8</v>
      </c>
      <c r="P1176">
        <f t="shared" si="1034"/>
        <v>-0.70816950633465592</v>
      </c>
      <c r="Q1176">
        <f t="shared" si="1035"/>
        <v>-466496.36551333248</v>
      </c>
      <c r="R1176">
        <f t="shared" si="1036"/>
        <v>-111961.54810622666</v>
      </c>
      <c r="S1176">
        <f t="shared" si="1037"/>
        <v>-1.1196154810622667</v>
      </c>
      <c r="T1176">
        <f t="shared" si="1038"/>
        <v>-1.1196154810622666E-3</v>
      </c>
    </row>
    <row r="1177" spans="1:20" x14ac:dyDescent="0.25">
      <c r="A1177" s="5">
        <v>43416</v>
      </c>
      <c r="B1177">
        <v>9.5586000000000002</v>
      </c>
      <c r="C1177">
        <v>9.5891000000000002</v>
      </c>
      <c r="D1177">
        <v>9.3309999999999995</v>
      </c>
      <c r="E1177">
        <v>9.4862000000000002</v>
      </c>
      <c r="F1177">
        <v>723363.63</v>
      </c>
      <c r="G1177">
        <v>0</v>
      </c>
      <c r="L1177" t="s">
        <v>7</v>
      </c>
      <c r="M1177" t="s">
        <v>8</v>
      </c>
      <c r="N1177" t="s">
        <v>8</v>
      </c>
      <c r="P1177">
        <f t="shared" si="1034"/>
        <v>0.20263463773731324</v>
      </c>
      <c r="Q1177">
        <f t="shared" si="1035"/>
        <v>146578.5271173979</v>
      </c>
      <c r="R1177">
        <f t="shared" si="1036"/>
        <v>354534.81740710582</v>
      </c>
      <c r="S1177">
        <f t="shared" si="1037"/>
        <v>3.5453481740710582</v>
      </c>
      <c r="T1177">
        <f t="shared" si="1038"/>
        <v>3.5453481740710582E-3</v>
      </c>
    </row>
    <row r="1178" spans="1:20" x14ac:dyDescent="0.25">
      <c r="A1178" s="5">
        <v>43415</v>
      </c>
      <c r="B1178">
        <v>9.5898000000000003</v>
      </c>
      <c r="C1178">
        <v>9.6210000000000004</v>
      </c>
      <c r="D1178">
        <v>9.35</v>
      </c>
      <c r="E1178">
        <v>9.5610999999999997</v>
      </c>
      <c r="F1178">
        <v>755404.21</v>
      </c>
      <c r="G1178">
        <v>0</v>
      </c>
      <c r="L1178" t="s">
        <v>7</v>
      </c>
      <c r="M1178" t="s">
        <v>8</v>
      </c>
      <c r="N1178" t="s">
        <v>8</v>
      </c>
      <c r="P1178">
        <f t="shared" si="1034"/>
        <v>0.55793357933578924</v>
      </c>
      <c r="Q1178">
        <f t="shared" si="1035"/>
        <v>421465.3747306242</v>
      </c>
      <c r="R1178">
        <f t="shared" si="1036"/>
        <v>207956.29028970789</v>
      </c>
      <c r="S1178">
        <f t="shared" si="1037"/>
        <v>2.079562902897079</v>
      </c>
      <c r="T1178">
        <f t="shared" si="1038"/>
        <v>2.0795629028970792E-3</v>
      </c>
    </row>
    <row r="1179" spans="1:20" x14ac:dyDescent="0.25">
      <c r="A1179" s="5">
        <v>43414</v>
      </c>
      <c r="B1179">
        <v>9.6132000000000009</v>
      </c>
      <c r="C1179">
        <v>9.6896000000000004</v>
      </c>
      <c r="D1179">
        <v>9.5671999999999997</v>
      </c>
      <c r="E1179">
        <v>9.5898000000000003</v>
      </c>
      <c r="F1179">
        <v>782308.04</v>
      </c>
      <c r="G1179">
        <v>0</v>
      </c>
      <c r="L1179" t="s">
        <v>8</v>
      </c>
      <c r="M1179" t="s">
        <v>8</v>
      </c>
      <c r="N1179" t="s">
        <v>8</v>
      </c>
      <c r="P1179">
        <f t="shared" si="1034"/>
        <v>-0.63071895424835811</v>
      </c>
      <c r="Q1179">
        <f t="shared" si="1035"/>
        <v>-493416.5088888827</v>
      </c>
      <c r="R1179">
        <f t="shared" si="1036"/>
        <v>-213509.08444091631</v>
      </c>
      <c r="S1179">
        <f t="shared" si="1037"/>
        <v>-2.135090844409163</v>
      </c>
      <c r="T1179">
        <f t="shared" si="1038"/>
        <v>-2.1350908444091629E-3</v>
      </c>
    </row>
    <row r="1180" spans="1:20" x14ac:dyDescent="0.25">
      <c r="A1180" s="5">
        <v>43413</v>
      </c>
      <c r="B1180">
        <v>9.6867999999999999</v>
      </c>
      <c r="C1180">
        <v>9.7497000000000007</v>
      </c>
      <c r="D1180">
        <v>9.5168999999999997</v>
      </c>
      <c r="E1180">
        <v>9.6141000000000005</v>
      </c>
      <c r="F1180">
        <v>735975.45</v>
      </c>
      <c r="G1180">
        <v>0</v>
      </c>
      <c r="L1180" t="s">
        <v>8</v>
      </c>
      <c r="M1180" t="s">
        <v>8</v>
      </c>
      <c r="N1180" t="s">
        <v>8</v>
      </c>
      <c r="P1180">
        <f t="shared" si="1034"/>
        <v>-0.16494845360824381</v>
      </c>
      <c r="Q1180">
        <f t="shared" si="1035"/>
        <v>-121398.01237113135</v>
      </c>
      <c r="R1180">
        <f t="shared" si="1036"/>
        <v>279907.42444796639</v>
      </c>
      <c r="S1180">
        <f t="shared" si="1037"/>
        <v>2.7990742444796637</v>
      </c>
      <c r="T1180">
        <f t="shared" si="1038"/>
        <v>2.7990742444796639E-3</v>
      </c>
    </row>
    <row r="1181" spans="1:20" x14ac:dyDescent="0.25">
      <c r="A1181" s="5">
        <v>43412</v>
      </c>
      <c r="B1181">
        <v>9.8970000000000002</v>
      </c>
      <c r="C1181">
        <v>9.9268000000000001</v>
      </c>
      <c r="D1181">
        <v>9.6502999999999997</v>
      </c>
      <c r="E1181">
        <v>9.6859999999999999</v>
      </c>
      <c r="F1181">
        <v>798983.44</v>
      </c>
      <c r="G1181">
        <v>0</v>
      </c>
      <c r="L1181" t="s">
        <v>8</v>
      </c>
      <c r="M1181" t="s">
        <v>8</v>
      </c>
      <c r="N1181" t="s">
        <v>8</v>
      </c>
      <c r="P1181">
        <f t="shared" si="1034"/>
        <v>-0.74177215189873247</v>
      </c>
      <c r="Q1181">
        <f t="shared" si="1035"/>
        <v>-592663.66562025179</v>
      </c>
      <c r="R1181">
        <f t="shared" si="1036"/>
        <v>401305.43681909773</v>
      </c>
      <c r="S1181">
        <f t="shared" si="1037"/>
        <v>4.0130543681909776</v>
      </c>
      <c r="T1181">
        <f t="shared" si="1038"/>
        <v>4.013054368190978E-3</v>
      </c>
    </row>
    <row r="1182" spans="1:20" x14ac:dyDescent="0.25">
      <c r="A1182" s="5">
        <v>43411</v>
      </c>
      <c r="B1182">
        <v>9.8718000000000004</v>
      </c>
      <c r="C1182">
        <v>9.9776000000000007</v>
      </c>
      <c r="D1182">
        <v>9.81</v>
      </c>
      <c r="E1182">
        <v>9.8970000000000002</v>
      </c>
      <c r="F1182">
        <v>865071.56</v>
      </c>
      <c r="G1182">
        <v>0</v>
      </c>
      <c r="L1182" t="s">
        <v>8</v>
      </c>
      <c r="M1182" t="s">
        <v>8</v>
      </c>
      <c r="N1182" t="s">
        <v>8</v>
      </c>
      <c r="P1182">
        <f t="shared" si="1034"/>
        <v>3.818615751789551E-2</v>
      </c>
      <c r="Q1182">
        <f t="shared" si="1035"/>
        <v>33033.758854411601</v>
      </c>
      <c r="R1182">
        <f t="shared" si="1036"/>
        <v>993969.10243934952</v>
      </c>
      <c r="S1182">
        <f t="shared" si="1037"/>
        <v>9.9396910243934951</v>
      </c>
      <c r="T1182">
        <f t="shared" si="1038"/>
        <v>9.9396910243934947E-3</v>
      </c>
    </row>
    <row r="1183" spans="1:20" x14ac:dyDescent="0.25">
      <c r="A1183" s="5">
        <v>43410</v>
      </c>
      <c r="B1183">
        <v>9.7508999999999997</v>
      </c>
      <c r="C1183">
        <v>9.8890999999999991</v>
      </c>
      <c r="D1183">
        <v>9.6702999999999992</v>
      </c>
      <c r="E1183">
        <v>9.8810000000000002</v>
      </c>
      <c r="F1183">
        <v>887223.82</v>
      </c>
      <c r="G1183">
        <v>0</v>
      </c>
      <c r="L1183" t="s">
        <v>8</v>
      </c>
      <c r="M1183" t="s">
        <v>8</v>
      </c>
      <c r="N1183" t="s">
        <v>8</v>
      </c>
      <c r="P1183">
        <f t="shared" si="1034"/>
        <v>0.92595978062158235</v>
      </c>
      <c r="Q1183">
        <f t="shared" si="1035"/>
        <v>821533.5737294422</v>
      </c>
      <c r="R1183">
        <f t="shared" si="1036"/>
        <v>960935.34358493786</v>
      </c>
      <c r="S1183">
        <f t="shared" si="1037"/>
        <v>9.6093534358493784</v>
      </c>
      <c r="T1183">
        <f t="shared" si="1038"/>
        <v>9.6093534358493785E-3</v>
      </c>
    </row>
    <row r="1184" spans="1:20" x14ac:dyDescent="0.25">
      <c r="A1184" s="5">
        <v>43409</v>
      </c>
      <c r="B1184">
        <v>9.8084000000000007</v>
      </c>
      <c r="C1184">
        <v>9.8293999999999997</v>
      </c>
      <c r="D1184">
        <v>9.6602999999999994</v>
      </c>
      <c r="E1184">
        <v>9.7332999999999998</v>
      </c>
      <c r="F1184">
        <v>836650.91</v>
      </c>
      <c r="G1184">
        <v>0</v>
      </c>
      <c r="L1184" t="s">
        <v>8</v>
      </c>
      <c r="M1184" t="s">
        <v>8</v>
      </c>
      <c r="N1184" t="s">
        <v>8</v>
      </c>
      <c r="P1184">
        <f t="shared" si="1034"/>
        <v>-0.1366055588409191</v>
      </c>
      <c r="Q1184">
        <f t="shared" si="1035"/>
        <v>-114291.16511531352</v>
      </c>
      <c r="R1184">
        <f t="shared" si="1036"/>
        <v>139401.76985549563</v>
      </c>
      <c r="S1184">
        <f t="shared" si="1037"/>
        <v>1.3940176985549564</v>
      </c>
      <c r="T1184">
        <f t="shared" si="1038"/>
        <v>1.3940176985549563E-3</v>
      </c>
    </row>
    <row r="1185" spans="1:20" x14ac:dyDescent="0.25">
      <c r="A1185" s="5">
        <v>43408</v>
      </c>
      <c r="B1185">
        <v>9.5879999999999992</v>
      </c>
      <c r="C1185">
        <v>9.8973999999999993</v>
      </c>
      <c r="D1185">
        <v>9.5</v>
      </c>
      <c r="E1185">
        <v>9.8190000000000008</v>
      </c>
      <c r="F1185">
        <v>934579.3</v>
      </c>
      <c r="G1185">
        <v>0</v>
      </c>
      <c r="L1185" t="s">
        <v>8</v>
      </c>
      <c r="M1185" t="s">
        <v>8</v>
      </c>
      <c r="N1185" t="s">
        <v>8</v>
      </c>
      <c r="P1185">
        <f t="shared" si="1034"/>
        <v>0.60543532964268443</v>
      </c>
      <c r="Q1185">
        <f t="shared" si="1035"/>
        <v>565827.32657272927</v>
      </c>
      <c r="R1185">
        <f t="shared" si="1036"/>
        <v>253692.93497080915</v>
      </c>
      <c r="S1185">
        <f t="shared" si="1037"/>
        <v>2.5369293497080916</v>
      </c>
      <c r="T1185">
        <f t="shared" si="1038"/>
        <v>2.5369293497080917E-3</v>
      </c>
    </row>
    <row r="1186" spans="1:20" x14ac:dyDescent="0.25">
      <c r="A1186" s="5">
        <v>43407</v>
      </c>
      <c r="B1186">
        <v>9.6607000000000003</v>
      </c>
      <c r="C1186">
        <v>9.7439999999999998</v>
      </c>
      <c r="D1186">
        <v>9.4887999999999995</v>
      </c>
      <c r="E1186">
        <v>9.5889000000000006</v>
      </c>
      <c r="F1186">
        <v>812589.61</v>
      </c>
      <c r="G1186">
        <v>0</v>
      </c>
      <c r="L1186" t="s">
        <v>8</v>
      </c>
      <c r="M1186" t="s">
        <v>8</v>
      </c>
      <c r="N1186" t="s">
        <v>8</v>
      </c>
      <c r="P1186">
        <f t="shared" si="1034"/>
        <v>-0.215517241379302</v>
      </c>
      <c r="Q1186">
        <f t="shared" si="1035"/>
        <v>-175127.07112068287</v>
      </c>
      <c r="R1186">
        <f t="shared" si="1036"/>
        <v>-312134.39160192013</v>
      </c>
      <c r="S1186">
        <f t="shared" si="1037"/>
        <v>-3.1213439160192014</v>
      </c>
      <c r="T1186">
        <f t="shared" si="1038"/>
        <v>-3.1213439160192014E-3</v>
      </c>
    </row>
    <row r="1187" spans="1:20" x14ac:dyDescent="0.25">
      <c r="A1187" s="5">
        <v>43406</v>
      </c>
      <c r="B1187">
        <v>9.6105999999999998</v>
      </c>
      <c r="C1187">
        <v>9.7192000000000007</v>
      </c>
      <c r="D1187">
        <v>9.5466999999999995</v>
      </c>
      <c r="E1187">
        <v>9.6420999999999992</v>
      </c>
      <c r="F1187">
        <v>850927.5</v>
      </c>
      <c r="G1187">
        <v>0</v>
      </c>
      <c r="L1187" t="s">
        <v>8</v>
      </c>
      <c r="M1187" t="s">
        <v>8</v>
      </c>
      <c r="N1187" t="s">
        <v>8</v>
      </c>
      <c r="P1187">
        <f t="shared" si="1034"/>
        <v>0.10608695652172799</v>
      </c>
      <c r="Q1187">
        <f t="shared" si="1035"/>
        <v>90272.3086956427</v>
      </c>
      <c r="R1187">
        <f t="shared" si="1036"/>
        <v>-137007.32048123726</v>
      </c>
      <c r="S1187">
        <f t="shared" si="1037"/>
        <v>-1.3700732048123725</v>
      </c>
      <c r="T1187">
        <f t="shared" si="1038"/>
        <v>-1.3700732048123724E-3</v>
      </c>
    </row>
    <row r="1188" spans="1:20" x14ac:dyDescent="0.25">
      <c r="A1188" s="5">
        <v>43405</v>
      </c>
      <c r="B1188">
        <v>9.4837000000000007</v>
      </c>
      <c r="C1188">
        <v>9.66</v>
      </c>
      <c r="D1188">
        <v>9.4303000000000008</v>
      </c>
      <c r="E1188">
        <v>9.6191999999999993</v>
      </c>
      <c r="F1188">
        <v>791111.48</v>
      </c>
      <c r="G1188">
        <v>0</v>
      </c>
      <c r="L1188" t="s">
        <v>8</v>
      </c>
      <c r="M1188" t="s">
        <v>8</v>
      </c>
      <c r="N1188" t="s">
        <v>8</v>
      </c>
      <c r="P1188">
        <f t="shared" si="1034"/>
        <v>0.64475402699172002</v>
      </c>
      <c r="Q1188">
        <f t="shared" si="1035"/>
        <v>510072.31252937956</v>
      </c>
      <c r="R1188">
        <f t="shared" si="1036"/>
        <v>-227279.62917687994</v>
      </c>
      <c r="S1188">
        <f t="shared" si="1037"/>
        <v>-2.2727962917687994</v>
      </c>
      <c r="T1188">
        <f t="shared" si="1038"/>
        <v>-2.2727962917687993E-3</v>
      </c>
    </row>
    <row r="1189" spans="1:20" x14ac:dyDescent="0.25">
      <c r="A1189" s="5">
        <v>43404</v>
      </c>
      <c r="B1189">
        <v>9.4512999999999998</v>
      </c>
      <c r="C1189">
        <v>9.5546000000000006</v>
      </c>
      <c r="D1189">
        <v>9.2811000000000003</v>
      </c>
      <c r="E1189">
        <v>9.4807000000000006</v>
      </c>
      <c r="F1189">
        <v>707061.59</v>
      </c>
      <c r="G1189">
        <v>0</v>
      </c>
      <c r="L1189" t="s">
        <v>8</v>
      </c>
      <c r="M1189" t="s">
        <v>8</v>
      </c>
      <c r="N1189" t="s">
        <v>8</v>
      </c>
      <c r="P1189">
        <f t="shared" si="1034"/>
        <v>0.45959780621572216</v>
      </c>
      <c r="Q1189">
        <f t="shared" si="1035"/>
        <v>324963.9556234004</v>
      </c>
      <c r="R1189">
        <f t="shared" si="1036"/>
        <v>-737351.9417062595</v>
      </c>
      <c r="S1189">
        <f t="shared" si="1037"/>
        <v>-7.3735194170625951</v>
      </c>
      <c r="T1189">
        <f t="shared" si="1038"/>
        <v>-7.3735194170625948E-3</v>
      </c>
    </row>
    <row r="1190" spans="1:20" x14ac:dyDescent="0.25">
      <c r="A1190" s="5">
        <v>43403</v>
      </c>
      <c r="B1190">
        <v>9.4515999999999991</v>
      </c>
      <c r="C1190">
        <v>9.5386000000000006</v>
      </c>
      <c r="D1190">
        <v>9.4002999999999997</v>
      </c>
      <c r="E1190">
        <v>9.4520999999999997</v>
      </c>
      <c r="F1190">
        <v>719748.66</v>
      </c>
      <c r="G1190">
        <v>0</v>
      </c>
      <c r="L1190" t="s">
        <v>8</v>
      </c>
      <c r="M1190" t="s">
        <v>8</v>
      </c>
      <c r="N1190" t="s">
        <v>8</v>
      </c>
      <c r="P1190">
        <f t="shared" si="1034"/>
        <v>-0.25090383224873897</v>
      </c>
      <c r="Q1190">
        <f t="shared" si="1035"/>
        <v>-180587.69704989466</v>
      </c>
      <c r="R1190">
        <f t="shared" si="1036"/>
        <v>-1062315.8973296599</v>
      </c>
      <c r="S1190">
        <f t="shared" si="1037"/>
        <v>-10.623158973296599</v>
      </c>
      <c r="T1190">
        <f t="shared" si="1038"/>
        <v>-1.0623158973296598E-2</v>
      </c>
    </row>
    <row r="1191" spans="1:20" x14ac:dyDescent="0.25">
      <c r="A1191" s="5">
        <v>43402</v>
      </c>
      <c r="B1191">
        <v>9.7207000000000008</v>
      </c>
      <c r="C1191">
        <v>9.7317</v>
      </c>
      <c r="D1191">
        <v>9.3748000000000005</v>
      </c>
      <c r="E1191">
        <v>9.4450000000000003</v>
      </c>
      <c r="F1191">
        <v>788866.57</v>
      </c>
      <c r="G1191">
        <v>0</v>
      </c>
      <c r="L1191" t="s">
        <v>8</v>
      </c>
      <c r="M1191" t="s">
        <v>8</v>
      </c>
      <c r="N1191" t="s">
        <v>8</v>
      </c>
      <c r="P1191">
        <f t="shared" si="1034"/>
        <v>-0.60661249649761895</v>
      </c>
      <c r="Q1191">
        <f t="shared" si="1035"/>
        <v>-478536.31943121366</v>
      </c>
      <c r="R1191">
        <f t="shared" si="1036"/>
        <v>-881728.2002797653</v>
      </c>
      <c r="S1191">
        <f t="shared" si="1037"/>
        <v>-8.8172820027976524</v>
      </c>
      <c r="T1191">
        <f t="shared" si="1038"/>
        <v>-8.8172820027976519E-3</v>
      </c>
    </row>
    <row r="1192" spans="1:20" x14ac:dyDescent="0.25">
      <c r="A1192" s="5">
        <v>43401</v>
      </c>
      <c r="B1192">
        <v>9.7285000000000004</v>
      </c>
      <c r="C1192">
        <v>9.7637999999999998</v>
      </c>
      <c r="D1192">
        <v>9.6021999999999998</v>
      </c>
      <c r="E1192">
        <v>9.7207000000000008</v>
      </c>
      <c r="F1192">
        <v>838913.92</v>
      </c>
      <c r="G1192">
        <v>0</v>
      </c>
      <c r="L1192" t="s">
        <v>8</v>
      </c>
      <c r="M1192" t="s">
        <v>8</v>
      </c>
      <c r="N1192" t="s">
        <v>8</v>
      </c>
      <c r="P1192">
        <f t="shared" si="1034"/>
        <v>0.46658415841585349</v>
      </c>
      <c r="Q1192">
        <f t="shared" si="1035"/>
        <v>391423.94534654467</v>
      </c>
      <c r="R1192">
        <f t="shared" si="1036"/>
        <v>-403191.88084855169</v>
      </c>
      <c r="S1192">
        <f t="shared" si="1037"/>
        <v>-4.0319188084855169</v>
      </c>
      <c r="T1192">
        <f t="shared" si="1038"/>
        <v>-4.031918808485517E-3</v>
      </c>
    </row>
    <row r="1193" spans="1:20" x14ac:dyDescent="0.25">
      <c r="A1193" s="5">
        <v>43400</v>
      </c>
      <c r="B1193">
        <v>9.8297000000000008</v>
      </c>
      <c r="C1193">
        <v>9.8346999999999998</v>
      </c>
      <c r="D1193">
        <v>9.6972000000000005</v>
      </c>
      <c r="E1193">
        <v>9.7331000000000003</v>
      </c>
      <c r="F1193">
        <v>854497.86</v>
      </c>
      <c r="G1193">
        <v>0</v>
      </c>
      <c r="L1193" t="s">
        <v>8</v>
      </c>
      <c r="M1193" t="s">
        <v>8</v>
      </c>
      <c r="N1193" t="s">
        <v>8</v>
      </c>
      <c r="P1193">
        <f t="shared" si="1034"/>
        <v>-0.4778181818181817</v>
      </c>
      <c r="Q1193">
        <f t="shared" si="1035"/>
        <v>-408294.61383272719</v>
      </c>
      <c r="R1193">
        <f t="shared" si="1036"/>
        <v>-794615.82619509636</v>
      </c>
      <c r="S1193">
        <f t="shared" si="1037"/>
        <v>-7.9461582619509636</v>
      </c>
      <c r="T1193">
        <f t="shared" si="1038"/>
        <v>-7.9461582619509644E-3</v>
      </c>
    </row>
    <row r="1194" spans="1:20" x14ac:dyDescent="0.25">
      <c r="A1194" s="5">
        <v>43399</v>
      </c>
      <c r="B1194">
        <v>9.8049999999999997</v>
      </c>
      <c r="C1194">
        <v>9.9121000000000006</v>
      </c>
      <c r="D1194">
        <v>9.75</v>
      </c>
      <c r="E1194">
        <v>9.8295999999999992</v>
      </c>
      <c r="F1194">
        <v>1023388.17</v>
      </c>
      <c r="G1194">
        <v>0</v>
      </c>
      <c r="L1194" t="s">
        <v>8</v>
      </c>
      <c r="M1194" t="s">
        <v>8</v>
      </c>
      <c r="N1194" t="s">
        <v>8</v>
      </c>
      <c r="P1194">
        <f t="shared" si="1034"/>
        <v>-1.7890191239988359E-2</v>
      </c>
      <c r="Q1194">
        <f t="shared" si="1035"/>
        <v>-18308.610074041717</v>
      </c>
      <c r="R1194">
        <f t="shared" si="1036"/>
        <v>-386321.21236236911</v>
      </c>
      <c r="S1194">
        <f t="shared" si="1037"/>
        <v>-3.8632121236236912</v>
      </c>
      <c r="T1194">
        <f t="shared" si="1038"/>
        <v>-3.8632121236236911E-3</v>
      </c>
    </row>
    <row r="1195" spans="1:20" x14ac:dyDescent="0.25">
      <c r="A1195" s="5">
        <v>43398</v>
      </c>
      <c r="B1195">
        <v>9.8816000000000006</v>
      </c>
      <c r="C1195">
        <v>9.9250000000000007</v>
      </c>
      <c r="D1195">
        <v>9.7501999999999995</v>
      </c>
      <c r="E1195">
        <v>9.8056000000000001</v>
      </c>
      <c r="F1195">
        <v>1005134.42</v>
      </c>
      <c r="G1195">
        <v>0</v>
      </c>
      <c r="P1195">
        <f t="shared" si="1034"/>
        <v>-0.36613272311212602</v>
      </c>
      <c r="Q1195">
        <f t="shared" si="1035"/>
        <v>-368012.60228832741</v>
      </c>
      <c r="R1195">
        <f t="shared" si="1036"/>
        <v>-368012.60228832741</v>
      </c>
      <c r="S1195">
        <f t="shared" si="1037"/>
        <v>-3.680126022883274</v>
      </c>
      <c r="T1195">
        <f t="shared" si="1038"/>
        <v>-3.680126022883274E-3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L288" sqref="OL28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$A$287</v>
      </c>
      <c r="D111" s="1" t="str">
        <f>ADDRESS(C121-1,D121,1,1)</f>
        <v>$OL$287</v>
      </c>
      <c r="E111"/>
    </row>
    <row r="112" spans="1:5" x14ac:dyDescent="0.25">
      <c r="A112" s="7">
        <v>12164.144957890772</v>
      </c>
      <c r="C112" s="1" t="str">
        <f>ADDRESS(C121,1,1,1)</f>
        <v>$A$288</v>
      </c>
      <c r="D112" s="1" t="str">
        <f>ADDRESS(C121,D121-1,1,1)</f>
        <v>$OK$288</v>
      </c>
      <c r="E112"/>
    </row>
    <row r="113" spans="1:5" x14ac:dyDescent="0.25">
      <c r="A113" s="7">
        <v>11925.63231165762</v>
      </c>
      <c r="C113" s="1" t="str">
        <f>ADDRESS(C121+1,1,1,1)</f>
        <v>$A$289</v>
      </c>
      <c r="D113" s="1" t="str">
        <f>ADDRESS(C121-1,D121+1,1,1)</f>
        <v>$OM$287</v>
      </c>
    </row>
    <row r="114" spans="1:5" x14ac:dyDescent="0.25">
      <c r="A114" s="7">
        <v>11691.796383978059</v>
      </c>
      <c r="C114" s="1" t="str">
        <f>ADDRESS(C121,D121,1,1)</f>
        <v>$OL$288</v>
      </c>
      <c r="D114" s="1" t="str">
        <f>ADDRESS(C121+1,D121+1,1,1)</f>
        <v>$OM$289</v>
      </c>
    </row>
    <row r="115" spans="1:5" x14ac:dyDescent="0.25">
      <c r="A115" s="7">
        <v>11462.545474488292</v>
      </c>
      <c r="C115" s="1" t="str">
        <f>ADDRESS(C121+1,D121,1,1)</f>
        <v>$OL$289</v>
      </c>
    </row>
    <row r="116" spans="1:5" x14ac:dyDescent="0.25">
      <c r="A116" s="7">
        <v>11237.789680870874</v>
      </c>
      <c r="C116" s="1">
        <f>C117-1</f>
        <v>287</v>
      </c>
    </row>
    <row r="117" spans="1:5" x14ac:dyDescent="0.25">
      <c r="A117" s="7">
        <v>11017.440863598895</v>
      </c>
      <c r="C117" s="1">
        <f>C121</f>
        <v>288</v>
      </c>
      <c r="D117" s="1">
        <f>D121</f>
        <v>402</v>
      </c>
    </row>
    <row r="118" spans="1:5" x14ac:dyDescent="0.25">
      <c r="A118" s="7">
        <v>10801.412611371465</v>
      </c>
      <c r="C118" s="1">
        <f>C117+1</f>
        <v>289</v>
      </c>
      <c r="D118" s="1">
        <f>D117+1</f>
        <v>403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288</v>
      </c>
      <c r="D121" s="19">
        <v>402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R288</v>
      </c>
      <c r="D123" s="1" t="str">
        <f>"C"&amp;D121</f>
        <v>C402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372.77892947209375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396" x14ac:dyDescent="0.25">
      <c r="A257" s="7">
        <v>688.74218085310292</v>
      </c>
      <c r="B257"/>
      <c r="C257"/>
      <c r="D257"/>
      <c r="E257"/>
      <c r="KU257" s="27" t="s">
        <v>8</v>
      </c>
    </row>
    <row r="258" spans="1:396" x14ac:dyDescent="0.25">
      <c r="A258" s="7">
        <v>675.23743220892447</v>
      </c>
      <c r="B258"/>
      <c r="C258"/>
      <c r="D258"/>
      <c r="E258"/>
      <c r="KQ258" s="27" t="s">
        <v>8</v>
      </c>
      <c r="KU258" s="27" t="s">
        <v>8</v>
      </c>
      <c r="KV258" s="27" t="s">
        <v>7</v>
      </c>
    </row>
    <row r="259" spans="1:396" x14ac:dyDescent="0.25">
      <c r="A259" s="7">
        <v>661.9974825577691</v>
      </c>
      <c r="B259"/>
      <c r="C259"/>
      <c r="D259"/>
      <c r="E259"/>
      <c r="KQ259" s="27" t="s">
        <v>8</v>
      </c>
      <c r="KR259" s="27" t="s">
        <v>7</v>
      </c>
      <c r="KU259" s="27" t="s">
        <v>8</v>
      </c>
      <c r="KV259" s="27" t="s">
        <v>7</v>
      </c>
      <c r="NM259" s="27" t="s">
        <v>8</v>
      </c>
    </row>
    <row r="260" spans="1:396" x14ac:dyDescent="0.25">
      <c r="A260" s="7">
        <v>649.0171397625187</v>
      </c>
      <c r="B260"/>
      <c r="C260"/>
      <c r="D260"/>
      <c r="E260"/>
      <c r="KQ260" s="27" t="s">
        <v>8</v>
      </c>
      <c r="KR260" s="27" t="s">
        <v>7</v>
      </c>
      <c r="KS260" s="27" t="s">
        <v>8</v>
      </c>
      <c r="KU260" s="27" t="s">
        <v>8</v>
      </c>
      <c r="KV260" s="27" t="s">
        <v>7</v>
      </c>
      <c r="NM260" s="27" t="s">
        <v>8</v>
      </c>
      <c r="NN260" s="27" t="s">
        <v>7</v>
      </c>
      <c r="NO260" s="27" t="s">
        <v>8</v>
      </c>
      <c r="NS260" s="27" t="s">
        <v>8</v>
      </c>
      <c r="NW260" s="27" t="s">
        <v>8</v>
      </c>
    </row>
    <row r="261" spans="1:396" x14ac:dyDescent="0.25">
      <c r="A261" s="7">
        <v>636.29131349266538</v>
      </c>
      <c r="B261"/>
      <c r="C261"/>
      <c r="D261"/>
      <c r="E261"/>
      <c r="KC261" s="27" t="s">
        <v>8</v>
      </c>
      <c r="KO261" s="27" t="s">
        <v>8</v>
      </c>
      <c r="KQ261" s="27" t="s">
        <v>8</v>
      </c>
      <c r="KR261" s="27" t="s">
        <v>7</v>
      </c>
      <c r="KS261" s="27" t="s">
        <v>8</v>
      </c>
      <c r="KT261" s="27" t="s">
        <v>7</v>
      </c>
      <c r="KU261" s="27" t="s">
        <v>8</v>
      </c>
      <c r="KV261" s="27" t="s">
        <v>7</v>
      </c>
      <c r="NM261" s="27" t="s">
        <v>8</v>
      </c>
      <c r="NN261" s="27" t="s">
        <v>7</v>
      </c>
      <c r="NO261" s="27" t="s">
        <v>8</v>
      </c>
      <c r="NP261" s="27" t="s">
        <v>7</v>
      </c>
      <c r="NS261" s="27" t="s">
        <v>8</v>
      </c>
      <c r="NT261" s="27" t="s">
        <v>7</v>
      </c>
      <c r="NW261" s="27" t="s">
        <v>8</v>
      </c>
      <c r="NX261" s="27" t="s">
        <v>7</v>
      </c>
    </row>
    <row r="262" spans="1:396" x14ac:dyDescent="0.25">
      <c r="A262" s="7">
        <v>623.81501322810334</v>
      </c>
      <c r="B262"/>
      <c r="C262"/>
      <c r="D262"/>
      <c r="E262"/>
      <c r="KC262" s="27" t="s">
        <v>8</v>
      </c>
      <c r="KD262" s="27" t="s">
        <v>7</v>
      </c>
      <c r="KO262" s="27" t="s">
        <v>8</v>
      </c>
      <c r="KP262" s="27" t="s">
        <v>7</v>
      </c>
      <c r="KQ262" s="27" t="s">
        <v>8</v>
      </c>
      <c r="KR262" s="27" t="s">
        <v>7</v>
      </c>
      <c r="KS262" s="27" t="s">
        <v>8</v>
      </c>
      <c r="KT262" s="27" t="s">
        <v>7</v>
      </c>
      <c r="KU262" s="27" t="s">
        <v>8</v>
      </c>
      <c r="KV262" s="27" t="s">
        <v>7</v>
      </c>
      <c r="NM262" s="27" t="s">
        <v>8</v>
      </c>
      <c r="NN262" s="27" t="s">
        <v>7</v>
      </c>
      <c r="NO262" s="27" t="s">
        <v>8</v>
      </c>
      <c r="NP262" s="27" t="s">
        <v>7</v>
      </c>
      <c r="NS262" s="27" t="s">
        <v>8</v>
      </c>
      <c r="NT262" s="27" t="s">
        <v>7</v>
      </c>
      <c r="NW262" s="27" t="s">
        <v>8</v>
      </c>
      <c r="NX262" s="27" t="s">
        <v>7</v>
      </c>
    </row>
    <row r="263" spans="1:396" x14ac:dyDescent="0.25">
      <c r="A263" s="7">
        <v>611.58334630206207</v>
      </c>
      <c r="B263"/>
      <c r="C263"/>
      <c r="D263"/>
      <c r="E263"/>
      <c r="KC263" s="27" t="s">
        <v>8</v>
      </c>
      <c r="KD263" s="27" t="s">
        <v>7</v>
      </c>
      <c r="KI263" s="27" t="s">
        <v>8</v>
      </c>
      <c r="KO263" s="27" t="s">
        <v>8</v>
      </c>
      <c r="KP263" s="27" t="s">
        <v>7</v>
      </c>
      <c r="KQ263" s="27" t="s">
        <v>8</v>
      </c>
      <c r="KR263" s="27" t="s">
        <v>7</v>
      </c>
      <c r="KT263" s="27" t="s">
        <v>7</v>
      </c>
      <c r="KV263" s="27" t="s">
        <v>7</v>
      </c>
      <c r="KW263" s="27" t="s">
        <v>8</v>
      </c>
      <c r="NM263" s="27" t="s">
        <v>8</v>
      </c>
      <c r="NN263" s="27" t="s">
        <v>7</v>
      </c>
      <c r="NO263" s="27" t="s">
        <v>8</v>
      </c>
      <c r="NP263" s="27" t="s">
        <v>7</v>
      </c>
      <c r="NS263" s="27" t="s">
        <v>8</v>
      </c>
      <c r="NT263" s="27" t="s">
        <v>7</v>
      </c>
      <c r="NU263" s="27" t="s">
        <v>8</v>
      </c>
      <c r="NW263" s="27" t="s">
        <v>8</v>
      </c>
      <c r="NX263" s="27" t="s">
        <v>7</v>
      </c>
      <c r="NY263" s="27" t="s">
        <v>8</v>
      </c>
    </row>
    <row r="264" spans="1:396" x14ac:dyDescent="0.25">
      <c r="A264" s="7">
        <v>599.59151598241374</v>
      </c>
      <c r="B264"/>
      <c r="C264"/>
      <c r="D264"/>
      <c r="E264"/>
      <c r="KC264" s="27" t="s">
        <v>8</v>
      </c>
      <c r="KD264" s="27" t="s">
        <v>7</v>
      </c>
      <c r="KI264" s="27" t="s">
        <v>8</v>
      </c>
      <c r="KJ264" s="27" t="s">
        <v>7</v>
      </c>
      <c r="KO264" s="27" t="s">
        <v>8</v>
      </c>
      <c r="KP264" s="27" t="s">
        <v>7</v>
      </c>
      <c r="KV264" s="27" t="s">
        <v>7</v>
      </c>
      <c r="KW264" s="27" t="s">
        <v>8</v>
      </c>
      <c r="KX264" s="27" t="s">
        <v>7</v>
      </c>
      <c r="NM264" s="27" t="s">
        <v>8</v>
      </c>
      <c r="NN264" s="27" t="s">
        <v>7</v>
      </c>
      <c r="NO264" s="27" t="s">
        <v>8</v>
      </c>
      <c r="NP264" s="27" t="s">
        <v>7</v>
      </c>
      <c r="NQ264" s="27" t="s">
        <v>8</v>
      </c>
      <c r="NS264" s="27" t="s">
        <v>8</v>
      </c>
      <c r="NT264" s="27" t="s">
        <v>7</v>
      </c>
      <c r="NU264" s="27" t="s">
        <v>8</v>
      </c>
      <c r="NV264" s="27" t="s">
        <v>7</v>
      </c>
      <c r="NW264" s="27" t="s">
        <v>8</v>
      </c>
      <c r="NX264" s="27" t="s">
        <v>7</v>
      </c>
      <c r="NY264" s="27" t="s">
        <v>8</v>
      </c>
      <c r="NZ264" s="27" t="s">
        <v>7</v>
      </c>
    </row>
    <row r="265" spans="1:396" x14ac:dyDescent="0.25">
      <c r="A265" s="7">
        <v>587.83481959060168</v>
      </c>
      <c r="B265"/>
      <c r="C265"/>
      <c r="D265"/>
      <c r="E265"/>
      <c r="KC265" s="27" t="s">
        <v>8</v>
      </c>
      <c r="KD265" s="27" t="s">
        <v>7</v>
      </c>
      <c r="KI265" s="27" t="s">
        <v>8</v>
      </c>
      <c r="KJ265" s="27" t="s">
        <v>7</v>
      </c>
      <c r="KO265" s="27" t="s">
        <v>8</v>
      </c>
      <c r="KV265" s="27" t="s">
        <v>7</v>
      </c>
      <c r="KW265" s="27" t="s">
        <v>8</v>
      </c>
      <c r="KX265" s="27" t="s">
        <v>7</v>
      </c>
      <c r="NM265" s="27" t="s">
        <v>8</v>
      </c>
      <c r="NN265" s="27" t="s">
        <v>7</v>
      </c>
      <c r="NO265" s="27" t="s">
        <v>8</v>
      </c>
      <c r="NP265" s="27" t="s">
        <v>7</v>
      </c>
      <c r="NQ265" s="27" t="s">
        <v>8</v>
      </c>
      <c r="NR265" s="27" t="s">
        <v>7</v>
      </c>
      <c r="NS265" s="27" t="s">
        <v>8</v>
      </c>
      <c r="NT265" s="27" t="s">
        <v>7</v>
      </c>
      <c r="NU265" s="27" t="s">
        <v>8</v>
      </c>
      <c r="NV265" s="27" t="s">
        <v>7</v>
      </c>
      <c r="NW265" s="27" t="s">
        <v>8</v>
      </c>
      <c r="NX265" s="27" t="s">
        <v>7</v>
      </c>
      <c r="NY265" s="27" t="s">
        <v>8</v>
      </c>
      <c r="NZ265" s="27" t="s">
        <v>7</v>
      </c>
    </row>
    <row r="266" spans="1:396" x14ac:dyDescent="0.25">
      <c r="A266" s="7">
        <v>576.30864665745264</v>
      </c>
      <c r="B266"/>
      <c r="C266"/>
      <c r="D266"/>
      <c r="E266"/>
      <c r="KC266" s="27" t="s">
        <v>8</v>
      </c>
      <c r="KD266" s="27" t="s">
        <v>7</v>
      </c>
      <c r="KI266" s="27" t="s">
        <v>8</v>
      </c>
      <c r="KJ266" s="27" t="s">
        <v>7</v>
      </c>
      <c r="KM266" s="27" t="s">
        <v>8</v>
      </c>
      <c r="KO266" s="27" t="s">
        <v>8</v>
      </c>
      <c r="KV266" s="27" t="s">
        <v>7</v>
      </c>
      <c r="KW266" s="27" t="s">
        <v>8</v>
      </c>
      <c r="KX266" s="27" t="s">
        <v>7</v>
      </c>
      <c r="NM266" s="27" t="s">
        <v>8</v>
      </c>
      <c r="NN266" s="27" t="s">
        <v>7</v>
      </c>
      <c r="NP266" s="27" t="s">
        <v>7</v>
      </c>
      <c r="NQ266" s="27" t="s">
        <v>8</v>
      </c>
      <c r="NR266" s="27" t="s">
        <v>7</v>
      </c>
      <c r="NS266" s="27" t="s">
        <v>8</v>
      </c>
      <c r="NT266" s="27" t="s">
        <v>7</v>
      </c>
      <c r="NU266" s="27" t="s">
        <v>8</v>
      </c>
      <c r="NV266" s="27" t="s">
        <v>7</v>
      </c>
      <c r="NX266" s="27" t="s">
        <v>7</v>
      </c>
      <c r="NY266" s="27" t="s">
        <v>8</v>
      </c>
      <c r="NZ266" s="27" t="s">
        <v>7</v>
      </c>
    </row>
    <row r="267" spans="1:396" x14ac:dyDescent="0.25">
      <c r="A267" s="7">
        <v>565.00847711514962</v>
      </c>
      <c r="B267"/>
      <c r="C267"/>
      <c r="D267"/>
      <c r="E267"/>
      <c r="KC267" s="27" t="s">
        <v>8</v>
      </c>
      <c r="KD267" s="27" t="s">
        <v>7</v>
      </c>
      <c r="KI267" s="27" t="s">
        <v>8</v>
      </c>
      <c r="KJ267" s="27" t="s">
        <v>7</v>
      </c>
      <c r="KM267" s="27" t="s">
        <v>8</v>
      </c>
      <c r="KN267" s="27" t="s">
        <v>7</v>
      </c>
      <c r="KO267" s="27" t="s">
        <v>8</v>
      </c>
      <c r="KV267" s="27" t="s">
        <v>7</v>
      </c>
      <c r="KW267" s="27" t="s">
        <v>8</v>
      </c>
      <c r="KX267" s="27" t="s">
        <v>7</v>
      </c>
      <c r="NM267" s="27" t="s">
        <v>8</v>
      </c>
      <c r="NP267" s="27" t="s">
        <v>7</v>
      </c>
      <c r="NQ267" s="27" t="s">
        <v>8</v>
      </c>
      <c r="NR267" s="27" t="s">
        <v>7</v>
      </c>
      <c r="NS267" s="27" t="s">
        <v>8</v>
      </c>
      <c r="NT267" s="27" t="s">
        <v>7</v>
      </c>
      <c r="NX267" s="27" t="s">
        <v>7</v>
      </c>
      <c r="NY267" s="27" t="s">
        <v>8</v>
      </c>
      <c r="NZ267" s="27" t="s">
        <v>7</v>
      </c>
      <c r="OE267" s="27" t="s">
        <v>8</v>
      </c>
    </row>
    <row r="268" spans="1:396" x14ac:dyDescent="0.25">
      <c r="A268" s="7">
        <v>553.92987952465649</v>
      </c>
      <c r="B268"/>
      <c r="C268"/>
      <c r="D268"/>
      <c r="E268"/>
      <c r="KC268" s="27" t="s">
        <v>8</v>
      </c>
      <c r="KD268" s="27" t="s">
        <v>7</v>
      </c>
      <c r="KE268" s="27" t="s">
        <v>8</v>
      </c>
      <c r="KI268" s="27" t="s">
        <v>8</v>
      </c>
      <c r="KJ268" s="27" t="s">
        <v>7</v>
      </c>
      <c r="KM268" s="27" t="s">
        <v>8</v>
      </c>
      <c r="KN268" s="27" t="s">
        <v>7</v>
      </c>
      <c r="KO268" s="27" t="s">
        <v>8</v>
      </c>
      <c r="KV268" s="27" t="s">
        <v>7</v>
      </c>
      <c r="KW268" s="27" t="s">
        <v>8</v>
      </c>
      <c r="KX268" s="27" t="s">
        <v>7</v>
      </c>
      <c r="NM268" s="27" t="s">
        <v>8</v>
      </c>
      <c r="NP268" s="27" t="s">
        <v>7</v>
      </c>
      <c r="NQ268" s="27" t="s">
        <v>8</v>
      </c>
      <c r="NR268" s="27" t="s">
        <v>7</v>
      </c>
      <c r="NX268" s="27" t="s">
        <v>7</v>
      </c>
      <c r="NY268" s="27" t="s">
        <v>8</v>
      </c>
      <c r="NZ268" s="27" t="s">
        <v>7</v>
      </c>
      <c r="OE268" s="27" t="s">
        <v>8</v>
      </c>
      <c r="OF268" s="27" t="s">
        <v>7</v>
      </c>
    </row>
    <row r="269" spans="1:396" x14ac:dyDescent="0.25">
      <c r="A269" s="7">
        <v>543.06850933789849</v>
      </c>
      <c r="B269"/>
      <c r="C269"/>
      <c r="D269"/>
      <c r="E269"/>
      <c r="KC269" s="27" t="s">
        <v>8</v>
      </c>
      <c r="KD269" s="27" t="s">
        <v>7</v>
      </c>
      <c r="KE269" s="27" t="s">
        <v>8</v>
      </c>
      <c r="KF269" s="27" t="s">
        <v>7</v>
      </c>
      <c r="KG269" s="27" t="s">
        <v>8</v>
      </c>
      <c r="KI269" s="27" t="s">
        <v>8</v>
      </c>
      <c r="KJ269" s="27" t="s">
        <v>7</v>
      </c>
      <c r="KM269" s="27" t="s">
        <v>8</v>
      </c>
      <c r="KN269" s="27" t="s">
        <v>7</v>
      </c>
      <c r="KV269" s="27" t="s">
        <v>7</v>
      </c>
      <c r="KW269" s="27" t="s">
        <v>8</v>
      </c>
      <c r="KX269" s="27" t="s">
        <v>7</v>
      </c>
      <c r="NM269" s="27" t="s">
        <v>8</v>
      </c>
      <c r="NP269" s="27" t="s">
        <v>7</v>
      </c>
      <c r="NQ269" s="27" t="s">
        <v>8</v>
      </c>
      <c r="NX269" s="27" t="s">
        <v>7</v>
      </c>
      <c r="NY269" s="27" t="s">
        <v>8</v>
      </c>
      <c r="NZ269" s="27" t="s">
        <v>7</v>
      </c>
      <c r="OA269" s="27" t="s">
        <v>8</v>
      </c>
      <c r="OC269" s="27" t="s">
        <v>8</v>
      </c>
      <c r="OE269" s="27" t="s">
        <v>8</v>
      </c>
      <c r="OF269" s="27" t="s">
        <v>7</v>
      </c>
    </row>
    <row r="270" spans="1:396" x14ac:dyDescent="0.25">
      <c r="A270" s="7">
        <v>532.4201071940181</v>
      </c>
      <c r="B270"/>
      <c r="C270"/>
      <c r="D270"/>
      <c r="E270"/>
      <c r="KC270" s="27" t="s">
        <v>8</v>
      </c>
      <c r="KD270" s="27" t="s">
        <v>7</v>
      </c>
      <c r="KE270" s="27" t="s">
        <v>8</v>
      </c>
      <c r="KF270" s="27" t="s">
        <v>7</v>
      </c>
      <c r="KG270" s="27" t="s">
        <v>8</v>
      </c>
      <c r="KH270" s="27" t="s">
        <v>7</v>
      </c>
      <c r="KI270" s="27" t="s">
        <v>8</v>
      </c>
      <c r="KJ270" s="27" t="s">
        <v>7</v>
      </c>
      <c r="KM270" s="27" t="s">
        <v>8</v>
      </c>
      <c r="KV270" s="27" t="s">
        <v>7</v>
      </c>
      <c r="KX270" s="27" t="s">
        <v>7</v>
      </c>
      <c r="KY270" s="27" t="s">
        <v>8</v>
      </c>
      <c r="NM270" s="27" t="s">
        <v>8</v>
      </c>
      <c r="NP270" s="27" t="s">
        <v>7</v>
      </c>
      <c r="NQ270" s="27" t="s">
        <v>8</v>
      </c>
      <c r="NX270" s="27" t="s">
        <v>7</v>
      </c>
      <c r="NY270" s="27" t="s">
        <v>8</v>
      </c>
      <c r="NZ270" s="27" t="s">
        <v>7</v>
      </c>
      <c r="OA270" s="27" t="s">
        <v>8</v>
      </c>
      <c r="OB270" s="27" t="s">
        <v>7</v>
      </c>
      <c r="OC270" s="27" t="s">
        <v>8</v>
      </c>
      <c r="OD270" s="27" t="s">
        <v>7</v>
      </c>
      <c r="OE270" s="27" t="s">
        <v>8</v>
      </c>
      <c r="OF270" s="27" t="s">
        <v>7</v>
      </c>
    </row>
    <row r="271" spans="1:396" x14ac:dyDescent="0.25">
      <c r="A271" s="7">
        <v>521.9804972490374</v>
      </c>
      <c r="B271"/>
      <c r="C271"/>
      <c r="D271"/>
      <c r="E271"/>
      <c r="KC271" s="27" t="s">
        <v>8</v>
      </c>
      <c r="KD271" s="27" t="s">
        <v>7</v>
      </c>
      <c r="KF271" s="27" t="s">
        <v>7</v>
      </c>
      <c r="KG271" s="27" t="s">
        <v>8</v>
      </c>
      <c r="KH271" s="27" t="s">
        <v>7</v>
      </c>
      <c r="KI271" s="27" t="s">
        <v>8</v>
      </c>
      <c r="KJ271" s="27" t="s">
        <v>7</v>
      </c>
      <c r="KK271" s="27" t="s">
        <v>8</v>
      </c>
      <c r="KM271" s="27" t="s">
        <v>8</v>
      </c>
      <c r="KX271" s="27" t="s">
        <v>7</v>
      </c>
      <c r="KY271" s="27" t="s">
        <v>8</v>
      </c>
      <c r="KZ271" s="27" t="s">
        <v>7</v>
      </c>
      <c r="NM271" s="27" t="s">
        <v>8</v>
      </c>
      <c r="NP271" s="27" t="s">
        <v>7</v>
      </c>
      <c r="NQ271" s="27" t="s">
        <v>8</v>
      </c>
      <c r="NX271" s="27" t="s">
        <v>7</v>
      </c>
      <c r="NY271" s="27" t="s">
        <v>8</v>
      </c>
      <c r="NZ271" s="27" t="s">
        <v>7</v>
      </c>
      <c r="OA271" s="27" t="s">
        <v>8</v>
      </c>
      <c r="OB271" s="27" t="s">
        <v>7</v>
      </c>
      <c r="OC271" s="27" t="s">
        <v>8</v>
      </c>
      <c r="OD271" s="27" t="s">
        <v>7</v>
      </c>
      <c r="OE271" s="27" t="s">
        <v>8</v>
      </c>
      <c r="OF271" s="27" t="s">
        <v>7</v>
      </c>
    </row>
    <row r="272" spans="1:396" x14ac:dyDescent="0.25">
      <c r="A272" s="7">
        <v>511.74558553827194</v>
      </c>
      <c r="B272"/>
      <c r="C272"/>
      <c r="D272"/>
      <c r="E272"/>
      <c r="KC272" s="27" t="s">
        <v>8</v>
      </c>
      <c r="KF272" s="27" t="s">
        <v>7</v>
      </c>
      <c r="KG272" s="27" t="s">
        <v>8</v>
      </c>
      <c r="KH272" s="27" t="s">
        <v>7</v>
      </c>
      <c r="KI272" s="27" t="s">
        <v>8</v>
      </c>
      <c r="KJ272" s="27" t="s">
        <v>7</v>
      </c>
      <c r="KK272" s="27" t="s">
        <v>8</v>
      </c>
      <c r="KL272" s="27" t="s">
        <v>7</v>
      </c>
      <c r="KM272" s="27" t="s">
        <v>8</v>
      </c>
      <c r="KX272" s="27" t="s">
        <v>7</v>
      </c>
      <c r="KY272" s="27" t="s">
        <v>8</v>
      </c>
      <c r="KZ272" s="27" t="s">
        <v>7</v>
      </c>
      <c r="MQ272" s="27" t="s">
        <v>8</v>
      </c>
      <c r="NM272" s="27" t="s">
        <v>8</v>
      </c>
      <c r="NP272" s="27" t="s">
        <v>7</v>
      </c>
      <c r="NX272" s="27" t="s">
        <v>7</v>
      </c>
      <c r="NY272" s="27" t="s">
        <v>8</v>
      </c>
      <c r="NZ272" s="27" t="s">
        <v>7</v>
      </c>
      <c r="OA272" s="27" t="s">
        <v>8</v>
      </c>
      <c r="OB272" s="27" t="s">
        <v>7</v>
      </c>
      <c r="OD272" s="27" t="s">
        <v>7</v>
      </c>
      <c r="OF272" s="27" t="s">
        <v>7</v>
      </c>
    </row>
    <row r="273" spans="1:402" x14ac:dyDescent="0.25">
      <c r="A273" s="7">
        <v>501.71135837085484</v>
      </c>
      <c r="B273"/>
      <c r="C273"/>
      <c r="D273"/>
      <c r="E273"/>
      <c r="KC273" s="27" t="s">
        <v>8</v>
      </c>
      <c r="KF273" s="27" t="s">
        <v>7</v>
      </c>
      <c r="KG273" s="27" t="s">
        <v>8</v>
      </c>
      <c r="KH273" s="27" t="s">
        <v>7</v>
      </c>
      <c r="KI273" s="27" t="s">
        <v>8</v>
      </c>
      <c r="KJ273" s="27" t="s">
        <v>7</v>
      </c>
      <c r="KK273" s="27" t="s">
        <v>8</v>
      </c>
      <c r="KL273" s="27" t="s">
        <v>7</v>
      </c>
      <c r="KM273" s="27" t="s">
        <v>8</v>
      </c>
      <c r="KX273" s="27" t="s">
        <v>7</v>
      </c>
      <c r="KY273" s="27" t="s">
        <v>8</v>
      </c>
      <c r="KZ273" s="27" t="s">
        <v>7</v>
      </c>
      <c r="MO273" s="27" t="s">
        <v>8</v>
      </c>
      <c r="MQ273" s="27" t="s">
        <v>8</v>
      </c>
      <c r="MR273" s="27" t="s">
        <v>7</v>
      </c>
      <c r="MS273" s="27" t="s">
        <v>8</v>
      </c>
      <c r="NK273" s="27" t="s">
        <v>8</v>
      </c>
      <c r="NM273" s="27" t="s">
        <v>8</v>
      </c>
      <c r="NX273" s="27" t="s">
        <v>7</v>
      </c>
      <c r="NY273" s="27" t="s">
        <v>8</v>
      </c>
      <c r="NZ273" s="27" t="s">
        <v>7</v>
      </c>
      <c r="OF273" s="27" t="s">
        <v>7</v>
      </c>
      <c r="OG273" s="27" t="s">
        <v>8</v>
      </c>
    </row>
    <row r="274" spans="1:402" x14ac:dyDescent="0.25">
      <c r="A274" s="7">
        <v>491.87388075574</v>
      </c>
      <c r="B274"/>
      <c r="C274"/>
      <c r="D274"/>
      <c r="E274"/>
      <c r="KC274" s="27" t="s">
        <v>8</v>
      </c>
      <c r="KF274" s="27" t="s">
        <v>7</v>
      </c>
      <c r="KH274" s="27" t="s">
        <v>7</v>
      </c>
      <c r="KI274" s="27" t="s">
        <v>8</v>
      </c>
      <c r="KJ274" s="27" t="s">
        <v>7</v>
      </c>
      <c r="KK274" s="27" t="s">
        <v>8</v>
      </c>
      <c r="KL274" s="27" t="s">
        <v>7</v>
      </c>
      <c r="KM274" s="27" t="s">
        <v>8</v>
      </c>
      <c r="KX274" s="27" t="s">
        <v>7</v>
      </c>
      <c r="KZ274" s="27" t="s">
        <v>7</v>
      </c>
      <c r="MO274" s="27" t="s">
        <v>8</v>
      </c>
      <c r="MP274" s="27" t="s">
        <v>7</v>
      </c>
      <c r="MQ274" s="27" t="s">
        <v>8</v>
      </c>
      <c r="MR274" s="27" t="s">
        <v>7</v>
      </c>
      <c r="MS274" s="27" t="s">
        <v>8</v>
      </c>
      <c r="MT274" s="27" t="s">
        <v>7</v>
      </c>
      <c r="NK274" s="27" t="s">
        <v>8</v>
      </c>
      <c r="NL274" s="27" t="s">
        <v>7</v>
      </c>
      <c r="NM274" s="27" t="s">
        <v>8</v>
      </c>
      <c r="NX274" s="27" t="s">
        <v>7</v>
      </c>
      <c r="OF274" s="27" t="s">
        <v>7</v>
      </c>
      <c r="OG274" s="27" t="s">
        <v>8</v>
      </c>
      <c r="OH274" s="27" t="s">
        <v>7</v>
      </c>
    </row>
    <row r="275" spans="1:402" x14ac:dyDescent="0.25">
      <c r="A275" s="7">
        <v>482.22929485856861</v>
      </c>
      <c r="B275"/>
      <c r="C275"/>
      <c r="D275"/>
      <c r="E275"/>
      <c r="KC275" s="27" t="s">
        <v>8</v>
      </c>
      <c r="KH275" s="27" t="s">
        <v>7</v>
      </c>
      <c r="KI275" s="27" t="s">
        <v>8</v>
      </c>
      <c r="KJ275" s="27" t="s">
        <v>7</v>
      </c>
      <c r="KK275" s="27" t="s">
        <v>8</v>
      </c>
      <c r="KL275" s="27" t="s">
        <v>7</v>
      </c>
      <c r="KZ275" s="27" t="s">
        <v>7</v>
      </c>
      <c r="MO275" s="27" t="s">
        <v>8</v>
      </c>
      <c r="MP275" s="27" t="s">
        <v>7</v>
      </c>
      <c r="MQ275" s="27" t="s">
        <v>8</v>
      </c>
      <c r="MR275" s="27" t="s">
        <v>7</v>
      </c>
      <c r="MS275" s="27" t="s">
        <v>8</v>
      </c>
      <c r="MT275" s="27" t="s">
        <v>7</v>
      </c>
      <c r="NI275" s="27" t="s">
        <v>8</v>
      </c>
      <c r="NK275" s="27" t="s">
        <v>8</v>
      </c>
      <c r="NL275" s="27" t="s">
        <v>7</v>
      </c>
      <c r="NM275" s="27" t="s">
        <v>8</v>
      </c>
      <c r="OF275" s="27" t="s">
        <v>7</v>
      </c>
      <c r="OG275" s="27" t="s">
        <v>8</v>
      </c>
      <c r="OH275" s="27" t="s">
        <v>7</v>
      </c>
    </row>
    <row r="276" spans="1:402" x14ac:dyDescent="0.25">
      <c r="A276" s="7">
        <v>472.77381848879276</v>
      </c>
      <c r="B276"/>
      <c r="C276"/>
      <c r="D276"/>
      <c r="E276"/>
      <c r="KC276" s="27" t="s">
        <v>8</v>
      </c>
      <c r="KH276" s="27" t="s">
        <v>7</v>
      </c>
      <c r="KI276" s="27" t="s">
        <v>8</v>
      </c>
      <c r="KJ276" s="27" t="s">
        <v>7</v>
      </c>
      <c r="KK276" s="27" t="s">
        <v>8</v>
      </c>
      <c r="KZ276" s="27" t="s">
        <v>7</v>
      </c>
      <c r="MO276" s="27" t="s">
        <v>8</v>
      </c>
      <c r="MP276" s="27" t="s">
        <v>7</v>
      </c>
      <c r="MQ276" s="27" t="s">
        <v>8</v>
      </c>
      <c r="MR276" s="27" t="s">
        <v>7</v>
      </c>
      <c r="MS276" s="27" t="s">
        <v>8</v>
      </c>
      <c r="MT276" s="27" t="s">
        <v>7</v>
      </c>
      <c r="NI276" s="27" t="s">
        <v>8</v>
      </c>
      <c r="NJ276" s="27" t="s">
        <v>7</v>
      </c>
      <c r="NK276" s="27" t="s">
        <v>8</v>
      </c>
      <c r="NL276" s="27" t="s">
        <v>7</v>
      </c>
      <c r="NM276" s="27" t="s">
        <v>8</v>
      </c>
      <c r="OF276" s="27" t="s">
        <v>7</v>
      </c>
      <c r="OG276" s="27" t="s">
        <v>8</v>
      </c>
      <c r="OH276" s="27" t="s">
        <v>7</v>
      </c>
    </row>
    <row r="277" spans="1:402" x14ac:dyDescent="0.25">
      <c r="A277" s="7">
        <v>463.50374361646345</v>
      </c>
      <c r="B277"/>
      <c r="C277"/>
      <c r="D277"/>
      <c r="E277"/>
      <c r="KC277" s="27" t="s">
        <v>8</v>
      </c>
      <c r="KH277" s="27" t="s">
        <v>7</v>
      </c>
      <c r="KI277" s="27" t="s">
        <v>8</v>
      </c>
      <c r="KJ277" s="27" t="s">
        <v>7</v>
      </c>
      <c r="KK277" s="27" t="s">
        <v>8</v>
      </c>
      <c r="KZ277" s="27" t="s">
        <v>7</v>
      </c>
      <c r="MO277" s="27" t="s">
        <v>8</v>
      </c>
      <c r="MP277" s="27" t="s">
        <v>7</v>
      </c>
      <c r="MR277" s="27" t="s">
        <v>7</v>
      </c>
      <c r="MS277" s="27" t="s">
        <v>8</v>
      </c>
      <c r="MT277" s="27" t="s">
        <v>7</v>
      </c>
      <c r="NI277" s="27" t="s">
        <v>8</v>
      </c>
      <c r="NJ277" s="27" t="s">
        <v>7</v>
      </c>
      <c r="NK277" s="27" t="s">
        <v>8</v>
      </c>
      <c r="NL277" s="27" t="s">
        <v>7</v>
      </c>
      <c r="NM277" s="27" t="s">
        <v>8</v>
      </c>
      <c r="OF277" s="27" t="s">
        <v>7</v>
      </c>
      <c r="OG277" s="27" t="s">
        <v>8</v>
      </c>
      <c r="OH277" s="27" t="s">
        <v>7</v>
      </c>
    </row>
    <row r="278" spans="1:402" x14ac:dyDescent="0.25">
      <c r="A278" s="7">
        <v>454.41543491810143</v>
      </c>
      <c r="B278"/>
      <c r="C278"/>
      <c r="D278"/>
      <c r="E278"/>
      <c r="KC278" s="27" t="s">
        <v>8</v>
      </c>
      <c r="KH278" s="27" t="s">
        <v>7</v>
      </c>
      <c r="KI278" s="27" t="s">
        <v>8</v>
      </c>
      <c r="KJ278" s="27" t="s">
        <v>7</v>
      </c>
      <c r="KZ278" s="27" t="s">
        <v>7</v>
      </c>
      <c r="MO278" s="27" t="s">
        <v>8</v>
      </c>
      <c r="MR278" s="27" t="s">
        <v>7</v>
      </c>
      <c r="MT278" s="27" t="s">
        <v>7</v>
      </c>
      <c r="NI278" s="27" t="s">
        <v>8</v>
      </c>
      <c r="NJ278" s="27" t="s">
        <v>7</v>
      </c>
      <c r="NK278" s="27" t="s">
        <v>8</v>
      </c>
      <c r="NL278" s="27" t="s">
        <v>7</v>
      </c>
      <c r="NM278" s="27" t="s">
        <v>8</v>
      </c>
      <c r="OF278" s="27" t="s">
        <v>7</v>
      </c>
      <c r="OG278" s="27" t="s">
        <v>8</v>
      </c>
      <c r="OH278" s="27" t="s">
        <v>7</v>
      </c>
    </row>
    <row r="279" spans="1:402" x14ac:dyDescent="0.25">
      <c r="A279" s="7">
        <v>445.50532835107981</v>
      </c>
      <c r="B279"/>
      <c r="C279"/>
      <c r="D279"/>
      <c r="E279"/>
      <c r="KC279" s="27" t="s">
        <v>8</v>
      </c>
      <c r="KH279" s="27" t="s">
        <v>7</v>
      </c>
      <c r="KI279" s="27" t="s">
        <v>8</v>
      </c>
      <c r="KZ279" s="27" t="s">
        <v>7</v>
      </c>
      <c r="MO279" s="27" t="s">
        <v>8</v>
      </c>
      <c r="MT279" s="27" t="s">
        <v>7</v>
      </c>
      <c r="NG279" s="27" t="s">
        <v>8</v>
      </c>
      <c r="NI279" s="27" t="s">
        <v>8</v>
      </c>
      <c r="NJ279" s="27" t="s">
        <v>7</v>
      </c>
      <c r="NK279" s="27" t="s">
        <v>8</v>
      </c>
      <c r="NL279" s="27" t="s">
        <v>7</v>
      </c>
      <c r="NM279" s="27" t="s">
        <v>8</v>
      </c>
      <c r="OF279" s="27" t="s">
        <v>7</v>
      </c>
      <c r="OG279" s="27" t="s">
        <v>8</v>
      </c>
      <c r="OH279" s="27" t="s">
        <v>7</v>
      </c>
    </row>
    <row r="280" spans="1:402" x14ac:dyDescent="0.25">
      <c r="A280" s="7">
        <v>436.76992975596062</v>
      </c>
      <c r="B280"/>
      <c r="C280"/>
      <c r="D280"/>
      <c r="E280"/>
      <c r="KC280" s="27" t="s">
        <v>8</v>
      </c>
      <c r="KH280" s="27" t="s">
        <v>7</v>
      </c>
      <c r="KI280" s="27" t="s">
        <v>8</v>
      </c>
      <c r="KZ280" s="27" t="s">
        <v>7</v>
      </c>
      <c r="MM280" s="27" t="s">
        <v>8</v>
      </c>
      <c r="MO280" s="27" t="s">
        <v>8</v>
      </c>
      <c r="MT280" s="27" t="s">
        <v>7</v>
      </c>
      <c r="MU280" s="27" t="s">
        <v>8</v>
      </c>
      <c r="MW280" s="27" t="s">
        <v>8</v>
      </c>
      <c r="NE280" s="27" t="s">
        <v>8</v>
      </c>
      <c r="NG280" s="27" t="s">
        <v>8</v>
      </c>
      <c r="NH280" s="27" t="s">
        <v>7</v>
      </c>
      <c r="NI280" s="27" t="s">
        <v>8</v>
      </c>
      <c r="NJ280" s="27" t="s">
        <v>7</v>
      </c>
      <c r="NK280" s="27" t="s">
        <v>8</v>
      </c>
      <c r="NL280" s="27" t="s">
        <v>7</v>
      </c>
      <c r="OF280" s="27" t="s">
        <v>7</v>
      </c>
      <c r="OG280" s="27" t="s">
        <v>8</v>
      </c>
      <c r="OH280" s="27" t="s">
        <v>7</v>
      </c>
    </row>
    <row r="281" spans="1:402" x14ac:dyDescent="0.25">
      <c r="A281" s="7">
        <v>428.20581348623591</v>
      </c>
      <c r="B281"/>
      <c r="C281"/>
      <c r="D281"/>
      <c r="E281"/>
      <c r="KC281" s="27" t="s">
        <v>8</v>
      </c>
      <c r="KH281" s="27" t="s">
        <v>7</v>
      </c>
      <c r="KZ281" s="27" t="s">
        <v>7</v>
      </c>
      <c r="LG281" s="27" t="s">
        <v>8</v>
      </c>
      <c r="MM281" s="27" t="s">
        <v>8</v>
      </c>
      <c r="MN281" s="27" t="s">
        <v>7</v>
      </c>
      <c r="MO281" s="27" t="s">
        <v>8</v>
      </c>
      <c r="MT281" s="27" t="s">
        <v>7</v>
      </c>
      <c r="MU281" s="27" t="s">
        <v>8</v>
      </c>
      <c r="MV281" s="27" t="s">
        <v>7</v>
      </c>
      <c r="MW281" s="27" t="s">
        <v>8</v>
      </c>
      <c r="MX281" s="27" t="s">
        <v>7</v>
      </c>
      <c r="NE281" s="27" t="s">
        <v>8</v>
      </c>
      <c r="NF281" s="27" t="s">
        <v>7</v>
      </c>
      <c r="NG281" s="27" t="s">
        <v>8</v>
      </c>
      <c r="NH281" s="27" t="s">
        <v>7</v>
      </c>
      <c r="NI281" s="27" t="s">
        <v>8</v>
      </c>
      <c r="NJ281" s="27" t="s">
        <v>7</v>
      </c>
      <c r="OF281" s="27" t="s">
        <v>7</v>
      </c>
      <c r="OG281" s="27" t="s">
        <v>8</v>
      </c>
      <c r="OH281" s="27" t="s">
        <v>7</v>
      </c>
    </row>
    <row r="282" spans="1:402" x14ac:dyDescent="0.25">
      <c r="A282" s="7">
        <v>419.80962106493718</v>
      </c>
      <c r="B282"/>
      <c r="C282"/>
      <c r="D282"/>
      <c r="E282"/>
      <c r="KC282" s="27" t="s">
        <v>8</v>
      </c>
      <c r="KZ282" s="27" t="s">
        <v>7</v>
      </c>
      <c r="LA282" s="27" t="s">
        <v>8</v>
      </c>
      <c r="LG282" s="27" t="s">
        <v>8</v>
      </c>
      <c r="LH282" s="27" t="s">
        <v>7</v>
      </c>
      <c r="LI282" s="27" t="s">
        <v>8</v>
      </c>
      <c r="MM282" s="27" t="s">
        <v>8</v>
      </c>
      <c r="MN282" s="27" t="s">
        <v>7</v>
      </c>
      <c r="MO282" s="27" t="s">
        <v>8</v>
      </c>
      <c r="MT282" s="27" t="s">
        <v>7</v>
      </c>
      <c r="MU282" s="27" t="s">
        <v>8</v>
      </c>
      <c r="MV282" s="27" t="s">
        <v>7</v>
      </c>
      <c r="MW282" s="27" t="s">
        <v>8</v>
      </c>
      <c r="MX282" s="27" t="s">
        <v>7</v>
      </c>
      <c r="NE282" s="27" t="s">
        <v>8</v>
      </c>
      <c r="NF282" s="27" t="s">
        <v>7</v>
      </c>
      <c r="NG282" s="27" t="s">
        <v>8</v>
      </c>
      <c r="NH282" s="27" t="s">
        <v>7</v>
      </c>
      <c r="NI282" s="27" t="s">
        <v>8</v>
      </c>
      <c r="OF282" s="27" t="s">
        <v>7</v>
      </c>
      <c r="OG282" s="27" t="s">
        <v>8</v>
      </c>
      <c r="OH282" s="27" t="s">
        <v>7</v>
      </c>
    </row>
    <row r="283" spans="1:402" x14ac:dyDescent="0.25">
      <c r="A283" s="7">
        <v>411.57805986758547</v>
      </c>
      <c r="B283"/>
      <c r="C283"/>
      <c r="D283"/>
      <c r="E283"/>
      <c r="KA283" s="27" t="s">
        <v>8</v>
      </c>
      <c r="KC283" s="27" t="s">
        <v>8</v>
      </c>
      <c r="KZ283" s="27" t="s">
        <v>7</v>
      </c>
      <c r="LA283" s="27" t="s">
        <v>8</v>
      </c>
      <c r="LB283" s="27" t="s">
        <v>7</v>
      </c>
      <c r="LG283" s="27" t="s">
        <v>8</v>
      </c>
      <c r="LH283" s="27" t="s">
        <v>7</v>
      </c>
      <c r="LI283" s="27" t="s">
        <v>8</v>
      </c>
      <c r="LJ283" s="27" t="s">
        <v>7</v>
      </c>
      <c r="MM283" s="27" t="s">
        <v>8</v>
      </c>
      <c r="MN283" s="27" t="s">
        <v>7</v>
      </c>
      <c r="MO283" s="27" t="s">
        <v>8</v>
      </c>
      <c r="MT283" s="27" t="s">
        <v>7</v>
      </c>
      <c r="MU283" s="27" t="s">
        <v>8</v>
      </c>
      <c r="MV283" s="27" t="s">
        <v>7</v>
      </c>
      <c r="MW283" s="27" t="s">
        <v>8</v>
      </c>
      <c r="MX283" s="27" t="s">
        <v>7</v>
      </c>
      <c r="NE283" s="27" t="s">
        <v>8</v>
      </c>
      <c r="NF283" s="27" t="s">
        <v>7</v>
      </c>
      <c r="NH283" s="27" t="s">
        <v>7</v>
      </c>
      <c r="NI283" s="27" t="s">
        <v>8</v>
      </c>
      <c r="OF283" s="27" t="s">
        <v>7</v>
      </c>
      <c r="OH283" s="27" t="s">
        <v>7</v>
      </c>
    </row>
    <row r="284" spans="1:402" x14ac:dyDescent="0.25">
      <c r="A284" s="7">
        <v>403.50790183096615</v>
      </c>
      <c r="B284"/>
      <c r="C284"/>
      <c r="D284"/>
      <c r="E284"/>
      <c r="KA284" s="27" t="s">
        <v>8</v>
      </c>
      <c r="KB284" s="27" t="s">
        <v>7</v>
      </c>
      <c r="KC284" s="27" t="s">
        <v>8</v>
      </c>
      <c r="KZ284" s="27" t="s">
        <v>7</v>
      </c>
      <c r="LA284" s="27" t="s">
        <v>8</v>
      </c>
      <c r="LB284" s="27" t="s">
        <v>7</v>
      </c>
      <c r="LG284" s="27" t="s">
        <v>8</v>
      </c>
      <c r="LH284" s="27" t="s">
        <v>7</v>
      </c>
      <c r="LI284" s="27" t="s">
        <v>8</v>
      </c>
      <c r="LJ284" s="27" t="s">
        <v>7</v>
      </c>
      <c r="MK284" s="27" t="s">
        <v>8</v>
      </c>
      <c r="MM284" s="27" t="s">
        <v>8</v>
      </c>
      <c r="MN284" s="27" t="s">
        <v>7</v>
      </c>
      <c r="MO284" s="27" t="s">
        <v>8</v>
      </c>
      <c r="MT284" s="27" t="s">
        <v>7</v>
      </c>
      <c r="MU284" s="27" t="s">
        <v>8</v>
      </c>
      <c r="MV284" s="27" t="s">
        <v>7</v>
      </c>
      <c r="MW284" s="27" t="s">
        <v>8</v>
      </c>
      <c r="MX284" s="27" t="s">
        <v>7</v>
      </c>
      <c r="NE284" s="27" t="s">
        <v>8</v>
      </c>
      <c r="NH284" s="27" t="s">
        <v>7</v>
      </c>
      <c r="NI284" s="27" t="s">
        <v>8</v>
      </c>
      <c r="OH284" s="27" t="s">
        <v>7</v>
      </c>
    </row>
    <row r="285" spans="1:402" x14ac:dyDescent="0.25">
      <c r="A285" s="7">
        <v>395.59598218722169</v>
      </c>
      <c r="B285"/>
      <c r="C285"/>
      <c r="D285"/>
      <c r="E285"/>
      <c r="KA285" s="27" t="s">
        <v>8</v>
      </c>
      <c r="KB285" s="27" t="s">
        <v>7</v>
      </c>
      <c r="KC285" s="27" t="s">
        <v>8</v>
      </c>
      <c r="KZ285" s="27" t="s">
        <v>7</v>
      </c>
      <c r="LA285" s="27" t="s">
        <v>8</v>
      </c>
      <c r="LB285" s="27" t="s">
        <v>7</v>
      </c>
      <c r="LG285" s="27" t="s">
        <v>8</v>
      </c>
      <c r="LH285" s="27" t="s">
        <v>7</v>
      </c>
      <c r="LI285" s="27" t="s">
        <v>8</v>
      </c>
      <c r="LJ285" s="27" t="s">
        <v>7</v>
      </c>
      <c r="MK285" s="27" t="s">
        <v>8</v>
      </c>
      <c r="ML285" s="27" t="s">
        <v>7</v>
      </c>
      <c r="MM285" s="27" t="s">
        <v>8</v>
      </c>
      <c r="MN285" s="27" t="s">
        <v>7</v>
      </c>
      <c r="MO285" s="27" t="s">
        <v>8</v>
      </c>
      <c r="MT285" s="27" t="s">
        <v>7</v>
      </c>
      <c r="MU285" s="27" t="s">
        <v>8</v>
      </c>
      <c r="MV285" s="27" t="s">
        <v>7</v>
      </c>
      <c r="MW285" s="27" t="s">
        <v>8</v>
      </c>
      <c r="MX285" s="27" t="s">
        <v>7</v>
      </c>
      <c r="NE285" s="27" t="s">
        <v>8</v>
      </c>
      <c r="NH285" s="27" t="s">
        <v>7</v>
      </c>
      <c r="OH285" s="27" t="s">
        <v>7</v>
      </c>
      <c r="OK285" s="27" t="s">
        <v>8</v>
      </c>
    </row>
    <row r="286" spans="1:402" x14ac:dyDescent="0.25">
      <c r="A286" s="7">
        <v>387.83919822276636</v>
      </c>
      <c r="B286"/>
      <c r="C286"/>
      <c r="D286"/>
      <c r="E286"/>
      <c r="KA286" s="27" t="s">
        <v>8</v>
      </c>
      <c r="KB286" s="27" t="s">
        <v>7</v>
      </c>
      <c r="KC286" s="27" t="s">
        <v>8</v>
      </c>
      <c r="KZ286" s="27" t="s">
        <v>7</v>
      </c>
      <c r="LA286" s="27" t="s">
        <v>8</v>
      </c>
      <c r="LB286" s="27" t="s">
        <v>7</v>
      </c>
      <c r="LE286" s="27" t="s">
        <v>8</v>
      </c>
      <c r="LG286" s="27" t="s">
        <v>8</v>
      </c>
      <c r="LH286" s="27" t="s">
        <v>7</v>
      </c>
      <c r="LI286" s="27" t="s">
        <v>8</v>
      </c>
      <c r="LJ286" s="27" t="s">
        <v>7</v>
      </c>
      <c r="MK286" s="27" t="s">
        <v>8</v>
      </c>
      <c r="ML286" s="27" t="s">
        <v>7</v>
      </c>
      <c r="MM286" s="27" t="s">
        <v>8</v>
      </c>
      <c r="MN286" s="27" t="s">
        <v>7</v>
      </c>
      <c r="MT286" s="27" t="s">
        <v>7</v>
      </c>
      <c r="MU286" s="27" t="s">
        <v>8</v>
      </c>
      <c r="MV286" s="27" t="s">
        <v>7</v>
      </c>
      <c r="MX286" s="27" t="s">
        <v>7</v>
      </c>
      <c r="NE286" s="27" t="s">
        <v>8</v>
      </c>
      <c r="OH286" s="27" t="s">
        <v>7</v>
      </c>
      <c r="OI286" s="27" t="s">
        <v>8</v>
      </c>
      <c r="OK286" s="27" t="s">
        <v>8</v>
      </c>
      <c r="OL286" s="27" t="s">
        <v>7</v>
      </c>
    </row>
    <row r="287" spans="1:402" x14ac:dyDescent="0.25">
      <c r="A287" s="7">
        <v>380.23450806153562</v>
      </c>
      <c r="B287"/>
      <c r="C287"/>
      <c r="D287"/>
      <c r="E287"/>
      <c r="KA287" s="27" t="s">
        <v>8</v>
      </c>
      <c r="KB287" s="27" t="s">
        <v>7</v>
      </c>
      <c r="KC287" s="27" t="s">
        <v>8</v>
      </c>
      <c r="KZ287" s="27" t="s">
        <v>7</v>
      </c>
      <c r="LA287" s="27" t="s">
        <v>8</v>
      </c>
      <c r="LB287" s="27" t="s">
        <v>7</v>
      </c>
      <c r="LE287" s="27" t="s">
        <v>8</v>
      </c>
      <c r="LF287" s="27" t="s">
        <v>7</v>
      </c>
      <c r="LG287" s="27" t="s">
        <v>8</v>
      </c>
      <c r="LH287" s="27" t="s">
        <v>7</v>
      </c>
      <c r="LI287" s="27" t="s">
        <v>8</v>
      </c>
      <c r="LJ287" s="27" t="s">
        <v>7</v>
      </c>
      <c r="MK287" s="27" t="s">
        <v>8</v>
      </c>
      <c r="ML287" s="27" t="s">
        <v>7</v>
      </c>
      <c r="MM287" s="27" t="s">
        <v>8</v>
      </c>
      <c r="MT287" s="27" t="s">
        <v>7</v>
      </c>
      <c r="MU287" s="27" t="s">
        <v>8</v>
      </c>
      <c r="MX287" s="27" t="s">
        <v>7</v>
      </c>
      <c r="MY287" s="27" t="s">
        <v>8</v>
      </c>
      <c r="NE287" s="27" t="s">
        <v>8</v>
      </c>
      <c r="OH287" s="27" t="s">
        <v>7</v>
      </c>
      <c r="OI287" s="27" t="s">
        <v>8</v>
      </c>
      <c r="OJ287" s="27" t="s">
        <v>7</v>
      </c>
      <c r="OK287" s="27" t="s">
        <v>8</v>
      </c>
      <c r="OL287" s="27" t="s">
        <v>7</v>
      </c>
    </row>
    <row r="288" spans="1:402" x14ac:dyDescent="0.25">
      <c r="A288" s="7">
        <v>372.77892947209375</v>
      </c>
      <c r="B288"/>
      <c r="C288"/>
      <c r="D288"/>
      <c r="E288"/>
      <c r="KA288" s="27" t="s">
        <v>8</v>
      </c>
      <c r="KB288" s="27" t="s">
        <v>7</v>
      </c>
      <c r="KC288" s="27" t="s">
        <v>8</v>
      </c>
      <c r="KZ288" s="27" t="s">
        <v>7</v>
      </c>
      <c r="LA288" s="27" t="s">
        <v>8</v>
      </c>
      <c r="LB288" s="27" t="s">
        <v>7</v>
      </c>
      <c r="LE288" s="27" t="s">
        <v>8</v>
      </c>
      <c r="LF288" s="27" t="s">
        <v>7</v>
      </c>
      <c r="LG288" s="27" t="s">
        <v>8</v>
      </c>
      <c r="LH288" s="27" t="s">
        <v>7</v>
      </c>
      <c r="LI288" s="27" t="s">
        <v>8</v>
      </c>
      <c r="LJ288" s="27" t="s">
        <v>7</v>
      </c>
      <c r="LK288" s="27" t="s">
        <v>8</v>
      </c>
      <c r="LO288" s="27" t="s">
        <v>8</v>
      </c>
      <c r="MK288" s="27" t="s">
        <v>8</v>
      </c>
      <c r="ML288" s="27" t="s">
        <v>7</v>
      </c>
      <c r="MT288" s="27" t="s">
        <v>7</v>
      </c>
      <c r="MX288" s="27" t="s">
        <v>7</v>
      </c>
      <c r="MY288" s="27" t="s">
        <v>8</v>
      </c>
      <c r="MZ288" s="27" t="s">
        <v>7</v>
      </c>
      <c r="NE288" s="27" t="s">
        <v>8</v>
      </c>
      <c r="OH288" s="27" t="s">
        <v>7</v>
      </c>
      <c r="OI288" s="27" t="s">
        <v>8</v>
      </c>
      <c r="OJ288" s="27" t="s">
        <v>7</v>
      </c>
      <c r="OK288" s="27" t="s">
        <v>8</v>
      </c>
      <c r="OL288" s="27" t="s">
        <v>7</v>
      </c>
    </row>
    <row r="289" spans="1:401" x14ac:dyDescent="0.25">
      <c r="A289" s="7">
        <v>365.46953869813115</v>
      </c>
      <c r="B289"/>
      <c r="C289"/>
      <c r="D289"/>
      <c r="E289"/>
      <c r="KA289" s="27" t="s">
        <v>8</v>
      </c>
      <c r="KB289" s="27" t="s">
        <v>7</v>
      </c>
      <c r="KC289" s="27" t="s">
        <v>8</v>
      </c>
      <c r="KZ289" s="27" t="s">
        <v>7</v>
      </c>
      <c r="LA289" s="27" t="s">
        <v>8</v>
      </c>
      <c r="LB289" s="27" t="s">
        <v>7</v>
      </c>
      <c r="LE289" s="27" t="s">
        <v>8</v>
      </c>
      <c r="LF289" s="27" t="s">
        <v>7</v>
      </c>
      <c r="LG289" s="27" t="s">
        <v>8</v>
      </c>
      <c r="LH289" s="27" t="s">
        <v>7</v>
      </c>
      <c r="LJ289" s="27" t="s">
        <v>7</v>
      </c>
      <c r="LK289" s="27" t="s">
        <v>8</v>
      </c>
      <c r="LL289" s="27" t="s">
        <v>7</v>
      </c>
      <c r="LM289" s="27" t="s">
        <v>8</v>
      </c>
      <c r="LO289" s="27" t="s">
        <v>8</v>
      </c>
      <c r="LP289" s="27" t="s">
        <v>7</v>
      </c>
      <c r="MK289" s="27" t="s">
        <v>8</v>
      </c>
      <c r="MX289" s="27" t="s">
        <v>7</v>
      </c>
      <c r="MY289" s="27" t="s">
        <v>8</v>
      </c>
      <c r="MZ289" s="27" t="s">
        <v>7</v>
      </c>
      <c r="NE289" s="27" t="s">
        <v>8</v>
      </c>
      <c r="OH289" s="27" t="s">
        <v>7</v>
      </c>
      <c r="OI289" s="27" t="s">
        <v>8</v>
      </c>
      <c r="OJ289" s="27" t="s">
        <v>7</v>
      </c>
      <c r="OK289" s="27" t="s">
        <v>8</v>
      </c>
    </row>
    <row r="290" spans="1:401" x14ac:dyDescent="0.25">
      <c r="A290" s="7">
        <v>358.30346931189325</v>
      </c>
      <c r="B290"/>
      <c r="C290"/>
      <c r="D290"/>
      <c r="E290"/>
      <c r="KA290" s="27" t="s">
        <v>8</v>
      </c>
      <c r="KB290" s="27" t="s">
        <v>7</v>
      </c>
      <c r="KZ290" s="27" t="s">
        <v>7</v>
      </c>
      <c r="LA290" s="27" t="s">
        <v>8</v>
      </c>
      <c r="LB290" s="27" t="s">
        <v>7</v>
      </c>
      <c r="LE290" s="27" t="s">
        <v>8</v>
      </c>
      <c r="LF290" s="27" t="s">
        <v>7</v>
      </c>
      <c r="LG290" s="27" t="s">
        <v>8</v>
      </c>
      <c r="LJ290" s="27" t="s">
        <v>7</v>
      </c>
      <c r="LK290" s="27" t="s">
        <v>8</v>
      </c>
      <c r="LL290" s="27" t="s">
        <v>7</v>
      </c>
      <c r="LM290" s="27" t="s">
        <v>8</v>
      </c>
      <c r="LN290" s="27" t="s">
        <v>7</v>
      </c>
      <c r="LO290" s="27" t="s">
        <v>8</v>
      </c>
      <c r="LP290" s="27" t="s">
        <v>7</v>
      </c>
      <c r="MI290" s="27" t="s">
        <v>8</v>
      </c>
      <c r="MK290" s="27" t="s">
        <v>8</v>
      </c>
      <c r="MX290" s="27" t="s">
        <v>7</v>
      </c>
      <c r="MY290" s="27" t="s">
        <v>8</v>
      </c>
      <c r="MZ290" s="27" t="s">
        <v>7</v>
      </c>
      <c r="NA290" s="27" t="s">
        <v>8</v>
      </c>
      <c r="NE290" s="27" t="s">
        <v>8</v>
      </c>
      <c r="OH290" s="27" t="s">
        <v>7</v>
      </c>
      <c r="OI290" s="27" t="s">
        <v>8</v>
      </c>
      <c r="OJ290" s="27" t="s">
        <v>7</v>
      </c>
      <c r="OK290" s="27" t="s">
        <v>8</v>
      </c>
    </row>
    <row r="291" spans="1:401" x14ac:dyDescent="0.25">
      <c r="A291" s="7">
        <v>351.27791109009144</v>
      </c>
      <c r="B291"/>
      <c r="C291"/>
      <c r="D291"/>
      <c r="E291"/>
      <c r="JY291" s="27" t="s">
        <v>8</v>
      </c>
      <c r="KA291" s="27" t="s">
        <v>8</v>
      </c>
      <c r="KZ291" s="27" t="s">
        <v>7</v>
      </c>
      <c r="LA291" s="27" t="s">
        <v>8</v>
      </c>
      <c r="LB291" s="27" t="s">
        <v>7</v>
      </c>
      <c r="LE291" s="27" t="s">
        <v>8</v>
      </c>
      <c r="LF291" s="27" t="s">
        <v>7</v>
      </c>
      <c r="LG291" s="27" t="s">
        <v>8</v>
      </c>
      <c r="LJ291" s="27" t="s">
        <v>7</v>
      </c>
      <c r="LK291" s="27" t="s">
        <v>8</v>
      </c>
      <c r="LL291" s="27" t="s">
        <v>7</v>
      </c>
      <c r="LM291" s="27" t="s">
        <v>8</v>
      </c>
      <c r="LN291" s="27" t="s">
        <v>7</v>
      </c>
      <c r="LO291" s="27" t="s">
        <v>8</v>
      </c>
      <c r="LP291" s="27" t="s">
        <v>7</v>
      </c>
      <c r="MI291" s="27" t="s">
        <v>8</v>
      </c>
      <c r="MJ291" s="27" t="s">
        <v>7</v>
      </c>
      <c r="MK291" s="27" t="s">
        <v>8</v>
      </c>
      <c r="MX291" s="27" t="s">
        <v>7</v>
      </c>
      <c r="MY291" s="27" t="s">
        <v>8</v>
      </c>
      <c r="MZ291" s="27" t="s">
        <v>7</v>
      </c>
      <c r="NA291" s="27" t="s">
        <v>8</v>
      </c>
      <c r="NB291" s="27" t="s">
        <v>7</v>
      </c>
      <c r="NC291" s="27" t="s">
        <v>8</v>
      </c>
      <c r="NE291" s="27" t="s">
        <v>8</v>
      </c>
      <c r="OH291" s="27" t="s">
        <v>7</v>
      </c>
      <c r="OI291" s="27" t="s">
        <v>8</v>
      </c>
      <c r="OJ291" s="27" t="s">
        <v>7</v>
      </c>
      <c r="OK291" s="27" t="s">
        <v>8</v>
      </c>
    </row>
    <row r="292" spans="1:401" x14ac:dyDescent="0.25">
      <c r="A292" s="7">
        <v>344.39010891185433</v>
      </c>
      <c r="B292"/>
      <c r="C292"/>
      <c r="D292"/>
      <c r="E292"/>
      <c r="JE292" s="27" t="s">
        <v>8</v>
      </c>
      <c r="JY292" s="27" t="s">
        <v>8</v>
      </c>
      <c r="JZ292" s="27" t="s">
        <v>7</v>
      </c>
      <c r="KA292" s="27" t="s">
        <v>8</v>
      </c>
      <c r="KZ292" s="27" t="s">
        <v>7</v>
      </c>
      <c r="LA292" s="27" t="s">
        <v>8</v>
      </c>
      <c r="LB292" s="27" t="s">
        <v>7</v>
      </c>
      <c r="LE292" s="27" t="s">
        <v>8</v>
      </c>
      <c r="LF292" s="27" t="s">
        <v>7</v>
      </c>
      <c r="LG292" s="27" t="s">
        <v>8</v>
      </c>
      <c r="LJ292" s="27" t="s">
        <v>7</v>
      </c>
      <c r="LK292" s="27" t="s">
        <v>8</v>
      </c>
      <c r="LL292" s="27" t="s">
        <v>7</v>
      </c>
      <c r="LN292" s="27" t="s">
        <v>7</v>
      </c>
      <c r="LO292" s="27" t="s">
        <v>8</v>
      </c>
      <c r="LP292" s="27" t="s">
        <v>7</v>
      </c>
      <c r="MG292" s="27" t="s">
        <v>8</v>
      </c>
      <c r="MI292" s="27" t="s">
        <v>8</v>
      </c>
      <c r="MJ292" s="27" t="s">
        <v>7</v>
      </c>
      <c r="MK292" s="27" t="s">
        <v>8</v>
      </c>
      <c r="MX292" s="27" t="s">
        <v>7</v>
      </c>
      <c r="MY292" s="27" t="s">
        <v>8</v>
      </c>
      <c r="MZ292" s="27" t="s">
        <v>7</v>
      </c>
      <c r="NA292" s="27" t="s">
        <v>8</v>
      </c>
      <c r="NB292" s="27" t="s">
        <v>7</v>
      </c>
      <c r="NC292" s="27" t="s">
        <v>8</v>
      </c>
      <c r="ND292" s="27" t="s">
        <v>7</v>
      </c>
      <c r="NE292" s="27" t="s">
        <v>8</v>
      </c>
      <c r="OH292" s="27" t="s">
        <v>7</v>
      </c>
      <c r="OI292" s="27" t="s">
        <v>8</v>
      </c>
      <c r="OJ292" s="27" t="s">
        <v>7</v>
      </c>
      <c r="OK292" s="27" t="s">
        <v>8</v>
      </c>
    </row>
    <row r="293" spans="1:401" x14ac:dyDescent="0.25">
      <c r="A293" s="7">
        <v>337.63736167828853</v>
      </c>
      <c r="B293"/>
      <c r="C293"/>
      <c r="D293"/>
      <c r="E293"/>
      <c r="JE293" s="27" t="s">
        <v>8</v>
      </c>
      <c r="JF293" s="27" t="s">
        <v>7</v>
      </c>
      <c r="JY293" s="27" t="s">
        <v>8</v>
      </c>
      <c r="JZ293" s="27" t="s">
        <v>7</v>
      </c>
      <c r="KA293" s="27" t="s">
        <v>8</v>
      </c>
      <c r="KZ293" s="27" t="s">
        <v>7</v>
      </c>
      <c r="LA293" s="27" t="s">
        <v>8</v>
      </c>
      <c r="LB293" s="27" t="s">
        <v>7</v>
      </c>
      <c r="LE293" s="27" t="s">
        <v>8</v>
      </c>
      <c r="LF293" s="27" t="s">
        <v>7</v>
      </c>
      <c r="LG293" s="27" t="s">
        <v>8</v>
      </c>
      <c r="LJ293" s="27" t="s">
        <v>7</v>
      </c>
      <c r="LK293" s="27" t="s">
        <v>8</v>
      </c>
      <c r="LN293" s="27" t="s">
        <v>7</v>
      </c>
      <c r="LO293" s="27" t="s">
        <v>8</v>
      </c>
      <c r="LP293" s="27" t="s">
        <v>7</v>
      </c>
      <c r="LY293" s="27" t="s">
        <v>8</v>
      </c>
      <c r="MG293" s="27" t="s">
        <v>8</v>
      </c>
      <c r="MH293" s="27" t="s">
        <v>7</v>
      </c>
      <c r="MI293" s="27" t="s">
        <v>8</v>
      </c>
      <c r="MJ293" s="27" t="s">
        <v>7</v>
      </c>
      <c r="MX293" s="27" t="s">
        <v>7</v>
      </c>
      <c r="MZ293" s="27" t="s">
        <v>7</v>
      </c>
      <c r="NB293" s="27" t="s">
        <v>7</v>
      </c>
      <c r="NC293" s="27" t="s">
        <v>8</v>
      </c>
      <c r="ND293" s="27" t="s">
        <v>7</v>
      </c>
      <c r="NE293" s="27" t="s">
        <v>8</v>
      </c>
      <c r="OH293" s="27" t="s">
        <v>7</v>
      </c>
      <c r="OJ293" s="27" t="s">
        <v>7</v>
      </c>
    </row>
    <row r="294" spans="1:401" x14ac:dyDescent="0.25">
      <c r="A294" s="7">
        <v>331.01702125322402</v>
      </c>
      <c r="B294"/>
      <c r="C294"/>
      <c r="D294"/>
      <c r="E294"/>
      <c r="JE294" s="27" t="s">
        <v>8</v>
      </c>
      <c r="JF294" s="27" t="s">
        <v>7</v>
      </c>
      <c r="JY294" s="27" t="s">
        <v>8</v>
      </c>
      <c r="JZ294" s="27" t="s">
        <v>7</v>
      </c>
      <c r="KA294" s="27" t="s">
        <v>8</v>
      </c>
      <c r="KZ294" s="27" t="s">
        <v>7</v>
      </c>
      <c r="LA294" s="27" t="s">
        <v>8</v>
      </c>
      <c r="LB294" s="27" t="s">
        <v>7</v>
      </c>
      <c r="LC294" s="27" t="s">
        <v>8</v>
      </c>
      <c r="LE294" s="27" t="s">
        <v>8</v>
      </c>
      <c r="LF294" s="27" t="s">
        <v>7</v>
      </c>
      <c r="LG294" s="27" t="s">
        <v>8</v>
      </c>
      <c r="LJ294" s="27" t="s">
        <v>7</v>
      </c>
      <c r="LK294" s="27" t="s">
        <v>8</v>
      </c>
      <c r="LN294" s="27" t="s">
        <v>7</v>
      </c>
      <c r="LP294" s="27" t="s">
        <v>7</v>
      </c>
      <c r="LY294" s="27" t="s">
        <v>8</v>
      </c>
      <c r="LZ294" s="27" t="s">
        <v>7</v>
      </c>
      <c r="MA294" s="27" t="s">
        <v>8</v>
      </c>
      <c r="MG294" s="27" t="s">
        <v>8</v>
      </c>
      <c r="MH294" s="27" t="s">
        <v>7</v>
      </c>
      <c r="MI294" s="27" t="s">
        <v>8</v>
      </c>
      <c r="NB294" s="27" t="s">
        <v>7</v>
      </c>
      <c r="NC294" s="27" t="s">
        <v>8</v>
      </c>
      <c r="ND294" s="27" t="s">
        <v>7</v>
      </c>
    </row>
    <row r="295" spans="1:401" x14ac:dyDescent="0.25">
      <c r="A295" s="7">
        <v>324.52649142472944</v>
      </c>
      <c r="B295"/>
      <c r="C295"/>
      <c r="D295"/>
      <c r="E295"/>
      <c r="JE295" s="27" t="s">
        <v>8</v>
      </c>
      <c r="JF295" s="27" t="s">
        <v>7</v>
      </c>
      <c r="JY295" s="27" t="s">
        <v>8</v>
      </c>
      <c r="JZ295" s="27" t="s">
        <v>7</v>
      </c>
      <c r="KA295" s="27" t="s">
        <v>8</v>
      </c>
      <c r="KZ295" s="27" t="s">
        <v>7</v>
      </c>
      <c r="LA295" s="27" t="s">
        <v>8</v>
      </c>
      <c r="LB295" s="27" t="s">
        <v>7</v>
      </c>
      <c r="LC295" s="27" t="s">
        <v>8</v>
      </c>
      <c r="LD295" s="27" t="s">
        <v>7</v>
      </c>
      <c r="LE295" s="27" t="s">
        <v>8</v>
      </c>
      <c r="LF295" s="27" t="s">
        <v>7</v>
      </c>
      <c r="LG295" s="27" t="s">
        <v>8</v>
      </c>
      <c r="LJ295" s="27" t="s">
        <v>7</v>
      </c>
      <c r="LP295" s="27" t="s">
        <v>7</v>
      </c>
      <c r="LY295" s="27" t="s">
        <v>8</v>
      </c>
      <c r="LZ295" s="27" t="s">
        <v>7</v>
      </c>
      <c r="MA295" s="27" t="s">
        <v>8</v>
      </c>
      <c r="MB295" s="27" t="s">
        <v>7</v>
      </c>
      <c r="ME295" s="27" t="s">
        <v>8</v>
      </c>
      <c r="MG295" s="27" t="s">
        <v>8</v>
      </c>
      <c r="MH295" s="27" t="s">
        <v>7</v>
      </c>
      <c r="MI295" s="27" t="s">
        <v>8</v>
      </c>
      <c r="NB295" s="27" t="s">
        <v>7</v>
      </c>
    </row>
    <row r="296" spans="1:401" x14ac:dyDescent="0.25">
      <c r="A296" s="7">
        <v>318.16322688698966</v>
      </c>
      <c r="B296"/>
      <c r="C296"/>
      <c r="D296"/>
      <c r="E296"/>
      <c r="JE296" s="27" t="s">
        <v>8</v>
      </c>
      <c r="JF296" s="27" t="s">
        <v>7</v>
      </c>
      <c r="JY296" s="27" t="s">
        <v>8</v>
      </c>
      <c r="JZ296" s="27" t="s">
        <v>7</v>
      </c>
      <c r="KZ296" s="27" t="s">
        <v>7</v>
      </c>
      <c r="LA296" s="27" t="s">
        <v>8</v>
      </c>
      <c r="LB296" s="27" t="s">
        <v>7</v>
      </c>
      <c r="LC296" s="27" t="s">
        <v>8</v>
      </c>
      <c r="LD296" s="27" t="s">
        <v>7</v>
      </c>
      <c r="LE296" s="27" t="s">
        <v>8</v>
      </c>
      <c r="LF296" s="27" t="s">
        <v>7</v>
      </c>
      <c r="LG296" s="27" t="s">
        <v>8</v>
      </c>
      <c r="LP296" s="27" t="s">
        <v>7</v>
      </c>
      <c r="LY296" s="27" t="s">
        <v>8</v>
      </c>
      <c r="LZ296" s="27" t="s">
        <v>7</v>
      </c>
      <c r="MA296" s="27" t="s">
        <v>8</v>
      </c>
      <c r="MB296" s="27" t="s">
        <v>7</v>
      </c>
      <c r="MC296" s="27" t="s">
        <v>8</v>
      </c>
      <c r="ME296" s="27" t="s">
        <v>8</v>
      </c>
      <c r="MF296" s="27" t="s">
        <v>7</v>
      </c>
      <c r="MG296" s="27" t="s">
        <v>8</v>
      </c>
      <c r="MH296" s="27" t="s">
        <v>7</v>
      </c>
    </row>
    <row r="297" spans="1:401" x14ac:dyDescent="0.25">
      <c r="A297" s="7">
        <v>311.92473224214672</v>
      </c>
      <c r="B297"/>
      <c r="C297"/>
      <c r="D297"/>
      <c r="E297"/>
      <c r="JE297" s="27" t="s">
        <v>8</v>
      </c>
      <c r="JF297" s="27" t="s">
        <v>7</v>
      </c>
      <c r="JQ297" s="27" t="s">
        <v>8</v>
      </c>
      <c r="JY297" s="27" t="s">
        <v>8</v>
      </c>
      <c r="KZ297" s="27" t="s">
        <v>7</v>
      </c>
      <c r="LA297" s="27" t="s">
        <v>8</v>
      </c>
      <c r="LB297" s="27" t="s">
        <v>7</v>
      </c>
      <c r="LC297" s="27" t="s">
        <v>8</v>
      </c>
      <c r="LD297" s="27" t="s">
        <v>7</v>
      </c>
      <c r="LE297" s="27" t="s">
        <v>8</v>
      </c>
      <c r="LF297" s="27" t="s">
        <v>7</v>
      </c>
      <c r="LG297" s="27" t="s">
        <v>8</v>
      </c>
      <c r="LP297" s="27" t="s">
        <v>7</v>
      </c>
      <c r="LQ297" s="27" t="s">
        <v>8</v>
      </c>
      <c r="LS297" s="27" t="s">
        <v>8</v>
      </c>
      <c r="LW297" s="27" t="s">
        <v>8</v>
      </c>
      <c r="LY297" s="27" t="s">
        <v>8</v>
      </c>
      <c r="LZ297" s="27" t="s">
        <v>7</v>
      </c>
      <c r="MA297" s="27" t="s">
        <v>8</v>
      </c>
      <c r="MB297" s="27" t="s">
        <v>7</v>
      </c>
      <c r="MC297" s="27" t="s">
        <v>8</v>
      </c>
      <c r="MD297" s="27" t="s">
        <v>7</v>
      </c>
      <c r="ME297" s="27" t="s">
        <v>8</v>
      </c>
      <c r="MF297" s="27" t="s">
        <v>7</v>
      </c>
      <c r="MG297" s="27" t="s">
        <v>8</v>
      </c>
    </row>
    <row r="298" spans="1:401" x14ac:dyDescent="0.25">
      <c r="A298" s="7">
        <v>305.80856102171248</v>
      </c>
      <c r="B298"/>
      <c r="C298"/>
      <c r="D298"/>
      <c r="E298"/>
      <c r="JE298" s="27" t="s">
        <v>8</v>
      </c>
      <c r="JF298" s="27" t="s">
        <v>7</v>
      </c>
      <c r="JG298" s="27" t="s">
        <v>8</v>
      </c>
      <c r="JQ298" s="27" t="s">
        <v>8</v>
      </c>
      <c r="JR298" s="27" t="s">
        <v>7</v>
      </c>
      <c r="JY298" s="27" t="s">
        <v>8</v>
      </c>
      <c r="KZ298" s="27" t="s">
        <v>7</v>
      </c>
      <c r="LA298" s="27" t="s">
        <v>8</v>
      </c>
      <c r="LB298" s="27" t="s">
        <v>7</v>
      </c>
      <c r="LC298" s="27" t="s">
        <v>8</v>
      </c>
      <c r="LD298" s="27" t="s">
        <v>7</v>
      </c>
      <c r="LE298" s="27" t="s">
        <v>8</v>
      </c>
      <c r="LF298" s="27" t="s">
        <v>7</v>
      </c>
      <c r="LG298" s="27" t="s">
        <v>8</v>
      </c>
      <c r="LP298" s="27" t="s">
        <v>7</v>
      </c>
      <c r="LQ298" s="27" t="s">
        <v>8</v>
      </c>
      <c r="LR298" s="27" t="s">
        <v>7</v>
      </c>
      <c r="LS298" s="27" t="s">
        <v>8</v>
      </c>
      <c r="LT298" s="27" t="s">
        <v>7</v>
      </c>
      <c r="LW298" s="27" t="s">
        <v>8</v>
      </c>
      <c r="LX298" s="27" t="s">
        <v>7</v>
      </c>
      <c r="LY298" s="27" t="s">
        <v>8</v>
      </c>
      <c r="LZ298" s="27" t="s">
        <v>7</v>
      </c>
      <c r="MB298" s="27" t="s">
        <v>7</v>
      </c>
      <c r="MC298" s="27" t="s">
        <v>8</v>
      </c>
      <c r="MD298" s="27" t="s">
        <v>7</v>
      </c>
      <c r="ME298" s="27" t="s">
        <v>8</v>
      </c>
      <c r="MF298" s="27" t="s">
        <v>7</v>
      </c>
      <c r="MG298" s="27" t="s">
        <v>8</v>
      </c>
    </row>
    <row r="299" spans="1:401" x14ac:dyDescent="0.25">
      <c r="A299" s="7">
        <v>299.81231472716911</v>
      </c>
      <c r="B299"/>
      <c r="C299"/>
      <c r="D299"/>
      <c r="E299"/>
      <c r="JE299" s="27" t="s">
        <v>8</v>
      </c>
      <c r="JF299" s="27" t="s">
        <v>7</v>
      </c>
      <c r="JG299" s="27" t="s">
        <v>8</v>
      </c>
      <c r="JH299" s="27" t="s">
        <v>7</v>
      </c>
      <c r="JQ299" s="27" t="s">
        <v>8</v>
      </c>
      <c r="JR299" s="27" t="s">
        <v>7</v>
      </c>
      <c r="JY299" s="27" t="s">
        <v>8</v>
      </c>
      <c r="KZ299" s="27" t="s">
        <v>7</v>
      </c>
      <c r="LA299" s="27" t="s">
        <v>8</v>
      </c>
      <c r="LB299" s="27" t="s">
        <v>7</v>
      </c>
      <c r="LC299" s="27" t="s">
        <v>8</v>
      </c>
      <c r="LD299" s="27" t="s">
        <v>7</v>
      </c>
      <c r="LE299" s="27" t="s">
        <v>8</v>
      </c>
      <c r="LF299" s="27" t="s">
        <v>7</v>
      </c>
      <c r="LG299" s="27" t="s">
        <v>8</v>
      </c>
      <c r="LP299" s="27" t="s">
        <v>7</v>
      </c>
      <c r="LQ299" s="27" t="s">
        <v>8</v>
      </c>
      <c r="LR299" s="27" t="s">
        <v>7</v>
      </c>
      <c r="LS299" s="27" t="s">
        <v>8</v>
      </c>
      <c r="LT299" s="27" t="s">
        <v>7</v>
      </c>
      <c r="LU299" s="27" t="s">
        <v>8</v>
      </c>
      <c r="LW299" s="27" t="s">
        <v>8</v>
      </c>
      <c r="LX299" s="27" t="s">
        <v>7</v>
      </c>
      <c r="LY299" s="27" t="s">
        <v>8</v>
      </c>
      <c r="MB299" s="27" t="s">
        <v>7</v>
      </c>
      <c r="MC299" s="27" t="s">
        <v>8</v>
      </c>
      <c r="MD299" s="27" t="s">
        <v>7</v>
      </c>
      <c r="ME299" s="27" t="s">
        <v>8</v>
      </c>
      <c r="MF299" s="27" t="s">
        <v>7</v>
      </c>
    </row>
    <row r="300" spans="1:401" x14ac:dyDescent="0.25">
      <c r="A300" s="7">
        <v>293.93364188938148</v>
      </c>
      <c r="B300"/>
      <c r="C300"/>
      <c r="D300"/>
      <c r="E300"/>
      <c r="JE300" s="27" t="s">
        <v>8</v>
      </c>
      <c r="JF300" s="27" t="s">
        <v>7</v>
      </c>
      <c r="JG300" s="27" t="s">
        <v>8</v>
      </c>
      <c r="JH300" s="27" t="s">
        <v>7</v>
      </c>
      <c r="JO300" s="27" t="s">
        <v>8</v>
      </c>
      <c r="JQ300" s="27" t="s">
        <v>8</v>
      </c>
      <c r="JR300" s="27" t="s">
        <v>7</v>
      </c>
      <c r="JY300" s="27" t="s">
        <v>8</v>
      </c>
      <c r="KZ300" s="27" t="s">
        <v>7</v>
      </c>
      <c r="LA300" s="27" t="s">
        <v>8</v>
      </c>
      <c r="LB300" s="27" t="s">
        <v>7</v>
      </c>
      <c r="LC300" s="27" t="s">
        <v>8</v>
      </c>
      <c r="LD300" s="27" t="s">
        <v>7</v>
      </c>
      <c r="LE300" s="27" t="s">
        <v>8</v>
      </c>
      <c r="LF300" s="27" t="s">
        <v>7</v>
      </c>
      <c r="LP300" s="27" t="s">
        <v>7</v>
      </c>
      <c r="LQ300" s="27" t="s">
        <v>8</v>
      </c>
      <c r="LR300" s="27" t="s">
        <v>7</v>
      </c>
      <c r="LS300" s="27" t="s">
        <v>8</v>
      </c>
      <c r="LT300" s="27" t="s">
        <v>7</v>
      </c>
      <c r="LU300" s="27" t="s">
        <v>8</v>
      </c>
      <c r="LV300" s="27" t="s">
        <v>7</v>
      </c>
      <c r="LW300" s="27" t="s">
        <v>8</v>
      </c>
      <c r="LX300" s="27" t="s">
        <v>7</v>
      </c>
      <c r="MB300" s="27" t="s">
        <v>7</v>
      </c>
      <c r="MD300" s="27" t="s">
        <v>7</v>
      </c>
      <c r="ME300" s="27" t="s">
        <v>8</v>
      </c>
    </row>
    <row r="301" spans="1:401" x14ac:dyDescent="0.25">
      <c r="A301" s="7">
        <v>288.17023714645245</v>
      </c>
      <c r="B301"/>
      <c r="C301"/>
      <c r="D301"/>
      <c r="E301"/>
      <c r="JE301" s="27" t="s">
        <v>8</v>
      </c>
      <c r="JF301" s="27" t="s">
        <v>7</v>
      </c>
      <c r="JG301" s="27" t="s">
        <v>8</v>
      </c>
      <c r="JH301" s="27" t="s">
        <v>7</v>
      </c>
      <c r="JO301" s="27" t="s">
        <v>8</v>
      </c>
      <c r="JP301" s="27" t="s">
        <v>7</v>
      </c>
      <c r="JQ301" s="27" t="s">
        <v>8</v>
      </c>
      <c r="JR301" s="27" t="s">
        <v>7</v>
      </c>
      <c r="JY301" s="27" t="s">
        <v>8</v>
      </c>
      <c r="KZ301" s="27" t="s">
        <v>7</v>
      </c>
      <c r="LA301" s="27" t="s">
        <v>8</v>
      </c>
      <c r="LB301" s="27" t="s">
        <v>7</v>
      </c>
      <c r="LC301" s="27" t="s">
        <v>8</v>
      </c>
      <c r="LD301" s="27" t="s">
        <v>7</v>
      </c>
      <c r="LE301" s="27" t="s">
        <v>8</v>
      </c>
      <c r="LP301" s="27" t="s">
        <v>7</v>
      </c>
      <c r="LQ301" s="27" t="s">
        <v>8</v>
      </c>
      <c r="LR301" s="27" t="s">
        <v>7</v>
      </c>
      <c r="LS301" s="27" t="s">
        <v>8</v>
      </c>
      <c r="LT301" s="27" t="s">
        <v>7</v>
      </c>
      <c r="LU301" s="27" t="s">
        <v>8</v>
      </c>
      <c r="LV301" s="27" t="s">
        <v>7</v>
      </c>
      <c r="LW301" s="27" t="s">
        <v>8</v>
      </c>
      <c r="MD301" s="27" t="s">
        <v>7</v>
      </c>
      <c r="ME301" s="27" t="s">
        <v>8</v>
      </c>
    </row>
    <row r="302" spans="1:401" x14ac:dyDescent="0.25">
      <c r="A302" s="7">
        <v>282.51984033965925</v>
      </c>
      <c r="B302"/>
      <c r="C302"/>
      <c r="D302"/>
      <c r="E302"/>
      <c r="JE302" s="27" t="s">
        <v>8</v>
      </c>
      <c r="JF302" s="27" t="s">
        <v>7</v>
      </c>
      <c r="JG302" s="27" t="s">
        <v>8</v>
      </c>
      <c r="JH302" s="27" t="s">
        <v>7</v>
      </c>
      <c r="JO302" s="27" t="s">
        <v>8</v>
      </c>
      <c r="JP302" s="27" t="s">
        <v>7</v>
      </c>
      <c r="JQ302" s="27" t="s">
        <v>8</v>
      </c>
      <c r="JR302" s="27" t="s">
        <v>7</v>
      </c>
      <c r="JS302" s="27" t="s">
        <v>8</v>
      </c>
      <c r="JY302" s="27" t="s">
        <v>8</v>
      </c>
      <c r="KZ302" s="27" t="s">
        <v>7</v>
      </c>
      <c r="LB302" s="27" t="s">
        <v>7</v>
      </c>
      <c r="LC302" s="27" t="s">
        <v>8</v>
      </c>
      <c r="LD302" s="27" t="s">
        <v>7</v>
      </c>
      <c r="LE302" s="27" t="s">
        <v>8</v>
      </c>
      <c r="LP302" s="27" t="s">
        <v>7</v>
      </c>
      <c r="LQ302" s="27" t="s">
        <v>8</v>
      </c>
      <c r="LR302" s="27" t="s">
        <v>7</v>
      </c>
      <c r="LS302" s="27" t="s">
        <v>8</v>
      </c>
      <c r="LT302" s="27" t="s">
        <v>7</v>
      </c>
      <c r="LV302" s="27" t="s">
        <v>7</v>
      </c>
      <c r="LW302" s="27" t="s">
        <v>8</v>
      </c>
      <c r="MD302" s="18" t="s">
        <v>7</v>
      </c>
      <c r="ME302" s="27" t="s">
        <v>8</v>
      </c>
    </row>
    <row r="303" spans="1:401" x14ac:dyDescent="0.25">
      <c r="A303" s="7">
        <v>276.98023562711688</v>
      </c>
      <c r="B303"/>
      <c r="C303"/>
      <c r="D303"/>
      <c r="E303"/>
      <c r="JE303" s="27" t="s">
        <v>8</v>
      </c>
      <c r="JF303" s="27" t="s">
        <v>7</v>
      </c>
      <c r="JG303" s="27" t="s">
        <v>8</v>
      </c>
      <c r="JH303" s="27" t="s">
        <v>7</v>
      </c>
      <c r="JI303" s="27" t="s">
        <v>8</v>
      </c>
      <c r="JO303" s="27" t="s">
        <v>8</v>
      </c>
      <c r="JP303" s="27" t="s">
        <v>7</v>
      </c>
      <c r="JQ303" s="27" t="s">
        <v>8</v>
      </c>
      <c r="JR303" s="27" t="s">
        <v>7</v>
      </c>
      <c r="JS303" s="27" t="s">
        <v>8</v>
      </c>
      <c r="JT303" s="27" t="s">
        <v>7</v>
      </c>
      <c r="JU303" s="27" t="s">
        <v>8</v>
      </c>
      <c r="JW303" s="27" t="s">
        <v>8</v>
      </c>
      <c r="JY303" s="27" t="s">
        <v>8</v>
      </c>
      <c r="LB303" s="27" t="s">
        <v>7</v>
      </c>
      <c r="LD303" s="27" t="s">
        <v>7</v>
      </c>
      <c r="LE303" s="27" t="s">
        <v>8</v>
      </c>
      <c r="LP303" s="27" t="s">
        <v>7</v>
      </c>
      <c r="LQ303" s="27" t="s">
        <v>8</v>
      </c>
      <c r="LR303" s="27" t="s">
        <v>7</v>
      </c>
      <c r="LS303" s="27" t="s">
        <v>8</v>
      </c>
      <c r="LV303" s="27" t="s">
        <v>7</v>
      </c>
      <c r="MD303" s="27" t="s">
        <v>7</v>
      </c>
      <c r="ME303" s="27" t="s">
        <v>8</v>
      </c>
    </row>
    <row r="304" spans="1:401" x14ac:dyDescent="0.25">
      <c r="A304" s="7">
        <v>271.54925061482049</v>
      </c>
      <c r="B304"/>
      <c r="C304"/>
      <c r="D304"/>
      <c r="E304"/>
      <c r="JE304" s="27" t="s">
        <v>8</v>
      </c>
      <c r="JF304" s="27" t="s">
        <v>7</v>
      </c>
      <c r="JG304" s="27" t="s">
        <v>8</v>
      </c>
      <c r="JH304" s="27" t="s">
        <v>7</v>
      </c>
      <c r="JI304" s="27" t="s">
        <v>8</v>
      </c>
      <c r="JJ304" s="27" t="s">
        <v>7</v>
      </c>
      <c r="JO304" s="27" t="s">
        <v>8</v>
      </c>
      <c r="JP304" s="27" t="s">
        <v>7</v>
      </c>
      <c r="JQ304" s="27" t="s">
        <v>8</v>
      </c>
      <c r="JR304" s="27" t="s">
        <v>7</v>
      </c>
      <c r="JS304" s="27" t="s">
        <v>8</v>
      </c>
      <c r="JT304" s="27" t="s">
        <v>7</v>
      </c>
      <c r="JU304" s="27" t="s">
        <v>8</v>
      </c>
      <c r="JV304" s="27" t="s">
        <v>7</v>
      </c>
      <c r="JW304" s="27" t="s">
        <v>8</v>
      </c>
      <c r="JX304" s="27" t="s">
        <v>7</v>
      </c>
      <c r="JY304" s="27" t="s">
        <v>8</v>
      </c>
      <c r="LD304" s="27" t="s">
        <v>7</v>
      </c>
      <c r="LE304" s="27" t="s">
        <v>8</v>
      </c>
      <c r="LP304" s="27" t="s">
        <v>7</v>
      </c>
      <c r="LQ304" s="27" t="s">
        <v>8</v>
      </c>
      <c r="LR304" s="27" t="s">
        <v>7</v>
      </c>
      <c r="LS304" s="27" t="s">
        <v>8</v>
      </c>
      <c r="MD304" s="27" t="s">
        <v>7</v>
      </c>
      <c r="ME304" s="27" t="s">
        <v>8</v>
      </c>
    </row>
    <row r="305" spans="1:343" x14ac:dyDescent="0.25">
      <c r="A305" s="7">
        <v>266.22475550472598</v>
      </c>
      <c r="B305"/>
      <c r="C305"/>
      <c r="D305"/>
      <c r="E305"/>
      <c r="JE305" s="27" t="s">
        <v>8</v>
      </c>
      <c r="JF305" s="27" t="s">
        <v>7</v>
      </c>
      <c r="JG305" s="27" t="s">
        <v>8</v>
      </c>
      <c r="JH305" s="27" t="s">
        <v>7</v>
      </c>
      <c r="JI305" s="27" t="s">
        <v>8</v>
      </c>
      <c r="JJ305" s="27" t="s">
        <v>7</v>
      </c>
      <c r="JO305" s="27" t="s">
        <v>8</v>
      </c>
      <c r="JP305" s="27" t="s">
        <v>7</v>
      </c>
      <c r="JR305" s="27" t="s">
        <v>7</v>
      </c>
      <c r="JS305" s="27" t="s">
        <v>8</v>
      </c>
      <c r="JT305" s="27" t="s">
        <v>7</v>
      </c>
      <c r="JU305" s="27" t="s">
        <v>8</v>
      </c>
      <c r="JV305" s="27" t="s">
        <v>7</v>
      </c>
      <c r="JW305" s="27" t="s">
        <v>8</v>
      </c>
      <c r="JX305" s="27" t="s">
        <v>7</v>
      </c>
      <c r="JY305" s="27" t="s">
        <v>8</v>
      </c>
      <c r="LD305" s="27" t="s">
        <v>7</v>
      </c>
      <c r="LE305" s="27" t="s">
        <v>8</v>
      </c>
      <c r="LP305" s="27" t="s">
        <v>7</v>
      </c>
      <c r="LQ305" s="27" t="s">
        <v>8</v>
      </c>
      <c r="LR305" s="27" t="s">
        <v>7</v>
      </c>
      <c r="MD305" s="27" t="s">
        <v>7</v>
      </c>
      <c r="ME305" s="27" t="s">
        <v>8</v>
      </c>
    </row>
    <row r="306" spans="1:343" x14ac:dyDescent="0.25">
      <c r="A306" s="7">
        <v>261.00466225953528</v>
      </c>
      <c r="B306"/>
      <c r="C306"/>
      <c r="D306"/>
      <c r="E306"/>
      <c r="JE306" s="27" t="s">
        <v>8</v>
      </c>
      <c r="JF306" s="27" t="s">
        <v>7</v>
      </c>
      <c r="JG306" s="27" t="s">
        <v>8</v>
      </c>
      <c r="JH306" s="27" t="s">
        <v>7</v>
      </c>
      <c r="JI306" s="27" t="s">
        <v>8</v>
      </c>
      <c r="JJ306" s="27" t="s">
        <v>7</v>
      </c>
      <c r="JM306" s="27" t="s">
        <v>8</v>
      </c>
      <c r="JO306" s="27" t="s">
        <v>8</v>
      </c>
      <c r="JR306" s="27" t="s">
        <v>7</v>
      </c>
      <c r="JS306" s="27" t="s">
        <v>8</v>
      </c>
      <c r="JT306" s="27" t="s">
        <v>7</v>
      </c>
      <c r="JU306" s="27" t="s">
        <v>8</v>
      </c>
      <c r="JV306" s="27" t="s">
        <v>7</v>
      </c>
      <c r="JW306" s="27" t="s">
        <v>8</v>
      </c>
      <c r="JX306" s="27" t="s">
        <v>7</v>
      </c>
      <c r="JY306" s="27" t="s">
        <v>8</v>
      </c>
      <c r="LD306" s="27" t="s">
        <v>7</v>
      </c>
      <c r="LE306" s="27" t="s">
        <v>8</v>
      </c>
      <c r="LP306" s="27" t="s">
        <v>7</v>
      </c>
      <c r="LQ306" s="27" t="s">
        <v>8</v>
      </c>
      <c r="MD306" s="27" t="s">
        <v>7</v>
      </c>
      <c r="ME306" s="27" t="s">
        <v>8</v>
      </c>
    </row>
    <row r="307" spans="1:343" x14ac:dyDescent="0.25">
      <c r="A307" s="7">
        <v>255.88692378385809</v>
      </c>
      <c r="B307"/>
      <c r="C307"/>
      <c r="D307"/>
      <c r="E307"/>
      <c r="JE307" s="27" t="s">
        <v>8</v>
      </c>
      <c r="JF307" s="27" t="s">
        <v>7</v>
      </c>
      <c r="JG307" s="27" t="s">
        <v>8</v>
      </c>
      <c r="JH307" s="27" t="s">
        <v>7</v>
      </c>
      <c r="JI307" s="27" t="s">
        <v>8</v>
      </c>
      <c r="JJ307" s="27" t="s">
        <v>7</v>
      </c>
      <c r="JM307" s="27" t="s">
        <v>8</v>
      </c>
      <c r="JN307" s="27" t="s">
        <v>7</v>
      </c>
      <c r="JO307" s="27" t="s">
        <v>8</v>
      </c>
      <c r="JR307" s="27" t="s">
        <v>7</v>
      </c>
      <c r="JS307" s="27" t="s">
        <v>8</v>
      </c>
      <c r="JT307" s="27" t="s">
        <v>7</v>
      </c>
      <c r="JU307" s="27" t="s">
        <v>8</v>
      </c>
      <c r="JV307" s="27" t="s">
        <v>7</v>
      </c>
      <c r="JX307" s="27" t="s">
        <v>7</v>
      </c>
      <c r="JY307" s="27" t="s">
        <v>8</v>
      </c>
      <c r="LD307" s="27" t="s">
        <v>7</v>
      </c>
      <c r="LE307" s="27" t="s">
        <v>8</v>
      </c>
      <c r="LP307" s="27" t="s">
        <v>7</v>
      </c>
      <c r="LQ307" s="27" t="s">
        <v>8</v>
      </c>
      <c r="MD307" s="27" t="s">
        <v>7</v>
      </c>
    </row>
    <row r="308" spans="1:343" x14ac:dyDescent="0.25">
      <c r="A308" s="7">
        <v>250.8695331214295</v>
      </c>
      <c r="B308"/>
      <c r="C308"/>
      <c r="D308"/>
      <c r="E308"/>
      <c r="JE308" s="27" t="s">
        <v>8</v>
      </c>
      <c r="JF308" s="27" t="s">
        <v>7</v>
      </c>
      <c r="JG308" s="27" t="s">
        <v>8</v>
      </c>
      <c r="JH308" s="27" t="s">
        <v>7</v>
      </c>
      <c r="JI308" s="27" t="s">
        <v>8</v>
      </c>
      <c r="JJ308" s="27" t="s">
        <v>7</v>
      </c>
      <c r="JM308" s="27" t="s">
        <v>8</v>
      </c>
      <c r="JN308" s="27" t="s">
        <v>7</v>
      </c>
      <c r="JO308" s="27" t="s">
        <v>8</v>
      </c>
      <c r="JR308" s="27" t="s">
        <v>7</v>
      </c>
      <c r="JT308" s="27" t="s">
        <v>7</v>
      </c>
      <c r="JU308" s="27" t="s">
        <v>8</v>
      </c>
      <c r="JX308" s="27" t="s">
        <v>7</v>
      </c>
      <c r="JY308" s="27" t="s">
        <v>8</v>
      </c>
      <c r="LD308" s="27" t="s">
        <v>7</v>
      </c>
      <c r="LE308" s="27" t="s">
        <v>8</v>
      </c>
      <c r="LP308" s="27" t="s">
        <v>7</v>
      </c>
      <c r="LQ308" s="27" t="s">
        <v>8</v>
      </c>
    </row>
    <row r="309" spans="1:343" x14ac:dyDescent="0.25">
      <c r="A309" s="7">
        <v>245.95052266806812</v>
      </c>
      <c r="B309"/>
      <c r="C309"/>
      <c r="D309"/>
      <c r="E309"/>
      <c r="JE309" s="27" t="s">
        <v>8</v>
      </c>
      <c r="JF309" s="27" t="s">
        <v>7</v>
      </c>
      <c r="JG309" s="27" t="s">
        <v>8</v>
      </c>
      <c r="JH309" s="27" t="s">
        <v>7</v>
      </c>
      <c r="JI309" s="27" t="s">
        <v>8</v>
      </c>
      <c r="JJ309" s="27" t="s">
        <v>7</v>
      </c>
      <c r="JM309" s="27" t="s">
        <v>8</v>
      </c>
      <c r="JN309" s="27" t="s">
        <v>7</v>
      </c>
      <c r="JO309" s="27" t="s">
        <v>8</v>
      </c>
      <c r="JT309" s="27" t="s">
        <v>7</v>
      </c>
      <c r="JU309" s="27" t="s">
        <v>8</v>
      </c>
      <c r="JX309" s="27" t="s">
        <v>7</v>
      </c>
      <c r="JY309" s="27" t="s">
        <v>8</v>
      </c>
      <c r="LD309" s="27" t="s">
        <v>7</v>
      </c>
      <c r="LE309" s="27" t="s">
        <v>8</v>
      </c>
      <c r="LP309" s="27" t="s">
        <v>7</v>
      </c>
      <c r="LQ309" s="27" t="s">
        <v>8</v>
      </c>
    </row>
    <row r="310" spans="1:343" x14ac:dyDescent="0.25">
      <c r="A310" s="7">
        <v>241.12796340006679</v>
      </c>
      <c r="B310"/>
      <c r="C310"/>
      <c r="D310"/>
      <c r="E310"/>
      <c r="JE310" s="27" t="s">
        <v>8</v>
      </c>
      <c r="JF310" s="27" t="s">
        <v>7</v>
      </c>
      <c r="JG310" s="27" t="s">
        <v>8</v>
      </c>
      <c r="JH310" s="27" t="s">
        <v>7</v>
      </c>
      <c r="JI310" s="27" t="s">
        <v>8</v>
      </c>
      <c r="JJ310" s="27" t="s">
        <v>7</v>
      </c>
      <c r="JM310" s="27" t="s">
        <v>8</v>
      </c>
      <c r="JN310" s="27" t="s">
        <v>7</v>
      </c>
      <c r="JO310" s="27" t="s">
        <v>8</v>
      </c>
      <c r="JT310" s="27" t="s">
        <v>7</v>
      </c>
      <c r="JX310" s="27" t="s">
        <v>7</v>
      </c>
      <c r="JY310" s="27" t="s">
        <v>8</v>
      </c>
      <c r="LD310" s="27" t="s">
        <v>7</v>
      </c>
      <c r="LE310" s="27" t="s">
        <v>8</v>
      </c>
      <c r="LP310" s="27" t="s">
        <v>7</v>
      </c>
      <c r="LQ310" s="27" t="s">
        <v>8</v>
      </c>
    </row>
    <row r="311" spans="1:343" x14ac:dyDescent="0.25">
      <c r="A311" s="7">
        <v>236.39996411771253</v>
      </c>
      <c r="B311"/>
      <c r="C311"/>
      <c r="D311"/>
      <c r="E311"/>
      <c r="JE311" s="27" t="s">
        <v>8</v>
      </c>
      <c r="JF311" s="27" t="s">
        <v>7</v>
      </c>
      <c r="JG311" s="27" t="s">
        <v>8</v>
      </c>
      <c r="JH311" s="27" t="s">
        <v>7</v>
      </c>
      <c r="JI311" s="27" t="s">
        <v>8</v>
      </c>
      <c r="JJ311" s="27" t="s">
        <v>7</v>
      </c>
      <c r="JK311" s="27" t="s">
        <v>8</v>
      </c>
      <c r="JM311" s="27" t="s">
        <v>8</v>
      </c>
      <c r="JN311" s="27" t="s">
        <v>7</v>
      </c>
      <c r="JO311" s="27" t="s">
        <v>8</v>
      </c>
      <c r="JX311" s="27" t="s">
        <v>7</v>
      </c>
      <c r="JY311" s="27" t="s">
        <v>8</v>
      </c>
      <c r="LD311" s="27" t="s">
        <v>7</v>
      </c>
      <c r="LE311" s="27" t="s">
        <v>8</v>
      </c>
      <c r="LP311" s="27" t="s">
        <v>7</v>
      </c>
      <c r="LQ311" s="27" t="s">
        <v>8</v>
      </c>
    </row>
    <row r="312" spans="1:343" x14ac:dyDescent="0.25">
      <c r="A312" s="7">
        <v>231.76467070363972</v>
      </c>
      <c r="B312"/>
      <c r="C312"/>
      <c r="D312"/>
      <c r="E312"/>
      <c r="JE312" s="27" t="s">
        <v>8</v>
      </c>
      <c r="JF312" s="27" t="s">
        <v>7</v>
      </c>
      <c r="JG312" s="27" t="s">
        <v>8</v>
      </c>
      <c r="JH312" s="27" t="s">
        <v>7</v>
      </c>
      <c r="JI312" s="27" t="s">
        <v>8</v>
      </c>
      <c r="JJ312" s="27" t="s">
        <v>7</v>
      </c>
      <c r="JK312" s="27" t="s">
        <v>8</v>
      </c>
      <c r="JL312" s="27" t="s">
        <v>7</v>
      </c>
      <c r="JM312" s="27" t="s">
        <v>8</v>
      </c>
      <c r="JN312" s="27" t="s">
        <v>7</v>
      </c>
      <c r="JO312" s="27" t="s">
        <v>8</v>
      </c>
      <c r="JX312" s="27" t="s">
        <v>7</v>
      </c>
      <c r="JY312" s="27" t="s">
        <v>8</v>
      </c>
      <c r="LD312" s="27" t="s">
        <v>7</v>
      </c>
      <c r="LE312" s="27" t="s">
        <v>8</v>
      </c>
      <c r="LP312" s="27" t="s">
        <v>7</v>
      </c>
      <c r="LQ312" s="27" t="s">
        <v>8</v>
      </c>
    </row>
    <row r="313" spans="1:343" x14ac:dyDescent="0.25">
      <c r="A313" s="7">
        <v>227.22026539572522</v>
      </c>
      <c r="B313"/>
      <c r="C313"/>
      <c r="D313"/>
      <c r="E313"/>
      <c r="JE313" s="27" t="s">
        <v>8</v>
      </c>
      <c r="JF313" s="27" t="s">
        <v>7</v>
      </c>
      <c r="JH313" s="27" t="s">
        <v>7</v>
      </c>
      <c r="JI313" s="27" t="s">
        <v>8</v>
      </c>
      <c r="JJ313" s="27" t="s">
        <v>7</v>
      </c>
      <c r="JK313" s="27" t="s">
        <v>8</v>
      </c>
      <c r="JL313" s="27" t="s">
        <v>7</v>
      </c>
      <c r="JM313" s="27" t="s">
        <v>8</v>
      </c>
      <c r="JN313" s="27" t="s">
        <v>7</v>
      </c>
      <c r="JO313" s="27" t="s">
        <v>8</v>
      </c>
      <c r="JX313" s="27" t="s">
        <v>7</v>
      </c>
      <c r="LD313" s="27" t="s">
        <v>7</v>
      </c>
      <c r="LE313" s="27" t="s">
        <v>8</v>
      </c>
      <c r="LP313" s="27" t="s">
        <v>7</v>
      </c>
    </row>
    <row r="314" spans="1:343" x14ac:dyDescent="0.25">
      <c r="A314" s="7">
        <v>222.76496607424042</v>
      </c>
      <c r="B314"/>
      <c r="C314"/>
      <c r="D314"/>
      <c r="E314"/>
      <c r="JE314" s="27" t="s">
        <v>8</v>
      </c>
      <c r="JH314" s="27" t="s">
        <v>7</v>
      </c>
      <c r="JI314" s="27" t="s">
        <v>8</v>
      </c>
      <c r="JJ314" s="27" t="s">
        <v>7</v>
      </c>
      <c r="JK314" s="27" t="s">
        <v>8</v>
      </c>
      <c r="JL314" s="27" t="s">
        <v>7</v>
      </c>
      <c r="JM314" s="27" t="s">
        <v>8</v>
      </c>
      <c r="JN314" s="27" t="s">
        <v>7</v>
      </c>
      <c r="JO314" s="27" t="s">
        <v>8</v>
      </c>
      <c r="LD314" s="27" t="s">
        <v>7</v>
      </c>
      <c r="LE314" s="27" t="s">
        <v>8</v>
      </c>
    </row>
    <row r="315" spans="1:343" x14ac:dyDescent="0.25">
      <c r="A315" s="7">
        <v>218.39702556298079</v>
      </c>
      <c r="B315"/>
      <c r="C315"/>
      <c r="D315"/>
      <c r="E315"/>
      <c r="JE315" s="27" t="s">
        <v>8</v>
      </c>
      <c r="JH315" s="27" t="s">
        <v>7</v>
      </c>
      <c r="JI315" s="27" t="s">
        <v>8</v>
      </c>
      <c r="JJ315" s="27" t="s">
        <v>7</v>
      </c>
      <c r="JK315" s="27" t="s">
        <v>8</v>
      </c>
      <c r="JL315" s="27" t="s">
        <v>7</v>
      </c>
      <c r="JM315" s="27" t="s">
        <v>8</v>
      </c>
      <c r="JN315" s="27" t="s">
        <v>7</v>
      </c>
      <c r="LD315" s="27" t="s">
        <v>7</v>
      </c>
      <c r="LE315" s="27" t="s">
        <v>8</v>
      </c>
    </row>
    <row r="316" spans="1:343" x14ac:dyDescent="0.25">
      <c r="A316" s="7">
        <v>214.1147309440988</v>
      </c>
      <c r="B316"/>
      <c r="C316"/>
      <c r="D316"/>
      <c r="E316"/>
      <c r="JE316" s="27" t="s">
        <v>8</v>
      </c>
      <c r="JH316" s="27" t="s">
        <v>7</v>
      </c>
      <c r="JI316" s="27" t="s">
        <v>8</v>
      </c>
      <c r="JJ316" s="27" t="s">
        <v>7</v>
      </c>
      <c r="JK316" s="27" t="s">
        <v>8</v>
      </c>
      <c r="JL316" s="27" t="s">
        <v>7</v>
      </c>
      <c r="JM316" s="27" t="s">
        <v>8</v>
      </c>
      <c r="LD316" s="27" t="s">
        <v>7</v>
      </c>
    </row>
    <row r="317" spans="1:343" x14ac:dyDescent="0.25">
      <c r="A317" s="7">
        <v>209.91640288637137</v>
      </c>
      <c r="B317"/>
      <c r="C317"/>
      <c r="D317"/>
      <c r="E317"/>
      <c r="JE317" s="27" t="s">
        <v>8</v>
      </c>
      <c r="JH317" s="27" t="s">
        <v>7</v>
      </c>
      <c r="JI317" s="27" t="s">
        <v>8</v>
      </c>
      <c r="JJ317" s="27" t="s">
        <v>7</v>
      </c>
      <c r="JL317" s="27" t="s">
        <v>7</v>
      </c>
      <c r="JM317" s="27" t="s">
        <v>8</v>
      </c>
    </row>
    <row r="318" spans="1:343" x14ac:dyDescent="0.25">
      <c r="A318" s="7">
        <v>205.80039498663859</v>
      </c>
      <c r="B318"/>
      <c r="C318"/>
      <c r="D318"/>
      <c r="E318"/>
      <c r="JE318" s="27" t="s">
        <v>8</v>
      </c>
      <c r="JH318" s="27" t="s">
        <v>7</v>
      </c>
      <c r="JI318" s="27" t="s">
        <v>8</v>
      </c>
      <c r="JL318" s="27" t="s">
        <v>7</v>
      </c>
      <c r="JM318" s="27" t="s">
        <v>8</v>
      </c>
    </row>
    <row r="319" spans="1:343" x14ac:dyDescent="0.25">
      <c r="A319" s="7">
        <v>201.76509312415547</v>
      </c>
      <c r="B319"/>
      <c r="C319"/>
      <c r="D319"/>
      <c r="E319"/>
      <c r="JE319" s="27" t="s">
        <v>8</v>
      </c>
      <c r="JH319" s="27" t="s">
        <v>7</v>
      </c>
      <c r="JI319" s="27" t="s">
        <v>8</v>
      </c>
      <c r="JL319" s="27" t="s">
        <v>7</v>
      </c>
      <c r="JM319" s="27" t="s">
        <v>8</v>
      </c>
    </row>
    <row r="320" spans="1:343" x14ac:dyDescent="0.25">
      <c r="A320" s="7">
        <v>197.80891482760339</v>
      </c>
      <c r="B320"/>
      <c r="C320"/>
      <c r="D320"/>
      <c r="E320"/>
      <c r="JE320" s="27" t="s">
        <v>8</v>
      </c>
      <c r="JH320" s="27" t="s">
        <v>7</v>
      </c>
      <c r="JI320" s="27" t="s">
        <v>8</v>
      </c>
      <c r="JL320" s="27" t="s">
        <v>7</v>
      </c>
    </row>
    <row r="321" spans="1:269" x14ac:dyDescent="0.25">
      <c r="A321" s="7">
        <v>193.93030865451311</v>
      </c>
      <c r="B321"/>
      <c r="C321"/>
      <c r="D321"/>
      <c r="E321"/>
      <c r="JE321" s="27" t="s">
        <v>8</v>
      </c>
      <c r="JH321" s="27" t="s">
        <v>7</v>
      </c>
      <c r="JI321" s="27" t="s">
        <v>8</v>
      </c>
    </row>
    <row r="322" spans="1:269" x14ac:dyDescent="0.25">
      <c r="A322" s="7">
        <v>190.127753582856</v>
      </c>
      <c r="B322"/>
      <c r="C322"/>
      <c r="D322"/>
      <c r="E322"/>
      <c r="JE322" s="27" t="s">
        <v>8</v>
      </c>
      <c r="JH322" s="27" t="s">
        <v>7</v>
      </c>
      <c r="JI322" s="27" t="s">
        <v>8</v>
      </c>
    </row>
    <row r="323" spans="1:269" x14ac:dyDescent="0.25">
      <c r="A323" s="7">
        <v>186.3997584145647</v>
      </c>
      <c r="B323"/>
      <c r="C323"/>
      <c r="D323"/>
      <c r="E323"/>
      <c r="JE323" s="27" t="s">
        <v>8</v>
      </c>
      <c r="JH323" s="27" t="s">
        <v>7</v>
      </c>
    </row>
    <row r="324" spans="1:269" x14ac:dyDescent="0.25">
      <c r="A324" s="7">
        <v>182.7448611907497</v>
      </c>
      <c r="B324"/>
      <c r="C324"/>
      <c r="D324"/>
      <c r="E324"/>
      <c r="JE324" s="27" t="s">
        <v>8</v>
      </c>
    </row>
    <row r="325" spans="1:269" x14ac:dyDescent="0.25">
      <c r="A325" s="7">
        <v>179.16162861838205</v>
      </c>
      <c r="B325"/>
      <c r="C325"/>
      <c r="D325"/>
      <c r="E325"/>
      <c r="JE325" s="27" t="s">
        <v>8</v>
      </c>
    </row>
    <row r="326" spans="1:269" x14ac:dyDescent="0.25">
      <c r="A326" s="7">
        <v>175.6486555082177</v>
      </c>
      <c r="B326"/>
      <c r="C326"/>
      <c r="D326"/>
      <c r="E326"/>
      <c r="JE326" s="27" t="s">
        <v>8</v>
      </c>
    </row>
    <row r="327" spans="1:269" x14ac:dyDescent="0.25">
      <c r="A327" s="7">
        <v>172.20456422374284</v>
      </c>
      <c r="B327"/>
      <c r="C327"/>
      <c r="D327"/>
      <c r="E327"/>
      <c r="JE327" s="27" t="s">
        <v>8</v>
      </c>
    </row>
    <row r="328" spans="1:269" x14ac:dyDescent="0.25">
      <c r="A328" s="7">
        <v>168.82800414092435</v>
      </c>
      <c r="B328"/>
      <c r="C328"/>
      <c r="D328"/>
      <c r="E328"/>
      <c r="JE328" s="27" t="s">
        <v>8</v>
      </c>
    </row>
    <row r="329" spans="1:269" x14ac:dyDescent="0.25">
      <c r="A329" s="7">
        <v>165.51765111855329</v>
      </c>
      <c r="B329"/>
      <c r="C329"/>
      <c r="D329"/>
      <c r="E329"/>
      <c r="JE329" s="27" t="s">
        <v>8</v>
      </c>
    </row>
    <row r="330" spans="1:269" x14ac:dyDescent="0.25">
      <c r="A330" s="7">
        <v>162.2722069789738</v>
      </c>
      <c r="B330"/>
      <c r="C330"/>
      <c r="D330"/>
      <c r="E330"/>
      <c r="JE330" s="27" t="s">
        <v>8</v>
      </c>
    </row>
    <row r="331" spans="1:269" x14ac:dyDescent="0.25">
      <c r="A331" s="7">
        <v>159.09039899899392</v>
      </c>
      <c r="B331"/>
      <c r="C331"/>
      <c r="D331"/>
      <c r="E331"/>
      <c r="JE331" s="27" t="s">
        <v>8</v>
      </c>
    </row>
    <row r="332" spans="1:269" x14ac:dyDescent="0.25">
      <c r="A332" s="7">
        <v>155.97097941077834</v>
      </c>
      <c r="B332"/>
      <c r="C332"/>
      <c r="D332"/>
      <c r="E332"/>
      <c r="JE332" s="27" t="s">
        <v>8</v>
      </c>
    </row>
    <row r="333" spans="1:269" x14ac:dyDescent="0.25">
      <c r="A333" s="7">
        <v>152.91272491252778</v>
      </c>
      <c r="B333"/>
      <c r="C333"/>
      <c r="D333"/>
      <c r="E333"/>
      <c r="JE333" s="27" t="s">
        <v>8</v>
      </c>
    </row>
    <row r="334" spans="1:269" x14ac:dyDescent="0.25">
      <c r="A334" s="7">
        <v>149.91443618875272</v>
      </c>
      <c r="B334"/>
      <c r="C334"/>
      <c r="D334"/>
      <c r="E334"/>
      <c r="JE334" s="27" t="s">
        <v>8</v>
      </c>
    </row>
    <row r="335" spans="1:269" x14ac:dyDescent="0.25">
      <c r="A335" s="7">
        <v>146.97493743995364</v>
      </c>
      <c r="B335"/>
      <c r="C335"/>
      <c r="D335"/>
      <c r="E335"/>
      <c r="IY335" s="27" t="s">
        <v>8</v>
      </c>
      <c r="JE335" s="27" t="s">
        <v>8</v>
      </c>
    </row>
    <row r="336" spans="1:269" x14ac:dyDescent="0.25">
      <c r="A336" s="7">
        <v>144.09307592152317</v>
      </c>
      <c r="B336"/>
      <c r="C336"/>
      <c r="D336"/>
      <c r="E336"/>
      <c r="IY336" s="27" t="s">
        <v>8</v>
      </c>
      <c r="IZ336" s="27" t="s">
        <v>7</v>
      </c>
      <c r="JE336" s="27" t="s">
        <v>8</v>
      </c>
    </row>
    <row r="337" spans="1:265" x14ac:dyDescent="0.25">
      <c r="A337" s="7">
        <v>141.26772149168937</v>
      </c>
      <c r="B337"/>
      <c r="C337"/>
      <c r="D337"/>
      <c r="E337"/>
      <c r="IY337" s="27" t="s">
        <v>8</v>
      </c>
      <c r="IZ337" s="27" t="s">
        <v>7</v>
      </c>
      <c r="JA337" s="27" t="s">
        <v>8</v>
      </c>
      <c r="JE337" s="27" t="s">
        <v>8</v>
      </c>
    </row>
    <row r="338" spans="1:265" x14ac:dyDescent="0.25">
      <c r="A338" s="7">
        <v>138.4977661683229</v>
      </c>
      <c r="B338"/>
      <c r="C338"/>
      <c r="D338"/>
      <c r="E338"/>
      <c r="IY338" s="27" t="s">
        <v>8</v>
      </c>
      <c r="IZ338" s="27" t="s">
        <v>7</v>
      </c>
      <c r="JA338" s="27" t="s">
        <v>8</v>
      </c>
      <c r="JB338" s="27" t="s">
        <v>7</v>
      </c>
      <c r="JC338" s="27" t="s">
        <v>8</v>
      </c>
      <c r="JE338" s="27" t="s">
        <v>8</v>
      </c>
    </row>
    <row r="339" spans="1:265" x14ac:dyDescent="0.25">
      <c r="A339" s="7">
        <v>135.7821236944342</v>
      </c>
      <c r="B339"/>
      <c r="C339"/>
      <c r="D339"/>
      <c r="E339"/>
      <c r="IY339" s="27" t="s">
        <v>8</v>
      </c>
      <c r="IZ339" s="27" t="s">
        <v>7</v>
      </c>
      <c r="JA339" s="27" t="s">
        <v>8</v>
      </c>
      <c r="JB339" s="27" t="s">
        <v>7</v>
      </c>
      <c r="JC339" s="27" t="s">
        <v>8</v>
      </c>
      <c r="JD339" s="27" t="s">
        <v>7</v>
      </c>
      <c r="JE339" s="27" t="s">
        <v>8</v>
      </c>
    </row>
    <row r="340" spans="1:265" x14ac:dyDescent="0.25">
      <c r="A340" s="7">
        <v>133.11972911219038</v>
      </c>
      <c r="B340"/>
      <c r="C340"/>
      <c r="D340"/>
      <c r="E340"/>
      <c r="IY340" s="27" t="s">
        <v>8</v>
      </c>
      <c r="IZ340" s="27" t="s">
        <v>7</v>
      </c>
      <c r="JA340" s="27" t="s">
        <v>8</v>
      </c>
      <c r="JB340" s="27" t="s">
        <v>7</v>
      </c>
      <c r="JC340" s="27" t="s">
        <v>8</v>
      </c>
      <c r="JD340" s="27" t="s">
        <v>7</v>
      </c>
      <c r="JE340" s="27" t="s">
        <v>8</v>
      </c>
    </row>
    <row r="341" spans="1:265" x14ac:dyDescent="0.25">
      <c r="A341" s="7">
        <v>130.50953834528468</v>
      </c>
      <c r="B341"/>
      <c r="C341"/>
      <c r="D341"/>
      <c r="E341"/>
      <c r="IY341" s="27" t="s">
        <v>8</v>
      </c>
      <c r="IZ341" s="27" t="s">
        <v>7</v>
      </c>
      <c r="JA341" s="27" t="s">
        <v>8</v>
      </c>
      <c r="JB341" s="27" t="s">
        <v>7</v>
      </c>
      <c r="JC341" s="27" t="s">
        <v>8</v>
      </c>
      <c r="JD341" s="27" t="s">
        <v>7</v>
      </c>
      <c r="JE341" s="27" t="s">
        <v>8</v>
      </c>
    </row>
    <row r="342" spans="1:265" x14ac:dyDescent="0.25">
      <c r="A342" s="7">
        <v>127.95052778949477</v>
      </c>
      <c r="B342"/>
      <c r="C342"/>
      <c r="D342"/>
      <c r="E342"/>
      <c r="IY342" s="27" t="s">
        <v>8</v>
      </c>
      <c r="IZ342" s="27" t="s">
        <v>7</v>
      </c>
      <c r="JA342" s="27" t="s">
        <v>8</v>
      </c>
      <c r="JB342" s="27" t="s">
        <v>7</v>
      </c>
      <c r="JC342" s="27" t="s">
        <v>8</v>
      </c>
      <c r="JD342" s="27" t="s">
        <v>7</v>
      </c>
      <c r="JE342" s="27" t="s">
        <v>8</v>
      </c>
    </row>
    <row r="343" spans="1:265" x14ac:dyDescent="0.25">
      <c r="A343" s="7">
        <v>125.44169391126938</v>
      </c>
      <c r="B343"/>
      <c r="C343"/>
      <c r="D343"/>
      <c r="E343"/>
      <c r="IY343" s="27" t="s">
        <v>8</v>
      </c>
      <c r="IZ343" s="27" t="s">
        <v>7</v>
      </c>
      <c r="JA343" s="27" t="s">
        <v>8</v>
      </c>
      <c r="JB343" s="27" t="s">
        <v>7</v>
      </c>
      <c r="JD343" s="27" t="s">
        <v>7</v>
      </c>
      <c r="JE343" s="27" t="s">
        <v>8</v>
      </c>
    </row>
    <row r="344" spans="1:265" x14ac:dyDescent="0.25">
      <c r="A344" s="7">
        <v>122.98205285418567</v>
      </c>
      <c r="B344"/>
      <c r="C344"/>
      <c r="D344"/>
      <c r="E344"/>
      <c r="IY344" s="27" t="s">
        <v>8</v>
      </c>
      <c r="IZ344" s="27" t="s">
        <v>7</v>
      </c>
      <c r="JA344" s="27" t="s">
        <v>8</v>
      </c>
      <c r="JD344" s="27" t="s">
        <v>7</v>
      </c>
      <c r="JE344" s="27" t="s">
        <v>8</v>
      </c>
    </row>
    <row r="345" spans="1:265" x14ac:dyDescent="0.25">
      <c r="A345" s="7">
        <v>120.5706400531232</v>
      </c>
      <c r="B345"/>
      <c r="C345"/>
      <c r="D345"/>
      <c r="E345"/>
      <c r="IY345" s="27" t="s">
        <v>8</v>
      </c>
      <c r="IZ345" s="27" t="s">
        <v>7</v>
      </c>
      <c r="JA345" s="27" t="s">
        <v>8</v>
      </c>
      <c r="JD345" s="27" t="s">
        <v>7</v>
      </c>
      <c r="JE345" s="27" t="s">
        <v>8</v>
      </c>
    </row>
    <row r="346" spans="1:265" x14ac:dyDescent="0.25">
      <c r="A346" s="7">
        <v>118.20650985600314</v>
      </c>
      <c r="B346"/>
      <c r="C346"/>
      <c r="D346"/>
      <c r="E346"/>
      <c r="IY346" s="27" t="s">
        <v>8</v>
      </c>
      <c r="IZ346" s="27" t="s">
        <v>7</v>
      </c>
      <c r="JD346" s="27" t="s">
        <v>7</v>
      </c>
    </row>
    <row r="347" spans="1:265" x14ac:dyDescent="0.25">
      <c r="A347" s="7">
        <v>115.88873515294425</v>
      </c>
      <c r="B347"/>
      <c r="C347"/>
      <c r="D347"/>
      <c r="E347"/>
      <c r="IY347" s="27" t="s">
        <v>8</v>
      </c>
    </row>
    <row r="348" spans="1:265" x14ac:dyDescent="0.25">
      <c r="A348" s="7">
        <v>113.61640701269044</v>
      </c>
      <c r="B348"/>
      <c r="C348"/>
      <c r="D348"/>
      <c r="E348"/>
      <c r="IY348" s="27" t="s">
        <v>8</v>
      </c>
    </row>
    <row r="349" spans="1:265" x14ac:dyDescent="0.25">
      <c r="A349" s="7">
        <v>111.38863432616711</v>
      </c>
      <c r="B349"/>
      <c r="C349"/>
      <c r="D349"/>
      <c r="E349"/>
      <c r="IY349" s="27" t="s">
        <v>8</v>
      </c>
    </row>
    <row r="350" spans="1:265" x14ac:dyDescent="0.25">
      <c r="A350" s="7">
        <v>109.20454345702657</v>
      </c>
      <c r="B350"/>
      <c r="C350"/>
      <c r="D350"/>
      <c r="E350"/>
      <c r="IY350" s="27" t="s">
        <v>8</v>
      </c>
    </row>
    <row r="351" spans="1:265" x14ac:dyDescent="0.25">
      <c r="A351" s="7">
        <v>107.06327789904566</v>
      </c>
      <c r="B351"/>
      <c r="C351"/>
      <c r="D351"/>
      <c r="E351"/>
      <c r="IY351" s="27" t="s">
        <v>8</v>
      </c>
    </row>
    <row r="352" spans="1:265" x14ac:dyDescent="0.25">
      <c r="A352" s="7">
        <v>104.96399794024084</v>
      </c>
      <c r="B352"/>
      <c r="C352"/>
      <c r="D352"/>
      <c r="E352"/>
      <c r="IY352" s="27" t="s">
        <v>8</v>
      </c>
    </row>
    <row r="353" spans="1:259" x14ac:dyDescent="0.25">
      <c r="A353" s="7">
        <v>102.90588033356946</v>
      </c>
      <c r="B353"/>
      <c r="C353"/>
      <c r="D353"/>
      <c r="E353"/>
      <c r="IY353" s="27" t="s">
        <v>8</v>
      </c>
    </row>
    <row r="354" spans="1:259" x14ac:dyDescent="0.25">
      <c r="A354" s="7">
        <v>100.88811797408771</v>
      </c>
      <c r="B354"/>
      <c r="C354"/>
      <c r="D354"/>
      <c r="E354"/>
      <c r="IY354" s="27" t="s">
        <v>8</v>
      </c>
    </row>
    <row r="355" spans="1:259" x14ac:dyDescent="0.25">
      <c r="A355" s="7">
        <v>98.909919582438931</v>
      </c>
      <c r="B355"/>
      <c r="C355"/>
      <c r="D355"/>
      <c r="E355"/>
      <c r="IY355" s="27" t="s">
        <v>8</v>
      </c>
    </row>
    <row r="356" spans="1:259" x14ac:dyDescent="0.25">
      <c r="A356" s="7">
        <v>96.970509394547975</v>
      </c>
      <c r="B356"/>
      <c r="C356"/>
      <c r="D356"/>
      <c r="E356"/>
      <c r="IY356" s="27" t="s">
        <v>8</v>
      </c>
    </row>
    <row r="357" spans="1:259" x14ac:dyDescent="0.25">
      <c r="A357" s="7">
        <v>95.069126857399979</v>
      </c>
      <c r="B357"/>
      <c r="C357"/>
      <c r="D357"/>
      <c r="E357"/>
      <c r="IY357" s="27" t="s">
        <v>8</v>
      </c>
    </row>
    <row r="358" spans="1:259" x14ac:dyDescent="0.25">
      <c r="A358" s="7">
        <v>93.205026330784293</v>
      </c>
      <c r="B358"/>
      <c r="C358"/>
      <c r="D358"/>
      <c r="E358"/>
      <c r="IY358" s="27" t="s">
        <v>8</v>
      </c>
    </row>
    <row r="359" spans="1:259" x14ac:dyDescent="0.25">
      <c r="A359" s="7">
        <v>91.377476794886562</v>
      </c>
      <c r="B359"/>
      <c r="C359"/>
      <c r="D359"/>
      <c r="E359"/>
      <c r="IY359" s="27" t="s">
        <v>8</v>
      </c>
    </row>
    <row r="360" spans="1:259" x14ac:dyDescent="0.25">
      <c r="A360" s="7">
        <v>89.58576156361427</v>
      </c>
      <c r="B360"/>
      <c r="C360"/>
      <c r="D360"/>
      <c r="E360"/>
      <c r="IY360" s="27" t="s">
        <v>8</v>
      </c>
    </row>
    <row r="361" spans="1:259" x14ac:dyDescent="0.25">
      <c r="A361" s="7">
        <v>87.829178003543404</v>
      </c>
      <c r="B361"/>
      <c r="C361"/>
      <c r="D361"/>
      <c r="E361"/>
      <c r="IY361" s="27" t="s">
        <v>8</v>
      </c>
    </row>
    <row r="362" spans="1:259" x14ac:dyDescent="0.25">
      <c r="A362" s="7">
        <v>86.107037258375883</v>
      </c>
      <c r="B362"/>
      <c r="C362"/>
      <c r="D362"/>
      <c r="E362"/>
      <c r="IY362" s="27" t="s">
        <v>8</v>
      </c>
    </row>
    <row r="363" spans="1:259" x14ac:dyDescent="0.25">
      <c r="A363" s="7">
        <v>84.418663978799884</v>
      </c>
      <c r="B363"/>
      <c r="C363"/>
      <c r="D363"/>
      <c r="E363"/>
      <c r="IY363" s="27" t="s">
        <v>8</v>
      </c>
    </row>
    <row r="364" spans="1:259" x14ac:dyDescent="0.25">
      <c r="A364" s="7">
        <v>82.763396057646943</v>
      </c>
      <c r="B364"/>
      <c r="C364"/>
      <c r="D364"/>
      <c r="E364"/>
      <c r="IY364" s="27" t="s">
        <v>8</v>
      </c>
    </row>
    <row r="365" spans="1:259" x14ac:dyDescent="0.25">
      <c r="A365" s="7">
        <v>81.140584370242095</v>
      </c>
      <c r="B365"/>
      <c r="C365"/>
      <c r="D365"/>
      <c r="E365"/>
      <c r="IY365" s="27" t="s">
        <v>8</v>
      </c>
    </row>
    <row r="366" spans="1:259" x14ac:dyDescent="0.25">
      <c r="A366" s="7">
        <v>79.549592519845191</v>
      </c>
      <c r="B366"/>
      <c r="C366"/>
      <c r="D366"/>
      <c r="E366"/>
      <c r="IY366" s="27" t="s">
        <v>8</v>
      </c>
    </row>
    <row r="367" spans="1:259" x14ac:dyDescent="0.25">
      <c r="A367" s="7">
        <v>77.989796588083522</v>
      </c>
      <c r="B367"/>
      <c r="C367"/>
      <c r="D367"/>
      <c r="E367"/>
      <c r="IY367" s="27" t="s">
        <v>8</v>
      </c>
    </row>
    <row r="368" spans="1:259" x14ac:dyDescent="0.25">
      <c r="A368" s="7">
        <v>76.460584890277957</v>
      </c>
      <c r="B368"/>
      <c r="C368"/>
      <c r="D368"/>
      <c r="E368"/>
      <c r="IY368" s="27" t="s">
        <v>8</v>
      </c>
    </row>
    <row r="369" spans="1:259" x14ac:dyDescent="0.25">
      <c r="A369" s="7">
        <v>74.961357735566622</v>
      </c>
      <c r="B369"/>
      <c r="C369"/>
      <c r="D369"/>
      <c r="E369"/>
      <c r="IW369" s="27" t="s">
        <v>8</v>
      </c>
      <c r="IY369" s="27" t="s">
        <v>8</v>
      </c>
    </row>
    <row r="370" spans="1:259" x14ac:dyDescent="0.25">
      <c r="A370" s="7">
        <v>73.491527191731976</v>
      </c>
      <c r="B370"/>
      <c r="C370"/>
      <c r="D370"/>
      <c r="E370"/>
      <c r="IW370" s="27" t="s">
        <v>8</v>
      </c>
      <c r="IX370" s="27" t="s">
        <v>7</v>
      </c>
      <c r="IY370" s="27" t="s">
        <v>8</v>
      </c>
    </row>
    <row r="371" spans="1:259" x14ac:dyDescent="0.25">
      <c r="A371" s="7">
        <v>72.050516854639184</v>
      </c>
      <c r="B371"/>
      <c r="C371"/>
      <c r="D371"/>
      <c r="E371"/>
      <c r="IW371" s="27" t="s">
        <v>8</v>
      </c>
      <c r="IX371" s="27" t="s">
        <v>7</v>
      </c>
      <c r="IY371" s="27" t="s">
        <v>8</v>
      </c>
    </row>
    <row r="372" spans="1:259" x14ac:dyDescent="0.25">
      <c r="A372" s="7">
        <v>70.637761622195271</v>
      </c>
      <c r="B372"/>
      <c r="C372"/>
      <c r="D372"/>
      <c r="E372"/>
      <c r="IW372" s="27" t="s">
        <v>8</v>
      </c>
      <c r="IX372" s="27" t="s">
        <v>7</v>
      </c>
      <c r="IY372" s="27" t="s">
        <v>8</v>
      </c>
    </row>
    <row r="373" spans="1:259" x14ac:dyDescent="0.25">
      <c r="A373" s="7">
        <v>69.252707472740454</v>
      </c>
      <c r="B373"/>
      <c r="C373"/>
      <c r="D373"/>
      <c r="E373"/>
      <c r="IW373" s="27" t="s">
        <v>8</v>
      </c>
      <c r="IX373" s="27" t="s">
        <v>7</v>
      </c>
      <c r="IY373" s="27" t="s">
        <v>8</v>
      </c>
    </row>
    <row r="374" spans="1:259" x14ac:dyDescent="0.25">
      <c r="A374" s="7">
        <v>67.894811247784759</v>
      </c>
      <c r="B374"/>
      <c r="C374"/>
      <c r="D374"/>
      <c r="E374"/>
      <c r="IW374" s="27" t="s">
        <v>8</v>
      </c>
      <c r="IX374" s="27" t="s">
        <v>7</v>
      </c>
      <c r="IY374" s="27" t="s">
        <v>8</v>
      </c>
    </row>
    <row r="375" spans="1:259" x14ac:dyDescent="0.25">
      <c r="A375" s="7">
        <v>66.563540439004669</v>
      </c>
      <c r="B375"/>
      <c r="C375"/>
      <c r="D375"/>
      <c r="E375"/>
      <c r="IW375" s="27" t="s">
        <v>8</v>
      </c>
      <c r="IX375" s="27" t="s">
        <v>7</v>
      </c>
      <c r="IY375" s="27" t="s">
        <v>8</v>
      </c>
    </row>
    <row r="376" spans="1:259" x14ac:dyDescent="0.25">
      <c r="A376" s="7">
        <v>65.258372979416336</v>
      </c>
      <c r="B376"/>
      <c r="C376"/>
      <c r="D376"/>
      <c r="E376"/>
      <c r="IW376" s="27" t="s">
        <v>8</v>
      </c>
      <c r="IX376" s="27" t="s">
        <v>7</v>
      </c>
    </row>
    <row r="377" spans="1:259" x14ac:dyDescent="0.25">
      <c r="A377" s="7">
        <v>63.978797038643471</v>
      </c>
      <c r="B377"/>
      <c r="C377"/>
      <c r="D377"/>
      <c r="E377"/>
      <c r="IW377" s="27" t="s">
        <v>8</v>
      </c>
    </row>
    <row r="378" spans="1:259" x14ac:dyDescent="0.25">
      <c r="A378" s="7">
        <v>62.724310822199477</v>
      </c>
      <c r="B378"/>
      <c r="C378"/>
      <c r="D378"/>
      <c r="E378"/>
      <c r="IW378" s="27" t="s">
        <v>8</v>
      </c>
    </row>
    <row r="379" spans="1:259" x14ac:dyDescent="0.25">
      <c r="A379" s="7">
        <v>61.494422374705366</v>
      </c>
      <c r="B379"/>
      <c r="C379"/>
      <c r="D379"/>
      <c r="E379"/>
      <c r="IW379" s="27" t="s">
        <v>8</v>
      </c>
    </row>
    <row r="380" spans="1:259" x14ac:dyDescent="0.25">
      <c r="A380" s="7">
        <v>60.288649386966043</v>
      </c>
      <c r="B380"/>
      <c r="C380"/>
      <c r="D380"/>
      <c r="E380"/>
      <c r="IW380" s="27" t="s">
        <v>8</v>
      </c>
    </row>
    <row r="381" spans="1:259" x14ac:dyDescent="0.25">
      <c r="A381" s="7">
        <v>59.106519006829451</v>
      </c>
      <c r="B381"/>
      <c r="C381"/>
      <c r="D381"/>
      <c r="E381"/>
      <c r="IW381" s="27" t="s">
        <v>8</v>
      </c>
    </row>
    <row r="382" spans="1:259" x14ac:dyDescent="0.25">
      <c r="A382" s="7">
        <v>57.947567653754362</v>
      </c>
      <c r="B382"/>
      <c r="C382"/>
      <c r="D382"/>
      <c r="E382"/>
      <c r="IW382" s="27" t="s">
        <v>8</v>
      </c>
    </row>
    <row r="383" spans="1:259" x14ac:dyDescent="0.25">
      <c r="A383" s="7">
        <v>56.811340837014079</v>
      </c>
      <c r="B383"/>
      <c r="C383"/>
      <c r="D383"/>
      <c r="E383"/>
      <c r="IW383" s="27" t="s">
        <v>8</v>
      </c>
    </row>
    <row r="384" spans="1:259" x14ac:dyDescent="0.25">
      <c r="A384" s="7">
        <v>55.69739297746478</v>
      </c>
      <c r="B384"/>
      <c r="C384"/>
      <c r="D384"/>
      <c r="E384"/>
      <c r="IW384" s="27" t="s">
        <v>8</v>
      </c>
    </row>
    <row r="385" spans="1:257" x14ac:dyDescent="0.25">
      <c r="A385" s="7">
        <v>54.605287232808607</v>
      </c>
      <c r="B385"/>
      <c r="C385"/>
      <c r="D385"/>
      <c r="E385"/>
      <c r="IW385" s="27" t="s">
        <v>8</v>
      </c>
    </row>
    <row r="386" spans="1:257" x14ac:dyDescent="0.25">
      <c r="A386" s="7">
        <v>53.534595326282947</v>
      </c>
      <c r="B386"/>
      <c r="C386"/>
      <c r="D386"/>
      <c r="E386"/>
      <c r="IW386" s="27" t="s">
        <v>8</v>
      </c>
    </row>
    <row r="387" spans="1:257" x14ac:dyDescent="0.25">
      <c r="A387" s="7">
        <v>52.484897378708773</v>
      </c>
      <c r="B387"/>
      <c r="C387"/>
      <c r="D387"/>
      <c r="E387"/>
      <c r="IW387" s="27" t="s">
        <v>8</v>
      </c>
    </row>
    <row r="388" spans="1:257" x14ac:dyDescent="0.25">
      <c r="A388" s="7">
        <v>51.455781743832127</v>
      </c>
      <c r="B388"/>
      <c r="C388"/>
      <c r="D388"/>
      <c r="E388"/>
      <c r="IW388" s="27" t="s">
        <v>8</v>
      </c>
    </row>
    <row r="389" spans="1:257" x14ac:dyDescent="0.25">
      <c r="A389" s="7">
        <v>50.446844846894244</v>
      </c>
      <c r="B389"/>
      <c r="C389"/>
      <c r="D389"/>
      <c r="E389"/>
      <c r="IW389" s="27" t="s">
        <v>8</v>
      </c>
    </row>
    <row r="390" spans="1:257" x14ac:dyDescent="0.25">
      <c r="A390" s="7">
        <v>49.457691026366902</v>
      </c>
      <c r="B390"/>
      <c r="C390"/>
      <c r="D390"/>
      <c r="E390"/>
      <c r="IW390" s="27" t="s">
        <v>8</v>
      </c>
    </row>
    <row r="391" spans="1:257" x14ac:dyDescent="0.25">
      <c r="A391" s="7">
        <v>48.487932378791079</v>
      </c>
      <c r="B391"/>
      <c r="C391"/>
      <c r="D391"/>
      <c r="E391"/>
      <c r="IW391" s="27" t="s">
        <v>8</v>
      </c>
    </row>
    <row r="392" spans="1:257" x14ac:dyDescent="0.25">
      <c r="A392" s="7">
        <v>47.537188606657921</v>
      </c>
      <c r="B392"/>
      <c r="C392"/>
      <c r="D392"/>
      <c r="E392"/>
      <c r="IW392" s="27" t="s">
        <v>8</v>
      </c>
    </row>
    <row r="393" spans="1:257" x14ac:dyDescent="0.25">
      <c r="A393" s="7">
        <v>46.605086869272469</v>
      </c>
      <c r="B393"/>
      <c r="C393"/>
      <c r="D393"/>
      <c r="E393"/>
      <c r="IS393" s="27" t="s">
        <v>8</v>
      </c>
      <c r="IW393" s="27" t="s">
        <v>8</v>
      </c>
    </row>
    <row r="394" spans="1:257" x14ac:dyDescent="0.25">
      <c r="A394" s="7">
        <v>45.691261636541633</v>
      </c>
      <c r="B394"/>
      <c r="C394"/>
      <c r="D394"/>
      <c r="E394"/>
      <c r="IS394" s="27" t="s">
        <v>8</v>
      </c>
      <c r="IT394" s="27" t="s">
        <v>7</v>
      </c>
      <c r="IW394" s="27" t="s">
        <v>8</v>
      </c>
    </row>
    <row r="395" spans="1:257" x14ac:dyDescent="0.25">
      <c r="A395" s="7">
        <v>44.795354545629053</v>
      </c>
      <c r="B395"/>
      <c r="C395"/>
      <c r="D395"/>
      <c r="E395"/>
      <c r="IM395" s="27" t="s">
        <v>8</v>
      </c>
      <c r="IO395" s="27" t="s">
        <v>8</v>
      </c>
      <c r="IS395" s="27" t="s">
        <v>8</v>
      </c>
      <c r="IT395" s="27" t="s">
        <v>7</v>
      </c>
      <c r="IW395" s="27" t="s">
        <v>8</v>
      </c>
    </row>
    <row r="396" spans="1:257" x14ac:dyDescent="0.25">
      <c r="A396" s="7">
        <v>43.917014260420636</v>
      </c>
      <c r="B396"/>
      <c r="C396"/>
      <c r="D396"/>
      <c r="E396"/>
      <c r="IM396" s="27" t="s">
        <v>8</v>
      </c>
      <c r="IN396" s="27" t="s">
        <v>7</v>
      </c>
      <c r="IO396" s="27" t="s">
        <v>8</v>
      </c>
      <c r="IP396" s="27" t="s">
        <v>7</v>
      </c>
      <c r="IS396" s="27" t="s">
        <v>8</v>
      </c>
      <c r="IT396" s="27" t="s">
        <v>7</v>
      </c>
      <c r="IW396" s="27" t="s">
        <v>8</v>
      </c>
    </row>
    <row r="397" spans="1:257" x14ac:dyDescent="0.25">
      <c r="A397" s="7">
        <v>43.055896333745721</v>
      </c>
      <c r="B397"/>
      <c r="C397"/>
      <c r="D397"/>
      <c r="E397"/>
      <c r="IK397" s="27" t="s">
        <v>8</v>
      </c>
      <c r="IM397" s="27" t="s">
        <v>8</v>
      </c>
      <c r="IN397" s="27" t="s">
        <v>7</v>
      </c>
      <c r="IO397" s="27" t="s">
        <v>8</v>
      </c>
      <c r="IP397" s="27" t="s">
        <v>7</v>
      </c>
      <c r="IS397" s="27" t="s">
        <v>8</v>
      </c>
      <c r="IT397" s="27" t="s">
        <v>7</v>
      </c>
      <c r="IU397" s="27" t="s">
        <v>8</v>
      </c>
      <c r="IW397" s="27" t="s">
        <v>8</v>
      </c>
    </row>
    <row r="398" spans="1:257" x14ac:dyDescent="0.25">
      <c r="A398" s="7">
        <v>42.211663072299729</v>
      </c>
      <c r="B398"/>
      <c r="C398"/>
      <c r="D398"/>
      <c r="E398"/>
      <c r="IK398" s="27" t="s">
        <v>8</v>
      </c>
      <c r="IL398" s="27" t="s">
        <v>7</v>
      </c>
      <c r="IM398" s="27" t="s">
        <v>8</v>
      </c>
      <c r="IN398" s="27" t="s">
        <v>7</v>
      </c>
      <c r="IO398" s="27" t="s">
        <v>8</v>
      </c>
      <c r="IP398" s="27" t="s">
        <v>7</v>
      </c>
      <c r="IS398" s="27" t="s">
        <v>8</v>
      </c>
      <c r="IT398" s="27" t="s">
        <v>7</v>
      </c>
      <c r="IU398" s="27" t="s">
        <v>8</v>
      </c>
      <c r="IV398" s="27" t="s">
        <v>7</v>
      </c>
      <c r="IW398" s="27" t="s">
        <v>8</v>
      </c>
    </row>
    <row r="399" spans="1:257" x14ac:dyDescent="0.25">
      <c r="A399" s="7">
        <v>41.383983404215421</v>
      </c>
      <c r="B399"/>
      <c r="C399"/>
      <c r="D399"/>
      <c r="E399"/>
      <c r="IK399" s="27" t="s">
        <v>8</v>
      </c>
      <c r="IL399" s="27" t="s">
        <v>7</v>
      </c>
      <c r="IM399" s="27" t="s">
        <v>8</v>
      </c>
      <c r="IN399" s="27" t="s">
        <v>7</v>
      </c>
      <c r="IO399" s="27" t="s">
        <v>8</v>
      </c>
      <c r="IP399" s="27" t="s">
        <v>7</v>
      </c>
      <c r="IS399" s="27" t="s">
        <v>8</v>
      </c>
      <c r="IT399" s="27" t="s">
        <v>7</v>
      </c>
      <c r="IU399" s="27" t="s">
        <v>8</v>
      </c>
      <c r="IV399" s="27" t="s">
        <v>7</v>
      </c>
      <c r="IW399" s="27" t="s">
        <v>8</v>
      </c>
    </row>
    <row r="400" spans="1:257" x14ac:dyDescent="0.25">
      <c r="A400" s="7">
        <v>40.572532749230803</v>
      </c>
      <c r="B400"/>
      <c r="C400"/>
      <c r="D400"/>
      <c r="E400"/>
      <c r="IK400" s="27" t="s">
        <v>8</v>
      </c>
      <c r="IL400" s="27" t="s">
        <v>7</v>
      </c>
      <c r="IM400" s="27" t="s">
        <v>8</v>
      </c>
      <c r="IN400" s="27" t="s">
        <v>7</v>
      </c>
      <c r="IP400" s="27" t="s">
        <v>7</v>
      </c>
      <c r="IS400" s="27" t="s">
        <v>8</v>
      </c>
      <c r="IT400" s="27" t="s">
        <v>7</v>
      </c>
      <c r="IU400" s="27" t="s">
        <v>8</v>
      </c>
      <c r="IV400" s="27" t="s">
        <v>7</v>
      </c>
      <c r="IW400" s="27" t="s">
        <v>8</v>
      </c>
    </row>
    <row r="401" spans="1:256" x14ac:dyDescent="0.25">
      <c r="A401" s="7">
        <v>39.776992891402749</v>
      </c>
      <c r="B401"/>
      <c r="C401"/>
      <c r="D401"/>
      <c r="E401"/>
      <c r="II401" s="27" t="s">
        <v>8</v>
      </c>
      <c r="IK401" s="27" t="s">
        <v>8</v>
      </c>
      <c r="IL401" s="27" t="s">
        <v>7</v>
      </c>
      <c r="IM401" s="27" t="s">
        <v>8</v>
      </c>
      <c r="IP401" s="27" t="s">
        <v>7</v>
      </c>
      <c r="IQ401" s="27" t="s">
        <v>8</v>
      </c>
      <c r="IS401" s="27" t="s">
        <v>8</v>
      </c>
      <c r="IT401" s="27" t="s">
        <v>7</v>
      </c>
      <c r="IU401" s="27" t="s">
        <v>8</v>
      </c>
      <c r="IV401" s="27" t="s">
        <v>7</v>
      </c>
    </row>
    <row r="402" spans="1:256" x14ac:dyDescent="0.25">
      <c r="A402" s="7">
        <v>38.997051854316418</v>
      </c>
      <c r="B402"/>
      <c r="C402"/>
      <c r="D402"/>
      <c r="E402"/>
      <c r="CM402" s="27" t="s">
        <v>8</v>
      </c>
      <c r="II402" s="27" t="s">
        <v>8</v>
      </c>
      <c r="IJ402" s="27" t="s">
        <v>7</v>
      </c>
      <c r="IK402" s="27" t="s">
        <v>8</v>
      </c>
      <c r="IL402" s="27" t="s">
        <v>7</v>
      </c>
      <c r="IP402" s="27" t="s">
        <v>7</v>
      </c>
      <c r="IQ402" s="27" t="s">
        <v>8</v>
      </c>
      <c r="IR402" s="27" t="s">
        <v>7</v>
      </c>
      <c r="IS402" s="27" t="s">
        <v>8</v>
      </c>
      <c r="IT402" s="27" t="s">
        <v>7</v>
      </c>
      <c r="IU402" s="27" t="s">
        <v>8</v>
      </c>
    </row>
    <row r="403" spans="1:256" x14ac:dyDescent="0.25">
      <c r="A403" s="7">
        <v>38.232403778741585</v>
      </c>
      <c r="B403"/>
      <c r="C403"/>
      <c r="D403"/>
      <c r="E403"/>
      <c r="CM403" s="27" t="s">
        <v>8</v>
      </c>
      <c r="CN403" s="27" t="s">
        <v>7</v>
      </c>
      <c r="II403" s="27" t="s">
        <v>8</v>
      </c>
      <c r="IJ403" s="27" t="s">
        <v>7</v>
      </c>
      <c r="IK403" s="27" t="s">
        <v>8</v>
      </c>
      <c r="IP403" s="27" t="s">
        <v>7</v>
      </c>
      <c r="IQ403" s="27" t="s">
        <v>8</v>
      </c>
      <c r="IR403" s="27" t="s">
        <v>7</v>
      </c>
      <c r="IS403" s="27" t="s">
        <v>8</v>
      </c>
      <c r="IT403" s="27" t="s">
        <v>7</v>
      </c>
      <c r="IU403" s="27" t="s">
        <v>8</v>
      </c>
    </row>
    <row r="404" spans="1:256" x14ac:dyDescent="0.25">
      <c r="A404" s="7">
        <v>37.48274880268783</v>
      </c>
      <c r="B404"/>
      <c r="C404"/>
      <c r="D404"/>
      <c r="E404"/>
      <c r="CM404" s="27" t="s">
        <v>8</v>
      </c>
      <c r="CN404" s="27" t="s">
        <v>7</v>
      </c>
      <c r="II404" s="27" t="s">
        <v>8</v>
      </c>
      <c r="IJ404" s="27" t="s">
        <v>7</v>
      </c>
      <c r="IK404" s="27" t="s">
        <v>8</v>
      </c>
      <c r="IP404" s="27" t="s">
        <v>7</v>
      </c>
      <c r="IQ404" s="27" t="s">
        <v>8</v>
      </c>
      <c r="IR404" s="27" t="s">
        <v>7</v>
      </c>
      <c r="IT404" s="27" t="s">
        <v>7</v>
      </c>
    </row>
    <row r="405" spans="1:256" x14ac:dyDescent="0.25">
      <c r="A405" s="7">
        <v>36.747792943811596</v>
      </c>
      <c r="B405"/>
      <c r="C405"/>
      <c r="D405"/>
      <c r="E405"/>
      <c r="CM405" s="27" t="s">
        <v>8</v>
      </c>
      <c r="CN405" s="27" t="s">
        <v>7</v>
      </c>
      <c r="II405" s="27" t="s">
        <v>8</v>
      </c>
      <c r="IJ405" s="27" t="s">
        <v>7</v>
      </c>
      <c r="IP405" s="27" t="s">
        <v>7</v>
      </c>
      <c r="IQ405" s="27" t="s">
        <v>8</v>
      </c>
    </row>
    <row r="406" spans="1:256" x14ac:dyDescent="0.25">
      <c r="A406" s="7">
        <v>36.027247984129012</v>
      </c>
      <c r="B406"/>
      <c r="C406"/>
      <c r="D406"/>
      <c r="E406"/>
      <c r="CK406" s="27" t="s">
        <v>8</v>
      </c>
      <c r="CM406" s="27" t="s">
        <v>8</v>
      </c>
      <c r="CN406" s="27" t="s">
        <v>7</v>
      </c>
      <c r="II406" s="27" t="s">
        <v>8</v>
      </c>
      <c r="IP406" s="27" t="s">
        <v>7</v>
      </c>
      <c r="IQ406" s="27" t="s">
        <v>8</v>
      </c>
    </row>
    <row r="407" spans="1:256" x14ac:dyDescent="0.25">
      <c r="A407" s="7">
        <v>35.320831356989224</v>
      </c>
      <c r="B407"/>
      <c r="C407"/>
      <c r="D407"/>
      <c r="E407"/>
      <c r="CC407" s="27" t="s">
        <v>8</v>
      </c>
      <c r="CK407" s="27" t="s">
        <v>8</v>
      </c>
      <c r="CL407" s="27" t="s">
        <v>7</v>
      </c>
      <c r="CM407" s="27" t="s">
        <v>8</v>
      </c>
      <c r="CN407" s="27" t="s">
        <v>7</v>
      </c>
      <c r="CO407" s="27" t="s">
        <v>8</v>
      </c>
      <c r="IC407" s="27" t="s">
        <v>8</v>
      </c>
      <c r="IG407" s="27" t="s">
        <v>8</v>
      </c>
      <c r="II407" s="27" t="s">
        <v>8</v>
      </c>
      <c r="IP407" s="27" t="s">
        <v>7</v>
      </c>
    </row>
    <row r="408" spans="1:256" x14ac:dyDescent="0.25">
      <c r="A408" s="7">
        <v>34.628266036263945</v>
      </c>
      <c r="B408"/>
      <c r="C408"/>
      <c r="D408"/>
      <c r="E408"/>
      <c r="CC408" s="27" t="s">
        <v>8</v>
      </c>
      <c r="CD408" s="27" t="s">
        <v>7</v>
      </c>
      <c r="CE408" s="27" t="s">
        <v>8</v>
      </c>
      <c r="CK408" s="27" t="s">
        <v>8</v>
      </c>
      <c r="CL408" s="27" t="s">
        <v>7</v>
      </c>
      <c r="CM408" s="27" t="s">
        <v>8</v>
      </c>
      <c r="CN408" s="27" t="s">
        <v>7</v>
      </c>
      <c r="CO408" s="27" t="s">
        <v>8</v>
      </c>
      <c r="CP408" s="27" t="s">
        <v>7</v>
      </c>
      <c r="IC408" s="27" t="s">
        <v>8</v>
      </c>
      <c r="ID408" s="27" t="s">
        <v>7</v>
      </c>
      <c r="IG408" s="27" t="s">
        <v>8</v>
      </c>
      <c r="IH408" s="27" t="s">
        <v>7</v>
      </c>
      <c r="II408" s="27" t="s">
        <v>8</v>
      </c>
    </row>
    <row r="409" spans="1:256" x14ac:dyDescent="0.25">
      <c r="A409" s="7">
        <v>33.949280427709752</v>
      </c>
      <c r="B409"/>
      <c r="C409"/>
      <c r="D409"/>
      <c r="E409"/>
      <c r="CC409" s="27" t="s">
        <v>8</v>
      </c>
      <c r="CD409" s="27" t="s">
        <v>7</v>
      </c>
      <c r="CE409" s="27" t="s">
        <v>8</v>
      </c>
      <c r="CF409" s="27" t="s">
        <v>7</v>
      </c>
      <c r="CG409" s="27" t="s">
        <v>8</v>
      </c>
      <c r="CK409" s="27" t="s">
        <v>8</v>
      </c>
      <c r="CL409" s="27" t="s">
        <v>7</v>
      </c>
      <c r="CM409" s="27" t="s">
        <v>8</v>
      </c>
      <c r="CN409" s="27" t="s">
        <v>7</v>
      </c>
      <c r="CO409" s="27" t="s">
        <v>8</v>
      </c>
      <c r="CP409" s="27" t="s">
        <v>7</v>
      </c>
      <c r="CQ409" s="27" t="s">
        <v>8</v>
      </c>
      <c r="IC409" s="27" t="s">
        <v>8</v>
      </c>
      <c r="ID409" s="27" t="s">
        <v>7</v>
      </c>
      <c r="IG409" s="27" t="s">
        <v>8</v>
      </c>
      <c r="IH409" s="27" t="s">
        <v>7</v>
      </c>
      <c r="II409" s="27" t="s">
        <v>8</v>
      </c>
    </row>
    <row r="410" spans="1:256" x14ac:dyDescent="0.25">
      <c r="A410" s="7">
        <v>33.28360826246054</v>
      </c>
      <c r="B410"/>
      <c r="C410"/>
      <c r="D410"/>
      <c r="E410"/>
      <c r="CC410" s="27" t="s">
        <v>8</v>
      </c>
      <c r="CD410" s="27" t="s">
        <v>7</v>
      </c>
      <c r="CE410" s="27" t="s">
        <v>8</v>
      </c>
      <c r="CF410" s="27" t="s">
        <v>7</v>
      </c>
      <c r="CG410" s="27" t="s">
        <v>8</v>
      </c>
      <c r="CH410" s="27" t="s">
        <v>7</v>
      </c>
      <c r="CK410" s="27" t="s">
        <v>8</v>
      </c>
      <c r="CL410" s="27" t="s">
        <v>7</v>
      </c>
      <c r="CM410" s="27" t="s">
        <v>8</v>
      </c>
      <c r="CN410" s="27" t="s">
        <v>7</v>
      </c>
      <c r="CP410" s="27" t="s">
        <v>7</v>
      </c>
      <c r="CQ410" s="27" t="s">
        <v>8</v>
      </c>
      <c r="CR410" s="27" t="s">
        <v>7</v>
      </c>
      <c r="HM410" s="27" t="s">
        <v>8</v>
      </c>
      <c r="IC410" s="27" t="s">
        <v>8</v>
      </c>
      <c r="ID410" s="27" t="s">
        <v>7</v>
      </c>
      <c r="IG410" s="27" t="s">
        <v>8</v>
      </c>
      <c r="IH410" s="27" t="s">
        <v>7</v>
      </c>
      <c r="II410" s="27" t="s">
        <v>8</v>
      </c>
    </row>
    <row r="411" spans="1:256" x14ac:dyDescent="0.25">
      <c r="A411" s="7">
        <v>32.630988492608374</v>
      </c>
      <c r="B411"/>
      <c r="C411"/>
      <c r="D411"/>
      <c r="E411"/>
      <c r="CA411" s="27" t="s">
        <v>8</v>
      </c>
      <c r="CC411" s="27" t="s">
        <v>8</v>
      </c>
      <c r="CD411" s="27" t="s">
        <v>7</v>
      </c>
      <c r="CF411" s="27" t="s">
        <v>7</v>
      </c>
      <c r="CG411" s="27" t="s">
        <v>8</v>
      </c>
      <c r="CH411" s="27" t="s">
        <v>7</v>
      </c>
      <c r="CK411" s="27" t="s">
        <v>8</v>
      </c>
      <c r="CL411" s="27" t="s">
        <v>7</v>
      </c>
      <c r="CM411" s="27" t="s">
        <v>8</v>
      </c>
      <c r="CP411" s="27" t="s">
        <v>7</v>
      </c>
      <c r="CQ411" s="27" t="s">
        <v>8</v>
      </c>
      <c r="CR411" s="27" t="s">
        <v>7</v>
      </c>
      <c r="HM411" s="27" t="s">
        <v>8</v>
      </c>
      <c r="HN411" s="27" t="s">
        <v>7</v>
      </c>
      <c r="IC411" s="27" t="s">
        <v>8</v>
      </c>
      <c r="ID411" s="27" t="s">
        <v>7</v>
      </c>
      <c r="IG411" s="27" t="s">
        <v>8</v>
      </c>
      <c r="IH411" s="27" t="s">
        <v>7</v>
      </c>
      <c r="II411" s="27" t="s">
        <v>8</v>
      </c>
    </row>
    <row r="412" spans="1:256" x14ac:dyDescent="0.25">
      <c r="A412" s="7">
        <v>31.99116518883174</v>
      </c>
      <c r="B412"/>
      <c r="C412"/>
      <c r="D412"/>
      <c r="E412"/>
      <c r="CA412" s="27" t="s">
        <v>8</v>
      </c>
      <c r="CB412" s="27" t="s">
        <v>7</v>
      </c>
      <c r="CC412" s="27" t="s">
        <v>8</v>
      </c>
      <c r="CF412" s="27" t="s">
        <v>7</v>
      </c>
      <c r="CG412" s="27" t="s">
        <v>8</v>
      </c>
      <c r="CH412" s="27" t="s">
        <v>7</v>
      </c>
      <c r="CI412" s="27" t="s">
        <v>8</v>
      </c>
      <c r="CK412" s="27" t="s">
        <v>8</v>
      </c>
      <c r="CL412" s="27" t="s">
        <v>7</v>
      </c>
      <c r="CM412" s="27" t="s">
        <v>8</v>
      </c>
      <c r="CP412" s="27" t="s">
        <v>7</v>
      </c>
      <c r="CQ412" s="27" t="s">
        <v>8</v>
      </c>
      <c r="CR412" s="27" t="s">
        <v>7</v>
      </c>
      <c r="CS412" s="27" t="s">
        <v>8</v>
      </c>
      <c r="CW412" s="27" t="s">
        <v>8</v>
      </c>
      <c r="HM412" s="27" t="s">
        <v>8</v>
      </c>
      <c r="HN412" s="27" t="s">
        <v>7</v>
      </c>
      <c r="HY412" s="27" t="s">
        <v>8</v>
      </c>
      <c r="IC412" s="27" t="s">
        <v>8</v>
      </c>
      <c r="ID412" s="27" t="s">
        <v>7</v>
      </c>
      <c r="IG412" s="27" t="s">
        <v>8</v>
      </c>
      <c r="IH412" s="27" t="s">
        <v>7</v>
      </c>
      <c r="II412" s="27" t="s">
        <v>8</v>
      </c>
    </row>
    <row r="413" spans="1:256" x14ac:dyDescent="0.25">
      <c r="A413" s="7">
        <v>31.363887440031117</v>
      </c>
      <c r="B413"/>
      <c r="C413"/>
      <c r="D413"/>
      <c r="E413"/>
      <c r="CA413" s="27" t="s">
        <v>8</v>
      </c>
      <c r="CB413" s="27" t="s">
        <v>7</v>
      </c>
      <c r="CC413" s="27" t="s">
        <v>8</v>
      </c>
      <c r="CF413" s="27" t="s">
        <v>7</v>
      </c>
      <c r="CG413" s="27" t="s">
        <v>8</v>
      </c>
      <c r="CH413" s="27" t="s">
        <v>7</v>
      </c>
      <c r="CI413" s="27" t="s">
        <v>8</v>
      </c>
      <c r="CJ413" s="27" t="s">
        <v>7</v>
      </c>
      <c r="CK413" s="27" t="s">
        <v>8</v>
      </c>
      <c r="CL413" s="27" t="s">
        <v>7</v>
      </c>
      <c r="CM413" s="27" t="s">
        <v>8</v>
      </c>
      <c r="CP413" s="27" t="s">
        <v>7</v>
      </c>
      <c r="CQ413" s="27" t="s">
        <v>8</v>
      </c>
      <c r="CR413" s="27" t="s">
        <v>7</v>
      </c>
      <c r="CS413" s="27" t="s">
        <v>8</v>
      </c>
      <c r="CT413" s="27" t="s">
        <v>7</v>
      </c>
      <c r="CU413" s="27" t="s">
        <v>8</v>
      </c>
      <c r="CW413" s="27" t="s">
        <v>8</v>
      </c>
      <c r="CX413" s="27" t="s">
        <v>7</v>
      </c>
      <c r="DA413" s="27" t="s">
        <v>8</v>
      </c>
      <c r="HM413" s="27" t="s">
        <v>8</v>
      </c>
      <c r="HN413" s="27" t="s">
        <v>7</v>
      </c>
      <c r="HW413" s="27" t="s">
        <v>8</v>
      </c>
      <c r="HY413" s="27" t="s">
        <v>8</v>
      </c>
      <c r="HZ413" s="27" t="s">
        <v>7</v>
      </c>
      <c r="IC413" s="27" t="s">
        <v>8</v>
      </c>
      <c r="ID413" s="27" t="s">
        <v>7</v>
      </c>
      <c r="IE413" s="27" t="s">
        <v>8</v>
      </c>
      <c r="IG413" s="27" t="s">
        <v>8</v>
      </c>
      <c r="IH413" s="27" t="s">
        <v>7</v>
      </c>
      <c r="II413" s="27" t="s">
        <v>8</v>
      </c>
    </row>
    <row r="414" spans="1:256" x14ac:dyDescent="0.25">
      <c r="A414" s="7">
        <v>30.748909254932467</v>
      </c>
      <c r="B414"/>
      <c r="C414"/>
      <c r="D414"/>
      <c r="E414"/>
      <c r="CA414" s="27" t="s">
        <v>8</v>
      </c>
      <c r="CB414" s="27" t="s">
        <v>7</v>
      </c>
      <c r="CC414" s="27" t="s">
        <v>8</v>
      </c>
      <c r="CF414" s="27" t="s">
        <v>7</v>
      </c>
      <c r="CH414" s="27" t="s">
        <v>7</v>
      </c>
      <c r="CI414" s="27" t="s">
        <v>8</v>
      </c>
      <c r="CJ414" s="27" t="s">
        <v>7</v>
      </c>
      <c r="CK414" s="27" t="s">
        <v>8</v>
      </c>
      <c r="CL414" s="27" t="s">
        <v>7</v>
      </c>
      <c r="CM414" s="27" t="s">
        <v>8</v>
      </c>
      <c r="CP414" s="27" t="s">
        <v>7</v>
      </c>
      <c r="CR414" s="27" t="s">
        <v>7</v>
      </c>
      <c r="CS414" s="27" t="s">
        <v>8</v>
      </c>
      <c r="CT414" s="27" t="s">
        <v>7</v>
      </c>
      <c r="CU414" s="27" t="s">
        <v>8</v>
      </c>
      <c r="CV414" s="27" t="s">
        <v>7</v>
      </c>
      <c r="CW414" s="27" t="s">
        <v>8</v>
      </c>
      <c r="CX414" s="27" t="s">
        <v>7</v>
      </c>
      <c r="DA414" s="27" t="s">
        <v>8</v>
      </c>
      <c r="DB414" s="27" t="s">
        <v>7</v>
      </c>
      <c r="HM414" s="27" t="s">
        <v>8</v>
      </c>
      <c r="HN414" s="27" t="s">
        <v>7</v>
      </c>
      <c r="HW414" s="27" t="s">
        <v>8</v>
      </c>
      <c r="HX414" s="27" t="s">
        <v>7</v>
      </c>
      <c r="HY414" s="27" t="s">
        <v>8</v>
      </c>
      <c r="HZ414" s="27" t="s">
        <v>7</v>
      </c>
      <c r="IC414" s="27" t="s">
        <v>8</v>
      </c>
      <c r="ID414" s="27" t="s">
        <v>7</v>
      </c>
      <c r="IE414" s="27" t="s">
        <v>8</v>
      </c>
      <c r="IF414" s="27" t="s">
        <v>7</v>
      </c>
      <c r="IG414" s="27" t="s">
        <v>8</v>
      </c>
      <c r="IH414" s="27" t="s">
        <v>7</v>
      </c>
      <c r="II414" s="27" t="s">
        <v>8</v>
      </c>
    </row>
    <row r="415" spans="1:256" x14ac:dyDescent="0.25">
      <c r="A415" s="7">
        <v>30.145989465620065</v>
      </c>
      <c r="B415"/>
      <c r="C415"/>
      <c r="D415"/>
      <c r="E415"/>
      <c r="CA415" s="27" t="s">
        <v>8</v>
      </c>
      <c r="CB415" s="27" t="s">
        <v>7</v>
      </c>
      <c r="CH415" s="27" t="s">
        <v>7</v>
      </c>
      <c r="CI415" s="27" t="s">
        <v>8</v>
      </c>
      <c r="CJ415" s="27" t="s">
        <v>7</v>
      </c>
      <c r="CL415" s="27" t="s">
        <v>7</v>
      </c>
      <c r="CR415" s="27" t="s">
        <v>7</v>
      </c>
      <c r="CS415" s="27" t="s">
        <v>8</v>
      </c>
      <c r="CT415" s="27" t="s">
        <v>7</v>
      </c>
      <c r="CU415" s="27" t="s">
        <v>8</v>
      </c>
      <c r="CV415" s="27" t="s">
        <v>7</v>
      </c>
      <c r="CW415" s="27" t="s">
        <v>8</v>
      </c>
      <c r="CX415" s="27" t="s">
        <v>7</v>
      </c>
      <c r="DA415" s="27" t="s">
        <v>8</v>
      </c>
      <c r="DB415" s="27" t="s">
        <v>7</v>
      </c>
      <c r="HM415" s="27" t="s">
        <v>8</v>
      </c>
      <c r="HN415" s="27" t="s">
        <v>7</v>
      </c>
      <c r="HW415" s="27" t="s">
        <v>8</v>
      </c>
      <c r="HX415" s="27" t="s">
        <v>7</v>
      </c>
      <c r="HY415" s="27" t="s">
        <v>8</v>
      </c>
      <c r="HZ415" s="27" t="s">
        <v>7</v>
      </c>
      <c r="IC415" s="27" t="s">
        <v>8</v>
      </c>
      <c r="ID415" s="27" t="s">
        <v>7</v>
      </c>
      <c r="IE415" s="27" t="s">
        <v>8</v>
      </c>
      <c r="IF415" s="27" t="s">
        <v>7</v>
      </c>
      <c r="IG415" s="27" t="s">
        <v>8</v>
      </c>
      <c r="IH415" s="27" t="s">
        <v>7</v>
      </c>
    </row>
    <row r="416" spans="1:256" x14ac:dyDescent="0.25">
      <c r="A416" s="7">
        <v>29.55489163296085</v>
      </c>
      <c r="B416"/>
      <c r="C416"/>
      <c r="D416"/>
      <c r="E416"/>
      <c r="BY416" s="27" t="s">
        <v>8</v>
      </c>
      <c r="CA416" s="27" t="s">
        <v>8</v>
      </c>
      <c r="CH416" s="27" t="s">
        <v>7</v>
      </c>
      <c r="CI416" s="27" t="s">
        <v>8</v>
      </c>
      <c r="CR416" s="27" t="s">
        <v>7</v>
      </c>
      <c r="CS416" s="27" t="s">
        <v>8</v>
      </c>
      <c r="CT416" s="27" t="s">
        <v>7</v>
      </c>
      <c r="CU416" s="27" t="s">
        <v>8</v>
      </c>
      <c r="CV416" s="27" t="s">
        <v>7</v>
      </c>
      <c r="CX416" s="27" t="s">
        <v>7</v>
      </c>
      <c r="CY416" s="27" t="s">
        <v>8</v>
      </c>
      <c r="DA416" s="27" t="s">
        <v>8</v>
      </c>
      <c r="DB416" s="27" t="s">
        <v>7</v>
      </c>
      <c r="HM416" s="27" t="s">
        <v>8</v>
      </c>
      <c r="HN416" s="27" t="s">
        <v>7</v>
      </c>
      <c r="HS416" s="27" t="s">
        <v>8</v>
      </c>
      <c r="HW416" s="27" t="s">
        <v>8</v>
      </c>
      <c r="HX416" s="27" t="s">
        <v>7</v>
      </c>
      <c r="HY416" s="27" t="s">
        <v>8</v>
      </c>
      <c r="HZ416" s="27" t="s">
        <v>7</v>
      </c>
      <c r="IA416" s="27" t="s">
        <v>8</v>
      </c>
      <c r="IC416" s="27" t="s">
        <v>8</v>
      </c>
      <c r="ID416" s="27" t="s">
        <v>7</v>
      </c>
      <c r="IE416" s="27" t="s">
        <v>8</v>
      </c>
      <c r="IF416" s="27" t="s">
        <v>7</v>
      </c>
      <c r="IG416" s="27" t="s">
        <v>8</v>
      </c>
    </row>
    <row r="417" spans="1:241" x14ac:dyDescent="0.25">
      <c r="A417" s="7">
        <v>28.975383953883185</v>
      </c>
      <c r="B417"/>
      <c r="C417"/>
      <c r="D417"/>
      <c r="E417"/>
      <c r="BY417" s="27" t="s">
        <v>8</v>
      </c>
      <c r="BZ417" s="27" t="s">
        <v>7</v>
      </c>
      <c r="CA417" s="27" t="s">
        <v>8</v>
      </c>
      <c r="CH417" s="27" t="s">
        <v>7</v>
      </c>
      <c r="CR417" s="27" t="s">
        <v>7</v>
      </c>
      <c r="CS417" s="27" t="s">
        <v>8</v>
      </c>
      <c r="CT417" s="27" t="s">
        <v>7</v>
      </c>
      <c r="CU417" s="27" t="s">
        <v>8</v>
      </c>
      <c r="CX417" s="27" t="s">
        <v>7</v>
      </c>
      <c r="CY417" s="27" t="s">
        <v>8</v>
      </c>
      <c r="CZ417" s="27" t="s">
        <v>7</v>
      </c>
      <c r="DA417" s="27" t="s">
        <v>8</v>
      </c>
      <c r="DB417" s="27" t="s">
        <v>7</v>
      </c>
      <c r="DC417" s="27" t="s">
        <v>8</v>
      </c>
      <c r="HM417" s="27" t="s">
        <v>8</v>
      </c>
      <c r="HN417" s="27" t="s">
        <v>7</v>
      </c>
      <c r="HS417" s="27" t="s">
        <v>8</v>
      </c>
      <c r="HT417" s="27" t="s">
        <v>7</v>
      </c>
      <c r="HU417" s="27" t="s">
        <v>8</v>
      </c>
      <c r="HW417" s="27" t="s">
        <v>8</v>
      </c>
      <c r="HX417" s="27" t="s">
        <v>7</v>
      </c>
      <c r="HZ417" s="27" t="s">
        <v>7</v>
      </c>
      <c r="IA417" s="27" t="s">
        <v>8</v>
      </c>
      <c r="IB417" s="27" t="s">
        <v>7</v>
      </c>
      <c r="IC417" s="27" t="s">
        <v>8</v>
      </c>
      <c r="ID417" s="27" t="s">
        <v>7</v>
      </c>
      <c r="IE417" s="27" t="s">
        <v>8</v>
      </c>
      <c r="IF417" s="27" t="s">
        <v>7</v>
      </c>
      <c r="IG417" s="27" t="s">
        <v>8</v>
      </c>
    </row>
    <row r="418" spans="1:241" x14ac:dyDescent="0.25">
      <c r="A418" s="7">
        <v>28.407239170473709</v>
      </c>
      <c r="B418"/>
      <c r="C418"/>
      <c r="D418"/>
      <c r="E418"/>
      <c r="BY418" s="27" t="s">
        <v>8</v>
      </c>
      <c r="BZ418" s="27" t="s">
        <v>7</v>
      </c>
      <c r="CA418" s="27" t="s">
        <v>8</v>
      </c>
      <c r="CR418" s="27" t="s">
        <v>7</v>
      </c>
      <c r="CT418" s="27" t="s">
        <v>7</v>
      </c>
      <c r="CU418" s="27" t="s">
        <v>8</v>
      </c>
      <c r="CX418" s="27" t="s">
        <v>7</v>
      </c>
      <c r="CY418" s="27" t="s">
        <v>8</v>
      </c>
      <c r="CZ418" s="27" t="s">
        <v>7</v>
      </c>
      <c r="DA418" s="27" t="s">
        <v>8</v>
      </c>
      <c r="DB418" s="27" t="s">
        <v>7</v>
      </c>
      <c r="DC418" s="27" t="s">
        <v>8</v>
      </c>
      <c r="DD418" s="27" t="s">
        <v>7</v>
      </c>
      <c r="HM418" s="27" t="s">
        <v>8</v>
      </c>
      <c r="HN418" s="27" t="s">
        <v>7</v>
      </c>
      <c r="HO418" s="27" t="s">
        <v>8</v>
      </c>
      <c r="HS418" s="27" t="s">
        <v>8</v>
      </c>
      <c r="HT418" s="27" t="s">
        <v>7</v>
      </c>
      <c r="HU418" s="27" t="s">
        <v>8</v>
      </c>
      <c r="HV418" s="27" t="s">
        <v>7</v>
      </c>
      <c r="HW418" s="27" t="s">
        <v>8</v>
      </c>
      <c r="HZ418" s="27" t="s">
        <v>7</v>
      </c>
      <c r="IA418" s="27" t="s">
        <v>8</v>
      </c>
      <c r="IB418" s="27" t="s">
        <v>7</v>
      </c>
      <c r="IC418" s="27" t="s">
        <v>8</v>
      </c>
      <c r="ID418" s="27" t="s">
        <v>7</v>
      </c>
      <c r="IE418" s="27" t="s">
        <v>8</v>
      </c>
      <c r="IF418" s="27" t="s">
        <v>7</v>
      </c>
      <c r="IG418" s="27" t="s">
        <v>8</v>
      </c>
    </row>
    <row r="419" spans="1:241" x14ac:dyDescent="0.25">
      <c r="A419" s="7">
        <v>27.850234480856578</v>
      </c>
      <c r="B419"/>
      <c r="C419"/>
      <c r="D419"/>
      <c r="E419"/>
      <c r="BY419" s="27" t="s">
        <v>8</v>
      </c>
      <c r="BZ419" s="27" t="s">
        <v>7</v>
      </c>
      <c r="CT419" s="27" t="s">
        <v>7</v>
      </c>
      <c r="CU419" s="27" t="s">
        <v>8</v>
      </c>
      <c r="CX419" s="27" t="s">
        <v>7</v>
      </c>
      <c r="CZ419" s="27" t="s">
        <v>7</v>
      </c>
      <c r="DA419" s="27" t="s">
        <v>8</v>
      </c>
      <c r="DB419" s="27" t="s">
        <v>7</v>
      </c>
      <c r="DC419" s="27" t="s">
        <v>8</v>
      </c>
      <c r="DD419" s="27" t="s">
        <v>7</v>
      </c>
      <c r="HM419" s="27" t="s">
        <v>8</v>
      </c>
      <c r="HN419" s="27" t="s">
        <v>7</v>
      </c>
      <c r="HO419" s="27" t="s">
        <v>8</v>
      </c>
      <c r="HP419" s="27" t="s">
        <v>7</v>
      </c>
      <c r="HS419" s="27" t="s">
        <v>8</v>
      </c>
      <c r="HT419" s="27" t="s">
        <v>7</v>
      </c>
      <c r="HU419" s="27" t="s">
        <v>8</v>
      </c>
      <c r="HV419" s="27" t="s">
        <v>7</v>
      </c>
      <c r="HW419" s="27" t="s">
        <v>8</v>
      </c>
      <c r="HZ419" s="27" t="s">
        <v>7</v>
      </c>
      <c r="IA419" s="27" t="s">
        <v>8</v>
      </c>
      <c r="IB419" s="27" t="s">
        <v>7</v>
      </c>
      <c r="IC419" s="27" t="s">
        <v>8</v>
      </c>
      <c r="ID419" s="27" t="s">
        <v>7</v>
      </c>
      <c r="IE419" s="27" t="s">
        <v>8</v>
      </c>
      <c r="IF419" s="27" t="s">
        <v>7</v>
      </c>
      <c r="IG419" s="27" t="s">
        <v>8</v>
      </c>
    </row>
    <row r="420" spans="1:241" x14ac:dyDescent="0.25">
      <c r="A420" s="7">
        <v>27.304151451820175</v>
      </c>
      <c r="B420"/>
      <c r="C420"/>
      <c r="D420"/>
      <c r="E420"/>
      <c r="BW420" s="27" t="s">
        <v>8</v>
      </c>
      <c r="BY420" s="27" t="s">
        <v>8</v>
      </c>
      <c r="CT420" s="27" t="s">
        <v>7</v>
      </c>
      <c r="CU420" s="27" t="s">
        <v>8</v>
      </c>
      <c r="CZ420" s="27" t="s">
        <v>7</v>
      </c>
      <c r="DA420" s="27" t="s">
        <v>8</v>
      </c>
      <c r="DB420" s="27" t="s">
        <v>7</v>
      </c>
      <c r="DC420" s="27" t="s">
        <v>8</v>
      </c>
      <c r="DD420" s="27" t="s">
        <v>7</v>
      </c>
      <c r="HM420" s="27" t="s">
        <v>8</v>
      </c>
      <c r="HN420" s="27" t="s">
        <v>7</v>
      </c>
      <c r="HO420" s="27" t="s">
        <v>8</v>
      </c>
      <c r="HP420" s="27" t="s">
        <v>7</v>
      </c>
      <c r="HS420" s="27" t="s">
        <v>8</v>
      </c>
      <c r="HT420" s="27" t="s">
        <v>7</v>
      </c>
      <c r="HU420" s="27" t="s">
        <v>8</v>
      </c>
      <c r="HV420" s="27" t="s">
        <v>7</v>
      </c>
      <c r="HW420" s="27" t="s">
        <v>8</v>
      </c>
      <c r="HZ420" s="27" t="s">
        <v>7</v>
      </c>
      <c r="IA420" s="27" t="s">
        <v>8</v>
      </c>
      <c r="IB420" s="27" t="s">
        <v>7</v>
      </c>
      <c r="ID420" s="27" t="s">
        <v>7</v>
      </c>
      <c r="IE420" s="27" t="s">
        <v>8</v>
      </c>
      <c r="IF420" s="27" t="s">
        <v>7</v>
      </c>
      <c r="IG420" s="27" t="s">
        <v>8</v>
      </c>
    </row>
    <row r="421" spans="1:241" x14ac:dyDescent="0.25">
      <c r="A421" s="7">
        <v>26.768775933157034</v>
      </c>
      <c r="B421"/>
      <c r="C421"/>
      <c r="D421"/>
      <c r="E421"/>
      <c r="BW421" s="27" t="s">
        <v>8</v>
      </c>
      <c r="BX421" s="27" t="s">
        <v>7</v>
      </c>
      <c r="BY421" s="27" t="s">
        <v>8</v>
      </c>
      <c r="CT421" s="27" t="s">
        <v>7</v>
      </c>
      <c r="CU421" s="27" t="s">
        <v>8</v>
      </c>
      <c r="CZ421" s="27" t="s">
        <v>7</v>
      </c>
      <c r="DA421" s="27" t="s">
        <v>8</v>
      </c>
      <c r="DB421" s="27" t="s">
        <v>7</v>
      </c>
      <c r="DD421" s="27" t="s">
        <v>7</v>
      </c>
      <c r="FA421" s="27" t="s">
        <v>8</v>
      </c>
      <c r="HM421" s="27" t="s">
        <v>8</v>
      </c>
      <c r="HN421" s="27" t="s">
        <v>7</v>
      </c>
      <c r="HO421" s="27" t="s">
        <v>8</v>
      </c>
      <c r="HP421" s="27" t="s">
        <v>7</v>
      </c>
      <c r="HS421" s="27" t="s">
        <v>8</v>
      </c>
      <c r="HT421" s="27" t="s">
        <v>7</v>
      </c>
      <c r="HU421" s="27" t="s">
        <v>8</v>
      </c>
      <c r="HV421" s="27" t="s">
        <v>7</v>
      </c>
      <c r="HZ421" s="27" t="s">
        <v>7</v>
      </c>
      <c r="IA421" s="27" t="s">
        <v>8</v>
      </c>
      <c r="ID421" s="27" t="s">
        <v>7</v>
      </c>
      <c r="IF421" s="27" t="s">
        <v>7</v>
      </c>
    </row>
    <row r="422" spans="1:241" x14ac:dyDescent="0.25">
      <c r="A422" s="7">
        <v>26.243897973683367</v>
      </c>
      <c r="B422"/>
      <c r="C422"/>
      <c r="D422"/>
      <c r="E422"/>
      <c r="BW422" s="27" t="s">
        <v>8</v>
      </c>
      <c r="BX422" s="27" t="s">
        <v>7</v>
      </c>
      <c r="BY422" s="27" t="s">
        <v>8</v>
      </c>
      <c r="CT422" s="27" t="s">
        <v>7</v>
      </c>
      <c r="CU422" s="27" t="s">
        <v>8</v>
      </c>
      <c r="CZ422" s="27" t="s">
        <v>7</v>
      </c>
      <c r="DD422" s="27" t="s">
        <v>7</v>
      </c>
      <c r="FA422" s="27" t="s">
        <v>8</v>
      </c>
      <c r="FB422" s="27" t="s">
        <v>7</v>
      </c>
      <c r="FC422" s="27" t="s">
        <v>8</v>
      </c>
      <c r="HM422" s="27" t="s">
        <v>8</v>
      </c>
      <c r="HN422" s="27" t="s">
        <v>7</v>
      </c>
      <c r="HP422" s="27" t="s">
        <v>7</v>
      </c>
      <c r="HS422" s="27" t="s">
        <v>8</v>
      </c>
      <c r="HT422" s="27" t="s">
        <v>7</v>
      </c>
      <c r="HU422" s="27" t="s">
        <v>8</v>
      </c>
      <c r="HZ422" s="27" t="s">
        <v>7</v>
      </c>
    </row>
    <row r="423" spans="1:241" x14ac:dyDescent="0.25">
      <c r="A423" s="7">
        <v>25.729311738905263</v>
      </c>
      <c r="B423"/>
      <c r="C423"/>
      <c r="D423"/>
      <c r="E423"/>
      <c r="BW423" s="27" t="s">
        <v>8</v>
      </c>
      <c r="BX423" s="27" t="s">
        <v>7</v>
      </c>
      <c r="BY423" s="27" t="s">
        <v>8</v>
      </c>
      <c r="CT423" s="27" t="s">
        <v>7</v>
      </c>
      <c r="CU423" s="27" t="s">
        <v>8</v>
      </c>
      <c r="DD423" s="27" t="s">
        <v>7</v>
      </c>
      <c r="EY423" s="27" t="s">
        <v>8</v>
      </c>
      <c r="FA423" s="27" t="s">
        <v>8</v>
      </c>
      <c r="FB423" s="27" t="s">
        <v>7</v>
      </c>
      <c r="FC423" s="27" t="s">
        <v>8</v>
      </c>
      <c r="FD423" s="27" t="s">
        <v>7</v>
      </c>
      <c r="HG423" s="27" t="s">
        <v>8</v>
      </c>
      <c r="HM423" s="27" t="s">
        <v>8</v>
      </c>
      <c r="HP423" s="27" t="s">
        <v>7</v>
      </c>
      <c r="HS423" s="27" t="s">
        <v>8</v>
      </c>
      <c r="HT423" s="27" t="s">
        <v>7</v>
      </c>
    </row>
    <row r="424" spans="1:241" x14ac:dyDescent="0.25">
      <c r="A424" s="7">
        <v>25.224815430299277</v>
      </c>
      <c r="B424"/>
      <c r="C424"/>
      <c r="D424"/>
      <c r="E424"/>
      <c r="BM424" s="27" t="s">
        <v>8</v>
      </c>
      <c r="BW424" s="27" t="s">
        <v>8</v>
      </c>
      <c r="BX424" s="27" t="s">
        <v>7</v>
      </c>
      <c r="BY424" s="27" t="s">
        <v>8</v>
      </c>
      <c r="CT424" s="27" t="s">
        <v>7</v>
      </c>
      <c r="CU424" s="27" t="s">
        <v>8</v>
      </c>
      <c r="DD424" s="27" t="s">
        <v>7</v>
      </c>
      <c r="EY424" s="27" t="s">
        <v>8</v>
      </c>
      <c r="EZ424" s="27" t="s">
        <v>7</v>
      </c>
      <c r="FA424" s="27" t="s">
        <v>8</v>
      </c>
      <c r="FB424" s="27" t="s">
        <v>7</v>
      </c>
      <c r="FC424" s="27" t="s">
        <v>8</v>
      </c>
      <c r="FD424" s="27" t="s">
        <v>7</v>
      </c>
      <c r="HG424" s="27" t="s">
        <v>8</v>
      </c>
      <c r="HH424" s="27" t="s">
        <v>7</v>
      </c>
      <c r="HK424" s="27" t="s">
        <v>8</v>
      </c>
      <c r="HM424" s="27" t="s">
        <v>8</v>
      </c>
      <c r="HP424" s="27" t="s">
        <v>7</v>
      </c>
      <c r="HS424" s="27" t="s">
        <v>8</v>
      </c>
    </row>
    <row r="425" spans="1:241" x14ac:dyDescent="0.25">
      <c r="A425" s="7">
        <v>24.73021120617576</v>
      </c>
      <c r="B425"/>
      <c r="C425"/>
      <c r="D425"/>
      <c r="E425"/>
      <c r="BM425" s="27" t="s">
        <v>8</v>
      </c>
      <c r="BN425" s="27" t="s">
        <v>7</v>
      </c>
      <c r="BW425" s="27" t="s">
        <v>8</v>
      </c>
      <c r="BX425" s="27" t="s">
        <v>7</v>
      </c>
      <c r="BY425" s="27" t="s">
        <v>8</v>
      </c>
      <c r="CT425" s="27" t="s">
        <v>7</v>
      </c>
      <c r="CU425" s="27" t="s">
        <v>8</v>
      </c>
      <c r="DD425" s="27" t="s">
        <v>7</v>
      </c>
      <c r="EY425" s="27" t="s">
        <v>8</v>
      </c>
      <c r="EZ425" s="27" t="s">
        <v>7</v>
      </c>
      <c r="FA425" s="27" t="s">
        <v>8</v>
      </c>
      <c r="FB425" s="27" t="s">
        <v>7</v>
      </c>
      <c r="FD425" s="27" t="s">
        <v>7</v>
      </c>
      <c r="HG425" s="27" t="s">
        <v>8</v>
      </c>
      <c r="HH425" s="27" t="s">
        <v>7</v>
      </c>
      <c r="HK425" s="27" t="s">
        <v>8</v>
      </c>
      <c r="HL425" s="27" t="s">
        <v>7</v>
      </c>
      <c r="HM425" s="27" t="s">
        <v>8</v>
      </c>
      <c r="HP425" s="27" t="s">
        <v>7</v>
      </c>
      <c r="HS425" s="27" t="s">
        <v>8</v>
      </c>
    </row>
    <row r="426" spans="1:241" x14ac:dyDescent="0.25">
      <c r="A426" s="7">
        <v>24.24530510409388</v>
      </c>
      <c r="B426"/>
      <c r="C426"/>
      <c r="D426"/>
      <c r="E426"/>
      <c r="BM426" s="27" t="s">
        <v>8</v>
      </c>
      <c r="BN426" s="27" t="s">
        <v>7</v>
      </c>
      <c r="BO426" s="27" t="s">
        <v>8</v>
      </c>
      <c r="BW426" s="27" t="s">
        <v>8</v>
      </c>
      <c r="BX426" s="27" t="s">
        <v>7</v>
      </c>
      <c r="BY426" s="27" t="s">
        <v>8</v>
      </c>
      <c r="CT426" s="27" t="s">
        <v>7</v>
      </c>
      <c r="DD426" s="27" t="s">
        <v>7</v>
      </c>
      <c r="EY426" s="27" t="s">
        <v>8</v>
      </c>
      <c r="EZ426" s="27" t="s">
        <v>7</v>
      </c>
      <c r="FD426" s="27" t="s">
        <v>7</v>
      </c>
      <c r="FE426" s="27" t="s">
        <v>8</v>
      </c>
      <c r="HG426" s="27" t="s">
        <v>8</v>
      </c>
      <c r="HH426" s="27" t="s">
        <v>7</v>
      </c>
      <c r="HK426" s="27" t="s">
        <v>8</v>
      </c>
      <c r="HL426" s="27" t="s">
        <v>7</v>
      </c>
      <c r="HM426" s="27" t="s">
        <v>8</v>
      </c>
      <c r="HP426" s="27" t="s">
        <v>7</v>
      </c>
      <c r="HQ426" s="27" t="s">
        <v>8</v>
      </c>
      <c r="HS426" s="27" t="s">
        <v>8</v>
      </c>
    </row>
    <row r="427" spans="1:241" x14ac:dyDescent="0.25">
      <c r="A427" s="7">
        <v>23.769906964797922</v>
      </c>
      <c r="B427"/>
      <c r="C427"/>
      <c r="D427"/>
      <c r="E427"/>
      <c r="BM427" s="27" t="s">
        <v>8</v>
      </c>
      <c r="BN427" s="27" t="s">
        <v>7</v>
      </c>
      <c r="BO427" s="27" t="s">
        <v>8</v>
      </c>
      <c r="BP427" s="27" t="s">
        <v>7</v>
      </c>
      <c r="BQ427" s="27" t="s">
        <v>8</v>
      </c>
      <c r="BS427" s="27" t="s">
        <v>8</v>
      </c>
      <c r="BW427" s="27" t="s">
        <v>8</v>
      </c>
      <c r="BX427" s="27" t="s">
        <v>7</v>
      </c>
      <c r="BY427" s="27" t="s">
        <v>8</v>
      </c>
      <c r="DD427" s="27" t="s">
        <v>7</v>
      </c>
      <c r="EY427" s="27" t="s">
        <v>8</v>
      </c>
      <c r="FD427" s="27" t="s">
        <v>7</v>
      </c>
      <c r="FE427" s="27" t="s">
        <v>8</v>
      </c>
      <c r="FF427" s="27" t="s">
        <v>7</v>
      </c>
      <c r="HC427" s="27" t="s">
        <v>8</v>
      </c>
      <c r="HG427" s="27" t="s">
        <v>8</v>
      </c>
      <c r="HH427" s="27" t="s">
        <v>7</v>
      </c>
      <c r="HK427" s="27" t="s">
        <v>8</v>
      </c>
      <c r="HL427" s="27" t="s">
        <v>7</v>
      </c>
      <c r="HM427" s="27" t="s">
        <v>8</v>
      </c>
      <c r="HP427" s="27" t="s">
        <v>7</v>
      </c>
      <c r="HQ427" s="27" t="s">
        <v>8</v>
      </c>
      <c r="HR427" s="27" t="s">
        <v>7</v>
      </c>
      <c r="HS427" s="27" t="s">
        <v>8</v>
      </c>
    </row>
    <row r="428" spans="1:241" x14ac:dyDescent="0.25">
      <c r="A428" s="7">
        <v>23.303830357645023</v>
      </c>
      <c r="B428"/>
      <c r="C428"/>
      <c r="D428"/>
      <c r="E428"/>
      <c r="BM428" s="27" t="s">
        <v>8</v>
      </c>
      <c r="BN428" s="27" t="s">
        <v>7</v>
      </c>
      <c r="BO428" s="27" t="s">
        <v>8</v>
      </c>
      <c r="BP428" s="27" t="s">
        <v>7</v>
      </c>
      <c r="BQ428" s="27" t="s">
        <v>8</v>
      </c>
      <c r="BR428" s="27" t="s">
        <v>7</v>
      </c>
      <c r="BS428" s="27" t="s">
        <v>8</v>
      </c>
      <c r="BT428" s="27" t="s">
        <v>7</v>
      </c>
      <c r="BW428" s="27" t="s">
        <v>8</v>
      </c>
      <c r="BX428" s="27" t="s">
        <v>7</v>
      </c>
      <c r="DD428" s="27" t="s">
        <v>7</v>
      </c>
      <c r="DG428" s="27" t="s">
        <v>8</v>
      </c>
      <c r="EY428" s="27" t="s">
        <v>8</v>
      </c>
      <c r="FD428" s="27" t="s">
        <v>7</v>
      </c>
      <c r="FE428" s="27" t="s">
        <v>8</v>
      </c>
      <c r="FF428" s="27" t="s">
        <v>7</v>
      </c>
      <c r="GW428" s="27" t="s">
        <v>8</v>
      </c>
      <c r="HC428" s="27" t="s">
        <v>8</v>
      </c>
      <c r="HD428" s="27" t="s">
        <v>7</v>
      </c>
      <c r="HG428" s="27" t="s">
        <v>8</v>
      </c>
      <c r="HH428" s="27" t="s">
        <v>7</v>
      </c>
      <c r="HI428" s="27" t="s">
        <v>8</v>
      </c>
      <c r="HK428" s="27" t="s">
        <v>8</v>
      </c>
      <c r="HL428" s="27" t="s">
        <v>7</v>
      </c>
      <c r="HP428" s="27" t="s">
        <v>7</v>
      </c>
      <c r="HQ428" s="27" t="s">
        <v>8</v>
      </c>
      <c r="HR428" s="27" t="s">
        <v>7</v>
      </c>
      <c r="HS428" s="27" t="s">
        <v>8</v>
      </c>
    </row>
    <row r="429" spans="1:241" x14ac:dyDescent="0.25">
      <c r="A429" s="7">
        <v>22.84689250749512</v>
      </c>
      <c r="B429"/>
      <c r="C429"/>
      <c r="D429"/>
      <c r="E429"/>
      <c r="BM429" s="27" t="s">
        <v>8</v>
      </c>
      <c r="BN429" s="27" t="s">
        <v>7</v>
      </c>
      <c r="BP429" s="27" t="s">
        <v>7</v>
      </c>
      <c r="BQ429" s="27" t="s">
        <v>8</v>
      </c>
      <c r="BR429" s="27" t="s">
        <v>7</v>
      </c>
      <c r="BS429" s="27" t="s">
        <v>8</v>
      </c>
      <c r="BT429" s="27" t="s">
        <v>7</v>
      </c>
      <c r="BW429" s="27" t="s">
        <v>8</v>
      </c>
      <c r="DD429" s="27" t="s">
        <v>7</v>
      </c>
      <c r="DE429" s="27" t="s">
        <v>8</v>
      </c>
      <c r="DG429" s="27" t="s">
        <v>8</v>
      </c>
      <c r="DH429" s="27" t="s">
        <v>7</v>
      </c>
      <c r="DK429" s="27" t="s">
        <v>8</v>
      </c>
      <c r="EY429" s="27" t="s">
        <v>8</v>
      </c>
      <c r="FD429" s="27" t="s">
        <v>7</v>
      </c>
      <c r="FE429" s="27" t="s">
        <v>8</v>
      </c>
      <c r="FF429" s="27" t="s">
        <v>7</v>
      </c>
      <c r="FG429" s="27" t="s">
        <v>8</v>
      </c>
      <c r="FI429" s="27" t="s">
        <v>8</v>
      </c>
      <c r="GW429" s="27" t="s">
        <v>8</v>
      </c>
      <c r="GX429" s="27" t="s">
        <v>7</v>
      </c>
      <c r="GY429" s="27" t="s">
        <v>8</v>
      </c>
      <c r="HC429" s="27" t="s">
        <v>8</v>
      </c>
      <c r="HD429" s="27" t="s">
        <v>7</v>
      </c>
      <c r="HE429" s="27" t="s">
        <v>8</v>
      </c>
      <c r="HG429" s="27" t="s">
        <v>8</v>
      </c>
      <c r="HH429" s="27" t="s">
        <v>7</v>
      </c>
      <c r="HI429" s="27" t="s">
        <v>8</v>
      </c>
      <c r="HJ429" s="27" t="s">
        <v>7</v>
      </c>
      <c r="HK429" s="27" t="s">
        <v>8</v>
      </c>
      <c r="HP429" s="27" t="s">
        <v>7</v>
      </c>
      <c r="HQ429" s="27" t="s">
        <v>8</v>
      </c>
      <c r="HR429" s="27" t="s">
        <v>7</v>
      </c>
    </row>
    <row r="430" spans="1:241" x14ac:dyDescent="0.25">
      <c r="A430" s="7">
        <v>22.398914223034431</v>
      </c>
      <c r="B430"/>
      <c r="C430"/>
      <c r="D430"/>
      <c r="E430"/>
      <c r="BM430" s="27" t="s">
        <v>8</v>
      </c>
      <c r="BP430" s="27" t="s">
        <v>7</v>
      </c>
      <c r="BQ430" s="27" t="s">
        <v>8</v>
      </c>
      <c r="BR430" s="27" t="s">
        <v>7</v>
      </c>
      <c r="BS430" s="27" t="s">
        <v>8</v>
      </c>
      <c r="BT430" s="27" t="s">
        <v>7</v>
      </c>
      <c r="BW430" s="27" t="s">
        <v>8</v>
      </c>
      <c r="DD430" s="27" t="s">
        <v>7</v>
      </c>
      <c r="DE430" s="27" t="s">
        <v>8</v>
      </c>
      <c r="DF430" s="27" t="s">
        <v>7</v>
      </c>
      <c r="DG430" s="27" t="s">
        <v>8</v>
      </c>
      <c r="DH430" s="27" t="s">
        <v>7</v>
      </c>
      <c r="DK430" s="27" t="s">
        <v>8</v>
      </c>
      <c r="DL430" s="27" t="s">
        <v>7</v>
      </c>
      <c r="EW430" s="27" t="s">
        <v>8</v>
      </c>
      <c r="EY430" s="27" t="s">
        <v>8</v>
      </c>
      <c r="FD430" s="27" t="s">
        <v>7</v>
      </c>
      <c r="FE430" s="27" t="s">
        <v>8</v>
      </c>
      <c r="FF430" s="27" t="s">
        <v>7</v>
      </c>
      <c r="FG430" s="27" t="s">
        <v>8</v>
      </c>
      <c r="FH430" s="27" t="s">
        <v>7</v>
      </c>
      <c r="FI430" s="27" t="s">
        <v>8</v>
      </c>
      <c r="FJ430" s="27" t="s">
        <v>7</v>
      </c>
      <c r="GW430" s="27" t="s">
        <v>8</v>
      </c>
      <c r="GX430" s="27" t="s">
        <v>7</v>
      </c>
      <c r="GY430" s="27" t="s">
        <v>8</v>
      </c>
      <c r="GZ430" s="27" t="s">
        <v>7</v>
      </c>
      <c r="HC430" s="27" t="s">
        <v>8</v>
      </c>
      <c r="HD430" s="27" t="s">
        <v>7</v>
      </c>
      <c r="HE430" s="27" t="s">
        <v>8</v>
      </c>
      <c r="HF430" s="27" t="s">
        <v>7</v>
      </c>
      <c r="HG430" s="27" t="s">
        <v>8</v>
      </c>
      <c r="HH430" s="27" t="s">
        <v>7</v>
      </c>
      <c r="HI430" s="27" t="s">
        <v>8</v>
      </c>
      <c r="HJ430" s="27" t="s">
        <v>7</v>
      </c>
      <c r="HK430" s="27" t="s">
        <v>8</v>
      </c>
      <c r="HP430" s="27" t="s">
        <v>7</v>
      </c>
    </row>
    <row r="431" spans="1:241" x14ac:dyDescent="0.25">
      <c r="A431" s="7">
        <v>21.959719826504344</v>
      </c>
      <c r="B431"/>
      <c r="C431"/>
      <c r="D431"/>
      <c r="E431"/>
      <c r="BM431" s="27" t="s">
        <v>8</v>
      </c>
      <c r="BP431" s="27" t="s">
        <v>7</v>
      </c>
      <c r="BQ431" s="27" t="s">
        <v>8</v>
      </c>
      <c r="BR431" s="27" t="s">
        <v>7</v>
      </c>
      <c r="BS431" s="27" t="s">
        <v>8</v>
      </c>
      <c r="BT431" s="27" t="s">
        <v>7</v>
      </c>
      <c r="BU431" s="27" t="s">
        <v>8</v>
      </c>
      <c r="BW431" s="27" t="s">
        <v>8</v>
      </c>
      <c r="DD431" s="27" t="s">
        <v>7</v>
      </c>
      <c r="DE431" s="27" t="s">
        <v>8</v>
      </c>
      <c r="DF431" s="27" t="s">
        <v>7</v>
      </c>
      <c r="DG431" s="27" t="s">
        <v>8</v>
      </c>
      <c r="DH431" s="27" t="s">
        <v>7</v>
      </c>
      <c r="DK431" s="27" t="s">
        <v>8</v>
      </c>
      <c r="DL431" s="27" t="s">
        <v>7</v>
      </c>
      <c r="EW431" s="27" t="s">
        <v>8</v>
      </c>
      <c r="EX431" s="27" t="s">
        <v>7</v>
      </c>
      <c r="EY431" s="27" t="s">
        <v>8</v>
      </c>
      <c r="FD431" s="27" t="s">
        <v>7</v>
      </c>
      <c r="FF431" s="27" t="s">
        <v>7</v>
      </c>
      <c r="FG431" s="27" t="s">
        <v>8</v>
      </c>
      <c r="FH431" s="27" t="s">
        <v>7</v>
      </c>
      <c r="FI431" s="27" t="s">
        <v>8</v>
      </c>
      <c r="FJ431" s="27" t="s">
        <v>7</v>
      </c>
      <c r="GW431" s="27" t="s">
        <v>8</v>
      </c>
      <c r="GX431" s="27" t="s">
        <v>7</v>
      </c>
      <c r="GY431" s="27" t="s">
        <v>8</v>
      </c>
      <c r="GZ431" s="27" t="s">
        <v>7</v>
      </c>
      <c r="HA431" s="27" t="s">
        <v>8</v>
      </c>
      <c r="HC431" s="27" t="s">
        <v>8</v>
      </c>
      <c r="HD431" s="27" t="s">
        <v>7</v>
      </c>
      <c r="HE431" s="27" t="s">
        <v>8</v>
      </c>
      <c r="HF431" s="27" t="s">
        <v>7</v>
      </c>
      <c r="HG431" s="27" t="s">
        <v>8</v>
      </c>
      <c r="HH431" s="27" t="s">
        <v>7</v>
      </c>
      <c r="HI431" s="27" t="s">
        <v>8</v>
      </c>
      <c r="HJ431" s="27" t="s">
        <v>7</v>
      </c>
      <c r="HK431" s="27" t="s">
        <v>8</v>
      </c>
    </row>
    <row r="432" spans="1:241" x14ac:dyDescent="0.25">
      <c r="A432" s="7">
        <v>21.52913708480818</v>
      </c>
      <c r="B432"/>
      <c r="C432"/>
      <c r="D432"/>
      <c r="E432"/>
      <c r="BM432" s="27" t="s">
        <v>8</v>
      </c>
      <c r="BP432" s="27" t="s">
        <v>7</v>
      </c>
      <c r="BQ432" s="27" t="s">
        <v>8</v>
      </c>
      <c r="BR432" s="27" t="s">
        <v>7</v>
      </c>
      <c r="BT432" s="27" t="s">
        <v>7</v>
      </c>
      <c r="BU432" s="27" t="s">
        <v>8</v>
      </c>
      <c r="BV432" s="27" t="s">
        <v>7</v>
      </c>
      <c r="BW432" s="27" t="s">
        <v>8</v>
      </c>
      <c r="DD432" s="27" t="s">
        <v>7</v>
      </c>
      <c r="DE432" s="27" t="s">
        <v>8</v>
      </c>
      <c r="DF432" s="27" t="s">
        <v>7</v>
      </c>
      <c r="DH432" s="27" t="s">
        <v>7</v>
      </c>
      <c r="DK432" s="27" t="s">
        <v>8</v>
      </c>
      <c r="DL432" s="27" t="s">
        <v>7</v>
      </c>
      <c r="DM432" s="27" t="s">
        <v>8</v>
      </c>
      <c r="EE432" s="27" t="s">
        <v>8</v>
      </c>
      <c r="EW432" s="27" t="s">
        <v>8</v>
      </c>
      <c r="EX432" s="27" t="s">
        <v>7</v>
      </c>
      <c r="EY432" s="27" t="s">
        <v>8</v>
      </c>
      <c r="FF432" s="27" t="s">
        <v>7</v>
      </c>
      <c r="FG432" s="27" t="s">
        <v>8</v>
      </c>
      <c r="FH432" s="27" t="s">
        <v>7</v>
      </c>
      <c r="FJ432" s="27" t="s">
        <v>7</v>
      </c>
      <c r="FO432" s="27" t="s">
        <v>8</v>
      </c>
      <c r="GW432" s="27" t="s">
        <v>8</v>
      </c>
      <c r="GX432" s="27" t="s">
        <v>7</v>
      </c>
      <c r="GZ432" s="27" t="s">
        <v>7</v>
      </c>
      <c r="HA432" s="27" t="s">
        <v>8</v>
      </c>
      <c r="HB432" s="27" t="s">
        <v>7</v>
      </c>
      <c r="HC432" s="27" t="s">
        <v>8</v>
      </c>
      <c r="HD432" s="27" t="s">
        <v>7</v>
      </c>
      <c r="HF432" s="27" t="s">
        <v>7</v>
      </c>
      <c r="HG432" s="27" t="s">
        <v>8</v>
      </c>
      <c r="HH432" s="27" t="s">
        <v>7</v>
      </c>
      <c r="HI432" s="27" t="s">
        <v>8</v>
      </c>
      <c r="HJ432" s="27" t="s">
        <v>7</v>
      </c>
      <c r="HK432" s="27" t="s">
        <v>8</v>
      </c>
    </row>
    <row r="433" spans="1:219" x14ac:dyDescent="0.25">
      <c r="A433" s="7">
        <v>21.106997141968804</v>
      </c>
      <c r="B433"/>
      <c r="C433"/>
      <c r="D433"/>
      <c r="E433"/>
      <c r="BM433" s="27" t="s">
        <v>8</v>
      </c>
      <c r="BP433" s="27" t="s">
        <v>7</v>
      </c>
      <c r="BT433" s="27" t="s">
        <v>7</v>
      </c>
      <c r="BU433" s="27" t="s">
        <v>8</v>
      </c>
      <c r="BV433" s="27" t="s">
        <v>7</v>
      </c>
      <c r="BW433" s="27" t="s">
        <v>8</v>
      </c>
      <c r="DD433" s="27" t="s">
        <v>7</v>
      </c>
      <c r="DH433" s="27" t="s">
        <v>7</v>
      </c>
      <c r="DI433" s="27" t="s">
        <v>8</v>
      </c>
      <c r="DK433" s="27" t="s">
        <v>8</v>
      </c>
      <c r="DL433" s="27" t="s">
        <v>7</v>
      </c>
      <c r="DM433" s="27" t="s">
        <v>8</v>
      </c>
      <c r="DN433" s="27" t="s">
        <v>7</v>
      </c>
      <c r="EA433" s="27" t="s">
        <v>8</v>
      </c>
      <c r="EE433" s="27" t="s">
        <v>8</v>
      </c>
      <c r="EF433" s="27" t="s">
        <v>7</v>
      </c>
      <c r="EW433" s="27" t="s">
        <v>8</v>
      </c>
      <c r="EX433" s="27" t="s">
        <v>7</v>
      </c>
      <c r="FF433" s="27" t="s">
        <v>7</v>
      </c>
      <c r="FJ433" s="27" t="s">
        <v>7</v>
      </c>
      <c r="FO433" s="27" t="s">
        <v>8</v>
      </c>
      <c r="FP433" s="27" t="s">
        <v>7</v>
      </c>
      <c r="GW433" s="27" t="s">
        <v>8</v>
      </c>
      <c r="GZ433" s="27" t="s">
        <v>7</v>
      </c>
      <c r="HA433" s="27" t="s">
        <v>8</v>
      </c>
      <c r="HB433" s="27" t="s">
        <v>7</v>
      </c>
      <c r="HC433" s="27" t="s">
        <v>8</v>
      </c>
      <c r="HF433" s="27" t="s">
        <v>7</v>
      </c>
      <c r="HH433" s="27" t="s">
        <v>7</v>
      </c>
      <c r="HI433" s="27" t="s">
        <v>8</v>
      </c>
      <c r="HJ433" s="27" t="s">
        <v>7</v>
      </c>
      <c r="HK433" s="27" t="s">
        <v>8</v>
      </c>
    </row>
    <row r="434" spans="1:219" x14ac:dyDescent="0.25">
      <c r="A434" s="7">
        <v>20.693134452910591</v>
      </c>
      <c r="B434"/>
      <c r="C434"/>
      <c r="D434"/>
      <c r="E434"/>
      <c r="BM434" s="27" t="s">
        <v>8</v>
      </c>
      <c r="BT434" s="27" t="s">
        <v>7</v>
      </c>
      <c r="BU434" s="27" t="s">
        <v>8</v>
      </c>
      <c r="BV434" s="27" t="s">
        <v>7</v>
      </c>
      <c r="BW434" s="27" t="s">
        <v>8</v>
      </c>
      <c r="DH434" s="27" t="s">
        <v>7</v>
      </c>
      <c r="DI434" s="27" t="s">
        <v>8</v>
      </c>
      <c r="DJ434" s="27" t="s">
        <v>7</v>
      </c>
      <c r="DK434" s="27" t="s">
        <v>8</v>
      </c>
      <c r="DL434" s="27" t="s">
        <v>7</v>
      </c>
      <c r="DM434" s="27" t="s">
        <v>8</v>
      </c>
      <c r="DN434" s="27" t="s">
        <v>7</v>
      </c>
      <c r="EA434" s="27" t="s">
        <v>8</v>
      </c>
      <c r="EB434" s="27" t="s">
        <v>7</v>
      </c>
      <c r="EC434" s="27" t="s">
        <v>8</v>
      </c>
      <c r="EE434" s="27" t="s">
        <v>8</v>
      </c>
      <c r="EF434" s="27" t="s">
        <v>7</v>
      </c>
      <c r="EW434" s="27" t="s">
        <v>8</v>
      </c>
      <c r="FJ434" s="27" t="s">
        <v>7</v>
      </c>
      <c r="FO434" s="27" t="s">
        <v>8</v>
      </c>
      <c r="FP434" s="27" t="s">
        <v>7</v>
      </c>
      <c r="GW434" s="27" t="s">
        <v>8</v>
      </c>
      <c r="GZ434" s="27" t="s">
        <v>7</v>
      </c>
      <c r="HB434" s="27" t="s">
        <v>7</v>
      </c>
      <c r="HH434" s="27" t="s">
        <v>7</v>
      </c>
      <c r="HI434" s="27" t="s">
        <v>8</v>
      </c>
      <c r="HJ434" s="27" t="s">
        <v>7</v>
      </c>
      <c r="HK434" s="27" t="s">
        <v>8</v>
      </c>
    </row>
    <row r="435" spans="1:219" x14ac:dyDescent="0.25">
      <c r="A435" s="7">
        <v>20.287386718539796</v>
      </c>
      <c r="B435"/>
      <c r="C435"/>
      <c r="D435"/>
      <c r="E435"/>
      <c r="BM435" s="27" t="s">
        <v>8</v>
      </c>
      <c r="BT435" s="27" t="s">
        <v>7</v>
      </c>
      <c r="BU435" s="27" t="s">
        <v>8</v>
      </c>
      <c r="BV435" s="27" t="s">
        <v>7</v>
      </c>
      <c r="DH435" s="27" t="s">
        <v>7</v>
      </c>
      <c r="DI435" s="27" t="s">
        <v>8</v>
      </c>
      <c r="DJ435" s="27" t="s">
        <v>7</v>
      </c>
      <c r="DK435" s="27" t="s">
        <v>8</v>
      </c>
      <c r="DL435" s="27" t="s">
        <v>7</v>
      </c>
      <c r="DN435" s="27" t="s">
        <v>7</v>
      </c>
      <c r="EA435" s="27" t="s">
        <v>8</v>
      </c>
      <c r="EB435" s="27" t="s">
        <v>7</v>
      </c>
      <c r="EC435" s="27" t="s">
        <v>8</v>
      </c>
      <c r="ED435" s="27" t="s">
        <v>7</v>
      </c>
      <c r="EE435" s="27" t="s">
        <v>8</v>
      </c>
      <c r="EF435" s="27" t="s">
        <v>7</v>
      </c>
      <c r="EW435" s="27" t="s">
        <v>8</v>
      </c>
      <c r="FJ435" s="27" t="s">
        <v>7</v>
      </c>
      <c r="FM435" s="27" t="s">
        <v>8</v>
      </c>
      <c r="FO435" s="27" t="s">
        <v>8</v>
      </c>
      <c r="FP435" s="27" t="s">
        <v>7</v>
      </c>
      <c r="GU435" s="27" t="s">
        <v>8</v>
      </c>
      <c r="GW435" s="27" t="s">
        <v>8</v>
      </c>
      <c r="HH435" s="27" t="s">
        <v>7</v>
      </c>
      <c r="HI435" s="27" t="s">
        <v>8</v>
      </c>
      <c r="HJ435" s="27" t="s">
        <v>7</v>
      </c>
    </row>
    <row r="436" spans="1:219" x14ac:dyDescent="0.25">
      <c r="A436" s="7">
        <v>19.889594822097838</v>
      </c>
      <c r="B436"/>
      <c r="C436"/>
      <c r="D436"/>
      <c r="E436"/>
      <c r="BG436" s="27" t="s">
        <v>8</v>
      </c>
      <c r="BK436" s="27" t="s">
        <v>8</v>
      </c>
      <c r="BM436" s="27" t="s">
        <v>8</v>
      </c>
      <c r="BT436" s="27" t="s">
        <v>7</v>
      </c>
      <c r="BU436" s="27" t="s">
        <v>8</v>
      </c>
      <c r="DH436" s="27" t="s">
        <v>7</v>
      </c>
      <c r="DJ436" s="27" t="s">
        <v>7</v>
      </c>
      <c r="DN436" s="27" t="s">
        <v>7</v>
      </c>
      <c r="EA436" s="27" t="s">
        <v>8</v>
      </c>
      <c r="EB436" s="27" t="s">
        <v>7</v>
      </c>
      <c r="EC436" s="27" t="s">
        <v>8</v>
      </c>
      <c r="ED436" s="27" t="s">
        <v>7</v>
      </c>
      <c r="EE436" s="27" t="s">
        <v>8</v>
      </c>
      <c r="EF436" s="27" t="s">
        <v>7</v>
      </c>
      <c r="EW436" s="27" t="s">
        <v>8</v>
      </c>
      <c r="FJ436" s="27" t="s">
        <v>7</v>
      </c>
      <c r="FM436" s="27" t="s">
        <v>8</v>
      </c>
      <c r="FN436" s="27" t="s">
        <v>7</v>
      </c>
      <c r="FO436" s="27" t="s">
        <v>8</v>
      </c>
      <c r="FP436" s="27" t="s">
        <v>7</v>
      </c>
      <c r="GU436" s="27" t="s">
        <v>8</v>
      </c>
      <c r="GV436" s="27" t="s">
        <v>7</v>
      </c>
      <c r="GW436" s="27" t="s">
        <v>8</v>
      </c>
      <c r="HH436" s="27" t="s">
        <v>7</v>
      </c>
      <c r="HI436" s="27" t="s">
        <v>8</v>
      </c>
    </row>
    <row r="437" spans="1:219" x14ac:dyDescent="0.25">
      <c r="A437" s="7">
        <v>19.499602766762585</v>
      </c>
      <c r="B437"/>
      <c r="C437"/>
      <c r="D437"/>
      <c r="E437"/>
      <c r="BG437" s="27" t="s">
        <v>8</v>
      </c>
      <c r="BH437" s="27" t="s">
        <v>7</v>
      </c>
      <c r="BK437" s="27" t="s">
        <v>8</v>
      </c>
      <c r="BL437" s="27" t="s">
        <v>7</v>
      </c>
      <c r="BM437" s="27" t="s">
        <v>8</v>
      </c>
      <c r="BT437" s="27" t="s">
        <v>7</v>
      </c>
      <c r="BU437" s="27" t="s">
        <v>8</v>
      </c>
      <c r="DN437" s="27" t="s">
        <v>7</v>
      </c>
      <c r="EA437" s="27" t="s">
        <v>8</v>
      </c>
      <c r="EB437" s="27" t="s">
        <v>7</v>
      </c>
      <c r="EC437" s="27" t="s">
        <v>8</v>
      </c>
      <c r="ED437" s="27" t="s">
        <v>7</v>
      </c>
      <c r="EF437" s="27" t="s">
        <v>7</v>
      </c>
      <c r="EW437" s="27" t="s">
        <v>8</v>
      </c>
      <c r="FJ437" s="27" t="s">
        <v>7</v>
      </c>
      <c r="FK437" s="27" t="s">
        <v>8</v>
      </c>
      <c r="FM437" s="27" t="s">
        <v>8</v>
      </c>
      <c r="FN437" s="27" t="s">
        <v>7</v>
      </c>
      <c r="FO437" s="27" t="s">
        <v>8</v>
      </c>
      <c r="FP437" s="27" t="s">
        <v>7</v>
      </c>
      <c r="GU437" s="27" t="s">
        <v>8</v>
      </c>
      <c r="GV437" s="27" t="s">
        <v>7</v>
      </c>
      <c r="GW437" s="27" t="s">
        <v>8</v>
      </c>
      <c r="HH437" s="27" t="s">
        <v>7</v>
      </c>
      <c r="HI437" s="27" t="s">
        <v>8</v>
      </c>
    </row>
    <row r="438" spans="1:219" x14ac:dyDescent="0.25">
      <c r="A438" s="7">
        <v>19.117257614473122</v>
      </c>
      <c r="B438"/>
      <c r="C438"/>
      <c r="D438"/>
      <c r="E438"/>
      <c r="BG438" s="27" t="s">
        <v>8</v>
      </c>
      <c r="BH438" s="27" t="s">
        <v>7</v>
      </c>
      <c r="BK438" s="27" t="s">
        <v>8</v>
      </c>
      <c r="BL438" s="27" t="s">
        <v>7</v>
      </c>
      <c r="BM438" s="27" t="s">
        <v>8</v>
      </c>
      <c r="BT438" s="27" t="s">
        <v>7</v>
      </c>
      <c r="BU438" s="27" t="s">
        <v>8</v>
      </c>
      <c r="DN438" s="27" t="s">
        <v>7</v>
      </c>
      <c r="DW438" s="27" t="s">
        <v>8</v>
      </c>
      <c r="EA438" s="27" t="s">
        <v>8</v>
      </c>
      <c r="EB438" s="27" t="s">
        <v>7</v>
      </c>
      <c r="EF438" s="27" t="s">
        <v>7</v>
      </c>
      <c r="EW438" s="27" t="s">
        <v>8</v>
      </c>
      <c r="FJ438" s="27" t="s">
        <v>7</v>
      </c>
      <c r="FK438" s="27" t="s">
        <v>8</v>
      </c>
      <c r="FL438" s="27" t="s">
        <v>7</v>
      </c>
      <c r="FM438" s="27" t="s">
        <v>8</v>
      </c>
      <c r="FN438" s="27" t="s">
        <v>7</v>
      </c>
      <c r="FO438" s="27" t="s">
        <v>8</v>
      </c>
      <c r="FP438" s="27" t="s">
        <v>7</v>
      </c>
      <c r="GU438" s="27" t="s">
        <v>8</v>
      </c>
      <c r="GV438" s="27" t="s">
        <v>7</v>
      </c>
      <c r="GW438" s="27" t="s">
        <v>8</v>
      </c>
      <c r="HH438" s="27" t="s">
        <v>7</v>
      </c>
      <c r="HI438" s="27" t="s">
        <v>8</v>
      </c>
    </row>
    <row r="439" spans="1:219" x14ac:dyDescent="0.25">
      <c r="A439" s="7">
        <v>18.74240942595404</v>
      </c>
      <c r="B439"/>
      <c r="C439"/>
      <c r="D439"/>
      <c r="E439"/>
      <c r="BG439" s="27" t="s">
        <v>8</v>
      </c>
      <c r="BH439" s="27" t="s">
        <v>7</v>
      </c>
      <c r="BK439" s="27" t="s">
        <v>8</v>
      </c>
      <c r="BL439" s="27" t="s">
        <v>7</v>
      </c>
      <c r="BT439" s="27" t="s">
        <v>7</v>
      </c>
      <c r="BU439" s="27" t="s">
        <v>8</v>
      </c>
      <c r="DN439" s="27" t="s">
        <v>7</v>
      </c>
      <c r="DW439" s="27" t="s">
        <v>8</v>
      </c>
      <c r="DX439" s="27" t="s">
        <v>7</v>
      </c>
      <c r="DY439" s="27" t="s">
        <v>8</v>
      </c>
      <c r="EA439" s="27" t="s">
        <v>8</v>
      </c>
      <c r="EF439" s="27" t="s">
        <v>7</v>
      </c>
      <c r="EW439" s="27" t="s">
        <v>8</v>
      </c>
      <c r="FJ439" s="27" t="s">
        <v>7</v>
      </c>
      <c r="FK439" s="27" t="s">
        <v>8</v>
      </c>
      <c r="FL439" s="27" t="s">
        <v>7</v>
      </c>
      <c r="FM439" s="27" t="s">
        <v>8</v>
      </c>
      <c r="FN439" s="27" t="s">
        <v>7</v>
      </c>
      <c r="FP439" s="27" t="s">
        <v>7</v>
      </c>
      <c r="GS439" s="27" t="s">
        <v>8</v>
      </c>
      <c r="GU439" s="27" t="s">
        <v>8</v>
      </c>
      <c r="GV439" s="27" t="s">
        <v>7</v>
      </c>
      <c r="HH439" s="27" t="s">
        <v>7</v>
      </c>
      <c r="HI439" s="27" t="s">
        <v>8</v>
      </c>
    </row>
    <row r="440" spans="1:219" x14ac:dyDescent="0.25">
      <c r="A440" s="7">
        <v>18.374911201915726</v>
      </c>
      <c r="B440"/>
      <c r="C440"/>
      <c r="D440"/>
      <c r="E440"/>
      <c r="BG440" s="27" t="s">
        <v>8</v>
      </c>
      <c r="BH440" s="27" t="s">
        <v>7</v>
      </c>
      <c r="BI440" s="27" t="s">
        <v>8</v>
      </c>
      <c r="BK440" s="27" t="s">
        <v>8</v>
      </c>
      <c r="BT440" s="27" t="s">
        <v>7</v>
      </c>
      <c r="DN440" s="27" t="s">
        <v>7</v>
      </c>
      <c r="DW440" s="27" t="s">
        <v>8</v>
      </c>
      <c r="DX440" s="27" t="s">
        <v>7</v>
      </c>
      <c r="DY440" s="27" t="s">
        <v>8</v>
      </c>
      <c r="DZ440" s="27" t="s">
        <v>7</v>
      </c>
      <c r="EA440" s="27" t="s">
        <v>8</v>
      </c>
      <c r="EF440" s="27" t="s">
        <v>7</v>
      </c>
      <c r="ES440" s="27" t="s">
        <v>8</v>
      </c>
      <c r="EU440" s="27" t="s">
        <v>8</v>
      </c>
      <c r="EW440" s="27" t="s">
        <v>8</v>
      </c>
      <c r="FJ440" s="27" t="s">
        <v>7</v>
      </c>
      <c r="FK440" s="27" t="s">
        <v>8</v>
      </c>
      <c r="FL440" s="27" t="s">
        <v>7</v>
      </c>
      <c r="FM440" s="27" t="s">
        <v>8</v>
      </c>
      <c r="FP440" s="27" t="s">
        <v>7</v>
      </c>
      <c r="GS440" s="27" t="s">
        <v>8</v>
      </c>
      <c r="GT440" s="27" t="s">
        <v>7</v>
      </c>
      <c r="GU440" s="27" t="s">
        <v>8</v>
      </c>
      <c r="HH440" s="27" t="s">
        <v>7</v>
      </c>
      <c r="HI440" s="27" t="s">
        <v>8</v>
      </c>
    </row>
    <row r="441" spans="1:219" x14ac:dyDescent="0.25">
      <c r="A441" s="7">
        <v>18.014618825407574</v>
      </c>
      <c r="B441"/>
      <c r="C441"/>
      <c r="D441"/>
      <c r="E441"/>
      <c r="BG441" s="27" t="s">
        <v>8</v>
      </c>
      <c r="BH441" s="27" t="s">
        <v>7</v>
      </c>
      <c r="BI441" s="27" t="s">
        <v>8</v>
      </c>
      <c r="BJ441" s="27" t="s">
        <v>7</v>
      </c>
      <c r="BK441" s="27" t="s">
        <v>8</v>
      </c>
      <c r="DN441" s="27" t="s">
        <v>7</v>
      </c>
      <c r="DW441" s="27" t="s">
        <v>8</v>
      </c>
      <c r="DX441" s="27" t="s">
        <v>7</v>
      </c>
      <c r="DY441" s="27" t="s">
        <v>8</v>
      </c>
      <c r="DZ441" s="27" t="s">
        <v>7</v>
      </c>
      <c r="EA441" s="27" t="s">
        <v>8</v>
      </c>
      <c r="EF441" s="27" t="s">
        <v>7</v>
      </c>
      <c r="EQ441" s="27" t="s">
        <v>8</v>
      </c>
      <c r="ES441" s="27" t="s">
        <v>8</v>
      </c>
      <c r="ET441" s="27" t="s">
        <v>7</v>
      </c>
      <c r="EU441" s="27" t="s">
        <v>8</v>
      </c>
      <c r="EV441" s="27" t="s">
        <v>7</v>
      </c>
      <c r="EW441" s="27" t="s">
        <v>8</v>
      </c>
      <c r="FJ441" s="27" t="s">
        <v>7</v>
      </c>
      <c r="FL441" s="27" t="s">
        <v>7</v>
      </c>
      <c r="FP441" s="27" t="s">
        <v>7</v>
      </c>
      <c r="GG441" s="27" t="s">
        <v>8</v>
      </c>
      <c r="GO441" s="27" t="s">
        <v>8</v>
      </c>
      <c r="GS441" s="27" t="s">
        <v>8</v>
      </c>
      <c r="GT441" s="27" t="s">
        <v>7</v>
      </c>
      <c r="GU441" s="27" t="s">
        <v>8</v>
      </c>
      <c r="HH441" s="27" t="s">
        <v>7</v>
      </c>
    </row>
    <row r="442" spans="1:219" x14ac:dyDescent="0.25">
      <c r="A442" s="7">
        <v>17.661391005301542</v>
      </c>
      <c r="B442"/>
      <c r="C442"/>
      <c r="D442"/>
      <c r="E442"/>
      <c r="BG442" s="27" t="s">
        <v>8</v>
      </c>
      <c r="BH442" s="27" t="s">
        <v>7</v>
      </c>
      <c r="BI442" s="27" t="s">
        <v>8</v>
      </c>
      <c r="BJ442" s="27" t="s">
        <v>7</v>
      </c>
      <c r="BK442" s="27" t="s">
        <v>8</v>
      </c>
      <c r="DN442" s="27" t="s">
        <v>7</v>
      </c>
      <c r="DU442" s="27" t="s">
        <v>8</v>
      </c>
      <c r="DW442" s="27" t="s">
        <v>8</v>
      </c>
      <c r="DX442" s="27" t="s">
        <v>7</v>
      </c>
      <c r="DZ442" s="27" t="s">
        <v>7</v>
      </c>
      <c r="EA442" s="27" t="s">
        <v>8</v>
      </c>
      <c r="EF442" s="27" t="s">
        <v>7</v>
      </c>
      <c r="EQ442" s="27" t="s">
        <v>8</v>
      </c>
      <c r="ER442" s="27" t="s">
        <v>7</v>
      </c>
      <c r="ES442" s="27" t="s">
        <v>8</v>
      </c>
      <c r="ET442" s="27" t="s">
        <v>7</v>
      </c>
      <c r="EU442" s="27" t="s">
        <v>8</v>
      </c>
      <c r="EV442" s="27" t="s">
        <v>7</v>
      </c>
      <c r="EW442" s="27" t="s">
        <v>8</v>
      </c>
      <c r="FP442" s="27" t="s">
        <v>7</v>
      </c>
      <c r="GG442" s="27" t="s">
        <v>8</v>
      </c>
      <c r="GH442" s="27" t="s">
        <v>7</v>
      </c>
      <c r="GO442" s="27" t="s">
        <v>8</v>
      </c>
      <c r="GP442" s="27" t="s">
        <v>7</v>
      </c>
      <c r="GS442" s="27" t="s">
        <v>8</v>
      </c>
      <c r="GT442" s="27" t="s">
        <v>7</v>
      </c>
      <c r="GU442" s="27" t="s">
        <v>8</v>
      </c>
    </row>
    <row r="443" spans="1:219" x14ac:dyDescent="0.25">
      <c r="A443" s="7">
        <v>17.315089220883866</v>
      </c>
      <c r="B443"/>
      <c r="C443"/>
      <c r="D443"/>
      <c r="E443"/>
      <c r="BE443" s="27" t="s">
        <v>8</v>
      </c>
      <c r="BG443" s="27" t="s">
        <v>8</v>
      </c>
      <c r="BH443" s="27" t="s">
        <v>7</v>
      </c>
      <c r="BJ443" s="27" t="s">
        <v>7</v>
      </c>
      <c r="BK443" s="27" t="s">
        <v>8</v>
      </c>
      <c r="DN443" s="27" t="s">
        <v>7</v>
      </c>
      <c r="DU443" s="27" t="s">
        <v>8</v>
      </c>
      <c r="DV443" s="27" t="s">
        <v>7</v>
      </c>
      <c r="DW443" s="27" t="s">
        <v>8</v>
      </c>
      <c r="DZ443" s="27" t="s">
        <v>7</v>
      </c>
      <c r="EA443" s="27" t="s">
        <v>8</v>
      </c>
      <c r="EF443" s="27" t="s">
        <v>7</v>
      </c>
      <c r="EQ443" s="27" t="s">
        <v>8</v>
      </c>
      <c r="ER443" s="27" t="s">
        <v>7</v>
      </c>
      <c r="ES443" s="27" t="s">
        <v>8</v>
      </c>
      <c r="ET443" s="27" t="s">
        <v>7</v>
      </c>
      <c r="EU443" s="27" t="s">
        <v>8</v>
      </c>
      <c r="EV443" s="27" t="s">
        <v>7</v>
      </c>
      <c r="EW443" s="27" t="s">
        <v>8</v>
      </c>
      <c r="FP443" s="27" t="s">
        <v>7</v>
      </c>
      <c r="FQ443" s="27" t="s">
        <v>8</v>
      </c>
      <c r="GG443" s="27" t="s">
        <v>8</v>
      </c>
      <c r="GH443" s="27" t="s">
        <v>7</v>
      </c>
      <c r="GI443" s="27" t="s">
        <v>8</v>
      </c>
      <c r="GM443" s="27" t="s">
        <v>8</v>
      </c>
      <c r="GO443" s="27" t="s">
        <v>8</v>
      </c>
      <c r="GP443" s="27" t="s">
        <v>7</v>
      </c>
      <c r="GS443" s="27" t="s">
        <v>8</v>
      </c>
      <c r="GT443" s="27" t="s">
        <v>7</v>
      </c>
      <c r="GU443" s="27" t="s">
        <v>8</v>
      </c>
    </row>
    <row r="444" spans="1:219" x14ac:dyDescent="0.25">
      <c r="A444" s="7">
        <v>16.975577667533202</v>
      </c>
      <c r="B444"/>
      <c r="C444"/>
      <c r="D444"/>
      <c r="E444"/>
      <c r="BE444" s="27" t="s">
        <v>8</v>
      </c>
      <c r="BF444" s="27" t="s">
        <v>7</v>
      </c>
      <c r="BG444" s="27" t="s">
        <v>8</v>
      </c>
      <c r="BJ444" s="27" t="s">
        <v>7</v>
      </c>
      <c r="BK444" s="27" t="s">
        <v>8</v>
      </c>
      <c r="DN444" s="27" t="s">
        <v>7</v>
      </c>
      <c r="DU444" s="27" t="s">
        <v>8</v>
      </c>
      <c r="DV444" s="27" t="s">
        <v>7</v>
      </c>
      <c r="DW444" s="27" t="s">
        <v>8</v>
      </c>
      <c r="DZ444" s="27" t="s">
        <v>7</v>
      </c>
      <c r="EA444" s="27" t="s">
        <v>8</v>
      </c>
      <c r="EF444" s="27" t="s">
        <v>7</v>
      </c>
      <c r="EQ444" s="27" t="s">
        <v>8</v>
      </c>
      <c r="ER444" s="27" t="s">
        <v>7</v>
      </c>
      <c r="ES444" s="27" t="s">
        <v>8</v>
      </c>
      <c r="ET444" s="27" t="s">
        <v>7</v>
      </c>
      <c r="EV444" s="27" t="s">
        <v>7</v>
      </c>
      <c r="EW444" s="27" t="s">
        <v>8</v>
      </c>
      <c r="FP444" s="27" t="s">
        <v>7</v>
      </c>
      <c r="FQ444" s="27" t="s">
        <v>8</v>
      </c>
      <c r="FR444" s="27" t="s">
        <v>7</v>
      </c>
      <c r="GG444" s="27" t="s">
        <v>8</v>
      </c>
      <c r="GH444" s="27" t="s">
        <v>7</v>
      </c>
      <c r="GI444" s="27" t="s">
        <v>8</v>
      </c>
      <c r="GJ444" s="27" t="s">
        <v>7</v>
      </c>
      <c r="GM444" s="27" t="s">
        <v>8</v>
      </c>
      <c r="GN444" s="27" t="s">
        <v>7</v>
      </c>
      <c r="GO444" s="27" t="s">
        <v>8</v>
      </c>
      <c r="GP444" s="27" t="s">
        <v>7</v>
      </c>
      <c r="GS444" s="27" t="s">
        <v>8</v>
      </c>
      <c r="GT444" s="27" t="s">
        <v>7</v>
      </c>
      <c r="GU444" s="27" t="s">
        <v>8</v>
      </c>
    </row>
    <row r="445" spans="1:219" x14ac:dyDescent="0.25">
      <c r="A445" s="7">
        <v>16.642723203463923</v>
      </c>
      <c r="B445"/>
      <c r="C445"/>
      <c r="D445"/>
      <c r="E445"/>
      <c r="BE445" s="27" t="s">
        <v>8</v>
      </c>
      <c r="BF445" s="27" t="s">
        <v>7</v>
      </c>
      <c r="BG445" s="27" t="s">
        <v>8</v>
      </c>
      <c r="BJ445" s="27" t="s">
        <v>7</v>
      </c>
      <c r="BK445" s="27" t="s">
        <v>8</v>
      </c>
      <c r="DN445" s="27" t="s">
        <v>7</v>
      </c>
      <c r="DU445" s="27" t="s">
        <v>8</v>
      </c>
      <c r="DV445" s="27" t="s">
        <v>7</v>
      </c>
      <c r="DZ445" s="27" t="s">
        <v>7</v>
      </c>
      <c r="EA445" s="27" t="s">
        <v>8</v>
      </c>
      <c r="EF445" s="27" t="s">
        <v>7</v>
      </c>
      <c r="EQ445" s="27" t="s">
        <v>8</v>
      </c>
      <c r="ER445" s="27" t="s">
        <v>7</v>
      </c>
      <c r="ES445" s="27" t="s">
        <v>8</v>
      </c>
      <c r="EV445" s="27" t="s">
        <v>7</v>
      </c>
      <c r="FP445" s="27" t="s">
        <v>7</v>
      </c>
      <c r="FQ445" s="27" t="s">
        <v>8</v>
      </c>
      <c r="FR445" s="27" t="s">
        <v>7</v>
      </c>
      <c r="GE445" s="27" t="s">
        <v>8</v>
      </c>
      <c r="GG445" s="27" t="s">
        <v>8</v>
      </c>
      <c r="GH445" s="27" t="s">
        <v>7</v>
      </c>
      <c r="GI445" s="27" t="s">
        <v>8</v>
      </c>
      <c r="GJ445" s="27" t="s">
        <v>7</v>
      </c>
      <c r="GK445" s="27" t="s">
        <v>8</v>
      </c>
      <c r="GM445" s="27" t="s">
        <v>8</v>
      </c>
      <c r="GN445" s="27" t="s">
        <v>7</v>
      </c>
      <c r="GO445" s="27" t="s">
        <v>8</v>
      </c>
      <c r="GP445" s="27" t="s">
        <v>7</v>
      </c>
      <c r="GQ445" s="27" t="s">
        <v>8</v>
      </c>
      <c r="GS445" s="27" t="s">
        <v>8</v>
      </c>
      <c r="GT445" s="27" t="s">
        <v>7</v>
      </c>
    </row>
    <row r="446" spans="1:219" x14ac:dyDescent="0.25">
      <c r="A446" s="7">
        <v>16.316395297513651</v>
      </c>
      <c r="B446"/>
      <c r="C446"/>
      <c r="D446"/>
      <c r="E446"/>
      <c r="BE446" s="27" t="s">
        <v>8</v>
      </c>
      <c r="BF446" s="27" t="s">
        <v>7</v>
      </c>
      <c r="BG446" s="27" t="s">
        <v>8</v>
      </c>
      <c r="BJ446" s="27" t="s">
        <v>7</v>
      </c>
      <c r="DN446" s="27" t="s">
        <v>7</v>
      </c>
      <c r="DO446" s="27" t="s">
        <v>8</v>
      </c>
      <c r="DU446" s="27" t="s">
        <v>8</v>
      </c>
      <c r="DZ446" s="27" t="s">
        <v>7</v>
      </c>
      <c r="EF446" s="27" t="s">
        <v>7</v>
      </c>
      <c r="EG446" s="27" t="s">
        <v>8</v>
      </c>
      <c r="EQ446" s="27" t="s">
        <v>8</v>
      </c>
      <c r="ER446" s="27" t="s">
        <v>7</v>
      </c>
      <c r="FP446" s="27" t="s">
        <v>7</v>
      </c>
      <c r="FQ446" s="27" t="s">
        <v>8</v>
      </c>
      <c r="FR446" s="27" t="s">
        <v>7</v>
      </c>
      <c r="GE446" s="27" t="s">
        <v>8</v>
      </c>
      <c r="GF446" s="27" t="s">
        <v>7</v>
      </c>
      <c r="GG446" s="27" t="s">
        <v>8</v>
      </c>
      <c r="GH446" s="27" t="s">
        <v>7</v>
      </c>
      <c r="GJ446" s="27" t="s">
        <v>7</v>
      </c>
      <c r="GK446" s="27" t="s">
        <v>8</v>
      </c>
      <c r="GL446" s="27" t="s">
        <v>7</v>
      </c>
      <c r="GM446" s="27" t="s">
        <v>8</v>
      </c>
      <c r="GN446" s="27" t="s">
        <v>7</v>
      </c>
      <c r="GO446" s="27" t="s">
        <v>8</v>
      </c>
      <c r="GP446" s="27" t="s">
        <v>7</v>
      </c>
      <c r="GQ446" s="27" t="s">
        <v>8</v>
      </c>
      <c r="GR446" s="27" t="s">
        <v>7</v>
      </c>
      <c r="GS446" s="27" t="s">
        <v>8</v>
      </c>
    </row>
    <row r="447" spans="1:219" x14ac:dyDescent="0.25">
      <c r="A447" s="7">
        <v>15.996465977954561</v>
      </c>
      <c r="B447"/>
      <c r="C447"/>
      <c r="D447"/>
      <c r="E447"/>
      <c r="BC447" s="27" t="s">
        <v>8</v>
      </c>
      <c r="BE447" s="27" t="s">
        <v>8</v>
      </c>
      <c r="BF447" s="27" t="s">
        <v>7</v>
      </c>
      <c r="BG447" s="27" t="s">
        <v>8</v>
      </c>
      <c r="DN447" s="27" t="s">
        <v>7</v>
      </c>
      <c r="DO447" s="27" t="s">
        <v>8</v>
      </c>
      <c r="DP447" s="27" t="s">
        <v>7</v>
      </c>
      <c r="DS447" s="27" t="s">
        <v>8</v>
      </c>
      <c r="DU447" s="27" t="s">
        <v>8</v>
      </c>
      <c r="EF447" s="27" t="s">
        <v>7</v>
      </c>
      <c r="EG447" s="27" t="s">
        <v>8</v>
      </c>
      <c r="EH447" s="27" t="s">
        <v>7</v>
      </c>
      <c r="EI447" s="27" t="s">
        <v>8</v>
      </c>
      <c r="EQ447" s="27" t="s">
        <v>8</v>
      </c>
      <c r="FP447" s="27" t="s">
        <v>7</v>
      </c>
      <c r="FQ447" s="27" t="s">
        <v>8</v>
      </c>
      <c r="FR447" s="27" t="s">
        <v>7</v>
      </c>
      <c r="GE447" s="27" t="s">
        <v>8</v>
      </c>
      <c r="GF447" s="27" t="s">
        <v>7</v>
      </c>
      <c r="GG447" s="27" t="s">
        <v>8</v>
      </c>
      <c r="GJ447" s="27" t="s">
        <v>7</v>
      </c>
      <c r="GK447" s="27" t="s">
        <v>8</v>
      </c>
      <c r="GL447" s="27" t="s">
        <v>7</v>
      </c>
      <c r="GM447" s="27" t="s">
        <v>8</v>
      </c>
      <c r="GN447" s="27" t="s">
        <v>7</v>
      </c>
      <c r="GP447" s="27" t="s">
        <v>7</v>
      </c>
      <c r="GQ447" s="27" t="s">
        <v>8</v>
      </c>
      <c r="GR447" s="27" t="s">
        <v>7</v>
      </c>
      <c r="GS447" s="27" t="s">
        <v>8</v>
      </c>
    </row>
    <row r="448" spans="1:219" x14ac:dyDescent="0.25">
      <c r="A448" s="7">
        <v>15.682809782308393</v>
      </c>
      <c r="B448"/>
      <c r="C448"/>
      <c r="D448"/>
      <c r="E448"/>
      <c r="BC448" s="27" t="s">
        <v>8</v>
      </c>
      <c r="BD448" s="27" t="s">
        <v>7</v>
      </c>
      <c r="BE448" s="27" t="s">
        <v>8</v>
      </c>
      <c r="BF448" s="27" t="s">
        <v>7</v>
      </c>
      <c r="DN448" s="27" t="s">
        <v>7</v>
      </c>
      <c r="DO448" s="27" t="s">
        <v>8</v>
      </c>
      <c r="DP448" s="27" t="s">
        <v>7</v>
      </c>
      <c r="DQ448" s="27" t="s">
        <v>8</v>
      </c>
      <c r="DS448" s="27" t="s">
        <v>8</v>
      </c>
      <c r="DT448" s="27" t="s">
        <v>7</v>
      </c>
      <c r="DU448" s="27" t="s">
        <v>8</v>
      </c>
      <c r="EF448" s="27" t="s">
        <v>7</v>
      </c>
      <c r="EG448" s="27" t="s">
        <v>8</v>
      </c>
      <c r="EH448" s="27" t="s">
        <v>7</v>
      </c>
      <c r="EI448" s="27" t="s">
        <v>8</v>
      </c>
      <c r="EJ448" s="27" t="s">
        <v>7</v>
      </c>
      <c r="EQ448" s="27" t="s">
        <v>8</v>
      </c>
      <c r="FP448" s="27" t="s">
        <v>7</v>
      </c>
      <c r="FR448" s="27" t="s">
        <v>7</v>
      </c>
      <c r="GC448" s="27" t="s">
        <v>8</v>
      </c>
      <c r="GE448" s="27" t="s">
        <v>8</v>
      </c>
      <c r="GF448" s="27" t="s">
        <v>7</v>
      </c>
      <c r="GG448" s="27" t="s">
        <v>8</v>
      </c>
      <c r="GJ448" s="27" t="s">
        <v>7</v>
      </c>
      <c r="GK448" s="27" t="s">
        <v>8</v>
      </c>
      <c r="GL448" s="27" t="s">
        <v>7</v>
      </c>
      <c r="GP448" s="27" t="s">
        <v>7</v>
      </c>
      <c r="GR448" s="27" t="s">
        <v>7</v>
      </c>
      <c r="GS448" s="27" t="s">
        <v>8</v>
      </c>
    </row>
    <row r="449" spans="1:201" x14ac:dyDescent="0.25">
      <c r="A449" s="7">
        <v>15.375303708145482</v>
      </c>
      <c r="B449"/>
      <c r="C449"/>
      <c r="D449"/>
      <c r="E449"/>
      <c r="AY449" s="27" t="s">
        <v>8</v>
      </c>
      <c r="BC449" s="27" t="s">
        <v>8</v>
      </c>
      <c r="BD449" s="27" t="s">
        <v>7</v>
      </c>
      <c r="BE449" s="27" t="s">
        <v>8</v>
      </c>
      <c r="DN449" s="27" t="s">
        <v>7</v>
      </c>
      <c r="DO449" s="27" t="s">
        <v>8</v>
      </c>
      <c r="DP449" s="27" t="s">
        <v>7</v>
      </c>
      <c r="DQ449" s="27" t="s">
        <v>8</v>
      </c>
      <c r="DR449" s="27" t="s">
        <v>7</v>
      </c>
      <c r="DS449" s="27" t="s">
        <v>8</v>
      </c>
      <c r="DT449" s="27" t="s">
        <v>7</v>
      </c>
      <c r="DU449" s="27" t="s">
        <v>8</v>
      </c>
      <c r="EF449" s="27" t="s">
        <v>7</v>
      </c>
      <c r="EG449" s="27" t="s">
        <v>8</v>
      </c>
      <c r="EH449" s="27" t="s">
        <v>7</v>
      </c>
      <c r="EI449" s="27" t="s">
        <v>8</v>
      </c>
      <c r="EJ449" s="27" t="s">
        <v>7</v>
      </c>
      <c r="EQ449" s="27" t="s">
        <v>8</v>
      </c>
      <c r="FR449" s="27" t="s">
        <v>7</v>
      </c>
      <c r="GA449" s="27" t="s">
        <v>8</v>
      </c>
      <c r="GC449" s="27" t="s">
        <v>8</v>
      </c>
      <c r="GD449" s="27" t="s">
        <v>7</v>
      </c>
      <c r="GE449" s="27" t="s">
        <v>8</v>
      </c>
      <c r="GF449" s="27" t="s">
        <v>7</v>
      </c>
      <c r="GG449" s="27" t="s">
        <v>8</v>
      </c>
      <c r="GJ449" s="27" t="s">
        <v>7</v>
      </c>
      <c r="GK449" s="27" t="s">
        <v>8</v>
      </c>
      <c r="GR449" s="27" t="s">
        <v>7</v>
      </c>
      <c r="GS449" s="27" t="s">
        <v>8</v>
      </c>
    </row>
    <row r="450" spans="1:201" x14ac:dyDescent="0.25">
      <c r="A450" s="7">
        <v>15.073827164848511</v>
      </c>
      <c r="B450"/>
      <c r="C450"/>
      <c r="D450"/>
      <c r="E450"/>
      <c r="AY450" s="27" t="s">
        <v>8</v>
      </c>
      <c r="AZ450" s="27" t="s">
        <v>7</v>
      </c>
      <c r="BC450" s="27" t="s">
        <v>8</v>
      </c>
      <c r="BD450" s="27" t="s">
        <v>7</v>
      </c>
      <c r="BE450" s="27" t="s">
        <v>8</v>
      </c>
      <c r="DN450" s="27" t="s">
        <v>7</v>
      </c>
      <c r="DO450" s="27" t="s">
        <v>8</v>
      </c>
      <c r="DP450" s="27" t="s">
        <v>7</v>
      </c>
      <c r="DQ450" s="27" t="s">
        <v>8</v>
      </c>
      <c r="DR450" s="27" t="s">
        <v>7</v>
      </c>
      <c r="DS450" s="27" t="s">
        <v>8</v>
      </c>
      <c r="DT450" s="27" t="s">
        <v>7</v>
      </c>
      <c r="EF450" s="27" t="s">
        <v>7</v>
      </c>
      <c r="EG450" s="27" t="s">
        <v>8</v>
      </c>
      <c r="EH450" s="27" t="s">
        <v>7</v>
      </c>
      <c r="EI450" s="27" t="s">
        <v>8</v>
      </c>
      <c r="EJ450" s="27" t="s">
        <v>7</v>
      </c>
      <c r="EO450" s="27" t="s">
        <v>8</v>
      </c>
      <c r="EQ450" s="27" t="s">
        <v>8</v>
      </c>
      <c r="FR450" s="27" t="s">
        <v>7</v>
      </c>
      <c r="GA450" s="27" t="s">
        <v>8</v>
      </c>
      <c r="GB450" s="27" t="s">
        <v>7</v>
      </c>
      <c r="GC450" s="27" t="s">
        <v>8</v>
      </c>
      <c r="GD450" s="27" t="s">
        <v>7</v>
      </c>
      <c r="GE450" s="27" t="s">
        <v>8</v>
      </c>
      <c r="GF450" s="27" t="s">
        <v>7</v>
      </c>
      <c r="GG450" s="27" t="s">
        <v>8</v>
      </c>
      <c r="GJ450" s="27" t="s">
        <v>7</v>
      </c>
      <c r="GK450" s="27" t="s">
        <v>8</v>
      </c>
      <c r="GR450" s="27" t="s">
        <v>7</v>
      </c>
    </row>
    <row r="451" spans="1:201" x14ac:dyDescent="0.25">
      <c r="A451" s="7">
        <v>14.77826192632207</v>
      </c>
      <c r="B451"/>
      <c r="C451"/>
      <c r="D451"/>
      <c r="E451"/>
      <c r="AY451" s="27" t="s">
        <v>8</v>
      </c>
      <c r="AZ451" s="27" t="s">
        <v>7</v>
      </c>
      <c r="BA451" s="27" t="s">
        <v>8</v>
      </c>
      <c r="BC451" s="27" t="s">
        <v>8</v>
      </c>
      <c r="BD451" s="27" t="s">
        <v>7</v>
      </c>
      <c r="BE451" s="27" t="s">
        <v>8</v>
      </c>
      <c r="DN451" s="27" t="s">
        <v>7</v>
      </c>
      <c r="DP451" s="27" t="s">
        <v>7</v>
      </c>
      <c r="DQ451" s="27" t="s">
        <v>8</v>
      </c>
      <c r="DR451" s="27" t="s">
        <v>7</v>
      </c>
      <c r="EF451" s="27" t="s">
        <v>7</v>
      </c>
      <c r="EG451" s="27" t="s">
        <v>8</v>
      </c>
      <c r="EH451" s="27" t="s">
        <v>7</v>
      </c>
      <c r="EI451" s="27" t="s">
        <v>8</v>
      </c>
      <c r="EJ451" s="27" t="s">
        <v>7</v>
      </c>
      <c r="EO451" s="27" t="s">
        <v>8</v>
      </c>
      <c r="EP451" s="27" t="s">
        <v>7</v>
      </c>
      <c r="EQ451" s="27" t="s">
        <v>8</v>
      </c>
      <c r="FR451" s="27" t="s">
        <v>7</v>
      </c>
      <c r="GA451" s="27" t="s">
        <v>8</v>
      </c>
      <c r="GB451" s="27" t="s">
        <v>7</v>
      </c>
      <c r="GC451" s="27" t="s">
        <v>8</v>
      </c>
      <c r="GD451" s="27" t="s">
        <v>7</v>
      </c>
      <c r="GE451" s="27" t="s">
        <v>8</v>
      </c>
      <c r="GF451" s="27" t="s">
        <v>7</v>
      </c>
      <c r="GJ451" s="27" t="s">
        <v>7</v>
      </c>
      <c r="GK451" s="27" t="s">
        <v>8</v>
      </c>
    </row>
    <row r="452" spans="1:201" x14ac:dyDescent="0.25">
      <c r="A452" s="7">
        <v>14.488492084629481</v>
      </c>
      <c r="B452"/>
      <c r="C452"/>
      <c r="D452"/>
      <c r="E452"/>
      <c r="AY452" s="27" t="s">
        <v>8</v>
      </c>
      <c r="AZ452" s="27" t="s">
        <v>7</v>
      </c>
      <c r="BA452" s="27" t="s">
        <v>8</v>
      </c>
      <c r="BB452" s="27" t="s">
        <v>7</v>
      </c>
      <c r="BC452" s="27" t="s">
        <v>8</v>
      </c>
      <c r="BD452" s="27" t="s">
        <v>7</v>
      </c>
      <c r="BE452" s="27" t="s">
        <v>8</v>
      </c>
      <c r="DP452" s="27" t="s">
        <v>7</v>
      </c>
      <c r="EF452" s="27" t="s">
        <v>7</v>
      </c>
      <c r="EH452" s="27" t="s">
        <v>7</v>
      </c>
      <c r="EI452" s="27" t="s">
        <v>8</v>
      </c>
      <c r="EJ452" s="27" t="s">
        <v>7</v>
      </c>
      <c r="EO452" s="27" t="s">
        <v>8</v>
      </c>
      <c r="EP452" s="27" t="s">
        <v>7</v>
      </c>
      <c r="EQ452" s="27" t="s">
        <v>8</v>
      </c>
      <c r="FR452" s="27" t="s">
        <v>7</v>
      </c>
      <c r="GA452" s="27" t="s">
        <v>8</v>
      </c>
      <c r="GB452" s="27" t="s">
        <v>7</v>
      </c>
      <c r="GC452" s="27" t="s">
        <v>8</v>
      </c>
      <c r="GD452" s="27" t="s">
        <v>7</v>
      </c>
      <c r="GE452" s="27" t="s">
        <v>8</v>
      </c>
      <c r="GJ452" s="27" t="s">
        <v>7</v>
      </c>
      <c r="GK452" s="27" t="s">
        <v>8</v>
      </c>
    </row>
    <row r="453" spans="1:201" x14ac:dyDescent="0.25">
      <c r="A453" s="7">
        <v>14.204404004538707</v>
      </c>
      <c r="B453"/>
      <c r="C453"/>
      <c r="D453"/>
      <c r="E453"/>
      <c r="AY453" s="27" t="s">
        <v>8</v>
      </c>
      <c r="AZ453" s="27" t="s">
        <v>7</v>
      </c>
      <c r="BA453" s="27" t="s">
        <v>8</v>
      </c>
      <c r="BB453" s="27" t="s">
        <v>7</v>
      </c>
      <c r="BC453" s="27" t="s">
        <v>8</v>
      </c>
      <c r="BD453" s="27" t="s">
        <v>7</v>
      </c>
      <c r="BE453" s="27" t="s">
        <v>8</v>
      </c>
      <c r="EH453" s="27" t="s">
        <v>7</v>
      </c>
      <c r="EI453" s="27" t="s">
        <v>8</v>
      </c>
      <c r="EJ453" s="27" t="s">
        <v>7</v>
      </c>
      <c r="EM453" s="27" t="s">
        <v>8</v>
      </c>
      <c r="EO453" s="27" t="s">
        <v>8</v>
      </c>
      <c r="EP453" s="27" t="s">
        <v>7</v>
      </c>
      <c r="FR453" s="27" t="s">
        <v>7</v>
      </c>
      <c r="GA453" s="27" t="s">
        <v>8</v>
      </c>
      <c r="GB453" s="27" t="s">
        <v>7</v>
      </c>
      <c r="GC453" s="27" t="s">
        <v>8</v>
      </c>
      <c r="GD453" s="27" t="s">
        <v>7</v>
      </c>
      <c r="GJ453" s="27" t="s">
        <v>7</v>
      </c>
      <c r="GK453" s="27" t="s">
        <v>8</v>
      </c>
    </row>
    <row r="454" spans="1:201" x14ac:dyDescent="0.25">
      <c r="A454" s="7">
        <v>13.925886278959517</v>
      </c>
      <c r="B454"/>
      <c r="C454"/>
      <c r="D454"/>
      <c r="E454"/>
      <c r="AY454" s="27" t="s">
        <v>8</v>
      </c>
      <c r="AZ454" s="27" t="s">
        <v>7</v>
      </c>
      <c r="BA454" s="27" t="s">
        <v>8</v>
      </c>
      <c r="BB454" s="27" t="s">
        <v>7</v>
      </c>
      <c r="BD454" s="27" t="s">
        <v>7</v>
      </c>
      <c r="EH454" s="27" t="s">
        <v>7</v>
      </c>
      <c r="EJ454" s="27" t="s">
        <v>7</v>
      </c>
      <c r="EK454" s="27" t="s">
        <v>8</v>
      </c>
      <c r="EM454" s="27" t="s">
        <v>8</v>
      </c>
      <c r="EN454" s="27" t="s">
        <v>7</v>
      </c>
      <c r="EO454" s="27" t="s">
        <v>8</v>
      </c>
      <c r="FR454" s="27" t="s">
        <v>7</v>
      </c>
      <c r="GA454" s="27" t="s">
        <v>8</v>
      </c>
      <c r="GB454" s="27" t="s">
        <v>7</v>
      </c>
      <c r="GC454" s="27" t="s">
        <v>8</v>
      </c>
      <c r="GJ454" s="27" t="s">
        <v>7</v>
      </c>
    </row>
    <row r="455" spans="1:201" x14ac:dyDescent="0.25">
      <c r="A455" s="7">
        <v>13.652829685254428</v>
      </c>
      <c r="B455"/>
      <c r="C455"/>
      <c r="D455"/>
      <c r="E455"/>
      <c r="AY455" s="27" t="s">
        <v>8</v>
      </c>
      <c r="AZ455" s="27" t="s">
        <v>7</v>
      </c>
      <c r="EJ455" s="27" t="s">
        <v>7</v>
      </c>
      <c r="EK455" s="27" t="s">
        <v>8</v>
      </c>
      <c r="EL455" s="27" t="s">
        <v>7</v>
      </c>
      <c r="EM455" s="27" t="s">
        <v>8</v>
      </c>
      <c r="EN455" s="27" t="s">
        <v>7</v>
      </c>
      <c r="EO455" s="27" t="s">
        <v>8</v>
      </c>
      <c r="FR455" s="27" t="s">
        <v>7</v>
      </c>
      <c r="GA455" s="27" t="s">
        <v>8</v>
      </c>
      <c r="GB455" s="27" t="s">
        <v>7</v>
      </c>
    </row>
    <row r="456" spans="1:201" x14ac:dyDescent="0.25">
      <c r="A456" s="7">
        <v>13.385127142406303</v>
      </c>
      <c r="B456"/>
      <c r="C456"/>
      <c r="D456"/>
      <c r="E456"/>
      <c r="AY456" s="27" t="s">
        <v>8</v>
      </c>
      <c r="EJ456" s="27" t="s">
        <v>7</v>
      </c>
      <c r="EK456" s="27" t="s">
        <v>8</v>
      </c>
      <c r="EL456" s="27" t="s">
        <v>7</v>
      </c>
      <c r="EM456" s="27" t="s">
        <v>8</v>
      </c>
      <c r="EN456" s="27" t="s">
        <v>7</v>
      </c>
      <c r="EO456" s="27" t="s">
        <v>8</v>
      </c>
      <c r="FR456" s="27" t="s">
        <v>7</v>
      </c>
      <c r="FW456" s="27" t="s">
        <v>8</v>
      </c>
      <c r="GA456" s="27" t="s">
        <v>8</v>
      </c>
    </row>
    <row r="457" spans="1:201" x14ac:dyDescent="0.25">
      <c r="A457" s="7">
        <v>13.122673669025787</v>
      </c>
      <c r="B457"/>
      <c r="C457"/>
      <c r="D457"/>
      <c r="E457"/>
      <c r="AY457" s="27" t="s">
        <v>8</v>
      </c>
      <c r="EJ457" s="27" t="s">
        <v>7</v>
      </c>
      <c r="EK457" s="27" t="s">
        <v>8</v>
      </c>
      <c r="EL457" s="27" t="s">
        <v>7</v>
      </c>
      <c r="EM457" s="27" t="s">
        <v>8</v>
      </c>
      <c r="EN457" s="27" t="s">
        <v>7</v>
      </c>
      <c r="FR457" s="27" t="s">
        <v>7</v>
      </c>
      <c r="FW457" s="27" t="s">
        <v>8</v>
      </c>
      <c r="FX457" s="27" t="s">
        <v>7</v>
      </c>
      <c r="FY457" s="27" t="s">
        <v>8</v>
      </c>
      <c r="GA457" s="27" t="s">
        <v>8</v>
      </c>
    </row>
    <row r="458" spans="1:201" x14ac:dyDescent="0.25">
      <c r="A458" s="7">
        <v>12.865366342182144</v>
      </c>
      <c r="B458"/>
      <c r="C458"/>
      <c r="D458"/>
      <c r="E458"/>
      <c r="AY458" s="27" t="s">
        <v>8</v>
      </c>
      <c r="EJ458" s="27" t="s">
        <v>7</v>
      </c>
      <c r="EK458" s="27" t="s">
        <v>8</v>
      </c>
      <c r="EL458" s="27" t="s">
        <v>7</v>
      </c>
      <c r="FR458" s="27" t="s">
        <v>7</v>
      </c>
      <c r="FW458" s="27" t="s">
        <v>8</v>
      </c>
      <c r="FX458" s="27" t="s">
        <v>7</v>
      </c>
      <c r="FY458" s="27" t="s">
        <v>8</v>
      </c>
      <c r="FZ458" s="27" t="s">
        <v>7</v>
      </c>
      <c r="GA458" s="27" t="s">
        <v>8</v>
      </c>
    </row>
    <row r="459" spans="1:201" x14ac:dyDescent="0.25">
      <c r="A459" s="7">
        <v>12.613104257041318</v>
      </c>
      <c r="B459"/>
      <c r="C459"/>
      <c r="D459"/>
      <c r="E459"/>
      <c r="AY459" s="27" t="s">
        <v>8</v>
      </c>
      <c r="EJ459" s="27" t="s">
        <v>7</v>
      </c>
      <c r="EK459" s="27" t="s">
        <v>8</v>
      </c>
      <c r="FR459" s="27" t="s">
        <v>7</v>
      </c>
      <c r="FW459" s="27" t="s">
        <v>8</v>
      </c>
      <c r="FX459" s="27" t="s">
        <v>7</v>
      </c>
      <c r="FY459" s="27" t="s">
        <v>8</v>
      </c>
      <c r="FZ459" s="27" t="s">
        <v>7</v>
      </c>
      <c r="GA459" s="27" t="s">
        <v>8</v>
      </c>
    </row>
    <row r="460" spans="1:201" x14ac:dyDescent="0.25">
      <c r="A460" s="7">
        <v>12.36578848729541</v>
      </c>
      <c r="B460"/>
      <c r="C460"/>
      <c r="D460"/>
      <c r="E460"/>
      <c r="AY460" s="27" t="s">
        <v>8</v>
      </c>
      <c r="EJ460" s="27" t="s">
        <v>7</v>
      </c>
      <c r="EK460" s="27" t="s">
        <v>8</v>
      </c>
      <c r="FR460" s="27" t="s">
        <v>7</v>
      </c>
      <c r="FW460" s="27" t="s">
        <v>8</v>
      </c>
      <c r="FX460" s="27" t="s">
        <v>7</v>
      </c>
      <c r="FY460" s="27" t="s">
        <v>8</v>
      </c>
      <c r="FZ460" s="27" t="s">
        <v>7</v>
      </c>
      <c r="GA460" s="27" t="s">
        <v>8</v>
      </c>
    </row>
    <row r="461" spans="1:201" x14ac:dyDescent="0.25">
      <c r="A461" s="7">
        <v>12.123322046368049</v>
      </c>
      <c r="B461"/>
      <c r="C461"/>
      <c r="D461"/>
      <c r="E461"/>
      <c r="AY461" s="27" t="s">
        <v>8</v>
      </c>
      <c r="EJ461" s="27" t="s">
        <v>7</v>
      </c>
      <c r="FR461" s="27" t="s">
        <v>7</v>
      </c>
      <c r="FW461" s="27" t="s">
        <v>8</v>
      </c>
      <c r="FX461" s="27" t="s">
        <v>7</v>
      </c>
      <c r="FY461" s="27" t="s">
        <v>8</v>
      </c>
      <c r="FZ461" s="27" t="s">
        <v>7</v>
      </c>
      <c r="GA461" s="27" t="s">
        <v>8</v>
      </c>
    </row>
    <row r="462" spans="1:201" x14ac:dyDescent="0.25">
      <c r="A462" s="7">
        <v>11.88560984938044</v>
      </c>
      <c r="B462"/>
      <c r="C462"/>
      <c r="D462"/>
      <c r="E462"/>
      <c r="AY462" s="27" t="s">
        <v>8</v>
      </c>
      <c r="FR462" s="27" t="s">
        <v>7</v>
      </c>
      <c r="FW462" s="27" t="s">
        <v>8</v>
      </c>
      <c r="FX462" s="27" t="s">
        <v>7</v>
      </c>
      <c r="FY462" s="27" t="s">
        <v>8</v>
      </c>
      <c r="FZ462" s="27" t="s">
        <v>7</v>
      </c>
      <c r="GA462" s="27" t="s">
        <v>8</v>
      </c>
    </row>
    <row r="463" spans="1:201" x14ac:dyDescent="0.25">
      <c r="A463" s="7">
        <v>11.652558675863176</v>
      </c>
      <c r="B463"/>
      <c r="C463"/>
      <c r="D463"/>
      <c r="E463"/>
      <c r="AW463" s="27" t="s">
        <v>8</v>
      </c>
      <c r="AY463" s="27" t="s">
        <v>8</v>
      </c>
      <c r="FR463" s="27" t="s">
        <v>7</v>
      </c>
      <c r="FW463" s="27" t="s">
        <v>8</v>
      </c>
      <c r="FX463" s="27" t="s">
        <v>7</v>
      </c>
      <c r="FY463" s="27" t="s">
        <v>8</v>
      </c>
      <c r="FZ463" s="27" t="s">
        <v>7</v>
      </c>
      <c r="GA463" s="27" t="s">
        <v>8</v>
      </c>
    </row>
    <row r="464" spans="1:201" x14ac:dyDescent="0.25">
      <c r="A464" s="7">
        <v>11.424077133199193</v>
      </c>
      <c r="B464"/>
      <c r="C464"/>
      <c r="D464"/>
      <c r="E464"/>
      <c r="AW464" s="27" t="s">
        <v>8</v>
      </c>
      <c r="AX464" s="27" t="s">
        <v>7</v>
      </c>
      <c r="AY464" s="27" t="s">
        <v>8</v>
      </c>
      <c r="FR464" s="27" t="s">
        <v>7</v>
      </c>
      <c r="FW464" s="27" t="s">
        <v>8</v>
      </c>
      <c r="FX464" s="27" t="s">
        <v>7</v>
      </c>
      <c r="FY464" s="27" t="s">
        <v>8</v>
      </c>
      <c r="FZ464" s="27" t="s">
        <v>7</v>
      </c>
    </row>
    <row r="465" spans="1:181" x14ac:dyDescent="0.25">
      <c r="A465" s="7">
        <v>11.200075620783522</v>
      </c>
      <c r="B465"/>
      <c r="C465"/>
      <c r="D465"/>
      <c r="E465"/>
      <c r="AS465" s="27" t="s">
        <v>8</v>
      </c>
      <c r="AW465" s="27" t="s">
        <v>8</v>
      </c>
      <c r="AX465" s="27" t="s">
        <v>7</v>
      </c>
      <c r="AY465" s="27" t="s">
        <v>8</v>
      </c>
      <c r="FR465" s="27" t="s">
        <v>7</v>
      </c>
      <c r="FS465" s="27" t="s">
        <v>8</v>
      </c>
      <c r="FW465" s="27" t="s">
        <v>8</v>
      </c>
      <c r="FX465" s="27" t="s">
        <v>7</v>
      </c>
      <c r="FY465" s="27" t="s">
        <v>8</v>
      </c>
    </row>
    <row r="466" spans="1:181" x14ac:dyDescent="0.25">
      <c r="A466" s="7">
        <v>10.980466294885806</v>
      </c>
      <c r="B466"/>
      <c r="C466"/>
      <c r="D466"/>
      <c r="E466"/>
      <c r="AS466" s="27" t="s">
        <v>8</v>
      </c>
      <c r="AT466" s="27" t="s">
        <v>7</v>
      </c>
      <c r="AU466" s="27" t="s">
        <v>8</v>
      </c>
      <c r="AW466" s="27" t="s">
        <v>8</v>
      </c>
      <c r="AX466" s="27" t="s">
        <v>7</v>
      </c>
      <c r="FR466" s="27" t="s">
        <v>7</v>
      </c>
      <c r="FS466" s="27" t="s">
        <v>8</v>
      </c>
      <c r="FT466" s="27" t="s">
        <v>7</v>
      </c>
      <c r="FW466" s="27" t="s">
        <v>8</v>
      </c>
      <c r="FX466" s="27" t="s">
        <v>7</v>
      </c>
    </row>
    <row r="467" spans="1:181" x14ac:dyDescent="0.25">
      <c r="A467" s="7">
        <v>10.765163034201771</v>
      </c>
      <c r="B467"/>
      <c r="C467"/>
      <c r="D467"/>
      <c r="E467"/>
      <c r="AS467" s="27" t="s">
        <v>8</v>
      </c>
      <c r="AT467" s="27" t="s">
        <v>7</v>
      </c>
      <c r="AU467" s="27" t="s">
        <v>8</v>
      </c>
      <c r="AV467" s="27" t="s">
        <v>7</v>
      </c>
      <c r="AW467" s="27" t="s">
        <v>8</v>
      </c>
      <c r="FR467" s="27" t="s">
        <v>7</v>
      </c>
      <c r="FS467" s="27" t="s">
        <v>8</v>
      </c>
      <c r="FT467" s="27" t="s">
        <v>7</v>
      </c>
      <c r="FW467" s="27" t="s">
        <v>8</v>
      </c>
    </row>
    <row r="468" spans="1:181" x14ac:dyDescent="0.25">
      <c r="A468" s="7">
        <v>10.554081406080169</v>
      </c>
      <c r="B468"/>
      <c r="C468"/>
      <c r="D468"/>
      <c r="E468"/>
      <c r="AS468" s="27" t="s">
        <v>8</v>
      </c>
      <c r="AT468" s="27" t="s">
        <v>7</v>
      </c>
      <c r="AU468" s="27" t="s">
        <v>8</v>
      </c>
      <c r="AV468" s="27" t="s">
        <v>7</v>
      </c>
      <c r="AW468" s="27" t="s">
        <v>8</v>
      </c>
      <c r="FR468" s="27" t="s">
        <v>7</v>
      </c>
      <c r="FS468" s="27" t="s">
        <v>8</v>
      </c>
      <c r="FT468" s="27" t="s">
        <v>7</v>
      </c>
      <c r="FW468" s="27" t="s">
        <v>8</v>
      </c>
    </row>
    <row r="469" spans="1:181" x14ac:dyDescent="0.25">
      <c r="A469" s="7">
        <v>10.34713863341193</v>
      </c>
      <c r="B469"/>
      <c r="C469"/>
      <c r="D469"/>
      <c r="E469"/>
      <c r="AS469" s="27" t="s">
        <v>8</v>
      </c>
      <c r="AT469" s="27" t="s">
        <v>7</v>
      </c>
      <c r="AU469" s="27" t="s">
        <v>8</v>
      </c>
      <c r="AV469" s="27" t="s">
        <v>7</v>
      </c>
      <c r="AW469" s="27" t="s">
        <v>8</v>
      </c>
      <c r="FR469" s="27" t="s">
        <v>7</v>
      </c>
      <c r="FS469" s="27" t="s">
        <v>8</v>
      </c>
      <c r="FT469" s="27" t="s">
        <v>7</v>
      </c>
      <c r="FU469" s="27" t="s">
        <v>8</v>
      </c>
      <c r="FW469" s="27" t="s">
        <v>8</v>
      </c>
    </row>
    <row r="470" spans="1:181" x14ac:dyDescent="0.25">
      <c r="A470" s="7">
        <v>10.14425356216856</v>
      </c>
      <c r="B470"/>
      <c r="C470"/>
      <c r="D470"/>
      <c r="E470"/>
      <c r="AS470" s="27" t="s">
        <v>8</v>
      </c>
      <c r="AT470" s="27" t="s">
        <v>7</v>
      </c>
      <c r="AV470" s="27" t="s">
        <v>7</v>
      </c>
      <c r="AW470" s="27" t="s">
        <v>8</v>
      </c>
      <c r="FR470" s="27" t="s">
        <v>7</v>
      </c>
      <c r="FS470" s="27" t="s">
        <v>8</v>
      </c>
      <c r="FT470" s="27" t="s">
        <v>7</v>
      </c>
      <c r="FU470" s="27" t="s">
        <v>8</v>
      </c>
      <c r="FV470" s="27" t="s">
        <v>7</v>
      </c>
      <c r="FW470" s="27" t="s">
        <v>8</v>
      </c>
    </row>
    <row r="471" spans="1:181" x14ac:dyDescent="0.25">
      <c r="A471" s="7">
        <v>9.9453466295770188</v>
      </c>
      <c r="B471"/>
      <c r="C471"/>
      <c r="D471"/>
      <c r="E471" t="s">
        <v>8</v>
      </c>
      <c r="AS471" s="27" t="s">
        <v>8</v>
      </c>
      <c r="AV471" s="27" t="s">
        <v>7</v>
      </c>
      <c r="AW471" s="27" t="s">
        <v>8</v>
      </c>
      <c r="FR471" s="27" t="s">
        <v>7</v>
      </c>
      <c r="FS471" s="27" t="s">
        <v>8</v>
      </c>
      <c r="FT471" s="27" t="s">
        <v>7</v>
      </c>
      <c r="FU471" s="27" t="s">
        <v>8</v>
      </c>
      <c r="FV471" s="27" t="s">
        <v>7</v>
      </c>
      <c r="FW471" s="27" t="s">
        <v>8</v>
      </c>
    </row>
    <row r="472" spans="1:181" x14ac:dyDescent="0.25">
      <c r="A472" s="7">
        <v>9.7503398329186464</v>
      </c>
      <c r="B472"/>
      <c r="C472"/>
      <c r="D472"/>
      <c r="E472" t="s">
        <v>8</v>
      </c>
      <c r="F472" s="27" t="s">
        <v>7</v>
      </c>
      <c r="AQ472" s="27" t="s">
        <v>8</v>
      </c>
      <c r="AS472" s="27" t="s">
        <v>8</v>
      </c>
      <c r="AV472" s="27" t="s">
        <v>7</v>
      </c>
      <c r="AW472" s="27" t="s">
        <v>8</v>
      </c>
      <c r="FR472" s="27" t="s">
        <v>7</v>
      </c>
      <c r="FS472" s="27" t="s">
        <v>8</v>
      </c>
      <c r="FT472" s="27" t="s">
        <v>7</v>
      </c>
      <c r="FU472" s="27" t="s">
        <v>8</v>
      </c>
      <c r="FV472" s="27" t="s">
        <v>7</v>
      </c>
    </row>
    <row r="473" spans="1:181" x14ac:dyDescent="0.25">
      <c r="A473" s="7">
        <v>9.5591566989398498</v>
      </c>
      <c r="B473"/>
      <c r="C473"/>
      <c r="D473"/>
      <c r="E473" t="s">
        <v>8</v>
      </c>
      <c r="F473" s="27" t="s">
        <v>7</v>
      </c>
      <c r="AQ473" s="27" t="s">
        <v>8</v>
      </c>
      <c r="AR473" s="27" t="s">
        <v>7</v>
      </c>
      <c r="AS473" s="27" t="s">
        <v>8</v>
      </c>
      <c r="AV473" s="27" t="s">
        <v>7</v>
      </c>
      <c r="AW473" s="27" t="s">
        <v>8</v>
      </c>
      <c r="FR473" s="27" t="s">
        <v>7</v>
      </c>
      <c r="FS473" s="27" t="s">
        <v>8</v>
      </c>
      <c r="FT473" s="27" t="s">
        <v>7</v>
      </c>
      <c r="FU473" s="27" t="s">
        <v>8</v>
      </c>
    </row>
    <row r="474" spans="1:181" x14ac:dyDescent="0.25">
      <c r="A474" s="7">
        <v>9.3717222538625968</v>
      </c>
      <c r="B474"/>
      <c r="C474"/>
      <c r="D474"/>
      <c r="E474" t="s">
        <v>8</v>
      </c>
      <c r="F474" s="27" t="s">
        <v>7</v>
      </c>
      <c r="AQ474" s="27" t="s">
        <v>8</v>
      </c>
      <c r="AR474" s="27" t="s">
        <v>7</v>
      </c>
      <c r="AS474" s="27" t="s">
        <v>8</v>
      </c>
      <c r="AV474" s="27" t="s">
        <v>7</v>
      </c>
      <c r="FR474" s="27" t="s">
        <v>7</v>
      </c>
      <c r="FS474" s="27" t="s">
        <v>8</v>
      </c>
      <c r="FT474" s="27" t="s">
        <v>7</v>
      </c>
      <c r="FU474" s="27" t="s">
        <v>8</v>
      </c>
    </row>
    <row r="475" spans="1:181" x14ac:dyDescent="0.25">
      <c r="A475" s="7">
        <v>9.1879629939829375</v>
      </c>
      <c r="B475"/>
      <c r="C475"/>
      <c r="D475"/>
      <c r="E475" t="s">
        <v>8</v>
      </c>
      <c r="F475" s="27" t="s">
        <v>7</v>
      </c>
      <c r="AQ475" s="27" t="s">
        <v>8</v>
      </c>
      <c r="AR475" s="27" t="s">
        <v>7</v>
      </c>
      <c r="AS475" s="27" t="s">
        <v>8</v>
      </c>
      <c r="FR475" s="27" t="s">
        <v>7</v>
      </c>
      <c r="FS475" s="27" t="s">
        <v>8</v>
      </c>
      <c r="FT475" s="27" t="s">
        <v>7</v>
      </c>
      <c r="FU475" s="27" t="s">
        <v>8</v>
      </c>
    </row>
    <row r="476" spans="1:181" x14ac:dyDescent="0.25">
      <c r="A476" s="7">
        <v>9.0078068568460168</v>
      </c>
      <c r="B476"/>
      <c r="C476"/>
      <c r="D476"/>
      <c r="E476" t="s">
        <v>8</v>
      </c>
      <c r="F476" s="27" t="s">
        <v>7</v>
      </c>
      <c r="AQ476" s="27" t="s">
        <v>8</v>
      </c>
      <c r="AR476" s="27" t="s">
        <v>7</v>
      </c>
      <c r="AS476" s="27" t="s">
        <v>8</v>
      </c>
      <c r="FR476" s="27" t="s">
        <v>7</v>
      </c>
      <c r="FS476" s="27" t="s">
        <v>8</v>
      </c>
      <c r="FT476" s="27" t="s">
        <v>7</v>
      </c>
      <c r="FU476" s="27" t="s">
        <v>8</v>
      </c>
    </row>
    <row r="477" spans="1:181" x14ac:dyDescent="0.25">
      <c r="A477" s="7">
        <v>8.8311831929862912</v>
      </c>
      <c r="B477"/>
      <c r="C477"/>
      <c r="D477"/>
      <c r="E477" t="s">
        <v>8</v>
      </c>
      <c r="F477" s="27" t="s">
        <v>7</v>
      </c>
      <c r="AQ477" s="27" t="s">
        <v>8</v>
      </c>
      <c r="AR477" s="27" t="s">
        <v>7</v>
      </c>
      <c r="AS477" s="27" t="s">
        <v>8</v>
      </c>
      <c r="FR477" s="27" t="s">
        <v>7</v>
      </c>
      <c r="FS477" s="27" t="s">
        <v>8</v>
      </c>
      <c r="FT477" s="27" t="s">
        <v>7</v>
      </c>
      <c r="FU477" s="27" t="s">
        <v>8</v>
      </c>
    </row>
    <row r="478" spans="1:181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AQ478" s="27" t="s">
        <v>8</v>
      </c>
      <c r="AR478" s="27" t="s">
        <v>7</v>
      </c>
      <c r="AS478" s="27" t="s">
        <v>8</v>
      </c>
      <c r="FR478" s="27" t="s">
        <v>7</v>
      </c>
      <c r="FS478" s="27" t="s">
        <v>8</v>
      </c>
      <c r="FT478" s="27" t="s">
        <v>7</v>
      </c>
      <c r="FU478" s="27" t="s">
        <v>8</v>
      </c>
    </row>
    <row r="479" spans="1:181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AQ479" s="27" t="s">
        <v>8</v>
      </c>
      <c r="AR479" s="27" t="s">
        <v>7</v>
      </c>
      <c r="FR479" s="27" t="s">
        <v>7</v>
      </c>
      <c r="FS479" s="27" t="s">
        <v>8</v>
      </c>
      <c r="FT479" s="27" t="s">
        <v>7</v>
      </c>
    </row>
    <row r="480" spans="1:181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G480" s="27" t="s">
        <v>8</v>
      </c>
      <c r="AO480" s="27" t="s">
        <v>8</v>
      </c>
      <c r="AQ480" s="27" t="s">
        <v>8</v>
      </c>
      <c r="FR480" s="27" t="s">
        <v>7</v>
      </c>
      <c r="FS480" s="27" t="s">
        <v>8</v>
      </c>
    </row>
    <row r="481" spans="1:175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G481" s="27" t="s">
        <v>8</v>
      </c>
      <c r="H481" s="27" t="s">
        <v>7</v>
      </c>
      <c r="I481" s="27" t="s">
        <v>8</v>
      </c>
      <c r="AO481" s="27" t="s">
        <v>8</v>
      </c>
      <c r="AP481" s="27" t="s">
        <v>7</v>
      </c>
      <c r="AQ481" s="27" t="s">
        <v>8</v>
      </c>
      <c r="FR481" s="27" t="s">
        <v>7</v>
      </c>
      <c r="FS481" s="27" t="s">
        <v>8</v>
      </c>
    </row>
    <row r="482" spans="1:175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G482" s="27" t="s">
        <v>8</v>
      </c>
      <c r="H482" s="27" t="s">
        <v>7</v>
      </c>
      <c r="I482" s="27" t="s">
        <v>8</v>
      </c>
      <c r="J482" s="27" t="s">
        <v>7</v>
      </c>
      <c r="AO482" s="27" t="s">
        <v>8</v>
      </c>
      <c r="AP482" s="27" t="s">
        <v>7</v>
      </c>
      <c r="AQ482" s="27" t="s">
        <v>8</v>
      </c>
      <c r="FR482" s="27" t="s">
        <v>7</v>
      </c>
      <c r="FS482" s="27" t="s">
        <v>8</v>
      </c>
    </row>
    <row r="483" spans="1:175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H483" s="27" t="s">
        <v>7</v>
      </c>
      <c r="I483" s="27" t="s">
        <v>8</v>
      </c>
      <c r="J483" s="27" t="s">
        <v>7</v>
      </c>
      <c r="AO483" s="27" t="s">
        <v>8</v>
      </c>
      <c r="AP483" s="27" t="s">
        <v>7</v>
      </c>
      <c r="AQ483" s="27" t="s">
        <v>8</v>
      </c>
      <c r="FR483" s="27" t="s">
        <v>7</v>
      </c>
      <c r="FS483" s="27" t="s">
        <v>8</v>
      </c>
    </row>
    <row r="484" spans="1:175" x14ac:dyDescent="0.25">
      <c r="A484" s="7">
        <v>7.688076417858337</v>
      </c>
      <c r="B484"/>
      <c r="C484"/>
      <c r="D484"/>
      <c r="E484" t="s">
        <v>8</v>
      </c>
      <c r="H484" s="27" t="s">
        <v>7</v>
      </c>
      <c r="J484" s="27" t="s">
        <v>7</v>
      </c>
      <c r="AO484" s="27" t="s">
        <v>8</v>
      </c>
      <c r="AP484" s="27" t="s">
        <v>7</v>
      </c>
      <c r="FR484" s="27" t="s">
        <v>7</v>
      </c>
      <c r="FS484" s="27" t="s">
        <v>8</v>
      </c>
    </row>
    <row r="485" spans="1:175" x14ac:dyDescent="0.25">
      <c r="A485" s="7">
        <v>7.5373298214297417</v>
      </c>
      <c r="B485"/>
      <c r="C485"/>
      <c r="D485"/>
      <c r="E485" t="s">
        <v>8</v>
      </c>
      <c r="J485" s="27" t="s">
        <v>7</v>
      </c>
      <c r="AO485" s="27" t="s">
        <v>8</v>
      </c>
      <c r="FR485" s="27" t="s">
        <v>7</v>
      </c>
      <c r="FS485" s="27" t="s">
        <v>8</v>
      </c>
    </row>
    <row r="486" spans="1:175" x14ac:dyDescent="0.25">
      <c r="A486" s="7">
        <v>7.389539040617394</v>
      </c>
      <c r="B486"/>
      <c r="C486"/>
      <c r="D486"/>
      <c r="E486" t="s">
        <v>8</v>
      </c>
      <c r="J486" s="27" t="s">
        <v>7</v>
      </c>
      <c r="AO486" s="27" t="s">
        <v>8</v>
      </c>
      <c r="FR486" s="27" t="s">
        <v>7</v>
      </c>
      <c r="FS486" s="27" t="s">
        <v>8</v>
      </c>
    </row>
    <row r="487" spans="1:175" x14ac:dyDescent="0.25">
      <c r="A487" s="7">
        <v>7.2446461182523469</v>
      </c>
      <c r="B487"/>
      <c r="C487"/>
      <c r="D487"/>
      <c r="E487" t="s">
        <v>8</v>
      </c>
      <c r="J487" s="27" t="s">
        <v>7</v>
      </c>
      <c r="AO487" s="27" t="s">
        <v>8</v>
      </c>
      <c r="FR487" s="27" t="s">
        <v>7</v>
      </c>
      <c r="FS487" s="27" t="s">
        <v>8</v>
      </c>
    </row>
    <row r="488" spans="1:175" x14ac:dyDescent="0.25">
      <c r="A488" s="7">
        <v>7.1025942335807324</v>
      </c>
      <c r="B488"/>
      <c r="C488"/>
      <c r="D488"/>
      <c r="E488" t="s">
        <v>8</v>
      </c>
      <c r="J488" s="27" t="s">
        <v>7</v>
      </c>
      <c r="AM488" s="27" t="s">
        <v>8</v>
      </c>
      <c r="AO488" s="27" t="s">
        <v>8</v>
      </c>
      <c r="FR488" s="27" t="s">
        <v>7</v>
      </c>
      <c r="FS488" s="27" t="s">
        <v>8</v>
      </c>
    </row>
    <row r="489" spans="1:175" x14ac:dyDescent="0.25">
      <c r="A489" s="7">
        <v>6.9633276799811101</v>
      </c>
      <c r="B489"/>
      <c r="C489"/>
      <c r="D489"/>
      <c r="E489" t="s">
        <v>8</v>
      </c>
      <c r="J489" s="27" t="s">
        <v>7</v>
      </c>
      <c r="AM489" s="27" t="s">
        <v>8</v>
      </c>
      <c r="AN489" s="27" t="s">
        <v>7</v>
      </c>
      <c r="AO489" s="27" t="s">
        <v>8</v>
      </c>
      <c r="FR489" s="27" t="s">
        <v>7</v>
      </c>
      <c r="FS489" s="27" t="s">
        <v>8</v>
      </c>
    </row>
    <row r="490" spans="1:175" x14ac:dyDescent="0.25">
      <c r="A490" s="7">
        <v>6.8267918431187349</v>
      </c>
      <c r="B490"/>
      <c r="C490"/>
      <c r="D490"/>
      <c r="E490" t="s">
        <v>8</v>
      </c>
      <c r="J490" s="27" t="s">
        <v>7</v>
      </c>
      <c r="AG490" s="27" t="s">
        <v>8</v>
      </c>
      <c r="AM490" s="27" t="s">
        <v>8</v>
      </c>
      <c r="AN490" s="27" t="s">
        <v>7</v>
      </c>
      <c r="AO490" s="27" t="s">
        <v>8</v>
      </c>
      <c r="FR490" s="27" t="s">
        <v>7</v>
      </c>
      <c r="FS490" s="27" t="s">
        <v>8</v>
      </c>
    </row>
    <row r="491" spans="1:175" x14ac:dyDescent="0.25">
      <c r="A491" s="7">
        <v>6.692933179528171</v>
      </c>
      <c r="B491"/>
      <c r="C491"/>
      <c r="D491"/>
      <c r="E491" t="s">
        <v>8</v>
      </c>
      <c r="J491" s="27" t="s">
        <v>7</v>
      </c>
      <c r="AG491" s="27" t="s">
        <v>8</v>
      </c>
      <c r="AH491" s="27" t="s">
        <v>7</v>
      </c>
      <c r="AM491" s="27" t="s">
        <v>8</v>
      </c>
      <c r="AN491" s="27" t="s">
        <v>7</v>
      </c>
      <c r="AO491" s="27" t="s">
        <v>8</v>
      </c>
      <c r="FR491" s="27" t="s">
        <v>7</v>
      </c>
      <c r="FS491" s="27" t="s">
        <v>8</v>
      </c>
    </row>
    <row r="492" spans="1:175" x14ac:dyDescent="0.25">
      <c r="A492" s="7">
        <v>6.5616991956158541</v>
      </c>
      <c r="B492"/>
      <c r="C492"/>
      <c r="D492"/>
      <c r="E492" t="s">
        <v>8</v>
      </c>
      <c r="J492" s="27" t="s">
        <v>7</v>
      </c>
      <c r="S492" s="27" t="s">
        <v>8</v>
      </c>
      <c r="AG492" s="27" t="s">
        <v>8</v>
      </c>
      <c r="AH492" s="27" t="s">
        <v>7</v>
      </c>
      <c r="AM492" s="27" t="s">
        <v>8</v>
      </c>
      <c r="AN492" s="27" t="s">
        <v>7</v>
      </c>
      <c r="AO492" s="27" t="s">
        <v>8</v>
      </c>
      <c r="FR492" s="27" t="s">
        <v>7</v>
      </c>
      <c r="FS492" s="27" t="s">
        <v>8</v>
      </c>
    </row>
    <row r="493" spans="1:175" x14ac:dyDescent="0.25">
      <c r="A493" s="7">
        <v>6.4330384270743668</v>
      </c>
      <c r="B493"/>
      <c r="C493"/>
      <c r="D493"/>
      <c r="E493" t="s">
        <v>8</v>
      </c>
      <c r="J493" s="27" t="s">
        <v>7</v>
      </c>
      <c r="S493" s="27" t="s">
        <v>8</v>
      </c>
      <c r="T493" s="27" t="s">
        <v>7</v>
      </c>
      <c r="AA493" s="27" t="s">
        <v>8</v>
      </c>
      <c r="AG493" s="27" t="s">
        <v>8</v>
      </c>
      <c r="AH493" s="27" t="s">
        <v>7</v>
      </c>
      <c r="AM493" s="27" t="s">
        <v>8</v>
      </c>
      <c r="AN493" s="27" t="s">
        <v>7</v>
      </c>
      <c r="AO493" s="27" t="s">
        <v>8</v>
      </c>
      <c r="FR493" s="27" t="s">
        <v>7</v>
      </c>
    </row>
    <row r="494" spans="1:175" x14ac:dyDescent="0.25">
      <c r="A494" s="7">
        <v>6.3069004187003594</v>
      </c>
      <c r="B494"/>
      <c r="C494"/>
      <c r="D494"/>
      <c r="E494" t="s">
        <v>8</v>
      </c>
      <c r="J494" s="27" t="s">
        <v>7</v>
      </c>
      <c r="K494" s="27" t="s">
        <v>8</v>
      </c>
      <c r="S494" s="27" t="s">
        <v>8</v>
      </c>
      <c r="T494" s="27" t="s">
        <v>7</v>
      </c>
      <c r="AA494" s="27" t="s">
        <v>8</v>
      </c>
      <c r="AB494" s="27" t="s">
        <v>7</v>
      </c>
      <c r="AG494" s="27" t="s">
        <v>8</v>
      </c>
      <c r="AH494" s="27" t="s">
        <v>7</v>
      </c>
      <c r="AM494" s="27" t="s">
        <v>8</v>
      </c>
      <c r="AN494" s="27" t="s">
        <v>7</v>
      </c>
      <c r="AO494" s="27" t="s">
        <v>8</v>
      </c>
    </row>
    <row r="495" spans="1:175" x14ac:dyDescent="0.25">
      <c r="A495" s="7">
        <v>6.1832357046081956</v>
      </c>
      <c r="B495"/>
      <c r="C495"/>
      <c r="D495"/>
      <c r="E495" t="s">
        <v>8</v>
      </c>
      <c r="J495" s="27" t="s">
        <v>7</v>
      </c>
      <c r="K495" s="27" t="s">
        <v>8</v>
      </c>
      <c r="L495" s="27" t="s">
        <v>7</v>
      </c>
      <c r="S495" s="27" t="s">
        <v>8</v>
      </c>
      <c r="T495" s="27" t="s">
        <v>7</v>
      </c>
      <c r="AA495" s="27" t="s">
        <v>8</v>
      </c>
      <c r="AB495" s="27" t="s">
        <v>7</v>
      </c>
      <c r="AE495" s="27" t="s">
        <v>8</v>
      </c>
      <c r="AG495" s="27" t="s">
        <v>8</v>
      </c>
      <c r="AH495" s="27" t="s">
        <v>7</v>
      </c>
      <c r="AM495" s="27" t="s">
        <v>8</v>
      </c>
      <c r="AN495" s="27" t="s">
        <v>7</v>
      </c>
      <c r="AO495" s="27" t="s">
        <v>8</v>
      </c>
    </row>
    <row r="496" spans="1:175" x14ac:dyDescent="0.25">
      <c r="A496" s="7">
        <v>6.0619957888315641</v>
      </c>
      <c r="B496"/>
      <c r="C496"/>
      <c r="D496"/>
      <c r="E496" t="s">
        <v>8</v>
      </c>
      <c r="J496" s="27" t="s">
        <v>7</v>
      </c>
      <c r="K496" s="27" t="s">
        <v>8</v>
      </c>
      <c r="L496" s="27" t="s">
        <v>7</v>
      </c>
      <c r="S496" s="27" t="s">
        <v>8</v>
      </c>
      <c r="T496" s="27" t="s">
        <v>7</v>
      </c>
      <c r="AA496" s="27" t="s">
        <v>8</v>
      </c>
      <c r="AB496" s="27" t="s">
        <v>7</v>
      </c>
      <c r="AE496" s="27" t="s">
        <v>8</v>
      </c>
      <c r="AF496" s="27" t="s">
        <v>7</v>
      </c>
      <c r="AG496" s="27" t="s">
        <v>8</v>
      </c>
      <c r="AH496" s="27" t="s">
        <v>7</v>
      </c>
      <c r="AI496" s="27" t="s">
        <v>8</v>
      </c>
      <c r="AK496" s="27" t="s">
        <v>8</v>
      </c>
      <c r="AM496" s="27" t="s">
        <v>8</v>
      </c>
      <c r="AN496" s="27" t="s">
        <v>7</v>
      </c>
      <c r="AO496" s="27" t="s">
        <v>8</v>
      </c>
    </row>
    <row r="497" spans="1:40" x14ac:dyDescent="0.25">
      <c r="A497" s="7">
        <v>5.9431331263054545</v>
      </c>
      <c r="B497"/>
      <c r="C497"/>
      <c r="D497"/>
      <c r="E497" t="s">
        <v>8</v>
      </c>
      <c r="J497" s="27" t="s">
        <v>7</v>
      </c>
      <c r="K497" s="27" t="s">
        <v>8</v>
      </c>
      <c r="L497" s="27" t="s">
        <v>7</v>
      </c>
      <c r="S497" s="27" t="s">
        <v>8</v>
      </c>
      <c r="T497" s="27" t="s">
        <v>7</v>
      </c>
      <c r="AA497" s="27" t="s">
        <v>8</v>
      </c>
      <c r="AB497" s="27" t="s">
        <v>7</v>
      </c>
      <c r="AC497" s="27" t="s">
        <v>8</v>
      </c>
      <c r="AE497" s="27" t="s">
        <v>8</v>
      </c>
      <c r="AF497" s="27" t="s">
        <v>7</v>
      </c>
      <c r="AG497" s="27" t="s">
        <v>8</v>
      </c>
      <c r="AH497" s="27" t="s">
        <v>7</v>
      </c>
      <c r="AI497" s="27" t="s">
        <v>8</v>
      </c>
      <c r="AJ497" s="27" t="s">
        <v>7</v>
      </c>
      <c r="AK497" s="27" t="s">
        <v>8</v>
      </c>
      <c r="AL497" s="27" t="s">
        <v>7</v>
      </c>
      <c r="AM497" s="27" t="s">
        <v>8</v>
      </c>
      <c r="AN497" s="27" t="s">
        <v>7</v>
      </c>
    </row>
    <row r="498" spans="1:40" x14ac:dyDescent="0.25">
      <c r="A498" s="7">
        <v>5.8266011042210337</v>
      </c>
      <c r="B498"/>
      <c r="C498"/>
      <c r="D498"/>
      <c r="E498" t="s">
        <v>8</v>
      </c>
      <c r="J498" s="27" t="s">
        <v>7</v>
      </c>
      <c r="K498" s="27" t="s">
        <v>8</v>
      </c>
      <c r="L498" s="27" t="s">
        <v>7</v>
      </c>
      <c r="S498" s="27" t="s">
        <v>8</v>
      </c>
      <c r="T498" s="27" t="s">
        <v>7</v>
      </c>
      <c r="Y498" s="27" t="s">
        <v>8</v>
      </c>
      <c r="AA498" s="27" t="s">
        <v>8</v>
      </c>
      <c r="AB498" s="27" t="s">
        <v>7</v>
      </c>
      <c r="AC498" s="27" t="s">
        <v>8</v>
      </c>
      <c r="AD498" s="27" t="s">
        <v>7</v>
      </c>
      <c r="AE498" s="27" t="s">
        <v>8</v>
      </c>
      <c r="AF498" s="27" t="s">
        <v>7</v>
      </c>
      <c r="AH498" s="27" t="s">
        <v>7</v>
      </c>
      <c r="AI498" s="27" t="s">
        <v>8</v>
      </c>
      <c r="AJ498" s="27" t="s">
        <v>7</v>
      </c>
      <c r="AK498" s="27" t="s">
        <v>8</v>
      </c>
      <c r="AL498" s="27" t="s">
        <v>7</v>
      </c>
      <c r="AM498" s="27" t="s">
        <v>8</v>
      </c>
    </row>
    <row r="499" spans="1:40" x14ac:dyDescent="0.25">
      <c r="A499" s="7">
        <v>5.7123540237461112</v>
      </c>
      <c r="B499"/>
      <c r="C499"/>
      <c r="D499"/>
      <c r="E499" t="s">
        <v>8</v>
      </c>
      <c r="J499" s="27" t="s">
        <v>7</v>
      </c>
      <c r="L499" s="27" t="s">
        <v>7</v>
      </c>
      <c r="S499" s="27" t="s">
        <v>8</v>
      </c>
      <c r="T499" s="27" t="s">
        <v>7</v>
      </c>
      <c r="Y499" s="27" t="s">
        <v>8</v>
      </c>
      <c r="Z499" s="27" t="s">
        <v>7</v>
      </c>
      <c r="AA499" s="27" t="s">
        <v>8</v>
      </c>
      <c r="AB499" s="27" t="s">
        <v>7</v>
      </c>
      <c r="AC499" s="27" t="s">
        <v>8</v>
      </c>
      <c r="AD499" s="27" t="s">
        <v>7</v>
      </c>
      <c r="AE499" s="27" t="s">
        <v>8</v>
      </c>
      <c r="AH499" s="27" t="s">
        <v>7</v>
      </c>
      <c r="AJ499" s="27" t="s">
        <v>7</v>
      </c>
      <c r="AK499" s="27" t="s">
        <v>8</v>
      </c>
      <c r="AL499" s="27" t="s">
        <v>7</v>
      </c>
    </row>
    <row r="500" spans="1:40" x14ac:dyDescent="0.25">
      <c r="A500" s="7">
        <v>5.6003470821040304</v>
      </c>
      <c r="B500"/>
      <c r="C500"/>
      <c r="D500"/>
      <c r="E500" t="s">
        <v>8</v>
      </c>
      <c r="L500" s="27" t="s">
        <v>7</v>
      </c>
      <c r="O500" s="27" t="s">
        <v>8</v>
      </c>
      <c r="S500" s="27" t="s">
        <v>8</v>
      </c>
      <c r="T500" s="27" t="s">
        <v>7</v>
      </c>
      <c r="Y500" s="27" t="s">
        <v>8</v>
      </c>
      <c r="Z500" s="27" t="s">
        <v>7</v>
      </c>
      <c r="AA500" s="27" t="s">
        <v>8</v>
      </c>
      <c r="AB500" s="27" t="s">
        <v>7</v>
      </c>
      <c r="AC500" s="27" t="s">
        <v>8</v>
      </c>
      <c r="AD500" s="27" t="s">
        <v>7</v>
      </c>
      <c r="AJ500" s="27" t="s">
        <v>7</v>
      </c>
      <c r="AK500" s="27" t="s">
        <v>8</v>
      </c>
    </row>
    <row r="501" spans="1:40" x14ac:dyDescent="0.25">
      <c r="A501" s="7">
        <v>5.4905363550039512</v>
      </c>
      <c r="B501"/>
      <c r="C501"/>
      <c r="D501"/>
      <c r="E501" t="s">
        <v>8</v>
      </c>
      <c r="L501" s="27" t="s">
        <v>7</v>
      </c>
      <c r="O501" s="27" t="s">
        <v>8</v>
      </c>
      <c r="P501" s="27" t="s">
        <v>7</v>
      </c>
      <c r="S501" s="27" t="s">
        <v>8</v>
      </c>
      <c r="T501" s="27" t="s">
        <v>7</v>
      </c>
      <c r="Y501" s="27" t="s">
        <v>8</v>
      </c>
      <c r="Z501" s="27" t="s">
        <v>7</v>
      </c>
      <c r="AA501" s="27" t="s">
        <v>8</v>
      </c>
      <c r="AB501" s="27" t="s">
        <v>7</v>
      </c>
      <c r="AC501" s="27" t="s">
        <v>8</v>
      </c>
      <c r="AJ501" s="27" t="s">
        <v>7</v>
      </c>
      <c r="AK501" s="27" t="s">
        <v>8</v>
      </c>
    </row>
    <row r="502" spans="1:40" x14ac:dyDescent="0.25">
      <c r="A502" s="7">
        <v>5.3828787794156385</v>
      </c>
      <c r="B502"/>
      <c r="C502"/>
      <c r="D502"/>
      <c r="E502" t="s">
        <v>8</v>
      </c>
      <c r="L502" s="27" t="s">
        <v>7</v>
      </c>
      <c r="M502" s="27" t="s">
        <v>8</v>
      </c>
      <c r="O502" s="27" t="s">
        <v>8</v>
      </c>
      <c r="P502" s="27" t="s">
        <v>7</v>
      </c>
      <c r="Q502" s="27" t="s">
        <v>8</v>
      </c>
      <c r="S502" s="27" t="s">
        <v>8</v>
      </c>
      <c r="T502" s="27" t="s">
        <v>7</v>
      </c>
      <c r="Y502" s="27" t="s">
        <v>8</v>
      </c>
      <c r="Z502" s="27" t="s">
        <v>7</v>
      </c>
      <c r="AA502" s="27" t="s">
        <v>8</v>
      </c>
      <c r="AB502" s="27" t="s">
        <v>7</v>
      </c>
      <c r="AC502" s="27" t="s">
        <v>8</v>
      </c>
      <c r="AJ502" s="27" t="s">
        <v>7</v>
      </c>
    </row>
    <row r="503" spans="1:40" x14ac:dyDescent="0.25">
      <c r="A503" s="7">
        <v>5.2773321366819985</v>
      </c>
      <c r="B503"/>
      <c r="C503"/>
      <c r="D503"/>
      <c r="E503" t="s">
        <v>8</v>
      </c>
      <c r="L503" s="27" t="s">
        <v>7</v>
      </c>
      <c r="M503" s="27" t="s">
        <v>8</v>
      </c>
      <c r="N503" s="27" t="s">
        <v>7</v>
      </c>
      <c r="O503" s="27" t="s">
        <v>8</v>
      </c>
      <c r="P503" s="27" t="s">
        <v>7</v>
      </c>
      <c r="Q503" s="27" t="s">
        <v>8</v>
      </c>
      <c r="R503" s="27" t="s">
        <v>7</v>
      </c>
      <c r="S503" s="27" t="s">
        <v>8</v>
      </c>
      <c r="T503" s="27" t="s">
        <v>7</v>
      </c>
      <c r="Y503" s="27" t="s">
        <v>8</v>
      </c>
      <c r="Z503" s="27" t="s">
        <v>7</v>
      </c>
      <c r="AB503" s="27" t="s">
        <v>7</v>
      </c>
      <c r="AC503" s="27" t="s">
        <v>8</v>
      </c>
    </row>
    <row r="504" spans="1:40" x14ac:dyDescent="0.25">
      <c r="A504" s="7">
        <v>5.1738550359627435</v>
      </c>
      <c r="B504"/>
      <c r="C504"/>
      <c r="D504"/>
      <c r="E504" t="s">
        <v>8</v>
      </c>
      <c r="L504" s="27" t="s">
        <v>7</v>
      </c>
      <c r="M504" s="27" t="s">
        <v>8</v>
      </c>
      <c r="N504" s="27" t="s">
        <v>7</v>
      </c>
      <c r="O504" s="27" t="s">
        <v>8</v>
      </c>
      <c r="P504" s="27" t="s">
        <v>7</v>
      </c>
      <c r="Q504" s="27" t="s">
        <v>8</v>
      </c>
      <c r="R504" s="27" t="s">
        <v>7</v>
      </c>
      <c r="S504" s="27" t="s">
        <v>8</v>
      </c>
      <c r="T504" s="27" t="s">
        <v>7</v>
      </c>
      <c r="Y504" s="27" t="s">
        <v>8</v>
      </c>
      <c r="AB504" s="27" t="s">
        <v>7</v>
      </c>
    </row>
    <row r="505" spans="1:40" x14ac:dyDescent="0.25">
      <c r="A505" s="7">
        <v>5.07240689800269</v>
      </c>
      <c r="B505"/>
      <c r="C505"/>
      <c r="D505"/>
      <c r="E505" t="s">
        <v>8</v>
      </c>
      <c r="L505" s="27" t="s">
        <v>7</v>
      </c>
      <c r="M505" s="27" t="s">
        <v>8</v>
      </c>
      <c r="N505" s="27" t="s">
        <v>7</v>
      </c>
      <c r="O505" s="27" t="s">
        <v>8</v>
      </c>
      <c r="P505" s="27" t="s">
        <v>7</v>
      </c>
      <c r="Q505" s="27" t="s">
        <v>8</v>
      </c>
      <c r="R505" s="27" t="s">
        <v>7</v>
      </c>
      <c r="T505" s="27" t="s">
        <v>7</v>
      </c>
      <c r="W505" s="27" t="s">
        <v>8</v>
      </c>
      <c r="Y505" s="27" t="s">
        <v>8</v>
      </c>
    </row>
    <row r="506" spans="1:40" x14ac:dyDescent="0.25">
      <c r="A506" s="7">
        <v>4.9729479392183231</v>
      </c>
      <c r="B506"/>
      <c r="C506"/>
      <c r="D506"/>
      <c r="E506" t="s">
        <v>8</v>
      </c>
      <c r="L506" s="27" t="s">
        <v>7</v>
      </c>
      <c r="M506" s="27" t="s">
        <v>8</v>
      </c>
      <c r="N506" s="27" t="s">
        <v>7</v>
      </c>
      <c r="O506" s="27" t="s">
        <v>8</v>
      </c>
      <c r="P506" s="27" t="s">
        <v>7</v>
      </c>
      <c r="T506" s="27" t="s">
        <v>7</v>
      </c>
      <c r="U506" s="27" t="s">
        <v>8</v>
      </c>
      <c r="W506" s="27" t="s">
        <v>8</v>
      </c>
      <c r="X506" s="27" t="s">
        <v>7</v>
      </c>
      <c r="Y506" s="27" t="s">
        <v>8</v>
      </c>
    </row>
    <row r="507" spans="1:40" x14ac:dyDescent="0.25">
      <c r="A507" s="7">
        <v>4.8754391560963954</v>
      </c>
      <c r="B507"/>
      <c r="C507"/>
      <c r="D507"/>
      <c r="E507" t="s">
        <v>8</v>
      </c>
      <c r="L507" s="27" t="s">
        <v>7</v>
      </c>
      <c r="M507" s="27" t="s">
        <v>8</v>
      </c>
      <c r="N507" s="27" t="s">
        <v>7</v>
      </c>
      <c r="O507" s="27" t="s">
        <v>8</v>
      </c>
      <c r="T507" s="27" t="s">
        <v>7</v>
      </c>
      <c r="U507" s="27" t="s">
        <v>8</v>
      </c>
      <c r="V507" s="27" t="s">
        <v>7</v>
      </c>
      <c r="W507" s="27" t="s">
        <v>8</v>
      </c>
      <c r="X507" s="27" t="s">
        <v>7</v>
      </c>
      <c r="Y507" s="27" t="s">
        <v>8</v>
      </c>
    </row>
    <row r="508" spans="1:40" x14ac:dyDescent="0.25">
      <c r="A508" s="7">
        <v>4.7798423098984264</v>
      </c>
      <c r="B508"/>
      <c r="C508"/>
      <c r="D508"/>
      <c r="E508" t="s">
        <v>8</v>
      </c>
      <c r="L508" s="27" t="s">
        <v>7</v>
      </c>
      <c r="M508" s="27" t="s">
        <v>8</v>
      </c>
      <c r="N508" s="27" t="s">
        <v>7</v>
      </c>
      <c r="T508" s="27" t="s">
        <v>7</v>
      </c>
      <c r="U508" s="27" t="s">
        <v>8</v>
      </c>
      <c r="V508" s="27" t="s">
        <v>7</v>
      </c>
      <c r="W508" s="27" t="s">
        <v>8</v>
      </c>
      <c r="X508" s="27" t="s">
        <v>7</v>
      </c>
      <c r="Y508" s="27" t="s">
        <v>8</v>
      </c>
    </row>
    <row r="509" spans="1:40" x14ac:dyDescent="0.25">
      <c r="A509" s="7">
        <v>4.6861199116651235</v>
      </c>
      <c r="B509"/>
      <c r="C509"/>
      <c r="D509"/>
      <c r="E509" t="s">
        <v>8</v>
      </c>
      <c r="L509" s="27" t="s">
        <v>7</v>
      </c>
      <c r="M509" s="27" t="s">
        <v>8</v>
      </c>
      <c r="T509" s="27" t="s">
        <v>7</v>
      </c>
      <c r="U509" s="27" t="s">
        <v>8</v>
      </c>
      <c r="V509" s="27" t="s">
        <v>7</v>
      </c>
      <c r="W509" s="27" t="s">
        <v>8</v>
      </c>
      <c r="X509" s="27" t="s">
        <v>7</v>
      </c>
      <c r="Y509" s="27" t="s">
        <v>8</v>
      </c>
    </row>
    <row r="510" spans="1:40" x14ac:dyDescent="0.25">
      <c r="A510" s="7">
        <v>4.5942352075148269</v>
      </c>
      <c r="B510"/>
      <c r="C510"/>
      <c r="D510"/>
      <c r="E510" t="s">
        <v>8</v>
      </c>
      <c r="L510" s="27" t="s">
        <v>7</v>
      </c>
      <c r="T510" s="27" t="s">
        <v>7</v>
      </c>
      <c r="U510" s="27" t="s">
        <v>8</v>
      </c>
      <c r="V510" s="27" t="s">
        <v>7</v>
      </c>
      <c r="W510" s="27" t="s">
        <v>8</v>
      </c>
      <c r="X510" s="27" t="s">
        <v>7</v>
      </c>
      <c r="Y510" s="27" t="s">
        <v>8</v>
      </c>
    </row>
    <row r="511" spans="1:40" x14ac:dyDescent="0.25">
      <c r="A511" s="7">
        <v>4.5041521642302227</v>
      </c>
      <c r="B511"/>
      <c r="C511"/>
      <c r="D511"/>
      <c r="E511" t="s">
        <v>8</v>
      </c>
      <c r="T511" s="27" t="s">
        <v>7</v>
      </c>
      <c r="U511" s="27" t="s">
        <v>8</v>
      </c>
      <c r="V511" s="27" t="s">
        <v>7</v>
      </c>
      <c r="X511" s="27" t="s">
        <v>7</v>
      </c>
    </row>
    <row r="512" spans="1:40" x14ac:dyDescent="0.25">
      <c r="A512" s="7">
        <v>4.4158354551276693</v>
      </c>
      <c r="B512"/>
      <c r="C512"/>
      <c r="D512"/>
      <c r="E512" t="s">
        <v>8</v>
      </c>
      <c r="T512" s="27" t="s">
        <v>7</v>
      </c>
      <c r="U512" s="27" t="s">
        <v>8</v>
      </c>
    </row>
    <row r="513" spans="1:21" x14ac:dyDescent="0.25">
      <c r="A513" s="7">
        <v>4.3292504462035977</v>
      </c>
      <c r="B513"/>
      <c r="C513"/>
      <c r="D513"/>
      <c r="E513" t="s">
        <v>8</v>
      </c>
      <c r="T513" s="27" t="s">
        <v>7</v>
      </c>
      <c r="U513" s="27" t="s">
        <v>8</v>
      </c>
    </row>
    <row r="514" spans="1:21" x14ac:dyDescent="0.25">
      <c r="A514" s="7">
        <v>4.2443631825525463</v>
      </c>
      <c r="B514"/>
      <c r="C514"/>
      <c r="D514"/>
      <c r="E514" t="s">
        <v>8</v>
      </c>
      <c r="T514" s="27" t="s">
        <v>7</v>
      </c>
      <c r="U514" s="27" t="s">
        <v>8</v>
      </c>
    </row>
    <row r="515" spans="1:21" x14ac:dyDescent="0.25">
      <c r="A515" s="7">
        <v>4.1611403750515157</v>
      </c>
      <c r="B515"/>
      <c r="C515"/>
      <c r="D515"/>
      <c r="E515" t="s">
        <v>8</v>
      </c>
      <c r="T515" s="27" t="s">
        <v>7</v>
      </c>
    </row>
    <row r="516" spans="1:21" x14ac:dyDescent="0.25">
      <c r="A516" s="7">
        <v>4.0795493873054074</v>
      </c>
      <c r="B516"/>
      <c r="C516"/>
      <c r="D516"/>
      <c r="E516" t="s">
        <v>8</v>
      </c>
    </row>
    <row r="517" spans="1:21" x14ac:dyDescent="0.25">
      <c r="A517" s="7">
        <v>3.9995582228484383</v>
      </c>
      <c r="B517"/>
      <c r="C517"/>
      <c r="D517"/>
      <c r="E517" t="s">
        <v>8</v>
      </c>
    </row>
    <row r="518" spans="1:21" x14ac:dyDescent="0.25">
      <c r="A518" s="7">
        <v>3.9211355125965079</v>
      </c>
      <c r="B518"/>
      <c r="C518"/>
      <c r="D518"/>
      <c r="E518" t="s">
        <v>8</v>
      </c>
    </row>
    <row r="519" spans="1:21" x14ac:dyDescent="0.25">
      <c r="A519" s="7">
        <v>3.844250502545596</v>
      </c>
      <c r="B519"/>
      <c r="C519"/>
      <c r="D519"/>
      <c r="E519" t="s">
        <v>8</v>
      </c>
    </row>
    <row r="520" spans="1:21" x14ac:dyDescent="0.25">
      <c r="A520" s="7">
        <v>3.7688730417113687</v>
      </c>
      <c r="B520"/>
      <c r="C520"/>
      <c r="D520"/>
      <c r="E520" t="s">
        <v>8</v>
      </c>
    </row>
    <row r="521" spans="1:21" x14ac:dyDescent="0.25">
      <c r="A521" s="7">
        <v>3.6949735703052635</v>
      </c>
      <c r="B521"/>
      <c r="C521"/>
      <c r="D521"/>
      <c r="E521" t="s">
        <v>8</v>
      </c>
    </row>
    <row r="522" spans="1:21" x14ac:dyDescent="0.25">
      <c r="A522" s="7">
        <v>3.6225231081424152</v>
      </c>
      <c r="B522"/>
      <c r="C522"/>
      <c r="D522"/>
      <c r="E522" t="s">
        <v>8</v>
      </c>
    </row>
    <row r="523" spans="1:21" x14ac:dyDescent="0.25">
      <c r="A523" s="7">
        <v>3.5514932432768775</v>
      </c>
      <c r="B523"/>
      <c r="C523"/>
      <c r="D523"/>
      <c r="E523" t="s">
        <v>8</v>
      </c>
    </row>
    <row r="524" spans="1:21" x14ac:dyDescent="0.25">
      <c r="A524" s="7">
        <v>3.4818561208596837</v>
      </c>
      <c r="B524"/>
      <c r="C524"/>
      <c r="D524"/>
      <c r="E524" t="s">
        <v>8</v>
      </c>
    </row>
    <row r="525" spans="1:21" x14ac:dyDescent="0.25">
      <c r="A525" s="7">
        <v>3.4135844322153761</v>
      </c>
      <c r="B525"/>
      <c r="C525"/>
      <c r="D525"/>
      <c r="E525" t="s">
        <v>8</v>
      </c>
    </row>
    <row r="526" spans="1:21" x14ac:dyDescent="0.25">
      <c r="A526" s="7">
        <v>3.3466514041327216</v>
      </c>
      <c r="B526"/>
      <c r="C526"/>
      <c r="D526"/>
      <c r="E526" t="s">
        <v>8</v>
      </c>
    </row>
    <row r="527" spans="1:21" x14ac:dyDescent="0.25">
      <c r="A527" s="7">
        <v>3.2810307883654133</v>
      </c>
      <c r="B527"/>
      <c r="C527"/>
      <c r="D527"/>
      <c r="E527" t="s">
        <v>8</v>
      </c>
    </row>
    <row r="528" spans="1:21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99" zoomScale="90" zoomScaleNormal="90" workbookViewId="0">
      <pane xSplit="4" topLeftCell="BY1" activePane="topRight" state="frozen"/>
      <selection activeCell="A109" sqref="A109"/>
      <selection pane="topRight" activeCell="DF120" sqref="DF12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108" x14ac:dyDescent="0.25">
      <c r="A97" s="30">
        <v>1071.6914527012709</v>
      </c>
      <c r="C97" s="7">
        <v>0.11686133436193799</v>
      </c>
      <c r="D97"/>
      <c r="E97"/>
    </row>
    <row r="98" spans="1:108" x14ac:dyDescent="0.25">
      <c r="A98" s="30">
        <v>1020.6585263821628</v>
      </c>
      <c r="E98"/>
    </row>
    <row r="99" spans="1:108" x14ac:dyDescent="0.25">
      <c r="A99" s="30">
        <v>972.05573941158355</v>
      </c>
      <c r="C99" s="1" t="s">
        <v>11</v>
      </c>
      <c r="D99" s="1" t="s">
        <v>12</v>
      </c>
      <c r="E99"/>
    </row>
    <row r="100" spans="1:108" x14ac:dyDescent="0.25">
      <c r="A100" s="30">
        <v>925.76737086817479</v>
      </c>
      <c r="C100"/>
      <c r="D100"/>
      <c r="E100"/>
    </row>
    <row r="101" spans="1:108" x14ac:dyDescent="0.25">
      <c r="A101" s="30">
        <v>881.68321035064264</v>
      </c>
      <c r="E101"/>
    </row>
    <row r="102" spans="1:108" x14ac:dyDescent="0.25">
      <c r="A102" s="30">
        <v>839.69829557204059</v>
      </c>
      <c r="C102" s="1" t="s">
        <v>13</v>
      </c>
      <c r="E102"/>
    </row>
    <row r="103" spans="1:108" x14ac:dyDescent="0.25">
      <c r="A103" s="30">
        <v>799.71266244956246</v>
      </c>
      <c r="C103" s="1">
        <f>C92</f>
        <v>0</v>
      </c>
      <c r="E103"/>
    </row>
    <row r="104" spans="1:108" x14ac:dyDescent="0.25">
      <c r="A104" s="30">
        <v>761.63110709482135</v>
      </c>
      <c r="C104"/>
      <c r="E104"/>
    </row>
    <row r="105" spans="1:108" x14ac:dyDescent="0.25">
      <c r="A105" s="30">
        <v>725.36295913792503</v>
      </c>
      <c r="C105" s="1" t="s">
        <v>14</v>
      </c>
      <c r="E105"/>
    </row>
    <row r="106" spans="1:108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  <c r="CG106" s="31" t="s">
        <v>8</v>
      </c>
    </row>
    <row r="107" spans="1:108" x14ac:dyDescent="0.25">
      <c r="A107" s="30">
        <v>657.92558651965976</v>
      </c>
      <c r="E107"/>
      <c r="CG107" s="27" t="s">
        <v>8</v>
      </c>
      <c r="CH107" s="31" t="s">
        <v>7</v>
      </c>
      <c r="CY107" s="27" t="s">
        <v>8</v>
      </c>
    </row>
    <row r="108" spans="1:108" x14ac:dyDescent="0.25">
      <c r="A108" s="30">
        <v>626.59579668539027</v>
      </c>
      <c r="E108"/>
      <c r="CC108" s="27" t="s">
        <v>8</v>
      </c>
      <c r="CG108" s="27" t="s">
        <v>8</v>
      </c>
      <c r="CH108" s="27" t="s">
        <v>7</v>
      </c>
      <c r="CI108" s="31"/>
      <c r="CY108" s="27" t="s">
        <v>8</v>
      </c>
      <c r="CZ108" s="27" t="s">
        <v>7</v>
      </c>
      <c r="DA108" s="27" t="s">
        <v>8</v>
      </c>
    </row>
    <row r="109" spans="1:108" x14ac:dyDescent="0.25">
      <c r="A109" s="30">
        <v>596.75790160513361</v>
      </c>
      <c r="E109"/>
      <c r="CC109" s="27" t="s">
        <v>8</v>
      </c>
      <c r="CD109" s="27" t="s">
        <v>7</v>
      </c>
      <c r="CE109" s="27" t="s">
        <v>8</v>
      </c>
      <c r="CG109" s="27" t="s">
        <v>8</v>
      </c>
      <c r="CH109" s="27" t="s">
        <v>7</v>
      </c>
      <c r="CJ109" s="31"/>
      <c r="CY109" s="27" t="s">
        <v>8</v>
      </c>
      <c r="CZ109" s="27" t="s">
        <v>7</v>
      </c>
      <c r="DA109" s="27" t="s">
        <v>8</v>
      </c>
      <c r="DB109" s="27" t="s">
        <v>7</v>
      </c>
      <c r="DC109" s="27" t="s">
        <v>8</v>
      </c>
    </row>
    <row r="110" spans="1:108" x14ac:dyDescent="0.25">
      <c r="A110" s="30">
        <v>568.34085867155579</v>
      </c>
      <c r="E110"/>
      <c r="CC110" s="27" t="s">
        <v>8</v>
      </c>
      <c r="CD110" s="27" t="s">
        <v>7</v>
      </c>
      <c r="CE110" s="27" t="s">
        <v>8</v>
      </c>
      <c r="CF110" s="27" t="s">
        <v>7</v>
      </c>
      <c r="CG110" s="27" t="s">
        <v>8</v>
      </c>
      <c r="CH110" s="27" t="s">
        <v>7</v>
      </c>
      <c r="CK110" s="31"/>
      <c r="CY110" s="27" t="s">
        <v>8</v>
      </c>
      <c r="CZ110" s="27" t="s">
        <v>7</v>
      </c>
      <c r="DA110" s="27" t="s">
        <v>8</v>
      </c>
      <c r="DB110" s="27" t="s">
        <v>7</v>
      </c>
      <c r="DC110" s="27" t="s">
        <v>8</v>
      </c>
      <c r="DD110" s="27" t="s">
        <v>7</v>
      </c>
    </row>
    <row r="111" spans="1:108" x14ac:dyDescent="0.25">
      <c r="A111" s="30">
        <v>541.27700825862451</v>
      </c>
      <c r="C111" s="1" t="str">
        <f>ADDRESS(C121-1,1,1,1)</f>
        <v>$A$119</v>
      </c>
      <c r="D111" s="1" t="str">
        <f>ADDRESS(C121-1,D121,1,1)</f>
        <v>$DF$119</v>
      </c>
      <c r="E111"/>
      <c r="CC111" s="27" t="s">
        <v>8</v>
      </c>
      <c r="CD111" s="27" t="s">
        <v>7</v>
      </c>
      <c r="CE111" s="27" t="s">
        <v>8</v>
      </c>
      <c r="CF111" s="27" t="s">
        <v>7</v>
      </c>
      <c r="CG111" s="27" t="s">
        <v>8</v>
      </c>
      <c r="CH111" s="27" t="s">
        <v>7</v>
      </c>
      <c r="CL111" s="31"/>
      <c r="CY111" s="27" t="s">
        <v>8</v>
      </c>
      <c r="CZ111" s="27" t="s">
        <v>7</v>
      </c>
      <c r="DA111" s="27" t="s">
        <v>8</v>
      </c>
      <c r="DB111" s="27" t="s">
        <v>7</v>
      </c>
      <c r="DC111" s="27" t="s">
        <v>8</v>
      </c>
      <c r="DD111" s="27" t="s">
        <v>7</v>
      </c>
    </row>
    <row r="112" spans="1:108" x14ac:dyDescent="0.25">
      <c r="A112" s="30">
        <v>515.50191262726139</v>
      </c>
      <c r="C112" s="1" t="str">
        <f>ADDRESS(C121,1,1,1)</f>
        <v>$A$120</v>
      </c>
      <c r="D112" s="1" t="str">
        <f>ADDRESS(C121,D121-1,1,1)</f>
        <v>$DE$120</v>
      </c>
      <c r="E112"/>
      <c r="CC112" s="27" t="s">
        <v>8</v>
      </c>
      <c r="CD112" s="27" t="s">
        <v>7</v>
      </c>
      <c r="CE112" s="27" t="s">
        <v>8</v>
      </c>
      <c r="CF112" s="27" t="s">
        <v>7</v>
      </c>
      <c r="CG112" s="27" t="s">
        <v>8</v>
      </c>
      <c r="CH112" s="27" t="s">
        <v>7</v>
      </c>
      <c r="CM112" s="31"/>
      <c r="CW112" s="27" t="s">
        <v>8</v>
      </c>
      <c r="CY112" s="27" t="s">
        <v>8</v>
      </c>
      <c r="CZ112" s="27" t="s">
        <v>7</v>
      </c>
      <c r="DB112" s="27" t="s">
        <v>7</v>
      </c>
      <c r="DC112" s="27" t="s">
        <v>8</v>
      </c>
      <c r="DD112" s="27" t="s">
        <v>7</v>
      </c>
    </row>
    <row r="113" spans="1:110" x14ac:dyDescent="0.25">
      <c r="A113" s="30">
        <v>490.95420250215363</v>
      </c>
      <c r="C113" s="1" t="str">
        <f>ADDRESS(C121+1,1,1,1)</f>
        <v>$A$121</v>
      </c>
      <c r="D113" s="1" t="str">
        <f>ADDRESS(C121-1,D121+1,1,1)</f>
        <v>$DG$119</v>
      </c>
      <c r="CC113" s="27" t="s">
        <v>8</v>
      </c>
      <c r="CD113" s="27" t="s">
        <v>7</v>
      </c>
      <c r="CE113" s="27" t="s">
        <v>8</v>
      </c>
      <c r="CF113" s="27" t="s">
        <v>7</v>
      </c>
      <c r="CG113" s="27" t="s">
        <v>8</v>
      </c>
      <c r="CH113" s="27" t="s">
        <v>7</v>
      </c>
      <c r="CN113" s="31"/>
      <c r="CW113" s="27" t="s">
        <v>8</v>
      </c>
      <c r="CX113" s="27" t="s">
        <v>7</v>
      </c>
      <c r="CY113" s="27" t="s">
        <v>8</v>
      </c>
      <c r="DB113" s="27" t="s">
        <v>7</v>
      </c>
      <c r="DD113" s="27" t="s">
        <v>7</v>
      </c>
      <c r="DE113" s="27" t="s">
        <v>8</v>
      </c>
    </row>
    <row r="114" spans="1:110" x14ac:dyDescent="0.25">
      <c r="A114" s="30">
        <v>467.57543095443202</v>
      </c>
      <c r="C114" s="1" t="str">
        <f>ADDRESS(C121,D121,1,1)</f>
        <v>$DF$120</v>
      </c>
      <c r="D114" s="1" t="str">
        <f>ADDRESS(C121+1,D121+1,1,1)</f>
        <v>$DG$121</v>
      </c>
      <c r="CC114" s="27" t="s">
        <v>8</v>
      </c>
      <c r="CD114" s="27" t="s">
        <v>7</v>
      </c>
      <c r="CE114" s="27" t="s">
        <v>8</v>
      </c>
      <c r="CF114" s="27" t="s">
        <v>7</v>
      </c>
      <c r="CH114" s="27" t="s">
        <v>7</v>
      </c>
      <c r="CO114" s="31"/>
      <c r="CW114" s="27" t="s">
        <v>8</v>
      </c>
      <c r="CX114" s="27" t="s">
        <v>7</v>
      </c>
      <c r="CY114" s="27" t="s">
        <v>8</v>
      </c>
      <c r="DD114" s="27" t="s">
        <v>7</v>
      </c>
      <c r="DE114" s="27" t="s">
        <v>8</v>
      </c>
      <c r="DF114" s="27" t="s">
        <v>7</v>
      </c>
    </row>
    <row r="115" spans="1:110" x14ac:dyDescent="0.25">
      <c r="A115" s="30">
        <v>445.30993424231622</v>
      </c>
      <c r="C115" s="1" t="str">
        <f>ADDRESS(C121+1,D121,1,1)</f>
        <v>$DF$121</v>
      </c>
      <c r="CC115" s="27" t="s">
        <v>8</v>
      </c>
      <c r="CD115" s="27" t="s">
        <v>7</v>
      </c>
      <c r="CH115" s="33" t="s">
        <v>7</v>
      </c>
      <c r="CP115" s="31"/>
      <c r="CW115" s="27" t="s">
        <v>8</v>
      </c>
      <c r="CX115" s="27" t="s">
        <v>7</v>
      </c>
      <c r="CY115" s="27" t="s">
        <v>8</v>
      </c>
      <c r="DD115" s="27" t="s">
        <v>7</v>
      </c>
      <c r="DE115" s="27" t="s">
        <v>8</v>
      </c>
      <c r="DF115" s="27" t="s">
        <v>7</v>
      </c>
    </row>
    <row r="116" spans="1:110" x14ac:dyDescent="0.25">
      <c r="A116" s="30">
        <v>424.10469927839637</v>
      </c>
      <c r="C116" s="1">
        <f>C117-1</f>
        <v>119</v>
      </c>
      <c r="CC116" s="27" t="s">
        <v>8</v>
      </c>
      <c r="CH116" s="27" t="s">
        <v>7</v>
      </c>
      <c r="CO116" s="32" t="s">
        <v>8</v>
      </c>
      <c r="CQ116" s="32" t="s">
        <v>8</v>
      </c>
      <c r="CW116" s="27" t="s">
        <v>8</v>
      </c>
      <c r="CX116" s="27" t="s">
        <v>7</v>
      </c>
      <c r="CY116" s="27" t="s">
        <v>8</v>
      </c>
      <c r="DD116" s="27" t="s">
        <v>7</v>
      </c>
      <c r="DF116" s="27" t="s">
        <v>7</v>
      </c>
    </row>
    <row r="117" spans="1:110" x14ac:dyDescent="0.25">
      <c r="A117" s="30">
        <v>403.9092374079965</v>
      </c>
      <c r="C117" s="1">
        <f>C121</f>
        <v>120</v>
      </c>
      <c r="D117" s="1">
        <f>D121</f>
        <v>110</v>
      </c>
      <c r="CC117" s="27" t="s">
        <v>8</v>
      </c>
      <c r="CH117" s="27" t="s">
        <v>7</v>
      </c>
      <c r="CI117" s="27" t="s">
        <v>8</v>
      </c>
      <c r="CO117" s="27" t="s">
        <v>8</v>
      </c>
      <c r="CP117" s="27" t="s">
        <v>7</v>
      </c>
      <c r="CQ117" s="27" t="s">
        <v>8</v>
      </c>
      <c r="CR117" s="31" t="s">
        <v>7</v>
      </c>
      <c r="CW117" s="27" t="s">
        <v>8</v>
      </c>
      <c r="CX117" s="27" t="s">
        <v>7</v>
      </c>
      <c r="CY117" s="27" t="s">
        <v>8</v>
      </c>
      <c r="DF117" s="27" t="s">
        <v>7</v>
      </c>
    </row>
    <row r="118" spans="1:110" x14ac:dyDescent="0.25">
      <c r="A118" s="30">
        <v>384.6754641980919</v>
      </c>
      <c r="C118" s="1">
        <f>C117+1</f>
        <v>121</v>
      </c>
      <c r="D118" s="1">
        <f>D117+1</f>
        <v>111</v>
      </c>
      <c r="CC118" s="27" t="s">
        <v>8</v>
      </c>
      <c r="CH118" s="27" t="s">
        <v>7</v>
      </c>
      <c r="CI118" s="27" t="s">
        <v>8</v>
      </c>
      <c r="CJ118" s="27" t="s">
        <v>7</v>
      </c>
      <c r="CM118" s="27" t="s">
        <v>8</v>
      </c>
      <c r="CO118" s="27" t="s">
        <v>8</v>
      </c>
      <c r="CP118" s="27" t="s">
        <v>7</v>
      </c>
      <c r="CQ118" s="27" t="s">
        <v>8</v>
      </c>
      <c r="CR118" s="27" t="s">
        <v>7</v>
      </c>
      <c r="CS118" s="31"/>
      <c r="CW118" s="27" t="s">
        <v>8</v>
      </c>
      <c r="CX118" s="27" t="s">
        <v>7</v>
      </c>
      <c r="CY118" s="27" t="s">
        <v>8</v>
      </c>
      <c r="DF118" s="27" t="s">
        <v>7</v>
      </c>
    </row>
    <row r="119" spans="1:110" x14ac:dyDescent="0.25">
      <c r="A119" s="30">
        <v>366.35758495056371</v>
      </c>
      <c r="CC119" s="27" t="s">
        <v>8</v>
      </c>
      <c r="CH119" s="27" t="s">
        <v>7</v>
      </c>
      <c r="CI119" s="27" t="s">
        <v>8</v>
      </c>
      <c r="CJ119" s="27" t="s">
        <v>7</v>
      </c>
      <c r="CM119" s="27" t="s">
        <v>8</v>
      </c>
      <c r="CN119" s="27" t="s">
        <v>7</v>
      </c>
      <c r="CO119" s="27" t="s">
        <v>8</v>
      </c>
      <c r="CP119" s="27" t="s">
        <v>7</v>
      </c>
      <c r="CR119" s="27" t="s">
        <v>7</v>
      </c>
      <c r="CT119" s="31"/>
      <c r="CW119" s="27" t="s">
        <v>8</v>
      </c>
      <c r="CX119" s="27" t="s">
        <v>7</v>
      </c>
      <c r="CY119" s="27" t="s">
        <v>8</v>
      </c>
      <c r="DF119" s="27" t="s">
        <v>7</v>
      </c>
    </row>
    <row r="120" spans="1:110" x14ac:dyDescent="0.25">
      <c r="A120" s="30">
        <v>348.91198566720351</v>
      </c>
      <c r="C120" s="1" t="s">
        <v>9</v>
      </c>
      <c r="CC120" s="27" t="s">
        <v>8</v>
      </c>
      <c r="CH120" s="27" t="s">
        <v>7</v>
      </c>
      <c r="CI120" s="27" t="s">
        <v>8</v>
      </c>
      <c r="CJ120" s="27" t="s">
        <v>7</v>
      </c>
      <c r="CM120" s="34" t="s">
        <v>8</v>
      </c>
      <c r="CN120" s="27" t="s">
        <v>7</v>
      </c>
      <c r="CO120" s="27" t="s">
        <v>8</v>
      </c>
      <c r="CR120" s="33" t="s">
        <v>7</v>
      </c>
      <c r="CU120" s="31"/>
      <c r="CW120" s="34" t="s">
        <v>8</v>
      </c>
      <c r="CX120" s="27" t="s">
        <v>7</v>
      </c>
      <c r="CY120" s="27" t="s">
        <v>8</v>
      </c>
      <c r="DB120" s="31"/>
      <c r="DF120" s="27" t="s">
        <v>7</v>
      </c>
    </row>
    <row r="121" spans="1:110" x14ac:dyDescent="0.25">
      <c r="A121" s="30">
        <v>332.29712920686046</v>
      </c>
      <c r="C121" s="18">
        <v>120</v>
      </c>
      <c r="D121" s="19">
        <v>110</v>
      </c>
      <c r="E121" s="19"/>
      <c r="BS121" s="27" t="s">
        <v>8</v>
      </c>
      <c r="CC121" s="27" t="s">
        <v>8</v>
      </c>
      <c r="CH121" s="27" t="s">
        <v>7</v>
      </c>
      <c r="CI121" s="27" t="s">
        <v>8</v>
      </c>
      <c r="CJ121" s="27" t="s">
        <v>7</v>
      </c>
      <c r="CK121" s="27" t="s">
        <v>8</v>
      </c>
      <c r="CM121" s="27" t="s">
        <v>8</v>
      </c>
      <c r="CN121" s="27" t="s">
        <v>7</v>
      </c>
      <c r="CO121" s="27" t="s">
        <v>8</v>
      </c>
      <c r="CR121" s="27" t="s">
        <v>7</v>
      </c>
      <c r="CU121" s="34" t="s">
        <v>8</v>
      </c>
      <c r="CV121" s="31"/>
      <c r="CW121" s="27" t="s">
        <v>8</v>
      </c>
      <c r="CX121" s="27" t="s">
        <v>7</v>
      </c>
      <c r="DA121" s="31"/>
    </row>
    <row r="122" spans="1:110" x14ac:dyDescent="0.25">
      <c r="A122" s="30">
        <v>316.47345638748612</v>
      </c>
      <c r="C122" s="1" t="str">
        <f>INDEX(1:1048576,C117,D117)</f>
        <v>O</v>
      </c>
      <c r="BS122" s="27" t="s">
        <v>8</v>
      </c>
      <c r="BT122" s="27" t="s">
        <v>7</v>
      </c>
      <c r="CC122" s="27" t="s">
        <v>8</v>
      </c>
      <c r="CH122" s="27" t="s">
        <v>7</v>
      </c>
      <c r="CI122" s="27" t="s">
        <v>8</v>
      </c>
      <c r="CJ122" s="27" t="s">
        <v>7</v>
      </c>
      <c r="CK122" s="27" t="s">
        <v>8</v>
      </c>
      <c r="CL122" s="27" t="s">
        <v>7</v>
      </c>
      <c r="CM122" s="27" t="s">
        <v>8</v>
      </c>
      <c r="CN122" s="27" t="s">
        <v>7</v>
      </c>
      <c r="CO122" s="27" t="s">
        <v>8</v>
      </c>
      <c r="CR122" s="27" t="s">
        <v>7</v>
      </c>
      <c r="CS122" s="27" t="s">
        <v>8</v>
      </c>
      <c r="CU122" s="27" t="s">
        <v>8</v>
      </c>
      <c r="CV122" s="27" t="s">
        <v>7</v>
      </c>
      <c r="CW122" s="31" t="s">
        <v>8</v>
      </c>
      <c r="CZ122" s="31"/>
    </row>
    <row r="123" spans="1:110" x14ac:dyDescent="0.25">
      <c r="A123" s="30">
        <v>301.40329179760585</v>
      </c>
      <c r="C123" s="1" t="str">
        <f>"R"&amp;C121</f>
        <v>R120</v>
      </c>
      <c r="D123" s="1" t="str">
        <f>"C"&amp;D121</f>
        <v>C110</v>
      </c>
      <c r="BS123" s="27" t="s">
        <v>8</v>
      </c>
      <c r="BT123" s="27" t="s">
        <v>7</v>
      </c>
      <c r="BU123" s="27" t="s">
        <v>8</v>
      </c>
      <c r="CA123" s="27" t="s">
        <v>8</v>
      </c>
      <c r="CC123" s="27" t="s">
        <v>8</v>
      </c>
      <c r="CH123" s="27" t="s">
        <v>7</v>
      </c>
      <c r="CI123" s="27" t="s">
        <v>8</v>
      </c>
      <c r="CJ123" s="27" t="s">
        <v>7</v>
      </c>
      <c r="CK123" s="27" t="s">
        <v>8</v>
      </c>
      <c r="CL123" s="27" t="s">
        <v>7</v>
      </c>
      <c r="CM123" s="27" t="s">
        <v>8</v>
      </c>
      <c r="CN123" s="27" t="s">
        <v>7</v>
      </c>
      <c r="CR123" s="27" t="s">
        <v>7</v>
      </c>
      <c r="CS123" s="27" t="s">
        <v>8</v>
      </c>
      <c r="CT123" s="27" t="s">
        <v>7</v>
      </c>
      <c r="CU123" s="27" t="s">
        <v>8</v>
      </c>
      <c r="CV123" s="27" t="s">
        <v>7</v>
      </c>
      <c r="CW123" s="27" t="s">
        <v>8</v>
      </c>
      <c r="CY123" s="31"/>
    </row>
    <row r="124" spans="1:110" x14ac:dyDescent="0.25">
      <c r="A124" s="30">
        <v>287.05075409295796</v>
      </c>
      <c r="C124" s="1">
        <f>SUM(C130:D130)</f>
        <v>0</v>
      </c>
      <c r="D124" s="1">
        <f>IF(C124=0,0,1)</f>
        <v>0</v>
      </c>
      <c r="BS124" s="27" t="s">
        <v>8</v>
      </c>
      <c r="BT124" s="27" t="s">
        <v>7</v>
      </c>
      <c r="BU124" s="27" t="s">
        <v>8</v>
      </c>
      <c r="BV124" s="27" t="s">
        <v>7</v>
      </c>
      <c r="CA124" s="27" t="s">
        <v>8</v>
      </c>
      <c r="CB124" s="27" t="s">
        <v>7</v>
      </c>
      <c r="CC124" s="27" t="s">
        <v>8</v>
      </c>
      <c r="CH124" s="32" t="s">
        <v>7</v>
      </c>
      <c r="CJ124" s="32" t="s">
        <v>7</v>
      </c>
      <c r="CL124" s="27" t="s">
        <v>7</v>
      </c>
      <c r="CM124" s="27" t="s">
        <v>8</v>
      </c>
      <c r="CR124" s="27" t="s">
        <v>7</v>
      </c>
      <c r="CS124" s="27" t="s">
        <v>8</v>
      </c>
      <c r="CT124" s="27" t="s">
        <v>7</v>
      </c>
      <c r="CU124" s="27" t="s">
        <v>8</v>
      </c>
      <c r="CV124" s="18" t="s">
        <v>7</v>
      </c>
      <c r="CW124" s="27" t="s">
        <v>8</v>
      </c>
      <c r="CX124" s="31"/>
    </row>
    <row r="125" spans="1:110" x14ac:dyDescent="0.25">
      <c r="A125" s="30">
        <v>273.38167056472184</v>
      </c>
      <c r="BS125" s="27" t="s">
        <v>8</v>
      </c>
      <c r="BT125" s="27" t="s">
        <v>7</v>
      </c>
      <c r="BU125" s="27" t="s">
        <v>8</v>
      </c>
      <c r="BV125" s="27" t="s">
        <v>7</v>
      </c>
      <c r="BW125" s="27" t="s">
        <v>8</v>
      </c>
      <c r="CA125" s="34" t="s">
        <v>8</v>
      </c>
      <c r="CB125" s="27" t="s">
        <v>7</v>
      </c>
      <c r="CC125" s="27" t="s">
        <v>8</v>
      </c>
      <c r="CL125" s="27" t="s">
        <v>7</v>
      </c>
      <c r="CM125" s="27" t="s">
        <v>8</v>
      </c>
      <c r="CR125" s="27" t="s">
        <v>7</v>
      </c>
      <c r="CS125" s="27" t="s">
        <v>8</v>
      </c>
      <c r="CT125" s="27" t="s">
        <v>7</v>
      </c>
      <c r="CV125" s="27" t="s">
        <v>7</v>
      </c>
      <c r="CW125" s="31" t="s">
        <v>8</v>
      </c>
    </row>
    <row r="126" spans="1:110" x14ac:dyDescent="0.25">
      <c r="A126" s="30">
        <v>260.36349577592557</v>
      </c>
      <c r="C126" s="1" t="s">
        <v>10</v>
      </c>
      <c r="BS126" s="27" t="s">
        <v>8</v>
      </c>
      <c r="BT126" s="27" t="s">
        <v>7</v>
      </c>
      <c r="BU126" s="27" t="s">
        <v>8</v>
      </c>
      <c r="BV126" s="27" t="s">
        <v>7</v>
      </c>
      <c r="BW126" s="27" t="s">
        <v>8</v>
      </c>
      <c r="BX126" s="27" t="s">
        <v>7</v>
      </c>
      <c r="BY126" s="27" t="s">
        <v>8</v>
      </c>
      <c r="CA126" s="27" t="s">
        <v>8</v>
      </c>
      <c r="CB126" s="27" t="s">
        <v>7</v>
      </c>
      <c r="CC126" s="27" t="s">
        <v>8</v>
      </c>
      <c r="CL126" s="27" t="s">
        <v>7</v>
      </c>
      <c r="CM126" s="27" t="s">
        <v>8</v>
      </c>
      <c r="CR126" s="27" t="s">
        <v>7</v>
      </c>
      <c r="CS126" s="27" t="s">
        <v>8</v>
      </c>
      <c r="CV126" s="33" t="s">
        <v>7</v>
      </c>
    </row>
    <row r="127" spans="1:110" x14ac:dyDescent="0.25">
      <c r="A127" s="30">
        <v>247.96523407231004</v>
      </c>
      <c r="C127" s="30">
        <v>348.91198566720351</v>
      </c>
      <c r="D127"/>
      <c r="BS127" s="27" t="s">
        <v>8</v>
      </c>
      <c r="BT127" s="27" t="s">
        <v>7</v>
      </c>
      <c r="BU127" s="27" t="s">
        <v>8</v>
      </c>
      <c r="BV127" s="27" t="s">
        <v>7</v>
      </c>
      <c r="BW127" s="27" t="s">
        <v>8</v>
      </c>
      <c r="BX127" s="27" t="s">
        <v>7</v>
      </c>
      <c r="BY127" s="27" t="s">
        <v>8</v>
      </c>
      <c r="BZ127" s="27" t="s">
        <v>7</v>
      </c>
      <c r="CA127" s="27" t="s">
        <v>8</v>
      </c>
      <c r="CB127" s="27" t="s">
        <v>7</v>
      </c>
      <c r="CC127" s="27" t="s">
        <v>8</v>
      </c>
      <c r="CL127" s="27" t="s">
        <v>7</v>
      </c>
      <c r="CM127" s="27" t="s">
        <v>8</v>
      </c>
      <c r="CR127" s="27" t="s">
        <v>7</v>
      </c>
      <c r="CS127" s="27" t="s">
        <v>8</v>
      </c>
    </row>
    <row r="128" spans="1:110" x14ac:dyDescent="0.25">
      <c r="A128" s="30">
        <v>236.15736578315241</v>
      </c>
      <c r="BS128" s="27" t="s">
        <v>8</v>
      </c>
      <c r="BT128" s="27" t="s">
        <v>7</v>
      </c>
      <c r="BU128" s="27" t="s">
        <v>8</v>
      </c>
      <c r="BV128" s="27" t="s">
        <v>7</v>
      </c>
      <c r="BW128" s="27" t="s">
        <v>8</v>
      </c>
      <c r="BX128" s="27" t="s">
        <v>7</v>
      </c>
      <c r="BY128" s="27" t="s">
        <v>8</v>
      </c>
      <c r="BZ128" s="27" t="s">
        <v>7</v>
      </c>
      <c r="CA128" s="27" t="s">
        <v>8</v>
      </c>
      <c r="CB128" s="27" t="s">
        <v>7</v>
      </c>
      <c r="CL128" s="27" t="s">
        <v>7</v>
      </c>
      <c r="CM128" s="27" t="s">
        <v>8</v>
      </c>
      <c r="CR128" s="27" t="s">
        <v>7</v>
      </c>
    </row>
    <row r="129" spans="1:107" x14ac:dyDescent="0.25">
      <c r="A129" s="30">
        <v>224.91177693633563</v>
      </c>
      <c r="C129" s="1" t="s">
        <v>11</v>
      </c>
      <c r="D129" s="1" t="s">
        <v>12</v>
      </c>
      <c r="E129"/>
      <c r="BS129" s="27" t="s">
        <v>8</v>
      </c>
      <c r="BT129" s="27" t="s">
        <v>7</v>
      </c>
      <c r="BV129" s="27" t="s">
        <v>7</v>
      </c>
      <c r="BW129" s="27" t="s">
        <v>8</v>
      </c>
      <c r="BX129" s="27" t="s">
        <v>7</v>
      </c>
      <c r="BY129" s="27" t="s">
        <v>8</v>
      </c>
      <c r="BZ129" s="27" t="s">
        <v>7</v>
      </c>
      <c r="CL129" s="27" t="s">
        <v>7</v>
      </c>
      <c r="CM129" s="27" t="s">
        <v>8</v>
      </c>
    </row>
    <row r="130" spans="1:107" x14ac:dyDescent="0.25">
      <c r="A130" s="30">
        <v>214.20169232031964</v>
      </c>
      <c r="C130" s="6"/>
      <c r="D130" s="6"/>
      <c r="E130"/>
      <c r="BS130" s="27" t="s">
        <v>8</v>
      </c>
      <c r="BV130" s="33" t="s">
        <v>7</v>
      </c>
      <c r="BW130" s="27" t="s">
        <v>8</v>
      </c>
      <c r="BX130" s="27" t="s">
        <v>7</v>
      </c>
      <c r="BY130" s="27" t="s">
        <v>8</v>
      </c>
      <c r="CL130" s="27" t="s">
        <v>7</v>
      </c>
    </row>
    <row r="131" spans="1:107" x14ac:dyDescent="0.25">
      <c r="A131" s="30">
        <v>204.00161173363773</v>
      </c>
      <c r="E131"/>
      <c r="BS131" s="27" t="s">
        <v>8</v>
      </c>
      <c r="BV131" s="27" t="s">
        <v>7</v>
      </c>
      <c r="BW131" s="27" t="s">
        <v>8</v>
      </c>
      <c r="BX131" s="27" t="s">
        <v>7</v>
      </c>
    </row>
    <row r="132" spans="1:107" x14ac:dyDescent="0.25">
      <c r="A132" s="30">
        <v>194.28724927013116</v>
      </c>
      <c r="C132" s="1" t="s">
        <v>13</v>
      </c>
      <c r="E132"/>
      <c r="BS132" s="27" t="s">
        <v>8</v>
      </c>
      <c r="BV132" s="27" t="s">
        <v>7</v>
      </c>
    </row>
    <row r="133" spans="1:107" x14ac:dyDescent="0.25">
      <c r="A133" s="30">
        <v>185.03547549536299</v>
      </c>
      <c r="C133" s="1" t="str">
        <f>C122</f>
        <v>O</v>
      </c>
      <c r="E133"/>
      <c r="BS133" s="27" t="s">
        <v>8</v>
      </c>
    </row>
    <row r="134" spans="1:107" x14ac:dyDescent="0.25">
      <c r="A134" s="30">
        <v>176.22426237653616</v>
      </c>
      <c r="C134"/>
      <c r="E134"/>
      <c r="BS134" s="27" t="s">
        <v>8</v>
      </c>
    </row>
    <row r="135" spans="1:107" x14ac:dyDescent="0.25">
      <c r="A135" s="30">
        <v>167.83263083479633</v>
      </c>
      <c r="C135" s="1" t="s">
        <v>14</v>
      </c>
      <c r="E135"/>
      <c r="BS135" s="27" t="s">
        <v>8</v>
      </c>
    </row>
    <row r="136" spans="1:107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  <c r="BS136" s="27" t="s">
        <v>8</v>
      </c>
    </row>
    <row r="137" spans="1:107" x14ac:dyDescent="0.25">
      <c r="A137" s="30">
        <v>152.22914361432771</v>
      </c>
      <c r="E137"/>
      <c r="BS137" s="27" t="s">
        <v>8</v>
      </c>
      <c r="DC137" s="31"/>
    </row>
    <row r="138" spans="1:107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  <c r="BO138" s="27" t="s">
        <v>8</v>
      </c>
      <c r="BS138" s="27" t="s">
        <v>8</v>
      </c>
      <c r="DB138" s="31"/>
    </row>
    <row r="139" spans="1:107" x14ac:dyDescent="0.25">
      <c r="A139" s="30">
        <v>138.07632073861922</v>
      </c>
      <c r="E139"/>
      <c r="BO139" s="27" t="s">
        <v>8</v>
      </c>
      <c r="BP139" s="27" t="s">
        <v>7</v>
      </c>
      <c r="BQ139" s="27" t="s">
        <v>8</v>
      </c>
      <c r="BS139" s="27" t="s">
        <v>8</v>
      </c>
      <c r="DA139" s="31"/>
    </row>
    <row r="140" spans="1:107" x14ac:dyDescent="0.25">
      <c r="A140" s="30">
        <v>131.50125784630401</v>
      </c>
      <c r="C140" s="1">
        <v>0</v>
      </c>
      <c r="E140"/>
      <c r="BO140" s="27" t="s">
        <v>8</v>
      </c>
      <c r="BP140" s="27" t="s">
        <v>7</v>
      </c>
      <c r="BQ140" s="27" t="s">
        <v>8</v>
      </c>
      <c r="BR140" s="27" t="s">
        <v>7</v>
      </c>
      <c r="BS140" s="27" t="s">
        <v>8</v>
      </c>
      <c r="CZ140" s="31"/>
    </row>
    <row r="141" spans="1:107" x14ac:dyDescent="0.25">
      <c r="A141" s="30">
        <v>125.23929318695619</v>
      </c>
      <c r="C141" s="1">
        <v>1</v>
      </c>
      <c r="E141"/>
      <c r="BO141" s="27" t="s">
        <v>8</v>
      </c>
      <c r="BP141" s="27" t="s">
        <v>7</v>
      </c>
      <c r="BQ141" s="27" t="s">
        <v>8</v>
      </c>
      <c r="BR141" s="27" t="s">
        <v>7</v>
      </c>
      <c r="BS141" s="27" t="s">
        <v>8</v>
      </c>
      <c r="CY141" s="31"/>
    </row>
    <row r="142" spans="1:107" x14ac:dyDescent="0.25">
      <c r="A142" s="30">
        <v>119.27551732091065</v>
      </c>
      <c r="C142" s="1">
        <v>2</v>
      </c>
      <c r="E142"/>
      <c r="BO142" s="27" t="s">
        <v>8</v>
      </c>
      <c r="BP142" s="32" t="s">
        <v>7</v>
      </c>
      <c r="BR142" s="32" t="s">
        <v>7</v>
      </c>
      <c r="CX142" s="31"/>
    </row>
    <row r="143" spans="1:107" x14ac:dyDescent="0.25">
      <c r="A143" s="30">
        <v>113.59573078181967</v>
      </c>
      <c r="C143" s="1">
        <v>3</v>
      </c>
      <c r="E143"/>
      <c r="BO143" s="27" t="s">
        <v>8</v>
      </c>
      <c r="CW143" s="31"/>
    </row>
    <row r="144" spans="1:107" x14ac:dyDescent="0.25">
      <c r="A144" s="30">
        <v>108.18641026839968</v>
      </c>
      <c r="C144" s="1">
        <v>4</v>
      </c>
      <c r="E144"/>
      <c r="BO144" s="27" t="s">
        <v>8</v>
      </c>
      <c r="CV144" s="31"/>
    </row>
    <row r="145" spans="1:99" x14ac:dyDescent="0.25">
      <c r="A145" s="30">
        <v>103.03467644609493</v>
      </c>
      <c r="E145"/>
      <c r="BO145" s="27" t="s">
        <v>8</v>
      </c>
      <c r="CU145" s="31"/>
    </row>
    <row r="146" spans="1:99" x14ac:dyDescent="0.25">
      <c r="A146" s="30">
        <v>98.128263281995174</v>
      </c>
      <c r="E146"/>
      <c r="BO146" s="27" t="s">
        <v>8</v>
      </c>
      <c r="CT146" s="31"/>
    </row>
    <row r="147" spans="1:99" x14ac:dyDescent="0.25">
      <c r="A147" s="30">
        <v>93.455488839995397</v>
      </c>
      <c r="E147"/>
      <c r="BO147" s="27" t="s">
        <v>8</v>
      </c>
      <c r="CS147" s="31"/>
    </row>
    <row r="148" spans="1:99" x14ac:dyDescent="0.25">
      <c r="A148" s="30">
        <v>89.005227466662276</v>
      </c>
      <c r="E148"/>
      <c r="BO148" s="27" t="s">
        <v>8</v>
      </c>
      <c r="CR148" s="31"/>
    </row>
    <row r="149" spans="1:99" x14ac:dyDescent="0.25">
      <c r="A149" s="30">
        <v>84.766883301583121</v>
      </c>
      <c r="E149"/>
      <c r="BO149" s="27" t="s">
        <v>8</v>
      </c>
      <c r="CQ149" s="31"/>
    </row>
    <row r="150" spans="1:99" x14ac:dyDescent="0.25">
      <c r="A150" s="30">
        <v>80.730365049126775</v>
      </c>
      <c r="E150"/>
      <c r="BO150" s="27" t="s">
        <v>8</v>
      </c>
      <c r="CP150" s="31"/>
    </row>
    <row r="151" spans="1:99" x14ac:dyDescent="0.25">
      <c r="A151" s="30">
        <v>76.886061951549308</v>
      </c>
      <c r="E151"/>
      <c r="BO151" s="27" t="s">
        <v>8</v>
      </c>
      <c r="CO151" s="31"/>
    </row>
    <row r="152" spans="1:99" x14ac:dyDescent="0.25">
      <c r="A152" s="30">
        <v>73.22482090623744</v>
      </c>
      <c r="E152"/>
      <c r="BO152" s="27" t="s">
        <v>8</v>
      </c>
      <c r="CN152" s="31"/>
    </row>
    <row r="153" spans="1:99" x14ac:dyDescent="0.25">
      <c r="A153" s="30">
        <v>69.737924672607079</v>
      </c>
      <c r="C153" s="7"/>
      <c r="D153"/>
      <c r="E153"/>
      <c r="BO153" s="27" t="s">
        <v>8</v>
      </c>
      <c r="CM153" s="31"/>
    </row>
    <row r="154" spans="1:99" x14ac:dyDescent="0.25">
      <c r="A154" s="30">
        <v>66.417071116768639</v>
      </c>
      <c r="E154"/>
      <c r="BO154" s="27" t="s">
        <v>8</v>
      </c>
      <c r="CL154" s="31"/>
    </row>
    <row r="155" spans="1:99" x14ac:dyDescent="0.25">
      <c r="A155" s="30">
        <v>63.254353444541557</v>
      </c>
      <c r="E155"/>
      <c r="BO155" s="27" t="s">
        <v>8</v>
      </c>
      <c r="CK155" s="31"/>
    </row>
    <row r="156" spans="1:99" x14ac:dyDescent="0.25">
      <c r="A156" s="30">
        <v>60.242241375753864</v>
      </c>
      <c r="C156"/>
      <c r="D156"/>
      <c r="E156"/>
      <c r="BO156" s="27" t="s">
        <v>8</v>
      </c>
      <c r="CJ156" s="31"/>
    </row>
    <row r="157" spans="1:99" x14ac:dyDescent="0.25">
      <c r="A157" s="30">
        <v>57.373563215003678</v>
      </c>
      <c r="E157"/>
      <c r="BO157" s="27" t="s">
        <v>8</v>
      </c>
      <c r="CI157" s="31"/>
    </row>
    <row r="158" spans="1:99" x14ac:dyDescent="0.25">
      <c r="A158" s="30">
        <v>54.641488776193974</v>
      </c>
      <c r="E158"/>
      <c r="BO158" s="27" t="s">
        <v>8</v>
      </c>
      <c r="CH158" s="31"/>
    </row>
    <row r="159" spans="1:99" x14ac:dyDescent="0.25">
      <c r="A159" s="30">
        <v>52.039513120184736</v>
      </c>
      <c r="E159"/>
      <c r="BO159" s="27" t="s">
        <v>8</v>
      </c>
      <c r="CG159" s="31"/>
    </row>
    <row r="160" spans="1:99" x14ac:dyDescent="0.25">
      <c r="A160" s="30">
        <v>49.561441066842605</v>
      </c>
      <c r="C160"/>
      <c r="E160"/>
      <c r="BO160" s="27" t="s">
        <v>8</v>
      </c>
      <c r="CF160" s="31"/>
    </row>
    <row r="161" spans="1:83" x14ac:dyDescent="0.25">
      <c r="A161" s="30">
        <v>47.201372444612005</v>
      </c>
      <c r="E161"/>
      <c r="BM161" s="27" t="s">
        <v>8</v>
      </c>
      <c r="BO161" s="27" t="s">
        <v>8</v>
      </c>
      <c r="CE161" s="31"/>
    </row>
    <row r="162" spans="1:83" x14ac:dyDescent="0.25">
      <c r="A162" s="30">
        <v>44.95368804248762</v>
      </c>
      <c r="E162"/>
      <c r="BK162" s="27" t="s">
        <v>8</v>
      </c>
      <c r="BM162" s="27" t="s">
        <v>8</v>
      </c>
      <c r="BN162" s="27" t="s">
        <v>7</v>
      </c>
      <c r="BO162" s="27" t="s">
        <v>8</v>
      </c>
      <c r="CD162" s="31"/>
    </row>
    <row r="163" spans="1:83" x14ac:dyDescent="0.25">
      <c r="A163" s="30">
        <v>42.81303623094059</v>
      </c>
      <c r="E163"/>
      <c r="BK163" s="27" t="s">
        <v>8</v>
      </c>
      <c r="BL163" s="27" t="s">
        <v>7</v>
      </c>
      <c r="BM163" s="27" t="s">
        <v>8</v>
      </c>
      <c r="BN163" s="27" t="s">
        <v>7</v>
      </c>
      <c r="BO163" s="27" t="s">
        <v>8</v>
      </c>
      <c r="CC163" s="31"/>
    </row>
    <row r="164" spans="1:83" x14ac:dyDescent="0.25">
      <c r="A164" s="30">
        <v>40.774320219943419</v>
      </c>
      <c r="E164"/>
      <c r="BK164" s="27" t="s">
        <v>8</v>
      </c>
      <c r="BL164" s="27" t="s">
        <v>7</v>
      </c>
      <c r="BM164" s="27" t="s">
        <v>8</v>
      </c>
      <c r="BN164" s="27" t="s">
        <v>7</v>
      </c>
      <c r="BO164" s="27" t="s">
        <v>8</v>
      </c>
      <c r="CB164" s="31"/>
    </row>
    <row r="165" spans="1:83" x14ac:dyDescent="0.25">
      <c r="A165" s="30">
        <v>38.832685923755633</v>
      </c>
      <c r="E165"/>
      <c r="AA165" s="27" t="s">
        <v>8</v>
      </c>
      <c r="BK165" s="27" t="s">
        <v>8</v>
      </c>
      <c r="BL165" s="27" t="s">
        <v>7</v>
      </c>
      <c r="BM165" s="27" t="s">
        <v>8</v>
      </c>
      <c r="BN165" s="27" t="s">
        <v>7</v>
      </c>
      <c r="BO165" s="27" t="s">
        <v>8</v>
      </c>
      <c r="CA165" s="31"/>
    </row>
    <row r="166" spans="1:83" x14ac:dyDescent="0.25">
      <c r="A166" s="30">
        <v>36.983510403576794</v>
      </c>
      <c r="E166"/>
      <c r="AA166" s="27" t="s">
        <v>8</v>
      </c>
      <c r="AB166" s="27" t="s">
        <v>7</v>
      </c>
      <c r="BK166" s="27" t="s">
        <v>8</v>
      </c>
      <c r="BL166" s="27" t="s">
        <v>7</v>
      </c>
      <c r="BM166" s="27" t="s">
        <v>8</v>
      </c>
      <c r="BN166" s="27" t="s">
        <v>7</v>
      </c>
      <c r="BZ166" s="31"/>
    </row>
    <row r="167" spans="1:83" x14ac:dyDescent="0.25">
      <c r="A167" s="30">
        <v>35.222390860549325</v>
      </c>
      <c r="E167"/>
      <c r="W167" s="27" t="s">
        <v>8</v>
      </c>
      <c r="Y167" s="27" t="s">
        <v>8</v>
      </c>
      <c r="AA167" s="27" t="s">
        <v>8</v>
      </c>
      <c r="AB167" s="27" t="s">
        <v>7</v>
      </c>
      <c r="BG167" s="27" t="s">
        <v>8</v>
      </c>
      <c r="BI167" s="27" t="s">
        <v>8</v>
      </c>
      <c r="BK167" s="27" t="s">
        <v>8</v>
      </c>
      <c r="BL167" s="27" t="s">
        <v>7</v>
      </c>
      <c r="BY167" s="31"/>
    </row>
    <row r="168" spans="1:83" x14ac:dyDescent="0.25">
      <c r="A168" s="30">
        <v>33.545134152904119</v>
      </c>
      <c r="E168"/>
      <c r="W168" s="27" t="s">
        <v>8</v>
      </c>
      <c r="X168" s="27" t="s">
        <v>7</v>
      </c>
      <c r="Y168" s="27" t="s">
        <v>8</v>
      </c>
      <c r="Z168" s="27" t="s">
        <v>7</v>
      </c>
      <c r="AA168" s="27" t="s">
        <v>8</v>
      </c>
      <c r="AB168" s="27" t="s">
        <v>7</v>
      </c>
      <c r="BG168" s="27" t="s">
        <v>8</v>
      </c>
      <c r="BH168" s="27" t="s">
        <v>7</v>
      </c>
      <c r="BI168" s="27" t="s">
        <v>8</v>
      </c>
      <c r="BJ168" s="27" t="s">
        <v>7</v>
      </c>
      <c r="BK168" s="27" t="s">
        <v>8</v>
      </c>
      <c r="BX168" s="31"/>
    </row>
    <row r="169" spans="1:83" x14ac:dyDescent="0.25">
      <c r="A169" s="30">
        <v>31.947746812289637</v>
      </c>
      <c r="E169"/>
      <c r="W169" s="27" t="s">
        <v>8</v>
      </c>
      <c r="X169" s="27" t="s">
        <v>7</v>
      </c>
      <c r="Y169" s="27" t="s">
        <v>8</v>
      </c>
      <c r="Z169" s="27" t="s">
        <v>7</v>
      </c>
      <c r="AA169" s="27" t="s">
        <v>8</v>
      </c>
      <c r="AB169" s="27" t="s">
        <v>7</v>
      </c>
      <c r="AC169" s="27" t="s">
        <v>8</v>
      </c>
      <c r="BC169" s="27" t="s">
        <v>8</v>
      </c>
      <c r="BE169" s="27" t="s">
        <v>8</v>
      </c>
      <c r="BG169" s="27" t="s">
        <v>8</v>
      </c>
      <c r="BH169" s="27" t="s">
        <v>7</v>
      </c>
      <c r="BI169" s="27" t="s">
        <v>8</v>
      </c>
      <c r="BJ169" s="27" t="s">
        <v>7</v>
      </c>
      <c r="BK169" s="27" t="s">
        <v>8</v>
      </c>
      <c r="BW169" s="31"/>
    </row>
    <row r="170" spans="1:83" x14ac:dyDescent="0.25">
      <c r="A170" s="30">
        <v>30.426425535513939</v>
      </c>
      <c r="E170"/>
      <c r="W170" s="27" t="s">
        <v>8</v>
      </c>
      <c r="X170" s="27" t="s">
        <v>7</v>
      </c>
      <c r="Y170" s="27" t="s">
        <v>8</v>
      </c>
      <c r="Z170" s="27" t="s">
        <v>7</v>
      </c>
      <c r="AB170" s="27" t="s">
        <v>7</v>
      </c>
      <c r="AC170" s="27" t="s">
        <v>8</v>
      </c>
      <c r="AD170" s="27" t="s">
        <v>7</v>
      </c>
      <c r="AE170" s="27" t="s">
        <v>8</v>
      </c>
      <c r="BC170" s="27" t="s">
        <v>8</v>
      </c>
      <c r="BD170" s="27" t="s">
        <v>7</v>
      </c>
      <c r="BE170" s="27" t="s">
        <v>8</v>
      </c>
      <c r="BF170" s="27" t="s">
        <v>7</v>
      </c>
      <c r="BG170" s="27" t="s">
        <v>8</v>
      </c>
      <c r="BH170" s="27" t="s">
        <v>7</v>
      </c>
      <c r="BI170" s="27" t="s">
        <v>8</v>
      </c>
      <c r="BJ170" s="27" t="s">
        <v>7</v>
      </c>
      <c r="BV170" s="31"/>
    </row>
    <row r="171" spans="1:83" x14ac:dyDescent="0.25">
      <c r="A171" s="30">
        <v>28.977548129060892</v>
      </c>
      <c r="E171"/>
      <c r="W171" s="27" t="s">
        <v>8</v>
      </c>
      <c r="X171" s="27" t="s">
        <v>7</v>
      </c>
      <c r="AB171" s="27" t="s">
        <v>7</v>
      </c>
      <c r="AC171" s="27" t="s">
        <v>8</v>
      </c>
      <c r="AD171" s="27" t="s">
        <v>7</v>
      </c>
      <c r="AE171" s="27" t="s">
        <v>8</v>
      </c>
      <c r="AF171" s="27" t="s">
        <v>7</v>
      </c>
      <c r="BC171" s="27" t="s">
        <v>8</v>
      </c>
      <c r="BD171" s="27" t="s">
        <v>7</v>
      </c>
      <c r="BE171" s="27" t="s">
        <v>8</v>
      </c>
      <c r="BF171" s="27" t="s">
        <v>7</v>
      </c>
      <c r="BG171" s="27" t="s">
        <v>8</v>
      </c>
      <c r="BH171" s="27" t="s">
        <v>7</v>
      </c>
      <c r="BI171" s="27" t="s">
        <v>8</v>
      </c>
      <c r="BU171" s="31"/>
    </row>
    <row r="172" spans="1:83" x14ac:dyDescent="0.25">
      <c r="A172" s="30">
        <v>27.597664884819896</v>
      </c>
      <c r="E172"/>
      <c r="U172" s="27" t="s">
        <v>8</v>
      </c>
      <c r="W172" s="27" t="s">
        <v>8</v>
      </c>
      <c r="AB172" s="27" t="s">
        <v>7</v>
      </c>
      <c r="AC172" s="27" t="s">
        <v>8</v>
      </c>
      <c r="AD172" s="27" t="s">
        <v>7</v>
      </c>
      <c r="AE172" s="27" t="s">
        <v>8</v>
      </c>
      <c r="AF172" s="27" t="s">
        <v>7</v>
      </c>
      <c r="BC172" s="27" t="s">
        <v>8</v>
      </c>
      <c r="BD172" s="27" t="s">
        <v>7</v>
      </c>
      <c r="BE172" s="27" t="s">
        <v>8</v>
      </c>
      <c r="BF172" s="27" t="s">
        <v>7</v>
      </c>
      <c r="BG172" s="27" t="s">
        <v>8</v>
      </c>
      <c r="BH172" s="27" t="s">
        <v>7</v>
      </c>
      <c r="BT172" s="31"/>
    </row>
    <row r="173" spans="1:83" x14ac:dyDescent="0.25">
      <c r="A173" s="30">
        <v>26.283490366495137</v>
      </c>
      <c r="E173"/>
      <c r="U173" s="27" t="s">
        <v>8</v>
      </c>
      <c r="V173" s="27" t="s">
        <v>7</v>
      </c>
      <c r="W173" s="27" t="s">
        <v>8</v>
      </c>
      <c r="AB173" s="27" t="s">
        <v>7</v>
      </c>
      <c r="AC173" s="27" t="s">
        <v>8</v>
      </c>
      <c r="AD173" s="27" t="s">
        <v>7</v>
      </c>
      <c r="AF173" s="27" t="s">
        <v>7</v>
      </c>
      <c r="AM173" s="27" t="s">
        <v>8</v>
      </c>
      <c r="BC173" s="27" t="s">
        <v>8</v>
      </c>
      <c r="BD173" s="27" t="s">
        <v>7</v>
      </c>
      <c r="BE173" s="27" t="s">
        <v>8</v>
      </c>
      <c r="BF173" s="27" t="s">
        <v>7</v>
      </c>
      <c r="BS173" s="31"/>
    </row>
    <row r="174" spans="1:83" x14ac:dyDescent="0.25">
      <c r="A174" s="30">
        <v>25.031895587138223</v>
      </c>
      <c r="E174"/>
      <c r="S174" s="27" t="s">
        <v>8</v>
      </c>
      <c r="U174" s="27" t="s">
        <v>8</v>
      </c>
      <c r="V174" s="27" t="s">
        <v>7</v>
      </c>
      <c r="W174" s="27" t="s">
        <v>8</v>
      </c>
      <c r="AB174" s="27" t="s">
        <v>7</v>
      </c>
      <c r="AF174" s="27" t="s">
        <v>7</v>
      </c>
      <c r="AM174" s="27" t="s">
        <v>8</v>
      </c>
      <c r="AN174" s="27" t="s">
        <v>7</v>
      </c>
      <c r="BA174" s="27" t="s">
        <v>8</v>
      </c>
      <c r="BC174" s="27" t="s">
        <v>8</v>
      </c>
      <c r="BD174" s="27" t="s">
        <v>7</v>
      </c>
      <c r="BE174" s="27" t="s">
        <v>8</v>
      </c>
      <c r="BR174" s="31"/>
    </row>
    <row r="175" spans="1:83" x14ac:dyDescent="0.25">
      <c r="A175" s="30">
        <v>23.839900559179259</v>
      </c>
      <c r="E175"/>
      <c r="S175" s="27" t="s">
        <v>8</v>
      </c>
      <c r="T175" s="27" t="s">
        <v>7</v>
      </c>
      <c r="U175" s="27" t="s">
        <v>8</v>
      </c>
      <c r="V175" s="27" t="s">
        <v>7</v>
      </c>
      <c r="AF175" s="27" t="s">
        <v>7</v>
      </c>
      <c r="AM175" s="27" t="s">
        <v>8</v>
      </c>
      <c r="AN175" s="27" t="s">
        <v>7</v>
      </c>
      <c r="BA175" s="27" t="s">
        <v>8</v>
      </c>
      <c r="BB175" s="27" t="s">
        <v>7</v>
      </c>
      <c r="BC175" s="27" t="s">
        <v>8</v>
      </c>
      <c r="BD175" s="27" t="s">
        <v>7</v>
      </c>
      <c r="BE175" s="27" t="s">
        <v>8</v>
      </c>
      <c r="BQ175" s="31"/>
    </row>
    <row r="176" spans="1:83" x14ac:dyDescent="0.25">
      <c r="A176" s="30">
        <v>22.704667199218342</v>
      </c>
      <c r="E176"/>
      <c r="S176" s="27" t="s">
        <v>8</v>
      </c>
      <c r="T176" s="27" t="s">
        <v>7</v>
      </c>
      <c r="U176" s="27" t="s">
        <v>8</v>
      </c>
      <c r="AF176" s="27" t="s">
        <v>7</v>
      </c>
      <c r="AM176" s="27" t="s">
        <v>8</v>
      </c>
      <c r="AN176" s="27" t="s">
        <v>7</v>
      </c>
      <c r="BA176" s="27" t="s">
        <v>8</v>
      </c>
      <c r="BB176" s="27" t="s">
        <v>7</v>
      </c>
      <c r="BC176" s="27" t="s">
        <v>8</v>
      </c>
      <c r="BD176" s="27" t="s">
        <v>7</v>
      </c>
      <c r="BP176" s="31"/>
    </row>
    <row r="177" spans="1:67" x14ac:dyDescent="0.25">
      <c r="A177" s="30">
        <v>21.623492570684135</v>
      </c>
      <c r="E177"/>
      <c r="S177" s="27" t="s">
        <v>8</v>
      </c>
      <c r="T177" s="27" t="s">
        <v>7</v>
      </c>
      <c r="U177" s="27" t="s">
        <v>8</v>
      </c>
      <c r="AF177" s="27" t="s">
        <v>7</v>
      </c>
      <c r="AI177" s="27" t="s">
        <v>8</v>
      </c>
      <c r="AM177" s="27" t="s">
        <v>8</v>
      </c>
      <c r="AN177" s="27" t="s">
        <v>7</v>
      </c>
      <c r="AO177" s="27" t="s">
        <v>8</v>
      </c>
      <c r="BA177" s="27" t="s">
        <v>8</v>
      </c>
      <c r="BB177" s="27" t="s">
        <v>7</v>
      </c>
      <c r="BC177" s="27" t="s">
        <v>8</v>
      </c>
      <c r="BO177" s="31"/>
    </row>
    <row r="178" spans="1:67" x14ac:dyDescent="0.25">
      <c r="A178" s="30">
        <v>20.593802448270605</v>
      </c>
      <c r="C178" s="7"/>
      <c r="D178"/>
      <c r="E178"/>
      <c r="S178" s="27" t="s">
        <v>8</v>
      </c>
      <c r="T178" s="27" t="s">
        <v>7</v>
      </c>
      <c r="U178" s="27" t="s">
        <v>8</v>
      </c>
      <c r="AF178" s="27" t="s">
        <v>7</v>
      </c>
      <c r="AI178" s="27" t="s">
        <v>8</v>
      </c>
      <c r="AJ178" s="27" t="s">
        <v>7</v>
      </c>
      <c r="AM178" s="27" t="s">
        <v>8</v>
      </c>
      <c r="AN178" s="27" t="s">
        <v>7</v>
      </c>
      <c r="AO178" s="27" t="s">
        <v>8</v>
      </c>
      <c r="AP178" s="27" t="s">
        <v>7</v>
      </c>
      <c r="BA178" s="27" t="s">
        <v>8</v>
      </c>
      <c r="BB178" s="27" t="s">
        <v>7</v>
      </c>
      <c r="BC178" s="27" t="s">
        <v>8</v>
      </c>
      <c r="BN178" s="31"/>
    </row>
    <row r="179" spans="1:67" x14ac:dyDescent="0.25">
      <c r="A179" s="30">
        <v>19.613145188829147</v>
      </c>
      <c r="E179"/>
      <c r="Q179" s="27" t="s">
        <v>8</v>
      </c>
      <c r="S179" s="27" t="s">
        <v>8</v>
      </c>
      <c r="T179" s="27" t="s">
        <v>7</v>
      </c>
      <c r="U179" s="27" t="s">
        <v>8</v>
      </c>
      <c r="AF179" s="27" t="s">
        <v>7</v>
      </c>
      <c r="AI179" s="27" t="s">
        <v>8</v>
      </c>
      <c r="AJ179" s="27" t="s">
        <v>7</v>
      </c>
      <c r="AM179" s="27" t="s">
        <v>8</v>
      </c>
      <c r="AN179" s="27" t="s">
        <v>7</v>
      </c>
      <c r="AO179" s="27" t="s">
        <v>8</v>
      </c>
      <c r="AP179" s="27" t="s">
        <v>7</v>
      </c>
      <c r="BA179" s="27" t="s">
        <v>8</v>
      </c>
      <c r="BB179" s="27" t="s">
        <v>7</v>
      </c>
      <c r="BC179" s="27" t="s">
        <v>8</v>
      </c>
      <c r="BM179" s="31"/>
    </row>
    <row r="180" spans="1:67" x14ac:dyDescent="0.25">
      <c r="A180" s="30">
        <v>18.679185894122998</v>
      </c>
      <c r="E180"/>
      <c r="Q180" s="27" t="s">
        <v>8</v>
      </c>
      <c r="R180" s="27" t="s">
        <v>7</v>
      </c>
      <c r="S180" s="27" t="s">
        <v>8</v>
      </c>
      <c r="T180" s="27" t="s">
        <v>7</v>
      </c>
      <c r="AF180" s="27" t="s">
        <v>7</v>
      </c>
      <c r="AG180" s="27" t="s">
        <v>8</v>
      </c>
      <c r="AI180" s="27" t="s">
        <v>8</v>
      </c>
      <c r="AJ180" s="27" t="s">
        <v>7</v>
      </c>
      <c r="AM180" s="27" t="s">
        <v>8</v>
      </c>
      <c r="AN180" s="27" t="s">
        <v>7</v>
      </c>
      <c r="AO180" s="27" t="s">
        <v>8</v>
      </c>
      <c r="AP180" s="27" t="s">
        <v>7</v>
      </c>
      <c r="BA180" s="27" t="s">
        <v>8</v>
      </c>
      <c r="BB180" s="27" t="s">
        <v>7</v>
      </c>
      <c r="BL180" s="31"/>
    </row>
    <row r="181" spans="1:67" x14ac:dyDescent="0.25">
      <c r="A181" s="30">
        <v>17.78970085154571</v>
      </c>
      <c r="C181"/>
      <c r="D181"/>
      <c r="E181"/>
      <c r="Q181" s="27" t="s">
        <v>8</v>
      </c>
      <c r="R181" s="27" t="s">
        <v>7</v>
      </c>
      <c r="S181" s="27" t="s">
        <v>8</v>
      </c>
      <c r="AF181" s="27" t="s">
        <v>7</v>
      </c>
      <c r="AG181" s="27" t="s">
        <v>8</v>
      </c>
      <c r="AH181" s="27" t="s">
        <v>7</v>
      </c>
      <c r="AI181" s="27" t="s">
        <v>8</v>
      </c>
      <c r="AJ181" s="27" t="s">
        <v>7</v>
      </c>
      <c r="AM181" s="27" t="s">
        <v>8</v>
      </c>
      <c r="AN181" s="27" t="s">
        <v>7</v>
      </c>
      <c r="AP181" s="27" t="s">
        <v>7</v>
      </c>
      <c r="AW181" s="27" t="s">
        <v>8</v>
      </c>
      <c r="AY181" s="27" t="s">
        <v>8</v>
      </c>
      <c r="BA181" s="27" t="s">
        <v>8</v>
      </c>
      <c r="BK181" s="31"/>
    </row>
    <row r="182" spans="1:67" x14ac:dyDescent="0.25">
      <c r="A182" s="30">
        <v>16.942572239567344</v>
      </c>
      <c r="E182"/>
      <c r="Q182" s="27" t="s">
        <v>8</v>
      </c>
      <c r="R182" s="27" t="s">
        <v>7</v>
      </c>
      <c r="AF182" s="27" t="s">
        <v>7</v>
      </c>
      <c r="AG182" s="27" t="s">
        <v>8</v>
      </c>
      <c r="AH182" s="27" t="s">
        <v>7</v>
      </c>
      <c r="AI182" s="27" t="s">
        <v>8</v>
      </c>
      <c r="AJ182" s="27" t="s">
        <v>7</v>
      </c>
      <c r="AM182" s="27" t="s">
        <v>8</v>
      </c>
      <c r="AP182" s="27" t="s">
        <v>7</v>
      </c>
      <c r="AW182" s="27" t="s">
        <v>8</v>
      </c>
      <c r="AX182" s="27" t="s">
        <v>7</v>
      </c>
      <c r="AY182" s="27" t="s">
        <v>8</v>
      </c>
      <c r="AZ182" s="27" t="s">
        <v>7</v>
      </c>
      <c r="BA182" s="27" t="s">
        <v>8</v>
      </c>
      <c r="BJ182" s="31"/>
    </row>
    <row r="183" spans="1:67" x14ac:dyDescent="0.25">
      <c r="A183" s="30">
        <v>16.135783085302233</v>
      </c>
      <c r="E183"/>
      <c r="Q183" s="27" t="s">
        <v>8</v>
      </c>
      <c r="AF183" s="27" t="s">
        <v>7</v>
      </c>
      <c r="AG183" s="27" t="s">
        <v>8</v>
      </c>
      <c r="AH183" s="27" t="s">
        <v>7</v>
      </c>
      <c r="AJ183" s="27" t="s">
        <v>7</v>
      </c>
      <c r="AK183" s="27" t="s">
        <v>8</v>
      </c>
      <c r="AM183" s="27" t="s">
        <v>8</v>
      </c>
      <c r="AP183" s="27" t="s">
        <v>7</v>
      </c>
      <c r="AW183" s="27" t="s">
        <v>8</v>
      </c>
      <c r="AX183" s="27" t="s">
        <v>7</v>
      </c>
      <c r="AY183" s="27" t="s">
        <v>8</v>
      </c>
      <c r="AZ183" s="27" t="s">
        <v>7</v>
      </c>
      <c r="BA183" s="27" t="s">
        <v>8</v>
      </c>
      <c r="BI183" s="31"/>
    </row>
    <row r="184" spans="1:67" x14ac:dyDescent="0.25">
      <c r="A184" s="30">
        <v>15.367412462192602</v>
      </c>
      <c r="E184"/>
      <c r="Q184" s="27" t="s">
        <v>8</v>
      </c>
      <c r="AF184" s="27" t="s">
        <v>7</v>
      </c>
      <c r="AG184" s="27" t="s">
        <v>8</v>
      </c>
      <c r="AJ184" s="27" t="s">
        <v>7</v>
      </c>
      <c r="AK184" s="27" t="s">
        <v>8</v>
      </c>
      <c r="AL184" s="27" t="s">
        <v>7</v>
      </c>
      <c r="AM184" s="27" t="s">
        <v>8</v>
      </c>
      <c r="AP184" s="27" t="s">
        <v>7</v>
      </c>
      <c r="AW184" s="27" t="s">
        <v>8</v>
      </c>
      <c r="AX184" s="27" t="s">
        <v>7</v>
      </c>
      <c r="AY184" s="27" t="s">
        <v>8</v>
      </c>
      <c r="AZ184" s="27" t="s">
        <v>7</v>
      </c>
      <c r="BH184" s="31"/>
    </row>
    <row r="185" spans="1:67" x14ac:dyDescent="0.25">
      <c r="A185" s="30">
        <v>14.635630916373906</v>
      </c>
      <c r="C185"/>
      <c r="E185"/>
      <c r="Q185" s="27" t="s">
        <v>8</v>
      </c>
      <c r="AF185" s="27" t="s">
        <v>7</v>
      </c>
      <c r="AJ185" s="27" t="s">
        <v>7</v>
      </c>
      <c r="AK185" s="27" t="s">
        <v>8</v>
      </c>
      <c r="AL185" s="27" t="s">
        <v>7</v>
      </c>
      <c r="AM185" s="27" t="s">
        <v>8</v>
      </c>
      <c r="AP185" s="27" t="s">
        <v>7</v>
      </c>
      <c r="AW185" s="27" t="s">
        <v>8</v>
      </c>
      <c r="AX185" s="27" t="s">
        <v>7</v>
      </c>
      <c r="AY185" s="27" t="s">
        <v>8</v>
      </c>
      <c r="BG185" s="31"/>
    </row>
    <row r="186" spans="1:67" x14ac:dyDescent="0.25">
      <c r="A186" s="30">
        <v>13.938696110832291</v>
      </c>
      <c r="E186"/>
      <c r="Q186" s="27" t="s">
        <v>8</v>
      </c>
      <c r="AJ186" s="27" t="s">
        <v>7</v>
      </c>
      <c r="AL186" s="27" t="s">
        <v>7</v>
      </c>
      <c r="AM186" s="27" t="s">
        <v>8</v>
      </c>
      <c r="AP186" s="27" t="s">
        <v>7</v>
      </c>
      <c r="AW186" s="27" t="s">
        <v>8</v>
      </c>
      <c r="AX186" s="27" t="s">
        <v>7</v>
      </c>
      <c r="BF186" s="31"/>
    </row>
    <row r="187" spans="1:6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Q187" s="27" t="s">
        <v>8</v>
      </c>
      <c r="AL187" s="27" t="s">
        <v>7</v>
      </c>
      <c r="AM187" s="27" t="s">
        <v>8</v>
      </c>
      <c r="AP187" s="27" t="s">
        <v>7</v>
      </c>
      <c r="AS187" s="27" t="s">
        <v>8</v>
      </c>
      <c r="AU187" s="27" t="s">
        <v>8</v>
      </c>
      <c r="AW187" s="27" t="s">
        <v>8</v>
      </c>
      <c r="BE187" s="31"/>
    </row>
    <row r="188" spans="1:67" x14ac:dyDescent="0.25">
      <c r="A188" s="30">
        <v>12.64280826379346</v>
      </c>
      <c r="E188"/>
      <c r="Q188" s="27" t="s">
        <v>8</v>
      </c>
      <c r="AL188" s="27" t="s">
        <v>7</v>
      </c>
      <c r="AP188" s="27" t="s">
        <v>7</v>
      </c>
      <c r="AS188" s="27" t="s">
        <v>8</v>
      </c>
      <c r="AT188" s="27" t="s">
        <v>7</v>
      </c>
      <c r="AU188" s="27" t="s">
        <v>8</v>
      </c>
      <c r="AV188" s="27" t="s">
        <v>7</v>
      </c>
      <c r="AW188" s="27" t="s">
        <v>8</v>
      </c>
      <c r="BD188" s="31"/>
    </row>
    <row r="189" spans="1:67" x14ac:dyDescent="0.25">
      <c r="A189" s="30">
        <v>12.04076977504139</v>
      </c>
      <c r="E189"/>
      <c r="Q189" s="27" t="s">
        <v>8</v>
      </c>
      <c r="AP189" s="27" t="s">
        <v>7</v>
      </c>
      <c r="AS189" s="27" t="s">
        <v>8</v>
      </c>
      <c r="AT189" s="27" t="s">
        <v>7</v>
      </c>
      <c r="AU189" s="27" t="s">
        <v>8</v>
      </c>
      <c r="AV189" s="27" t="s">
        <v>7</v>
      </c>
      <c r="AW189" s="27" t="s">
        <v>8</v>
      </c>
      <c r="BC189" s="31"/>
    </row>
    <row r="190" spans="1:67" x14ac:dyDescent="0.25">
      <c r="A190" s="30">
        <v>11.467399785753704</v>
      </c>
      <c r="E190"/>
      <c r="Q190" s="27" t="s">
        <v>8</v>
      </c>
      <c r="AP190" s="27" t="s">
        <v>7</v>
      </c>
      <c r="AS190" s="27" t="s">
        <v>8</v>
      </c>
      <c r="AT190" s="27" t="s">
        <v>7</v>
      </c>
      <c r="AU190" s="27" t="s">
        <v>8</v>
      </c>
      <c r="AV190" s="27" t="s">
        <v>7</v>
      </c>
      <c r="BB190" s="31"/>
    </row>
    <row r="191" spans="1:67" x14ac:dyDescent="0.25">
      <c r="A191" s="30">
        <v>10.921333129289241</v>
      </c>
      <c r="E191"/>
      <c r="O191" s="27" t="s">
        <v>8</v>
      </c>
      <c r="Q191" s="27" t="s">
        <v>8</v>
      </c>
      <c r="AP191" s="27" t="s">
        <v>7</v>
      </c>
      <c r="AQ191" s="27" t="s">
        <v>8</v>
      </c>
      <c r="AS191" s="27" t="s">
        <v>8</v>
      </c>
      <c r="AT191" s="27" t="s">
        <v>7</v>
      </c>
      <c r="BA191" s="31"/>
    </row>
    <row r="192" spans="1:67" x14ac:dyDescent="0.25">
      <c r="A192" s="30">
        <v>10.401269646942135</v>
      </c>
      <c r="E192"/>
      <c r="O192" s="27" t="s">
        <v>8</v>
      </c>
      <c r="P192" s="27" t="s">
        <v>7</v>
      </c>
      <c r="Q192" s="27" t="s">
        <v>8</v>
      </c>
      <c r="AP192" s="27" t="s">
        <v>7</v>
      </c>
      <c r="AQ192" s="27" t="s">
        <v>8</v>
      </c>
      <c r="AR192" s="27" t="s">
        <v>7</v>
      </c>
      <c r="AS192" s="27" t="s">
        <v>8</v>
      </c>
      <c r="AZ192" s="31"/>
    </row>
    <row r="193" spans="1:51" x14ac:dyDescent="0.25">
      <c r="A193" s="30">
        <v>9.9059710923258422</v>
      </c>
      <c r="E193" t="s">
        <v>8</v>
      </c>
      <c r="O193" s="27" t="s">
        <v>8</v>
      </c>
      <c r="P193" s="27" t="s">
        <v>7</v>
      </c>
      <c r="Q193" s="27" t="s">
        <v>8</v>
      </c>
      <c r="AP193" s="27" t="s">
        <v>7</v>
      </c>
      <c r="AQ193" s="27" t="s">
        <v>8</v>
      </c>
      <c r="AR193" s="27" t="s">
        <v>7</v>
      </c>
      <c r="AS193" s="27" t="s">
        <v>8</v>
      </c>
      <c r="AY193" s="31"/>
    </row>
    <row r="194" spans="1:51" x14ac:dyDescent="0.25">
      <c r="A194" s="30">
        <v>9.4342581831674686</v>
      </c>
      <c r="E194" t="s">
        <v>8</v>
      </c>
      <c r="F194" s="27" t="s">
        <v>7</v>
      </c>
      <c r="O194" s="27" t="s">
        <v>8</v>
      </c>
      <c r="P194" s="27" t="s">
        <v>7</v>
      </c>
      <c r="AP194" s="27" t="s">
        <v>7</v>
      </c>
      <c r="AQ194" s="27" t="s">
        <v>8</v>
      </c>
      <c r="AR194" s="27" t="s">
        <v>7</v>
      </c>
      <c r="AS194" s="27" t="s">
        <v>8</v>
      </c>
      <c r="AX194" s="31"/>
    </row>
    <row r="195" spans="1:51" x14ac:dyDescent="0.25">
      <c r="A195" s="30">
        <v>8.9850077934928265</v>
      </c>
      <c r="E195" t="s">
        <v>8</v>
      </c>
      <c r="F195" s="27" t="s">
        <v>7</v>
      </c>
      <c r="O195" s="27" t="s">
        <v>8</v>
      </c>
      <c r="AP195" s="27" t="s">
        <v>7</v>
      </c>
      <c r="AQ195" s="27" t="s">
        <v>8</v>
      </c>
      <c r="AR195" s="27" t="s">
        <v>7</v>
      </c>
      <c r="AS195" s="27" t="s">
        <v>8</v>
      </c>
      <c r="AW195" s="31"/>
    </row>
    <row r="196" spans="1:51" x14ac:dyDescent="0.25">
      <c r="A196" s="30">
        <v>8.5571502795169767</v>
      </c>
      <c r="E196" t="s">
        <v>8</v>
      </c>
      <c r="F196" s="27" t="s">
        <v>7</v>
      </c>
      <c r="O196" s="27" t="s">
        <v>8</v>
      </c>
      <c r="AP196" s="27" t="s">
        <v>7</v>
      </c>
      <c r="AQ196" s="27" t="s">
        <v>8</v>
      </c>
      <c r="AR196" s="27" t="s">
        <v>7</v>
      </c>
      <c r="AV196" s="31"/>
    </row>
    <row r="197" spans="1:51" x14ac:dyDescent="0.25">
      <c r="A197" s="30">
        <v>8.1496669328733109</v>
      </c>
      <c r="E197" t="s">
        <v>8</v>
      </c>
      <c r="F197" s="27" t="s">
        <v>7</v>
      </c>
      <c r="O197" s="27" t="s">
        <v>8</v>
      </c>
      <c r="AP197" s="27" t="s">
        <v>7</v>
      </c>
      <c r="AQ197" s="27" t="s">
        <v>8</v>
      </c>
      <c r="AU197" s="31"/>
    </row>
    <row r="198" spans="1:51" x14ac:dyDescent="0.25">
      <c r="A198" s="30">
        <v>7.7615875551174378</v>
      </c>
      <c r="E198" t="s">
        <v>8</v>
      </c>
      <c r="F198" s="27" t="s">
        <v>7</v>
      </c>
      <c r="O198" s="27" t="s">
        <v>8</v>
      </c>
      <c r="AP198" s="27" t="s">
        <v>7</v>
      </c>
      <c r="AQ198" s="27" t="s">
        <v>8</v>
      </c>
      <c r="AT198" s="31"/>
    </row>
    <row r="199" spans="1:51" x14ac:dyDescent="0.25">
      <c r="A199" s="30">
        <v>7.3919881477308929</v>
      </c>
      <c r="E199" t="s">
        <v>8</v>
      </c>
      <c r="F199" s="27" t="s">
        <v>7</v>
      </c>
      <c r="O199" s="27" t="s">
        <v>8</v>
      </c>
      <c r="AP199" s="27" t="s">
        <v>7</v>
      </c>
      <c r="AQ199" s="27" t="s">
        <v>8</v>
      </c>
      <c r="AS199" s="31"/>
    </row>
    <row r="200" spans="1:51" x14ac:dyDescent="0.25">
      <c r="A200" s="30">
        <v>7.0399887121246598</v>
      </c>
      <c r="E200" t="s">
        <v>8</v>
      </c>
      <c r="F200" s="27" t="s">
        <v>7</v>
      </c>
      <c r="M200" s="27" t="s">
        <v>8</v>
      </c>
      <c r="O200" s="27" t="s">
        <v>8</v>
      </c>
      <c r="AP200" s="27" t="s">
        <v>7</v>
      </c>
      <c r="AQ200" s="27" t="s">
        <v>8</v>
      </c>
      <c r="AR200" s="31"/>
    </row>
    <row r="201" spans="1:51" x14ac:dyDescent="0.25">
      <c r="A201" s="30">
        <v>6.7047511544044376</v>
      </c>
      <c r="E201" t="s">
        <v>8</v>
      </c>
      <c r="F201" s="27" t="s">
        <v>7</v>
      </c>
      <c r="K201" s="27" t="s">
        <v>8</v>
      </c>
      <c r="M201" s="27" t="s">
        <v>8</v>
      </c>
      <c r="N201" s="27" t="s">
        <v>7</v>
      </c>
      <c r="O201" s="27" t="s">
        <v>8</v>
      </c>
      <c r="AP201" s="27" t="s">
        <v>7</v>
      </c>
      <c r="AQ201" s="31" t="s">
        <v>8</v>
      </c>
    </row>
    <row r="202" spans="1:51" x14ac:dyDescent="0.25">
      <c r="A202" s="30">
        <v>6.3854772899089882</v>
      </c>
      <c r="E202" t="s">
        <v>8</v>
      </c>
      <c r="F202" s="27" t="s">
        <v>7</v>
      </c>
      <c r="G202" s="27" t="s">
        <v>8</v>
      </c>
      <c r="I202" s="27" t="s">
        <v>8</v>
      </c>
      <c r="K202" s="27" t="s">
        <v>8</v>
      </c>
      <c r="L202" s="27" t="s">
        <v>7</v>
      </c>
      <c r="M202" s="27" t="s">
        <v>8</v>
      </c>
      <c r="N202" s="27" t="s">
        <v>7</v>
      </c>
      <c r="O202" s="27" t="s">
        <v>8</v>
      </c>
      <c r="AP202" s="31" t="s">
        <v>7</v>
      </c>
    </row>
    <row r="203" spans="1:51" x14ac:dyDescent="0.25">
      <c r="A203" s="30">
        <v>6.0814069427704647</v>
      </c>
      <c r="C203" s="7"/>
      <c r="D203"/>
      <c r="E203" t="s">
        <v>8</v>
      </c>
      <c r="F203" s="27" t="s">
        <v>7</v>
      </c>
      <c r="G203" s="27" t="s">
        <v>8</v>
      </c>
      <c r="H203" s="27" t="s">
        <v>7</v>
      </c>
      <c r="I203" s="27" t="s">
        <v>8</v>
      </c>
      <c r="J203" s="27" t="s">
        <v>7</v>
      </c>
      <c r="K203" s="27" t="s">
        <v>8</v>
      </c>
      <c r="L203" s="27" t="s">
        <v>7</v>
      </c>
      <c r="M203" s="27" t="s">
        <v>8</v>
      </c>
      <c r="N203" s="27" t="s">
        <v>7</v>
      </c>
    </row>
    <row r="204" spans="1:51" x14ac:dyDescent="0.25">
      <c r="A204" s="30">
        <v>5.7918161359718709</v>
      </c>
      <c r="E204" t="s">
        <v>8</v>
      </c>
      <c r="F204" s="27" t="s">
        <v>7</v>
      </c>
      <c r="G204" s="27" t="s">
        <v>8</v>
      </c>
      <c r="H204" s="27" t="s">
        <v>7</v>
      </c>
      <c r="I204" s="27" t="s">
        <v>8</v>
      </c>
      <c r="J204" s="27" t="s">
        <v>7</v>
      </c>
      <c r="K204" s="27" t="s">
        <v>8</v>
      </c>
      <c r="L204" s="27" t="s">
        <v>7</v>
      </c>
      <c r="M204" s="27" t="s">
        <v>8</v>
      </c>
    </row>
    <row r="205" spans="1:51" x14ac:dyDescent="0.25">
      <c r="A205" s="30">
        <v>5.5160153675922574</v>
      </c>
      <c r="E205" t="s">
        <v>8</v>
      </c>
      <c r="F205" s="27" t="s">
        <v>7</v>
      </c>
      <c r="G205" s="27" t="s">
        <v>8</v>
      </c>
      <c r="H205" s="27" t="s">
        <v>7</v>
      </c>
      <c r="I205" s="27" t="s">
        <v>8</v>
      </c>
      <c r="J205" s="27" t="s">
        <v>7</v>
      </c>
      <c r="K205" s="27" t="s">
        <v>8</v>
      </c>
      <c r="L205" s="27" t="s">
        <v>7</v>
      </c>
    </row>
    <row r="206" spans="1:51" x14ac:dyDescent="0.25">
      <c r="A206" s="30">
        <v>5.2533479691354827</v>
      </c>
      <c r="C206"/>
      <c r="D206"/>
      <c r="E206" t="s">
        <v>8</v>
      </c>
      <c r="F206" s="27" t="s">
        <v>7</v>
      </c>
      <c r="G206" s="27" t="s">
        <v>8</v>
      </c>
      <c r="H206" s="27" t="s">
        <v>7</v>
      </c>
      <c r="I206" s="27" t="s">
        <v>8</v>
      </c>
      <c r="J206" s="27" t="s">
        <v>7</v>
      </c>
    </row>
    <row r="207" spans="1:51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H207" s="27" t="s">
        <v>7</v>
      </c>
      <c r="I207" s="27" t="s">
        <v>8</v>
      </c>
    </row>
    <row r="208" spans="1:51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  <c r="I208" s="27" t="s">
        <v>8</v>
      </c>
    </row>
    <row r="209" spans="1:9" x14ac:dyDescent="0.25">
      <c r="A209" s="30">
        <v>4.5380394939082018</v>
      </c>
      <c r="E209" t="s">
        <v>8</v>
      </c>
      <c r="F209" s="27" t="s">
        <v>7</v>
      </c>
      <c r="H209" s="27" t="s">
        <v>7</v>
      </c>
      <c r="I209" s="27" t="s">
        <v>8</v>
      </c>
    </row>
    <row r="210" spans="1:9" x14ac:dyDescent="0.25">
      <c r="A210" s="30">
        <v>4.3219423751506678</v>
      </c>
      <c r="C210"/>
      <c r="E210" t="s">
        <v>8</v>
      </c>
      <c r="H210" s="27" t="s">
        <v>7</v>
      </c>
    </row>
    <row r="211" spans="1:9" x14ac:dyDescent="0.25">
      <c r="A211" s="30">
        <v>4.1161355953815884</v>
      </c>
      <c r="E211" t="s">
        <v>8</v>
      </c>
    </row>
    <row r="212" spans="1:9" x14ac:dyDescent="0.25">
      <c r="A212" s="30">
        <v>3.9201291384586554</v>
      </c>
      <c r="E212" t="s">
        <v>8</v>
      </c>
    </row>
    <row r="213" spans="1:9" x14ac:dyDescent="0.25">
      <c r="A213" s="30">
        <v>3.7334563223415764</v>
      </c>
      <c r="E213" t="s">
        <v>8</v>
      </c>
    </row>
    <row r="214" spans="1:9" x14ac:dyDescent="0.25">
      <c r="A214" s="30">
        <v>3.5556726879443583</v>
      </c>
      <c r="E214" t="s">
        <v>8</v>
      </c>
    </row>
    <row r="215" spans="1:9" x14ac:dyDescent="0.25">
      <c r="A215" s="30">
        <v>3.3863549408993889</v>
      </c>
      <c r="E215" t="s">
        <v>8</v>
      </c>
    </row>
    <row r="216" spans="1:9" x14ac:dyDescent="0.25">
      <c r="A216" s="30">
        <v>3.2250999437137038</v>
      </c>
      <c r="E216" t="s">
        <v>8</v>
      </c>
    </row>
    <row r="217" spans="1:9" x14ac:dyDescent="0.25">
      <c r="A217" s="30">
        <v>3.0715237559178128</v>
      </c>
      <c r="E217" t="s">
        <v>8</v>
      </c>
    </row>
    <row r="218" spans="1:9" x14ac:dyDescent="0.25">
      <c r="A218" s="30">
        <v>2.9252607199217264</v>
      </c>
      <c r="E218" t="s">
        <v>8</v>
      </c>
    </row>
    <row r="219" spans="1:9" x14ac:dyDescent="0.25">
      <c r="A219" s="30">
        <v>2.7859625904016441</v>
      </c>
      <c r="E219" t="s">
        <v>8</v>
      </c>
    </row>
    <row r="220" spans="1:9" x14ac:dyDescent="0.25">
      <c r="A220" s="30">
        <v>2.6532977051444226</v>
      </c>
      <c r="E220" t="s">
        <v>8</v>
      </c>
    </row>
    <row r="221" spans="1:9" x14ac:dyDescent="0.25">
      <c r="A221" s="30">
        <v>2.5269501953756404</v>
      </c>
      <c r="E221" t="s">
        <v>8</v>
      </c>
    </row>
    <row r="222" spans="1:9" x14ac:dyDescent="0.25">
      <c r="A222" s="30">
        <v>2.4066192336910861</v>
      </c>
      <c r="E222" t="s">
        <v>8</v>
      </c>
    </row>
    <row r="223" spans="1:9" x14ac:dyDescent="0.25">
      <c r="A223" s="30">
        <v>2.2920183178010345</v>
      </c>
      <c r="E223" t="s">
        <v>8</v>
      </c>
    </row>
    <row r="224" spans="1:9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49" zoomScale="90" zoomScaleNormal="90" workbookViewId="0">
      <pane xSplit="4" topLeftCell="G1" activePane="topRight" state="frozen"/>
      <selection activeCell="A109" sqref="A109"/>
      <selection pane="topRight" activeCell="AL59" sqref="AL5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38" x14ac:dyDescent="0.25">
      <c r="A49" s="30">
        <v>955.59381772732638</v>
      </c>
      <c r="C49" s="1">
        <f>C38</f>
        <v>0</v>
      </c>
      <c r="E49"/>
    </row>
    <row r="50" spans="1:38" x14ac:dyDescent="0.25">
      <c r="A50" s="30">
        <v>868.72165247938756</v>
      </c>
      <c r="C50"/>
      <c r="D50"/>
      <c r="E50"/>
    </row>
    <row r="51" spans="1:38" x14ac:dyDescent="0.25">
      <c r="A51" s="30">
        <v>789.74695679944318</v>
      </c>
      <c r="C51" s="1" t="s">
        <v>14</v>
      </c>
      <c r="E51"/>
    </row>
    <row r="52" spans="1:38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38" x14ac:dyDescent="0.25">
      <c r="A53" s="30">
        <v>652.68343537144051</v>
      </c>
      <c r="E53"/>
      <c r="AC53" s="31" t="s">
        <v>8</v>
      </c>
      <c r="AK53" s="27" t="s">
        <v>8</v>
      </c>
    </row>
    <row r="54" spans="1:38" x14ac:dyDescent="0.25">
      <c r="A54" s="30">
        <v>593.34857761040041</v>
      </c>
      <c r="E54"/>
      <c r="AA54" s="27" t="s">
        <v>8</v>
      </c>
      <c r="AC54" s="27" t="s">
        <v>8</v>
      </c>
      <c r="AD54" s="31" t="s">
        <v>7</v>
      </c>
      <c r="AK54" s="27" t="s">
        <v>8</v>
      </c>
      <c r="AL54" s="27" t="s">
        <v>7</v>
      </c>
    </row>
    <row r="55" spans="1:38" x14ac:dyDescent="0.25">
      <c r="A55" s="30">
        <v>539.40779782763673</v>
      </c>
      <c r="E55"/>
      <c r="AA55" s="27" t="s">
        <v>8</v>
      </c>
      <c r="AB55" s="27" t="s">
        <v>7</v>
      </c>
      <c r="AC55" s="27" t="s">
        <v>8</v>
      </c>
      <c r="AD55" s="27" t="s">
        <v>7</v>
      </c>
      <c r="AE55" s="31"/>
      <c r="AK55" s="27" t="s">
        <v>8</v>
      </c>
      <c r="AL55" s="27" t="s">
        <v>7</v>
      </c>
    </row>
    <row r="56" spans="1:38" x14ac:dyDescent="0.25">
      <c r="A56" s="30">
        <v>490.37072529785149</v>
      </c>
      <c r="E56"/>
      <c r="AA56" s="27" t="s">
        <v>8</v>
      </c>
      <c r="AB56" s="27" t="s">
        <v>7</v>
      </c>
      <c r="AC56" s="27" t="s">
        <v>8</v>
      </c>
      <c r="AD56" s="27" t="s">
        <v>7</v>
      </c>
      <c r="AF56" s="31"/>
      <c r="AI56" s="27" t="s">
        <v>8</v>
      </c>
      <c r="AK56" s="27" t="s">
        <v>8</v>
      </c>
      <c r="AL56" s="27" t="s">
        <v>7</v>
      </c>
    </row>
    <row r="57" spans="1:38" x14ac:dyDescent="0.25">
      <c r="A57" s="30">
        <v>445.79156845259223</v>
      </c>
      <c r="E57"/>
      <c r="AA57" s="27" t="s">
        <v>8</v>
      </c>
      <c r="AB57" s="27" t="s">
        <v>7</v>
      </c>
      <c r="AD57" s="27" t="s">
        <v>7</v>
      </c>
      <c r="AG57" s="31"/>
      <c r="AI57" s="34" t="s">
        <v>8</v>
      </c>
      <c r="AJ57" s="27" t="s">
        <v>7</v>
      </c>
      <c r="AK57" s="27" t="s">
        <v>8</v>
      </c>
      <c r="AL57" s="27" t="s">
        <v>7</v>
      </c>
    </row>
    <row r="58" spans="1:38" x14ac:dyDescent="0.25">
      <c r="A58" s="30">
        <v>405.26506222962928</v>
      </c>
      <c r="E58"/>
      <c r="AA58" s="27" t="s">
        <v>8</v>
      </c>
      <c r="AD58" s="33" t="s">
        <v>7</v>
      </c>
      <c r="AE58" s="32" t="s">
        <v>8</v>
      </c>
      <c r="AG58" s="32" t="s">
        <v>8</v>
      </c>
      <c r="AH58" s="31"/>
      <c r="AI58" s="27" t="s">
        <v>8</v>
      </c>
      <c r="AJ58" s="27" t="s">
        <v>7</v>
      </c>
      <c r="AK58" s="27" t="s">
        <v>8</v>
      </c>
      <c r="AL58" s="27" t="s">
        <v>7</v>
      </c>
    </row>
    <row r="59" spans="1:38" x14ac:dyDescent="0.25">
      <c r="A59" s="30">
        <v>368.42278384511752</v>
      </c>
      <c r="E59"/>
      <c r="AA59" s="27" t="s">
        <v>8</v>
      </c>
      <c r="AD59" s="27" t="s">
        <v>7</v>
      </c>
      <c r="AE59" s="27" t="s">
        <v>8</v>
      </c>
      <c r="AF59" s="27" t="s">
        <v>7</v>
      </c>
      <c r="AG59" s="27" t="s">
        <v>8</v>
      </c>
      <c r="AH59" s="27" t="s">
        <v>7</v>
      </c>
      <c r="AI59" s="31" t="s">
        <v>8</v>
      </c>
      <c r="AJ59" s="27" t="s">
        <v>7</v>
      </c>
      <c r="AK59" s="27" t="s">
        <v>8</v>
      </c>
      <c r="AL59" s="27" t="s">
        <v>7</v>
      </c>
    </row>
    <row r="60" spans="1:38" x14ac:dyDescent="0.25">
      <c r="A60" s="30">
        <v>334.92980349556137</v>
      </c>
      <c r="E60"/>
      <c r="S60" s="27" t="s">
        <v>8</v>
      </c>
      <c r="AA60" s="27" t="s">
        <v>8</v>
      </c>
      <c r="AD60" s="27" t="s">
        <v>7</v>
      </c>
      <c r="AE60" s="27" t="s">
        <v>8</v>
      </c>
      <c r="AF60" s="27" t="s">
        <v>7</v>
      </c>
      <c r="AG60" s="27" t="s">
        <v>8</v>
      </c>
      <c r="AH60" s="27" t="s">
        <v>7</v>
      </c>
      <c r="AI60" s="18" t="s">
        <v>8</v>
      </c>
      <c r="AJ60" s="31" t="s">
        <v>7</v>
      </c>
    </row>
    <row r="61" spans="1:38" x14ac:dyDescent="0.25">
      <c r="A61" s="30">
        <v>304.48163954141938</v>
      </c>
      <c r="E61"/>
      <c r="S61" s="27" t="s">
        <v>8</v>
      </c>
      <c r="T61" s="27" t="s">
        <v>7</v>
      </c>
      <c r="U61" s="27" t="s">
        <v>8</v>
      </c>
      <c r="Y61" s="34" t="s">
        <v>8</v>
      </c>
      <c r="AA61" s="27" t="s">
        <v>8</v>
      </c>
      <c r="AD61" s="27" t="s">
        <v>7</v>
      </c>
      <c r="AF61" s="27" t="s">
        <v>7</v>
      </c>
      <c r="AG61" s="27" t="s">
        <v>8</v>
      </c>
      <c r="AH61" s="27" t="s">
        <v>7</v>
      </c>
      <c r="AI61" s="27" t="s">
        <v>8</v>
      </c>
      <c r="AK61" s="31"/>
    </row>
    <row r="62" spans="1:38" x14ac:dyDescent="0.25">
      <c r="A62" s="30">
        <v>276.80149049219943</v>
      </c>
      <c r="E62"/>
      <c r="S62" s="27" t="s">
        <v>8</v>
      </c>
      <c r="T62" s="27" t="s">
        <v>7</v>
      </c>
      <c r="U62" s="27" t="s">
        <v>8</v>
      </c>
      <c r="V62" s="27" t="s">
        <v>7</v>
      </c>
      <c r="W62" s="27" t="s">
        <v>8</v>
      </c>
      <c r="Y62" s="27" t="s">
        <v>8</v>
      </c>
      <c r="Z62" s="27" t="s">
        <v>7</v>
      </c>
      <c r="AA62" s="27" t="s">
        <v>8</v>
      </c>
      <c r="AF62" s="27" t="s">
        <v>7</v>
      </c>
      <c r="AG62" s="27" t="s">
        <v>8</v>
      </c>
      <c r="AH62" s="27" t="s">
        <v>7</v>
      </c>
      <c r="AI62" s="27" t="s">
        <v>8</v>
      </c>
      <c r="AL62" s="31"/>
    </row>
    <row r="63" spans="1:38" x14ac:dyDescent="0.25">
      <c r="A63" s="30">
        <v>251.63771862927217</v>
      </c>
      <c r="E63"/>
      <c r="S63" s="27" t="s">
        <v>8</v>
      </c>
      <c r="T63" s="27" t="s">
        <v>7</v>
      </c>
      <c r="U63" s="27" t="s">
        <v>8</v>
      </c>
      <c r="V63" s="27" t="s">
        <v>7</v>
      </c>
      <c r="W63" s="27" t="s">
        <v>8</v>
      </c>
      <c r="X63" s="27" t="s">
        <v>7</v>
      </c>
      <c r="Y63" s="27" t="s">
        <v>8</v>
      </c>
      <c r="Z63" s="27" t="s">
        <v>7</v>
      </c>
      <c r="AA63" s="27" t="s">
        <v>8</v>
      </c>
      <c r="AF63" s="27" t="s">
        <v>7</v>
      </c>
      <c r="AG63" s="27" t="s">
        <v>8</v>
      </c>
      <c r="AH63" s="27" t="s">
        <v>7</v>
      </c>
      <c r="AI63" s="27" t="s">
        <v>8</v>
      </c>
    </row>
    <row r="64" spans="1:38" x14ac:dyDescent="0.25">
      <c r="A64" s="30">
        <v>228.76156239024741</v>
      </c>
      <c r="E64"/>
      <c r="S64" s="27" t="s">
        <v>8</v>
      </c>
      <c r="T64" s="27" t="s">
        <v>7</v>
      </c>
      <c r="V64" s="27" t="s">
        <v>7</v>
      </c>
      <c r="W64" s="27" t="s">
        <v>8</v>
      </c>
      <c r="X64" s="27" t="s">
        <v>7</v>
      </c>
      <c r="Y64" s="27" t="s">
        <v>8</v>
      </c>
      <c r="Z64" s="27" t="s">
        <v>7</v>
      </c>
      <c r="AF64" s="32" t="s">
        <v>7</v>
      </c>
      <c r="AH64" s="32" t="s">
        <v>7</v>
      </c>
    </row>
    <row r="65" spans="1:41" x14ac:dyDescent="0.25">
      <c r="A65" s="30">
        <v>207.96505671840671</v>
      </c>
      <c r="E65"/>
      <c r="S65" s="27" t="s">
        <v>8</v>
      </c>
      <c r="V65" s="33" t="s">
        <v>7</v>
      </c>
      <c r="W65" s="27" t="s">
        <v>8</v>
      </c>
      <c r="X65" s="27" t="s">
        <v>7</v>
      </c>
    </row>
    <row r="66" spans="1:41" x14ac:dyDescent="0.25">
      <c r="A66" s="30">
        <v>189.05914247127882</v>
      </c>
      <c r="E66"/>
      <c r="S66" s="27" t="s">
        <v>8</v>
      </c>
      <c r="V66" s="27" t="s">
        <v>7</v>
      </c>
    </row>
    <row r="67" spans="1:41" x14ac:dyDescent="0.25">
      <c r="A67" s="30">
        <v>171.87194770116255</v>
      </c>
      <c r="C67" s="1" t="s">
        <v>15</v>
      </c>
      <c r="E67"/>
      <c r="S67" s="27" t="s">
        <v>8</v>
      </c>
    </row>
    <row r="68" spans="1:41" x14ac:dyDescent="0.25">
      <c r="A68" s="30">
        <v>156.24722518287504</v>
      </c>
      <c r="C68" s="7">
        <v>0.11167815779424731</v>
      </c>
      <c r="D68"/>
      <c r="E68"/>
      <c r="S68" s="27" t="s">
        <v>8</v>
      </c>
    </row>
    <row r="69" spans="1:41" x14ac:dyDescent="0.25">
      <c r="A69" s="30">
        <v>142.04293198443185</v>
      </c>
      <c r="E69"/>
      <c r="S69" s="27" t="s">
        <v>8</v>
      </c>
    </row>
    <row r="70" spans="1:41" x14ac:dyDescent="0.25">
      <c r="A70" s="30">
        <v>129.1299381676653</v>
      </c>
      <c r="C70" s="1" t="s">
        <v>11</v>
      </c>
      <c r="D70" s="1" t="s">
        <v>12</v>
      </c>
      <c r="E70"/>
      <c r="S70" s="27" t="s">
        <v>8</v>
      </c>
    </row>
    <row r="71" spans="1:41" x14ac:dyDescent="0.25">
      <c r="A71" s="30">
        <v>117.39085287969573</v>
      </c>
      <c r="C71"/>
      <c r="D71"/>
      <c r="E71"/>
      <c r="S71" s="27" t="s">
        <v>8</v>
      </c>
    </row>
    <row r="72" spans="1:41" x14ac:dyDescent="0.25">
      <c r="A72" s="30">
        <v>106.71895716335975</v>
      </c>
      <c r="E72"/>
      <c r="S72" s="27" t="s">
        <v>8</v>
      </c>
    </row>
    <row r="73" spans="1:41" x14ac:dyDescent="0.25">
      <c r="A73" s="30">
        <v>97.017233784872488</v>
      </c>
      <c r="C73" s="1" t="s">
        <v>13</v>
      </c>
      <c r="E73"/>
      <c r="S73" s="27" t="s">
        <v>8</v>
      </c>
    </row>
    <row r="74" spans="1:41" x14ac:dyDescent="0.25">
      <c r="A74" s="30">
        <v>88.197485258974979</v>
      </c>
      <c r="C74" s="1">
        <f>C63</f>
        <v>0</v>
      </c>
      <c r="E74"/>
      <c r="S74" s="27" t="s">
        <v>8</v>
      </c>
      <c r="AO74" s="31"/>
    </row>
    <row r="75" spans="1:41" x14ac:dyDescent="0.25">
      <c r="A75" s="30">
        <v>80.179532053613613</v>
      </c>
      <c r="C75"/>
      <c r="D75"/>
      <c r="E75"/>
      <c r="S75" s="27" t="s">
        <v>8</v>
      </c>
      <c r="AN75" s="31"/>
    </row>
    <row r="76" spans="1:41" x14ac:dyDescent="0.25">
      <c r="A76" s="30">
        <v>72.890483685103277</v>
      </c>
      <c r="C76" s="1" t="s">
        <v>14</v>
      </c>
      <c r="E76"/>
      <c r="S76" s="27" t="s">
        <v>8</v>
      </c>
      <c r="AM76" s="31"/>
    </row>
    <row r="77" spans="1:41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S77" s="27" t="s">
        <v>8</v>
      </c>
      <c r="AL77" s="31"/>
    </row>
    <row r="78" spans="1:41" x14ac:dyDescent="0.25">
      <c r="A78" s="30">
        <v>60.240069161242367</v>
      </c>
      <c r="E78"/>
      <c r="S78" s="27" t="s">
        <v>8</v>
      </c>
      <c r="AK78" s="31"/>
    </row>
    <row r="79" spans="1:41" x14ac:dyDescent="0.25">
      <c r="A79" s="30">
        <v>54.763699237493057</v>
      </c>
      <c r="E79"/>
      <c r="S79" s="27" t="s">
        <v>8</v>
      </c>
      <c r="AJ79" s="31"/>
    </row>
    <row r="80" spans="1:41" x14ac:dyDescent="0.25">
      <c r="A80" s="30">
        <v>49.785181124993684</v>
      </c>
      <c r="E80"/>
      <c r="S80" s="27" t="s">
        <v>8</v>
      </c>
      <c r="AI80" s="31"/>
    </row>
    <row r="81" spans="1:34" x14ac:dyDescent="0.25">
      <c r="A81" s="30">
        <v>45.259255568176073</v>
      </c>
      <c r="E81"/>
      <c r="S81" s="27" t="s">
        <v>8</v>
      </c>
      <c r="AH81" s="31"/>
    </row>
    <row r="82" spans="1:34" x14ac:dyDescent="0.25">
      <c r="A82" s="30">
        <v>41.144777789250973</v>
      </c>
      <c r="E82"/>
      <c r="S82" s="27" t="s">
        <v>8</v>
      </c>
      <c r="AG82" s="31"/>
    </row>
    <row r="83" spans="1:34" x14ac:dyDescent="0.25">
      <c r="A83" s="30">
        <v>37.404343444773609</v>
      </c>
      <c r="E83"/>
      <c r="I83" s="27" t="s">
        <v>8</v>
      </c>
      <c r="S83" s="27" t="s">
        <v>8</v>
      </c>
      <c r="AF83" s="31"/>
    </row>
    <row r="84" spans="1:34" x14ac:dyDescent="0.25">
      <c r="A84" s="30">
        <v>34.003948586157826</v>
      </c>
      <c r="E84"/>
      <c r="I84" s="27" t="s">
        <v>8</v>
      </c>
      <c r="J84" s="27" t="s">
        <v>7</v>
      </c>
      <c r="S84" s="27" t="s">
        <v>8</v>
      </c>
      <c r="AE84" s="31"/>
    </row>
    <row r="85" spans="1:34" x14ac:dyDescent="0.25">
      <c r="A85" s="30">
        <v>30.912680532870748</v>
      </c>
      <c r="E85"/>
      <c r="I85" s="27" t="s">
        <v>8</v>
      </c>
      <c r="J85" s="27" t="s">
        <v>7</v>
      </c>
      <c r="Q85" s="27" t="s">
        <v>8</v>
      </c>
      <c r="S85" s="27" t="s">
        <v>8</v>
      </c>
      <c r="AD85" s="31"/>
    </row>
    <row r="86" spans="1:34" x14ac:dyDescent="0.25">
      <c r="A86" s="30">
        <v>28.102436848064315</v>
      </c>
      <c r="E86"/>
      <c r="I86" s="27" t="s">
        <v>8</v>
      </c>
      <c r="J86" s="27" t="s">
        <v>7</v>
      </c>
      <c r="Q86" s="34" t="s">
        <v>8</v>
      </c>
      <c r="R86" s="27" t="s">
        <v>7</v>
      </c>
      <c r="S86" s="27" t="s">
        <v>8</v>
      </c>
      <c r="AC86" s="31"/>
    </row>
    <row r="87" spans="1:34" x14ac:dyDescent="0.25">
      <c r="A87" s="30">
        <v>25.547669861876649</v>
      </c>
      <c r="E87"/>
      <c r="I87" s="27" t="s">
        <v>8</v>
      </c>
      <c r="J87" s="27" t="s">
        <v>7</v>
      </c>
      <c r="M87" s="32" t="s">
        <v>8</v>
      </c>
      <c r="O87" s="32" t="s">
        <v>8</v>
      </c>
      <c r="Q87" s="27" t="s">
        <v>8</v>
      </c>
      <c r="R87" s="27" t="s">
        <v>7</v>
      </c>
      <c r="S87" s="27" t="s">
        <v>8</v>
      </c>
      <c r="AB87" s="31"/>
    </row>
    <row r="88" spans="1:34" x14ac:dyDescent="0.25">
      <c r="A88" s="30">
        <v>23.225154419887861</v>
      </c>
      <c r="E88"/>
      <c r="I88" s="27" t="s">
        <v>8</v>
      </c>
      <c r="J88" s="27" t="s">
        <v>7</v>
      </c>
      <c r="M88" s="27" t="s">
        <v>8</v>
      </c>
      <c r="N88" s="27" t="s">
        <v>7</v>
      </c>
      <c r="O88" s="27" t="s">
        <v>8</v>
      </c>
      <c r="P88" s="27" t="s">
        <v>7</v>
      </c>
      <c r="Q88" s="27" t="s">
        <v>8</v>
      </c>
      <c r="R88" s="27" t="s">
        <v>7</v>
      </c>
      <c r="AA88" s="31"/>
    </row>
    <row r="89" spans="1:34" x14ac:dyDescent="0.25">
      <c r="A89" s="30">
        <v>21.113776745352599</v>
      </c>
      <c r="E89"/>
      <c r="I89" s="27" t="s">
        <v>8</v>
      </c>
      <c r="J89" s="27" t="s">
        <v>7</v>
      </c>
      <c r="K89" s="27" t="s">
        <v>8</v>
      </c>
      <c r="M89" s="27" t="s">
        <v>8</v>
      </c>
      <c r="N89" s="27" t="s">
        <v>7</v>
      </c>
      <c r="O89" s="27" t="s">
        <v>8</v>
      </c>
      <c r="P89" s="27" t="s">
        <v>7</v>
      </c>
      <c r="Q89" s="27" t="s">
        <v>8</v>
      </c>
      <c r="Z89" s="31"/>
    </row>
    <row r="90" spans="1:34" x14ac:dyDescent="0.25">
      <c r="A90" s="30">
        <v>19.194342495775089</v>
      </c>
      <c r="E90"/>
      <c r="I90" s="27" t="s">
        <v>8</v>
      </c>
      <c r="J90" s="27" t="s">
        <v>7</v>
      </c>
      <c r="K90" s="27" t="s">
        <v>8</v>
      </c>
      <c r="L90" s="27" t="s">
        <v>7</v>
      </c>
      <c r="M90" s="27" t="s">
        <v>8</v>
      </c>
      <c r="N90" s="27" t="s">
        <v>7</v>
      </c>
      <c r="O90" s="27" t="s">
        <v>8</v>
      </c>
      <c r="P90" s="27" t="s">
        <v>7</v>
      </c>
      <c r="Y90" s="31"/>
    </row>
    <row r="91" spans="1:34" x14ac:dyDescent="0.25">
      <c r="A91" s="30">
        <v>17.449402268886445</v>
      </c>
      <c r="E91"/>
      <c r="I91" s="27" t="s">
        <v>8</v>
      </c>
      <c r="J91" s="27" t="s">
        <v>7</v>
      </c>
      <c r="K91" s="27" t="s">
        <v>8</v>
      </c>
      <c r="L91" s="27" t="s">
        <v>7</v>
      </c>
      <c r="M91" s="27" t="s">
        <v>8</v>
      </c>
      <c r="N91" s="27" t="s">
        <v>7</v>
      </c>
      <c r="O91" s="27" t="s">
        <v>8</v>
      </c>
      <c r="X91" s="31"/>
    </row>
    <row r="92" spans="1:34" x14ac:dyDescent="0.25">
      <c r="A92" s="30">
        <v>15.863092971714948</v>
      </c>
      <c r="C92" s="1" t="s">
        <v>15</v>
      </c>
      <c r="E92"/>
      <c r="I92" s="27" t="s">
        <v>8</v>
      </c>
      <c r="J92" s="27" t="s">
        <v>7</v>
      </c>
      <c r="K92" s="27" t="s">
        <v>8</v>
      </c>
      <c r="L92" s="27" t="s">
        <v>7</v>
      </c>
      <c r="M92" s="27" t="s">
        <v>8</v>
      </c>
      <c r="N92" s="27" t="s">
        <v>7</v>
      </c>
      <c r="O92" s="27" t="s">
        <v>8</v>
      </c>
      <c r="W92" s="31"/>
    </row>
    <row r="93" spans="1:34" x14ac:dyDescent="0.25">
      <c r="A93" s="30">
        <v>14.420993610649951</v>
      </c>
      <c r="C93" s="7">
        <v>0.11167815779424731</v>
      </c>
      <c r="D93"/>
      <c r="E93"/>
      <c r="I93" s="27" t="s">
        <v>8</v>
      </c>
      <c r="J93" s="27" t="s">
        <v>7</v>
      </c>
      <c r="L93" s="27" t="s">
        <v>7</v>
      </c>
      <c r="M93" s="27" t="s">
        <v>8</v>
      </c>
      <c r="N93" s="27" t="s">
        <v>7</v>
      </c>
      <c r="O93" s="27" t="s">
        <v>8</v>
      </c>
      <c r="V93" s="31"/>
    </row>
    <row r="94" spans="1:34" x14ac:dyDescent="0.25">
      <c r="A94" s="30">
        <v>13.109994191499954</v>
      </c>
      <c r="E94"/>
      <c r="I94" s="27" t="s">
        <v>8</v>
      </c>
      <c r="L94" s="27" t="s">
        <v>7</v>
      </c>
      <c r="N94" s="27" t="s">
        <v>7</v>
      </c>
      <c r="O94" s="27" t="s">
        <v>8</v>
      </c>
      <c r="U94" s="31"/>
    </row>
    <row r="95" spans="1:34" x14ac:dyDescent="0.25">
      <c r="A95" s="30">
        <v>11.918176537727231</v>
      </c>
      <c r="C95" s="1" t="s">
        <v>11</v>
      </c>
      <c r="D95" s="1" t="s">
        <v>12</v>
      </c>
      <c r="E95"/>
      <c r="I95" s="27" t="s">
        <v>8</v>
      </c>
      <c r="N95" s="33" t="s">
        <v>7</v>
      </c>
      <c r="O95" s="27" t="s">
        <v>8</v>
      </c>
      <c r="T95" s="31"/>
    </row>
    <row r="96" spans="1:34" x14ac:dyDescent="0.25">
      <c r="A96" s="30">
        <v>10.834705943388391</v>
      </c>
      <c r="C96"/>
      <c r="D96"/>
      <c r="E96"/>
      <c r="I96" s="27" t="s">
        <v>8</v>
      </c>
      <c r="N96" s="27" t="s">
        <v>7</v>
      </c>
      <c r="O96" s="27" t="s">
        <v>8</v>
      </c>
      <c r="S96" s="31"/>
    </row>
    <row r="97" spans="1:18" x14ac:dyDescent="0.25">
      <c r="A97" s="30">
        <v>9.849732675807628</v>
      </c>
      <c r="E97" t="s">
        <v>8</v>
      </c>
      <c r="I97" s="27" t="s">
        <v>8</v>
      </c>
      <c r="N97" s="27" t="s">
        <v>7</v>
      </c>
      <c r="O97" s="27" t="s">
        <v>8</v>
      </c>
      <c r="R97" s="31"/>
    </row>
    <row r="98" spans="1:18" x14ac:dyDescent="0.25">
      <c r="A98" s="30">
        <v>8.9543024325523888</v>
      </c>
      <c r="C98" s="1" t="s">
        <v>13</v>
      </c>
      <c r="E98" t="s">
        <v>8</v>
      </c>
      <c r="F98" s="27" t="s">
        <v>7</v>
      </c>
      <c r="I98" s="27" t="s">
        <v>8</v>
      </c>
      <c r="N98" s="27" t="s">
        <v>7</v>
      </c>
      <c r="O98" s="27" t="s">
        <v>8</v>
      </c>
      <c r="Q98" s="31"/>
    </row>
    <row r="99" spans="1:18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I99" s="27" t="s">
        <v>8</v>
      </c>
      <c r="N99" s="27" t="s">
        <v>7</v>
      </c>
      <c r="O99" s="27" t="s">
        <v>8</v>
      </c>
      <c r="P99" s="31"/>
    </row>
    <row r="100" spans="1:18" x14ac:dyDescent="0.25">
      <c r="A100" s="30">
        <v>7.4002499442581717</v>
      </c>
      <c r="C100"/>
      <c r="D100"/>
      <c r="E100" t="s">
        <v>8</v>
      </c>
      <c r="F100" s="27" t="s">
        <v>7</v>
      </c>
      <c r="I100" s="27" t="s">
        <v>8</v>
      </c>
      <c r="N100" s="31" t="s">
        <v>7</v>
      </c>
      <c r="O100" s="31" t="s">
        <v>8</v>
      </c>
    </row>
    <row r="101" spans="1:18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I101" s="27" t="s">
        <v>8</v>
      </c>
      <c r="M101" s="31"/>
      <c r="N101" s="27" t="s">
        <v>7</v>
      </c>
    </row>
    <row r="102" spans="1:1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I102" s="27" t="s">
        <v>8</v>
      </c>
      <c r="L102" s="31"/>
    </row>
    <row r="103" spans="1:18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H103" s="27" t="s">
        <v>7</v>
      </c>
      <c r="I103" s="27" t="s">
        <v>8</v>
      </c>
      <c r="K103" s="31"/>
    </row>
    <row r="104" spans="1:18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I104" s="27" t="s">
        <v>8</v>
      </c>
      <c r="J104" s="31"/>
    </row>
    <row r="105" spans="1:18" x14ac:dyDescent="0.25">
      <c r="A105" s="30">
        <v>4.594972986357222</v>
      </c>
      <c r="E105" t="s">
        <v>8</v>
      </c>
      <c r="F105" s="27" t="s">
        <v>7</v>
      </c>
      <c r="H105" s="27" t="s">
        <v>7</v>
      </c>
      <c r="I105" s="31" t="s">
        <v>8</v>
      </c>
    </row>
    <row r="106" spans="1:18" x14ac:dyDescent="0.25">
      <c r="A106" s="30">
        <v>4.1772481694156562</v>
      </c>
      <c r="E106" t="s">
        <v>8</v>
      </c>
      <c r="H106" s="31" t="s">
        <v>7</v>
      </c>
    </row>
    <row r="107" spans="1:18" x14ac:dyDescent="0.25">
      <c r="A107" s="30">
        <v>3.7974983358324148</v>
      </c>
      <c r="E107" t="s">
        <v>8</v>
      </c>
    </row>
    <row r="108" spans="1:18" x14ac:dyDescent="0.25">
      <c r="A108" s="30">
        <v>3.4522712143931042</v>
      </c>
      <c r="E108" t="s">
        <v>8</v>
      </c>
    </row>
    <row r="109" spans="1:18" x14ac:dyDescent="0.25">
      <c r="A109" s="30">
        <v>3.1384283767210035</v>
      </c>
      <c r="E109" t="s">
        <v>8</v>
      </c>
    </row>
    <row r="110" spans="1:18" x14ac:dyDescent="0.25">
      <c r="A110" s="30">
        <v>2.8531167061100029</v>
      </c>
      <c r="E110" t="s">
        <v>8</v>
      </c>
    </row>
    <row r="111" spans="1:18" x14ac:dyDescent="0.25">
      <c r="A111" s="30">
        <v>2.5937424601000023</v>
      </c>
      <c r="C111" s="1" t="str">
        <f>ADDRESS(C121-1,1,1,1)</f>
        <v>$A$58</v>
      </c>
      <c r="D111" s="1" t="str">
        <f>ADDRESS(C121-1,D121,1,1)</f>
        <v>$AL$58</v>
      </c>
      <c r="E111" t="s">
        <v>8</v>
      </c>
    </row>
    <row r="112" spans="1:18" x14ac:dyDescent="0.25">
      <c r="A112" s="30">
        <v>2.3579476910000019</v>
      </c>
      <c r="C112" s="1" t="str">
        <f>ADDRESS(C121,1,1,1)</f>
        <v>$A$59</v>
      </c>
      <c r="D112" s="1" t="str">
        <f>ADDRESS(C121,D121-1,1,1)</f>
        <v>$AK$59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$A$60</v>
      </c>
      <c r="D113" s="1" t="str">
        <f>ADDRESS(C121-1,D121+1,1,1)</f>
        <v>$AM$58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$AL$59</v>
      </c>
      <c r="D114" s="1" t="str">
        <f>ADDRESS(C121+1,D121+1,1,1)</f>
        <v>$AM$60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$AL$60</v>
      </c>
      <c r="E115" s="1" t="s">
        <v>8</v>
      </c>
    </row>
    <row r="116" spans="1:5" x14ac:dyDescent="0.25">
      <c r="A116" s="30">
        <v>1.6105100000000008</v>
      </c>
      <c r="C116" s="1">
        <f>C117-1</f>
        <v>58</v>
      </c>
      <c r="E116" s="1" t="s">
        <v>8</v>
      </c>
    </row>
    <row r="117" spans="1:5" x14ac:dyDescent="0.25">
      <c r="A117" s="30">
        <v>1.4641000000000006</v>
      </c>
      <c r="C117" s="1">
        <f>C121</f>
        <v>59</v>
      </c>
      <c r="D117" s="1">
        <f>D121</f>
        <v>38</v>
      </c>
      <c r="E117" s="1" t="s">
        <v>8</v>
      </c>
    </row>
    <row r="118" spans="1:5" x14ac:dyDescent="0.25">
      <c r="A118" s="30">
        <v>1.3310000000000004</v>
      </c>
      <c r="C118" s="1">
        <f>C117+1</f>
        <v>60</v>
      </c>
      <c r="D118" s="1">
        <f>D117+1</f>
        <v>39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59</v>
      </c>
      <c r="D121" s="19">
        <v>38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R59</v>
      </c>
      <c r="D123" s="1" t="str">
        <f>"C"&amp;D121</f>
        <v>C38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368.42278384511752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260.36349577592557</v>
      </c>
      <c r="F3" s="30">
        <v>273.38167056472184</v>
      </c>
      <c r="G3" s="30">
        <v>515.50191262726139</v>
      </c>
      <c r="H3" s="25">
        <f>IF(G3="","",(3*(G3-F3))+E3)</f>
        <v>986.72422196354421</v>
      </c>
      <c r="I3" s="7"/>
      <c r="J3" s="7">
        <f>(E3+G3)/2</f>
        <v>387.93270420159348</v>
      </c>
      <c r="K3" s="7">
        <f>H3/2</f>
        <v>493.3621109817721</v>
      </c>
      <c r="M3" s="26">
        <f>IF(OR(J3="",H3=""),"",H3/J3)</f>
        <v>2.5435448243383525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236.15736578315241</v>
      </c>
      <c r="F4" s="30">
        <v>287.05075409295796</v>
      </c>
      <c r="G4" s="30">
        <v>332.29712920686046</v>
      </c>
      <c r="H4" s="25">
        <f t="shared" ref="H4:H25" si="0">IF(G4="","",(3*(G4-F4))+E4)</f>
        <v>371.89649112485995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2022-01-28T01:14:31Z</dcterms:modified>
</cp:coreProperties>
</file>