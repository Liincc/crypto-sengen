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091A0965-79A6-4640-97F4-799A9C24D6FC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C136" i="5" s="1"/>
  <c r="C116" i="4"/>
  <c r="C118" i="3"/>
  <c r="C122" i="4"/>
  <c r="C133" i="4" s="1"/>
  <c r="C136" i="4" s="1"/>
  <c r="R765" i="1"/>
  <c r="S765" i="1" s="1"/>
  <c r="T765" i="1" s="1"/>
  <c r="C122" i="3"/>
  <c r="C133" i="3" s="1"/>
  <c r="C136" i="3" s="1"/>
  <c r="R764" i="1" l="1"/>
  <c r="D136" i="5"/>
  <c r="C138" i="5" s="1"/>
  <c r="D136" i="4"/>
  <c r="C138" i="4" s="1"/>
  <c r="D136" i="3"/>
  <c r="C138" i="3" s="1"/>
  <c r="R763" i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S199" i="1" l="1"/>
  <c r="T199" i="1" s="1"/>
  <c r="R198" i="1"/>
  <c r="R197" i="1" l="1"/>
  <c r="S198" i="1"/>
  <c r="T198" i="1" s="1"/>
  <c r="R196" i="1" l="1"/>
  <c r="S197" i="1"/>
  <c r="T197" i="1" s="1"/>
  <c r="S196" i="1" l="1"/>
  <c r="T196" i="1" s="1"/>
  <c r="R195" i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R68" i="1" l="1"/>
  <c r="S69" i="1"/>
  <c r="T69" i="1" s="1"/>
  <c r="R67" i="1" l="1"/>
  <c r="S68" i="1"/>
  <c r="T68" i="1" s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<sst xmlns="http://schemas.openxmlformats.org/spreadsheetml/2006/main" count="6785" uniqueCount="34">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</sst>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1.0198</c:v>
                </c:pt>
                <c:pt idx="1">
                  <c:v>1.0765</c:v>
                </c:pt>
                <c:pt idx="2">
                  <c:v>1.0306999999999999</c:v>
                </c:pt>
                <c:pt idx="3">
                  <c:v>0.86140000000000005</c:v>
                </c:pt>
                <c:pt idx="4">
                  <c:v>0.85880000000000001</c:v>
                </c:pt>
                <c:pt idx="5">
                  <c:v>0.73829999999999996</c:v>
                </c:pt>
                <c:pt idx="6">
                  <c:v>0.86699999999999999</c:v>
                </c:pt>
                <c:pt idx="7">
                  <c:v>1.0633999999999999</c:v>
                </c:pt>
                <c:pt idx="8">
                  <c:v>1.1751</c:v>
                </c:pt>
                <c:pt idx="9">
                  <c:v>1.159</c:v>
                </c:pt>
                <c:pt idx="10">
                  <c:v>1.2286999999999999</c:v>
                </c:pt>
                <c:pt idx="11">
                  <c:v>1.3628</c:v>
                </c:pt>
                <c:pt idx="12">
                  <c:v>1.4200999999999999</c:v>
                </c:pt>
                <c:pt idx="13">
                  <c:v>1.4750000000000001</c:v>
                </c:pt>
                <c:pt idx="14">
                  <c:v>1.4992000000000001</c:v>
                </c:pt>
                <c:pt idx="15">
                  <c:v>1.6348</c:v>
                </c:pt>
                <c:pt idx="16">
                  <c:v>1.4957</c:v>
                </c:pt>
                <c:pt idx="17">
                  <c:v>1.4678</c:v>
                </c:pt>
                <c:pt idx="18">
                  <c:v>1.5730999999999999</c:v>
                </c:pt>
                <c:pt idx="19">
                  <c:v>1.5209999999999999</c:v>
                </c:pt>
                <c:pt idx="20">
                  <c:v>1.675</c:v>
                </c:pt>
                <c:pt idx="21">
                  <c:v>1.8399000000000001</c:v>
                </c:pt>
                <c:pt idx="22">
                  <c:v>1.8044</c:v>
                </c:pt>
                <c:pt idx="23">
                  <c:v>2.0541999999999998</c:v>
                </c:pt>
                <c:pt idx="24">
                  <c:v>2.0463</c:v>
                </c:pt>
                <c:pt idx="25">
                  <c:v>2.0954999999999999</c:v>
                </c:pt>
                <c:pt idx="26">
                  <c:v>2.0886</c:v>
                </c:pt>
                <c:pt idx="27">
                  <c:v>2.0849000000000002</c:v>
                </c:pt>
                <c:pt idx="28">
                  <c:v>1.9939</c:v>
                </c:pt>
                <c:pt idx="29">
                  <c:v>1.9726999999999999</c:v>
                </c:pt>
                <c:pt idx="30">
                  <c:v>2.0586000000000002</c:v>
                </c:pt>
                <c:pt idx="31">
                  <c:v>2.2614999999999998</c:v>
                </c:pt>
                <c:pt idx="32">
                  <c:v>2.3508</c:v>
                </c:pt>
                <c:pt idx="33">
                  <c:v>2.2730000000000001</c:v>
                </c:pt>
                <c:pt idx="34">
                  <c:v>2.2157</c:v>
                </c:pt>
                <c:pt idx="35">
                  <c:v>2.3184</c:v>
                </c:pt>
                <c:pt idx="36">
                  <c:v>2.2029000000000001</c:v>
                </c:pt>
                <c:pt idx="37">
                  <c:v>2.3999000000000001</c:v>
                </c:pt>
                <c:pt idx="38">
                  <c:v>2.0144000000000002</c:v>
                </c:pt>
                <c:pt idx="39">
                  <c:v>2.0432000000000001</c:v>
                </c:pt>
                <c:pt idx="40">
                  <c:v>2.0722999999999998</c:v>
                </c:pt>
                <c:pt idx="41">
                  <c:v>2.0529999999999999</c:v>
                </c:pt>
                <c:pt idx="42">
                  <c:v>2.1059000000000001</c:v>
                </c:pt>
                <c:pt idx="43">
                  <c:v>2.2441</c:v>
                </c:pt>
                <c:pt idx="44">
                  <c:v>2.1855000000000002</c:v>
                </c:pt>
                <c:pt idx="45">
                  <c:v>2.0975999999999999</c:v>
                </c:pt>
                <c:pt idx="46">
                  <c:v>2.4540999999999999</c:v>
                </c:pt>
                <c:pt idx="47">
                  <c:v>2.3334000000000001</c:v>
                </c:pt>
                <c:pt idx="48">
                  <c:v>2.3005</c:v>
                </c:pt>
                <c:pt idx="49">
                  <c:v>2.4923000000000002</c:v>
                </c:pt>
                <c:pt idx="50">
                  <c:v>2.5722</c:v>
                </c:pt>
                <c:pt idx="51">
                  <c:v>2.4605999999999999</c:v>
                </c:pt>
                <c:pt idx="52">
                  <c:v>2.4539</c:v>
                </c:pt>
                <c:pt idx="53">
                  <c:v>2.0356999999999998</c:v>
                </c:pt>
                <c:pt idx="54">
                  <c:v>2.2669999999999999</c:v>
                </c:pt>
                <c:pt idx="55">
                  <c:v>2.3803999999999998</c:v>
                </c:pt>
                <c:pt idx="56">
                  <c:v>2.6311</c:v>
                </c:pt>
                <c:pt idx="57">
                  <c:v>2.7789999999999999</c:v>
                </c:pt>
                <c:pt idx="58">
                  <c:v>2.7682000000000002</c:v>
                </c:pt>
                <c:pt idx="59">
                  <c:v>2.8626</c:v>
                </c:pt>
                <c:pt idx="60">
                  <c:v>2.9277000000000002</c:v>
                </c:pt>
                <c:pt idx="61">
                  <c:v>2.8915999999999999</c:v>
                </c:pt>
                <c:pt idx="62">
                  <c:v>2.8174999999999999</c:v>
                </c:pt>
                <c:pt idx="63">
                  <c:v>3.2002000000000002</c:v>
                </c:pt>
                <c:pt idx="64">
                  <c:v>3.0916999999999999</c:v>
                </c:pt>
                <c:pt idx="65">
                  <c:v>3.3348</c:v>
                </c:pt>
                <c:pt idx="66">
                  <c:v>2.6461000000000001</c:v>
                </c:pt>
                <c:pt idx="67">
                  <c:v>2.3757000000000001</c:v>
                </c:pt>
                <c:pt idx="68">
                  <c:v>2.5815999999999999</c:v>
                </c:pt>
                <c:pt idx="69">
                  <c:v>2.6577000000000002</c:v>
                </c:pt>
                <c:pt idx="70">
                  <c:v>2.2128999999999999</c:v>
                </c:pt>
                <c:pt idx="71">
                  <c:v>2.5251000000000001</c:v>
                </c:pt>
                <c:pt idx="72">
                  <c:v>2.6322000000000001</c:v>
                </c:pt>
                <c:pt idx="73">
                  <c:v>2.9098000000000002</c:v>
                </c:pt>
                <c:pt idx="74">
                  <c:v>3.0575000000000001</c:v>
                </c:pt>
                <c:pt idx="75">
                  <c:v>2.6781000000000001</c:v>
                </c:pt>
                <c:pt idx="76">
                  <c:v>3.0362</c:v>
                </c:pt>
                <c:pt idx="77">
                  <c:v>3.2136999999999998</c:v>
                </c:pt>
                <c:pt idx="78">
                  <c:v>3.0347</c:v>
                </c:pt>
                <c:pt idx="79">
                  <c:v>2.9241000000000001</c:v>
                </c:pt>
                <c:pt idx="80">
                  <c:v>2.0457999999999998</c:v>
                </c:pt>
                <c:pt idx="81">
                  <c:v>1.4804999999999999</c:v>
                </c:pt>
                <c:pt idx="82">
                  <c:v>1.2841</c:v>
                </c:pt>
                <c:pt idx="83">
                  <c:v>1.1830000000000001</c:v>
                </c:pt>
                <c:pt idx="84">
                  <c:v>1.115</c:v>
                </c:pt>
                <c:pt idx="85">
                  <c:v>1.1843999999999999</c:v>
                </c:pt>
                <c:pt idx="86">
                  <c:v>1.4340999999999999</c:v>
                </c:pt>
                <c:pt idx="87">
                  <c:v>1.0188999999999999</c:v>
                </c:pt>
                <c:pt idx="88">
                  <c:v>0.6321</c:v>
                </c:pt>
                <c:pt idx="89">
                  <c:v>0.54959999999999998</c:v>
                </c:pt>
                <c:pt idx="90">
                  <c:v>0.54930000000000001</c:v>
                </c:pt>
                <c:pt idx="91">
                  <c:v>0.54090000000000005</c:v>
                </c:pt>
                <c:pt idx="92">
                  <c:v>0.37280000000000002</c:v>
                </c:pt>
                <c:pt idx="93">
                  <c:v>0.42959999999999998</c:v>
                </c:pt>
                <c:pt idx="94">
                  <c:v>0.42759999999999998</c:v>
                </c:pt>
                <c:pt idx="95">
                  <c:v>0.41510000000000002</c:v>
                </c:pt>
                <c:pt idx="96">
                  <c:v>0.43319999999999997</c:v>
                </c:pt>
                <c:pt idx="97">
                  <c:v>0.42620000000000002</c:v>
                </c:pt>
                <c:pt idx="98">
                  <c:v>0.41410000000000002</c:v>
                </c:pt>
                <c:pt idx="99">
                  <c:v>0.436</c:v>
                </c:pt>
                <c:pt idx="100">
                  <c:v>0.42859999999999998</c:v>
                </c:pt>
                <c:pt idx="101">
                  <c:v>0.43140000000000001</c:v>
                </c:pt>
                <c:pt idx="102">
                  <c:v>0.45119999999999999</c:v>
                </c:pt>
                <c:pt idx="103">
                  <c:v>0.42070000000000002</c:v>
                </c:pt>
                <c:pt idx="104">
                  <c:v>0.41449999999999998</c:v>
                </c:pt>
                <c:pt idx="105">
                  <c:v>0.37940000000000002</c:v>
                </c:pt>
                <c:pt idx="106">
                  <c:v>0.38179999999999997</c:v>
                </c:pt>
                <c:pt idx="107">
                  <c:v>0.37269999999999998</c:v>
                </c:pt>
                <c:pt idx="108">
                  <c:v>0.36940000000000001</c:v>
                </c:pt>
                <c:pt idx="109">
                  <c:v>0.38319999999999999</c:v>
                </c:pt>
                <c:pt idx="110">
                  <c:v>0.41039999999999999</c:v>
                </c:pt>
                <c:pt idx="111">
                  <c:v>0.4017</c:v>
                </c:pt>
                <c:pt idx="112">
                  <c:v>0.39479999999999998</c:v>
                </c:pt>
                <c:pt idx="113">
                  <c:v>0.3926</c:v>
                </c:pt>
                <c:pt idx="114">
                  <c:v>0.40910000000000002</c:v>
                </c:pt>
                <c:pt idx="115">
                  <c:v>0.40179999999999999</c:v>
                </c:pt>
                <c:pt idx="116">
                  <c:v>0.4098</c:v>
                </c:pt>
                <c:pt idx="117">
                  <c:v>0.3972</c:v>
                </c:pt>
                <c:pt idx="118">
                  <c:v>0.38819999999999999</c:v>
                </c:pt>
                <c:pt idx="119">
                  <c:v>0.36549999999999999</c:v>
                </c:pt>
                <c:pt idx="120">
                  <c:v>0.3548</c:v>
                </c:pt>
                <c:pt idx="121">
                  <c:v>0.35139999999999999</c:v>
                </c:pt>
                <c:pt idx="122">
                  <c:v>0.36570000000000003</c:v>
                </c:pt>
                <c:pt idx="123">
                  <c:v>0.36940000000000001</c:v>
                </c:pt>
                <c:pt idx="124">
                  <c:v>0.38469999999999999</c:v>
                </c:pt>
                <c:pt idx="125">
                  <c:v>0.38</c:v>
                </c:pt>
                <c:pt idx="126">
                  <c:v>0.41089999999999999</c:v>
                </c:pt>
                <c:pt idx="127">
                  <c:v>0.41039999999999999</c:v>
                </c:pt>
                <c:pt idx="128">
                  <c:v>0.37669999999999998</c:v>
                </c:pt>
                <c:pt idx="129">
                  <c:v>0.4214</c:v>
                </c:pt>
                <c:pt idx="130">
                  <c:v>0.44990000000000002</c:v>
                </c:pt>
                <c:pt idx="131">
                  <c:v>0.46</c:v>
                </c:pt>
                <c:pt idx="132">
                  <c:v>0.4632</c:v>
                </c:pt>
                <c:pt idx="133">
                  <c:v>0.47199999999999998</c:v>
                </c:pt>
                <c:pt idx="134">
                  <c:v>0.499</c:v>
                </c:pt>
                <c:pt idx="135">
                  <c:v>0.46889999999999998</c:v>
                </c:pt>
                <c:pt idx="136">
                  <c:v>0.43380000000000002</c:v>
                </c:pt>
                <c:pt idx="137">
                  <c:v>0.4839</c:v>
                </c:pt>
                <c:pt idx="138">
                  <c:v>0.43909999999999999</c:v>
                </c:pt>
                <c:pt idx="139">
                  <c:v>0.4158</c:v>
                </c:pt>
                <c:pt idx="140">
                  <c:v>0.44819999999999999</c:v>
                </c:pt>
                <c:pt idx="141">
                  <c:v>0.436</c:v>
                </c:pt>
                <c:pt idx="142">
                  <c:v>0.40479999999999999</c:v>
                </c:pt>
                <c:pt idx="143">
                  <c:v>0.505</c:v>
                </c:pt>
                <c:pt idx="144">
                  <c:v>0.52339999999999998</c:v>
                </c:pt>
                <c:pt idx="145">
                  <c:v>0.50860000000000005</c:v>
                </c:pt>
                <c:pt idx="146">
                  <c:v>0.51380000000000003</c:v>
                </c:pt>
                <c:pt idx="147">
                  <c:v>0.52880000000000005</c:v>
                </c:pt>
                <c:pt idx="148">
                  <c:v>0.53549999999999998</c:v>
                </c:pt>
                <c:pt idx="149">
                  <c:v>0.55589999999999995</c:v>
                </c:pt>
                <c:pt idx="150">
                  <c:v>0.53569999999999995</c:v>
                </c:pt>
                <c:pt idx="151">
                  <c:v>0.55420000000000003</c:v>
                </c:pt>
                <c:pt idx="152">
                  <c:v>0.55320000000000003</c:v>
                </c:pt>
                <c:pt idx="153">
                  <c:v>0.4965</c:v>
                </c:pt>
                <c:pt idx="154">
                  <c:v>0.49430000000000002</c:v>
                </c:pt>
                <c:pt idx="155">
                  <c:v>0.46482000000000001</c:v>
                </c:pt>
                <c:pt idx="156">
                  <c:v>0.45829999999999999</c:v>
                </c:pt>
                <c:pt idx="157">
                  <c:v>0.50688999999999995</c:v>
                </c:pt>
                <c:pt idx="158">
                  <c:v>0.35792000000000002</c:v>
                </c:pt>
                <c:pt idx="159">
                  <c:v>0.35098000000000001</c:v>
                </c:pt>
                <c:pt idx="160">
                  <c:v>0.35282000000000002</c:v>
                </c:pt>
                <c:pt idx="161">
                  <c:v>0.32822000000000001</c:v>
                </c:pt>
                <c:pt idx="162">
                  <c:v>0.31451000000000001</c:v>
                </c:pt>
                <c:pt idx="163">
                  <c:v>0.31448999999999999</c:v>
                </c:pt>
                <c:pt idx="164">
                  <c:v>0.34427999999999997</c:v>
                </c:pt>
                <c:pt idx="165">
                  <c:v>0.32584999999999997</c:v>
                </c:pt>
                <c:pt idx="166">
                  <c:v>0.32734000000000002</c:v>
                </c:pt>
                <c:pt idx="167">
                  <c:v>0.33750000000000002</c:v>
                </c:pt>
                <c:pt idx="168">
                  <c:v>0.28548000000000001</c:v>
                </c:pt>
                <c:pt idx="169">
                  <c:v>0.29611999999999999</c:v>
                </c:pt>
                <c:pt idx="170">
                  <c:v>0.29199999999999998</c:v>
                </c:pt>
                <c:pt idx="171">
                  <c:v>0.28608</c:v>
                </c:pt>
                <c:pt idx="172">
                  <c:v>0.26061000000000001</c:v>
                </c:pt>
                <c:pt idx="173">
                  <c:v>0.28126000000000001</c:v>
                </c:pt>
                <c:pt idx="174">
                  <c:v>0.26506999999999997</c:v>
                </c:pt>
                <c:pt idx="175">
                  <c:v>0.25652999999999998</c:v>
                </c:pt>
                <c:pt idx="176">
                  <c:v>0.25202000000000002</c:v>
                </c:pt>
                <c:pt idx="177">
                  <c:v>0.24107999999999999</c:v>
                </c:pt>
                <c:pt idx="178">
                  <c:v>0.25257000000000002</c:v>
                </c:pt>
                <c:pt idx="179">
                  <c:v>0.24987999999999999</c:v>
                </c:pt>
                <c:pt idx="180">
                  <c:v>0.25173000000000001</c:v>
                </c:pt>
                <c:pt idx="181">
                  <c:v>0.24729000000000001</c:v>
                </c:pt>
                <c:pt idx="182">
                  <c:v>0.23980000000000001</c:v>
                </c:pt>
                <c:pt idx="183">
                  <c:v>0.23338999999999999</c:v>
                </c:pt>
                <c:pt idx="184">
                  <c:v>0.22911999999999999</c:v>
                </c:pt>
                <c:pt idx="185">
                  <c:v>0.22941</c:v>
                </c:pt>
                <c:pt idx="186">
                  <c:v>0.22470000000000001</c:v>
                </c:pt>
                <c:pt idx="187">
                  <c:v>0.21543999999999999</c:v>
                </c:pt>
                <c:pt idx="188">
                  <c:v>0.21132000000000001</c:v>
                </c:pt>
                <c:pt idx="189">
                  <c:v>0.21065</c:v>
                </c:pt>
                <c:pt idx="190">
                  <c:v>0.20265</c:v>
                </c:pt>
                <c:pt idx="191">
                  <c:v>0.18801000000000001</c:v>
                </c:pt>
                <c:pt idx="192">
                  <c:v>0.20052</c:v>
                </c:pt>
                <c:pt idx="193">
                  <c:v>0.21145</c:v>
                </c:pt>
                <c:pt idx="194">
                  <c:v>0.20746999999999999</c:v>
                </c:pt>
                <c:pt idx="195">
                  <c:v>0.20757999999999999</c:v>
                </c:pt>
                <c:pt idx="196">
                  <c:v>0.22316</c:v>
                </c:pt>
                <c:pt idx="197">
                  <c:v>0.2326</c:v>
                </c:pt>
                <c:pt idx="198">
                  <c:v>0.22320999999999999</c:v>
                </c:pt>
                <c:pt idx="199">
                  <c:v>0.23208000000000001</c:v>
                </c:pt>
                <c:pt idx="200">
                  <c:v>0.23569999999999999</c:v>
                </c:pt>
                <c:pt idx="201">
                  <c:v>0.23516999999999999</c:v>
                </c:pt>
                <c:pt idx="202">
                  <c:v>0.23821999999999999</c:v>
                </c:pt>
                <c:pt idx="203">
                  <c:v>0.23638000000000001</c:v>
                </c:pt>
                <c:pt idx="204">
                  <c:v>0.25689000000000001</c:v>
                </c:pt>
                <c:pt idx="205">
                  <c:v>0.25900000000000001</c:v>
                </c:pt>
                <c:pt idx="206">
                  <c:v>0.24742</c:v>
                </c:pt>
                <c:pt idx="207">
                  <c:v>0.25802999999999998</c:v>
                </c:pt>
                <c:pt idx="208">
                  <c:v>0.25944</c:v>
                </c:pt>
                <c:pt idx="209">
                  <c:v>0.24948000000000001</c:v>
                </c:pt>
                <c:pt idx="210">
                  <c:v>0.24997</c:v>
                </c:pt>
                <c:pt idx="211">
                  <c:v>0.26794000000000001</c:v>
                </c:pt>
                <c:pt idx="212">
                  <c:v>0.27859</c:v>
                </c:pt>
                <c:pt idx="213">
                  <c:v>0.27938000000000002</c:v>
                </c:pt>
                <c:pt idx="214">
                  <c:v>0.27809</c:v>
                </c:pt>
                <c:pt idx="215">
                  <c:v>0.21079000000000001</c:v>
                </c:pt>
                <c:pt idx="216">
                  <c:v>0.20565</c:v>
                </c:pt>
                <c:pt idx="217">
                  <c:v>0.22337000000000001</c:v>
                </c:pt>
                <c:pt idx="218">
                  <c:v>0.21712000000000001</c:v>
                </c:pt>
                <c:pt idx="219">
                  <c:v>0.20030000000000001</c:v>
                </c:pt>
                <c:pt idx="220">
                  <c:v>0.21299000000000001</c:v>
                </c:pt>
                <c:pt idx="221">
                  <c:v>0.27050999999999997</c:v>
                </c:pt>
                <c:pt idx="222">
                  <c:v>0.26835999999999999</c:v>
                </c:pt>
                <c:pt idx="223">
                  <c:v>0.27034999999999998</c:v>
                </c:pt>
                <c:pt idx="224">
                  <c:v>0.29305999999999999</c:v>
                </c:pt>
                <c:pt idx="225">
                  <c:v>0.28946</c:v>
                </c:pt>
                <c:pt idx="226">
                  <c:v>0.30647000000000002</c:v>
                </c:pt>
                <c:pt idx="227">
                  <c:v>0.31329000000000001</c:v>
                </c:pt>
                <c:pt idx="228">
                  <c:v>0.30546000000000001</c:v>
                </c:pt>
                <c:pt idx="229">
                  <c:v>0.29019</c:v>
                </c:pt>
                <c:pt idx="230">
                  <c:v>0.29226000000000002</c:v>
                </c:pt>
                <c:pt idx="231">
                  <c:v>0.31202999999999997</c:v>
                </c:pt>
                <c:pt idx="232">
                  <c:v>0.33189000000000002</c:v>
                </c:pt>
                <c:pt idx="233">
                  <c:v>0.31935000000000002</c:v>
                </c:pt>
                <c:pt idx="234">
                  <c:v>0.32743</c:v>
                </c:pt>
                <c:pt idx="235">
                  <c:v>0.35537999999999997</c:v>
                </c:pt>
                <c:pt idx="236">
                  <c:v>0.34594000000000003</c:v>
                </c:pt>
                <c:pt idx="237">
                  <c:v>0.36125000000000002</c:v>
                </c:pt>
                <c:pt idx="238">
                  <c:v>0.39217999999999997</c:v>
                </c:pt>
                <c:pt idx="239">
                  <c:v>0.38164999999999999</c:v>
                </c:pt>
                <c:pt idx="240">
                  <c:v>0.37506</c:v>
                </c:pt>
                <c:pt idx="241">
                  <c:v>0.36864000000000002</c:v>
                </c:pt>
                <c:pt idx="242">
                  <c:v>0.33531</c:v>
                </c:pt>
                <c:pt idx="243">
                  <c:v>0.32146999999999998</c:v>
                </c:pt>
                <c:pt idx="244">
                  <c:v>0.35089999999999999</c:v>
                </c:pt>
                <c:pt idx="245">
                  <c:v>0.40534999999999999</c:v>
                </c:pt>
                <c:pt idx="246">
                  <c:v>0.42294999999999999</c:v>
                </c:pt>
                <c:pt idx="247">
                  <c:v>0.39204</c:v>
                </c:pt>
                <c:pt idx="248">
                  <c:v>0.33794000000000002</c:v>
                </c:pt>
                <c:pt idx="249">
                  <c:v>0.2727</c:v>
                </c:pt>
                <c:pt idx="250">
                  <c:v>0.31437999999999999</c:v>
                </c:pt>
                <c:pt idx="251">
                  <c:v>0.34775</c:v>
                </c:pt>
                <c:pt idx="252">
                  <c:v>0.40562999999999999</c:v>
                </c:pt>
                <c:pt idx="253">
                  <c:v>0.34100000000000003</c:v>
                </c:pt>
                <c:pt idx="254">
                  <c:v>0.52761999999999998</c:v>
                </c:pt>
                <c:pt idx="255">
                  <c:v>0.50949999999999995</c:v>
                </c:pt>
                <c:pt idx="256">
                  <c:v>0.56655</c:v>
                </c:pt>
                <c:pt idx="257">
                  <c:v>0.55620999999999998</c:v>
                </c:pt>
                <c:pt idx="258">
                  <c:v>0.61199999999999999</c:v>
                </c:pt>
                <c:pt idx="259">
                  <c:v>0.61124999999999996</c:v>
                </c:pt>
                <c:pt idx="260">
                  <c:v>0.61385999999999996</c:v>
                </c:pt>
                <c:pt idx="261">
                  <c:v>0.65895999999999999</c:v>
                </c:pt>
                <c:pt idx="262">
                  <c:v>0.51078000000000001</c:v>
                </c:pt>
                <c:pt idx="263">
                  <c:v>0.57111999999999996</c:v>
                </c:pt>
                <c:pt idx="264">
                  <c:v>0.57745999999999997</c:v>
                </c:pt>
                <c:pt idx="265">
                  <c:v>0.58164000000000005</c:v>
                </c:pt>
                <c:pt idx="266">
                  <c:v>0.57847000000000004</c:v>
                </c:pt>
                <c:pt idx="267">
                  <c:v>0.57382999999999995</c:v>
                </c:pt>
                <c:pt idx="268">
                  <c:v>0.51004000000000005</c:v>
                </c:pt>
                <c:pt idx="269">
                  <c:v>0.58082999999999996</c:v>
                </c:pt>
                <c:pt idx="270">
                  <c:v>0.57689000000000001</c:v>
                </c:pt>
                <c:pt idx="271">
                  <c:v>0.58062000000000002</c:v>
                </c:pt>
                <c:pt idx="272">
                  <c:v>0.56086999999999998</c:v>
                </c:pt>
                <c:pt idx="273">
                  <c:v>0.53098000000000001</c:v>
                </c:pt>
                <c:pt idx="274">
                  <c:v>0.52315</c:v>
                </c:pt>
                <c:pt idx="275">
                  <c:v>0.54176000000000002</c:v>
                </c:pt>
                <c:pt idx="276">
                  <c:v>0.49547000000000002</c:v>
                </c:pt>
                <c:pt idx="277">
                  <c:v>0.43863999999999997</c:v>
                </c:pt>
                <c:pt idx="278">
                  <c:v>0.43643999999999999</c:v>
                </c:pt>
                <c:pt idx="279">
                  <c:v>0.47999000000000003</c:v>
                </c:pt>
                <c:pt idx="280">
                  <c:v>0.50282000000000004</c:v>
                </c:pt>
                <c:pt idx="281">
                  <c:v>0.54757999999999996</c:v>
                </c:pt>
                <c:pt idx="282">
                  <c:v>0.57040999999999997</c:v>
                </c:pt>
                <c:pt idx="283">
                  <c:v>0.56200000000000006</c:v>
                </c:pt>
                <c:pt idx="284">
                  <c:v>0.63077000000000005</c:v>
                </c:pt>
                <c:pt idx="285">
                  <c:v>0.75014999999999998</c:v>
                </c:pt>
                <c:pt idx="286">
                  <c:v>0.64061999999999997</c:v>
                </c:pt>
                <c:pt idx="287">
                  <c:v>0.67301</c:v>
                </c:pt>
                <c:pt idx="288">
                  <c:v>0.65095000000000003</c:v>
                </c:pt>
                <c:pt idx="289">
                  <c:v>0.59901000000000004</c:v>
                </c:pt>
                <c:pt idx="290">
                  <c:v>0.62229000000000001</c:v>
                </c:pt>
                <c:pt idx="291">
                  <c:v>0.57184000000000001</c:v>
                </c:pt>
                <c:pt idx="292">
                  <c:v>0.55347999999999997</c:v>
                </c:pt>
                <c:pt idx="293">
                  <c:v>0.55564000000000002</c:v>
                </c:pt>
                <c:pt idx="294">
                  <c:v>0.56786999999999999</c:v>
                </c:pt>
                <c:pt idx="295">
                  <c:v>0.52129999999999999</c:v>
                </c:pt>
                <c:pt idx="296">
                  <c:v>0.57167000000000001</c:v>
                </c:pt>
                <c:pt idx="297">
                  <c:v>0.58792999999999995</c:v>
                </c:pt>
                <c:pt idx="298">
                  <c:v>0.57169999999999999</c:v>
                </c:pt>
                <c:pt idx="299">
                  <c:v>0.52685999999999999</c:v>
                </c:pt>
                <c:pt idx="300">
                  <c:v>0.56977999999999995</c:v>
                </c:pt>
                <c:pt idx="301">
                  <c:v>0.53671000000000002</c:v>
                </c:pt>
                <c:pt idx="302">
                  <c:v>0.54847999999999997</c:v>
                </c:pt>
                <c:pt idx="303">
                  <c:v>0.54866000000000004</c:v>
                </c:pt>
                <c:pt idx="304">
                  <c:v>0.53815000000000002</c:v>
                </c:pt>
                <c:pt idx="305">
                  <c:v>0.49085000000000001</c:v>
                </c:pt>
                <c:pt idx="306">
                  <c:v>0.48596</c:v>
                </c:pt>
                <c:pt idx="307">
                  <c:v>0.50190999999999997</c:v>
                </c:pt>
                <c:pt idx="308">
                  <c:v>0.44896000000000003</c:v>
                </c:pt>
                <c:pt idx="309">
                  <c:v>0.46840999999999999</c:v>
                </c:pt>
                <c:pt idx="310">
                  <c:v>0.51959999999999995</c:v>
                </c:pt>
                <c:pt idx="311">
                  <c:v>0.51975000000000005</c:v>
                </c:pt>
                <c:pt idx="312">
                  <c:v>0.55564999999999998</c:v>
                </c:pt>
                <c:pt idx="313">
                  <c:v>0.57811000000000001</c:v>
                </c:pt>
                <c:pt idx="314">
                  <c:v>0.58455999999999997</c:v>
                </c:pt>
                <c:pt idx="315">
                  <c:v>0.59238999999999997</c:v>
                </c:pt>
                <c:pt idx="316">
                  <c:v>0.62673000000000001</c:v>
                </c:pt>
                <c:pt idx="317">
                  <c:v>0.54468000000000005</c:v>
                </c:pt>
                <c:pt idx="318">
                  <c:v>0.56205000000000005</c:v>
                </c:pt>
                <c:pt idx="319">
                  <c:v>0.54235</c:v>
                </c:pt>
                <c:pt idx="320">
                  <c:v>0.57074000000000003</c:v>
                </c:pt>
                <c:pt idx="321">
                  <c:v>0.52668000000000004</c:v>
                </c:pt>
                <c:pt idx="322">
                  <c:v>0.55879999999999996</c:v>
                </c:pt>
                <c:pt idx="323">
                  <c:v>0.57147000000000003</c:v>
                </c:pt>
                <c:pt idx="324">
                  <c:v>0.61975999999999998</c:v>
                </c:pt>
                <c:pt idx="325">
                  <c:v>0.59174000000000004</c:v>
                </c:pt>
                <c:pt idx="326">
                  <c:v>0.57096000000000002</c:v>
                </c:pt>
                <c:pt idx="327">
                  <c:v>0.58503000000000005</c:v>
                </c:pt>
                <c:pt idx="328">
                  <c:v>0.57130000000000003</c:v>
                </c:pt>
                <c:pt idx="329">
                  <c:v>0.54318999999999995</c:v>
                </c:pt>
                <c:pt idx="330">
                  <c:v>0.57518999999999998</c:v>
                </c:pt>
                <c:pt idx="331">
                  <c:v>0.56659999999999999</c:v>
                </c:pt>
                <c:pt idx="332">
                  <c:v>0.59567000000000003</c:v>
                </c:pt>
                <c:pt idx="333">
                  <c:v>0.51893</c:v>
                </c:pt>
                <c:pt idx="334">
                  <c:v>0.53979999999999995</c:v>
                </c:pt>
                <c:pt idx="335">
                  <c:v>0.51107999999999998</c:v>
                </c:pt>
                <c:pt idx="336">
                  <c:v>0.5333</c:v>
                </c:pt>
                <c:pt idx="337">
                  <c:v>0.58543000000000001</c:v>
                </c:pt>
                <c:pt idx="338">
                  <c:v>0.56872</c:v>
                </c:pt>
                <c:pt idx="339">
                  <c:v>0.68074999999999997</c:v>
                </c:pt>
                <c:pt idx="340">
                  <c:v>0.77186999999999995</c:v>
                </c:pt>
                <c:pt idx="341">
                  <c:v>0.70869000000000004</c:v>
                </c:pt>
                <c:pt idx="342">
                  <c:v>0.73873999999999995</c:v>
                </c:pt>
                <c:pt idx="343">
                  <c:v>0.76095000000000002</c:v>
                </c:pt>
                <c:pt idx="344">
                  <c:v>0.75800000000000001</c:v>
                </c:pt>
                <c:pt idx="345">
                  <c:v>0.69450999999999996</c:v>
                </c:pt>
                <c:pt idx="346">
                  <c:v>0.71853</c:v>
                </c:pt>
                <c:pt idx="347">
                  <c:v>0.77273000000000003</c:v>
                </c:pt>
                <c:pt idx="348">
                  <c:v>0.82926999999999995</c:v>
                </c:pt>
                <c:pt idx="349">
                  <c:v>0.81808999999999998</c:v>
                </c:pt>
                <c:pt idx="350">
                  <c:v>0.75049999999999994</c:v>
                </c:pt>
                <c:pt idx="351">
                  <c:v>0.69176000000000004</c:v>
                </c:pt>
                <c:pt idx="352">
                  <c:v>0.69540000000000002</c:v>
                </c:pt>
                <c:pt idx="353">
                  <c:v>0.66341000000000006</c:v>
                </c:pt>
                <c:pt idx="354">
                  <c:v>0.62917999999999996</c:v>
                </c:pt>
                <c:pt idx="355">
                  <c:v>0.65649000000000002</c:v>
                </c:pt>
                <c:pt idx="356">
                  <c:v>0.72868999999999995</c:v>
                </c:pt>
                <c:pt idx="357">
                  <c:v>0.53969999999999996</c:v>
                </c:pt>
                <c:pt idx="358">
                  <c:v>0.56557999999999997</c:v>
                </c:pt>
                <c:pt idx="359">
                  <c:v>0.53915999999999997</c:v>
                </c:pt>
                <c:pt idx="360">
                  <c:v>0.53678000000000003</c:v>
                </c:pt>
                <c:pt idx="361">
                  <c:v>0.49399999999999999</c:v>
                </c:pt>
                <c:pt idx="362">
                  <c:v>0.50138000000000005</c:v>
                </c:pt>
                <c:pt idx="363">
                  <c:v>0.44464999999999999</c:v>
                </c:pt>
                <c:pt idx="364">
                  <c:v>0.44736999999999999</c:v>
                </c:pt>
                <c:pt idx="365">
                  <c:v>0.39709</c:v>
                </c:pt>
                <c:pt idx="366">
                  <c:v>0.43557000000000001</c:v>
                </c:pt>
                <c:pt idx="367">
                  <c:v>0.41830000000000001</c:v>
                </c:pt>
                <c:pt idx="368">
                  <c:v>0.42</c:v>
                </c:pt>
                <c:pt idx="369">
                  <c:v>0.40570000000000001</c:v>
                </c:pt>
                <c:pt idx="370">
                  <c:v>0.39835999999999999</c:v>
                </c:pt>
                <c:pt idx="371">
                  <c:v>0.36704999999999999</c:v>
                </c:pt>
                <c:pt idx="372">
                  <c:v>0.45790999999999998</c:v>
                </c:pt>
                <c:pt idx="373">
                  <c:v>0.46694000000000002</c:v>
                </c:pt>
                <c:pt idx="374">
                  <c:v>0.41443000000000002</c:v>
                </c:pt>
                <c:pt idx="375">
                  <c:v>0.42288999999999999</c:v>
                </c:pt>
                <c:pt idx="376">
                  <c:v>0.3881</c:v>
                </c:pt>
                <c:pt idx="377">
                  <c:v>0.38685000000000003</c:v>
                </c:pt>
                <c:pt idx="378">
                  <c:v>0.4052</c:v>
                </c:pt>
                <c:pt idx="379">
                  <c:v>0.41241</c:v>
                </c:pt>
                <c:pt idx="380">
                  <c:v>0.32340000000000002</c:v>
                </c:pt>
                <c:pt idx="381">
                  <c:v>0.31314999999999998</c:v>
                </c:pt>
                <c:pt idx="382">
                  <c:v>0.35119</c:v>
                </c:pt>
                <c:pt idx="383">
                  <c:v>0.38419999999999999</c:v>
                </c:pt>
                <c:pt idx="384">
                  <c:v>0.34911999999999999</c:v>
                </c:pt>
                <c:pt idx="385">
                  <c:v>0.36919000000000002</c:v>
                </c:pt>
                <c:pt idx="386">
                  <c:v>0.40900999999999998</c:v>
                </c:pt>
                <c:pt idx="387">
                  <c:v>0.49098000000000003</c:v>
                </c:pt>
                <c:pt idx="388">
                  <c:v>0.36324000000000001</c:v>
                </c:pt>
                <c:pt idx="389">
                  <c:v>0.27500000000000002</c:v>
                </c:pt>
                <c:pt idx="390">
                  <c:v>0.17546</c:v>
                </c:pt>
                <c:pt idx="391">
                  <c:v>0.17502999999999999</c:v>
                </c:pt>
                <c:pt idx="392">
                  <c:v>0.16955000000000001</c:v>
                </c:pt>
                <c:pt idx="393">
                  <c:v>0.17904999999999999</c:v>
                </c:pt>
                <c:pt idx="394">
                  <c:v>0.18310000000000001</c:v>
                </c:pt>
                <c:pt idx="395">
                  <c:v>0.17580999999999999</c:v>
                </c:pt>
                <c:pt idx="396">
                  <c:v>0.16117999999999999</c:v>
                </c:pt>
                <c:pt idx="397">
                  <c:v>0.15215000000000001</c:v>
                </c:pt>
                <c:pt idx="398">
                  <c:v>0.15187</c:v>
                </c:pt>
                <c:pt idx="399">
                  <c:v>0.14981</c:v>
                </c:pt>
                <c:pt idx="400">
                  <c:v>0.14129</c:v>
                </c:pt>
                <c:pt idx="401">
                  <c:v>0.16414999999999999</c:v>
                </c:pt>
                <c:pt idx="402">
                  <c:v>0.16094</c:v>
                </c:pt>
                <c:pt idx="403">
                  <c:v>0.17118</c:v>
                </c:pt>
                <c:pt idx="404">
                  <c:v>0.17172999999999999</c:v>
                </c:pt>
                <c:pt idx="405">
                  <c:v>0.17266999999999999</c:v>
                </c:pt>
                <c:pt idx="406">
                  <c:v>0.17177000000000001</c:v>
                </c:pt>
                <c:pt idx="407">
                  <c:v>0.17349000000000001</c:v>
                </c:pt>
                <c:pt idx="408">
                  <c:v>0.17230999999999999</c:v>
                </c:pt>
                <c:pt idx="409">
                  <c:v>0.17731</c:v>
                </c:pt>
                <c:pt idx="410">
                  <c:v>0.17799000000000001</c:v>
                </c:pt>
                <c:pt idx="411">
                  <c:v>0.17824000000000001</c:v>
                </c:pt>
                <c:pt idx="412">
                  <c:v>0.16682</c:v>
                </c:pt>
                <c:pt idx="413">
                  <c:v>0.17405000000000001</c:v>
                </c:pt>
                <c:pt idx="414">
                  <c:v>0.187</c:v>
                </c:pt>
                <c:pt idx="415">
                  <c:v>0.18643999999999999</c:v>
                </c:pt>
                <c:pt idx="416">
                  <c:v>0.18379000000000001</c:v>
                </c:pt>
                <c:pt idx="417">
                  <c:v>0.18897</c:v>
                </c:pt>
                <c:pt idx="418">
                  <c:v>0.19406999999999999</c:v>
                </c:pt>
                <c:pt idx="419">
                  <c:v>0.18201000000000001</c:v>
                </c:pt>
                <c:pt idx="420">
                  <c:v>0.19880999999999999</c:v>
                </c:pt>
                <c:pt idx="421">
                  <c:v>0.20075000000000001</c:v>
                </c:pt>
                <c:pt idx="422">
                  <c:v>0.189</c:v>
                </c:pt>
                <c:pt idx="423">
                  <c:v>0.20138</c:v>
                </c:pt>
                <c:pt idx="424">
                  <c:v>0.19631000000000001</c:v>
                </c:pt>
                <c:pt idx="425">
                  <c:v>0.19037999999999999</c:v>
                </c:pt>
                <c:pt idx="426">
                  <c:v>0.18429000000000001</c:v>
                </c:pt>
                <c:pt idx="427">
                  <c:v>0.18983</c:v>
                </c:pt>
                <c:pt idx="428">
                  <c:v>0.20987</c:v>
                </c:pt>
                <c:pt idx="429">
                  <c:v>0.22406000000000001</c:v>
                </c:pt>
                <c:pt idx="430">
                  <c:v>0.19825000000000001</c:v>
                </c:pt>
                <c:pt idx="431">
                  <c:v>0.18923000000000001</c:v>
                </c:pt>
                <c:pt idx="432">
                  <c:v>0.19925999999999999</c:v>
                </c:pt>
                <c:pt idx="433">
                  <c:v>0.18717</c:v>
                </c:pt>
                <c:pt idx="434">
                  <c:v>0.17615</c:v>
                </c:pt>
                <c:pt idx="435">
                  <c:v>0.17699999999999999</c:v>
                </c:pt>
                <c:pt idx="436">
                  <c:v>0.18584000000000001</c:v>
                </c:pt>
                <c:pt idx="437">
                  <c:v>0.18468999999999999</c:v>
                </c:pt>
                <c:pt idx="438">
                  <c:v>0.17638000000000001</c:v>
                </c:pt>
                <c:pt idx="439">
                  <c:v>0.17843999999999999</c:v>
                </c:pt>
                <c:pt idx="440">
                  <c:v>0.191</c:v>
                </c:pt>
                <c:pt idx="441">
                  <c:v>0.17881</c:v>
                </c:pt>
                <c:pt idx="442">
                  <c:v>0.18501000000000001</c:v>
                </c:pt>
                <c:pt idx="443">
                  <c:v>0.21153</c:v>
                </c:pt>
                <c:pt idx="444">
                  <c:v>0.15640999999999999</c:v>
                </c:pt>
                <c:pt idx="445">
                  <c:v>0.15619</c:v>
                </c:pt>
                <c:pt idx="446">
                  <c:v>0.14326</c:v>
                </c:pt>
                <c:pt idx="447">
                  <c:v>0.13830000000000001</c:v>
                </c:pt>
                <c:pt idx="448">
                  <c:v>0.12028999999999999</c:v>
                </c:pt>
                <c:pt idx="449">
                  <c:v>0.1246</c:v>
                </c:pt>
                <c:pt idx="450">
                  <c:v>0.13117999999999999</c:v>
                </c:pt>
                <c:pt idx="451">
                  <c:v>0.13902</c:v>
                </c:pt>
                <c:pt idx="452">
                  <c:v>0.14876</c:v>
                </c:pt>
                <c:pt idx="453">
                  <c:v>0.14199999999999999</c:v>
                </c:pt>
                <c:pt idx="454">
                  <c:v>0.12756000000000001</c:v>
                </c:pt>
                <c:pt idx="455">
                  <c:v>0.13364999999999999</c:v>
                </c:pt>
                <c:pt idx="456">
                  <c:v>0.1447</c:v>
                </c:pt>
                <c:pt idx="457">
                  <c:v>0.15704000000000001</c:v>
                </c:pt>
                <c:pt idx="458">
                  <c:v>0.15689</c:v>
                </c:pt>
                <c:pt idx="459">
                  <c:v>0.16438</c:v>
                </c:pt>
                <c:pt idx="460">
                  <c:v>0.16675000000000001</c:v>
                </c:pt>
                <c:pt idx="461">
                  <c:v>0.16599</c:v>
                </c:pt>
                <c:pt idx="462">
                  <c:v>0.16961999999999999</c:v>
                </c:pt>
                <c:pt idx="463">
                  <c:v>0.16511999999999999</c:v>
                </c:pt>
                <c:pt idx="464">
                  <c:v>0.15792</c:v>
                </c:pt>
                <c:pt idx="465">
                  <c:v>0.17115</c:v>
                </c:pt>
                <c:pt idx="466">
                  <c:v>0.17576</c:v>
                </c:pt>
                <c:pt idx="467">
                  <c:v>0.17207</c:v>
                </c:pt>
                <c:pt idx="468">
                  <c:v>0.16955999999999999</c:v>
                </c:pt>
                <c:pt idx="469">
                  <c:v>0.18315999999999999</c:v>
                </c:pt>
                <c:pt idx="470">
                  <c:v>0.17967</c:v>
                </c:pt>
                <c:pt idx="471">
                  <c:v>0.18887999999999999</c:v>
                </c:pt>
                <c:pt idx="472">
                  <c:v>0.1988</c:v>
                </c:pt>
                <c:pt idx="473">
                  <c:v>0.19491</c:v>
                </c:pt>
                <c:pt idx="474">
                  <c:v>0.20943999999999999</c:v>
                </c:pt>
                <c:pt idx="475">
                  <c:v>0.19691</c:v>
                </c:pt>
                <c:pt idx="476">
                  <c:v>0.18489</c:v>
                </c:pt>
                <c:pt idx="477">
                  <c:v>0.16772999999999999</c:v>
                </c:pt>
                <c:pt idx="478">
                  <c:v>0.17307</c:v>
                </c:pt>
                <c:pt idx="479">
                  <c:v>0.19259999999999999</c:v>
                </c:pt>
                <c:pt idx="480">
                  <c:v>0.19919999999999999</c:v>
                </c:pt>
                <c:pt idx="481">
                  <c:v>0.20191999999999999</c:v>
                </c:pt>
                <c:pt idx="482">
                  <c:v>0.19953000000000001</c:v>
                </c:pt>
                <c:pt idx="483">
                  <c:v>0.21471999999999999</c:v>
                </c:pt>
                <c:pt idx="484">
                  <c:v>0.21562000000000001</c:v>
                </c:pt>
                <c:pt idx="485">
                  <c:v>0.22105</c:v>
                </c:pt>
                <c:pt idx="486">
                  <c:v>0.22352</c:v>
                </c:pt>
                <c:pt idx="487">
                  <c:v>0.21831999999999999</c:v>
                </c:pt>
                <c:pt idx="488">
                  <c:v>0.22456999999999999</c:v>
                </c:pt>
                <c:pt idx="489">
                  <c:v>0.22506000000000001</c:v>
                </c:pt>
                <c:pt idx="490">
                  <c:v>0.22561</c:v>
                </c:pt>
                <c:pt idx="491">
                  <c:v>0.21010000000000001</c:v>
                </c:pt>
                <c:pt idx="492">
                  <c:v>0.2392</c:v>
                </c:pt>
                <c:pt idx="493">
                  <c:v>0.24245</c:v>
                </c:pt>
                <c:pt idx="494">
                  <c:v>0.24223</c:v>
                </c:pt>
                <c:pt idx="495">
                  <c:v>0.25433</c:v>
                </c:pt>
                <c:pt idx="496">
                  <c:v>0.26193</c:v>
                </c:pt>
                <c:pt idx="497">
                  <c:v>0.26299</c:v>
                </c:pt>
                <c:pt idx="498">
                  <c:v>0.24621999999999999</c:v>
                </c:pt>
                <c:pt idx="499">
                  <c:v>0.25459999999999999</c:v>
                </c:pt>
                <c:pt idx="500">
                  <c:v>0.25889000000000001</c:v>
                </c:pt>
                <c:pt idx="501">
                  <c:v>0.25456000000000001</c:v>
                </c:pt>
                <c:pt idx="502">
                  <c:v>0.25679000000000002</c:v>
                </c:pt>
                <c:pt idx="503">
                  <c:v>0.25047999999999998</c:v>
                </c:pt>
                <c:pt idx="504">
                  <c:v>0.25369000000000003</c:v>
                </c:pt>
                <c:pt idx="505">
                  <c:v>0.20668</c:v>
                </c:pt>
                <c:pt idx="506">
                  <c:v>0.17494999999999999</c:v>
                </c:pt>
                <c:pt idx="507">
                  <c:v>0.17774999999999999</c:v>
                </c:pt>
                <c:pt idx="508">
                  <c:v>0.18309</c:v>
                </c:pt>
                <c:pt idx="509">
                  <c:v>0.17121</c:v>
                </c:pt>
                <c:pt idx="510">
                  <c:v>0.20630999999999999</c:v>
                </c:pt>
                <c:pt idx="511">
                  <c:v>0.21052000000000001</c:v>
                </c:pt>
                <c:pt idx="512">
                  <c:v>0.222</c:v>
                </c:pt>
                <c:pt idx="513">
                  <c:v>0.22553999999999999</c:v>
                </c:pt>
                <c:pt idx="514">
                  <c:v>0.21671000000000001</c:v>
                </c:pt>
                <c:pt idx="515">
                  <c:v>0.23624999999999999</c:v>
                </c:pt>
                <c:pt idx="516">
                  <c:v>0.20527999999999999</c:v>
                </c:pt>
                <c:pt idx="517">
                  <c:v>0.19305</c:v>
                </c:pt>
                <c:pt idx="518">
                  <c:v>0.18711</c:v>
                </c:pt>
                <c:pt idx="519">
                  <c:v>0.19433</c:v>
                </c:pt>
                <c:pt idx="520">
                  <c:v>0.19802</c:v>
                </c:pt>
                <c:pt idx="521">
                  <c:v>0.18962000000000001</c:v>
                </c:pt>
                <c:pt idx="522">
                  <c:v>0.19127</c:v>
                </c:pt>
                <c:pt idx="523">
                  <c:v>0.19627</c:v>
                </c:pt>
                <c:pt idx="524">
                  <c:v>0.1716</c:v>
                </c:pt>
                <c:pt idx="525">
                  <c:v>0.19298000000000001</c:v>
                </c:pt>
                <c:pt idx="526">
                  <c:v>0.16028999999999999</c:v>
                </c:pt>
                <c:pt idx="527">
                  <c:v>0.17499999999999999</c:v>
                </c:pt>
                <c:pt idx="528">
                  <c:v>0.17882999999999999</c:v>
                </c:pt>
                <c:pt idx="529">
                  <c:v>0.18840999999999999</c:v>
                </c:pt>
                <c:pt idx="530">
                  <c:v>0.17473</c:v>
                </c:pt>
                <c:pt idx="531">
                  <c:v>0.18881000000000001</c:v>
                </c:pt>
                <c:pt idx="532">
                  <c:v>0.15923999999999999</c:v>
                </c:pt>
                <c:pt idx="533">
                  <c:v>0.14579</c:v>
                </c:pt>
                <c:pt idx="534">
                  <c:v>0.13386999999999999</c:v>
                </c:pt>
                <c:pt idx="535">
                  <c:v>0.1462</c:v>
                </c:pt>
                <c:pt idx="536">
                  <c:v>0.14618999999999999</c:v>
                </c:pt>
                <c:pt idx="537">
                  <c:v>0.13500000000000001</c:v>
                </c:pt>
                <c:pt idx="538">
                  <c:v>0.12573999999999999</c:v>
                </c:pt>
                <c:pt idx="539">
                  <c:v>0.13149</c:v>
                </c:pt>
                <c:pt idx="540">
                  <c:v>0.13023999999999999</c:v>
                </c:pt>
                <c:pt idx="541">
                  <c:v>0.13350000000000001</c:v>
                </c:pt>
                <c:pt idx="542">
                  <c:v>0.12402000000000001</c:v>
                </c:pt>
                <c:pt idx="543">
                  <c:v>0.12536</c:v>
                </c:pt>
                <c:pt idx="544">
                  <c:v>0.10695</c:v>
                </c:pt>
                <c:pt idx="545">
                  <c:v>0.10247000000000001</c:v>
                </c:pt>
                <c:pt idx="546">
                  <c:v>0.1075</c:v>
                </c:pt>
                <c:pt idx="547">
                  <c:v>0.10616</c:v>
                </c:pt>
                <c:pt idx="548">
                  <c:v>0.11432</c:v>
                </c:pt>
                <c:pt idx="549">
                  <c:v>0.10269</c:v>
                </c:pt>
                <c:pt idx="550">
                  <c:v>0.10909000000000001</c:v>
                </c:pt>
                <c:pt idx="551">
                  <c:v>0.11609</c:v>
                </c:pt>
                <c:pt idx="552">
                  <c:v>0.11762</c:v>
                </c:pt>
                <c:pt idx="553">
                  <c:v>0.12515000000000001</c:v>
                </c:pt>
                <c:pt idx="554">
                  <c:v>0.12365</c:v>
                </c:pt>
                <c:pt idx="555">
                  <c:v>0.12286</c:v>
                </c:pt>
                <c:pt idx="556">
                  <c:v>0.12472999999999999</c:v>
                </c:pt>
                <c:pt idx="557">
                  <c:v>0.13347999999999999</c:v>
                </c:pt>
                <c:pt idx="558">
                  <c:v>0.13464000000000001</c:v>
                </c:pt>
                <c:pt idx="559">
                  <c:v>0.13042000000000001</c:v>
                </c:pt>
                <c:pt idx="560">
                  <c:v>0.11944</c:v>
                </c:pt>
                <c:pt idx="561">
                  <c:v>0.12353</c:v>
                </c:pt>
                <c:pt idx="562">
                  <c:v>0.12695000000000001</c:v>
                </c:pt>
                <c:pt idx="563">
                  <c:v>0.12506</c:v>
                </c:pt>
                <c:pt idx="564">
                  <c:v>0.10338</c:v>
                </c:pt>
                <c:pt idx="565">
                  <c:v>0.10425</c:v>
                </c:pt>
                <c:pt idx="566">
                  <c:v>9.7129999999999994E-2</c:v>
                </c:pt>
                <c:pt idx="567">
                  <c:v>9.2600000000000002E-2</c:v>
                </c:pt>
                <c:pt idx="568">
                  <c:v>0.10145999999999999</c:v>
                </c:pt>
                <c:pt idx="569">
                  <c:v>9.7070000000000004E-2</c:v>
                </c:pt>
                <c:pt idx="570">
                  <c:v>0.10119</c:v>
                </c:pt>
                <c:pt idx="571">
                  <c:v>0.10148</c:v>
                </c:pt>
                <c:pt idx="572">
                  <c:v>0.1047</c:v>
                </c:pt>
                <c:pt idx="573">
                  <c:v>9.0939999999999993E-2</c:v>
                </c:pt>
                <c:pt idx="574">
                  <c:v>8.2799999999999999E-2</c:v>
                </c:pt>
                <c:pt idx="575">
                  <c:v>7.9439999999999997E-2</c:v>
                </c:pt>
                <c:pt idx="576">
                  <c:v>7.4520000000000003E-2</c:v>
                </c:pt>
                <c:pt idx="577">
                  <c:v>7.4740000000000001E-2</c:v>
                </c:pt>
                <c:pt idx="578">
                  <c:v>7.528E-2</c:v>
                </c:pt>
                <c:pt idx="579">
                  <c:v>7.4940000000000007E-2</c:v>
                </c:pt>
                <c:pt idx="580">
                  <c:v>8.6319999999999994E-2</c:v>
                </c:pt>
                <c:pt idx="581">
                  <c:v>7.5939999999999994E-2</c:v>
                </c:pt>
                <c:pt idx="582">
                  <c:v>7.9939999999999997E-2</c:v>
                </c:pt>
                <c:pt idx="583">
                  <c:v>8.4390000000000007E-2</c:v>
                </c:pt>
                <c:pt idx="584">
                  <c:v>8.7489999999999998E-2</c:v>
                </c:pt>
                <c:pt idx="585">
                  <c:v>9.0800000000000006E-2</c:v>
                </c:pt>
                <c:pt idx="586">
                  <c:v>9.0179999999999996E-2</c:v>
                </c:pt>
                <c:pt idx="587">
                  <c:v>9.3780000000000002E-2</c:v>
                </c:pt>
                <c:pt idx="588">
                  <c:v>9.1189999999999993E-2</c:v>
                </c:pt>
                <c:pt idx="589">
                  <c:v>8.9510000000000006E-2</c:v>
                </c:pt>
                <c:pt idx="590">
                  <c:v>9.1990000000000002E-2</c:v>
                </c:pt>
                <c:pt idx="591">
                  <c:v>9.1939999999999994E-2</c:v>
                </c:pt>
                <c:pt idx="592">
                  <c:v>9.2999999999999999E-2</c:v>
                </c:pt>
                <c:pt idx="593">
                  <c:v>0.10227</c:v>
                </c:pt>
                <c:pt idx="594">
                  <c:v>0.104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0D-4B83-A3D1-79247FC2952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-12.053425719356326</c:v>
                </c:pt>
                <c:pt idx="1">
                  <c:v>-11.959476300566806</c:v>
                </c:pt>
                <c:pt idx="2">
                  <c:v>-11.731002641408914</c:v>
                </c:pt>
                <c:pt idx="3">
                  <c:v>-12.654848121852977</c:v>
                </c:pt>
                <c:pt idx="4">
                  <c:v>-13.293787168043959</c:v>
                </c:pt>
                <c:pt idx="5">
                  <c:v>-13.955231427342206</c:v>
                </c:pt>
                <c:pt idx="6">
                  <c:v>-13.638208324470918</c:v>
                </c:pt>
                <c:pt idx="7">
                  <c:v>-12.964003995976473</c:v>
                </c:pt>
                <c:pt idx="8">
                  <c:v>-12.606311185381024</c:v>
                </c:pt>
                <c:pt idx="9">
                  <c:v>-12.599547692386029</c:v>
                </c:pt>
                <c:pt idx="10">
                  <c:v>-12.544550525379035</c:v>
                </c:pt>
                <c:pt idx="11">
                  <c:v>-12.281768564285285</c:v>
                </c:pt>
                <c:pt idx="12">
                  <c:v>-12.274340668497587</c:v>
                </c:pt>
                <c:pt idx="13">
                  <c:v>-12.125344504304037</c:v>
                </c:pt>
                <c:pt idx="14">
                  <c:v>-12.047520201433668</c:v>
                </c:pt>
                <c:pt idx="15">
                  <c:v>-11.859159585595647</c:v>
                </c:pt>
                <c:pt idx="16">
                  <c:v>-12.064561844270727</c:v>
                </c:pt>
                <c:pt idx="17">
                  <c:v>-12.221568354438796</c:v>
                </c:pt>
                <c:pt idx="18">
                  <c:v>-12.169761899578608</c:v>
                </c:pt>
                <c:pt idx="19">
                  <c:v>-12.181332841746892</c:v>
                </c:pt>
                <c:pt idx="20">
                  <c:v>-12.022820932761386</c:v>
                </c:pt>
                <c:pt idx="21">
                  <c:v>-11.676696807244143</c:v>
                </c:pt>
                <c:pt idx="22">
                  <c:v>-11.594214615421141</c:v>
                </c:pt>
                <c:pt idx="23">
                  <c:v>-11.515275304543646</c:v>
                </c:pt>
                <c:pt idx="24">
                  <c:v>-11.476823180354456</c:v>
                </c:pt>
                <c:pt idx="25">
                  <c:v>-11.451486575973014</c:v>
                </c:pt>
                <c:pt idx="26">
                  <c:v>-11.480160930693343</c:v>
                </c:pt>
                <c:pt idx="27">
                  <c:v>-11.50034976610902</c:v>
                </c:pt>
                <c:pt idx="28">
                  <c:v>-11.587423689863884</c:v>
                </c:pt>
                <c:pt idx="29">
                  <c:v>-11.623544933822906</c:v>
                </c:pt>
                <c:pt idx="30">
                  <c:v>-11.521227452925203</c:v>
                </c:pt>
                <c:pt idx="31">
                  <c:v>-11.276775986272254</c:v>
                </c:pt>
                <c:pt idx="32">
                  <c:v>-11.055293143921975</c:v>
                </c:pt>
                <c:pt idx="33">
                  <c:v>-11.100530712636928</c:v>
                </c:pt>
                <c:pt idx="34">
                  <c:v>-11.1257282346688</c:v>
                </c:pt>
                <c:pt idx="35">
                  <c:v>-11.002109152564827</c:v>
                </c:pt>
                <c:pt idx="36">
                  <c:v>-11.150103584858494</c:v>
                </c:pt>
                <c:pt idx="37">
                  <c:v>-10.83095943454417</c:v>
                </c:pt>
                <c:pt idx="38">
                  <c:v>-11.134378171623549</c:v>
                </c:pt>
                <c:pt idx="39">
                  <c:v>-11.195271459635419</c:v>
                </c:pt>
                <c:pt idx="40">
                  <c:v>-11.15058892202609</c:v>
                </c:pt>
                <c:pt idx="41">
                  <c:v>-11.18299432168255</c:v>
                </c:pt>
                <c:pt idx="42">
                  <c:v>-11.142728636447895</c:v>
                </c:pt>
                <c:pt idx="43">
                  <c:v>-10.938387570697333</c:v>
                </c:pt>
                <c:pt idx="44">
                  <c:v>-11.109910900022488</c:v>
                </c:pt>
                <c:pt idx="45">
                  <c:v>-11.161092627864912</c:v>
                </c:pt>
                <c:pt idx="46">
                  <c:v>-10.940122183399504</c:v>
                </c:pt>
                <c:pt idx="47">
                  <c:v>-11.015074955713601</c:v>
                </c:pt>
                <c:pt idx="48">
                  <c:v>-11.021067091966147</c:v>
                </c:pt>
                <c:pt idx="49">
                  <c:v>-10.605809240110148</c:v>
                </c:pt>
                <c:pt idx="50">
                  <c:v>-10.416135245350231</c:v>
                </c:pt>
                <c:pt idx="51">
                  <c:v>-10.324712263389504</c:v>
                </c:pt>
                <c:pt idx="52">
                  <c:v>-10.102842181530974</c:v>
                </c:pt>
                <c:pt idx="53">
                  <c:v>-10.575971396501355</c:v>
                </c:pt>
                <c:pt idx="54">
                  <c:v>-10.378360524757444</c:v>
                </c:pt>
                <c:pt idx="55">
                  <c:v>-10.859073763853209</c:v>
                </c:pt>
                <c:pt idx="56">
                  <c:v>-10.758234549790554</c:v>
                </c:pt>
                <c:pt idx="57">
                  <c:v>-10.671486828516903</c:v>
                </c:pt>
                <c:pt idx="58">
                  <c:v>-10.50933231773466</c:v>
                </c:pt>
                <c:pt idx="59">
                  <c:v>-10.319741964910234</c:v>
                </c:pt>
                <c:pt idx="60">
                  <c:v>-9.9201401770156625</c:v>
                </c:pt>
                <c:pt idx="61">
                  <c:v>-10.169745503163355</c:v>
                </c:pt>
                <c:pt idx="62">
                  <c:v>-10.016003726792293</c:v>
                </c:pt>
                <c:pt idx="63">
                  <c:v>-9.1575082463496553</c:v>
                </c:pt>
                <c:pt idx="64">
                  <c:v>-8.0849535223581217</c:v>
                </c:pt>
                <c:pt idx="65">
                  <c:v>-7.5760391373943072</c:v>
                </c:pt>
                <c:pt idx="66">
                  <c:v>-9.5745112751070582</c:v>
                </c:pt>
                <c:pt idx="67">
                  <c:v>-9.7900375313656376</c:v>
                </c:pt>
                <c:pt idx="68">
                  <c:v>-9.4833657473486035</c:v>
                </c:pt>
                <c:pt idx="69">
                  <c:v>-9.2946661429505291</c:v>
                </c:pt>
                <c:pt idx="70">
                  <c:v>-9.7616109825509181</c:v>
                </c:pt>
                <c:pt idx="71">
                  <c:v>-9.1505307002220846</c:v>
                </c:pt>
                <c:pt idx="72">
                  <c:v>-8.5332562520510837</c:v>
                </c:pt>
                <c:pt idx="73">
                  <c:v>-8.5235365419643454</c:v>
                </c:pt>
                <c:pt idx="74">
                  <c:v>-8.1752430617324841</c:v>
                </c:pt>
                <c:pt idx="75">
                  <c:v>-8.4334617158696865</c:v>
                </c:pt>
                <c:pt idx="76">
                  <c:v>-7.8115335761054068</c:v>
                </c:pt>
                <c:pt idx="77">
                  <c:v>-7.1054977429696038</c:v>
                </c:pt>
                <c:pt idx="78">
                  <c:v>-6.0720435531205466</c:v>
                </c:pt>
                <c:pt idx="79">
                  <c:v>-3.8157213435975188</c:v>
                </c:pt>
                <c:pt idx="80">
                  <c:v>-8.6562855667260514</c:v>
                </c:pt>
                <c:pt idx="81">
                  <c:v>-9.4381991034982953</c:v>
                </c:pt>
                <c:pt idx="82">
                  <c:v>-10.283413330691276</c:v>
                </c:pt>
                <c:pt idx="83">
                  <c:v>-10.617786955246308</c:v>
                </c:pt>
                <c:pt idx="84">
                  <c:v>-9.4781592509662662</c:v>
                </c:pt>
                <c:pt idx="85">
                  <c:v>-8.4459275176156332</c:v>
                </c:pt>
                <c:pt idx="86">
                  <c:v>-5.3395543861630639</c:v>
                </c:pt>
                <c:pt idx="87">
                  <c:v>-7.9558419570070242</c:v>
                </c:pt>
                <c:pt idx="88">
                  <c:v>-12.355060222019702</c:v>
                </c:pt>
                <c:pt idx="89">
                  <c:v>-12.74949572155241</c:v>
                </c:pt>
                <c:pt idx="90">
                  <c:v>-12.095190995487428</c:v>
                </c:pt>
                <c:pt idx="91">
                  <c:v>-12.345943741427766</c:v>
                </c:pt>
                <c:pt idx="92">
                  <c:v>-13.417379395545943</c:v>
                </c:pt>
                <c:pt idx="93">
                  <c:v>-13.198697741755328</c:v>
                </c:pt>
                <c:pt idx="94">
                  <c:v>-13.155166109755328</c:v>
                </c:pt>
                <c:pt idx="95">
                  <c:v>-13.209655322594834</c:v>
                </c:pt>
                <c:pt idx="96">
                  <c:v>-13.16931952538553</c:v>
                </c:pt>
                <c:pt idx="97">
                  <c:v>-13.23339940138553</c:v>
                </c:pt>
                <c:pt idx="98">
                  <c:v>-13.336174950701768</c:v>
                </c:pt>
                <c:pt idx="99">
                  <c:v>-13.20963859768972</c:v>
                </c:pt>
                <c:pt idx="100">
                  <c:v>-13.251967258356386</c:v>
                </c:pt>
                <c:pt idx="101">
                  <c:v>-13.247313666265988</c:v>
                </c:pt>
                <c:pt idx="102">
                  <c:v>-13.136478241461392</c:v>
                </c:pt>
                <c:pt idx="103">
                  <c:v>-12.893129286316883</c:v>
                </c:pt>
                <c:pt idx="104">
                  <c:v>-12.601859483053728</c:v>
                </c:pt>
                <c:pt idx="105">
                  <c:v>-12.243727195361418</c:v>
                </c:pt>
                <c:pt idx="106">
                  <c:v>-12.191298623769379</c:v>
                </c:pt>
                <c:pt idx="107">
                  <c:v>-12.282713994088528</c:v>
                </c:pt>
                <c:pt idx="108">
                  <c:v>-12.38247368583678</c:v>
                </c:pt>
                <c:pt idx="109">
                  <c:v>-12.304892253387802</c:v>
                </c:pt>
                <c:pt idx="110">
                  <c:v>-12.195317012100936</c:v>
                </c:pt>
                <c:pt idx="111">
                  <c:v>-12.168475130240472</c:v>
                </c:pt>
                <c:pt idx="112">
                  <c:v>-12.123149535419623</c:v>
                </c:pt>
                <c:pt idx="113">
                  <c:v>-12.16968530451053</c:v>
                </c:pt>
                <c:pt idx="114">
                  <c:v>-12.114767409279761</c:v>
                </c:pt>
                <c:pt idx="115">
                  <c:v>-12.191725501467261</c:v>
                </c:pt>
                <c:pt idx="116">
                  <c:v>-12.267984734456952</c:v>
                </c:pt>
                <c:pt idx="117">
                  <c:v>-12.279786473007677</c:v>
                </c:pt>
                <c:pt idx="118">
                  <c:v>-12.273966892635929</c:v>
                </c:pt>
                <c:pt idx="119">
                  <c:v>-12.46569325137199</c:v>
                </c:pt>
                <c:pt idx="120">
                  <c:v>-12.495134208831448</c:v>
                </c:pt>
                <c:pt idx="121">
                  <c:v>-12.444061928129695</c:v>
                </c:pt>
                <c:pt idx="122">
                  <c:v>-12.324278164385692</c:v>
                </c:pt>
                <c:pt idx="123">
                  <c:v>-12.142434192683567</c:v>
                </c:pt>
                <c:pt idx="124">
                  <c:v>-12.140608125284754</c:v>
                </c:pt>
                <c:pt idx="125">
                  <c:v>-12.193373403354931</c:v>
                </c:pt>
                <c:pt idx="126">
                  <c:v>-12.05966478227141</c:v>
                </c:pt>
                <c:pt idx="127">
                  <c:v>-12.132164061557123</c:v>
                </c:pt>
                <c:pt idx="128">
                  <c:v>-12.338296601699305</c:v>
                </c:pt>
                <c:pt idx="129">
                  <c:v>-12.15687560496597</c:v>
                </c:pt>
                <c:pt idx="130">
                  <c:v>-12.053981691892801</c:v>
                </c:pt>
                <c:pt idx="131">
                  <c:v>-11.895867297846998</c:v>
                </c:pt>
                <c:pt idx="132">
                  <c:v>-11.922521664582751</c:v>
                </c:pt>
                <c:pt idx="133">
                  <c:v>-11.951917534582751</c:v>
                </c:pt>
                <c:pt idx="134">
                  <c:v>-11.803866281932573</c:v>
                </c:pt>
                <c:pt idx="135">
                  <c:v>-12.012543519052571</c:v>
                </c:pt>
                <c:pt idx="136">
                  <c:v>-12.125968946664512</c:v>
                </c:pt>
                <c:pt idx="137">
                  <c:v>-11.987977653065018</c:v>
                </c:pt>
                <c:pt idx="138">
                  <c:v>-12.139481895248181</c:v>
                </c:pt>
                <c:pt idx="139">
                  <c:v>-12.125457325109533</c:v>
                </c:pt>
                <c:pt idx="140">
                  <c:v>-11.983278770235087</c:v>
                </c:pt>
                <c:pt idx="141">
                  <c:v>-11.915439359035089</c:v>
                </c:pt>
                <c:pt idx="142">
                  <c:v>-11.837927631517067</c:v>
                </c:pt>
                <c:pt idx="143">
                  <c:v>-11.360340289287507</c:v>
                </c:pt>
                <c:pt idx="144">
                  <c:v>-11.424374408130847</c:v>
                </c:pt>
                <c:pt idx="145">
                  <c:v>-11.539092773130845</c:v>
                </c:pt>
                <c:pt idx="146">
                  <c:v>-11.400953090834198</c:v>
                </c:pt>
                <c:pt idx="147">
                  <c:v>-11.430782033261639</c:v>
                </c:pt>
                <c:pt idx="148">
                  <c:v>-11.138405686924196</c:v>
                </c:pt>
                <c:pt idx="149">
                  <c:v>-10.935063472962741</c:v>
                </c:pt>
                <c:pt idx="150">
                  <c:v>-11.416110728776692</c:v>
                </c:pt>
                <c:pt idx="151">
                  <c:v>-10.078355242259837</c:v>
                </c:pt>
                <c:pt idx="152">
                  <c:v>-7.2414920072032496</c:v>
                </c:pt>
                <c:pt idx="153">
                  <c:v>-7.6978290010684294</c:v>
                </c:pt>
                <c:pt idx="154">
                  <c:v>-7.7256474291899764</c:v>
                </c:pt>
                <c:pt idx="155">
                  <c:v>-8.1060997744456973</c:v>
                </c:pt>
                <c:pt idx="156">
                  <c:v>-7.9675172342276115</c:v>
                </c:pt>
                <c:pt idx="157">
                  <c:v>-6.7700665157363478</c:v>
                </c:pt>
                <c:pt idx="158">
                  <c:v>-5.6312482735273584</c:v>
                </c:pt>
                <c:pt idx="159">
                  <c:v>-5.6721318810846091</c:v>
                </c:pt>
                <c:pt idx="160">
                  <c:v>-5.5712397054897931</c:v>
                </c:pt>
                <c:pt idx="161">
                  <c:v>-5.8272715742594787</c:v>
                </c:pt>
                <c:pt idx="162">
                  <c:v>-6.0847899911240226</c:v>
                </c:pt>
                <c:pt idx="163">
                  <c:v>-6.0647327504496396</c:v>
                </c:pt>
                <c:pt idx="164">
                  <c:v>-5.839801081114552</c:v>
                </c:pt>
                <c:pt idx="165">
                  <c:v>-5.7797430064116595</c:v>
                </c:pt>
                <c:pt idx="166">
                  <c:v>-5.9124186778773247</c:v>
                </c:pt>
                <c:pt idx="167">
                  <c:v>-5.915985698063877</c:v>
                </c:pt>
                <c:pt idx="168">
                  <c:v>-6.4225249469795713</c:v>
                </c:pt>
                <c:pt idx="169">
                  <c:v>-6.3326987194616837</c:v>
                </c:pt>
                <c:pt idx="170">
                  <c:v>-6.2712529101409471</c:v>
                </c:pt>
                <c:pt idx="171">
                  <c:v>-6.4075414006331997</c:v>
                </c:pt>
                <c:pt idx="172">
                  <c:v>-6.6203404528176097</c:v>
                </c:pt>
                <c:pt idx="173">
                  <c:v>-6.4050921362586566</c:v>
                </c:pt>
                <c:pt idx="174">
                  <c:v>-6.5849132654595666</c:v>
                </c:pt>
                <c:pt idx="175">
                  <c:v>-6.7154574067915282</c:v>
                </c:pt>
                <c:pt idx="176">
                  <c:v>-6.7871240858425361</c:v>
                </c:pt>
                <c:pt idx="177">
                  <c:v>-6.8334068282832146</c:v>
                </c:pt>
                <c:pt idx="178">
                  <c:v>-6.7544650020991686</c:v>
                </c:pt>
                <c:pt idx="179">
                  <c:v>-6.7796237764122225</c:v>
                </c:pt>
                <c:pt idx="180">
                  <c:v>-6.5834693514742018</c:v>
                </c:pt>
                <c:pt idx="181">
                  <c:v>-6.536661586736856</c:v>
                </c:pt>
                <c:pt idx="182">
                  <c:v>-6.6425548534481171</c:v>
                </c:pt>
                <c:pt idx="183">
                  <c:v>-6.7181286639936895</c:v>
                </c:pt>
                <c:pt idx="184">
                  <c:v>-6.7619290250234343</c:v>
                </c:pt>
                <c:pt idx="185">
                  <c:v>-6.7686261120857054</c:v>
                </c:pt>
                <c:pt idx="186">
                  <c:v>-6.5263074933377272</c:v>
                </c:pt>
                <c:pt idx="187">
                  <c:v>-6.6136305522820038</c:v>
                </c:pt>
                <c:pt idx="188">
                  <c:v>-6.6252661710046103</c:v>
                </c:pt>
                <c:pt idx="189">
                  <c:v>-6.6686939491067267</c:v>
                </c:pt>
                <c:pt idx="190">
                  <c:v>-6.7102760077302879</c:v>
                </c:pt>
                <c:pt idx="191">
                  <c:v>-6.8442322244123499</c:v>
                </c:pt>
                <c:pt idx="192">
                  <c:v>-6.7706277580583407</c:v>
                </c:pt>
                <c:pt idx="193">
                  <c:v>-6.7022017579524675</c:v>
                </c:pt>
                <c:pt idx="194">
                  <c:v>-6.6380879605611627</c:v>
                </c:pt>
                <c:pt idx="195">
                  <c:v>-6.5461707618371472</c:v>
                </c:pt>
                <c:pt idx="196">
                  <c:v>-6.4019505684198199</c:v>
                </c:pt>
                <c:pt idx="197">
                  <c:v>-6.1911826580371843</c:v>
                </c:pt>
                <c:pt idx="198">
                  <c:v>-6.2325735106787157</c:v>
                </c:pt>
                <c:pt idx="199">
                  <c:v>-6.196781492942546</c:v>
                </c:pt>
                <c:pt idx="200">
                  <c:v>-6.1670108169052167</c:v>
                </c:pt>
                <c:pt idx="201">
                  <c:v>-6.1795791331579384</c:v>
                </c:pt>
                <c:pt idx="202">
                  <c:v>-6.1821655700360605</c:v>
                </c:pt>
                <c:pt idx="203">
                  <c:v>-6.2860606186782819</c:v>
                </c:pt>
                <c:pt idx="204">
                  <c:v>-6.1769215959991008</c:v>
                </c:pt>
                <c:pt idx="205">
                  <c:v>-6.0021763938689228</c:v>
                </c:pt>
                <c:pt idx="206">
                  <c:v>-6.1122977266166654</c:v>
                </c:pt>
                <c:pt idx="207">
                  <c:v>-6.0713455164788224</c:v>
                </c:pt>
                <c:pt idx="208">
                  <c:v>-6.0539308842967854</c:v>
                </c:pt>
                <c:pt idx="209">
                  <c:v>-6.0890913497798573</c:v>
                </c:pt>
                <c:pt idx="210">
                  <c:v>-6.1574776975895249</c:v>
                </c:pt>
                <c:pt idx="211">
                  <c:v>-6.0642701531695904</c:v>
                </c:pt>
                <c:pt idx="212">
                  <c:v>-6.0355196394171031</c:v>
                </c:pt>
                <c:pt idx="213">
                  <c:v>-5.700643170511019</c:v>
                </c:pt>
                <c:pt idx="214">
                  <c:v>-5.4051703908824491</c:v>
                </c:pt>
                <c:pt idx="215">
                  <c:v>-5.7710274343936785</c:v>
                </c:pt>
                <c:pt idx="216">
                  <c:v>-5.9170948906690883</c:v>
                </c:pt>
                <c:pt idx="217">
                  <c:v>-5.7187603158967484</c:v>
                </c:pt>
                <c:pt idx="218">
                  <c:v>-5.8230824404903494</c:v>
                </c:pt>
                <c:pt idx="219">
                  <c:v>-5.9274183624791217</c:v>
                </c:pt>
                <c:pt idx="220">
                  <c:v>-5.9523247477513941</c:v>
                </c:pt>
                <c:pt idx="221">
                  <c:v>-5.7585764907878865</c:v>
                </c:pt>
                <c:pt idx="222">
                  <c:v>-5.8714167933869241</c:v>
                </c:pt>
                <c:pt idx="223">
                  <c:v>-5.8847071877554118</c:v>
                </c:pt>
                <c:pt idx="224">
                  <c:v>-5.8233084488990432</c:v>
                </c:pt>
                <c:pt idx="225">
                  <c:v>-5.8447384174832573</c:v>
                </c:pt>
                <c:pt idx="226">
                  <c:v>-5.723341213282735</c:v>
                </c:pt>
                <c:pt idx="227">
                  <c:v>-5.6518023524350243</c:v>
                </c:pt>
                <c:pt idx="228">
                  <c:v>-5.6960503247683585</c:v>
                </c:pt>
                <c:pt idx="229">
                  <c:v>-5.7395196538763029</c:v>
                </c:pt>
                <c:pt idx="230">
                  <c:v>-5.7012477147750875</c:v>
                </c:pt>
                <c:pt idx="231">
                  <c:v>-5.64807866827607</c:v>
                </c:pt>
                <c:pt idx="232">
                  <c:v>-5.5670137095036978</c:v>
                </c:pt>
                <c:pt idx="233">
                  <c:v>-5.6802412963240378</c:v>
                </c:pt>
                <c:pt idx="234">
                  <c:v>-5.7797311734664625</c:v>
                </c:pt>
                <c:pt idx="235">
                  <c:v>-5.6426532661741904</c:v>
                </c:pt>
                <c:pt idx="236">
                  <c:v>-5.6633948067241642</c:v>
                </c:pt>
                <c:pt idx="237">
                  <c:v>-5.5839769301100892</c:v>
                </c:pt>
                <c:pt idx="238">
                  <c:v>-5.5422454048798873</c:v>
                </c:pt>
                <c:pt idx="239">
                  <c:v>-5.5431153747941719</c:v>
                </c:pt>
                <c:pt idx="240">
                  <c:v>-5.5533298597649754</c:v>
                </c:pt>
                <c:pt idx="241">
                  <c:v>-5.481381367361509</c:v>
                </c:pt>
                <c:pt idx="242">
                  <c:v>-5.5666470739846092</c:v>
                </c:pt>
                <c:pt idx="243">
                  <c:v>-5.6124711038624948</c:v>
                </c:pt>
                <c:pt idx="244">
                  <c:v>-5.4825325467781569</c:v>
                </c:pt>
                <c:pt idx="245">
                  <c:v>-4.8555836989947698</c:v>
                </c:pt>
                <c:pt idx="246">
                  <c:v>-4.7932371307206028</c:v>
                </c:pt>
                <c:pt idx="247">
                  <c:v>-4.6763898857287751</c:v>
                </c:pt>
                <c:pt idx="248">
                  <c:v>-5.0192897234466507</c:v>
                </c:pt>
                <c:pt idx="249">
                  <c:v>-5.470264831772754</c:v>
                </c:pt>
                <c:pt idx="250">
                  <c:v>-5.4478126217357001</c:v>
                </c:pt>
                <c:pt idx="251">
                  <c:v>-5.3136747073288921</c:v>
                </c:pt>
                <c:pt idx="252">
                  <c:v>-5.2128443728513378</c:v>
                </c:pt>
                <c:pt idx="253">
                  <c:v>-5.4756649257858747</c:v>
                </c:pt>
                <c:pt idx="254">
                  <c:v>-5.0529080750194586</c:v>
                </c:pt>
                <c:pt idx="255">
                  <c:v>-4.9371333655324641</c:v>
                </c:pt>
                <c:pt idx="256">
                  <c:v>-4.7699140884220554</c:v>
                </c:pt>
                <c:pt idx="257">
                  <c:v>-4.7146784181152235</c:v>
                </c:pt>
                <c:pt idx="258">
                  <c:v>-4.2528624012523828</c:v>
                </c:pt>
                <c:pt idx="259">
                  <c:v>-4.0522356744765382</c:v>
                </c:pt>
                <c:pt idx="260">
                  <c:v>-3.8829884179988143</c:v>
                </c:pt>
                <c:pt idx="261">
                  <c:v>-0.15834475175963192</c:v>
                </c:pt>
                <c:pt idx="262">
                  <c:v>-0.93959069355916436</c:v>
                </c:pt>
                <c:pt idx="263">
                  <c:v>-0.81674792783224504</c:v>
                </c:pt>
                <c:pt idx="264">
                  <c:v>-0.87130309932412298</c:v>
                </c:pt>
                <c:pt idx="265">
                  <c:v>-0.85748417492036921</c:v>
                </c:pt>
                <c:pt idx="266">
                  <c:v>-0.62471388184442589</c:v>
                </c:pt>
                <c:pt idx="267">
                  <c:v>-0.75009636008082659</c:v>
                </c:pt>
                <c:pt idx="268">
                  <c:v>-1.0053108011493193</c:v>
                </c:pt>
                <c:pt idx="269">
                  <c:v>-0.78458861391515589</c:v>
                </c:pt>
                <c:pt idx="270">
                  <c:v>-0.70780136771230429</c:v>
                </c:pt>
                <c:pt idx="271">
                  <c:v>-0.70135198000596166</c:v>
                </c:pt>
                <c:pt idx="272">
                  <c:v>-0.83693360149539298</c:v>
                </c:pt>
                <c:pt idx="273">
                  <c:v>-0.95870653603473144</c:v>
                </c:pt>
                <c:pt idx="274">
                  <c:v>-0.95634819238151758</c:v>
                </c:pt>
                <c:pt idx="275">
                  <c:v>-0.92117046453533924</c:v>
                </c:pt>
                <c:pt idx="276">
                  <c:v>-1.1029104401087146</c:v>
                </c:pt>
                <c:pt idx="277">
                  <c:v>-1.2727570402936796</c:v>
                </c:pt>
                <c:pt idx="278">
                  <c:v>-1.2639995362636305</c:v>
                </c:pt>
                <c:pt idx="279">
                  <c:v>-1.1270380394609496</c:v>
                </c:pt>
                <c:pt idx="280">
                  <c:v>-1.2742178716935251</c:v>
                </c:pt>
                <c:pt idx="281">
                  <c:v>-1.1203068014826627</c:v>
                </c:pt>
                <c:pt idx="282">
                  <c:v>-0.8698652240006951</c:v>
                </c:pt>
                <c:pt idx="283">
                  <c:v>-1.0778456721533816</c:v>
                </c:pt>
                <c:pt idx="284">
                  <c:v>-0.86949268020772363</c:v>
                </c:pt>
                <c:pt idx="285">
                  <c:v>-0.72339411112893448</c:v>
                </c:pt>
                <c:pt idx="286">
                  <c:v>-1.3005186779243296</c:v>
                </c:pt>
                <c:pt idx="287">
                  <c:v>-1.2786146097873017</c:v>
                </c:pt>
                <c:pt idx="288">
                  <c:v>-1.2745332286557816</c:v>
                </c:pt>
                <c:pt idx="289">
                  <c:v>-1.4846836747817078</c:v>
                </c:pt>
                <c:pt idx="290">
                  <c:v>-1.37469244795026</c:v>
                </c:pt>
                <c:pt idx="291">
                  <c:v>-1.7409507197045893</c:v>
                </c:pt>
                <c:pt idx="292">
                  <c:v>-1.8508847608840771</c:v>
                </c:pt>
                <c:pt idx="293">
                  <c:v>-1.7643330275475073</c:v>
                </c:pt>
                <c:pt idx="294">
                  <c:v>-1.702010445175713</c:v>
                </c:pt>
                <c:pt idx="295">
                  <c:v>-1.9495783967299118</c:v>
                </c:pt>
                <c:pt idx="296">
                  <c:v>-1.8350532368465837</c:v>
                </c:pt>
                <c:pt idx="297">
                  <c:v>-1.7348455164605669</c:v>
                </c:pt>
                <c:pt idx="298">
                  <c:v>-1.8577786178378444</c:v>
                </c:pt>
                <c:pt idx="299">
                  <c:v>-2.0281998647512181</c:v>
                </c:pt>
                <c:pt idx="300">
                  <c:v>-1.8098624127854128</c:v>
                </c:pt>
                <c:pt idx="301">
                  <c:v>-1.9839127990629171</c:v>
                </c:pt>
                <c:pt idx="302">
                  <c:v>-1.8519437344030945</c:v>
                </c:pt>
                <c:pt idx="303">
                  <c:v>-1.9812853743569043</c:v>
                </c:pt>
                <c:pt idx="304">
                  <c:v>-2.0224607008140096</c:v>
                </c:pt>
                <c:pt idx="305">
                  <c:v>-2.2337315445665866</c:v>
                </c:pt>
                <c:pt idx="306">
                  <c:v>-2.2515025508827633</c:v>
                </c:pt>
                <c:pt idx="307">
                  <c:v>-2.1211100938718905</c:v>
                </c:pt>
                <c:pt idx="308">
                  <c:v>-2.2599256563835182</c:v>
                </c:pt>
                <c:pt idx="309">
                  <c:v>-2.1848488743775838</c:v>
                </c:pt>
                <c:pt idx="310">
                  <c:v>-1.9816772082561249</c:v>
                </c:pt>
                <c:pt idx="311">
                  <c:v>-1.9866540403598283</c:v>
                </c:pt>
                <c:pt idx="312">
                  <c:v>-1.8362196392015302</c:v>
                </c:pt>
                <c:pt idx="313">
                  <c:v>-1.8043516962391868</c:v>
                </c:pt>
                <c:pt idx="314">
                  <c:v>-1.6752141865575088</c:v>
                </c:pt>
                <c:pt idx="315">
                  <c:v>-1.676750592505962</c:v>
                </c:pt>
                <c:pt idx="316">
                  <c:v>-1.5305217918885119</c:v>
                </c:pt>
                <c:pt idx="317">
                  <c:v>-1.7386970603143248</c:v>
                </c:pt>
                <c:pt idx="318">
                  <c:v>-1.7214965738268535</c:v>
                </c:pt>
                <c:pt idx="319">
                  <c:v>-1.7261946388209606</c:v>
                </c:pt>
                <c:pt idx="320">
                  <c:v>-1.5878683145247221</c:v>
                </c:pt>
                <c:pt idx="321">
                  <c:v>-1.6626684218059524</c:v>
                </c:pt>
                <c:pt idx="322">
                  <c:v>-1.549576614720207</c:v>
                </c:pt>
                <c:pt idx="323">
                  <c:v>-1.5387486768914576</c:v>
                </c:pt>
                <c:pt idx="324">
                  <c:v>-1.391670976927559</c:v>
                </c:pt>
                <c:pt idx="325">
                  <c:v>-1.5612716035543166</c:v>
                </c:pt>
                <c:pt idx="326">
                  <c:v>-1.659603345509864</c:v>
                </c:pt>
                <c:pt idx="327">
                  <c:v>-1.6376707842842042</c:v>
                </c:pt>
                <c:pt idx="328">
                  <c:v>-1.6979789777131069</c:v>
                </c:pt>
                <c:pt idx="329">
                  <c:v>-1.8268260982396114</c:v>
                </c:pt>
                <c:pt idx="330">
                  <c:v>-1.6961440589455703</c:v>
                </c:pt>
                <c:pt idx="331">
                  <c:v>-1.6337221257797407</c:v>
                </c:pt>
                <c:pt idx="332">
                  <c:v>-1.5694955456252309</c:v>
                </c:pt>
                <c:pt idx="333">
                  <c:v>-1.7111306502236676</c:v>
                </c:pt>
                <c:pt idx="334">
                  <c:v>-1.7556361640463174</c:v>
                </c:pt>
                <c:pt idx="335">
                  <c:v>-1.7692873849365396</c:v>
                </c:pt>
                <c:pt idx="336">
                  <c:v>-1.7473632217299404</c:v>
                </c:pt>
                <c:pt idx="337">
                  <c:v>-1.6435938121339397</c:v>
                </c:pt>
                <c:pt idx="338">
                  <c:v>-1.6289524666401771</c:v>
                </c:pt>
                <c:pt idx="339">
                  <c:v>-1.61564028296625</c:v>
                </c:pt>
                <c:pt idx="340">
                  <c:v>-1.6654133840658047</c:v>
                </c:pt>
                <c:pt idx="341">
                  <c:v>-1.7202593403969653</c:v>
                </c:pt>
                <c:pt idx="342">
                  <c:v>-1.6366525535651595</c:v>
                </c:pt>
                <c:pt idx="343">
                  <c:v>-1.6090296563431958</c:v>
                </c:pt>
                <c:pt idx="344">
                  <c:v>-1.4968044522468609</c:v>
                </c:pt>
                <c:pt idx="345">
                  <c:v>-1.6541406615621475</c:v>
                </c:pt>
                <c:pt idx="346">
                  <c:v>-1.6324718864045227</c:v>
                </c:pt>
                <c:pt idx="347">
                  <c:v>-1.6617124995653167</c:v>
                </c:pt>
                <c:pt idx="348">
                  <c:v>-1.575112318165143</c:v>
                </c:pt>
                <c:pt idx="349">
                  <c:v>-1.6783980645410617</c:v>
                </c:pt>
                <c:pt idx="350">
                  <c:v>-1.7632268385576495</c:v>
                </c:pt>
                <c:pt idx="351">
                  <c:v>-1.9311087711115742</c:v>
                </c:pt>
                <c:pt idx="352">
                  <c:v>-2.003139994132785</c:v>
                </c:pt>
                <c:pt idx="353">
                  <c:v>-2.2154363102382804</c:v>
                </c:pt>
                <c:pt idx="354">
                  <c:v>-2.2993864598882281</c:v>
                </c:pt>
                <c:pt idx="355">
                  <c:v>-2.3213956238384394</c:v>
                </c:pt>
                <c:pt idx="356">
                  <c:v>-2.1249375396315542</c:v>
                </c:pt>
                <c:pt idx="357">
                  <c:v>-2.533475955247209</c:v>
                </c:pt>
                <c:pt idx="358">
                  <c:v>-2.4267416088025424</c:v>
                </c:pt>
                <c:pt idx="359">
                  <c:v>-2.5880925310998193</c:v>
                </c:pt>
                <c:pt idx="360">
                  <c:v>-2.6767404187723449</c:v>
                </c:pt>
                <c:pt idx="361">
                  <c:v>-2.8888513223907202</c:v>
                </c:pt>
                <c:pt idx="362">
                  <c:v>-2.5987609690349096</c:v>
                </c:pt>
                <c:pt idx="363">
                  <c:v>-2.9731843852729862</c:v>
                </c:pt>
                <c:pt idx="364">
                  <c:v>-2.9636593202006658</c:v>
                </c:pt>
                <c:pt idx="365">
                  <c:v>-3.0662117260880462</c:v>
                </c:pt>
                <c:pt idx="366">
                  <c:v>-2.8766985656147783</c:v>
                </c:pt>
                <c:pt idx="367">
                  <c:v>-3.1330078724613863</c:v>
                </c:pt>
                <c:pt idx="368">
                  <c:v>-2.7936958722256464</c:v>
                </c:pt>
                <c:pt idx="369">
                  <c:v>-2.8739713266658224</c:v>
                </c:pt>
                <c:pt idx="370">
                  <c:v>-2.8197917338431413</c:v>
                </c:pt>
                <c:pt idx="371">
                  <c:v>-2.9233256768022517</c:v>
                </c:pt>
                <c:pt idx="372">
                  <c:v>-2.6327630673807954</c:v>
                </c:pt>
                <c:pt idx="373">
                  <c:v>-2.795322107957845</c:v>
                </c:pt>
                <c:pt idx="374">
                  <c:v>-2.8168374651293746</c:v>
                </c:pt>
                <c:pt idx="375">
                  <c:v>-2.8629440199373501</c:v>
                </c:pt>
                <c:pt idx="376">
                  <c:v>-3.0502203977021169</c:v>
                </c:pt>
                <c:pt idx="377">
                  <c:v>-2.9526494786220661</c:v>
                </c:pt>
                <c:pt idx="378">
                  <c:v>-3.0175782372606585</c:v>
                </c:pt>
                <c:pt idx="379">
                  <c:v>-2.8753864310024713</c:v>
                </c:pt>
                <c:pt idx="380">
                  <c:v>-3.3504814015738731</c:v>
                </c:pt>
                <c:pt idx="381">
                  <c:v>-3.3313582660867196</c:v>
                </c:pt>
                <c:pt idx="382">
                  <c:v>-3.3920063276390917</c:v>
                </c:pt>
                <c:pt idx="383">
                  <c:v>-3.2398727508100111</c:v>
                </c:pt>
                <c:pt idx="384">
                  <c:v>-3.1622593528195804</c:v>
                </c:pt>
                <c:pt idx="385">
                  <c:v>-3.1227239823907378</c:v>
                </c:pt>
                <c:pt idx="386">
                  <c:v>-2.5146321757244725</c:v>
                </c:pt>
                <c:pt idx="387">
                  <c:v>-0.52313188422850199</c:v>
                </c:pt>
                <c:pt idx="388">
                  <c:v>-0.69206206326594955</c:v>
                </c:pt>
                <c:pt idx="389">
                  <c:v>-2.1830221847129416</c:v>
                </c:pt>
                <c:pt idx="390">
                  <c:v>-2.6346587405790953</c:v>
                </c:pt>
                <c:pt idx="391">
                  <c:v>-2.6486157017026675</c:v>
                </c:pt>
                <c:pt idx="392">
                  <c:v>-2.6601076827946835</c:v>
                </c:pt>
                <c:pt idx="393">
                  <c:v>-2.6066788452294665</c:v>
                </c:pt>
                <c:pt idx="394">
                  <c:v>-2.3956595516875856</c:v>
                </c:pt>
                <c:pt idx="395">
                  <c:v>-2.53777692556146</c:v>
                </c:pt>
                <c:pt idx="396">
                  <c:v>-2.6174792211053131</c:v>
                </c:pt>
                <c:pt idx="397">
                  <c:v>-2.6738944556477677</c:v>
                </c:pt>
                <c:pt idx="398">
                  <c:v>-2.676593464126185</c:v>
                </c:pt>
                <c:pt idx="399">
                  <c:v>-2.6728090789571608</c:v>
                </c:pt>
                <c:pt idx="400">
                  <c:v>-2.7482595836164467</c:v>
                </c:pt>
                <c:pt idx="401">
                  <c:v>-2.6975900688202081</c:v>
                </c:pt>
                <c:pt idx="402">
                  <c:v>-2.7378928383202084</c:v>
                </c:pt>
                <c:pt idx="403">
                  <c:v>-2.6623860611077013</c:v>
                </c:pt>
                <c:pt idx="404">
                  <c:v>-2.7073651750365775</c:v>
                </c:pt>
                <c:pt idx="405">
                  <c:v>-2.6416731327328393</c:v>
                </c:pt>
                <c:pt idx="406">
                  <c:v>-2.650874601135524</c:v>
                </c:pt>
                <c:pt idx="407">
                  <c:v>-2.5706687353283293</c:v>
                </c:pt>
                <c:pt idx="408">
                  <c:v>-2.5634062388382257</c:v>
                </c:pt>
                <c:pt idx="409">
                  <c:v>-2.5227555671813988</c:v>
                </c:pt>
                <c:pt idx="410">
                  <c:v>-2.5529920582117591</c:v>
                </c:pt>
                <c:pt idx="411">
                  <c:v>-2.5508622837510266</c:v>
                </c:pt>
                <c:pt idx="412">
                  <c:v>-2.5707811056471956</c:v>
                </c:pt>
                <c:pt idx="413">
                  <c:v>-2.50808921068761</c:v>
                </c:pt>
                <c:pt idx="414">
                  <c:v>-2.4152386134160051</c:v>
                </c:pt>
                <c:pt idx="415">
                  <c:v>-2.4653303853340436</c:v>
                </c:pt>
                <c:pt idx="416">
                  <c:v>-2.4742389871502515</c:v>
                </c:pt>
                <c:pt idx="417">
                  <c:v>-2.4543043177825701</c:v>
                </c:pt>
                <c:pt idx="418">
                  <c:v>-2.4533386313369427</c:v>
                </c:pt>
                <c:pt idx="419">
                  <c:v>-2.4873989880428251</c:v>
                </c:pt>
                <c:pt idx="420">
                  <c:v>-2.4027578796389788</c:v>
                </c:pt>
                <c:pt idx="421">
                  <c:v>-2.4238742950467085</c:v>
                </c:pt>
                <c:pt idx="422">
                  <c:v>-2.477825816791861</c:v>
                </c:pt>
                <c:pt idx="423">
                  <c:v>-2.4163672532204328</c:v>
                </c:pt>
                <c:pt idx="424">
                  <c:v>-2.4748714612326559</c:v>
                </c:pt>
                <c:pt idx="425">
                  <c:v>-2.4914797954756862</c:v>
                </c:pt>
                <c:pt idx="426">
                  <c:v>-2.4760805502347436</c:v>
                </c:pt>
                <c:pt idx="427">
                  <c:v>-2.4786406946083743</c:v>
                </c:pt>
                <c:pt idx="428">
                  <c:v>-2.4246202696792705</c:v>
                </c:pt>
                <c:pt idx="429">
                  <c:v>-2.3153164657915424</c:v>
                </c:pt>
                <c:pt idx="430">
                  <c:v>-2.5305872294034746</c:v>
                </c:pt>
                <c:pt idx="431">
                  <c:v>-2.605800514187337</c:v>
                </c:pt>
                <c:pt idx="432">
                  <c:v>-2.5934987890498844</c:v>
                </c:pt>
                <c:pt idx="433">
                  <c:v>-2.6705359502954331</c:v>
                </c:pt>
                <c:pt idx="434">
                  <c:v>-2.6662560017428851</c:v>
                </c:pt>
                <c:pt idx="435">
                  <c:v>-2.5782189902139327</c:v>
                </c:pt>
                <c:pt idx="436">
                  <c:v>-2.5449556578828445</c:v>
                </c:pt>
                <c:pt idx="437">
                  <c:v>-2.5661958472860071</c:v>
                </c:pt>
                <c:pt idx="438">
                  <c:v>-2.5866242983615351</c:v>
                </c:pt>
                <c:pt idx="439">
                  <c:v>-2.5375345432535057</c:v>
                </c:pt>
                <c:pt idx="440">
                  <c:v>-2.47347597772443</c:v>
                </c:pt>
                <c:pt idx="441">
                  <c:v>-2.5356406981135353</c:v>
                </c:pt>
                <c:pt idx="442">
                  <c:v>-2.4408657048384139</c:v>
                </c:pt>
                <c:pt idx="443">
                  <c:v>-1.8498110078199239</c:v>
                </c:pt>
                <c:pt idx="444">
                  <c:v>-1.986740068756351</c:v>
                </c:pt>
                <c:pt idx="445">
                  <c:v>-1.9422742216435123</c:v>
                </c:pt>
                <c:pt idx="446">
                  <c:v>-2.0090702850202828</c:v>
                </c:pt>
                <c:pt idx="447">
                  <c:v>-1.9128528286234825</c:v>
                </c:pt>
                <c:pt idx="448">
                  <c:v>-2.0391404015794885</c:v>
                </c:pt>
                <c:pt idx="449">
                  <c:v>-2.0024310630038142</c:v>
                </c:pt>
                <c:pt idx="450">
                  <c:v>-1.9989972809965841</c:v>
                </c:pt>
                <c:pt idx="451">
                  <c:v>-1.9518206857336438</c:v>
                </c:pt>
                <c:pt idx="452">
                  <c:v>-1.8774458706112533</c:v>
                </c:pt>
                <c:pt idx="453">
                  <c:v>-1.8998261476160039</c:v>
                </c:pt>
                <c:pt idx="454">
                  <c:v>-1.9833956615223582</c:v>
                </c:pt>
                <c:pt idx="455">
                  <c:v>-1.9855690715946401</c:v>
                </c:pt>
                <c:pt idx="456">
                  <c:v>-1.9396781207460463</c:v>
                </c:pt>
                <c:pt idx="457">
                  <c:v>-1.8857449629495093</c:v>
                </c:pt>
                <c:pt idx="458">
                  <c:v>-1.8776145689119763</c:v>
                </c:pt>
                <c:pt idx="459">
                  <c:v>-1.8557357290192025</c:v>
                </c:pt>
                <c:pt idx="460">
                  <c:v>-1.7841251195484422</c:v>
                </c:pt>
                <c:pt idx="461">
                  <c:v>-1.8061850173950225</c:v>
                </c:pt>
                <c:pt idx="462">
                  <c:v>-1.7958588300462341</c:v>
                </c:pt>
                <c:pt idx="463">
                  <c:v>-1.7917256369254715</c:v>
                </c:pt>
                <c:pt idx="464">
                  <c:v>-1.7776107668919841</c:v>
                </c:pt>
                <c:pt idx="465">
                  <c:v>-1.6758381814568544</c:v>
                </c:pt>
                <c:pt idx="466">
                  <c:v>-1.6063428831959847</c:v>
                </c:pt>
                <c:pt idx="467">
                  <c:v>-1.6111402157047361</c:v>
                </c:pt>
                <c:pt idx="468">
                  <c:v>-1.5940762194437919</c:v>
                </c:pt>
                <c:pt idx="469">
                  <c:v>-1.5129938629847752</c:v>
                </c:pt>
                <c:pt idx="470">
                  <c:v>-1.5488270196783922</c:v>
                </c:pt>
                <c:pt idx="471">
                  <c:v>-1.4856468782516736</c:v>
                </c:pt>
                <c:pt idx="472">
                  <c:v>-1.4421605640244395</c:v>
                </c:pt>
                <c:pt idx="473">
                  <c:v>-1.4911277699437719</c:v>
                </c:pt>
                <c:pt idx="474">
                  <c:v>-1.4321774799067706</c:v>
                </c:pt>
                <c:pt idx="475">
                  <c:v>-1.5003780880008446</c:v>
                </c:pt>
                <c:pt idx="476">
                  <c:v>-1.5982113511812959</c:v>
                </c:pt>
                <c:pt idx="477">
                  <c:v>-1.6997591379988368</c:v>
                </c:pt>
                <c:pt idx="478">
                  <c:v>-1.7669249220454744</c:v>
                </c:pt>
                <c:pt idx="479">
                  <c:v>-1.6270042676112755</c:v>
                </c:pt>
                <c:pt idx="480">
                  <c:v>-1.5775117176693703</c:v>
                </c:pt>
                <c:pt idx="481">
                  <c:v>-1.5422087216596851</c:v>
                </c:pt>
                <c:pt idx="482">
                  <c:v>-1.5433281842606166</c:v>
                </c:pt>
                <c:pt idx="483">
                  <c:v>-1.4898643947156949</c:v>
                </c:pt>
                <c:pt idx="484">
                  <c:v>-1.4915741538104366</c:v>
                </c:pt>
                <c:pt idx="485">
                  <c:v>-1.4849849684514205</c:v>
                </c:pt>
                <c:pt idx="486">
                  <c:v>-1.4788230254001089</c:v>
                </c:pt>
                <c:pt idx="487">
                  <c:v>-1.4673754949713036</c:v>
                </c:pt>
                <c:pt idx="488">
                  <c:v>-1.4431132323552158</c:v>
                </c:pt>
                <c:pt idx="489">
                  <c:v>-1.4632958047572155</c:v>
                </c:pt>
                <c:pt idx="490">
                  <c:v>-1.45936947202433</c:v>
                </c:pt>
                <c:pt idx="491">
                  <c:v>-1.5553230675740577</c:v>
                </c:pt>
                <c:pt idx="492">
                  <c:v>-1.3967789991220343</c:v>
                </c:pt>
                <c:pt idx="493">
                  <c:v>-1.2552954219986545</c:v>
                </c:pt>
                <c:pt idx="494">
                  <c:v>-1.0856694694103961</c:v>
                </c:pt>
                <c:pt idx="495">
                  <c:v>-1.0317109232886612</c:v>
                </c:pt>
                <c:pt idx="496">
                  <c:v>-1.0076014867334562</c:v>
                </c:pt>
                <c:pt idx="497">
                  <c:v>-0.91802063712301019</c:v>
                </c:pt>
                <c:pt idx="498">
                  <c:v>-1.0071702160630103</c:v>
                </c:pt>
                <c:pt idx="499">
                  <c:v>-1.0601075715203014</c:v>
                </c:pt>
                <c:pt idx="500">
                  <c:v>-0.73674706126569922</c:v>
                </c:pt>
                <c:pt idx="501">
                  <c:v>-0.56444730835564672</c:v>
                </c:pt>
                <c:pt idx="502">
                  <c:v>-0.57045033881554141</c:v>
                </c:pt>
                <c:pt idx="503">
                  <c:v>-0.51788842337512719</c:v>
                </c:pt>
                <c:pt idx="504">
                  <c:v>-0.52897555044654077</c:v>
                </c:pt>
                <c:pt idx="505">
                  <c:v>-0.48301975696093052</c:v>
                </c:pt>
                <c:pt idx="506">
                  <c:v>-0.53232323506011625</c:v>
                </c:pt>
                <c:pt idx="507">
                  <c:v>-0.52301637687310965</c:v>
                </c:pt>
                <c:pt idx="508">
                  <c:v>-0.5434935881627464</c:v>
                </c:pt>
                <c:pt idx="509">
                  <c:v>-0.6361455644204046</c:v>
                </c:pt>
                <c:pt idx="510">
                  <c:v>-0.54018150519719033</c:v>
                </c:pt>
                <c:pt idx="511">
                  <c:v>-0.49421551926238261</c:v>
                </c:pt>
                <c:pt idx="512">
                  <c:v>-7.6371396130713781E-2</c:v>
                </c:pt>
                <c:pt idx="513">
                  <c:v>-0.1102802937381573</c:v>
                </c:pt>
                <c:pt idx="514">
                  <c:v>-0.16681356775393633</c:v>
                </c:pt>
                <c:pt idx="515">
                  <c:v>-7.9544311346073954E-2</c:v>
                </c:pt>
                <c:pt idx="516">
                  <c:v>-0.14855342982698655</c:v>
                </c:pt>
                <c:pt idx="517">
                  <c:v>-0.17157650266229399</c:v>
                </c:pt>
                <c:pt idx="518">
                  <c:v>-0.17992638966229393</c:v>
                </c:pt>
                <c:pt idx="519">
                  <c:v>-0.17528695311482856</c:v>
                </c:pt>
                <c:pt idx="520">
                  <c:v>-0.18743472776746006</c:v>
                </c:pt>
                <c:pt idx="521">
                  <c:v>-0.26845671350562172</c:v>
                </c:pt>
                <c:pt idx="522">
                  <c:v>-0.27455608387945368</c:v>
                </c:pt>
                <c:pt idx="523">
                  <c:v>-0.23234635994362002</c:v>
                </c:pt>
                <c:pt idx="524">
                  <c:v>-0.32446049996438042</c:v>
                </c:pt>
                <c:pt idx="525">
                  <c:v>-4.9145932168407409E-2</c:v>
                </c:pt>
                <c:pt idx="526">
                  <c:v>-0.12967230126437679</c:v>
                </c:pt>
                <c:pt idx="527">
                  <c:v>-7.8412282188706189E-2</c:v>
                </c:pt>
                <c:pt idx="528">
                  <c:v>-7.2703532369587015E-2</c:v>
                </c:pt>
                <c:pt idx="529">
                  <c:v>6.7377519783576298E-2</c:v>
                </c:pt>
                <c:pt idx="530">
                  <c:v>3.5241311430313812E-3</c:v>
                </c:pt>
                <c:pt idx="531">
                  <c:v>0.29033125663921772</c:v>
                </c:pt>
                <c:pt idx="532">
                  <c:v>0.15069434859893469</c:v>
                </c:pt>
                <c:pt idx="533">
                  <c:v>4.4275933929008186E-2</c:v>
                </c:pt>
                <c:pt idx="534">
                  <c:v>-2.7869220002142075E-2</c:v>
                </c:pt>
                <c:pt idx="535">
                  <c:v>2.3517044510954479E-3</c:v>
                </c:pt>
                <c:pt idx="536">
                  <c:v>-3.8634522044645528E-2</c:v>
                </c:pt>
                <c:pt idx="537">
                  <c:v>-0.10843662121765188</c:v>
                </c:pt>
                <c:pt idx="538">
                  <c:v>-0.15218896279519212</c:v>
                </c:pt>
                <c:pt idx="539">
                  <c:v>-0.14403240231984685</c:v>
                </c:pt>
                <c:pt idx="540">
                  <c:v>-0.15069792243726357</c:v>
                </c:pt>
                <c:pt idx="541">
                  <c:v>-0.15713723541891483</c:v>
                </c:pt>
                <c:pt idx="542">
                  <c:v>-0.19430704892014339</c:v>
                </c:pt>
                <c:pt idx="543">
                  <c:v>-0.18891877221267714</c:v>
                </c:pt>
                <c:pt idx="544">
                  <c:v>-0.2850826502964357</c:v>
                </c:pt>
                <c:pt idx="545">
                  <c:v>-0.31637886010288735</c:v>
                </c:pt>
                <c:pt idx="546">
                  <c:v>-0.2941727199369582</c:v>
                </c:pt>
                <c:pt idx="547">
                  <c:v>-0.30774902057062159</c:v>
                </c:pt>
                <c:pt idx="548">
                  <c:v>-0.27777004684921403</c:v>
                </c:pt>
                <c:pt idx="549">
                  <c:v>-0.34265581854101368</c:v>
                </c:pt>
                <c:pt idx="550">
                  <c:v>-0.38176103025657154</c:v>
                </c:pt>
                <c:pt idx="551">
                  <c:v>-0.34932463918224732</c:v>
                </c:pt>
                <c:pt idx="552">
                  <c:v>-0.32084332708009672</c:v>
                </c:pt>
                <c:pt idx="553">
                  <c:v>-0.2625869775467633</c:v>
                </c:pt>
                <c:pt idx="554">
                  <c:v>-0.24293712781505608</c:v>
                </c:pt>
                <c:pt idx="555">
                  <c:v>-0.23271002355389234</c:v>
                </c:pt>
                <c:pt idx="556">
                  <c:v>-0.22594968487473549</c:v>
                </c:pt>
                <c:pt idx="557">
                  <c:v>-0.18179569558137354</c:v>
                </c:pt>
                <c:pt idx="558">
                  <c:v>-0.20697434395060413</c:v>
                </c:pt>
                <c:pt idx="559">
                  <c:v>-0.22620419589951335</c:v>
                </c:pt>
                <c:pt idx="560">
                  <c:v>-0.27631004711554286</c:v>
                </c:pt>
                <c:pt idx="561">
                  <c:v>-0.29993666884188552</c:v>
                </c:pt>
                <c:pt idx="562">
                  <c:v>-0.23557985981316501</c:v>
                </c:pt>
                <c:pt idx="563">
                  <c:v>-0.22290076950217314</c:v>
                </c:pt>
                <c:pt idx="564">
                  <c:v>-4.0109847196813354E-2</c:v>
                </c:pt>
                <c:pt idx="565">
                  <c:v>-6.7649123632029337E-2</c:v>
                </c:pt>
                <c:pt idx="566">
                  <c:v>-0.11521046112222527</c:v>
                </c:pt>
                <c:pt idx="567">
                  <c:v>-0.14647084302009758</c:v>
                </c:pt>
                <c:pt idx="568">
                  <c:v>-0.11222937507135571</c:v>
                </c:pt>
                <c:pt idx="569">
                  <c:v>-0.16133872430212476</c:v>
                </c:pt>
                <c:pt idx="570">
                  <c:v>-0.10588245278901633</c:v>
                </c:pt>
                <c:pt idx="571">
                  <c:v>-7.7039569785617323E-2</c:v>
                </c:pt>
                <c:pt idx="572">
                  <c:v>3.003415526108049E-2</c:v>
                </c:pt>
                <c:pt idx="573">
                  <c:v>-8.8232154952705311E-2</c:v>
                </c:pt>
                <c:pt idx="574">
                  <c:v>-0.15486103047718064</c:v>
                </c:pt>
                <c:pt idx="575">
                  <c:v>-0.11379405203949652</c:v>
                </c:pt>
                <c:pt idx="576">
                  <c:v>-0.14801609693345616</c:v>
                </c:pt>
                <c:pt idx="577">
                  <c:v>-0.13337227699715049</c:v>
                </c:pt>
                <c:pt idx="578">
                  <c:v>-0.14317030837360159</c:v>
                </c:pt>
                <c:pt idx="579">
                  <c:v>-0.1391859774620631</c:v>
                </c:pt>
                <c:pt idx="580">
                  <c:v>-0.10226406556551147</c:v>
                </c:pt>
                <c:pt idx="581">
                  <c:v>-0.17307848181787736</c:v>
                </c:pt>
                <c:pt idx="582">
                  <c:v>-0.14512872863307225</c:v>
                </c:pt>
                <c:pt idx="583">
                  <c:v>-0.12146789273945525</c:v>
                </c:pt>
                <c:pt idx="584">
                  <c:v>-9.2040273031763181E-2</c:v>
                </c:pt>
                <c:pt idx="585">
                  <c:v>-9.4284979840439431E-2</c:v>
                </c:pt>
                <c:pt idx="586">
                  <c:v>-9.7958602503990966E-2</c:v>
                </c:pt>
                <c:pt idx="587">
                  <c:v>-7.6243663168567621E-2</c:v>
                </c:pt>
                <c:pt idx="588">
                  <c:v>-9.922093293647595E-2</c:v>
                </c:pt>
                <c:pt idx="589">
                  <c:v>-8.990681578121705E-2</c:v>
                </c:pt>
                <c:pt idx="590">
                  <c:v>-7.9652156725551204E-2</c:v>
                </c:pt>
                <c:pt idx="591">
                  <c:v>-7.1987730660940316E-2</c:v>
                </c:pt>
                <c:pt idx="592">
                  <c:v>-9.8239296453112981E-2</c:v>
                </c:pt>
                <c:pt idx="593">
                  <c:v>-6.7109761365112972E-2</c:v>
                </c:pt>
                <c:pt idx="594">
                  <c:v>-2.503893782608696E-2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0D-4B83-A3D1-79247FC29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687072"/>
        <c:axId val="608687904"/>
      </c:lineChart>
      <c:dateAx>
        <c:axId val="608687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87904"/>
        <c:crosses val="autoZero"/>
        <c:auto val="1"/>
        <c:lblOffset val="100"/>
        <c:baseTimeUnit val="days"/>
      </c:dateAx>
      <c:valAx>
        <c:axId val="60868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87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D30EB2-A3B0-49E5-8C5E-B1B91445599B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B9D3D7-A077-47CA-9AE7-D4B40917F44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3.85</v>
      </c>
      <c r="D2" s="4">
        <f>MIN(D3:D1912)</f>
        <v>7.0999999999999994E-2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8</v>
      </c>
    </row>
    <row r="5" spans="1:20" x14ac:dyDescent="0.25">
      <c r="A5" s="5">
        <v>44588</v>
      </c>
      <c r="B5">
        <v>1.0768</v>
      </c>
      <c r="C5">
        <v>1.1283000000000001</v>
      </c>
      <c r="D5">
        <v>1.0176000000000001</v>
      </c>
      <c r="E5">
        <v>1.0198</v>
      </c>
      <c r="F5">
        <v>9783820</v>
      </c>
      <c r="G5">
        <v>1.0198</v>
      </c>
      <c r="L5" t="s">
        <v>7</v>
      </c>
      <c r="M5" t="s">
        <v>8</v>
      </c>
      <c r="N5" t="s">
        <v>8</v>
      </c>
      <c r="P5">
        <f t="shared" ref="P5" si="0">IF(C5=D5,0,((E5-D5)-(C5-E5))/(C5-D5))</f>
        <v>-0.96025293586269234</v>
      </c>
      <c r="Q5">
        <f t="shared" ref="Q5" si="1">F5*P5</f>
        <v>-9394941.878952127</v>
      </c>
      <c r="R5">
        <f t="shared" ref="R5" si="2">R6+Q5</f>
        <v>-1205342571.9356327</v>
      </c>
      <c r="S5">
        <f t="shared" ref="S5" si="3">R5/100000</f>
        <v>-12053.425719356326</v>
      </c>
      <c r="T5">
        <f t="shared" ref="T5" si="4">S5/1000</f>
        <v>-12.053425719356326</v>
      </c>
    </row>
    <row r="6" spans="1:20" x14ac:dyDescent="0.25">
      <c r="A6" s="5">
        <v>44587</v>
      </c>
      <c r="B6">
        <v>1.0314000000000001</v>
      </c>
      <c r="C6">
        <v>1.2093</v>
      </c>
      <c r="D6">
        <v>0.98129999999999995</v>
      </c>
      <c r="E6">
        <v>1.0765</v>
      </c>
      <c r="F6">
        <v>138542538</v>
      </c>
      <c r="G6">
        <v>1.0765</v>
      </c>
      <c r="L6" t="s">
        <v>8</v>
      </c>
      <c r="M6" t="s">
        <v>8</v>
      </c>
      <c r="N6" t="s">
        <v>8</v>
      </c>
      <c r="P6">
        <f t="shared" ref="P6" si="5">IF(C6=D6,0,((E6-D6)-(C6-E6))/(C6-D6))</f>
        <v>-0.16491228070175418</v>
      </c>
      <c r="Q6">
        <f t="shared" ref="Q6" si="6">F6*P6</f>
        <v>-22847365.915789444</v>
      </c>
      <c r="R6">
        <f t="shared" ref="R6" si="7">R7+Q6</f>
        <v>-1195947630.0566807</v>
      </c>
      <c r="S6">
        <f t="shared" ref="S6" si="8">R6/100000</f>
        <v>-11959.476300566806</v>
      </c>
      <c r="T6">
        <f t="shared" ref="T6" si="9">S6/1000</f>
        <v>-11.959476300566806</v>
      </c>
    </row>
    <row r="7" spans="1:20" x14ac:dyDescent="0.25">
      <c r="A7" s="5">
        <v>44586</v>
      </c>
      <c r="B7">
        <v>0.86129999999999995</v>
      </c>
      <c r="C7">
        <v>1.0720000000000001</v>
      </c>
      <c r="D7">
        <v>0.83779999999999999</v>
      </c>
      <c r="E7">
        <v>1.0306999999999999</v>
      </c>
      <c r="F7">
        <v>142720720</v>
      </c>
      <c r="G7">
        <v>1.0306999999999999</v>
      </c>
      <c r="L7" t="s">
        <v>8</v>
      </c>
      <c r="M7" t="s">
        <v>8</v>
      </c>
      <c r="N7" t="s">
        <v>8</v>
      </c>
      <c r="P7">
        <f t="shared" ref="P7" si="10">IF(C7=D7,0,((E7-D7)-(C7-E7))/(C7-D7))</f>
        <v>0.64730999146028945</v>
      </c>
      <c r="Q7">
        <f t="shared" ref="Q7" si="11">F7*P7</f>
        <v>92384548.044406354</v>
      </c>
      <c r="R7">
        <f t="shared" ref="R7" si="12">R8+Q7</f>
        <v>-1173100264.1408913</v>
      </c>
      <c r="S7">
        <f t="shared" ref="S7" si="13">R7/100000</f>
        <v>-11731.002641408913</v>
      </c>
      <c r="T7">
        <f t="shared" ref="T7" si="14">S7/1000</f>
        <v>-11.731002641408914</v>
      </c>
    </row>
    <row r="8" spans="1:20" x14ac:dyDescent="0.25">
      <c r="A8" s="5">
        <v>44585</v>
      </c>
      <c r="B8">
        <v>0.85850000000000004</v>
      </c>
      <c r="C8">
        <v>0.89459999999999995</v>
      </c>
      <c r="D8">
        <v>0.70609999999999995</v>
      </c>
      <c r="E8">
        <v>0.86140000000000005</v>
      </c>
      <c r="F8">
        <v>98640467</v>
      </c>
      <c r="G8">
        <v>0.86140000000000005</v>
      </c>
      <c r="L8" t="s">
        <v>8</v>
      </c>
      <c r="M8" t="s">
        <v>7</v>
      </c>
      <c r="N8" t="s">
        <v>7</v>
      </c>
      <c r="P8">
        <f t="shared" ref="P8" si="15">IF(C8=D8,0,((E8-D8)-(C8-E8))/(C8-D8))</f>
        <v>0.64774535809018674</v>
      </c>
      <c r="Q8">
        <f t="shared" ref="Q8" si="16">F8*P8</f>
        <v>63893904.619098246</v>
      </c>
      <c r="R8">
        <f t="shared" ref="R8" si="17">R9+Q8</f>
        <v>-1265484812.1852977</v>
      </c>
      <c r="S8">
        <f t="shared" ref="S8" si="18">R8/100000</f>
        <v>-12654.848121852978</v>
      </c>
      <c r="T8">
        <f t="shared" ref="T8" si="19">S8/1000</f>
        <v>-12.654848121852977</v>
      </c>
    </row>
    <row r="9" spans="1:20" x14ac:dyDescent="0.25">
      <c r="A9" s="5">
        <v>44584</v>
      </c>
      <c r="B9">
        <v>0.73770000000000002</v>
      </c>
      <c r="C9">
        <v>0.86899999999999999</v>
      </c>
      <c r="D9">
        <v>0.73219999999999996</v>
      </c>
      <c r="E9">
        <v>0.85880000000000001</v>
      </c>
      <c r="F9">
        <v>77736748</v>
      </c>
      <c r="G9">
        <v>0.85880000000000001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0.85087719298245634</v>
      </c>
      <c r="Q9">
        <f t="shared" ref="Q9" si="21">F9*P9</f>
        <v>66144425.929824576</v>
      </c>
      <c r="R9">
        <f t="shared" ref="R9" si="22">R10+Q9</f>
        <v>-1329378716.8043959</v>
      </c>
      <c r="S9">
        <f t="shared" ref="S9" si="23">R9/100000</f>
        <v>-13293.787168043958</v>
      </c>
      <c r="T9">
        <f t="shared" ref="T9" si="24">S9/1000</f>
        <v>-13.293787168043959</v>
      </c>
    </row>
    <row r="10" spans="1:20" x14ac:dyDescent="0.25">
      <c r="A10" s="5">
        <v>44583</v>
      </c>
      <c r="B10">
        <v>0.86729999999999996</v>
      </c>
      <c r="C10">
        <v>0.88919999999999999</v>
      </c>
      <c r="D10">
        <v>0.64680000000000004</v>
      </c>
      <c r="E10">
        <v>0.73829999999999996</v>
      </c>
      <c r="F10">
        <v>129371044</v>
      </c>
      <c r="G10">
        <v>0.73829999999999996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-0.2450495049504956</v>
      </c>
      <c r="Q10">
        <f t="shared" ref="Q10" si="26">F10*P10</f>
        <v>-31702310.287128784</v>
      </c>
      <c r="R10">
        <f t="shared" ref="R10" si="27">R11+Q10</f>
        <v>-1395523142.7342205</v>
      </c>
      <c r="S10">
        <f t="shared" ref="S10" si="28">R10/100000</f>
        <v>-13955.231427342205</v>
      </c>
      <c r="T10">
        <f t="shared" ref="T10" si="29">S10/1000</f>
        <v>-13.955231427342206</v>
      </c>
    </row>
    <row r="11" spans="1:20" x14ac:dyDescent="0.25">
      <c r="A11" s="5">
        <v>44582</v>
      </c>
      <c r="B11">
        <v>1.0626</v>
      </c>
      <c r="C11">
        <v>1.0831</v>
      </c>
      <c r="D11">
        <v>0.84</v>
      </c>
      <c r="E11">
        <v>0.86699999999999999</v>
      </c>
      <c r="F11">
        <v>86673227</v>
      </c>
      <c r="G11">
        <v>0.86699999999999999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-0.77786918963389529</v>
      </c>
      <c r="Q11">
        <f t="shared" ref="Q11" si="31">F11*P11</f>
        <v>-67420432.849444658</v>
      </c>
      <c r="R11">
        <f t="shared" ref="R11" si="32">R12+Q11</f>
        <v>-1363820832.4470918</v>
      </c>
      <c r="S11">
        <f t="shared" ref="S11" si="33">R11/100000</f>
        <v>-13638.208324470917</v>
      </c>
      <c r="T11">
        <f t="shared" ref="T11" si="34">S11/1000</f>
        <v>-13.638208324470918</v>
      </c>
    </row>
    <row r="12" spans="1:20" x14ac:dyDescent="0.25">
      <c r="A12" s="5">
        <v>44581</v>
      </c>
      <c r="B12">
        <v>1.175</v>
      </c>
      <c r="C12">
        <v>1.2242</v>
      </c>
      <c r="D12">
        <v>1.0528999999999999</v>
      </c>
      <c r="E12">
        <v>1.0633999999999999</v>
      </c>
      <c r="F12">
        <v>40766985</v>
      </c>
      <c r="G12">
        <v>1.0633999999999999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-0.87740805604203209</v>
      </c>
      <c r="Q12">
        <f t="shared" ref="Q12" si="36">F12*P12</f>
        <v>-35769281.059544683</v>
      </c>
      <c r="R12">
        <f t="shared" ref="R12" si="37">R13+Q12</f>
        <v>-1296400399.5976472</v>
      </c>
      <c r="S12">
        <f t="shared" ref="S12" si="38">R12/100000</f>
        <v>-12964.003995976473</v>
      </c>
      <c r="T12">
        <f t="shared" ref="T12" si="39">S12/1000</f>
        <v>-12.964003995976473</v>
      </c>
    </row>
    <row r="13" spans="1:20" x14ac:dyDescent="0.25">
      <c r="A13" s="5">
        <v>44580</v>
      </c>
      <c r="B13">
        <v>1.1592</v>
      </c>
      <c r="C13">
        <v>1.2457</v>
      </c>
      <c r="D13">
        <v>1.1057999999999999</v>
      </c>
      <c r="E13">
        <v>1.1751</v>
      </c>
      <c r="F13">
        <v>72785590</v>
      </c>
      <c r="G13">
        <v>1.1751</v>
      </c>
      <c r="L13" t="s">
        <v>8</v>
      </c>
      <c r="M13" t="s">
        <v>7</v>
      </c>
      <c r="N13" t="s">
        <v>7</v>
      </c>
      <c r="P13">
        <f t="shared" ref="P13" si="40">IF(C13=D13,0,((E13-D13)-(C13-E13))/(C13-D13))</f>
        <v>-9.2923516797702322E-3</v>
      </c>
      <c r="Q13">
        <f t="shared" ref="Q13" si="41">F13*P13</f>
        <v>-676349.29949956737</v>
      </c>
      <c r="R13">
        <f t="shared" ref="R13" si="42">R14+Q13</f>
        <v>-1260631118.5381024</v>
      </c>
      <c r="S13">
        <f t="shared" ref="S13" si="43">R13/100000</f>
        <v>-12606.311185381024</v>
      </c>
      <c r="T13">
        <f t="shared" ref="T13" si="44">S13/1000</f>
        <v>-12.606311185381024</v>
      </c>
    </row>
    <row r="14" spans="1:20" x14ac:dyDescent="0.25">
      <c r="A14" s="5">
        <v>44579</v>
      </c>
      <c r="B14">
        <v>1.2289000000000001</v>
      </c>
      <c r="C14">
        <v>1.2376</v>
      </c>
      <c r="D14">
        <v>1.0946</v>
      </c>
      <c r="E14">
        <v>1.159</v>
      </c>
      <c r="F14">
        <v>55384471</v>
      </c>
      <c r="G14">
        <v>1.159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-9.9300699300699222E-2</v>
      </c>
      <c r="Q14">
        <f t="shared" ref="Q14" si="46">F14*P14</f>
        <v>-5499716.7006992968</v>
      </c>
      <c r="R14">
        <f t="shared" ref="R14" si="47">R15+Q14</f>
        <v>-1259954769.2386029</v>
      </c>
      <c r="S14">
        <f t="shared" ref="S14" si="48">R14/100000</f>
        <v>-12599.54769238603</v>
      </c>
      <c r="T14">
        <f t="shared" ref="T14" si="49">S14/1000</f>
        <v>-12.599547692386029</v>
      </c>
    </row>
    <row r="15" spans="1:20" x14ac:dyDescent="0.25">
      <c r="A15" s="5">
        <v>44578</v>
      </c>
      <c r="B15">
        <v>1.3623000000000001</v>
      </c>
      <c r="C15">
        <v>1.3748</v>
      </c>
      <c r="D15">
        <v>1.17</v>
      </c>
      <c r="E15">
        <v>1.2286999999999999</v>
      </c>
      <c r="F15">
        <v>61576368</v>
      </c>
      <c r="G15">
        <v>1.2286999999999999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-0.4267578125000005</v>
      </c>
      <c r="Q15">
        <f t="shared" ref="Q15" si="51">F15*P15</f>
        <v>-26278196.10937503</v>
      </c>
      <c r="R15">
        <f t="shared" ref="R15" si="52">R16+Q15</f>
        <v>-1254455052.5379035</v>
      </c>
      <c r="S15">
        <f t="shared" ref="S15" si="53">R15/100000</f>
        <v>-12544.550525379036</v>
      </c>
      <c r="T15">
        <f t="shared" ref="T15" si="54">S15/1000</f>
        <v>-12.544550525379035</v>
      </c>
    </row>
    <row r="16" spans="1:20" x14ac:dyDescent="0.25">
      <c r="A16" s="5">
        <v>44577</v>
      </c>
      <c r="B16">
        <v>1.4204000000000001</v>
      </c>
      <c r="C16">
        <v>1.423</v>
      </c>
      <c r="D16">
        <v>1.3043</v>
      </c>
      <c r="E16">
        <v>1.3628</v>
      </c>
      <c r="F16">
        <v>51864190</v>
      </c>
      <c r="G16">
        <v>1.3628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-1.4321819713563895E-2</v>
      </c>
      <c r="Q16">
        <f t="shared" ref="Q16" si="56">F16*P16</f>
        <v>-742789.57877002342</v>
      </c>
      <c r="R16">
        <f t="shared" ref="R16" si="57">R17+Q16</f>
        <v>-1228176856.4285285</v>
      </c>
      <c r="S16">
        <f t="shared" ref="S16" si="58">R16/100000</f>
        <v>-12281.768564285285</v>
      </c>
      <c r="T16">
        <f t="shared" ref="T16" si="59">S16/1000</f>
        <v>-12.281768564285285</v>
      </c>
    </row>
    <row r="17" spans="1:20" x14ac:dyDescent="0.25">
      <c r="A17" s="5">
        <v>44576</v>
      </c>
      <c r="B17">
        <v>1.4754</v>
      </c>
      <c r="C17">
        <v>1.4861</v>
      </c>
      <c r="D17">
        <v>1.3837999999999999</v>
      </c>
      <c r="E17">
        <v>1.4200999999999999</v>
      </c>
      <c r="F17">
        <v>51320901</v>
      </c>
      <c r="G17">
        <v>1.4200999999999999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-0.2903225806451617</v>
      </c>
      <c r="Q17">
        <f t="shared" ref="Q17" si="61">F17*P17</f>
        <v>-14899616.41935486</v>
      </c>
      <c r="R17">
        <f t="shared" ref="R17" si="62">R18+Q17</f>
        <v>-1227434066.8497586</v>
      </c>
      <c r="S17">
        <f t="shared" ref="S17" si="63">R17/100000</f>
        <v>-12274.340668497587</v>
      </c>
      <c r="T17">
        <f t="shared" ref="T17" si="64">S17/1000</f>
        <v>-12.274340668497587</v>
      </c>
    </row>
    <row r="18" spans="1:20" x14ac:dyDescent="0.25">
      <c r="A18" s="5">
        <v>44575</v>
      </c>
      <c r="B18">
        <v>1.4996</v>
      </c>
      <c r="C18">
        <v>1.5475000000000001</v>
      </c>
      <c r="D18">
        <v>1.4395</v>
      </c>
      <c r="E18">
        <v>1.4750000000000001</v>
      </c>
      <c r="F18">
        <v>22716283</v>
      </c>
      <c r="G18">
        <v>1.4750000000000001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-0.34259259259259156</v>
      </c>
      <c r="Q18">
        <f t="shared" ref="Q18" si="66">F18*P18</f>
        <v>-7782430.287037014</v>
      </c>
      <c r="R18">
        <f t="shared" ref="R18" si="67">R19+Q18</f>
        <v>-1212534450.4304037</v>
      </c>
      <c r="S18">
        <f t="shared" ref="S18" si="68">R18/100000</f>
        <v>-12125.344504304037</v>
      </c>
      <c r="T18">
        <f t="shared" ref="T18" si="69">S18/1000</f>
        <v>-12.125344504304037</v>
      </c>
    </row>
    <row r="19" spans="1:20" x14ac:dyDescent="0.25">
      <c r="A19" s="5">
        <v>44574</v>
      </c>
      <c r="B19">
        <v>1.6341000000000001</v>
      </c>
      <c r="C19">
        <v>1.6692</v>
      </c>
      <c r="D19">
        <v>1.4914000000000001</v>
      </c>
      <c r="E19">
        <v>1.4992000000000001</v>
      </c>
      <c r="F19">
        <v>20647668</v>
      </c>
      <c r="G19">
        <v>1.4992000000000001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-0.91226096737907725</v>
      </c>
      <c r="Q19">
        <f t="shared" ref="Q19" si="71">F19*P19</f>
        <v>-18836061.583802018</v>
      </c>
      <c r="R19">
        <f t="shared" ref="R19" si="72">R20+Q19</f>
        <v>-1204752020.1433668</v>
      </c>
      <c r="S19">
        <f t="shared" ref="S19" si="73">R19/100000</f>
        <v>-12047.520201433668</v>
      </c>
      <c r="T19">
        <f t="shared" ref="T19" si="74">S19/1000</f>
        <v>-12.047520201433668</v>
      </c>
    </row>
    <row r="20" spans="1:20" x14ac:dyDescent="0.25">
      <c r="A20" s="5">
        <v>44573</v>
      </c>
      <c r="B20">
        <v>1.4958</v>
      </c>
      <c r="C20">
        <v>1.6534</v>
      </c>
      <c r="D20">
        <v>1.4632000000000001</v>
      </c>
      <c r="E20">
        <v>1.6348</v>
      </c>
      <c r="F20">
        <v>25534320</v>
      </c>
      <c r="G20">
        <v>1.6348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0.8044164037854894</v>
      </c>
      <c r="Q20">
        <f t="shared" ref="Q20" si="76">F20*P20</f>
        <v>20540225.867507897</v>
      </c>
      <c r="R20">
        <f t="shared" ref="R20" si="77">R21+Q20</f>
        <v>-1185915958.5595648</v>
      </c>
      <c r="S20">
        <f t="shared" ref="S20" si="78">R20/100000</f>
        <v>-11859.159585595648</v>
      </c>
      <c r="T20">
        <f t="shared" ref="T20" si="79">S20/1000</f>
        <v>-11.859159585595647</v>
      </c>
    </row>
    <row r="21" spans="1:20" x14ac:dyDescent="0.25">
      <c r="A21" s="5">
        <v>44572</v>
      </c>
      <c r="B21">
        <v>1.4676</v>
      </c>
      <c r="C21">
        <v>1.5288999999999999</v>
      </c>
      <c r="D21">
        <v>1.3861000000000001</v>
      </c>
      <c r="E21">
        <v>1.4957</v>
      </c>
      <c r="F21">
        <v>29346243</v>
      </c>
      <c r="G21">
        <v>1.4957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0.53501400560224177</v>
      </c>
      <c r="Q21">
        <f t="shared" ref="Q21" si="81">F21*P21</f>
        <v>15700651.016806748</v>
      </c>
      <c r="R21">
        <f t="shared" ref="R21" si="82">R22+Q21</f>
        <v>-1206456184.4270728</v>
      </c>
      <c r="S21">
        <f t="shared" ref="S21" si="83">R21/100000</f>
        <v>-12064.561844270727</v>
      </c>
      <c r="T21">
        <f t="shared" ref="T21" si="84">S21/1000</f>
        <v>-12.064561844270727</v>
      </c>
    </row>
    <row r="22" spans="1:20" x14ac:dyDescent="0.25">
      <c r="A22" s="5">
        <v>44571</v>
      </c>
      <c r="B22">
        <v>1.5722</v>
      </c>
      <c r="C22">
        <v>1.6055999999999999</v>
      </c>
      <c r="D22">
        <v>1.3803000000000001</v>
      </c>
      <c r="E22">
        <v>1.4678</v>
      </c>
      <c r="F22">
        <v>23204760</v>
      </c>
      <c r="G22">
        <v>1.4678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-0.22325787838437661</v>
      </c>
      <c r="Q22">
        <f t="shared" ref="Q22" si="86">F22*P22</f>
        <v>-5180645.4860186465</v>
      </c>
      <c r="R22">
        <f t="shared" ref="R22" si="87">R23+Q22</f>
        <v>-1222156835.4438796</v>
      </c>
      <c r="S22">
        <f t="shared" ref="S22" si="88">R22/100000</f>
        <v>-12221.568354438796</v>
      </c>
      <c r="T22">
        <f t="shared" ref="T22" si="89">S22/1000</f>
        <v>-12.221568354438796</v>
      </c>
    </row>
    <row r="23" spans="1:20" x14ac:dyDescent="0.25">
      <c r="A23" s="5">
        <v>44570</v>
      </c>
      <c r="B23">
        <v>1.5206999999999999</v>
      </c>
      <c r="C23">
        <v>1.6302000000000001</v>
      </c>
      <c r="D23">
        <v>1.5065999999999999</v>
      </c>
      <c r="E23">
        <v>1.5730999999999999</v>
      </c>
      <c r="F23">
        <v>15214558</v>
      </c>
      <c r="G23">
        <v>1.5730999999999999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7.6051779935273803E-2</v>
      </c>
      <c r="Q23">
        <f t="shared" ref="Q23" si="91">F23*P23</f>
        <v>1157094.2168284594</v>
      </c>
      <c r="R23">
        <f t="shared" ref="R23" si="92">R24+Q23</f>
        <v>-1216976189.9578609</v>
      </c>
      <c r="S23">
        <f t="shared" ref="S23" si="93">R23/100000</f>
        <v>-12169.761899578609</v>
      </c>
      <c r="T23">
        <f t="shared" ref="T23" si="94">S23/1000</f>
        <v>-12.169761899578608</v>
      </c>
    </row>
    <row r="24" spans="1:20" x14ac:dyDescent="0.25">
      <c r="A24" s="5">
        <v>44569</v>
      </c>
      <c r="B24">
        <v>1.675</v>
      </c>
      <c r="C24">
        <v>1.7335</v>
      </c>
      <c r="D24">
        <v>1.4437</v>
      </c>
      <c r="E24">
        <v>1.5209999999999999</v>
      </c>
      <c r="F24">
        <v>33976887</v>
      </c>
      <c r="G24">
        <v>1.5209999999999999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-0.46652864044168457</v>
      </c>
      <c r="Q24">
        <f t="shared" ref="Q24" si="96">F24*P24</f>
        <v>-15851190.898550747</v>
      </c>
      <c r="R24">
        <f t="shared" ref="R24" si="97">R25+Q24</f>
        <v>-1218133284.1746893</v>
      </c>
      <c r="S24">
        <f t="shared" ref="S24" si="98">R24/100000</f>
        <v>-12181.332841746893</v>
      </c>
      <c r="T24">
        <f t="shared" ref="T24" si="99">S24/1000</f>
        <v>-12.181332841746892</v>
      </c>
    </row>
    <row r="25" spans="1:20" x14ac:dyDescent="0.25">
      <c r="A25" s="5">
        <v>44568</v>
      </c>
      <c r="B25">
        <v>1.8402000000000001</v>
      </c>
      <c r="C25">
        <v>1.8674999999999999</v>
      </c>
      <c r="D25">
        <v>1.65</v>
      </c>
      <c r="E25">
        <v>1.675</v>
      </c>
      <c r="F25">
        <v>44944476</v>
      </c>
      <c r="G25">
        <v>1.675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-0.77011494252873447</v>
      </c>
      <c r="Q25">
        <f t="shared" ref="Q25" si="101">F25*P25</f>
        <v>-34612412.551724084</v>
      </c>
      <c r="R25">
        <f t="shared" ref="R25" si="102">R26+Q25</f>
        <v>-1202282093.2761385</v>
      </c>
      <c r="S25">
        <f t="shared" ref="S25" si="103">R25/100000</f>
        <v>-12022.820932761386</v>
      </c>
      <c r="T25">
        <f t="shared" ref="T25" si="104">S25/1000</f>
        <v>-12.022820932761386</v>
      </c>
    </row>
    <row r="26" spans="1:20" x14ac:dyDescent="0.25">
      <c r="A26" s="5">
        <v>44567</v>
      </c>
      <c r="B26">
        <v>1.8044</v>
      </c>
      <c r="C26">
        <v>2.0781999999999998</v>
      </c>
      <c r="D26">
        <v>1.6635</v>
      </c>
      <c r="E26">
        <v>1.8399000000000001</v>
      </c>
      <c r="F26">
        <v>55259071</v>
      </c>
      <c r="G26">
        <v>1.8399000000000001</v>
      </c>
      <c r="L26" t="s">
        <v>8</v>
      </c>
      <c r="M26" t="s">
        <v>8</v>
      </c>
      <c r="N26" t="s">
        <v>7</v>
      </c>
      <c r="P26">
        <f t="shared" ref="P26" si="105">IF(C26=D26,0,((E26-D26)-(C26-E26))/(C26-D26))</f>
        <v>-0.14926452857487255</v>
      </c>
      <c r="Q26">
        <f t="shared" ref="Q26" si="106">F26*P26</f>
        <v>-8248219.1823004112</v>
      </c>
      <c r="R26">
        <f t="shared" ref="R26" si="107">R27+Q26</f>
        <v>-1167669680.7244143</v>
      </c>
      <c r="S26">
        <f t="shared" ref="S26" si="108">R26/100000</f>
        <v>-11676.696807244143</v>
      </c>
      <c r="T26">
        <f t="shared" ref="T26" si="109">S26/1000</f>
        <v>-11.676696807244143</v>
      </c>
    </row>
    <row r="27" spans="1:20" x14ac:dyDescent="0.25">
      <c r="A27" s="5">
        <v>44566</v>
      </c>
      <c r="B27">
        <v>2.0547</v>
      </c>
      <c r="C27">
        <v>2.1078000000000001</v>
      </c>
      <c r="D27">
        <v>1.6416999999999999</v>
      </c>
      <c r="E27">
        <v>1.8044</v>
      </c>
      <c r="F27">
        <v>26150400</v>
      </c>
      <c r="G27">
        <v>1.8044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-0.30186655224200815</v>
      </c>
      <c r="Q27">
        <f t="shared" ref="Q27" si="111">F27*P27</f>
        <v>-7893931.0877494095</v>
      </c>
      <c r="R27">
        <f t="shared" ref="R27" si="112">R28+Q27</f>
        <v>-1159421461.542114</v>
      </c>
      <c r="S27">
        <f t="shared" ref="S27" si="113">R27/100000</f>
        <v>-11594.21461542114</v>
      </c>
      <c r="T27">
        <f t="shared" ref="T27" si="114">S27/1000</f>
        <v>-11.594214615421141</v>
      </c>
    </row>
    <row r="28" spans="1:20" x14ac:dyDescent="0.25">
      <c r="A28" s="5">
        <v>44565</v>
      </c>
      <c r="B28">
        <v>2.0461999999999998</v>
      </c>
      <c r="C28">
        <v>2.1488999999999998</v>
      </c>
      <c r="D28">
        <v>2.0009000000000001</v>
      </c>
      <c r="E28">
        <v>2.0541999999999998</v>
      </c>
      <c r="F28">
        <v>13746170</v>
      </c>
      <c r="G28">
        <v>2.0541999999999998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-0.27972972972973253</v>
      </c>
      <c r="Q28">
        <f t="shared" ref="Q28" si="116">F28*P28</f>
        <v>-3845212.4189189575</v>
      </c>
      <c r="R28">
        <f t="shared" ref="R28" si="117">R29+Q28</f>
        <v>-1151527530.4543645</v>
      </c>
      <c r="S28">
        <f t="shared" ref="S28" si="118">R28/100000</f>
        <v>-11515.275304543646</v>
      </c>
      <c r="T28">
        <f t="shared" ref="T28" si="119">S28/1000</f>
        <v>-11.515275304543646</v>
      </c>
    </row>
    <row r="29" spans="1:20" x14ac:dyDescent="0.25">
      <c r="A29" s="5">
        <v>44564</v>
      </c>
      <c r="B29">
        <v>2.0951</v>
      </c>
      <c r="C29">
        <v>2.0975999999999999</v>
      </c>
      <c r="D29">
        <v>2.02</v>
      </c>
      <c r="E29">
        <v>2.0463</v>
      </c>
      <c r="F29">
        <v>7864482</v>
      </c>
      <c r="G29">
        <v>2.0463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-0.32216494845360755</v>
      </c>
      <c r="Q29">
        <f t="shared" ref="Q29" si="121">F29*P29</f>
        <v>-2533660.4381443243</v>
      </c>
      <c r="R29">
        <f t="shared" ref="R29" si="122">R30+Q29</f>
        <v>-1147682318.0354457</v>
      </c>
      <c r="S29">
        <f t="shared" ref="S29" si="123">R29/100000</f>
        <v>-11476.823180354457</v>
      </c>
      <c r="T29">
        <f t="shared" ref="T29" si="124">S29/1000</f>
        <v>-11.476823180354456</v>
      </c>
    </row>
    <row r="30" spans="1:20" x14ac:dyDescent="0.25">
      <c r="A30" s="5">
        <v>44563</v>
      </c>
      <c r="B30">
        <v>2.0884999999999998</v>
      </c>
      <c r="C30">
        <v>2.12</v>
      </c>
      <c r="D30">
        <v>2.0467</v>
      </c>
      <c r="E30">
        <v>2.0954999999999999</v>
      </c>
      <c r="F30">
        <v>8649507</v>
      </c>
      <c r="G30">
        <v>2.0954999999999999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0.33151432469303843</v>
      </c>
      <c r="Q30">
        <f t="shared" ref="Q30" si="126">F30*P30</f>
        <v>2867435.4720327086</v>
      </c>
      <c r="R30">
        <f t="shared" ref="R30" si="127">R31+Q30</f>
        <v>-1145148657.5973015</v>
      </c>
      <c r="S30">
        <f t="shared" ref="S30" si="128">R30/100000</f>
        <v>-11451.486575973015</v>
      </c>
      <c r="T30">
        <f t="shared" ref="T30" si="129">S30/1000</f>
        <v>-11.451486575973014</v>
      </c>
    </row>
    <row r="31" spans="1:20" x14ac:dyDescent="0.25">
      <c r="A31" s="5">
        <v>44562</v>
      </c>
      <c r="B31">
        <v>2.0870000000000002</v>
      </c>
      <c r="C31">
        <v>2.1214</v>
      </c>
      <c r="D31">
        <v>2.0371999999999999</v>
      </c>
      <c r="E31">
        <v>2.0886</v>
      </c>
      <c r="F31">
        <v>9139247</v>
      </c>
      <c r="G31">
        <v>2.0886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0.22090261282660523</v>
      </c>
      <c r="Q31">
        <f t="shared" ref="Q31" si="131">F31*P31</f>
        <v>2018883.5415677133</v>
      </c>
      <c r="R31">
        <f t="shared" ref="R31" si="132">R32+Q31</f>
        <v>-1148016093.0693343</v>
      </c>
      <c r="S31">
        <f t="shared" ref="S31" si="133">R31/100000</f>
        <v>-11480.160930693342</v>
      </c>
      <c r="T31">
        <f t="shared" ref="T31" si="134">S31/1000</f>
        <v>-11.480160930693343</v>
      </c>
    </row>
    <row r="32" spans="1:20" x14ac:dyDescent="0.25">
      <c r="A32" s="5">
        <v>44561</v>
      </c>
      <c r="B32">
        <v>1.9944999999999999</v>
      </c>
      <c r="C32">
        <v>2.1505999999999998</v>
      </c>
      <c r="D32">
        <v>1.9450000000000001</v>
      </c>
      <c r="E32">
        <v>2.0849000000000002</v>
      </c>
      <c r="F32">
        <v>24127222</v>
      </c>
      <c r="G32">
        <v>2.0849000000000002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0.36089494163424402</v>
      </c>
      <c r="Q32">
        <f t="shared" ref="Q32" si="136">F32*P32</f>
        <v>8707392.3754864484</v>
      </c>
      <c r="R32">
        <f t="shared" ref="R32" si="137">R33+Q32</f>
        <v>-1150034976.6109021</v>
      </c>
      <c r="S32">
        <f t="shared" ref="S32" si="138">R32/100000</f>
        <v>-11500.34976610902</v>
      </c>
      <c r="T32">
        <f t="shared" ref="T32" si="139">S32/1000</f>
        <v>-11.50034976610902</v>
      </c>
    </row>
    <row r="33" spans="1:20" x14ac:dyDescent="0.25">
      <c r="A33" s="5">
        <v>44560</v>
      </c>
      <c r="B33">
        <v>1.9732000000000001</v>
      </c>
      <c r="C33">
        <v>2.0520999999999998</v>
      </c>
      <c r="D33">
        <v>1.9008</v>
      </c>
      <c r="E33">
        <v>1.9939</v>
      </c>
      <c r="F33">
        <v>15659439</v>
      </c>
      <c r="G33">
        <v>1.9939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0.23066754791804497</v>
      </c>
      <c r="Q33">
        <f t="shared" ref="Q33" si="141">F33*P33</f>
        <v>3612124.3959022025</v>
      </c>
      <c r="R33">
        <f t="shared" ref="R33" si="142">R34+Q33</f>
        <v>-1158742368.9863884</v>
      </c>
      <c r="S33">
        <f t="shared" ref="S33" si="143">R33/100000</f>
        <v>-11587.423689863885</v>
      </c>
      <c r="T33">
        <f t="shared" ref="T33" si="144">S33/1000</f>
        <v>-11.587423689863884</v>
      </c>
    </row>
    <row r="34" spans="1:20" x14ac:dyDescent="0.25">
      <c r="A34" s="5">
        <v>44559</v>
      </c>
      <c r="B34">
        <v>2.0586000000000002</v>
      </c>
      <c r="C34">
        <v>2.1175999999999999</v>
      </c>
      <c r="D34">
        <v>1.9259999999999999</v>
      </c>
      <c r="E34">
        <v>1.9726999999999999</v>
      </c>
      <c r="F34">
        <v>19963370</v>
      </c>
      <c r="G34">
        <v>1.9726999999999999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-0.51252609603340327</v>
      </c>
      <c r="Q34">
        <f t="shared" ref="Q34" si="146">F34*P34</f>
        <v>-10231748.089770362</v>
      </c>
      <c r="R34">
        <f t="shared" ref="R34" si="147">R35+Q34</f>
        <v>-1162354493.3822906</v>
      </c>
      <c r="S34">
        <f t="shared" ref="S34" si="148">R34/100000</f>
        <v>-11623.544933822906</v>
      </c>
      <c r="T34">
        <f t="shared" ref="T34" si="149">S34/1000</f>
        <v>-11.623544933822906</v>
      </c>
    </row>
    <row r="35" spans="1:20" x14ac:dyDescent="0.25">
      <c r="A35" s="5">
        <v>44558</v>
      </c>
      <c r="B35">
        <v>2.2614000000000001</v>
      </c>
      <c r="C35">
        <v>2.2614000000000001</v>
      </c>
      <c r="D35">
        <v>2.0427</v>
      </c>
      <c r="E35">
        <v>2.0586000000000002</v>
      </c>
      <c r="F35">
        <v>28604353</v>
      </c>
      <c r="G35">
        <v>2.0586000000000002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-0.85459533607681537</v>
      </c>
      <c r="Q35">
        <f t="shared" ref="Q35" si="151">F35*P35</f>
        <v>-24445146.665294863</v>
      </c>
      <c r="R35">
        <f t="shared" ref="R35" si="152">R36+Q35</f>
        <v>-1152122745.2925203</v>
      </c>
      <c r="S35">
        <f t="shared" ref="S35" si="153">R35/100000</f>
        <v>-11521.227452925203</v>
      </c>
      <c r="T35">
        <f t="shared" ref="T35" si="154">S35/1000</f>
        <v>-11.521227452925203</v>
      </c>
    </row>
    <row r="36" spans="1:20" x14ac:dyDescent="0.25">
      <c r="A36" s="5">
        <v>44557</v>
      </c>
      <c r="B36">
        <v>2.3509000000000002</v>
      </c>
      <c r="C36">
        <v>2.4449999999999998</v>
      </c>
      <c r="D36">
        <v>2.2463000000000002</v>
      </c>
      <c r="E36">
        <v>2.2614999999999998</v>
      </c>
      <c r="F36">
        <v>26148925</v>
      </c>
      <c r="G36">
        <v>2.2614999999999998</v>
      </c>
      <c r="L36" t="s">
        <v>7</v>
      </c>
      <c r="M36" t="s">
        <v>8</v>
      </c>
      <c r="N36" t="s">
        <v>7</v>
      </c>
      <c r="P36">
        <f t="shared" ref="P36" si="155">IF(C36=D36,0,((E36-D36)-(C36-E36))/(C36-D36))</f>
        <v>-0.84700553598389849</v>
      </c>
      <c r="Q36">
        <f t="shared" ref="Q36" si="156">F36*P36</f>
        <v>-22148284.235027764</v>
      </c>
      <c r="R36">
        <f t="shared" ref="R36" si="157">R37+Q36</f>
        <v>-1127677598.6272254</v>
      </c>
      <c r="S36">
        <f t="shared" ref="S36" si="158">R36/100000</f>
        <v>-11276.775986272254</v>
      </c>
      <c r="T36">
        <f t="shared" ref="T36" si="159">S36/1000</f>
        <v>-11.276775986272254</v>
      </c>
    </row>
    <row r="37" spans="1:20" x14ac:dyDescent="0.25">
      <c r="A37" s="5">
        <v>44556</v>
      </c>
      <c r="B37">
        <v>2.2724000000000002</v>
      </c>
      <c r="C37">
        <v>2.4579</v>
      </c>
      <c r="D37">
        <v>2.2010999999999998</v>
      </c>
      <c r="E37">
        <v>2.3508</v>
      </c>
      <c r="F37">
        <v>27269971</v>
      </c>
      <c r="G37">
        <v>2.3508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0.16588785046729038</v>
      </c>
      <c r="Q37">
        <f t="shared" ref="Q37" si="161">F37*P37</f>
        <v>4523756.8714953447</v>
      </c>
      <c r="R37">
        <f t="shared" ref="R37" si="162">R38+Q37</f>
        <v>-1105529314.3921976</v>
      </c>
      <c r="S37">
        <f t="shared" ref="S37" si="163">R37/100000</f>
        <v>-11055.293143921976</v>
      </c>
      <c r="T37">
        <f t="shared" ref="T37" si="164">S37/1000</f>
        <v>-11.055293143921975</v>
      </c>
    </row>
    <row r="38" spans="1:20" x14ac:dyDescent="0.25">
      <c r="A38" s="5">
        <v>44555</v>
      </c>
      <c r="B38">
        <v>2.2149000000000001</v>
      </c>
      <c r="C38">
        <v>2.3239999999999998</v>
      </c>
      <c r="D38">
        <v>2.1985000000000001</v>
      </c>
      <c r="E38">
        <v>2.2730000000000001</v>
      </c>
      <c r="F38">
        <v>13456549</v>
      </c>
      <c r="G38">
        <v>2.2730000000000001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0.18725099601593906</v>
      </c>
      <c r="Q38">
        <f t="shared" ref="Q38" si="166">F38*P38</f>
        <v>2519752.2031872887</v>
      </c>
      <c r="R38">
        <f t="shared" ref="R38" si="167">R39+Q38</f>
        <v>-1110053071.2636929</v>
      </c>
      <c r="S38">
        <f t="shared" ref="S38" si="168">R38/100000</f>
        <v>-11100.530712636928</v>
      </c>
      <c r="T38">
        <f t="shared" ref="T38" si="169">S38/1000</f>
        <v>-11.100530712636928</v>
      </c>
    </row>
    <row r="39" spans="1:20" x14ac:dyDescent="0.25">
      <c r="A39" s="5">
        <v>44554</v>
      </c>
      <c r="B39">
        <v>2.3186</v>
      </c>
      <c r="C39">
        <v>2.3771</v>
      </c>
      <c r="D39">
        <v>2.1732</v>
      </c>
      <c r="E39">
        <v>2.2157</v>
      </c>
      <c r="F39">
        <v>21199269</v>
      </c>
      <c r="G39">
        <v>2.2157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-0.58312898479646902</v>
      </c>
      <c r="Q39">
        <f t="shared" ref="Q39" si="171">F39*P39</f>
        <v>-12361908.210397257</v>
      </c>
      <c r="R39">
        <f t="shared" ref="R39" si="172">R40+Q39</f>
        <v>-1112572823.4668801</v>
      </c>
      <c r="S39">
        <f t="shared" ref="S39" si="173">R39/100000</f>
        <v>-11125.728234668801</v>
      </c>
      <c r="T39">
        <f t="shared" ref="T39" si="174">S39/1000</f>
        <v>-11.1257282346688</v>
      </c>
    </row>
    <row r="40" spans="1:20" x14ac:dyDescent="0.25">
      <c r="A40" s="5">
        <v>44553</v>
      </c>
      <c r="B40">
        <v>2.2031000000000001</v>
      </c>
      <c r="C40">
        <v>2.3620999999999999</v>
      </c>
      <c r="D40">
        <v>2.1537000000000002</v>
      </c>
      <c r="E40">
        <v>2.3184</v>
      </c>
      <c r="F40">
        <v>25489289</v>
      </c>
      <c r="G40">
        <v>2.3184</v>
      </c>
      <c r="L40" t="s">
        <v>7</v>
      </c>
      <c r="M40" t="s">
        <v>8</v>
      </c>
      <c r="N40" t="s">
        <v>7</v>
      </c>
      <c r="P40">
        <f t="shared" ref="P40" si="175">IF(C40=D40,0,((E40-D40)-(C40-E40))/(C40-D40))</f>
        <v>0.58061420345489523</v>
      </c>
      <c r="Q40">
        <f t="shared" ref="Q40" si="176">F40*P40</f>
        <v>14799443.229366623</v>
      </c>
      <c r="R40">
        <f t="shared" ref="R40" si="177">R41+Q40</f>
        <v>-1100210915.2564828</v>
      </c>
      <c r="S40">
        <f t="shared" ref="S40" si="178">R40/100000</f>
        <v>-11002.109152564828</v>
      </c>
      <c r="T40">
        <f t="shared" ref="T40" si="179">S40/1000</f>
        <v>-11.002109152564827</v>
      </c>
    </row>
    <row r="41" spans="1:20" x14ac:dyDescent="0.25">
      <c r="A41" s="5">
        <v>44552</v>
      </c>
      <c r="B41">
        <v>2.4</v>
      </c>
      <c r="C41">
        <v>2.4115000000000002</v>
      </c>
      <c r="D41">
        <v>2.1888000000000001</v>
      </c>
      <c r="E41">
        <v>2.2029000000000001</v>
      </c>
      <c r="F41">
        <v>36541595</v>
      </c>
      <c r="G41">
        <v>2.2029000000000001</v>
      </c>
      <c r="L41" t="s">
        <v>7</v>
      </c>
      <c r="M41" t="s">
        <v>8</v>
      </c>
      <c r="N41" t="s">
        <v>7</v>
      </c>
      <c r="P41">
        <f t="shared" ref="P41" si="180">IF(C41=D41,0,((E41-D41)-(C41-E41))/(C41-D41))</f>
        <v>-0.87337224966322413</v>
      </c>
      <c r="Q41">
        <f t="shared" ref="Q41" si="181">F41*P41</f>
        <v>-31914415.031432424</v>
      </c>
      <c r="R41">
        <f t="shared" ref="R41" si="182">R42+Q41</f>
        <v>-1115010358.4858494</v>
      </c>
      <c r="S41">
        <f t="shared" ref="S41" si="183">R41/100000</f>
        <v>-11150.103584858494</v>
      </c>
      <c r="T41">
        <f t="shared" ref="T41" si="184">S41/1000</f>
        <v>-11.150103584858494</v>
      </c>
    </row>
    <row r="42" spans="1:20" x14ac:dyDescent="0.25">
      <c r="A42" s="5">
        <v>44551</v>
      </c>
      <c r="B42">
        <v>2.0146000000000002</v>
      </c>
      <c r="C42">
        <v>2.4500000000000002</v>
      </c>
      <c r="D42">
        <v>1.9863999999999999</v>
      </c>
      <c r="E42">
        <v>2.3999000000000001</v>
      </c>
      <c r="F42">
        <v>38708015</v>
      </c>
      <c r="G42">
        <v>2.3999000000000001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0.7838654012079378</v>
      </c>
      <c r="Q42">
        <f t="shared" ref="Q42" si="186">F42*P42</f>
        <v>30341873.707937874</v>
      </c>
      <c r="R42">
        <f t="shared" ref="R42" si="187">R43+Q42</f>
        <v>-1083095943.454417</v>
      </c>
      <c r="S42">
        <f t="shared" ref="S42" si="188">R42/100000</f>
        <v>-10830.959434544169</v>
      </c>
      <c r="T42">
        <f t="shared" ref="T42" si="189">S42/1000</f>
        <v>-10.83095943454417</v>
      </c>
    </row>
    <row r="43" spans="1:20" x14ac:dyDescent="0.25">
      <c r="A43" s="5">
        <v>44550</v>
      </c>
      <c r="B43">
        <v>2.0440999999999998</v>
      </c>
      <c r="C43">
        <v>2.0789</v>
      </c>
      <c r="D43">
        <v>1.8767</v>
      </c>
      <c r="E43">
        <v>2.0144000000000002</v>
      </c>
      <c r="F43">
        <v>16820523</v>
      </c>
      <c r="G43">
        <v>2.0144000000000002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0.36201780415430462</v>
      </c>
      <c r="Q43">
        <f t="shared" ref="Q43" si="191">F43*P43</f>
        <v>6089328.801186976</v>
      </c>
      <c r="R43">
        <f t="shared" ref="R43" si="192">R44+Q43</f>
        <v>-1113437817.1623549</v>
      </c>
      <c r="S43">
        <f t="shared" ref="S43" si="193">R43/100000</f>
        <v>-11134.37817162355</v>
      </c>
      <c r="T43">
        <f t="shared" ref="T43" si="194">S43/1000</f>
        <v>-11.134378171623549</v>
      </c>
    </row>
    <row r="44" spans="1:20" x14ac:dyDescent="0.25">
      <c r="A44" s="5">
        <v>44549</v>
      </c>
      <c r="B44">
        <v>2.0722</v>
      </c>
      <c r="C44">
        <v>2.1223999999999998</v>
      </c>
      <c r="D44">
        <v>2.0194999999999999</v>
      </c>
      <c r="E44">
        <v>2.0432000000000001</v>
      </c>
      <c r="F44">
        <v>8284384</v>
      </c>
      <c r="G44">
        <v>2.0432000000000001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-0.53935860058308494</v>
      </c>
      <c r="Q44">
        <f t="shared" ref="Q44" si="196">F44*P44</f>
        <v>-4468253.7609328991</v>
      </c>
      <c r="R44">
        <f t="shared" ref="R44" si="197">R45+Q44</f>
        <v>-1119527145.963542</v>
      </c>
      <c r="S44">
        <f t="shared" ref="S44" si="198">R44/100000</f>
        <v>-11195.27145963542</v>
      </c>
      <c r="T44">
        <f t="shared" ref="T44" si="199">S44/1000</f>
        <v>-11.195271459635419</v>
      </c>
    </row>
    <row r="45" spans="1:20" x14ac:dyDescent="0.25">
      <c r="A45" s="5">
        <v>44548</v>
      </c>
      <c r="B45">
        <v>2.0533999999999999</v>
      </c>
      <c r="C45">
        <v>2.1219000000000001</v>
      </c>
      <c r="D45">
        <v>1.988</v>
      </c>
      <c r="E45">
        <v>2.0722999999999998</v>
      </c>
      <c r="F45">
        <v>12504562</v>
      </c>
      <c r="G45">
        <v>2.0722999999999998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0.25914861837191544</v>
      </c>
      <c r="Q45">
        <f t="shared" ref="Q45" si="201">F45*P45</f>
        <v>3240539.9656459559</v>
      </c>
      <c r="R45">
        <f t="shared" ref="R45" si="202">R46+Q45</f>
        <v>-1115058892.2026091</v>
      </c>
      <c r="S45">
        <f t="shared" ref="S45" si="203">R45/100000</f>
        <v>-11150.588922026091</v>
      </c>
      <c r="T45">
        <f t="shared" ref="T45" si="204">S45/1000</f>
        <v>-11.15058892202609</v>
      </c>
    </row>
    <row r="46" spans="1:20" x14ac:dyDescent="0.25">
      <c r="A46" s="5">
        <v>44547</v>
      </c>
      <c r="B46">
        <v>2.1063000000000001</v>
      </c>
      <c r="C46">
        <v>2.1579999999999999</v>
      </c>
      <c r="D46">
        <v>1.9918</v>
      </c>
      <c r="E46">
        <v>2.0529999999999999</v>
      </c>
      <c r="F46">
        <v>15278897</v>
      </c>
      <c r="G46">
        <v>2.0529999999999999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-0.26353790613718464</v>
      </c>
      <c r="Q46">
        <f t="shared" ref="Q46" si="206">F46*P46</f>
        <v>-4026568.5234657121</v>
      </c>
      <c r="R46">
        <f t="shared" ref="R46" si="207">R47+Q46</f>
        <v>-1118299432.1682551</v>
      </c>
      <c r="S46">
        <f t="shared" ref="S46" si="208">R46/100000</f>
        <v>-11182.99432168255</v>
      </c>
      <c r="T46">
        <f t="shared" ref="T46" si="209">S46/1000</f>
        <v>-11.18299432168255</v>
      </c>
    </row>
    <row r="47" spans="1:20" x14ac:dyDescent="0.25">
      <c r="A47" s="5">
        <v>44546</v>
      </c>
      <c r="B47">
        <v>2.2441</v>
      </c>
      <c r="C47">
        <v>2.363</v>
      </c>
      <c r="D47">
        <v>2.0952000000000002</v>
      </c>
      <c r="E47">
        <v>2.1059000000000001</v>
      </c>
      <c r="F47">
        <v>22208822</v>
      </c>
      <c r="G47">
        <v>2.1059000000000001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-0.92008961911874576</v>
      </c>
      <c r="Q47">
        <f t="shared" ref="Q47" si="211">F47*P47</f>
        <v>-20434106.57505602</v>
      </c>
      <c r="R47">
        <f t="shared" ref="R47" si="212">R48+Q47</f>
        <v>-1114272863.6447895</v>
      </c>
      <c r="S47">
        <f t="shared" ref="S47" si="213">R47/100000</f>
        <v>-11142.728636447895</v>
      </c>
      <c r="T47">
        <f t="shared" ref="T47" si="214">S47/1000</f>
        <v>-11.142728636447895</v>
      </c>
    </row>
    <row r="48" spans="1:20" x14ac:dyDescent="0.25">
      <c r="A48" s="5">
        <v>44545</v>
      </c>
      <c r="B48">
        <v>2.1850999999999998</v>
      </c>
      <c r="C48">
        <v>2.2814999999999999</v>
      </c>
      <c r="D48">
        <v>2.0044</v>
      </c>
      <c r="E48">
        <v>2.2441</v>
      </c>
      <c r="F48">
        <v>23494372</v>
      </c>
      <c r="G48">
        <v>2.2441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0.73006134969325231</v>
      </c>
      <c r="Q48">
        <f t="shared" ref="Q48" si="216">F48*P48</f>
        <v>17152332.932515357</v>
      </c>
      <c r="R48">
        <f t="shared" ref="R48" si="217">R49+Q48</f>
        <v>-1093838757.0697334</v>
      </c>
      <c r="S48">
        <f t="shared" ref="S48" si="218">R48/100000</f>
        <v>-10938.387570697334</v>
      </c>
      <c r="T48">
        <f t="shared" ref="T48" si="219">S48/1000</f>
        <v>-10.938387570697333</v>
      </c>
    </row>
    <row r="49" spans="1:20" x14ac:dyDescent="0.25">
      <c r="A49" s="5">
        <v>44544</v>
      </c>
      <c r="B49">
        <v>2.0971000000000002</v>
      </c>
      <c r="C49">
        <v>2.2839</v>
      </c>
      <c r="D49">
        <v>2.0364</v>
      </c>
      <c r="E49">
        <v>2.1855000000000002</v>
      </c>
      <c r="F49">
        <v>24985163</v>
      </c>
      <c r="G49">
        <v>2.1855000000000002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0.20484848484848647</v>
      </c>
      <c r="Q49">
        <f t="shared" ref="Q49" si="221">F49*P49</f>
        <v>5118172.7842424652</v>
      </c>
      <c r="R49">
        <f t="shared" ref="R49" si="222">R50+Q49</f>
        <v>-1110991090.0022488</v>
      </c>
      <c r="S49">
        <f t="shared" ref="S49" si="223">R49/100000</f>
        <v>-11109.910900022487</v>
      </c>
      <c r="T49">
        <f t="shared" ref="T49" si="224">S49/1000</f>
        <v>-11.109910900022488</v>
      </c>
    </row>
    <row r="50" spans="1:20" x14ac:dyDescent="0.25">
      <c r="A50" s="5">
        <v>44543</v>
      </c>
      <c r="B50">
        <v>2.4533</v>
      </c>
      <c r="C50">
        <v>2.4722</v>
      </c>
      <c r="D50">
        <v>2.0588000000000002</v>
      </c>
      <c r="E50">
        <v>2.0975999999999999</v>
      </c>
      <c r="F50">
        <v>27203449</v>
      </c>
      <c r="G50">
        <v>2.0975999999999999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-0.81228834059022859</v>
      </c>
      <c r="Q50">
        <f t="shared" ref="Q50" si="226">F50*P50</f>
        <v>-22097044.446540914</v>
      </c>
      <c r="R50">
        <f t="shared" ref="R50" si="227">R51+Q50</f>
        <v>-1116109262.7864912</v>
      </c>
      <c r="S50">
        <f t="shared" ref="S50" si="228">R50/100000</f>
        <v>-11161.092627864911</v>
      </c>
      <c r="T50">
        <f t="shared" ref="T50" si="229">S50/1000</f>
        <v>-11.161092627864912</v>
      </c>
    </row>
    <row r="51" spans="1:20" x14ac:dyDescent="0.25">
      <c r="A51" s="5">
        <v>44542</v>
      </c>
      <c r="B51">
        <v>2.4228999999999998</v>
      </c>
      <c r="C51">
        <v>2.492</v>
      </c>
      <c r="D51">
        <v>2.3239000000000001</v>
      </c>
      <c r="E51">
        <v>2.4540999999999999</v>
      </c>
      <c r="F51">
        <v>13650662</v>
      </c>
      <c r="G51">
        <v>2.4540999999999999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0.54907792980368753</v>
      </c>
      <c r="Q51">
        <f t="shared" ref="Q51" si="231">F51*P51</f>
        <v>7495277.2314098645</v>
      </c>
      <c r="R51">
        <f t="shared" ref="R51" si="232">R52+Q51</f>
        <v>-1094012218.3399503</v>
      </c>
      <c r="S51">
        <f t="shared" ref="S51" si="233">R51/100000</f>
        <v>-10940.122183399504</v>
      </c>
      <c r="T51">
        <f t="shared" ref="T51" si="234">S51/1000</f>
        <v>-10.940122183399504</v>
      </c>
    </row>
    <row r="52" spans="1:20" x14ac:dyDescent="0.25">
      <c r="A52" s="5">
        <v>44541</v>
      </c>
      <c r="B52">
        <v>2.3010000000000002</v>
      </c>
      <c r="C52">
        <v>2.359</v>
      </c>
      <c r="D52">
        <v>2.2608000000000001</v>
      </c>
      <c r="E52">
        <v>2.3334000000000001</v>
      </c>
      <c r="F52">
        <v>1251974</v>
      </c>
      <c r="G52">
        <v>2.3334000000000001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0.47861507128309805</v>
      </c>
      <c r="Q52">
        <f t="shared" ref="Q52" si="236">F52*P52</f>
        <v>599213.62525458541</v>
      </c>
      <c r="R52">
        <f t="shared" ref="R52" si="237">R53+Q52</f>
        <v>-1101507495.5713601</v>
      </c>
      <c r="S52">
        <f t="shared" ref="S52" si="238">R52/100000</f>
        <v>-11015.074955713601</v>
      </c>
      <c r="T52">
        <f t="shared" ref="T52" si="239">S52/1000</f>
        <v>-11.015074955713601</v>
      </c>
    </row>
    <row r="53" spans="1:20" x14ac:dyDescent="0.25">
      <c r="A53" s="5">
        <v>44540</v>
      </c>
      <c r="B53">
        <v>2.4923999999999999</v>
      </c>
      <c r="C53">
        <v>2.605</v>
      </c>
      <c r="D53">
        <v>2.2925</v>
      </c>
      <c r="E53">
        <v>2.3005</v>
      </c>
      <c r="F53">
        <v>43766637</v>
      </c>
      <c r="G53">
        <v>2.3005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-0.94879999999999998</v>
      </c>
      <c r="Q53">
        <f t="shared" ref="Q53" si="241">F53*P53</f>
        <v>-41525785.185599998</v>
      </c>
      <c r="R53">
        <f t="shared" ref="R53" si="242">R54+Q53</f>
        <v>-1102106709.1966147</v>
      </c>
      <c r="S53">
        <f t="shared" ref="S53" si="243">R53/100000</f>
        <v>-11021.067091966148</v>
      </c>
      <c r="T53">
        <f t="shared" ref="T53" si="244">S53/1000</f>
        <v>-11.021067091966147</v>
      </c>
    </row>
    <row r="54" spans="1:20" x14ac:dyDescent="0.25">
      <c r="A54" s="5">
        <v>44539</v>
      </c>
      <c r="B54">
        <v>2.573</v>
      </c>
      <c r="C54">
        <v>2.7363</v>
      </c>
      <c r="D54">
        <v>2.3531</v>
      </c>
      <c r="E54">
        <v>2.4923000000000002</v>
      </c>
      <c r="F54">
        <v>69354079</v>
      </c>
      <c r="G54">
        <v>2.4923000000000002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-0.27348643006262935</v>
      </c>
      <c r="Q54">
        <f t="shared" ref="Q54" si="246">F54*P54</f>
        <v>-18967399.475991569</v>
      </c>
      <c r="R54">
        <f t="shared" ref="R54" si="247">R55+Q54</f>
        <v>-1060580924.0110148</v>
      </c>
      <c r="S54">
        <f t="shared" ref="S54" si="248">R54/100000</f>
        <v>-10605.809240110148</v>
      </c>
      <c r="T54">
        <f t="shared" ref="T54" si="249">S54/1000</f>
        <v>-10.605809240110148</v>
      </c>
    </row>
    <row r="55" spans="1:20" x14ac:dyDescent="0.25">
      <c r="A55" s="5">
        <v>44538</v>
      </c>
      <c r="B55">
        <v>2.4626000000000001</v>
      </c>
      <c r="C55">
        <v>2.9615999999999998</v>
      </c>
      <c r="D55">
        <v>2.2690000000000001</v>
      </c>
      <c r="E55">
        <v>2.5722</v>
      </c>
      <c r="F55">
        <v>73456563</v>
      </c>
      <c r="G55">
        <v>2.5722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-0.12445856194051383</v>
      </c>
      <c r="Q55">
        <f t="shared" ref="Q55" si="251">F55*P55</f>
        <v>-9142298.1960727572</v>
      </c>
      <c r="R55">
        <f t="shared" ref="R55" si="252">R56+Q55</f>
        <v>-1041613524.5350232</v>
      </c>
      <c r="S55">
        <f t="shared" ref="S55" si="253">R55/100000</f>
        <v>-10416.135245350231</v>
      </c>
      <c r="T55">
        <f t="shared" ref="T55" si="254">S55/1000</f>
        <v>-10.416135245350231</v>
      </c>
    </row>
    <row r="56" spans="1:20" x14ac:dyDescent="0.25">
      <c r="A56" s="5">
        <v>44537</v>
      </c>
      <c r="B56">
        <v>2.4554</v>
      </c>
      <c r="C56">
        <v>2.6549999999999998</v>
      </c>
      <c r="D56">
        <v>2.3666</v>
      </c>
      <c r="E56">
        <v>2.4605999999999999</v>
      </c>
      <c r="F56">
        <v>63732402</v>
      </c>
      <c r="G56">
        <v>2.4605999999999999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-0.34812760055478548</v>
      </c>
      <c r="Q56">
        <f t="shared" ref="Q56" si="256">F56*P56</f>
        <v>-22187008.185853012</v>
      </c>
      <c r="R56">
        <f t="shared" ref="R56" si="257">R57+Q56</f>
        <v>-1032471226.3389504</v>
      </c>
      <c r="S56">
        <f t="shared" ref="S56" si="258">R56/100000</f>
        <v>-10324.712263389503</v>
      </c>
      <c r="T56">
        <f t="shared" ref="T56" si="259">S56/1000</f>
        <v>-10.324712263389504</v>
      </c>
    </row>
    <row r="57" spans="1:20" x14ac:dyDescent="0.25">
      <c r="A57" s="5">
        <v>44536</v>
      </c>
      <c r="B57">
        <v>2.0356999999999998</v>
      </c>
      <c r="C57">
        <v>2.5400999999999998</v>
      </c>
      <c r="D57">
        <v>1.7972999999999999</v>
      </c>
      <c r="E57">
        <v>2.4539</v>
      </c>
      <c r="F57">
        <v>61612970</v>
      </c>
      <c r="G57">
        <v>2.4539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0.76790522347872958</v>
      </c>
      <c r="Q57">
        <f t="shared" ref="Q57" si="261">F57*P57</f>
        <v>47312921.49703826</v>
      </c>
      <c r="R57">
        <f t="shared" ref="R57" si="262">R58+Q57</f>
        <v>-1010284218.1530974</v>
      </c>
      <c r="S57">
        <f t="shared" ref="S57" si="263">R57/100000</f>
        <v>-10102.842181530974</v>
      </c>
      <c r="T57">
        <f t="shared" ref="T57" si="264">S57/1000</f>
        <v>-10.102842181530974</v>
      </c>
    </row>
    <row r="58" spans="1:20" x14ac:dyDescent="0.25">
      <c r="A58" s="5">
        <v>44535</v>
      </c>
      <c r="B58">
        <v>2.2679</v>
      </c>
      <c r="C58">
        <v>2.3468</v>
      </c>
      <c r="D58">
        <v>1.9649000000000001</v>
      </c>
      <c r="E58">
        <v>2.0356999999999998</v>
      </c>
      <c r="F58">
        <v>31405573</v>
      </c>
      <c r="G58">
        <v>2.0356999999999998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-0.62922230950510727</v>
      </c>
      <c r="Q58">
        <f t="shared" ref="Q58" si="266">F58*P58</f>
        <v>-19761087.17439124</v>
      </c>
      <c r="R58">
        <f t="shared" ref="R58" si="267">R59+Q58</f>
        <v>-1057597139.6501356</v>
      </c>
      <c r="S58">
        <f t="shared" ref="S58" si="268">R58/100000</f>
        <v>-10575.971396501356</v>
      </c>
      <c r="T58">
        <f t="shared" ref="T58" si="269">S58/1000</f>
        <v>-10.575971396501355</v>
      </c>
    </row>
    <row r="59" spans="1:20" x14ac:dyDescent="0.25">
      <c r="A59" s="5">
        <v>44534</v>
      </c>
      <c r="B59">
        <v>2.38</v>
      </c>
      <c r="C59">
        <v>2.3862999999999999</v>
      </c>
      <c r="D59">
        <v>1.6</v>
      </c>
      <c r="E59">
        <v>2.2669999999999999</v>
      </c>
      <c r="F59">
        <v>69013113</v>
      </c>
      <c r="G59">
        <v>2.2669999999999999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0.69655347831616432</v>
      </c>
      <c r="Q59">
        <f t="shared" ref="Q59" si="271">F59*P59</f>
        <v>48071323.909576498</v>
      </c>
      <c r="R59">
        <f t="shared" ref="R59" si="272">R60+Q59</f>
        <v>-1037836052.4757444</v>
      </c>
      <c r="S59">
        <f t="shared" ref="S59" si="273">R59/100000</f>
        <v>-10378.360524757443</v>
      </c>
      <c r="T59">
        <f t="shared" ref="T59" si="274">S59/1000</f>
        <v>-10.378360524757444</v>
      </c>
    </row>
    <row r="60" spans="1:20" x14ac:dyDescent="0.25">
      <c r="A60" s="5">
        <v>44533</v>
      </c>
      <c r="B60">
        <v>2.6307999999999998</v>
      </c>
      <c r="C60">
        <v>2.6459000000000001</v>
      </c>
      <c r="D60">
        <v>2.2437</v>
      </c>
      <c r="E60">
        <v>2.3803999999999998</v>
      </c>
      <c r="F60">
        <v>31488767</v>
      </c>
      <c r="G60">
        <v>2.3803999999999998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-0.32023868722028948</v>
      </c>
      <c r="Q60">
        <f t="shared" ref="Q60" si="276">F60*P60</f>
        <v>-10083921.406265574</v>
      </c>
      <c r="R60">
        <f t="shared" ref="R60" si="277">R61+Q60</f>
        <v>-1085907376.3853209</v>
      </c>
      <c r="S60">
        <f t="shared" ref="S60" si="278">R60/100000</f>
        <v>-10859.073763853208</v>
      </c>
      <c r="T60">
        <f t="shared" ref="T60" si="279">S60/1000</f>
        <v>-10.859073763853209</v>
      </c>
    </row>
    <row r="61" spans="1:20" x14ac:dyDescent="0.25">
      <c r="A61" s="5">
        <v>44532</v>
      </c>
      <c r="B61">
        <v>2.778</v>
      </c>
      <c r="C61">
        <v>2.7797000000000001</v>
      </c>
      <c r="D61">
        <v>2.5630000000000002</v>
      </c>
      <c r="E61">
        <v>2.6311</v>
      </c>
      <c r="F61">
        <v>23351840</v>
      </c>
      <c r="G61">
        <v>2.6311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-0.37148131056760625</v>
      </c>
      <c r="Q61">
        <f t="shared" ref="Q61" si="281">F61*P61</f>
        <v>-8674772.1273650508</v>
      </c>
      <c r="R61">
        <f t="shared" ref="R61" si="282">R62+Q61</f>
        <v>-1075823454.9790554</v>
      </c>
      <c r="S61">
        <f t="shared" ref="S61" si="283">R61/100000</f>
        <v>-10758.234549790554</v>
      </c>
      <c r="T61">
        <f t="shared" ref="T61" si="284">S61/1000</f>
        <v>-10.758234549790554</v>
      </c>
    </row>
    <row r="62" spans="1:20" x14ac:dyDescent="0.25">
      <c r="A62" s="5">
        <v>44531</v>
      </c>
      <c r="B62">
        <v>2.7725</v>
      </c>
      <c r="C62">
        <v>2.9857</v>
      </c>
      <c r="D62">
        <v>2.7019000000000002</v>
      </c>
      <c r="E62">
        <v>2.7789999999999999</v>
      </c>
      <c r="F62">
        <v>35508835</v>
      </c>
      <c r="G62">
        <v>2.7789999999999999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-0.45665961945031874</v>
      </c>
      <c r="Q62">
        <f t="shared" ref="Q62" si="286">F62*P62</f>
        <v>-16215451.07822416</v>
      </c>
      <c r="R62">
        <f t="shared" ref="R62" si="287">R63+Q62</f>
        <v>-1067148682.8516903</v>
      </c>
      <c r="S62">
        <f t="shared" ref="S62" si="288">R62/100000</f>
        <v>-10671.486828516903</v>
      </c>
      <c r="T62">
        <f t="shared" ref="T62" si="289">S62/1000</f>
        <v>-10.671486828516903</v>
      </c>
    </row>
    <row r="63" spans="1:20" x14ac:dyDescent="0.25">
      <c r="A63" s="5">
        <v>44530</v>
      </c>
      <c r="B63">
        <v>2.8645999999999998</v>
      </c>
      <c r="C63">
        <v>2.96</v>
      </c>
      <c r="D63">
        <v>2.7111000000000001</v>
      </c>
      <c r="E63">
        <v>2.7682000000000002</v>
      </c>
      <c r="F63">
        <v>35032694</v>
      </c>
      <c r="G63">
        <v>2.7682000000000002</v>
      </c>
      <c r="L63" t="s">
        <v>7</v>
      </c>
      <c r="M63" t="s">
        <v>8</v>
      </c>
      <c r="N63" t="s">
        <v>8</v>
      </c>
      <c r="P63">
        <f t="shared" ref="P63" si="290">IF(C63=D63,0,((E63-D63)-(C63-E63))/(C63-D63))</f>
        <v>-0.54118119726797775</v>
      </c>
      <c r="Q63">
        <f t="shared" ref="Q63" si="291">F63*P63</f>
        <v>-18959035.2824427</v>
      </c>
      <c r="R63">
        <f t="shared" ref="R63" si="292">R64+Q63</f>
        <v>-1050933231.7734661</v>
      </c>
      <c r="S63">
        <f t="shared" ref="S63" si="293">R63/100000</f>
        <v>-10509.332317734661</v>
      </c>
      <c r="T63">
        <f t="shared" ref="T63" si="294">S63/1000</f>
        <v>-10.50933231773466</v>
      </c>
    </row>
    <row r="64" spans="1:20" x14ac:dyDescent="0.25">
      <c r="A64" s="5">
        <v>44529</v>
      </c>
      <c r="B64">
        <v>2.931</v>
      </c>
      <c r="C64">
        <v>3.1716000000000002</v>
      </c>
      <c r="D64">
        <v>2.8529</v>
      </c>
      <c r="E64">
        <v>2.8626</v>
      </c>
      <c r="F64">
        <v>42550314</v>
      </c>
      <c r="G64">
        <v>2.8626</v>
      </c>
      <c r="L64" t="s">
        <v>8</v>
      </c>
      <c r="M64" t="s">
        <v>8</v>
      </c>
      <c r="N64" t="s">
        <v>8</v>
      </c>
      <c r="P64">
        <f t="shared" ref="P64" si="295">IF(C64=D64,0,((E64-D64)-(C64-E64))/(C64-D64))</f>
        <v>-0.93912770630687148</v>
      </c>
      <c r="Q64">
        <f t="shared" ref="Q64" si="296">F64*P64</f>
        <v>-39960178.789457165</v>
      </c>
      <c r="R64">
        <f t="shared" ref="R64" si="297">R65+Q64</f>
        <v>-1031974196.4910234</v>
      </c>
      <c r="S64">
        <f t="shared" ref="S64" si="298">R64/100000</f>
        <v>-10319.741964910234</v>
      </c>
      <c r="T64">
        <f t="shared" ref="T64" si="299">S64/1000</f>
        <v>-10.319741964910234</v>
      </c>
    </row>
    <row r="65" spans="1:20" x14ac:dyDescent="0.25">
      <c r="A65" s="5">
        <v>44528</v>
      </c>
      <c r="B65">
        <v>2.8942000000000001</v>
      </c>
      <c r="C65">
        <v>2.9779</v>
      </c>
      <c r="D65">
        <v>2.6528999999999998</v>
      </c>
      <c r="E65">
        <v>2.9277000000000002</v>
      </c>
      <c r="F65">
        <v>36118313</v>
      </c>
      <c r="G65">
        <v>2.9277000000000002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0.69107692307692448</v>
      </c>
      <c r="Q65">
        <f t="shared" ref="Q65" si="301">F65*P65</f>
        <v>24960532.61476928</v>
      </c>
      <c r="R65">
        <f t="shared" ref="R65" si="302">R66+Q65</f>
        <v>-992014017.70156622</v>
      </c>
      <c r="S65">
        <f t="shared" ref="S65" si="303">R65/100000</f>
        <v>-9920.1401770156626</v>
      </c>
      <c r="T65">
        <f t="shared" ref="T65" si="304">S65/1000</f>
        <v>-9.9201401770156625</v>
      </c>
    </row>
    <row r="66" spans="1:20" x14ac:dyDescent="0.25">
      <c r="A66" s="5">
        <v>44527</v>
      </c>
      <c r="B66">
        <v>2.8182999999999998</v>
      </c>
      <c r="C66">
        <v>3.1164999999999998</v>
      </c>
      <c r="D66">
        <v>2.7736999999999998</v>
      </c>
      <c r="E66">
        <v>2.8915999999999999</v>
      </c>
      <c r="F66">
        <v>49254842</v>
      </c>
      <c r="G66">
        <v>2.8915999999999999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-0.31213535589264807</v>
      </c>
      <c r="Q66">
        <f t="shared" ref="Q66" si="306">F66*P66</f>
        <v>-15374177.63710615</v>
      </c>
      <c r="R66">
        <f t="shared" ref="R66" si="307">R67+Q66</f>
        <v>-1016974550.3163354</v>
      </c>
      <c r="S66">
        <f t="shared" ref="S66" si="308">R66/100000</f>
        <v>-10169.745503163354</v>
      </c>
      <c r="T66">
        <f t="shared" ref="T66" si="309">S66/1000</f>
        <v>-10.169745503163355</v>
      </c>
    </row>
    <row r="67" spans="1:20" x14ac:dyDescent="0.25">
      <c r="A67" s="5">
        <v>44526</v>
      </c>
      <c r="B67">
        <v>3.2021999999999999</v>
      </c>
      <c r="C67">
        <v>3.6385000000000001</v>
      </c>
      <c r="D67">
        <v>2.6421999999999999</v>
      </c>
      <c r="E67">
        <v>2.8174999999999999</v>
      </c>
      <c r="F67">
        <v>132463845</v>
      </c>
      <c r="G67">
        <v>2.8174999999999999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-0.64809796246110618</v>
      </c>
      <c r="Q67">
        <f t="shared" ref="Q67" si="311">F67*P67</f>
        <v>-85849548.044263795</v>
      </c>
      <c r="R67">
        <f t="shared" ref="R67" si="312">R68+Q67</f>
        <v>-1001600372.6792293</v>
      </c>
      <c r="S67">
        <f t="shared" ref="S67" si="313">R67/100000</f>
        <v>-10016.003726792293</v>
      </c>
      <c r="T67">
        <f t="shared" ref="T67" si="314">S67/1000</f>
        <v>-10.016003726792293</v>
      </c>
    </row>
    <row r="68" spans="1:20" x14ac:dyDescent="0.25">
      <c r="A68" s="5">
        <v>44525</v>
      </c>
      <c r="B68">
        <v>3.4125999999999999</v>
      </c>
      <c r="C68">
        <v>3.7776999999999998</v>
      </c>
      <c r="D68">
        <v>3.1162999999999998</v>
      </c>
      <c r="E68">
        <v>3.2002000000000002</v>
      </c>
      <c r="F68">
        <v>143717118</v>
      </c>
      <c r="G68">
        <v>3.2002000000000002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-0.7462957363169026</v>
      </c>
      <c r="Q68">
        <f t="shared" ref="Q68" si="316">F68*P68</f>
        <v>-107255472.39915317</v>
      </c>
      <c r="R68">
        <f t="shared" ref="R68" si="317">R69+Q68</f>
        <v>-915750824.63496542</v>
      </c>
      <c r="S68">
        <f t="shared" ref="S68" si="318">R68/100000</f>
        <v>-9157.5082463496547</v>
      </c>
      <c r="T68">
        <f t="shared" ref="T68" si="319">S68/1000</f>
        <v>-9.1575082463496553</v>
      </c>
    </row>
    <row r="69" spans="1:20" x14ac:dyDescent="0.25">
      <c r="A69" s="5">
        <v>44524</v>
      </c>
      <c r="B69">
        <v>3.3370000000000002</v>
      </c>
      <c r="C69">
        <v>3.4950000000000001</v>
      </c>
      <c r="D69">
        <v>3.0251999999999999</v>
      </c>
      <c r="E69">
        <v>3.0916999999999999</v>
      </c>
      <c r="F69">
        <v>70988117</v>
      </c>
      <c r="G69">
        <v>3.0916999999999999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-0.71690080885483198</v>
      </c>
      <c r="Q69">
        <f t="shared" ref="Q69" si="321">F69*P69</f>
        <v>-50891438.496381447</v>
      </c>
      <c r="R69">
        <f t="shared" ref="R69" si="322">R70+Q69</f>
        <v>-808495352.23581219</v>
      </c>
      <c r="S69">
        <f t="shared" ref="S69" si="323">R69/100000</f>
        <v>-8084.9535223581215</v>
      </c>
      <c r="T69">
        <f t="shared" ref="T69" si="324">S69/1000</f>
        <v>-8.0849535223581217</v>
      </c>
    </row>
    <row r="70" spans="1:20" x14ac:dyDescent="0.25">
      <c r="A70" s="5">
        <v>44523</v>
      </c>
      <c r="B70">
        <v>2.6474000000000002</v>
      </c>
      <c r="C70">
        <v>3.48</v>
      </c>
      <c r="D70">
        <v>2.5316999999999998</v>
      </c>
      <c r="E70">
        <v>3.3348</v>
      </c>
      <c r="F70">
        <v>288060667</v>
      </c>
      <c r="G70">
        <v>3.3348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0.69376779500158181</v>
      </c>
      <c r="Q70">
        <f t="shared" ref="Q70" si="326">F70*P70</f>
        <v>199847213.77127492</v>
      </c>
      <c r="R70">
        <f t="shared" ref="R70" si="327">R71+Q70</f>
        <v>-757603913.73943079</v>
      </c>
      <c r="S70">
        <f t="shared" ref="S70" si="328">R70/100000</f>
        <v>-7576.0391373943075</v>
      </c>
      <c r="T70">
        <f t="shared" ref="T70" si="329">S70/1000</f>
        <v>-7.5760391373943072</v>
      </c>
    </row>
    <row r="71" spans="1:20" x14ac:dyDescent="0.25">
      <c r="A71" s="5">
        <v>44522</v>
      </c>
      <c r="B71">
        <v>2.3778000000000001</v>
      </c>
      <c r="C71">
        <v>2.855</v>
      </c>
      <c r="D71">
        <v>2.3159000000000001</v>
      </c>
      <c r="E71">
        <v>2.6461000000000001</v>
      </c>
      <c r="F71">
        <v>95787473</v>
      </c>
      <c r="G71">
        <v>2.6461000000000001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0.22500463735856094</v>
      </c>
      <c r="Q71">
        <f t="shared" ref="Q71" si="331">F71*P71</f>
        <v>21552625.625857946</v>
      </c>
      <c r="R71">
        <f t="shared" ref="R71" si="332">R72+Q71</f>
        <v>-957451127.51070571</v>
      </c>
      <c r="S71">
        <f t="shared" ref="S71" si="333">R71/100000</f>
        <v>-9574.5112751070574</v>
      </c>
      <c r="T71">
        <f t="shared" ref="T71" si="334">S71/1000</f>
        <v>-9.5745112751070582</v>
      </c>
    </row>
    <row r="72" spans="1:20" x14ac:dyDescent="0.25">
      <c r="A72" s="5">
        <v>44521</v>
      </c>
      <c r="B72">
        <v>2.5815999999999999</v>
      </c>
      <c r="C72">
        <v>2.6339000000000001</v>
      </c>
      <c r="D72">
        <v>2.3521000000000001</v>
      </c>
      <c r="E72">
        <v>2.3757000000000001</v>
      </c>
      <c r="F72">
        <v>36837216</v>
      </c>
      <c r="G72">
        <v>2.3757000000000001</v>
      </c>
      <c r="L72" t="s">
        <v>7</v>
      </c>
      <c r="M72" t="s">
        <v>7</v>
      </c>
      <c r="N72" t="s">
        <v>7</v>
      </c>
      <c r="P72">
        <f t="shared" ref="P72" si="335">IF(C72=D72,0,((E72-D72)-(C72-E72))/(C72-D72))</f>
        <v>-0.83250532292405921</v>
      </c>
      <c r="Q72">
        <f t="shared" ref="Q72" si="336">F72*P72</f>
        <v>-30667178.40170332</v>
      </c>
      <c r="R72">
        <f t="shared" ref="R72" si="337">R73+Q72</f>
        <v>-979003753.13656366</v>
      </c>
      <c r="S72">
        <f t="shared" ref="S72" si="338">R72/100000</f>
        <v>-9790.0375313656368</v>
      </c>
      <c r="T72">
        <f t="shared" ref="T72" si="339">S72/1000</f>
        <v>-9.7900375313656376</v>
      </c>
    </row>
    <row r="73" spans="1:20" x14ac:dyDescent="0.25">
      <c r="A73" s="5">
        <v>44520</v>
      </c>
      <c r="B73">
        <v>2.6591</v>
      </c>
      <c r="C73">
        <v>2.7490000000000001</v>
      </c>
      <c r="D73">
        <v>2.4998</v>
      </c>
      <c r="E73">
        <v>2.5815999999999999</v>
      </c>
      <c r="F73">
        <v>54934511</v>
      </c>
      <c r="G73">
        <v>2.5815999999999999</v>
      </c>
      <c r="L73" t="s">
        <v>7</v>
      </c>
      <c r="M73" t="s">
        <v>8</v>
      </c>
      <c r="N73" t="s">
        <v>7</v>
      </c>
      <c r="P73">
        <f t="shared" ref="P73" si="340">IF(C73=D73,0,((E73-D73)-(C73-E73))/(C73-D73))</f>
        <v>-0.34349919743178298</v>
      </c>
      <c r="Q73">
        <f t="shared" ref="Q73" si="341">F73*P73</f>
        <v>-18869960.439807452</v>
      </c>
      <c r="R73">
        <f t="shared" ref="R73" si="342">R74+Q73</f>
        <v>-948336574.7348603</v>
      </c>
      <c r="S73">
        <f t="shared" ref="S73" si="343">R73/100000</f>
        <v>-9483.3657473486037</v>
      </c>
      <c r="T73">
        <f t="shared" ref="T73" si="344">S73/1000</f>
        <v>-9.4833657473486035</v>
      </c>
    </row>
    <row r="74" spans="1:20" x14ac:dyDescent="0.25">
      <c r="A74" s="5">
        <v>44519</v>
      </c>
      <c r="B74">
        <v>2.2168000000000001</v>
      </c>
      <c r="C74">
        <v>2.8942999999999999</v>
      </c>
      <c r="D74">
        <v>2.1736</v>
      </c>
      <c r="E74">
        <v>2.6577000000000002</v>
      </c>
      <c r="F74">
        <v>135970564</v>
      </c>
      <c r="G74">
        <v>2.6577000000000002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0.34341612321354315</v>
      </c>
      <c r="Q74">
        <f t="shared" ref="Q74" si="346">F74*P74</f>
        <v>46694483.960038953</v>
      </c>
      <c r="R74">
        <f t="shared" ref="R74" si="347">R75+Q74</f>
        <v>-929466614.29505289</v>
      </c>
      <c r="S74">
        <f t="shared" ref="S74" si="348">R74/100000</f>
        <v>-9294.6661429505293</v>
      </c>
      <c r="T74">
        <f t="shared" ref="T74" si="349">S74/1000</f>
        <v>-9.2946661429505291</v>
      </c>
    </row>
    <row r="75" spans="1:20" x14ac:dyDescent="0.25">
      <c r="A75" s="5">
        <v>44518</v>
      </c>
      <c r="B75">
        <v>2.5264000000000002</v>
      </c>
      <c r="C75">
        <v>2.5931999999999999</v>
      </c>
      <c r="D75">
        <v>2.1638000000000002</v>
      </c>
      <c r="E75">
        <v>2.2128999999999999</v>
      </c>
      <c r="F75">
        <v>79226411</v>
      </c>
      <c r="G75">
        <v>2.2128999999999999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-0.77130880298090487</v>
      </c>
      <c r="Q75">
        <f t="shared" ref="Q75" si="351">F75*P75</f>
        <v>-61108028.232883193</v>
      </c>
      <c r="R75">
        <f t="shared" ref="R75" si="352">R76+Q75</f>
        <v>-976161098.25509179</v>
      </c>
      <c r="S75">
        <f t="shared" ref="S75" si="353">R75/100000</f>
        <v>-9761.6109825509175</v>
      </c>
      <c r="T75">
        <f t="shared" ref="T75" si="354">S75/1000</f>
        <v>-9.7616109825509181</v>
      </c>
    </row>
    <row r="76" spans="1:20" x14ac:dyDescent="0.25">
      <c r="A76" s="5">
        <v>44517</v>
      </c>
      <c r="B76">
        <v>2.6305999999999998</v>
      </c>
      <c r="C76">
        <v>2.883</v>
      </c>
      <c r="D76">
        <v>2.4794999999999998</v>
      </c>
      <c r="E76">
        <v>2.5251000000000001</v>
      </c>
      <c r="F76">
        <v>79753519</v>
      </c>
      <c r="G76">
        <v>2.5251000000000001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-0.77397769516728487</v>
      </c>
      <c r="Q76">
        <f t="shared" ref="Q76" si="356">F76*P76</f>
        <v>-61727444.817100264</v>
      </c>
      <c r="R76">
        <f t="shared" ref="R76" si="357">R77+Q76</f>
        <v>-915053070.02220857</v>
      </c>
      <c r="S76">
        <f t="shared" ref="S76" si="358">R76/100000</f>
        <v>-9150.5307002220852</v>
      </c>
      <c r="T76">
        <f t="shared" ref="T76" si="359">S76/1000</f>
        <v>-9.1505307002220846</v>
      </c>
    </row>
    <row r="77" spans="1:20" x14ac:dyDescent="0.25">
      <c r="A77" s="5">
        <v>44516</v>
      </c>
      <c r="B77">
        <v>2.9098000000000002</v>
      </c>
      <c r="C77">
        <v>2.9119999999999999</v>
      </c>
      <c r="D77">
        <v>2.3586</v>
      </c>
      <c r="E77">
        <v>2.6322000000000001</v>
      </c>
      <c r="F77">
        <v>86756251</v>
      </c>
      <c r="G77">
        <v>2.6322000000000001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-1.1203469461510232E-2</v>
      </c>
      <c r="Q77">
        <f t="shared" ref="Q77" si="361">F77*P77</f>
        <v>-971971.00867361645</v>
      </c>
      <c r="R77">
        <f t="shared" ref="R77" si="362">R78+Q77</f>
        <v>-853325625.20510828</v>
      </c>
      <c r="S77">
        <f t="shared" ref="S77" si="363">R77/100000</f>
        <v>-8533.2562520510837</v>
      </c>
      <c r="T77">
        <f t="shared" ref="T77" si="364">S77/1000</f>
        <v>-8.5332562520510837</v>
      </c>
    </row>
    <row r="78" spans="1:20" x14ac:dyDescent="0.25">
      <c r="A78" s="5">
        <v>44515</v>
      </c>
      <c r="B78">
        <v>3.0581</v>
      </c>
      <c r="C78">
        <v>3.1173999999999999</v>
      </c>
      <c r="D78">
        <v>2.85</v>
      </c>
      <c r="E78">
        <v>2.9098000000000002</v>
      </c>
      <c r="F78">
        <v>63013313</v>
      </c>
      <c r="G78">
        <v>2.9098000000000002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-0.55272999252056765</v>
      </c>
      <c r="Q78">
        <f t="shared" ref="Q78" si="366">F78*P78</f>
        <v>-34829348.023186184</v>
      </c>
      <c r="R78">
        <f t="shared" ref="R78" si="367">R79+Q78</f>
        <v>-852353654.19643462</v>
      </c>
      <c r="S78">
        <f t="shared" ref="S78" si="368">R78/100000</f>
        <v>-8523.5365419643458</v>
      </c>
      <c r="T78">
        <f t="shared" ref="T78" si="369">S78/1000</f>
        <v>-8.5235365419643454</v>
      </c>
    </row>
    <row r="79" spans="1:20" x14ac:dyDescent="0.25">
      <c r="A79" s="5">
        <v>44514</v>
      </c>
      <c r="B79">
        <v>2.6781999999999999</v>
      </c>
      <c r="C79">
        <v>3.36</v>
      </c>
      <c r="D79">
        <v>2.6501000000000001</v>
      </c>
      <c r="E79">
        <v>3.0575000000000001</v>
      </c>
      <c r="F79">
        <v>174746828</v>
      </c>
      <c r="G79">
        <v>3.0575000000000001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0.14776729116777046</v>
      </c>
      <c r="Q79">
        <f t="shared" ref="Q79" si="371">F79*P79</f>
        <v>25821865.413720302</v>
      </c>
      <c r="R79">
        <f t="shared" ref="R79" si="372">R80+Q79</f>
        <v>-817524306.17324841</v>
      </c>
      <c r="S79">
        <f t="shared" ref="S79" si="373">R79/100000</f>
        <v>-8175.2430617324844</v>
      </c>
      <c r="T79">
        <f t="shared" ref="T79" si="374">S79/1000</f>
        <v>-8.1752430617324841</v>
      </c>
    </row>
    <row r="80" spans="1:20" x14ac:dyDescent="0.25">
      <c r="A80" s="5">
        <v>44513</v>
      </c>
      <c r="B80">
        <v>3.0375999999999999</v>
      </c>
      <c r="C80">
        <v>3.0882999999999998</v>
      </c>
      <c r="D80">
        <v>2.6173999999999999</v>
      </c>
      <c r="E80">
        <v>2.6781000000000001</v>
      </c>
      <c r="F80">
        <v>83795697</v>
      </c>
      <c r="G80">
        <v>2.6781000000000001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-0.74219579528562241</v>
      </c>
      <c r="Q80">
        <f t="shared" ref="Q80" si="376">F80*P80</f>
        <v>-62192813.976428047</v>
      </c>
      <c r="R80">
        <f t="shared" ref="R80" si="377">R81+Q80</f>
        <v>-843346171.58696866</v>
      </c>
      <c r="S80">
        <f t="shared" ref="S80" si="378">R80/100000</f>
        <v>-8433.4617158696874</v>
      </c>
      <c r="T80">
        <f t="shared" ref="T80" si="379">S80/1000</f>
        <v>-8.4334617158696865</v>
      </c>
    </row>
    <row r="81" spans="1:20" x14ac:dyDescent="0.25">
      <c r="A81" s="5">
        <v>44512</v>
      </c>
      <c r="B81">
        <v>3.2124000000000001</v>
      </c>
      <c r="C81">
        <v>3.5354999999999999</v>
      </c>
      <c r="D81">
        <v>2.847</v>
      </c>
      <c r="E81">
        <v>3.0362</v>
      </c>
      <c r="F81">
        <v>156757714</v>
      </c>
      <c r="G81">
        <v>3.0362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-0.45039941902686981</v>
      </c>
      <c r="Q81">
        <f t="shared" ref="Q81" si="381">F81*P81</f>
        <v>-70603583.313580215</v>
      </c>
      <c r="R81">
        <f t="shared" ref="R81" si="382">R82+Q81</f>
        <v>-781153357.61054063</v>
      </c>
      <c r="S81">
        <f t="shared" ref="S81" si="383">R81/100000</f>
        <v>-7811.5335761054066</v>
      </c>
      <c r="T81">
        <f t="shared" ref="T81" si="384">S81/1000</f>
        <v>-7.8115335761054068</v>
      </c>
    </row>
    <row r="82" spans="1:20" x14ac:dyDescent="0.25">
      <c r="A82" s="5">
        <v>44511</v>
      </c>
      <c r="B82">
        <v>3.0318000000000001</v>
      </c>
      <c r="C82">
        <v>3.7385999999999999</v>
      </c>
      <c r="D82">
        <v>2.9701</v>
      </c>
      <c r="E82">
        <v>3.2136999999999998</v>
      </c>
      <c r="F82">
        <v>282335423</v>
      </c>
      <c r="G82">
        <v>3.2136999999999998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-0.36603773584905702</v>
      </c>
      <c r="Q82">
        <f t="shared" ref="Q82" si="386">F82*P82</f>
        <v>-103345418.98490578</v>
      </c>
      <c r="R82">
        <f t="shared" ref="R82" si="387">R83+Q82</f>
        <v>-710549774.29696035</v>
      </c>
      <c r="S82">
        <f t="shared" ref="S82" si="388">R82/100000</f>
        <v>-7105.4977429696037</v>
      </c>
      <c r="T82">
        <f t="shared" ref="T82" si="389">S82/1000</f>
        <v>-7.1054977429696038</v>
      </c>
    </row>
    <row r="83" spans="1:20" x14ac:dyDescent="0.25">
      <c r="A83" s="5">
        <v>44510</v>
      </c>
      <c r="B83">
        <v>2.9230999999999998</v>
      </c>
      <c r="C83">
        <v>3.85</v>
      </c>
      <c r="D83">
        <v>2.66</v>
      </c>
      <c r="E83">
        <v>3.0347</v>
      </c>
      <c r="F83">
        <v>609401595.39999998</v>
      </c>
      <c r="G83">
        <v>3.0347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-0.37025210084033644</v>
      </c>
      <c r="Q83">
        <f t="shared" ref="Q83" si="391">F83*P83</f>
        <v>-225632220.95230269</v>
      </c>
      <c r="R83">
        <f t="shared" ref="R83" si="392">R84+Q83</f>
        <v>-607204355.31205463</v>
      </c>
      <c r="S83">
        <f t="shared" ref="S83" si="393">R83/100000</f>
        <v>-6072.0435531205467</v>
      </c>
      <c r="T83">
        <f t="shared" ref="T83" si="394">S83/1000</f>
        <v>-6.0720435531205466</v>
      </c>
    </row>
    <row r="84" spans="1:20" x14ac:dyDescent="0.25">
      <c r="A84" s="5">
        <v>44509</v>
      </c>
      <c r="B84">
        <v>2.0448</v>
      </c>
      <c r="C84">
        <v>3.04</v>
      </c>
      <c r="D84">
        <v>2.0068000000000001</v>
      </c>
      <c r="E84">
        <v>2.9241000000000001</v>
      </c>
      <c r="F84">
        <v>624066752.60000002</v>
      </c>
      <c r="G84">
        <v>2.9241000000000001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0.7756484707704222</v>
      </c>
      <c r="Q84">
        <f t="shared" ref="Q84" si="396">F84*P84</f>
        <v>484056422.3128534</v>
      </c>
      <c r="R84">
        <f t="shared" ref="R84" si="397">R85+Q84</f>
        <v>-381572134.35975188</v>
      </c>
      <c r="S84">
        <f t="shared" ref="S84" si="398">R84/100000</f>
        <v>-3815.7213435975186</v>
      </c>
      <c r="T84">
        <f t="shared" ref="T84" si="399">S84/1000</f>
        <v>-3.8157213435975188</v>
      </c>
    </row>
    <row r="85" spans="1:20" x14ac:dyDescent="0.25">
      <c r="A85" s="5">
        <v>44508</v>
      </c>
      <c r="B85">
        <v>1.4802</v>
      </c>
      <c r="C85">
        <v>2.5082</v>
      </c>
      <c r="D85">
        <v>1.4078999999999999</v>
      </c>
      <c r="E85">
        <v>2.0457999999999998</v>
      </c>
      <c r="F85">
        <v>490221917.10000002</v>
      </c>
      <c r="G85">
        <v>2.0457999999999998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0.1595019540125418</v>
      </c>
      <c r="Q85">
        <f t="shared" ref="Q85" si="401">F85*P85</f>
        <v>78191353.677224278</v>
      </c>
      <c r="R85">
        <f t="shared" ref="R85" si="402">R86+Q85</f>
        <v>-865628556.67260528</v>
      </c>
      <c r="S85">
        <f t="shared" ref="S85" si="403">R85/100000</f>
        <v>-8656.2855667260519</v>
      </c>
      <c r="T85">
        <f t="shared" ref="T85" si="404">S85/1000</f>
        <v>-8.6562855667260514</v>
      </c>
    </row>
    <row r="86" spans="1:20" x14ac:dyDescent="0.25">
      <c r="A86" s="5">
        <v>44507</v>
      </c>
      <c r="B86">
        <v>1.2836000000000001</v>
      </c>
      <c r="C86">
        <v>1.5167999999999999</v>
      </c>
      <c r="D86">
        <v>1.2432000000000001</v>
      </c>
      <c r="E86">
        <v>1.4804999999999999</v>
      </c>
      <c r="F86">
        <v>115050056</v>
      </c>
      <c r="G86">
        <v>1.4804999999999999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0.73464912280701744</v>
      </c>
      <c r="Q86">
        <f t="shared" ref="Q86" si="406">F86*P86</f>
        <v>84521422.719298229</v>
      </c>
      <c r="R86">
        <f t="shared" ref="R86" si="407">R87+Q86</f>
        <v>-943819910.34982955</v>
      </c>
      <c r="S86">
        <f t="shared" ref="S86" si="408">R86/100000</f>
        <v>-9438.1991034982948</v>
      </c>
      <c r="T86">
        <f t="shared" ref="T86" si="409">S86/1000</f>
        <v>-9.4381991034982953</v>
      </c>
    </row>
    <row r="87" spans="1:20" x14ac:dyDescent="0.25">
      <c r="A87" s="5">
        <v>44506</v>
      </c>
      <c r="B87">
        <v>1.1829000000000001</v>
      </c>
      <c r="C87">
        <v>1.3560000000000001</v>
      </c>
      <c r="D87">
        <v>1.1660999999999999</v>
      </c>
      <c r="E87">
        <v>1.2841</v>
      </c>
      <c r="F87">
        <v>137738723</v>
      </c>
      <c r="G87">
        <v>1.2841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0.2427593470247498</v>
      </c>
      <c r="Q87">
        <f t="shared" ref="Q87" si="411">F87*P87</f>
        <v>33437362.455502886</v>
      </c>
      <c r="R87">
        <f t="shared" ref="R87" si="412">R88+Q87</f>
        <v>-1028341333.0691278</v>
      </c>
      <c r="S87">
        <f t="shared" ref="S87" si="413">R87/100000</f>
        <v>-10283.413330691277</v>
      </c>
      <c r="T87">
        <f t="shared" ref="T87" si="414">S87/1000</f>
        <v>-10.283413330691276</v>
      </c>
    </row>
    <row r="88" spans="1:20" x14ac:dyDescent="0.25">
      <c r="A88" s="5">
        <v>44505</v>
      </c>
      <c r="B88">
        <v>1.1149</v>
      </c>
      <c r="C88">
        <v>1.4850000000000001</v>
      </c>
      <c r="D88">
        <v>1.0822000000000001</v>
      </c>
      <c r="E88">
        <v>1.1830000000000001</v>
      </c>
      <c r="F88">
        <v>228152107</v>
      </c>
      <c r="G88">
        <v>1.1830000000000001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-0.49950347567030789</v>
      </c>
      <c r="Q88">
        <f t="shared" ref="Q88" si="416">F88*P88</f>
        <v>-113962770.42800398</v>
      </c>
      <c r="R88">
        <f t="shared" ref="R88" si="417">R89+Q88</f>
        <v>-1061778695.5246307</v>
      </c>
      <c r="S88">
        <f t="shared" ref="S88" si="418">R88/100000</f>
        <v>-10617.786955246307</v>
      </c>
      <c r="T88">
        <f t="shared" ref="T88" si="419">S88/1000</f>
        <v>-10.617786955246308</v>
      </c>
    </row>
    <row r="89" spans="1:20" x14ac:dyDescent="0.25">
      <c r="A89" s="5">
        <v>44504</v>
      </c>
      <c r="B89">
        <v>1.1843999999999999</v>
      </c>
      <c r="C89">
        <v>1.3683000000000001</v>
      </c>
      <c r="D89">
        <v>1.06</v>
      </c>
      <c r="E89">
        <v>1.115</v>
      </c>
      <c r="F89">
        <v>160482624</v>
      </c>
      <c r="G89">
        <v>1.115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-0.64320467077521937</v>
      </c>
      <c r="Q89">
        <f t="shared" ref="Q89" si="421">F89*P89</f>
        <v>-103223173.33506332</v>
      </c>
      <c r="R89">
        <f t="shared" ref="R89" si="422">R90+Q89</f>
        <v>-947815925.09662664</v>
      </c>
      <c r="S89">
        <f t="shared" ref="S89" si="423">R89/100000</f>
        <v>-9478.159250966266</v>
      </c>
      <c r="T89">
        <f t="shared" ref="T89" si="424">S89/1000</f>
        <v>-9.4781592509662662</v>
      </c>
    </row>
    <row r="90" spans="1:20" x14ac:dyDescent="0.25">
      <c r="A90" s="5">
        <v>44503</v>
      </c>
      <c r="B90">
        <v>1.4340999999999999</v>
      </c>
      <c r="C90">
        <v>1.58</v>
      </c>
      <c r="D90">
        <v>1.1573</v>
      </c>
      <c r="E90">
        <v>1.1843999999999999</v>
      </c>
      <c r="F90">
        <v>356326709</v>
      </c>
      <c r="G90">
        <v>1.1843999999999999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-0.87177667376389922</v>
      </c>
      <c r="Q90">
        <f t="shared" ref="Q90" si="426">F90*P90</f>
        <v>-310637313.14525688</v>
      </c>
      <c r="R90">
        <f t="shared" ref="R90" si="427">R91+Q90</f>
        <v>-844592751.7615633</v>
      </c>
      <c r="S90">
        <f t="shared" ref="S90" si="428">R90/100000</f>
        <v>-8445.9275176156334</v>
      </c>
      <c r="T90">
        <f t="shared" ref="T90" si="429">S90/1000</f>
        <v>-8.4459275176156332</v>
      </c>
    </row>
    <row r="91" spans="1:20" x14ac:dyDescent="0.25">
      <c r="A91" s="5">
        <v>44502</v>
      </c>
      <c r="B91">
        <v>1.0197000000000001</v>
      </c>
      <c r="C91">
        <v>1.71</v>
      </c>
      <c r="D91">
        <v>0.92749999999999999</v>
      </c>
      <c r="E91">
        <v>1.4340999999999999</v>
      </c>
      <c r="F91">
        <v>887405732.20000005</v>
      </c>
      <c r="G91">
        <v>1.4340999999999999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0.29482428115015963</v>
      </c>
      <c r="Q91">
        <f t="shared" ref="Q91" si="431">F91*P91</f>
        <v>261628757.08439606</v>
      </c>
      <c r="R91">
        <f t="shared" ref="R91" si="432">R92+Q91</f>
        <v>-533955438.61630636</v>
      </c>
      <c r="S91">
        <f t="shared" ref="S91" si="433">R91/100000</f>
        <v>-5339.554386163064</v>
      </c>
      <c r="T91">
        <f t="shared" ref="T91" si="434">S91/1000</f>
        <v>-5.3395543861630639</v>
      </c>
    </row>
    <row r="92" spans="1:20" x14ac:dyDescent="0.25">
      <c r="A92" s="5">
        <v>44501</v>
      </c>
      <c r="B92">
        <v>0.6331</v>
      </c>
      <c r="C92">
        <v>1.1498999999999999</v>
      </c>
      <c r="D92">
        <v>0.61350000000000005</v>
      </c>
      <c r="E92">
        <v>1.0188999999999999</v>
      </c>
      <c r="F92">
        <v>859963803.70000005</v>
      </c>
      <c r="G92">
        <v>1.0188999999999999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0.51155853840417587</v>
      </c>
      <c r="Q92">
        <f t="shared" ref="Q92" si="436">F92*P92</f>
        <v>439921826.50126761</v>
      </c>
      <c r="R92">
        <f t="shared" ref="R92" si="437">R93+Q92</f>
        <v>-795584195.70070243</v>
      </c>
      <c r="S92">
        <f t="shared" ref="S92" si="438">R92/100000</f>
        <v>-7955.8419570070246</v>
      </c>
      <c r="T92">
        <f t="shared" ref="T92" si="439">S92/1000</f>
        <v>-7.9558419570070242</v>
      </c>
    </row>
    <row r="93" spans="1:20" x14ac:dyDescent="0.25">
      <c r="A93" s="5">
        <v>44500</v>
      </c>
      <c r="B93">
        <v>0.5494</v>
      </c>
      <c r="C93">
        <v>0.63719999999999999</v>
      </c>
      <c r="D93">
        <v>0.54090000000000005</v>
      </c>
      <c r="E93">
        <v>0.6321</v>
      </c>
      <c r="F93">
        <v>44116305</v>
      </c>
      <c r="G93">
        <v>0.6321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0.8940809968847353</v>
      </c>
      <c r="Q93">
        <f t="shared" ref="Q93" si="441">F93*P93</f>
        <v>39443549.953271031</v>
      </c>
      <c r="R93">
        <f t="shared" ref="R93" si="442">R94+Q93</f>
        <v>-1235506022.2019701</v>
      </c>
      <c r="S93">
        <f t="shared" ref="S93" si="443">R93/100000</f>
        <v>-12355.060222019702</v>
      </c>
      <c r="T93">
        <f t="shared" ref="T93" si="444">S93/1000</f>
        <v>-12.355060222019702</v>
      </c>
    </row>
    <row r="94" spans="1:20" x14ac:dyDescent="0.25">
      <c r="A94" s="5">
        <v>44499</v>
      </c>
      <c r="B94">
        <v>0.55000000000000004</v>
      </c>
      <c r="C94">
        <v>0.6462</v>
      </c>
      <c r="D94">
        <v>0.53539999999999999</v>
      </c>
      <c r="E94">
        <v>0.54959999999999998</v>
      </c>
      <c r="F94">
        <v>87981752</v>
      </c>
      <c r="G94">
        <v>0.54959999999999998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-0.74368231046931432</v>
      </c>
      <c r="Q94">
        <f t="shared" ref="Q94" si="446">F94*P94</f>
        <v>-65430472.606498219</v>
      </c>
      <c r="R94">
        <f t="shared" ref="R94" si="447">R95+Q94</f>
        <v>-1274949572.155241</v>
      </c>
      <c r="S94">
        <f t="shared" ref="S94" si="448">R94/100000</f>
        <v>-12749.49572155241</v>
      </c>
      <c r="T94">
        <f t="shared" ref="T94" si="449">S94/1000</f>
        <v>-12.74949572155241</v>
      </c>
    </row>
    <row r="95" spans="1:20" x14ac:dyDescent="0.25">
      <c r="A95" s="5">
        <v>44498</v>
      </c>
      <c r="B95">
        <v>0.54079999999999995</v>
      </c>
      <c r="C95">
        <v>0.57740000000000002</v>
      </c>
      <c r="D95">
        <v>0.50029999999999997</v>
      </c>
      <c r="E95">
        <v>0.54930000000000001</v>
      </c>
      <c r="F95">
        <v>92502568</v>
      </c>
      <c r="G95">
        <v>0.54930000000000001</v>
      </c>
      <c r="L95" t="s">
        <v>7</v>
      </c>
      <c r="M95" t="s">
        <v>7</v>
      </c>
      <c r="N95" t="s">
        <v>8</v>
      </c>
      <c r="P95">
        <f t="shared" ref="P95" si="450">IF(C95=D95,0,((E95-D95)-(C95-E95))/(C95-D95))</f>
        <v>0.27107652399481214</v>
      </c>
      <c r="Q95">
        <f t="shared" ref="Q95" si="451">F95*P95</f>
        <v>25075274.59403374</v>
      </c>
      <c r="R95">
        <f t="shared" ref="R95" si="452">R96+Q95</f>
        <v>-1209519099.5487428</v>
      </c>
      <c r="S95">
        <f t="shared" ref="S95" si="453">R95/100000</f>
        <v>-12095.190995487428</v>
      </c>
      <c r="T95">
        <f t="shared" ref="T95" si="454">S95/1000</f>
        <v>-12.095190995487428</v>
      </c>
    </row>
    <row r="96" spans="1:20" x14ac:dyDescent="0.25">
      <c r="A96" s="5">
        <v>44497</v>
      </c>
      <c r="B96">
        <v>0.37359999999999999</v>
      </c>
      <c r="C96">
        <v>0.5917</v>
      </c>
      <c r="D96">
        <v>0.37</v>
      </c>
      <c r="E96">
        <v>0.54090000000000005</v>
      </c>
      <c r="F96">
        <v>197782918</v>
      </c>
      <c r="G96">
        <v>0.54090000000000005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0.54172304916553948</v>
      </c>
      <c r="Q96">
        <f t="shared" ref="Q96" si="456">F96*P96</f>
        <v>107143565.41181786</v>
      </c>
      <c r="R96">
        <f t="shared" ref="R96" si="457">R97+Q96</f>
        <v>-1234594374.1427765</v>
      </c>
      <c r="S96">
        <f t="shared" ref="S96" si="458">R96/100000</f>
        <v>-12345.943741427765</v>
      </c>
      <c r="T96">
        <f t="shared" ref="T96" si="459">S96/1000</f>
        <v>-12.345943741427766</v>
      </c>
    </row>
    <row r="97" spans="1:20" x14ac:dyDescent="0.25">
      <c r="A97" s="5">
        <v>44496</v>
      </c>
      <c r="B97">
        <v>0.42970000000000003</v>
      </c>
      <c r="C97">
        <v>0.4466</v>
      </c>
      <c r="D97">
        <v>0.36349999999999999</v>
      </c>
      <c r="E97">
        <v>0.37280000000000002</v>
      </c>
      <c r="F97">
        <v>28174334</v>
      </c>
      <c r="G97">
        <v>0.37280000000000002</v>
      </c>
      <c r="L97" t="s">
        <v>8</v>
      </c>
      <c r="M97" t="s">
        <v>7</v>
      </c>
      <c r="N97" t="s">
        <v>7</v>
      </c>
      <c r="P97">
        <f t="shared" ref="P97" si="460">IF(C97=D97,0,((E97-D97)-(C97-E97))/(C97-D97))</f>
        <v>-0.77617328519855522</v>
      </c>
      <c r="Q97">
        <f t="shared" ref="Q97" si="461">F97*P97</f>
        <v>-21868165.379061352</v>
      </c>
      <c r="R97">
        <f t="shared" ref="R97" si="462">R98+Q97</f>
        <v>-1341737939.5545943</v>
      </c>
      <c r="S97">
        <f t="shared" ref="S97" si="463">R97/100000</f>
        <v>-13417.379395545942</v>
      </c>
      <c r="T97">
        <f t="shared" ref="T97" si="464">S97/1000</f>
        <v>-13.417379395545943</v>
      </c>
    </row>
    <row r="98" spans="1:20" x14ac:dyDescent="0.25">
      <c r="A98" s="5">
        <v>44495</v>
      </c>
      <c r="B98">
        <v>0.4279</v>
      </c>
      <c r="C98">
        <v>0.441</v>
      </c>
      <c r="D98">
        <v>0.42299999999999999</v>
      </c>
      <c r="E98">
        <v>0.42959999999999998</v>
      </c>
      <c r="F98">
        <v>16324362</v>
      </c>
      <c r="G98">
        <v>0.42959999999999998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-0.26666666666666788</v>
      </c>
      <c r="Q98">
        <f t="shared" ref="Q98" si="466">F98*P98</f>
        <v>-4353163.2000000197</v>
      </c>
      <c r="R98">
        <f t="shared" ref="R98" si="467">R99+Q98</f>
        <v>-1319869774.1755328</v>
      </c>
      <c r="S98">
        <f t="shared" ref="S98" si="468">R98/100000</f>
        <v>-13198.697741755328</v>
      </c>
      <c r="T98">
        <f t="shared" ref="T98" si="469">S98/1000</f>
        <v>-13.198697741755328</v>
      </c>
    </row>
    <row r="99" spans="1:20" x14ac:dyDescent="0.25">
      <c r="A99" s="5">
        <v>44494</v>
      </c>
      <c r="B99">
        <v>0.41549999999999998</v>
      </c>
      <c r="C99">
        <v>0.42930000000000001</v>
      </c>
      <c r="D99">
        <v>0.41310000000000002</v>
      </c>
      <c r="E99">
        <v>0.42759999999999998</v>
      </c>
      <c r="F99">
        <v>6896291</v>
      </c>
      <c r="G99">
        <v>0.42759999999999998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0.79012345679011908</v>
      </c>
      <c r="Q99">
        <f t="shared" ref="Q99" si="471">F99*P99</f>
        <v>5448921.2839505868</v>
      </c>
      <c r="R99">
        <f t="shared" ref="R99" si="472">R100+Q99</f>
        <v>-1315516610.9755328</v>
      </c>
      <c r="S99">
        <f t="shared" ref="S99" si="473">R99/100000</f>
        <v>-13155.166109755328</v>
      </c>
      <c r="T99">
        <f t="shared" ref="T99" si="474">S99/1000</f>
        <v>-13.155166109755328</v>
      </c>
    </row>
    <row r="100" spans="1:20" x14ac:dyDescent="0.25">
      <c r="A100" s="5">
        <v>44493</v>
      </c>
      <c r="B100">
        <v>0.43319999999999997</v>
      </c>
      <c r="C100">
        <v>0.43609999999999999</v>
      </c>
      <c r="D100">
        <v>0.40600000000000003</v>
      </c>
      <c r="E100">
        <v>0.41510000000000002</v>
      </c>
      <c r="F100">
        <v>10202584</v>
      </c>
      <c r="G100">
        <v>0.41510000000000002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-0.39534883720930175</v>
      </c>
      <c r="Q100">
        <f t="shared" ref="Q100" si="476">F100*P100</f>
        <v>-4033579.7209302266</v>
      </c>
      <c r="R100">
        <f t="shared" ref="R100" si="477">R101+Q100</f>
        <v>-1320965532.2594833</v>
      </c>
      <c r="S100">
        <f t="shared" ref="S100" si="478">R100/100000</f>
        <v>-13209.655322594834</v>
      </c>
      <c r="T100">
        <f t="shared" ref="T100" si="479">S100/1000</f>
        <v>-13.209655322594834</v>
      </c>
    </row>
    <row r="101" spans="1:20" x14ac:dyDescent="0.25">
      <c r="A101" s="5">
        <v>44492</v>
      </c>
      <c r="B101">
        <v>0.42620000000000002</v>
      </c>
      <c r="C101">
        <v>0.438</v>
      </c>
      <c r="D101">
        <v>0.42</v>
      </c>
      <c r="E101">
        <v>0.43319999999999997</v>
      </c>
      <c r="F101">
        <v>13731402</v>
      </c>
      <c r="G101">
        <v>0.43319999999999997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0.46666666666666418</v>
      </c>
      <c r="Q101">
        <f t="shared" ref="Q101" si="481">F101*P101</f>
        <v>6407987.5999999661</v>
      </c>
      <c r="R101">
        <f t="shared" ref="R101" si="482">R102+Q101</f>
        <v>-1316931952.538553</v>
      </c>
      <c r="S101">
        <f t="shared" ref="S101" si="483">R101/100000</f>
        <v>-13169.31952538553</v>
      </c>
      <c r="T101">
        <f t="shared" ref="T101" si="484">S101/1000</f>
        <v>-13.16931952538553</v>
      </c>
    </row>
    <row r="102" spans="1:20" x14ac:dyDescent="0.25">
      <c r="A102" s="5">
        <v>44491</v>
      </c>
      <c r="B102">
        <v>0.41460000000000002</v>
      </c>
      <c r="C102">
        <v>0.42899999999999999</v>
      </c>
      <c r="D102">
        <v>0.40560000000000002</v>
      </c>
      <c r="E102">
        <v>0.42620000000000002</v>
      </c>
      <c r="F102">
        <v>13510943</v>
      </c>
      <c r="G102">
        <v>0.42620000000000002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0.76068376068376309</v>
      </c>
      <c r="Q102">
        <f t="shared" ref="Q102" si="486">F102*P102</f>
        <v>10277554.931623964</v>
      </c>
      <c r="R102">
        <f t="shared" ref="R102" si="487">R103+Q102</f>
        <v>-1323339940.1385529</v>
      </c>
      <c r="S102">
        <f t="shared" ref="S102" si="488">R102/100000</f>
        <v>-13233.39940138553</v>
      </c>
      <c r="T102">
        <f t="shared" ref="T102" si="489">S102/1000</f>
        <v>-13.23339940138553</v>
      </c>
    </row>
    <row r="103" spans="1:20" x14ac:dyDescent="0.25">
      <c r="A103" s="5">
        <v>44490</v>
      </c>
      <c r="B103">
        <v>0.43630000000000002</v>
      </c>
      <c r="C103">
        <v>0.44390000000000002</v>
      </c>
      <c r="D103">
        <v>0.41070000000000001</v>
      </c>
      <c r="E103">
        <v>0.41410000000000002</v>
      </c>
      <c r="F103">
        <v>15912905</v>
      </c>
      <c r="G103">
        <v>0.41410000000000002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-0.79518072289156549</v>
      </c>
      <c r="Q103">
        <f t="shared" ref="Q103" si="491">F103*P103</f>
        <v>-12653635.301204806</v>
      </c>
      <c r="R103">
        <f t="shared" ref="R103" si="492">R104+Q103</f>
        <v>-1333617495.0701768</v>
      </c>
      <c r="S103">
        <f t="shared" ref="S103" si="493">R103/100000</f>
        <v>-13336.174950701768</v>
      </c>
      <c r="T103">
        <f t="shared" ref="T103" si="494">S103/1000</f>
        <v>-13.336174950701768</v>
      </c>
    </row>
    <row r="104" spans="1:20" x14ac:dyDescent="0.25">
      <c r="A104" s="5">
        <v>44489</v>
      </c>
      <c r="B104">
        <v>0.42970000000000003</v>
      </c>
      <c r="C104">
        <v>0.44209999999999999</v>
      </c>
      <c r="D104">
        <v>0.42259999999999998</v>
      </c>
      <c r="E104">
        <v>0.436</v>
      </c>
      <c r="F104">
        <v>11306971</v>
      </c>
      <c r="G104">
        <v>0.436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0.37435897435897547</v>
      </c>
      <c r="Q104">
        <f t="shared" ref="Q104" si="496">F104*P104</f>
        <v>4232866.0666666795</v>
      </c>
      <c r="R104">
        <f t="shared" ref="R104" si="497">R105+Q104</f>
        <v>-1320963859.7689719</v>
      </c>
      <c r="S104">
        <f t="shared" ref="S104" si="498">R104/100000</f>
        <v>-13209.63859768972</v>
      </c>
      <c r="T104">
        <f t="shared" ref="T104" si="499">S104/1000</f>
        <v>-13.20963859768972</v>
      </c>
    </row>
    <row r="105" spans="1:20" x14ac:dyDescent="0.25">
      <c r="A105" s="5">
        <v>44488</v>
      </c>
      <c r="B105">
        <v>0.43120000000000003</v>
      </c>
      <c r="C105">
        <v>0.43780000000000002</v>
      </c>
      <c r="D105">
        <v>0.42009999999999997</v>
      </c>
      <c r="E105">
        <v>0.42859999999999998</v>
      </c>
      <c r="F105">
        <v>11766940</v>
      </c>
      <c r="G105">
        <v>0.42859999999999998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-3.9548022598871864E-2</v>
      </c>
      <c r="Q105">
        <f t="shared" ref="Q105" si="501">F105*P105</f>
        <v>-465359.20903956931</v>
      </c>
      <c r="R105">
        <f t="shared" ref="R105" si="502">R106+Q105</f>
        <v>-1325196725.8356385</v>
      </c>
      <c r="S105">
        <f t="shared" ref="S105" si="503">R105/100000</f>
        <v>-13251.967258356386</v>
      </c>
      <c r="T105">
        <f t="shared" ref="T105" si="504">S105/1000</f>
        <v>-13.251967258356386</v>
      </c>
    </row>
    <row r="106" spans="1:20" x14ac:dyDescent="0.25">
      <c r="A106" s="5">
        <v>44487</v>
      </c>
      <c r="B106">
        <v>0.45119999999999999</v>
      </c>
      <c r="C106">
        <v>0.46179999999999999</v>
      </c>
      <c r="D106">
        <v>0.41830000000000001</v>
      </c>
      <c r="E106">
        <v>0.43140000000000001</v>
      </c>
      <c r="F106">
        <v>27869023</v>
      </c>
      <c r="G106">
        <v>0.43140000000000001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-0.39770114942528711</v>
      </c>
      <c r="Q106">
        <f t="shared" ref="Q106" si="506">F106*P106</f>
        <v>-11083542.480459763</v>
      </c>
      <c r="R106">
        <f t="shared" ref="R106" si="507">R107+Q106</f>
        <v>-1324731366.6265988</v>
      </c>
      <c r="S106">
        <f t="shared" ref="S106" si="508">R106/100000</f>
        <v>-13247.313666265989</v>
      </c>
      <c r="T106">
        <f t="shared" ref="T106" si="509">S106/1000</f>
        <v>-13.247313666265988</v>
      </c>
    </row>
    <row r="107" spans="1:20" x14ac:dyDescent="0.25">
      <c r="A107" s="5">
        <v>44486</v>
      </c>
      <c r="B107">
        <v>0.4209</v>
      </c>
      <c r="C107">
        <v>0.51700000000000002</v>
      </c>
      <c r="D107">
        <v>0.41320000000000001</v>
      </c>
      <c r="E107">
        <v>0.45119999999999999</v>
      </c>
      <c r="F107">
        <v>90861948</v>
      </c>
      <c r="G107">
        <v>0.45119999999999999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-0.26782273603082896</v>
      </c>
      <c r="Q107">
        <f t="shared" ref="Q107" si="511">F107*P107</f>
        <v>-24334895.514450908</v>
      </c>
      <c r="R107">
        <f t="shared" ref="R107" si="512">R108+Q107</f>
        <v>-1313647824.1461391</v>
      </c>
      <c r="S107">
        <f t="shared" ref="S107" si="513">R107/100000</f>
        <v>-13136.478241461391</v>
      </c>
      <c r="T107">
        <f t="shared" ref="T107" si="514">S107/1000</f>
        <v>-13.136478241461392</v>
      </c>
    </row>
    <row r="108" spans="1:20" x14ac:dyDescent="0.25">
      <c r="A108" s="5">
        <v>44485</v>
      </c>
      <c r="B108">
        <v>0.41399999999999998</v>
      </c>
      <c r="C108">
        <v>0.45839999999999997</v>
      </c>
      <c r="D108">
        <v>0.41089999999999999</v>
      </c>
      <c r="E108">
        <v>0.42070000000000002</v>
      </c>
      <c r="F108">
        <v>49588945</v>
      </c>
      <c r="G108">
        <v>0.42070000000000002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-0.58736842105263021</v>
      </c>
      <c r="Q108">
        <f t="shared" ref="Q108" si="516">F108*P108</f>
        <v>-29126980.32631572</v>
      </c>
      <c r="R108">
        <f t="shared" ref="R108" si="517">R109+Q108</f>
        <v>-1289312928.6316884</v>
      </c>
      <c r="S108">
        <f t="shared" ref="S108" si="518">R108/100000</f>
        <v>-12893.129286316884</v>
      </c>
      <c r="T108">
        <f t="shared" ref="T108" si="519">S108/1000</f>
        <v>-12.893129286316883</v>
      </c>
    </row>
    <row r="109" spans="1:20" x14ac:dyDescent="0.25">
      <c r="A109" s="5">
        <v>44484</v>
      </c>
      <c r="B109">
        <v>0.37959999999999999</v>
      </c>
      <c r="C109">
        <v>0.5</v>
      </c>
      <c r="D109">
        <v>0.37</v>
      </c>
      <c r="E109">
        <v>0.41449999999999998</v>
      </c>
      <c r="F109">
        <v>113554140</v>
      </c>
      <c r="G109">
        <v>0.41449999999999998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-0.31538461538461565</v>
      </c>
      <c r="Q109">
        <f t="shared" ref="Q109" si="521">F109*P109</f>
        <v>-35813228.769230798</v>
      </c>
      <c r="R109">
        <f t="shared" ref="R109" si="522">R110+Q109</f>
        <v>-1260185948.3053727</v>
      </c>
      <c r="S109">
        <f t="shared" ref="S109" si="523">R109/100000</f>
        <v>-12601.859483053728</v>
      </c>
      <c r="T109">
        <f t="shared" ref="T109" si="524">S109/1000</f>
        <v>-12.601859483053728</v>
      </c>
    </row>
    <row r="110" spans="1:20" x14ac:dyDescent="0.25">
      <c r="A110" s="5">
        <v>44483</v>
      </c>
      <c r="B110">
        <v>0.38219999999999998</v>
      </c>
      <c r="C110">
        <v>0.39550000000000002</v>
      </c>
      <c r="D110">
        <v>0.37540000000000001</v>
      </c>
      <c r="E110">
        <v>0.37940000000000002</v>
      </c>
      <c r="F110">
        <v>8709209</v>
      </c>
      <c r="G110">
        <v>0.37940000000000002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-0.60199004975124359</v>
      </c>
      <c r="Q110">
        <f t="shared" ref="Q110" si="526">F110*P110</f>
        <v>-5242857.1592039783</v>
      </c>
      <c r="R110">
        <f t="shared" ref="R110" si="527">R111+Q110</f>
        <v>-1224372719.5361419</v>
      </c>
      <c r="S110">
        <f t="shared" ref="S110" si="528">R110/100000</f>
        <v>-12243.727195361418</v>
      </c>
      <c r="T110">
        <f t="shared" ref="T110" si="529">S110/1000</f>
        <v>-12.243727195361418</v>
      </c>
    </row>
    <row r="111" spans="1:20" x14ac:dyDescent="0.25">
      <c r="A111" s="5">
        <v>44482</v>
      </c>
      <c r="B111">
        <v>0.37240000000000001</v>
      </c>
      <c r="C111">
        <v>0.38250000000000001</v>
      </c>
      <c r="D111">
        <v>0.36370000000000002</v>
      </c>
      <c r="E111">
        <v>0.38179999999999997</v>
      </c>
      <c r="F111">
        <v>9877063</v>
      </c>
      <c r="G111">
        <v>0.38179999999999997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0.92553191489361331</v>
      </c>
      <c r="Q111">
        <f t="shared" ref="Q111" si="531">F111*P111</f>
        <v>9141537.0319148563</v>
      </c>
      <c r="R111">
        <f t="shared" ref="R111" si="532">R112+Q111</f>
        <v>-1219129862.3769379</v>
      </c>
      <c r="S111">
        <f t="shared" ref="S111" si="533">R111/100000</f>
        <v>-12191.298623769379</v>
      </c>
      <c r="T111">
        <f t="shared" ref="T111" si="534">S111/1000</f>
        <v>-12.191298623769379</v>
      </c>
    </row>
    <row r="112" spans="1:20" x14ac:dyDescent="0.25">
      <c r="A112" s="5">
        <v>44481</v>
      </c>
      <c r="B112">
        <v>0.36909999999999998</v>
      </c>
      <c r="C112">
        <v>0.37690000000000001</v>
      </c>
      <c r="D112">
        <v>0.3483</v>
      </c>
      <c r="E112">
        <v>0.37269999999999998</v>
      </c>
      <c r="F112">
        <v>14124392</v>
      </c>
      <c r="G112">
        <v>0.37269999999999998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0.7062937062937038</v>
      </c>
      <c r="Q112">
        <f t="shared" ref="Q112" si="536">F112*P112</f>
        <v>9975969.1748251393</v>
      </c>
      <c r="R112">
        <f t="shared" ref="R112" si="537">R113+Q112</f>
        <v>-1228271399.4088528</v>
      </c>
      <c r="S112">
        <f t="shared" ref="S112" si="538">R112/100000</f>
        <v>-12282.713994088528</v>
      </c>
      <c r="T112">
        <f t="shared" ref="T112" si="539">S112/1000</f>
        <v>-12.282713994088528</v>
      </c>
    </row>
    <row r="113" spans="1:20" x14ac:dyDescent="0.25">
      <c r="A113" s="5">
        <v>44480</v>
      </c>
      <c r="B113">
        <v>0.38300000000000001</v>
      </c>
      <c r="C113">
        <v>0.38940000000000002</v>
      </c>
      <c r="D113">
        <v>0.36</v>
      </c>
      <c r="E113">
        <v>0.36940000000000001</v>
      </c>
      <c r="F113">
        <v>21517869</v>
      </c>
      <c r="G113">
        <v>0.36940000000000001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-0.36054421768707434</v>
      </c>
      <c r="Q113">
        <f t="shared" ref="Q113" si="541">F113*P113</f>
        <v>-7758143.2448979486</v>
      </c>
      <c r="R113">
        <f t="shared" ref="R113" si="542">R114+Q113</f>
        <v>-1238247368.583678</v>
      </c>
      <c r="S113">
        <f t="shared" ref="S113" si="543">R113/100000</f>
        <v>-12382.47368583678</v>
      </c>
      <c r="T113">
        <f t="shared" ref="T113" si="544">S113/1000</f>
        <v>-12.38247368583678</v>
      </c>
    </row>
    <row r="114" spans="1:20" x14ac:dyDescent="0.25">
      <c r="A114" s="5">
        <v>44479</v>
      </c>
      <c r="B114">
        <v>0.41060000000000002</v>
      </c>
      <c r="C114">
        <v>0.41760000000000003</v>
      </c>
      <c r="D114">
        <v>0.38030000000000003</v>
      </c>
      <c r="E114">
        <v>0.38319999999999999</v>
      </c>
      <c r="F114">
        <v>12975100</v>
      </c>
      <c r="G114">
        <v>0.38319999999999999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-0.84450402144772341</v>
      </c>
      <c r="Q114">
        <f t="shared" ref="Q114" si="546">F114*P114</f>
        <v>-10957524.128686355</v>
      </c>
      <c r="R114">
        <f t="shared" ref="R114" si="547">R115+Q114</f>
        <v>-1230489225.3387802</v>
      </c>
      <c r="S114">
        <f t="shared" ref="S114" si="548">R114/100000</f>
        <v>-12304.892253387801</v>
      </c>
      <c r="T114">
        <f t="shared" ref="T114" si="549">S114/1000</f>
        <v>-12.304892253387802</v>
      </c>
    </row>
    <row r="115" spans="1:20" x14ac:dyDescent="0.25">
      <c r="A115" s="5">
        <v>44478</v>
      </c>
      <c r="B115">
        <v>0.40189999999999998</v>
      </c>
      <c r="C115">
        <v>0.43</v>
      </c>
      <c r="D115">
        <v>0.39560000000000001</v>
      </c>
      <c r="E115">
        <v>0.41039999999999999</v>
      </c>
      <c r="F115">
        <v>19236682</v>
      </c>
      <c r="G115">
        <v>0.41039999999999999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-0.13953488372093106</v>
      </c>
      <c r="Q115">
        <f t="shared" ref="Q115" si="551">F115*P115</f>
        <v>-2684188.1860465277</v>
      </c>
      <c r="R115">
        <f t="shared" ref="R115" si="552">R116+Q115</f>
        <v>-1219531701.2100937</v>
      </c>
      <c r="S115">
        <f t="shared" ref="S115" si="553">R115/100000</f>
        <v>-12195.317012100937</v>
      </c>
      <c r="T115">
        <f t="shared" ref="T115" si="554">S115/1000</f>
        <v>-12.195317012100936</v>
      </c>
    </row>
    <row r="116" spans="1:20" x14ac:dyDescent="0.25">
      <c r="A116" s="5">
        <v>44477</v>
      </c>
      <c r="B116">
        <v>0.39550000000000002</v>
      </c>
      <c r="C116">
        <v>0.41909999999999997</v>
      </c>
      <c r="D116">
        <v>0.38840000000000002</v>
      </c>
      <c r="E116">
        <v>0.4017</v>
      </c>
      <c r="F116">
        <v>33938921</v>
      </c>
      <c r="G116">
        <v>0.4017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-0.13355048859934851</v>
      </c>
      <c r="Q116">
        <f t="shared" ref="Q116" si="556">F116*P116</f>
        <v>-4532559.4820846897</v>
      </c>
      <c r="R116">
        <f t="shared" ref="R116" si="557">R117+Q116</f>
        <v>-1216847513.0240471</v>
      </c>
      <c r="S116">
        <f t="shared" ref="S116" si="558">R116/100000</f>
        <v>-12168.475130240471</v>
      </c>
      <c r="T116">
        <f t="shared" ref="T116" si="559">S116/1000</f>
        <v>-12.168475130240472</v>
      </c>
    </row>
    <row r="117" spans="1:20" x14ac:dyDescent="0.25">
      <c r="A117" s="5">
        <v>44476</v>
      </c>
      <c r="B117">
        <v>0.39290000000000003</v>
      </c>
      <c r="C117">
        <v>0.40100000000000002</v>
      </c>
      <c r="D117">
        <v>0.38340000000000002</v>
      </c>
      <c r="E117">
        <v>0.39479999999999998</v>
      </c>
      <c r="F117">
        <v>15750568</v>
      </c>
      <c r="G117">
        <v>0.39479999999999998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0.29545454545454125</v>
      </c>
      <c r="Q117">
        <f t="shared" ref="Q117" si="561">F117*P117</f>
        <v>4653576.9090908431</v>
      </c>
      <c r="R117">
        <f t="shared" ref="R117" si="562">R118+Q117</f>
        <v>-1212314953.5419624</v>
      </c>
      <c r="S117">
        <f t="shared" ref="S117" si="563">R117/100000</f>
        <v>-12123.149535419623</v>
      </c>
      <c r="T117">
        <f t="shared" ref="T117" si="564">S117/1000</f>
        <v>-12.123149535419623</v>
      </c>
    </row>
    <row r="118" spans="1:20" x14ac:dyDescent="0.25">
      <c r="A118" s="5">
        <v>44475</v>
      </c>
      <c r="B118">
        <v>0.40889999999999999</v>
      </c>
      <c r="C118">
        <v>0.4128</v>
      </c>
      <c r="D118">
        <v>0.38030000000000003</v>
      </c>
      <c r="E118">
        <v>0.3926</v>
      </c>
      <c r="F118">
        <v>22592805</v>
      </c>
      <c r="G118">
        <v>0.3926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-0.24307692307692383</v>
      </c>
      <c r="Q118">
        <f t="shared" ref="Q118" si="566">F118*P118</f>
        <v>-5491789.5230769403</v>
      </c>
      <c r="R118">
        <f t="shared" ref="R118" si="567">R119+Q118</f>
        <v>-1216968530.4510531</v>
      </c>
      <c r="S118">
        <f t="shared" ref="S118" si="568">R118/100000</f>
        <v>-12169.685304510531</v>
      </c>
      <c r="T118">
        <f t="shared" ref="T118" si="569">S118/1000</f>
        <v>-12.16968530451053</v>
      </c>
    </row>
    <row r="119" spans="1:20" x14ac:dyDescent="0.25">
      <c r="A119" s="5">
        <v>44474</v>
      </c>
      <c r="B119">
        <v>0.3997</v>
      </c>
      <c r="C119">
        <v>0.41499999999999998</v>
      </c>
      <c r="D119">
        <v>0.39579999999999999</v>
      </c>
      <c r="E119">
        <v>0.40910000000000002</v>
      </c>
      <c r="F119">
        <v>19967505</v>
      </c>
      <c r="G119">
        <v>0.40910000000000002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0.38541666666667057</v>
      </c>
      <c r="Q119">
        <f t="shared" ref="Q119" si="571">F119*P119</f>
        <v>7695809.2187500782</v>
      </c>
      <c r="R119">
        <f t="shared" ref="R119" si="572">R120+Q119</f>
        <v>-1211476740.9279761</v>
      </c>
      <c r="S119">
        <f t="shared" ref="S119" si="573">R119/100000</f>
        <v>-12114.767409279761</v>
      </c>
      <c r="T119">
        <f t="shared" ref="T119" si="574">S119/1000</f>
        <v>-12.114767409279761</v>
      </c>
    </row>
    <row r="120" spans="1:20" x14ac:dyDescent="0.25">
      <c r="A120" s="5">
        <v>44473</v>
      </c>
      <c r="B120">
        <v>0.41170000000000001</v>
      </c>
      <c r="C120">
        <v>0.41170000000000001</v>
      </c>
      <c r="D120">
        <v>0.3826</v>
      </c>
      <c r="E120">
        <v>0.40179999999999999</v>
      </c>
      <c r="F120">
        <v>23861760</v>
      </c>
      <c r="G120">
        <v>0.40179999999999999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0.31958762886597836</v>
      </c>
      <c r="Q120">
        <f t="shared" ref="Q120" si="576">F120*P120</f>
        <v>7625923.2989690481</v>
      </c>
      <c r="R120">
        <f t="shared" ref="R120" si="577">R121+Q120</f>
        <v>-1219172550.1467261</v>
      </c>
      <c r="S120">
        <f t="shared" ref="S120" si="578">R120/100000</f>
        <v>-12191.725501467261</v>
      </c>
      <c r="T120">
        <f t="shared" ref="T120" si="579">S120/1000</f>
        <v>-12.191725501467261</v>
      </c>
    </row>
    <row r="121" spans="1:20" x14ac:dyDescent="0.25">
      <c r="A121" s="5">
        <v>44472</v>
      </c>
      <c r="B121">
        <v>0.39710000000000001</v>
      </c>
      <c r="C121">
        <v>0.4299</v>
      </c>
      <c r="D121">
        <v>0.38850000000000001</v>
      </c>
      <c r="E121">
        <v>0.4098</v>
      </c>
      <c r="F121">
        <v>40715998</v>
      </c>
      <c r="G121">
        <v>0.4098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2.8985507246376305E-2</v>
      </c>
      <c r="Q121">
        <f t="shared" ref="Q121" si="581">F121*P121</f>
        <v>1180173.8550724431</v>
      </c>
      <c r="R121">
        <f t="shared" ref="R121" si="582">R122+Q121</f>
        <v>-1226798473.4456952</v>
      </c>
      <c r="S121">
        <f t="shared" ref="S121" si="583">R121/100000</f>
        <v>-12267.984734456952</v>
      </c>
      <c r="T121">
        <f t="shared" ref="T121" si="584">S121/1000</f>
        <v>-12.267984734456952</v>
      </c>
    </row>
    <row r="122" spans="1:20" x14ac:dyDescent="0.25">
      <c r="A122" s="5">
        <v>44471</v>
      </c>
      <c r="B122">
        <v>0.38850000000000001</v>
      </c>
      <c r="C122">
        <v>0.41099999999999998</v>
      </c>
      <c r="D122">
        <v>0.3841</v>
      </c>
      <c r="E122">
        <v>0.3972</v>
      </c>
      <c r="F122">
        <v>22363816</v>
      </c>
      <c r="G122">
        <v>0.3972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-2.6022304832712971E-2</v>
      </c>
      <c r="Q122">
        <f t="shared" ref="Q122" si="586">F122*P122</f>
        <v>-581958.03717470367</v>
      </c>
      <c r="R122">
        <f t="shared" ref="R122" si="587">R123+Q122</f>
        <v>-1227978647.3007677</v>
      </c>
      <c r="S122">
        <f t="shared" ref="S122" si="588">R122/100000</f>
        <v>-12279.786473007676</v>
      </c>
      <c r="T122">
        <f t="shared" ref="T122" si="589">S122/1000</f>
        <v>-12.279786473007677</v>
      </c>
    </row>
    <row r="123" spans="1:20" x14ac:dyDescent="0.25">
      <c r="A123" s="5">
        <v>44470</v>
      </c>
      <c r="B123">
        <v>0.36559999999999998</v>
      </c>
      <c r="C123">
        <v>0.39069999999999999</v>
      </c>
      <c r="D123">
        <v>0.36380000000000001</v>
      </c>
      <c r="E123">
        <v>0.38819999999999999</v>
      </c>
      <c r="F123">
        <v>23549950</v>
      </c>
      <c r="G123">
        <v>0.38819999999999999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0.81412639405204434</v>
      </c>
      <c r="Q123">
        <f t="shared" ref="Q123" si="591">F123*P123</f>
        <v>19172635.87360594</v>
      </c>
      <c r="R123">
        <f t="shared" ref="R123" si="592">R124+Q123</f>
        <v>-1227396689.263593</v>
      </c>
      <c r="S123">
        <f t="shared" ref="S123" si="593">R123/100000</f>
        <v>-12273.96689263593</v>
      </c>
      <c r="T123">
        <f t="shared" ref="T123" si="594">S123/1000</f>
        <v>-12.273966892635929</v>
      </c>
    </row>
    <row r="124" spans="1:20" x14ac:dyDescent="0.25">
      <c r="A124" s="5">
        <v>44469</v>
      </c>
      <c r="B124">
        <v>0.35489999999999999</v>
      </c>
      <c r="C124">
        <v>0.37219999999999998</v>
      </c>
      <c r="D124">
        <v>0.35370000000000001</v>
      </c>
      <c r="E124">
        <v>0.36549999999999999</v>
      </c>
      <c r="F124">
        <v>10679563</v>
      </c>
      <c r="G124">
        <v>0.36549999999999999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0.27567567567567591</v>
      </c>
      <c r="Q124">
        <f t="shared" ref="Q124" si="596">F124*P124</f>
        <v>2944095.7459459486</v>
      </c>
      <c r="R124">
        <f t="shared" ref="R124" si="597">R125+Q124</f>
        <v>-1246569325.1371989</v>
      </c>
      <c r="S124">
        <f t="shared" ref="S124" si="598">R124/100000</f>
        <v>-12465.693251371989</v>
      </c>
      <c r="T124">
        <f t="shared" ref="T124" si="599">S124/1000</f>
        <v>-12.46569325137199</v>
      </c>
    </row>
    <row r="125" spans="1:20" x14ac:dyDescent="0.25">
      <c r="A125" s="5">
        <v>44468</v>
      </c>
      <c r="B125">
        <v>0.3513</v>
      </c>
      <c r="C125">
        <v>0.36709999999999998</v>
      </c>
      <c r="D125">
        <v>0.35</v>
      </c>
      <c r="E125">
        <v>0.3548</v>
      </c>
      <c r="F125">
        <v>11644480</v>
      </c>
      <c r="G125">
        <v>0.3548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-0.43859649122806721</v>
      </c>
      <c r="Q125">
        <f t="shared" ref="Q125" si="601">F125*P125</f>
        <v>-5107228.0701754037</v>
      </c>
      <c r="R125">
        <f t="shared" ref="R125" si="602">R126+Q125</f>
        <v>-1249513420.8831449</v>
      </c>
      <c r="S125">
        <f t="shared" ref="S125" si="603">R125/100000</f>
        <v>-12495.134208831449</v>
      </c>
      <c r="T125">
        <f t="shared" ref="T125" si="604">S125/1000</f>
        <v>-12.495134208831448</v>
      </c>
    </row>
    <row r="126" spans="1:20" x14ac:dyDescent="0.25">
      <c r="A126" s="5">
        <v>44467</v>
      </c>
      <c r="B126">
        <v>0.36559999999999998</v>
      </c>
      <c r="C126">
        <v>0.37309999999999999</v>
      </c>
      <c r="D126">
        <v>0.34810000000000002</v>
      </c>
      <c r="E126">
        <v>0.35139999999999999</v>
      </c>
      <c r="F126">
        <v>16274967.9</v>
      </c>
      <c r="G126">
        <v>0.35139999999999999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-0.7360000000000021</v>
      </c>
      <c r="Q126">
        <f t="shared" ref="Q126" si="606">F126*P126</f>
        <v>-11978376.374400035</v>
      </c>
      <c r="R126">
        <f t="shared" ref="R126" si="607">R127+Q126</f>
        <v>-1244406192.8129694</v>
      </c>
      <c r="S126">
        <f t="shared" ref="S126" si="608">R126/100000</f>
        <v>-12444.061928129695</v>
      </c>
      <c r="T126">
        <f t="shared" ref="T126" si="609">S126/1000</f>
        <v>-12.444061928129695</v>
      </c>
    </row>
    <row r="127" spans="1:20" x14ac:dyDescent="0.25">
      <c r="A127" s="5">
        <v>44466</v>
      </c>
      <c r="B127">
        <v>0.36919999999999997</v>
      </c>
      <c r="C127">
        <v>0.38369999999999999</v>
      </c>
      <c r="D127">
        <v>0.3649</v>
      </c>
      <c r="E127">
        <v>0.36570000000000003</v>
      </c>
      <c r="F127">
        <v>19875969</v>
      </c>
      <c r="G127">
        <v>0.36570000000000003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-0.91489361702127403</v>
      </c>
      <c r="Q127">
        <f t="shared" ref="Q127" si="611">F127*P127</f>
        <v>-18184397.170212716</v>
      </c>
      <c r="R127">
        <f t="shared" ref="R127" si="612">R128+Q127</f>
        <v>-1232427816.4385693</v>
      </c>
      <c r="S127">
        <f t="shared" ref="S127" si="613">R127/100000</f>
        <v>-12324.278164385692</v>
      </c>
      <c r="T127">
        <f t="shared" ref="T127" si="614">S127/1000</f>
        <v>-12.324278164385692</v>
      </c>
    </row>
    <row r="128" spans="1:20" x14ac:dyDescent="0.25">
      <c r="A128" s="5">
        <v>44465</v>
      </c>
      <c r="B128">
        <v>0.38469999999999999</v>
      </c>
      <c r="C128">
        <v>0.38629999999999998</v>
      </c>
      <c r="D128">
        <v>0.35270000000000001</v>
      </c>
      <c r="E128">
        <v>0.36940000000000001</v>
      </c>
      <c r="F128">
        <v>30677932.300000001</v>
      </c>
      <c r="G128">
        <v>0.36940000000000001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-5.9523809523803033E-3</v>
      </c>
      <c r="Q128">
        <f t="shared" ref="Q128" si="616">F128*P128</f>
        <v>-182606.73988093247</v>
      </c>
      <c r="R128">
        <f t="shared" ref="R128" si="617">R129+Q128</f>
        <v>-1214243419.2683566</v>
      </c>
      <c r="S128">
        <f t="shared" ref="S128" si="618">R128/100000</f>
        <v>-12142.434192683566</v>
      </c>
      <c r="T128">
        <f t="shared" ref="T128" si="619">S128/1000</f>
        <v>-12.142434192683567</v>
      </c>
    </row>
    <row r="129" spans="1:20" x14ac:dyDescent="0.25">
      <c r="A129" s="5">
        <v>44464</v>
      </c>
      <c r="B129">
        <v>0.37990000000000002</v>
      </c>
      <c r="C129">
        <v>0.39240000000000003</v>
      </c>
      <c r="D129">
        <v>0.36959999999999998</v>
      </c>
      <c r="E129">
        <v>0.38469999999999999</v>
      </c>
      <c r="F129">
        <v>16257410</v>
      </c>
      <c r="G129">
        <v>0.38469999999999999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0.32456140350876966</v>
      </c>
      <c r="Q129">
        <f t="shared" ref="Q129" si="621">F129*P129</f>
        <v>5276527.807017507</v>
      </c>
      <c r="R129">
        <f t="shared" ref="R129" si="622">R130+Q129</f>
        <v>-1214060812.5284755</v>
      </c>
      <c r="S129">
        <f t="shared" ref="S129" si="623">R129/100000</f>
        <v>-12140.608125284754</v>
      </c>
      <c r="T129">
        <f t="shared" ref="T129" si="624">S129/1000</f>
        <v>-12.140608125284754</v>
      </c>
    </row>
    <row r="130" spans="1:20" x14ac:dyDescent="0.25">
      <c r="A130" s="5">
        <v>44463</v>
      </c>
      <c r="B130">
        <v>0.41060000000000002</v>
      </c>
      <c r="C130">
        <v>0.41210000000000002</v>
      </c>
      <c r="D130">
        <v>0.36780000000000002</v>
      </c>
      <c r="E130">
        <v>0.38</v>
      </c>
      <c r="F130">
        <v>29765286</v>
      </c>
      <c r="G130">
        <v>0.38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-0.4492099322799103</v>
      </c>
      <c r="Q130">
        <f t="shared" ref="Q130" si="626">F130*P130</f>
        <v>-13370862.108352162</v>
      </c>
      <c r="R130">
        <f t="shared" ref="R130" si="627">R131+Q130</f>
        <v>-1219337340.3354931</v>
      </c>
      <c r="S130">
        <f t="shared" ref="S130" si="628">R130/100000</f>
        <v>-12193.373403354932</v>
      </c>
      <c r="T130">
        <f t="shared" ref="T130" si="629">S130/1000</f>
        <v>-12.193373403354931</v>
      </c>
    </row>
    <row r="131" spans="1:20" x14ac:dyDescent="0.25">
      <c r="A131" s="5">
        <v>44462</v>
      </c>
      <c r="B131">
        <v>0.41039999999999999</v>
      </c>
      <c r="C131">
        <v>0.41599999999999998</v>
      </c>
      <c r="D131">
        <v>0.39639999999999997</v>
      </c>
      <c r="E131">
        <v>0.41089999999999999</v>
      </c>
      <c r="F131">
        <v>15116871</v>
      </c>
      <c r="G131">
        <v>0.41089999999999999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0.47959183673469474</v>
      </c>
      <c r="Q131">
        <f t="shared" ref="Q131" si="631">F131*P131</f>
        <v>7249927.9285714412</v>
      </c>
      <c r="R131">
        <f t="shared" ref="R131" si="632">R132+Q131</f>
        <v>-1205966478.2271409</v>
      </c>
      <c r="S131">
        <f t="shared" ref="S131" si="633">R131/100000</f>
        <v>-12059.664782271409</v>
      </c>
      <c r="T131">
        <f t="shared" ref="T131" si="634">S131/1000</f>
        <v>-12.05966478227141</v>
      </c>
    </row>
    <row r="132" spans="1:20" x14ac:dyDescent="0.25">
      <c r="A132" s="5">
        <v>44461</v>
      </c>
      <c r="B132">
        <v>0.377</v>
      </c>
      <c r="C132">
        <v>0.41120000000000001</v>
      </c>
      <c r="D132">
        <v>0.36899999999999999</v>
      </c>
      <c r="E132">
        <v>0.41039999999999999</v>
      </c>
      <c r="F132">
        <v>21425599</v>
      </c>
      <c r="G132">
        <v>0.41039999999999999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0.96208530805687098</v>
      </c>
      <c r="Q132">
        <f t="shared" ref="Q132" si="636">F132*P132</f>
        <v>20613254.014217988</v>
      </c>
      <c r="R132">
        <f t="shared" ref="R132" si="637">R133+Q132</f>
        <v>-1213216406.1557124</v>
      </c>
      <c r="S132">
        <f t="shared" ref="S132" si="638">R132/100000</f>
        <v>-12132.164061557123</v>
      </c>
      <c r="T132">
        <f t="shared" ref="T132" si="639">S132/1000</f>
        <v>-12.132164061557123</v>
      </c>
    </row>
    <row r="133" spans="1:20" x14ac:dyDescent="0.25">
      <c r="A133" s="5">
        <v>44460</v>
      </c>
      <c r="B133">
        <v>0.40129999999999999</v>
      </c>
      <c r="C133">
        <v>0.4153</v>
      </c>
      <c r="D133">
        <v>0.36730000000000002</v>
      </c>
      <c r="E133">
        <v>0.37669999999999998</v>
      </c>
      <c r="F133">
        <v>29822629.600000001</v>
      </c>
      <c r="G133">
        <v>0.37669999999999998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-0.60833333333333472</v>
      </c>
      <c r="Q133">
        <f t="shared" ref="Q133" si="641">F133*P133</f>
        <v>-18142099.673333377</v>
      </c>
      <c r="R133">
        <f t="shared" ref="R133" si="642">R134+Q133</f>
        <v>-1233829660.1699305</v>
      </c>
      <c r="S133">
        <f t="shared" ref="S133" si="643">R133/100000</f>
        <v>-12338.296601699305</v>
      </c>
      <c r="T133">
        <f t="shared" ref="T133" si="644">S133/1000</f>
        <v>-12.338296601699305</v>
      </c>
    </row>
    <row r="134" spans="1:20" x14ac:dyDescent="0.25">
      <c r="A134" s="5">
        <v>44459</v>
      </c>
      <c r="B134">
        <v>0.45050000000000001</v>
      </c>
      <c r="C134">
        <v>0.4521</v>
      </c>
      <c r="D134">
        <v>0.41110000000000002</v>
      </c>
      <c r="E134">
        <v>0.4214</v>
      </c>
      <c r="F134">
        <v>20679659</v>
      </c>
      <c r="G134">
        <v>0.4214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-0.49756097560975704</v>
      </c>
      <c r="Q134">
        <f t="shared" ref="Q134" si="646">F134*P134</f>
        <v>-10289391.307317093</v>
      </c>
      <c r="R134">
        <f t="shared" ref="R134" si="647">R135+Q134</f>
        <v>-1215687560.4965971</v>
      </c>
      <c r="S134">
        <f t="shared" ref="S134" si="648">R134/100000</f>
        <v>-12156.87560496597</v>
      </c>
      <c r="T134">
        <f t="shared" ref="T134" si="649">S134/1000</f>
        <v>-12.15687560496597</v>
      </c>
    </row>
    <row r="135" spans="1:20" x14ac:dyDescent="0.25">
      <c r="A135" s="5">
        <v>44458</v>
      </c>
      <c r="B135">
        <v>0.45939999999999998</v>
      </c>
      <c r="C135">
        <v>0.47160000000000002</v>
      </c>
      <c r="D135">
        <v>0.44540000000000002</v>
      </c>
      <c r="E135">
        <v>0.44990000000000002</v>
      </c>
      <c r="F135">
        <v>24084867</v>
      </c>
      <c r="G135">
        <v>0.44990000000000002</v>
      </c>
      <c r="L135" t="s">
        <v>7</v>
      </c>
      <c r="M135" t="s">
        <v>8</v>
      </c>
      <c r="N135" t="s">
        <v>8</v>
      </c>
      <c r="P135">
        <f t="shared" ref="P135" si="650">IF(C135=D135,0,((E135-D135)-(C135-E135))/(C135-D135))</f>
        <v>-0.65648854961832037</v>
      </c>
      <c r="Q135">
        <f t="shared" ref="Q135" si="651">F135*P135</f>
        <v>-15811439.404580146</v>
      </c>
      <c r="R135">
        <f t="shared" ref="R135" si="652">R136+Q135</f>
        <v>-1205398169.18928</v>
      </c>
      <c r="S135">
        <f t="shared" ref="S135" si="653">R135/100000</f>
        <v>-12053.981691892801</v>
      </c>
      <c r="T135">
        <f t="shared" ref="T135" si="654">S135/1000</f>
        <v>-12.053981691892801</v>
      </c>
    </row>
    <row r="136" spans="1:20" x14ac:dyDescent="0.25">
      <c r="A136" s="5">
        <v>44457</v>
      </c>
      <c r="B136">
        <v>0.46429999999999999</v>
      </c>
      <c r="C136">
        <v>0.46800000000000003</v>
      </c>
      <c r="D136">
        <v>0.44869999999999999</v>
      </c>
      <c r="E136">
        <v>0.46</v>
      </c>
      <c r="F136">
        <v>15588766</v>
      </c>
      <c r="G136">
        <v>0.46</v>
      </c>
      <c r="L136" t="s">
        <v>7</v>
      </c>
      <c r="M136" t="s">
        <v>8</v>
      </c>
      <c r="N136" t="s">
        <v>8</v>
      </c>
      <c r="P136">
        <f t="shared" ref="P136" si="655">IF(C136=D136,0,((E136-D136)-(C136-E136))/(C136-D136))</f>
        <v>0.17098445595855016</v>
      </c>
      <c r="Q136">
        <f t="shared" ref="Q136" si="656">F136*P136</f>
        <v>2665436.6735751443</v>
      </c>
      <c r="R136">
        <f t="shared" ref="R136" si="657">R137+Q136</f>
        <v>-1189586729.7846999</v>
      </c>
      <c r="S136">
        <f t="shared" ref="S136" si="658">R136/100000</f>
        <v>-11895.867297846999</v>
      </c>
      <c r="T136">
        <f t="shared" ref="T136" si="659">S136/1000</f>
        <v>-11.895867297846998</v>
      </c>
    </row>
    <row r="137" spans="1:20" x14ac:dyDescent="0.25">
      <c r="A137" s="5">
        <v>44456</v>
      </c>
      <c r="B137">
        <v>0.47210000000000002</v>
      </c>
      <c r="C137">
        <v>0.47570000000000001</v>
      </c>
      <c r="D137">
        <v>0.44719999999999999</v>
      </c>
      <c r="E137">
        <v>0.4632</v>
      </c>
      <c r="F137">
        <v>23936637</v>
      </c>
      <c r="G137">
        <v>0.4632</v>
      </c>
      <c r="L137" t="s">
        <v>7</v>
      </c>
      <c r="M137" t="s">
        <v>8</v>
      </c>
      <c r="N137" t="s">
        <v>8</v>
      </c>
      <c r="P137">
        <f t="shared" ref="P137" si="660">IF(C137=D137,0,((E137-D137)-(C137-E137))/(C137-D137))</f>
        <v>0.12280701754385964</v>
      </c>
      <c r="Q137">
        <f t="shared" ref="Q137" si="661">F137*P137</f>
        <v>2939587</v>
      </c>
      <c r="R137">
        <f t="shared" ref="R137" si="662">R138+Q137</f>
        <v>-1192252166.4582751</v>
      </c>
      <c r="S137">
        <f t="shared" ref="S137" si="663">R137/100000</f>
        <v>-11922.521664582751</v>
      </c>
      <c r="T137">
        <f t="shared" ref="T137" si="664">S137/1000</f>
        <v>-11.922521664582751</v>
      </c>
    </row>
    <row r="138" spans="1:20" x14ac:dyDescent="0.25">
      <c r="A138" s="5">
        <v>44455</v>
      </c>
      <c r="B138">
        <v>0.49869999999999998</v>
      </c>
      <c r="C138">
        <v>0.51400000000000001</v>
      </c>
      <c r="D138">
        <v>0.45739999999999997</v>
      </c>
      <c r="E138">
        <v>0.47199999999999998</v>
      </c>
      <c r="F138">
        <v>30582850</v>
      </c>
      <c r="G138">
        <v>0.47199999999999998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-0.4840989399293289</v>
      </c>
      <c r="Q138">
        <f t="shared" ref="Q138" si="666">F138*P138</f>
        <v>-14805125.265017677</v>
      </c>
      <c r="R138">
        <f t="shared" ref="R138" si="667">R139+Q138</f>
        <v>-1195191753.4582751</v>
      </c>
      <c r="S138">
        <f t="shared" ref="S138" si="668">R138/100000</f>
        <v>-11951.917534582752</v>
      </c>
      <c r="T138">
        <f t="shared" ref="T138" si="669">S138/1000</f>
        <v>-11.951917534582751</v>
      </c>
    </row>
    <row r="139" spans="1:20" x14ac:dyDescent="0.25">
      <c r="A139" s="5">
        <v>44454</v>
      </c>
      <c r="B139">
        <v>0.46870000000000001</v>
      </c>
      <c r="C139">
        <v>0.50960000000000005</v>
      </c>
      <c r="D139">
        <v>0.45960000000000001</v>
      </c>
      <c r="E139">
        <v>0.499</v>
      </c>
      <c r="F139">
        <v>36228687</v>
      </c>
      <c r="G139">
        <v>0.499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0.57599999999999818</v>
      </c>
      <c r="Q139">
        <f t="shared" ref="Q139" si="671">F139*P139</f>
        <v>20867723.711999934</v>
      </c>
      <c r="R139">
        <f t="shared" ref="R139" si="672">R140+Q139</f>
        <v>-1180386628.1932573</v>
      </c>
      <c r="S139">
        <f t="shared" ref="S139" si="673">R139/100000</f>
        <v>-11803.866281932573</v>
      </c>
      <c r="T139">
        <f t="shared" ref="T139" si="674">S139/1000</f>
        <v>-11.803866281932573</v>
      </c>
    </row>
    <row r="140" spans="1:20" x14ac:dyDescent="0.25">
      <c r="A140" s="5">
        <v>44453</v>
      </c>
      <c r="B140">
        <v>0.43419999999999997</v>
      </c>
      <c r="C140">
        <v>0.48599999999999999</v>
      </c>
      <c r="D140">
        <v>0.42570000000000002</v>
      </c>
      <c r="E140">
        <v>0.46889999999999998</v>
      </c>
      <c r="F140">
        <v>26205185</v>
      </c>
      <c r="G140">
        <v>0.46889999999999998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0.43283582089552192</v>
      </c>
      <c r="Q140">
        <f t="shared" ref="Q140" si="676">F140*P140</f>
        <v>11342542.761194017</v>
      </c>
      <c r="R140">
        <f t="shared" ref="R140" si="677">R141+Q140</f>
        <v>-1201254351.9052572</v>
      </c>
      <c r="S140">
        <f t="shared" ref="S140" si="678">R140/100000</f>
        <v>-12012.543519052571</v>
      </c>
      <c r="T140">
        <f t="shared" ref="T140" si="679">S140/1000</f>
        <v>-12.012543519052571</v>
      </c>
    </row>
    <row r="141" spans="1:20" x14ac:dyDescent="0.25">
      <c r="A141" s="5">
        <v>44452</v>
      </c>
      <c r="B141">
        <v>0.48299999999999998</v>
      </c>
      <c r="C141">
        <v>0.49</v>
      </c>
      <c r="D141">
        <v>0.41110000000000002</v>
      </c>
      <c r="E141">
        <v>0.43380000000000002</v>
      </c>
      <c r="F141">
        <v>32500039</v>
      </c>
      <c r="G141">
        <v>0.43380000000000002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-0.42458808618504418</v>
      </c>
      <c r="Q141">
        <f t="shared" ref="Q141" si="681">F141*P141</f>
        <v>-13799129.359949296</v>
      </c>
      <c r="R141">
        <f t="shared" ref="R141" si="682">R142+Q141</f>
        <v>-1212596894.6664512</v>
      </c>
      <c r="S141">
        <f t="shared" ref="S141" si="683">R141/100000</f>
        <v>-12125.968946664512</v>
      </c>
      <c r="T141">
        <f t="shared" ref="T141" si="684">S141/1000</f>
        <v>-12.125968946664512</v>
      </c>
    </row>
    <row r="142" spans="1:20" x14ac:dyDescent="0.25">
      <c r="A142" s="5">
        <v>44451</v>
      </c>
      <c r="B142">
        <v>0.43880000000000002</v>
      </c>
      <c r="C142">
        <v>0.52900000000000003</v>
      </c>
      <c r="D142">
        <v>0.4209</v>
      </c>
      <c r="E142">
        <v>0.4839</v>
      </c>
      <c r="F142">
        <v>91495020</v>
      </c>
      <c r="G142">
        <v>0.4839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0.16558741905642893</v>
      </c>
      <c r="Q142">
        <f t="shared" ref="Q142" si="686">F142*P142</f>
        <v>15150424.218316346</v>
      </c>
      <c r="R142">
        <f t="shared" ref="R142" si="687">R143+Q142</f>
        <v>-1198797765.3065019</v>
      </c>
      <c r="S142">
        <f t="shared" ref="S142" si="688">R142/100000</f>
        <v>-11987.977653065018</v>
      </c>
      <c r="T142">
        <f t="shared" ref="T142" si="689">S142/1000</f>
        <v>-11.987977653065018</v>
      </c>
    </row>
    <row r="143" spans="1:20" x14ac:dyDescent="0.25">
      <c r="A143" s="5">
        <v>44450</v>
      </c>
      <c r="B143">
        <v>0.41589999999999999</v>
      </c>
      <c r="C143">
        <v>0.47</v>
      </c>
      <c r="D143">
        <v>0.4123</v>
      </c>
      <c r="E143">
        <v>0.43909999999999999</v>
      </c>
      <c r="F143">
        <v>19737017</v>
      </c>
      <c r="G143">
        <v>0.43909999999999999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-7.1057192374349987E-2</v>
      </c>
      <c r="Q143">
        <f t="shared" ref="Q143" si="691">F143*P143</f>
        <v>-1402457.0138648162</v>
      </c>
      <c r="R143">
        <f t="shared" ref="R143" si="692">R144+Q143</f>
        <v>-1213948189.5248182</v>
      </c>
      <c r="S143">
        <f t="shared" ref="S143" si="693">R143/100000</f>
        <v>-12139.481895248182</v>
      </c>
      <c r="T143">
        <f t="shared" ref="T143" si="694">S143/1000</f>
        <v>-12.139481895248181</v>
      </c>
    </row>
    <row r="144" spans="1:20" x14ac:dyDescent="0.25">
      <c r="A144" s="5">
        <v>44449</v>
      </c>
      <c r="B144">
        <v>0.44900000000000001</v>
      </c>
      <c r="C144">
        <v>0.47139999999999999</v>
      </c>
      <c r="D144">
        <v>0.4037</v>
      </c>
      <c r="E144">
        <v>0.4158</v>
      </c>
      <c r="F144">
        <v>22127559</v>
      </c>
      <c r="G144">
        <v>0.4158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-0.64254062038404713</v>
      </c>
      <c r="Q144">
        <f t="shared" ref="Q144" si="696">F144*P144</f>
        <v>-14217855.487444606</v>
      </c>
      <c r="R144">
        <f t="shared" ref="R144" si="697">R145+Q144</f>
        <v>-1212545732.5109534</v>
      </c>
      <c r="S144">
        <f t="shared" ref="S144" si="698">R144/100000</f>
        <v>-12125.457325109533</v>
      </c>
      <c r="T144">
        <f t="shared" ref="T144" si="699">S144/1000</f>
        <v>-12.125457325109533</v>
      </c>
    </row>
    <row r="145" spans="1:20" x14ac:dyDescent="0.25">
      <c r="A145" s="5">
        <v>44448</v>
      </c>
      <c r="B145">
        <v>0.43669999999999998</v>
      </c>
      <c r="C145">
        <v>0.48</v>
      </c>
      <c r="D145">
        <v>0.43</v>
      </c>
      <c r="E145">
        <v>0.44819999999999999</v>
      </c>
      <c r="F145">
        <v>24940960</v>
      </c>
      <c r="G145">
        <v>0.44819999999999999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-0.27200000000000008</v>
      </c>
      <c r="Q145">
        <f t="shared" ref="Q145" si="701">F145*P145</f>
        <v>-6783941.120000002</v>
      </c>
      <c r="R145">
        <f t="shared" ref="R145" si="702">R146+Q145</f>
        <v>-1198327877.0235088</v>
      </c>
      <c r="S145">
        <f t="shared" ref="S145" si="703">R145/100000</f>
        <v>-11983.278770235087</v>
      </c>
      <c r="T145">
        <f t="shared" ref="T145" si="704">S145/1000</f>
        <v>-11.983278770235087</v>
      </c>
    </row>
    <row r="146" spans="1:20" x14ac:dyDescent="0.25">
      <c r="A146" s="5">
        <v>44447</v>
      </c>
      <c r="B146">
        <v>0.40570000000000001</v>
      </c>
      <c r="C146">
        <v>0.49</v>
      </c>
      <c r="D146">
        <v>0.39290000000000003</v>
      </c>
      <c r="E146">
        <v>0.436</v>
      </c>
      <c r="F146">
        <v>69049438</v>
      </c>
      <c r="G146">
        <v>0.436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-0.11225540679711662</v>
      </c>
      <c r="Q146">
        <f t="shared" ref="Q146" si="706">F146*P146</f>
        <v>-7751172.7518022833</v>
      </c>
      <c r="R146">
        <f t="shared" ref="R146" si="707">R147+Q146</f>
        <v>-1191543935.9035089</v>
      </c>
      <c r="S146">
        <f t="shared" ref="S146" si="708">R146/100000</f>
        <v>-11915.439359035088</v>
      </c>
      <c r="T146">
        <f t="shared" ref="T146" si="709">S146/1000</f>
        <v>-11.915439359035089</v>
      </c>
    </row>
    <row r="147" spans="1:20" x14ac:dyDescent="0.25">
      <c r="A147" s="5">
        <v>44446</v>
      </c>
      <c r="B147">
        <v>0.505</v>
      </c>
      <c r="C147">
        <v>0.50749999999999995</v>
      </c>
      <c r="D147">
        <v>0.38030000000000003</v>
      </c>
      <c r="E147">
        <v>0.40479999999999999</v>
      </c>
      <c r="F147">
        <v>77684283.799999997</v>
      </c>
      <c r="G147">
        <v>0.40479999999999999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-0.61477987421383673</v>
      </c>
      <c r="Q147">
        <f t="shared" ref="Q147" si="711">F147*P147</f>
        <v>-47758734.222955994</v>
      </c>
      <c r="R147">
        <f t="shared" ref="R147" si="712">R148+Q147</f>
        <v>-1183792763.1517067</v>
      </c>
      <c r="S147">
        <f t="shared" ref="S147" si="713">R147/100000</f>
        <v>-11837.927631517066</v>
      </c>
      <c r="T147">
        <f t="shared" ref="T147" si="714">S147/1000</f>
        <v>-11.837927631517067</v>
      </c>
    </row>
    <row r="148" spans="1:20" x14ac:dyDescent="0.25">
      <c r="A148" s="5">
        <v>44445</v>
      </c>
      <c r="B148">
        <v>0.52359999999999995</v>
      </c>
      <c r="C148">
        <v>0.5333</v>
      </c>
      <c r="D148">
        <v>0.46500000000000002</v>
      </c>
      <c r="E148">
        <v>0.505</v>
      </c>
      <c r="F148">
        <v>37380601</v>
      </c>
      <c r="G148">
        <v>0.505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0.1713030746705709</v>
      </c>
      <c r="Q148">
        <f t="shared" ref="Q148" si="716">F148*P148</f>
        <v>6403411.8843338173</v>
      </c>
      <c r="R148">
        <f t="shared" ref="R148" si="717">R149+Q148</f>
        <v>-1136034028.9287508</v>
      </c>
      <c r="S148">
        <f t="shared" ref="S148" si="718">R148/100000</f>
        <v>-11360.340289287507</v>
      </c>
      <c r="T148">
        <f t="shared" ref="T148" si="719">S148/1000</f>
        <v>-11.360340289287507</v>
      </c>
    </row>
    <row r="149" spans="1:20" x14ac:dyDescent="0.25">
      <c r="A149" s="5">
        <v>44444</v>
      </c>
      <c r="B149">
        <v>0.50870000000000004</v>
      </c>
      <c r="C149">
        <v>0.53520000000000001</v>
      </c>
      <c r="D149">
        <v>0.50239999999999996</v>
      </c>
      <c r="E149">
        <v>0.52339999999999998</v>
      </c>
      <c r="F149">
        <v>40899591</v>
      </c>
      <c r="G149">
        <v>0.52339999999999998</v>
      </c>
      <c r="L149" t="s">
        <v>8</v>
      </c>
      <c r="M149" t="s">
        <v>7</v>
      </c>
      <c r="N149" t="s">
        <v>7</v>
      </c>
      <c r="P149">
        <f t="shared" ref="P149" si="720">IF(C149=D149,0,((E149-D149)-(C149-E149))/(C149-D149))</f>
        <v>0.28048780487804792</v>
      </c>
      <c r="Q149">
        <f t="shared" ref="Q149" si="721">F149*P149</f>
        <v>11471836.499999965</v>
      </c>
      <c r="R149">
        <f t="shared" ref="R149" si="722">R150+Q149</f>
        <v>-1142437440.8130846</v>
      </c>
      <c r="S149">
        <f t="shared" ref="S149" si="723">R149/100000</f>
        <v>-11424.374408130847</v>
      </c>
      <c r="T149">
        <f t="shared" ref="T149" si="724">S149/1000</f>
        <v>-11.424374408130847</v>
      </c>
    </row>
    <row r="150" spans="1:20" x14ac:dyDescent="0.25">
      <c r="A150" s="5">
        <v>44443</v>
      </c>
      <c r="B150">
        <v>0.51390000000000002</v>
      </c>
      <c r="C150">
        <v>0.52339999999999998</v>
      </c>
      <c r="D150">
        <v>0.50249999999999995</v>
      </c>
      <c r="E150">
        <v>0.50860000000000005</v>
      </c>
      <c r="F150">
        <v>33185280</v>
      </c>
      <c r="G150">
        <v>0.50860000000000005</v>
      </c>
      <c r="L150" t="s">
        <v>7</v>
      </c>
      <c r="M150" t="s">
        <v>7</v>
      </c>
      <c r="N150" t="s">
        <v>7</v>
      </c>
      <c r="P150">
        <f t="shared" ref="P150" si="725">IF(C150=D150,0,((E150-D150)-(C150-E150))/(C150-D150))</f>
        <v>-0.41626794258372279</v>
      </c>
      <c r="Q150">
        <f t="shared" ref="Q150" si="726">F150*P150</f>
        <v>-13813968.229664765</v>
      </c>
      <c r="R150">
        <f t="shared" ref="R150" si="727">R151+Q150</f>
        <v>-1153909277.3130846</v>
      </c>
      <c r="S150">
        <f t="shared" ref="S150" si="728">R150/100000</f>
        <v>-11539.092773130846</v>
      </c>
      <c r="T150">
        <f t="shared" ref="T150" si="729">S150/1000</f>
        <v>-11.539092773130845</v>
      </c>
    </row>
    <row r="151" spans="1:20" x14ac:dyDescent="0.25">
      <c r="A151" s="5">
        <v>44442</v>
      </c>
      <c r="B151">
        <v>0.52880000000000005</v>
      </c>
      <c r="C151">
        <v>0.53129999999999999</v>
      </c>
      <c r="D151">
        <v>0.49340000000000001</v>
      </c>
      <c r="E151">
        <v>0.51380000000000003</v>
      </c>
      <c r="F151">
        <v>38983342</v>
      </c>
      <c r="G151">
        <v>0.51380000000000003</v>
      </c>
      <c r="L151" t="s">
        <v>7</v>
      </c>
      <c r="M151" t="s">
        <v>7</v>
      </c>
      <c r="N151" t="s">
        <v>7</v>
      </c>
      <c r="P151">
        <f t="shared" ref="P151" si="730">IF(C151=D151,0,((E151-D151)-(C151-E151))/(C151-D151))</f>
        <v>7.6517150395780206E-2</v>
      </c>
      <c r="Q151">
        <f t="shared" ref="Q151" si="731">F151*P151</f>
        <v>2982894.2427441352</v>
      </c>
      <c r="R151">
        <f t="shared" ref="R151" si="732">R152+Q151</f>
        <v>-1140095309.0834198</v>
      </c>
      <c r="S151">
        <f t="shared" ref="S151" si="733">R151/100000</f>
        <v>-11400.953090834199</v>
      </c>
      <c r="T151">
        <f t="shared" ref="T151" si="734">S151/1000</f>
        <v>-11.400953090834198</v>
      </c>
    </row>
    <row r="152" spans="1:20" x14ac:dyDescent="0.25">
      <c r="A152" s="5">
        <v>44441</v>
      </c>
      <c r="B152">
        <v>0.53559999999999997</v>
      </c>
      <c r="C152">
        <v>0.55000000000000004</v>
      </c>
      <c r="D152">
        <v>0.52569999999999995</v>
      </c>
      <c r="E152">
        <v>0.52880000000000005</v>
      </c>
      <c r="F152">
        <v>39252736</v>
      </c>
      <c r="G152">
        <v>0.52880000000000005</v>
      </c>
      <c r="L152" t="s">
        <v>7</v>
      </c>
      <c r="M152" t="s">
        <v>7</v>
      </c>
      <c r="N152" t="s">
        <v>7</v>
      </c>
      <c r="P152">
        <f t="shared" ref="P152" si="735">IF(C152=D152,0,((E152-D152)-(C152-E152))/(C152-D152))</f>
        <v>-0.74485596707818191</v>
      </c>
      <c r="Q152">
        <f t="shared" ref="Q152" si="736">F152*P152</f>
        <v>-29237634.633744568</v>
      </c>
      <c r="R152">
        <f t="shared" ref="R152" si="737">R153+Q152</f>
        <v>-1143078203.326164</v>
      </c>
      <c r="S152">
        <f t="shared" ref="S152" si="738">R152/100000</f>
        <v>-11430.782033261639</v>
      </c>
      <c r="T152">
        <f t="shared" ref="T152" si="739">S152/1000</f>
        <v>-11.430782033261639</v>
      </c>
    </row>
    <row r="153" spans="1:20" x14ac:dyDescent="0.25">
      <c r="A153" s="5">
        <v>44440</v>
      </c>
      <c r="B153">
        <v>0.55600000000000005</v>
      </c>
      <c r="C153">
        <v>0.56689999999999996</v>
      </c>
      <c r="D153">
        <v>0.5202</v>
      </c>
      <c r="E153">
        <v>0.53549999999999998</v>
      </c>
      <c r="F153">
        <v>58981872</v>
      </c>
      <c r="G153">
        <v>0.53549999999999998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-0.3447537473233408</v>
      </c>
      <c r="Q153">
        <f t="shared" ref="Q153" si="741">F153*P153</f>
        <v>-20334221.396145631</v>
      </c>
      <c r="R153">
        <f t="shared" ref="R153" si="742">R154+Q153</f>
        <v>-1113840568.6924195</v>
      </c>
      <c r="S153">
        <f t="shared" ref="S153" si="743">R153/100000</f>
        <v>-11138.405686924196</v>
      </c>
      <c r="T153">
        <f t="shared" ref="T153" si="744">S153/1000</f>
        <v>-11.138405686924196</v>
      </c>
    </row>
    <row r="154" spans="1:20" x14ac:dyDescent="0.25">
      <c r="A154" s="5">
        <v>44439</v>
      </c>
      <c r="B154">
        <v>0.53539999999999999</v>
      </c>
      <c r="C154">
        <v>0.56669999999999998</v>
      </c>
      <c r="D154">
        <v>0.5151</v>
      </c>
      <c r="E154">
        <v>0.55589999999999995</v>
      </c>
      <c r="F154">
        <v>82740128</v>
      </c>
      <c r="G154">
        <v>0.55589999999999995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0.58139534883720789</v>
      </c>
      <c r="Q154">
        <f t="shared" ref="Q154" si="746">F154*P154</f>
        <v>48104725.581395231</v>
      </c>
      <c r="R154">
        <f t="shared" ref="R154" si="747">R155+Q154</f>
        <v>-1093506347.2962739</v>
      </c>
      <c r="S154">
        <f t="shared" ref="S154" si="748">R154/100000</f>
        <v>-10935.06347296274</v>
      </c>
      <c r="T154">
        <f t="shared" ref="T154" si="749">S154/1000</f>
        <v>-10.935063472962741</v>
      </c>
    </row>
    <row r="155" spans="1:20" x14ac:dyDescent="0.25">
      <c r="A155" s="5">
        <v>44438</v>
      </c>
      <c r="B155">
        <v>0.55389999999999995</v>
      </c>
      <c r="C155">
        <v>0.59889999999999999</v>
      </c>
      <c r="D155">
        <v>0.52769999999999995</v>
      </c>
      <c r="E155">
        <v>0.53569999999999995</v>
      </c>
      <c r="F155">
        <v>172551070</v>
      </c>
      <c r="G155">
        <v>0.53569999999999995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-0.77528089887640439</v>
      </c>
      <c r="Q155">
        <f t="shared" ref="Q155" si="751">F155*P155</f>
        <v>-133775548.65168537</v>
      </c>
      <c r="R155">
        <f t="shared" ref="R155" si="752">R156+Q155</f>
        <v>-1141611072.8776691</v>
      </c>
      <c r="S155">
        <f t="shared" ref="S155" si="753">R155/100000</f>
        <v>-11416.110728776692</v>
      </c>
      <c r="T155">
        <f t="shared" ref="T155" si="754">S155/1000</f>
        <v>-11.416110728776692</v>
      </c>
    </row>
    <row r="156" spans="1:20" x14ac:dyDescent="0.25">
      <c r="A156" s="5">
        <v>44437</v>
      </c>
      <c r="B156">
        <v>0.55279999999999996</v>
      </c>
      <c r="C156">
        <v>0.75449999999999995</v>
      </c>
      <c r="D156">
        <v>0.51770000000000005</v>
      </c>
      <c r="E156">
        <v>0.55420000000000003</v>
      </c>
      <c r="F156">
        <v>410115515.30000001</v>
      </c>
      <c r="G156">
        <v>0.55420000000000003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-0.69172297297297303</v>
      </c>
      <c r="Q156">
        <f t="shared" ref="Q156" si="756">F156*P156</f>
        <v>-283686323.50565881</v>
      </c>
      <c r="R156">
        <f t="shared" ref="R156" si="757">R157+Q156</f>
        <v>-1007835524.2259836</v>
      </c>
      <c r="S156">
        <f t="shared" ref="S156" si="758">R156/100000</f>
        <v>-10078.355242259837</v>
      </c>
      <c r="T156">
        <f t="shared" ref="T156" si="759">S156/1000</f>
        <v>-10.078355242259837</v>
      </c>
    </row>
    <row r="157" spans="1:20" x14ac:dyDescent="0.25">
      <c r="A157" s="5">
        <v>44436</v>
      </c>
      <c r="B157">
        <v>0.4965</v>
      </c>
      <c r="C157">
        <v>0.57120000000000004</v>
      </c>
      <c r="D157">
        <v>0.4859</v>
      </c>
      <c r="E157">
        <v>0.55320000000000003</v>
      </c>
      <c r="F157">
        <v>78956481.900000006</v>
      </c>
      <c r="G157">
        <v>0.55320000000000003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0.57796014067995294</v>
      </c>
      <c r="Q157">
        <f t="shared" ref="Q157" si="761">F157*P157</f>
        <v>45633699.386518158</v>
      </c>
      <c r="R157">
        <f t="shared" ref="R157" si="762">R158+Q157</f>
        <v>-724149200.72032487</v>
      </c>
      <c r="S157">
        <f t="shared" ref="S157" si="763">R157/100000</f>
        <v>-7241.4920072032492</v>
      </c>
      <c r="T157">
        <f t="shared" ref="T157" si="764">S157/1000</f>
        <v>-7.2414920072032496</v>
      </c>
    </row>
    <row r="158" spans="1:20" x14ac:dyDescent="0.25">
      <c r="A158" s="5">
        <v>44435</v>
      </c>
      <c r="B158">
        <v>0.49419999999999997</v>
      </c>
      <c r="C158">
        <v>0.54049999999999998</v>
      </c>
      <c r="D158">
        <v>0.45</v>
      </c>
      <c r="E158">
        <v>0.4965</v>
      </c>
      <c r="F158">
        <v>100702709.8</v>
      </c>
      <c r="G158">
        <v>0.4965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2.7624309392265227E-2</v>
      </c>
      <c r="Q158">
        <f t="shared" ref="Q158" si="766">F158*P158</f>
        <v>2781842.8121546996</v>
      </c>
      <c r="R158">
        <f t="shared" ref="R158" si="767">R159+Q158</f>
        <v>-769782900.10684299</v>
      </c>
      <c r="S158">
        <f t="shared" ref="S158" si="768">R158/100000</f>
        <v>-7697.8290010684295</v>
      </c>
      <c r="T158">
        <f t="shared" ref="T158" si="769">S158/1000</f>
        <v>-7.6978290010684294</v>
      </c>
    </row>
    <row r="159" spans="1:20" x14ac:dyDescent="0.25">
      <c r="A159" s="5">
        <v>44434</v>
      </c>
      <c r="B159">
        <v>0.46428000000000003</v>
      </c>
      <c r="C159">
        <v>0.5202</v>
      </c>
      <c r="D159">
        <v>0.44590000000000002</v>
      </c>
      <c r="E159">
        <v>0.49430000000000002</v>
      </c>
      <c r="F159">
        <v>125633818.90000001</v>
      </c>
      <c r="G159">
        <v>0.49430000000000002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0.30282637954239605</v>
      </c>
      <c r="Q159">
        <f t="shared" ref="Q159" si="771">F159*P159</f>
        <v>38045234.525572054</v>
      </c>
      <c r="R159">
        <f t="shared" ref="R159" si="772">R160+Q159</f>
        <v>-772564742.91899765</v>
      </c>
      <c r="S159">
        <f t="shared" ref="S159" si="773">R159/100000</f>
        <v>-7725.6474291899767</v>
      </c>
      <c r="T159">
        <f t="shared" ref="T159" si="774">S159/1000</f>
        <v>-7.7256474291899764</v>
      </c>
    </row>
    <row r="160" spans="1:20" x14ac:dyDescent="0.25">
      <c r="A160" s="5">
        <v>44433</v>
      </c>
      <c r="B160">
        <v>0.45855000000000001</v>
      </c>
      <c r="C160">
        <v>0.50011000000000005</v>
      </c>
      <c r="D160">
        <v>0.43862000000000001</v>
      </c>
      <c r="E160">
        <v>0.46482000000000001</v>
      </c>
      <c r="F160">
        <v>93745218.900000006</v>
      </c>
      <c r="G160">
        <v>0.46482000000000001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-0.14782891527077632</v>
      </c>
      <c r="Q160">
        <f t="shared" ref="Q160" si="776">F160*P160</f>
        <v>-13858254.021808481</v>
      </c>
      <c r="R160">
        <f t="shared" ref="R160" si="777">R161+Q160</f>
        <v>-810609977.44456971</v>
      </c>
      <c r="S160">
        <f t="shared" ref="S160" si="778">R160/100000</f>
        <v>-8106.0997744456972</v>
      </c>
      <c r="T160">
        <f t="shared" ref="T160" si="779">S160/1000</f>
        <v>-8.1060997744456973</v>
      </c>
    </row>
    <row r="161" spans="1:20" x14ac:dyDescent="0.25">
      <c r="A161" s="5">
        <v>44432</v>
      </c>
      <c r="B161">
        <v>0.50644</v>
      </c>
      <c r="C161">
        <v>0.54666000000000003</v>
      </c>
      <c r="D161">
        <v>0.44019999999999998</v>
      </c>
      <c r="E161">
        <v>0.45829999999999999</v>
      </c>
      <c r="F161">
        <v>181441223.30000001</v>
      </c>
      <c r="G161">
        <v>0.45829999999999999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-0.65996618448243483</v>
      </c>
      <c r="Q161">
        <f t="shared" ref="Q161" si="781">F161*P161</f>
        <v>-119745071.84912646</v>
      </c>
      <c r="R161">
        <f t="shared" ref="R161" si="782">R162+Q161</f>
        <v>-796751723.4227612</v>
      </c>
      <c r="S161">
        <f t="shared" ref="S161" si="783">R161/100000</f>
        <v>-7967.5172342276119</v>
      </c>
      <c r="T161">
        <f t="shared" ref="T161" si="784">S161/1000</f>
        <v>-7.9675172342276115</v>
      </c>
    </row>
    <row r="162" spans="1:20" x14ac:dyDescent="0.25">
      <c r="A162" s="5">
        <v>44431</v>
      </c>
      <c r="B162">
        <v>0.55001</v>
      </c>
      <c r="C162">
        <v>0.57513000000000003</v>
      </c>
      <c r="D162">
        <v>0.48210999999999998</v>
      </c>
      <c r="E162">
        <v>0.50688999999999995</v>
      </c>
      <c r="F162">
        <v>243747981.80000001</v>
      </c>
      <c r="G162">
        <v>0.50688999999999995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-0.46721135239733486</v>
      </c>
      <c r="Q162">
        <f t="shared" ref="Q162" si="786">F162*P162</f>
        <v>-113881824.22089897</v>
      </c>
      <c r="R162">
        <f t="shared" ref="R162" si="787">R163+Q162</f>
        <v>-677006651.57363474</v>
      </c>
      <c r="S162">
        <f t="shared" ref="S162" si="788">R162/100000</f>
        <v>-6770.0665157363474</v>
      </c>
      <c r="T162">
        <f t="shared" ref="T162" si="789">S162/1000</f>
        <v>-6.7700665157363478</v>
      </c>
    </row>
    <row r="163" spans="1:20" x14ac:dyDescent="0.25">
      <c r="A163" s="5">
        <v>44430</v>
      </c>
      <c r="B163">
        <v>0.35102</v>
      </c>
      <c r="C163">
        <v>0.35815000000000002</v>
      </c>
      <c r="D163">
        <v>0.35028999999999999</v>
      </c>
      <c r="E163">
        <v>0.35792000000000002</v>
      </c>
      <c r="F163">
        <v>4342502.0999999996</v>
      </c>
      <c r="G163">
        <v>0.35792000000000002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0.94147582697200838</v>
      </c>
      <c r="Q163">
        <f t="shared" ref="Q163" si="791">F163*P163</f>
        <v>4088360.7557251826</v>
      </c>
      <c r="R163">
        <f t="shared" ref="R163" si="792">R164+Q163</f>
        <v>-563124827.35273576</v>
      </c>
      <c r="S163">
        <f t="shared" ref="S163" si="793">R163/100000</f>
        <v>-5631.2482735273579</v>
      </c>
      <c r="T163">
        <f t="shared" ref="T163" si="794">S163/1000</f>
        <v>-5.6312482735273584</v>
      </c>
    </row>
    <row r="164" spans="1:20" x14ac:dyDescent="0.25">
      <c r="A164" s="5">
        <v>44429</v>
      </c>
      <c r="B164">
        <v>0.35326999999999997</v>
      </c>
      <c r="C164">
        <v>0.36612</v>
      </c>
      <c r="D164">
        <v>0.34181</v>
      </c>
      <c r="E164">
        <v>0.35098000000000001</v>
      </c>
      <c r="F164">
        <v>41083564.299999997</v>
      </c>
      <c r="G164">
        <v>0.35098000000000001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-0.2455779514603034</v>
      </c>
      <c r="Q164">
        <f t="shared" ref="Q164" si="796">F164*P164</f>
        <v>-10089217.559481652</v>
      </c>
      <c r="R164">
        <f t="shared" ref="R164" si="797">R165+Q164</f>
        <v>-567213188.1084609</v>
      </c>
      <c r="S164">
        <f t="shared" ref="S164" si="798">R164/100000</f>
        <v>-5672.1318810846087</v>
      </c>
      <c r="T164">
        <f t="shared" ref="T164" si="799">S164/1000</f>
        <v>-5.6721318810846091</v>
      </c>
    </row>
    <row r="165" spans="1:20" x14ac:dyDescent="0.25">
      <c r="A165" s="5">
        <v>44428</v>
      </c>
      <c r="B165">
        <v>0.32828000000000002</v>
      </c>
      <c r="C165">
        <v>0.3589</v>
      </c>
      <c r="D165">
        <v>0.32512000000000002</v>
      </c>
      <c r="E165">
        <v>0.35282000000000002</v>
      </c>
      <c r="F165">
        <v>40003499.200000003</v>
      </c>
      <c r="G165">
        <v>0.35282000000000002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0.64002368265245835</v>
      </c>
      <c r="Q165">
        <f t="shared" ref="Q165" si="801">F165*P165</f>
        <v>25603186.876968674</v>
      </c>
      <c r="R165">
        <f t="shared" ref="R165" si="802">R166+Q165</f>
        <v>-557123970.54897928</v>
      </c>
      <c r="S165">
        <f t="shared" ref="S165" si="803">R165/100000</f>
        <v>-5571.2397054897929</v>
      </c>
      <c r="T165">
        <f t="shared" ref="T165" si="804">S165/1000</f>
        <v>-5.5712397054897931</v>
      </c>
    </row>
    <row r="166" spans="1:20" x14ac:dyDescent="0.25">
      <c r="A166" s="5">
        <v>44427</v>
      </c>
      <c r="B166">
        <v>0.31451000000000001</v>
      </c>
      <c r="C166">
        <v>0.32899</v>
      </c>
      <c r="D166">
        <v>0.30543999999999999</v>
      </c>
      <c r="E166">
        <v>0.32822000000000001</v>
      </c>
      <c r="F166">
        <v>27553651.600000001</v>
      </c>
      <c r="G166">
        <v>0.32822000000000001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0.93460721868365249</v>
      </c>
      <c r="Q166">
        <f t="shared" ref="Q166" si="806">F166*P166</f>
        <v>25751841.686454374</v>
      </c>
      <c r="R166">
        <f t="shared" ref="R166" si="807">R167+Q166</f>
        <v>-582727157.4259479</v>
      </c>
      <c r="S166">
        <f t="shared" ref="S166" si="808">R166/100000</f>
        <v>-5827.2715742594792</v>
      </c>
      <c r="T166">
        <f t="shared" ref="T166" si="809">S166/1000</f>
        <v>-5.8272715742594787</v>
      </c>
    </row>
    <row r="167" spans="1:20" x14ac:dyDescent="0.25">
      <c r="A167" s="5">
        <v>44426</v>
      </c>
      <c r="B167">
        <v>0.31408999999999998</v>
      </c>
      <c r="C167">
        <v>0.33548</v>
      </c>
      <c r="D167">
        <v>0.29574</v>
      </c>
      <c r="E167">
        <v>0.31451000000000001</v>
      </c>
      <c r="F167">
        <v>36230670.200000003</v>
      </c>
      <c r="G167">
        <v>0.31451000000000001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-5.5359838953195267E-2</v>
      </c>
      <c r="Q167">
        <f t="shared" ref="Q167" si="811">F167*P167</f>
        <v>-2005724.0674383312</v>
      </c>
      <c r="R167">
        <f t="shared" ref="R167" si="812">R168+Q167</f>
        <v>-608478999.11240232</v>
      </c>
      <c r="S167">
        <f t="shared" ref="S167" si="813">R167/100000</f>
        <v>-6084.7899911240229</v>
      </c>
      <c r="T167">
        <f t="shared" ref="T167" si="814">S167/1000</f>
        <v>-6.0847899911240226</v>
      </c>
    </row>
    <row r="168" spans="1:20" x14ac:dyDescent="0.25">
      <c r="A168" s="5">
        <v>44425</v>
      </c>
      <c r="B168">
        <v>0.34447</v>
      </c>
      <c r="C168">
        <v>0.34897</v>
      </c>
      <c r="D168">
        <v>0.30715999999999999</v>
      </c>
      <c r="E168">
        <v>0.31448999999999999</v>
      </c>
      <c r="F168">
        <v>34638648.600000001</v>
      </c>
      <c r="G168">
        <v>0.31448999999999999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-0.64936618033963167</v>
      </c>
      <c r="Q168">
        <f t="shared" ref="Q168" si="816">F168*P168</f>
        <v>-22493166.933508731</v>
      </c>
      <c r="R168">
        <f t="shared" ref="R168" si="817">R169+Q168</f>
        <v>-606473275.04496396</v>
      </c>
      <c r="S168">
        <f t="shared" ref="S168" si="818">R168/100000</f>
        <v>-6064.7327504496398</v>
      </c>
      <c r="T168">
        <f t="shared" ref="T168" si="819">S168/1000</f>
        <v>-6.0647327504496396</v>
      </c>
    </row>
    <row r="169" spans="1:20" x14ac:dyDescent="0.25">
      <c r="A169" s="5">
        <v>44424</v>
      </c>
      <c r="B169">
        <v>0.32597999999999999</v>
      </c>
      <c r="C169">
        <v>0.37023</v>
      </c>
      <c r="D169">
        <v>0.32284000000000002</v>
      </c>
      <c r="E169">
        <v>0.34427999999999997</v>
      </c>
      <c r="F169">
        <v>63107586.700000003</v>
      </c>
      <c r="G169">
        <v>0.34427999999999997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-9.5167756910742154E-2</v>
      </c>
      <c r="Q169">
        <f t="shared" ref="Q169" si="821">F169*P169</f>
        <v>-6005807.4702891847</v>
      </c>
      <c r="R169">
        <f t="shared" ref="R169" si="822">R170+Q169</f>
        <v>-583980108.1114552</v>
      </c>
      <c r="S169">
        <f t="shared" ref="S169" si="823">R169/100000</f>
        <v>-5839.8010811145523</v>
      </c>
      <c r="T169">
        <f t="shared" ref="T169" si="824">S169/1000</f>
        <v>-5.839801081114552</v>
      </c>
    </row>
    <row r="170" spans="1:20" x14ac:dyDescent="0.25">
      <c r="A170" s="5">
        <v>44423</v>
      </c>
      <c r="B170">
        <v>0.32738</v>
      </c>
      <c r="C170">
        <v>0.32957999999999998</v>
      </c>
      <c r="D170">
        <v>0.31093999999999999</v>
      </c>
      <c r="E170">
        <v>0.32584999999999997</v>
      </c>
      <c r="F170">
        <v>22120523.399999999</v>
      </c>
      <c r="G170">
        <v>0.32584999999999997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0.59978540772532052</v>
      </c>
      <c r="Q170">
        <f t="shared" ref="Q170" si="826">F170*P170</f>
        <v>13267567.146566492</v>
      </c>
      <c r="R170">
        <f t="shared" ref="R170" si="827">R171+Q170</f>
        <v>-577974300.64116597</v>
      </c>
      <c r="S170">
        <f t="shared" ref="S170" si="828">R170/100000</f>
        <v>-5779.7430064116597</v>
      </c>
      <c r="T170">
        <f t="shared" ref="T170" si="829">S170/1000</f>
        <v>-5.7797430064116595</v>
      </c>
    </row>
    <row r="171" spans="1:20" x14ac:dyDescent="0.25">
      <c r="A171" s="5">
        <v>44422</v>
      </c>
      <c r="B171">
        <v>0.33750000000000002</v>
      </c>
      <c r="C171">
        <v>0.34098000000000001</v>
      </c>
      <c r="D171">
        <v>0.31331999999999999</v>
      </c>
      <c r="E171">
        <v>0.32734000000000002</v>
      </c>
      <c r="F171">
        <v>25964152.199999999</v>
      </c>
      <c r="G171">
        <v>0.32734000000000002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1.3738250180768139E-2</v>
      </c>
      <c r="Q171">
        <f t="shared" ref="Q171" si="831">F171*P171</f>
        <v>356702.01865514147</v>
      </c>
      <c r="R171">
        <f t="shared" ref="R171" si="832">R172+Q171</f>
        <v>-591241867.78773248</v>
      </c>
      <c r="S171">
        <f t="shared" ref="S171" si="833">R171/100000</f>
        <v>-5912.4186778773246</v>
      </c>
      <c r="T171">
        <f t="shared" ref="T171" si="834">S171/1000</f>
        <v>-5.9124186778773247</v>
      </c>
    </row>
    <row r="172" spans="1:20" x14ac:dyDescent="0.25">
      <c r="A172" s="5">
        <v>44421</v>
      </c>
      <c r="B172">
        <v>0.28543000000000002</v>
      </c>
      <c r="C172">
        <v>0.34284999999999999</v>
      </c>
      <c r="D172">
        <v>0.28283000000000003</v>
      </c>
      <c r="E172">
        <v>0.33750000000000002</v>
      </c>
      <c r="F172">
        <v>61643320.600000001</v>
      </c>
      <c r="G172">
        <v>0.33750000000000002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0.82172609130290009</v>
      </c>
      <c r="Q172">
        <f t="shared" ref="Q172" si="836">F172*P172</f>
        <v>50653924.89156954</v>
      </c>
      <c r="R172">
        <f t="shared" ref="R172" si="837">R173+Q172</f>
        <v>-591598569.80638766</v>
      </c>
      <c r="S172">
        <f t="shared" ref="S172" si="838">R172/100000</f>
        <v>-5915.985698063877</v>
      </c>
      <c r="T172">
        <f t="shared" ref="T172" si="839">S172/1000</f>
        <v>-5.915985698063877</v>
      </c>
    </row>
    <row r="173" spans="1:20" x14ac:dyDescent="0.25">
      <c r="A173" s="5">
        <v>44420</v>
      </c>
      <c r="B173">
        <v>0.29611999999999999</v>
      </c>
      <c r="C173">
        <v>0.30464000000000002</v>
      </c>
      <c r="D173">
        <v>0.27584999999999998</v>
      </c>
      <c r="E173">
        <v>0.28548000000000001</v>
      </c>
      <c r="F173">
        <v>27136380.800000001</v>
      </c>
      <c r="G173">
        <v>0.28548000000000001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-0.33101771448419487</v>
      </c>
      <c r="Q173">
        <f t="shared" ref="Q173" si="841">F173*P173</f>
        <v>-8982622.7517887875</v>
      </c>
      <c r="R173">
        <f t="shared" ref="R173" si="842">R174+Q173</f>
        <v>-642252494.69795716</v>
      </c>
      <c r="S173">
        <f t="shared" ref="S173" si="843">R173/100000</f>
        <v>-6422.5249469795717</v>
      </c>
      <c r="T173">
        <f t="shared" ref="T173" si="844">S173/1000</f>
        <v>-6.4225249469795713</v>
      </c>
    </row>
    <row r="174" spans="1:20" x14ac:dyDescent="0.25">
      <c r="A174" s="5">
        <v>44419</v>
      </c>
      <c r="B174">
        <v>0.29167999999999999</v>
      </c>
      <c r="C174">
        <v>0.30947999999999998</v>
      </c>
      <c r="D174">
        <v>0.28777999999999998</v>
      </c>
      <c r="E174">
        <v>0.29611999999999999</v>
      </c>
      <c r="F174">
        <v>26561236.300000001</v>
      </c>
      <c r="G174">
        <v>0.29611999999999999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-0.23133640552995252</v>
      </c>
      <c r="Q174">
        <f t="shared" ref="Q174" si="846">F174*P174</f>
        <v>-6144580.9320736956</v>
      </c>
      <c r="R174">
        <f t="shared" ref="R174" si="847">R175+Q174</f>
        <v>-633269871.94616842</v>
      </c>
      <c r="S174">
        <f t="shared" ref="S174" si="848">R174/100000</f>
        <v>-6332.698719461684</v>
      </c>
      <c r="T174">
        <f t="shared" ref="T174" si="849">S174/1000</f>
        <v>-6.3326987194616837</v>
      </c>
    </row>
    <row r="175" spans="1:20" x14ac:dyDescent="0.25">
      <c r="A175" s="5">
        <v>44418</v>
      </c>
      <c r="B175">
        <v>0.28637000000000001</v>
      </c>
      <c r="C175">
        <v>0.29677999999999999</v>
      </c>
      <c r="D175">
        <v>0.28000000000000003</v>
      </c>
      <c r="E175">
        <v>0.29199999999999998</v>
      </c>
      <c r="F175">
        <v>31674804.300000001</v>
      </c>
      <c r="G175">
        <v>0.29199999999999998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0.43027413587604085</v>
      </c>
      <c r="Q175">
        <f t="shared" ref="Q175" si="851">F175*P175</f>
        <v>13628849.049225204</v>
      </c>
      <c r="R175">
        <f t="shared" ref="R175" si="852">R176+Q175</f>
        <v>-627125291.01409471</v>
      </c>
      <c r="S175">
        <f t="shared" ref="S175" si="853">R175/100000</f>
        <v>-6271.2529101409473</v>
      </c>
      <c r="T175">
        <f t="shared" ref="T175" si="854">S175/1000</f>
        <v>-6.2712529101409471</v>
      </c>
    </row>
    <row r="176" spans="1:20" x14ac:dyDescent="0.25">
      <c r="A176" s="5">
        <v>44417</v>
      </c>
      <c r="B176">
        <v>0.26079000000000002</v>
      </c>
      <c r="C176">
        <v>0.29670000000000002</v>
      </c>
      <c r="D176">
        <v>0.25320999999999999</v>
      </c>
      <c r="E176">
        <v>0.28608</v>
      </c>
      <c r="F176">
        <v>41593846.200000003</v>
      </c>
      <c r="G176">
        <v>0.28608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0.51161186479650445</v>
      </c>
      <c r="Q176">
        <f t="shared" ref="Q176" si="856">F176*P176</f>
        <v>21279905.218441002</v>
      </c>
      <c r="R176">
        <f t="shared" ref="R176" si="857">R177+Q176</f>
        <v>-640754140.06331992</v>
      </c>
      <c r="S176">
        <f t="shared" ref="S176" si="858">R176/100000</f>
        <v>-6407.5414006331994</v>
      </c>
      <c r="T176">
        <f t="shared" ref="T176" si="859">S176/1000</f>
        <v>-6.4075414006331997</v>
      </c>
    </row>
    <row r="177" spans="1:20" x14ac:dyDescent="0.25">
      <c r="A177" s="5">
        <v>44416</v>
      </c>
      <c r="B177">
        <v>0.28131</v>
      </c>
      <c r="C177">
        <v>0.28666000000000003</v>
      </c>
      <c r="D177">
        <v>0.25918000000000002</v>
      </c>
      <c r="E177">
        <v>0.26061000000000001</v>
      </c>
      <c r="F177">
        <v>24025279.199999999</v>
      </c>
      <c r="G177">
        <v>0.26061000000000001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-0.89592430858806504</v>
      </c>
      <c r="Q177">
        <f t="shared" ref="Q177" si="861">F177*P177</f>
        <v>-21524831.655895218</v>
      </c>
      <c r="R177">
        <f t="shared" ref="R177" si="862">R178+Q177</f>
        <v>-662034045.28176093</v>
      </c>
      <c r="S177">
        <f t="shared" ref="S177" si="863">R177/100000</f>
        <v>-6620.3404528176097</v>
      </c>
      <c r="T177">
        <f t="shared" ref="T177" si="864">S177/1000</f>
        <v>-6.6203404528176097</v>
      </c>
    </row>
    <row r="178" spans="1:20" x14ac:dyDescent="0.25">
      <c r="A178" s="5">
        <v>44415</v>
      </c>
      <c r="B178">
        <v>0.26534000000000002</v>
      </c>
      <c r="C178">
        <v>0.28821999999999998</v>
      </c>
      <c r="D178">
        <v>0.26184000000000002</v>
      </c>
      <c r="E178">
        <v>0.28126000000000001</v>
      </c>
      <c r="F178">
        <v>38071279.200000003</v>
      </c>
      <c r="G178">
        <v>0.28126000000000001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0.47232752084912988</v>
      </c>
      <c r="Q178">
        <f t="shared" ref="Q178" si="866">F178*P178</f>
        <v>17982112.920091048</v>
      </c>
      <c r="R178">
        <f t="shared" ref="R178" si="867">R179+Q178</f>
        <v>-640509213.6258657</v>
      </c>
      <c r="S178">
        <f t="shared" ref="S178" si="868">R178/100000</f>
        <v>-6405.0921362586569</v>
      </c>
      <c r="T178">
        <f t="shared" ref="T178" si="869">S178/1000</f>
        <v>-6.4050921362586566</v>
      </c>
    </row>
    <row r="179" spans="1:20" x14ac:dyDescent="0.25">
      <c r="A179" s="5">
        <v>44414</v>
      </c>
      <c r="B179">
        <v>0.25673000000000001</v>
      </c>
      <c r="C179">
        <v>0.26996999999999999</v>
      </c>
      <c r="D179">
        <v>0.24809999999999999</v>
      </c>
      <c r="E179">
        <v>0.26506999999999997</v>
      </c>
      <c r="F179">
        <v>23653689.899999999</v>
      </c>
      <c r="G179">
        <v>0.26506999999999997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0.55189757658893324</v>
      </c>
      <c r="Q179">
        <f t="shared" ref="Q179" si="871">F179*P179</f>
        <v>13054414.133196125</v>
      </c>
      <c r="R179">
        <f t="shared" ref="R179" si="872">R180+Q179</f>
        <v>-658491326.54595673</v>
      </c>
      <c r="S179">
        <f t="shared" ref="S179" si="873">R179/100000</f>
        <v>-6584.9132654595669</v>
      </c>
      <c r="T179">
        <f t="shared" ref="T179" si="874">S179/1000</f>
        <v>-6.5849132654595666</v>
      </c>
    </row>
    <row r="180" spans="1:20" x14ac:dyDescent="0.25">
      <c r="A180" s="5">
        <v>44413</v>
      </c>
      <c r="B180">
        <v>0.25251000000000001</v>
      </c>
      <c r="C180">
        <v>0.26200000000000001</v>
      </c>
      <c r="D180">
        <v>0.24514</v>
      </c>
      <c r="E180">
        <v>0.25652999999999998</v>
      </c>
      <c r="F180">
        <v>20410476.5</v>
      </c>
      <c r="G180">
        <v>0.25652999999999998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0.35112692763938008</v>
      </c>
      <c r="Q180">
        <f t="shared" ref="Q180" si="876">F180*P180</f>
        <v>7166667.9051007675</v>
      </c>
      <c r="R180">
        <f t="shared" ref="R180" si="877">R181+Q180</f>
        <v>-671545740.67915285</v>
      </c>
      <c r="S180">
        <f t="shared" ref="S180" si="878">R180/100000</f>
        <v>-6715.4574067915282</v>
      </c>
      <c r="T180">
        <f t="shared" ref="T180" si="879">S180/1000</f>
        <v>-6.7154574067915282</v>
      </c>
    </row>
    <row r="181" spans="1:20" x14ac:dyDescent="0.25">
      <c r="A181" s="5">
        <v>44412</v>
      </c>
      <c r="B181">
        <v>0.24129999999999999</v>
      </c>
      <c r="C181">
        <v>0.25919999999999999</v>
      </c>
      <c r="D181">
        <v>0.23796</v>
      </c>
      <c r="E181">
        <v>0.25202000000000002</v>
      </c>
      <c r="F181">
        <v>14288451.300000001</v>
      </c>
      <c r="G181">
        <v>0.25202000000000002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0.32391713747646228</v>
      </c>
      <c r="Q181">
        <f t="shared" ref="Q181" si="881">F181*P181</f>
        <v>4628274.2440678366</v>
      </c>
      <c r="R181">
        <f t="shared" ref="R181" si="882">R182+Q181</f>
        <v>-678712408.58425367</v>
      </c>
      <c r="S181">
        <f t="shared" ref="S181" si="883">R181/100000</f>
        <v>-6787.1240858425363</v>
      </c>
      <c r="T181">
        <f t="shared" ref="T181" si="884">S181/1000</f>
        <v>-6.7871240858425361</v>
      </c>
    </row>
    <row r="182" spans="1:20" x14ac:dyDescent="0.25">
      <c r="A182" s="5">
        <v>44411</v>
      </c>
      <c r="B182">
        <v>0.25258999999999998</v>
      </c>
      <c r="C182">
        <v>0.25600000000000001</v>
      </c>
      <c r="D182">
        <v>0.23845</v>
      </c>
      <c r="E182">
        <v>0.24107999999999999</v>
      </c>
      <c r="F182">
        <v>11272815.699999999</v>
      </c>
      <c r="G182">
        <v>0.24107999999999999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-0.7002849002849012</v>
      </c>
      <c r="Q182">
        <f t="shared" ref="Q182" si="886">F182*P182</f>
        <v>-7894182.6184045682</v>
      </c>
      <c r="R182">
        <f t="shared" ref="R182" si="887">R183+Q182</f>
        <v>-683340682.82832146</v>
      </c>
      <c r="S182">
        <f t="shared" ref="S182" si="888">R182/100000</f>
        <v>-6833.406828283215</v>
      </c>
      <c r="T182">
        <f t="shared" ref="T182" si="889">S182/1000</f>
        <v>-6.8334068282832146</v>
      </c>
    </row>
    <row r="183" spans="1:20" x14ac:dyDescent="0.25">
      <c r="A183" s="5">
        <v>44410</v>
      </c>
      <c r="B183">
        <v>0.25002999999999997</v>
      </c>
      <c r="C183">
        <v>0.25958999999999999</v>
      </c>
      <c r="D183">
        <v>0.24265999999999999</v>
      </c>
      <c r="E183">
        <v>0.25257000000000002</v>
      </c>
      <c r="F183">
        <v>14738340.800000001</v>
      </c>
      <c r="G183">
        <v>0.25257000000000002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0.17070289427052918</v>
      </c>
      <c r="Q183">
        <f t="shared" ref="Q183" si="891">F183*P183</f>
        <v>2515877.4313054266</v>
      </c>
      <c r="R183">
        <f t="shared" ref="R183" si="892">R184+Q183</f>
        <v>-675446500.20991683</v>
      </c>
      <c r="S183">
        <f t="shared" ref="S183" si="893">R183/100000</f>
        <v>-6754.4650020991685</v>
      </c>
      <c r="T183">
        <f t="shared" ref="T183" si="894">S183/1000</f>
        <v>-6.7544650020991686</v>
      </c>
    </row>
    <row r="184" spans="1:20" x14ac:dyDescent="0.25">
      <c r="A184" s="5">
        <v>44409</v>
      </c>
      <c r="B184">
        <v>0.25170999999999999</v>
      </c>
      <c r="C184">
        <v>0.26989999999999997</v>
      </c>
      <c r="D184">
        <v>0.24828</v>
      </c>
      <c r="E184">
        <v>0.24987999999999999</v>
      </c>
      <c r="F184">
        <v>23023119.800000001</v>
      </c>
      <c r="G184">
        <v>0.24987999999999999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-0.85198889916743825</v>
      </c>
      <c r="Q184">
        <f t="shared" ref="Q184" si="896">F184*P184</f>
        <v>-19615442.493802052</v>
      </c>
      <c r="R184">
        <f t="shared" ref="R184" si="897">R185+Q184</f>
        <v>-677962377.64122224</v>
      </c>
      <c r="S184">
        <f t="shared" ref="S184" si="898">R184/100000</f>
        <v>-6779.6237764122225</v>
      </c>
      <c r="T184">
        <f t="shared" ref="T184" si="899">S184/1000</f>
        <v>-6.7796237764122225</v>
      </c>
    </row>
    <row r="185" spans="1:20" x14ac:dyDescent="0.25">
      <c r="A185" s="5">
        <v>44408</v>
      </c>
      <c r="B185">
        <v>0.24732999999999999</v>
      </c>
      <c r="C185">
        <v>0.26500000000000001</v>
      </c>
      <c r="D185">
        <v>0.24406</v>
      </c>
      <c r="E185">
        <v>0.25173000000000001</v>
      </c>
      <c r="F185">
        <v>17502760.600000001</v>
      </c>
      <c r="G185">
        <v>0.25173000000000001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-0.26743075453677123</v>
      </c>
      <c r="Q185">
        <f t="shared" ref="Q185" si="901">F185*P185</f>
        <v>-4680776.473734471</v>
      </c>
      <c r="R185">
        <f t="shared" ref="R185" si="902">R186+Q185</f>
        <v>-658346935.14742017</v>
      </c>
      <c r="S185">
        <f t="shared" ref="S185" si="903">R185/100000</f>
        <v>-6583.4693514742021</v>
      </c>
      <c r="T185">
        <f t="shared" ref="T185" si="904">S185/1000</f>
        <v>-6.5834693514742018</v>
      </c>
    </row>
    <row r="186" spans="1:20" x14ac:dyDescent="0.25">
      <c r="A186" s="5">
        <v>44407</v>
      </c>
      <c r="B186">
        <v>0.23993</v>
      </c>
      <c r="C186">
        <v>0.25</v>
      </c>
      <c r="D186">
        <v>0.23205999999999999</v>
      </c>
      <c r="E186">
        <v>0.24729000000000001</v>
      </c>
      <c r="F186">
        <v>15173524</v>
      </c>
      <c r="G186">
        <v>0.24729000000000001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0.69788182831661216</v>
      </c>
      <c r="Q186">
        <f t="shared" ref="Q186" si="906">F186*P186</f>
        <v>10589326.671125995</v>
      </c>
      <c r="R186">
        <f t="shared" ref="R186" si="907">R187+Q186</f>
        <v>-653666158.67368567</v>
      </c>
      <c r="S186">
        <f t="shared" ref="S186" si="908">R186/100000</f>
        <v>-6536.6615867368564</v>
      </c>
      <c r="T186">
        <f t="shared" ref="T186" si="909">S186/1000</f>
        <v>-6.536661586736856</v>
      </c>
    </row>
    <row r="187" spans="1:20" x14ac:dyDescent="0.25">
      <c r="A187" s="5">
        <v>44406</v>
      </c>
      <c r="B187">
        <v>0.23333999999999999</v>
      </c>
      <c r="C187">
        <v>0.24249000000000001</v>
      </c>
      <c r="D187">
        <v>0.22713</v>
      </c>
      <c r="E187">
        <v>0.23980000000000001</v>
      </c>
      <c r="F187">
        <v>11631400.1</v>
      </c>
      <c r="G187">
        <v>0.23980000000000001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0.64973958333333393</v>
      </c>
      <c r="Q187">
        <f t="shared" ref="Q187" si="911">F187*P187</f>
        <v>7557381.0545572983</v>
      </c>
      <c r="R187">
        <f t="shared" ref="R187" si="912">R188+Q187</f>
        <v>-664255485.34481168</v>
      </c>
      <c r="S187">
        <f t="shared" ref="S187" si="913">R187/100000</f>
        <v>-6642.5548534481168</v>
      </c>
      <c r="T187">
        <f t="shared" ref="T187" si="914">S187/1000</f>
        <v>-6.6425548534481171</v>
      </c>
    </row>
    <row r="188" spans="1:20" x14ac:dyDescent="0.25">
      <c r="A188" s="5">
        <v>44405</v>
      </c>
      <c r="B188">
        <v>0.22911999999999999</v>
      </c>
      <c r="C188">
        <v>0.23971000000000001</v>
      </c>
      <c r="D188">
        <v>0.22289999999999999</v>
      </c>
      <c r="E188">
        <v>0.23338999999999999</v>
      </c>
      <c r="F188">
        <v>17656692.300000001</v>
      </c>
      <c r="G188">
        <v>0.23338999999999999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0.24806662700773197</v>
      </c>
      <c r="Q188">
        <f t="shared" ref="Q188" si="916">F188*P188</f>
        <v>4380036.1029743934</v>
      </c>
      <c r="R188">
        <f t="shared" ref="R188" si="917">R189+Q188</f>
        <v>-671812866.399369</v>
      </c>
      <c r="S188">
        <f t="shared" ref="S188" si="918">R188/100000</f>
        <v>-6718.1286639936898</v>
      </c>
      <c r="T188">
        <f t="shared" ref="T188" si="919">S188/1000</f>
        <v>-6.7181286639936895</v>
      </c>
    </row>
    <row r="189" spans="1:20" x14ac:dyDescent="0.25">
      <c r="A189" s="5">
        <v>44404</v>
      </c>
      <c r="B189">
        <v>0.22902</v>
      </c>
      <c r="C189">
        <v>0.23699000000000001</v>
      </c>
      <c r="D189">
        <v>0.22061</v>
      </c>
      <c r="E189">
        <v>0.22911999999999999</v>
      </c>
      <c r="F189">
        <v>17140357.199999999</v>
      </c>
      <c r="G189">
        <v>0.22911999999999999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3.9072039072037469E-2</v>
      </c>
      <c r="Q189">
        <f t="shared" ref="Q189" si="921">F189*P189</f>
        <v>669708.70622707868</v>
      </c>
      <c r="R189">
        <f t="shared" ref="R189" si="922">R190+Q189</f>
        <v>-676192902.50234342</v>
      </c>
      <c r="S189">
        <f t="shared" ref="S189" si="923">R189/100000</f>
        <v>-6761.9290250234344</v>
      </c>
      <c r="T189">
        <f t="shared" ref="T189" si="924">S189/1000</f>
        <v>-6.7619290250234343</v>
      </c>
    </row>
    <row r="190" spans="1:20" x14ac:dyDescent="0.25">
      <c r="A190" s="5">
        <v>44403</v>
      </c>
      <c r="B190">
        <v>0.22463</v>
      </c>
      <c r="C190">
        <v>0.25600000000000001</v>
      </c>
      <c r="D190">
        <v>0.22386</v>
      </c>
      <c r="E190">
        <v>0.22941</v>
      </c>
      <c r="F190">
        <v>37015781.399999999</v>
      </c>
      <c r="G190">
        <v>0.22941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-0.65463596764156817</v>
      </c>
      <c r="Q190">
        <f t="shared" ref="Q190" si="926">F190*P190</f>
        <v>-24231861.874797761</v>
      </c>
      <c r="R190">
        <f t="shared" ref="R190" si="927">R191+Q190</f>
        <v>-676862611.20857048</v>
      </c>
      <c r="S190">
        <f t="shared" ref="S190" si="928">R190/100000</f>
        <v>-6768.6261120857052</v>
      </c>
      <c r="T190">
        <f t="shared" ref="T190" si="929">S190/1000</f>
        <v>-6.7686261120857054</v>
      </c>
    </row>
    <row r="191" spans="1:20" x14ac:dyDescent="0.25">
      <c r="A191" s="5">
        <v>44402</v>
      </c>
      <c r="B191">
        <v>0.21529999999999999</v>
      </c>
      <c r="C191">
        <v>0.22814999999999999</v>
      </c>
      <c r="D191">
        <v>0.21163999999999999</v>
      </c>
      <c r="E191">
        <v>0.22470000000000001</v>
      </c>
      <c r="F191">
        <v>15002119.699999999</v>
      </c>
      <c r="G191">
        <v>0.22470000000000001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0.58207147183525365</v>
      </c>
      <c r="Q191">
        <f t="shared" ref="Q191" si="931">F191*P191</f>
        <v>8732305.8944276534</v>
      </c>
      <c r="R191">
        <f t="shared" ref="R191" si="932">R192+Q191</f>
        <v>-652630749.33377278</v>
      </c>
      <c r="S191">
        <f t="shared" ref="S191" si="933">R191/100000</f>
        <v>-6526.3074933377275</v>
      </c>
      <c r="T191">
        <f t="shared" ref="T191:T197" si="934">S191/1000</f>
        <v>-6.5263074933377272</v>
      </c>
    </row>
    <row r="192" spans="1:20" x14ac:dyDescent="0.25">
      <c r="A192" s="5">
        <v>44401</v>
      </c>
      <c r="B192">
        <v>0.21134</v>
      </c>
      <c r="C192">
        <v>0.21990000000000001</v>
      </c>
      <c r="D192">
        <v>0.20977000000000001</v>
      </c>
      <c r="E192">
        <v>0.21543999999999999</v>
      </c>
      <c r="F192">
        <v>9741224.5999999996</v>
      </c>
      <c r="G192">
        <v>0.21543999999999999</v>
      </c>
      <c r="L192" t="s">
        <v>8</v>
      </c>
      <c r="M192" t="s">
        <v>7</v>
      </c>
      <c r="N192" t="s">
        <v>7</v>
      </c>
      <c r="P192">
        <f t="shared" ref="P192" si="935">IF(C192=D192,0,((E192-D192)-(C192-E192))/(C192-D192))</f>
        <v>0.11944718657452726</v>
      </c>
      <c r="Q192">
        <f t="shared" ref="Q192" si="936">F192*P192</f>
        <v>1163561.8722605745</v>
      </c>
      <c r="R192">
        <f t="shared" ref="R192" si="937">R193+Q192</f>
        <v>-661363055.22820044</v>
      </c>
      <c r="S192">
        <f t="shared" ref="S192" si="938">R192/100000</f>
        <v>-6613.6305522820039</v>
      </c>
      <c r="T192">
        <f t="shared" si="934"/>
        <v>-6.6136305522820038</v>
      </c>
    </row>
    <row r="193" spans="1:20" x14ac:dyDescent="0.25">
      <c r="A193" s="5">
        <v>44400</v>
      </c>
      <c r="B193">
        <v>0.21046999999999999</v>
      </c>
      <c r="C193">
        <v>0.21421999999999999</v>
      </c>
      <c r="D193">
        <v>0.20335</v>
      </c>
      <c r="E193">
        <v>0.21132000000000001</v>
      </c>
      <c r="F193">
        <v>9310847.0999999996</v>
      </c>
      <c r="G193">
        <v>0.21132000000000001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0.46642134314627631</v>
      </c>
      <c r="Q193">
        <f t="shared" ref="Q193" si="940">F193*P193</f>
        <v>4342777.8102116119</v>
      </c>
      <c r="R193">
        <f t="shared" ref="R193" si="941">R194+Q193</f>
        <v>-662526617.10046101</v>
      </c>
      <c r="S193">
        <f t="shared" ref="S193" si="942">R193/100000</f>
        <v>-6625.2661710046104</v>
      </c>
      <c r="T193">
        <f t="shared" si="934"/>
        <v>-6.6252661710046103</v>
      </c>
    </row>
    <row r="194" spans="1:20" x14ac:dyDescent="0.25">
      <c r="A194" s="5">
        <v>44399</v>
      </c>
      <c r="B194">
        <v>0.20282</v>
      </c>
      <c r="C194">
        <v>0.21578</v>
      </c>
      <c r="D194">
        <v>0.20100999999999999</v>
      </c>
      <c r="E194">
        <v>0.21065</v>
      </c>
      <c r="F194">
        <v>13617893.699999999</v>
      </c>
      <c r="G194">
        <v>0.21065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0.30534867975626351</v>
      </c>
      <c r="Q194">
        <f t="shared" ref="Q194" si="944">F194*P194</f>
        <v>4158205.8623561379</v>
      </c>
      <c r="R194">
        <f t="shared" ref="R194" si="945">R195+Q194</f>
        <v>-666869394.91067266</v>
      </c>
      <c r="S194">
        <f t="shared" ref="S194" si="946">R194/100000</f>
        <v>-6668.6939491067269</v>
      </c>
      <c r="T194">
        <f t="shared" si="934"/>
        <v>-6.6686939491067267</v>
      </c>
    </row>
    <row r="195" spans="1:20" x14ac:dyDescent="0.25">
      <c r="A195" s="5">
        <v>44398</v>
      </c>
      <c r="B195">
        <v>0.18808</v>
      </c>
      <c r="C195">
        <v>0.20588999999999999</v>
      </c>
      <c r="D195">
        <v>0.18337000000000001</v>
      </c>
      <c r="E195">
        <v>0.20265</v>
      </c>
      <c r="F195">
        <v>18807319.199999999</v>
      </c>
      <c r="G195">
        <v>0.20265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0.71225577264653683</v>
      </c>
      <c r="Q195">
        <f t="shared" ref="Q195" si="948">F195*P195</f>
        <v>13395621.668206047</v>
      </c>
      <c r="R195">
        <f t="shared" ref="R195" si="949">R196+Q195</f>
        <v>-671027600.77302885</v>
      </c>
      <c r="S195">
        <f t="shared" ref="S195" si="950">R195/100000</f>
        <v>-6710.2760077302883</v>
      </c>
      <c r="T195">
        <f t="shared" si="934"/>
        <v>-6.7102760077302879</v>
      </c>
    </row>
    <row r="196" spans="1:20" x14ac:dyDescent="0.25">
      <c r="A196" s="5">
        <v>44397</v>
      </c>
      <c r="B196">
        <v>0.20053000000000001</v>
      </c>
      <c r="C196">
        <v>0.20319000000000001</v>
      </c>
      <c r="D196">
        <v>0.18336</v>
      </c>
      <c r="E196">
        <v>0.18801000000000001</v>
      </c>
      <c r="F196">
        <v>13861126</v>
      </c>
      <c r="G196">
        <v>0.18801000000000001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-0.53101361573373551</v>
      </c>
      <c r="Q196">
        <f t="shared" ref="Q196" si="952">F196*P196</f>
        <v>-7360446.6354008904</v>
      </c>
      <c r="R196">
        <f t="shared" ref="R196" si="953">R197+Q196</f>
        <v>-684423222.44123495</v>
      </c>
      <c r="S196">
        <f t="shared" ref="S196" si="954">R196/100000</f>
        <v>-6844.2322244123498</v>
      </c>
      <c r="T196">
        <f t="shared" si="934"/>
        <v>-6.8442322244123499</v>
      </c>
    </row>
    <row r="197" spans="1:20" x14ac:dyDescent="0.25">
      <c r="A197" s="5">
        <v>44396</v>
      </c>
      <c r="B197">
        <v>0.21153</v>
      </c>
      <c r="C197">
        <v>0.21246000000000001</v>
      </c>
      <c r="D197">
        <v>0.19867000000000001</v>
      </c>
      <c r="E197">
        <v>0.20052</v>
      </c>
      <c r="F197">
        <v>9351779.4000000004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-0.73168963016678878</v>
      </c>
      <c r="Q197">
        <f t="shared" ref="Q197" si="956">F197*P197</f>
        <v>-6842600.0105873942</v>
      </c>
      <c r="R197">
        <f t="shared" ref="R197" si="957">R198+Q197</f>
        <v>-677062775.80583405</v>
      </c>
      <c r="S197">
        <f t="shared" ref="S197" si="958">R197/100000</f>
        <v>-6770.627758058341</v>
      </c>
      <c r="T197">
        <f t="shared" si="934"/>
        <v>-6.7706277580583407</v>
      </c>
    </row>
    <row r="198" spans="1:20" x14ac:dyDescent="0.25">
      <c r="A198" s="5">
        <v>44395</v>
      </c>
      <c r="B198">
        <v>0.20760000000000001</v>
      </c>
      <c r="C198">
        <v>0.22201000000000001</v>
      </c>
      <c r="D198">
        <v>0.20729</v>
      </c>
      <c r="E198">
        <v>0.21145</v>
      </c>
      <c r="F198">
        <v>14746173.4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-0.43478260869565299</v>
      </c>
      <c r="Q198">
        <f t="shared" ref="Q198:Q261" si="960">F198*P198</f>
        <v>-6411379.7391304467</v>
      </c>
      <c r="R198">
        <f t="shared" ref="R198:R261" si="961">R199+Q198</f>
        <v>-670220175.79524672</v>
      </c>
      <c r="S198">
        <f t="shared" ref="S198:S261" si="962">R198/100000</f>
        <v>-6702.2017579524672</v>
      </c>
      <c r="T198">
        <f t="shared" ref="T198:T261" si="963">S198/1000</f>
        <v>-6.7022017579524675</v>
      </c>
    </row>
    <row r="199" spans="1:20" x14ac:dyDescent="0.25">
      <c r="A199" s="5">
        <v>44394</v>
      </c>
      <c r="B199">
        <v>0.20743</v>
      </c>
      <c r="C199">
        <v>0.21451999999999999</v>
      </c>
      <c r="D199">
        <v>0.20615</v>
      </c>
      <c r="E199">
        <v>0.20746999999999999</v>
      </c>
      <c r="F199">
        <v>13426648.4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-0.68458781362007415</v>
      </c>
      <c r="Q199">
        <f t="shared" si="960"/>
        <v>-9191719.8724014666</v>
      </c>
      <c r="R199">
        <f t="shared" si="961"/>
        <v>-663808796.05611622</v>
      </c>
      <c r="S199">
        <f t="shared" si="962"/>
        <v>-6638.0879605611626</v>
      </c>
      <c r="T199">
        <f t="shared" si="963"/>
        <v>-6.6380879605611627</v>
      </c>
    </row>
    <row r="200" spans="1:20" x14ac:dyDescent="0.25">
      <c r="A200" s="5">
        <v>44393</v>
      </c>
      <c r="B200">
        <v>0.22322</v>
      </c>
      <c r="C200">
        <v>0.22599</v>
      </c>
      <c r="D200">
        <v>0.20705999999999999</v>
      </c>
      <c r="E200">
        <v>0.20757999999999999</v>
      </c>
      <c r="F200">
        <v>15260415.1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-0.94506075013206625</v>
      </c>
      <c r="Q200">
        <f t="shared" si="960"/>
        <v>-14422019.341732711</v>
      </c>
      <c r="R200">
        <f t="shared" si="961"/>
        <v>-654617076.18371475</v>
      </c>
      <c r="S200">
        <f t="shared" si="962"/>
        <v>-6546.1707618371474</v>
      </c>
      <c r="T200">
        <f t="shared" si="963"/>
        <v>-6.5461707618371472</v>
      </c>
    </row>
    <row r="201" spans="1:20" x14ac:dyDescent="0.25">
      <c r="A201" s="5">
        <v>44392</v>
      </c>
      <c r="B201">
        <v>0.23250999999999999</v>
      </c>
      <c r="C201">
        <v>0.24640999999999999</v>
      </c>
      <c r="D201">
        <v>0.22037999999999999</v>
      </c>
      <c r="E201">
        <v>0.22316</v>
      </c>
      <c r="F201">
        <v>26801605.800000001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-0.78640030733768695</v>
      </c>
      <c r="Q201">
        <f t="shared" si="960"/>
        <v>-21076791.038263533</v>
      </c>
      <c r="R201">
        <f t="shared" si="961"/>
        <v>-640195056.84198201</v>
      </c>
      <c r="S201">
        <f t="shared" si="962"/>
        <v>-6401.9505684198202</v>
      </c>
      <c r="T201">
        <f t="shared" si="963"/>
        <v>-6.4019505684198199</v>
      </c>
    </row>
    <row r="202" spans="1:20" x14ac:dyDescent="0.25">
      <c r="A202" s="5">
        <v>44391</v>
      </c>
      <c r="B202">
        <v>0.22331999999999999</v>
      </c>
      <c r="C202">
        <v>0.24729000000000001</v>
      </c>
      <c r="D202">
        <v>0.21174999999999999</v>
      </c>
      <c r="E202">
        <v>0.2326</v>
      </c>
      <c r="F202">
        <v>23880371.800000001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0.17332583005064706</v>
      </c>
      <c r="Q202">
        <f t="shared" si="960"/>
        <v>4139085.2641530647</v>
      </c>
      <c r="R202">
        <f t="shared" si="961"/>
        <v>-619118265.80371845</v>
      </c>
      <c r="S202">
        <f t="shared" si="962"/>
        <v>-6191.1826580371844</v>
      </c>
      <c r="T202">
        <f t="shared" si="963"/>
        <v>-6.1911826580371843</v>
      </c>
    </row>
    <row r="203" spans="1:20" x14ac:dyDescent="0.25">
      <c r="A203" s="5">
        <v>44390</v>
      </c>
      <c r="B203">
        <v>0.23147999999999999</v>
      </c>
      <c r="C203">
        <v>0.23344000000000001</v>
      </c>
      <c r="D203">
        <v>0.21934000000000001</v>
      </c>
      <c r="E203">
        <v>0.22320999999999999</v>
      </c>
      <c r="F203">
        <v>7935022.7999999998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-0.4510638297872363</v>
      </c>
      <c r="Q203">
        <f t="shared" si="960"/>
        <v>-3579201.773617039</v>
      </c>
      <c r="R203">
        <f t="shared" si="961"/>
        <v>-623257351.06787157</v>
      </c>
      <c r="S203">
        <f t="shared" si="962"/>
        <v>-6232.573510678716</v>
      </c>
      <c r="T203">
        <f t="shared" si="963"/>
        <v>-6.2325735106787157</v>
      </c>
    </row>
    <row r="204" spans="1:20" x14ac:dyDescent="0.25">
      <c r="A204" s="5">
        <v>44389</v>
      </c>
      <c r="B204">
        <v>0.23580000000000001</v>
      </c>
      <c r="C204">
        <v>0.24143000000000001</v>
      </c>
      <c r="D204">
        <v>0.22750000000000001</v>
      </c>
      <c r="E204">
        <v>0.23208000000000001</v>
      </c>
      <c r="F204">
        <v>8694036</v>
      </c>
      <c r="G204">
        <v>0</v>
      </c>
      <c r="L204" t="s">
        <v>8</v>
      </c>
      <c r="M204" t="s">
        <v>7</v>
      </c>
      <c r="N204" t="s">
        <v>7</v>
      </c>
      <c r="P204">
        <f t="shared" si="959"/>
        <v>-0.34242641780330202</v>
      </c>
      <c r="Q204">
        <f t="shared" si="960"/>
        <v>-2977067.6037329487</v>
      </c>
      <c r="R204">
        <f t="shared" si="961"/>
        <v>-619678149.29425454</v>
      </c>
      <c r="S204">
        <f t="shared" si="962"/>
        <v>-6196.7814929425458</v>
      </c>
      <c r="T204">
        <f t="shared" si="963"/>
        <v>-6.196781492942546</v>
      </c>
    </row>
    <row r="205" spans="1:20" x14ac:dyDescent="0.25">
      <c r="A205" s="5">
        <v>44388</v>
      </c>
      <c r="B205">
        <v>0.23502000000000001</v>
      </c>
      <c r="C205">
        <v>0.2397</v>
      </c>
      <c r="D205">
        <v>0.23052</v>
      </c>
      <c r="E205">
        <v>0.23569999999999999</v>
      </c>
      <c r="F205">
        <v>9777724</v>
      </c>
      <c r="G205">
        <v>0</v>
      </c>
      <c r="L205" t="s">
        <v>8</v>
      </c>
      <c r="M205" t="s">
        <v>7</v>
      </c>
      <c r="N205" t="s">
        <v>7</v>
      </c>
      <c r="P205">
        <f t="shared" si="959"/>
        <v>0.12854030501089186</v>
      </c>
      <c r="Q205">
        <f t="shared" si="960"/>
        <v>1256831.6252723176</v>
      </c>
      <c r="R205">
        <f t="shared" si="961"/>
        <v>-616701081.6905216</v>
      </c>
      <c r="S205">
        <f t="shared" si="962"/>
        <v>-6167.0108169052164</v>
      </c>
      <c r="T205">
        <f t="shared" si="963"/>
        <v>-6.1670108169052167</v>
      </c>
    </row>
    <row r="206" spans="1:20" x14ac:dyDescent="0.25">
      <c r="A206" s="5">
        <v>44387</v>
      </c>
      <c r="B206">
        <v>0.23821999999999999</v>
      </c>
      <c r="C206">
        <v>0.24160999999999999</v>
      </c>
      <c r="D206">
        <v>0.22839999999999999</v>
      </c>
      <c r="E206">
        <v>0.23516999999999999</v>
      </c>
      <c r="F206">
        <v>10353585.199999999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2.4981074943224602E-2</v>
      </c>
      <c r="Q206">
        <f t="shared" si="960"/>
        <v>258643.68781226105</v>
      </c>
      <c r="R206">
        <f t="shared" si="961"/>
        <v>-617957913.31579387</v>
      </c>
      <c r="S206">
        <f t="shared" si="962"/>
        <v>-6179.5791331579385</v>
      </c>
      <c r="T206">
        <f t="shared" si="963"/>
        <v>-6.1795791331579384</v>
      </c>
    </row>
    <row r="207" spans="1:20" x14ac:dyDescent="0.25">
      <c r="A207" s="5">
        <v>44386</v>
      </c>
      <c r="B207">
        <v>0.23630999999999999</v>
      </c>
      <c r="C207">
        <v>0.24037</v>
      </c>
      <c r="D207">
        <v>0.22578000000000001</v>
      </c>
      <c r="E207">
        <v>0.23821999999999999</v>
      </c>
      <c r="F207">
        <v>14731086.1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0.70527758738862034</v>
      </c>
      <c r="Q207">
        <f t="shared" si="960"/>
        <v>10389504.86422204</v>
      </c>
      <c r="R207">
        <f t="shared" si="961"/>
        <v>-618216557.00360608</v>
      </c>
      <c r="S207">
        <f t="shared" si="962"/>
        <v>-6182.1655700360607</v>
      </c>
      <c r="T207">
        <f t="shared" si="963"/>
        <v>-6.1821655700360605</v>
      </c>
    </row>
    <row r="208" spans="1:20" x14ac:dyDescent="0.25">
      <c r="A208" s="5">
        <v>44385</v>
      </c>
      <c r="B208">
        <v>0.25731999999999999</v>
      </c>
      <c r="C208">
        <v>0.25852999999999998</v>
      </c>
      <c r="D208">
        <v>0.23216000000000001</v>
      </c>
      <c r="E208">
        <v>0.23638000000000001</v>
      </c>
      <c r="F208">
        <v>16051288.5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-0.67993932499051912</v>
      </c>
      <c r="Q208">
        <f t="shared" si="960"/>
        <v>-10913902.267918082</v>
      </c>
      <c r="R208">
        <f t="shared" si="961"/>
        <v>-628606061.86782813</v>
      </c>
      <c r="S208">
        <f t="shared" si="962"/>
        <v>-6286.0606186782816</v>
      </c>
      <c r="T208">
        <f t="shared" si="963"/>
        <v>-6.2860606186782819</v>
      </c>
    </row>
    <row r="209" spans="1:20" x14ac:dyDescent="0.25">
      <c r="A209" s="5">
        <v>44384</v>
      </c>
      <c r="B209">
        <v>0.25874000000000003</v>
      </c>
      <c r="C209">
        <v>0.27233000000000002</v>
      </c>
      <c r="D209">
        <v>0.25542999999999999</v>
      </c>
      <c r="E209">
        <v>0.25689000000000001</v>
      </c>
      <c r="F209">
        <v>21124420</v>
      </c>
      <c r="G209">
        <v>0</v>
      </c>
      <c r="L209" t="s">
        <v>8</v>
      </c>
      <c r="M209" t="s">
        <v>7</v>
      </c>
      <c r="N209" t="s">
        <v>7</v>
      </c>
      <c r="P209">
        <f t="shared" si="959"/>
        <v>-0.82721893491124088</v>
      </c>
      <c r="Q209">
        <f t="shared" si="960"/>
        <v>-17474520.213017713</v>
      </c>
      <c r="R209">
        <f t="shared" si="961"/>
        <v>-617692159.59991002</v>
      </c>
      <c r="S209">
        <f t="shared" si="962"/>
        <v>-6176.9215959991006</v>
      </c>
      <c r="T209">
        <f t="shared" si="963"/>
        <v>-6.1769215959991008</v>
      </c>
    </row>
    <row r="210" spans="1:20" x14ac:dyDescent="0.25">
      <c r="A210" s="5">
        <v>44383</v>
      </c>
      <c r="B210">
        <v>0.24757999999999999</v>
      </c>
      <c r="C210">
        <v>0.26157999999999998</v>
      </c>
      <c r="D210">
        <v>0.24718999999999999</v>
      </c>
      <c r="E210">
        <v>0.25900000000000001</v>
      </c>
      <c r="F210">
        <v>17168428.800000001</v>
      </c>
      <c r="G210">
        <v>0</v>
      </c>
      <c r="L210" t="s">
        <v>8</v>
      </c>
      <c r="M210" t="s">
        <v>7</v>
      </c>
      <c r="N210" t="s">
        <v>7</v>
      </c>
      <c r="P210">
        <f t="shared" si="959"/>
        <v>0.64141765114663329</v>
      </c>
      <c r="Q210">
        <f t="shared" si="960"/>
        <v>11012133.274774212</v>
      </c>
      <c r="R210">
        <f t="shared" si="961"/>
        <v>-600217639.38689232</v>
      </c>
      <c r="S210">
        <f t="shared" si="962"/>
        <v>-6002.1763938689228</v>
      </c>
      <c r="T210">
        <f t="shared" si="963"/>
        <v>-6.0021763938689228</v>
      </c>
    </row>
    <row r="211" spans="1:20" x14ac:dyDescent="0.25">
      <c r="A211" s="5">
        <v>44382</v>
      </c>
      <c r="B211">
        <v>0.25757999999999998</v>
      </c>
      <c r="C211">
        <v>0.25867000000000001</v>
      </c>
      <c r="D211">
        <v>0.24299999999999999</v>
      </c>
      <c r="E211">
        <v>0.24742</v>
      </c>
      <c r="F211">
        <v>9395624.1999999993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-0.43586470963624729</v>
      </c>
      <c r="Q211">
        <f t="shared" si="960"/>
        <v>-4095221.0137842977</v>
      </c>
      <c r="R211">
        <f t="shared" si="961"/>
        <v>-611229772.66166651</v>
      </c>
      <c r="S211">
        <f t="shared" si="962"/>
        <v>-6112.2977266166654</v>
      </c>
      <c r="T211">
        <f t="shared" si="963"/>
        <v>-6.1122977266166654</v>
      </c>
    </row>
    <row r="212" spans="1:20" x14ac:dyDescent="0.25">
      <c r="A212" s="5">
        <v>44381</v>
      </c>
      <c r="B212">
        <v>0.25921</v>
      </c>
      <c r="C212">
        <v>0.26751000000000003</v>
      </c>
      <c r="D212">
        <v>0.25080999999999998</v>
      </c>
      <c r="E212">
        <v>0.25802999999999998</v>
      </c>
      <c r="F212">
        <v>12868334.4</v>
      </c>
      <c r="G212">
        <v>0</v>
      </c>
      <c r="L212" t="s">
        <v>8</v>
      </c>
      <c r="M212" t="s">
        <v>7</v>
      </c>
      <c r="N212" t="s">
        <v>7</v>
      </c>
      <c r="P212">
        <f t="shared" si="959"/>
        <v>-0.13532934131736726</v>
      </c>
      <c r="Q212">
        <f t="shared" si="960"/>
        <v>-1741463.2182036184</v>
      </c>
      <c r="R212">
        <f t="shared" si="961"/>
        <v>-607134551.64788222</v>
      </c>
      <c r="S212">
        <f t="shared" si="962"/>
        <v>-6071.345516478822</v>
      </c>
      <c r="T212">
        <f t="shared" si="963"/>
        <v>-6.0713455164788224</v>
      </c>
    </row>
    <row r="213" spans="1:20" x14ac:dyDescent="0.25">
      <c r="A213" s="5">
        <v>44380</v>
      </c>
      <c r="B213">
        <v>0.24965999999999999</v>
      </c>
      <c r="C213">
        <v>0.26900000000000002</v>
      </c>
      <c r="D213">
        <v>0.24478</v>
      </c>
      <c r="E213">
        <v>0.25944</v>
      </c>
      <c r="F213">
        <v>16697774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0.21056977704376503</v>
      </c>
      <c r="Q213">
        <f t="shared" si="960"/>
        <v>3516046.5483071767</v>
      </c>
      <c r="R213">
        <f t="shared" si="961"/>
        <v>-605393088.42967856</v>
      </c>
      <c r="S213">
        <f t="shared" si="962"/>
        <v>-6053.9308842967857</v>
      </c>
      <c r="T213">
        <f t="shared" si="963"/>
        <v>-6.0539308842967854</v>
      </c>
    </row>
    <row r="214" spans="1:20" x14ac:dyDescent="0.25">
      <c r="A214" s="5">
        <v>44379</v>
      </c>
      <c r="B214">
        <v>0.24945999999999999</v>
      </c>
      <c r="C214">
        <v>0.25233</v>
      </c>
      <c r="D214">
        <v>0.23909</v>
      </c>
      <c r="E214">
        <v>0.24948000000000001</v>
      </c>
      <c r="F214">
        <v>12008425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0.56948640483383817</v>
      </c>
      <c r="Q214">
        <f t="shared" si="960"/>
        <v>6838634.7809667829</v>
      </c>
      <c r="R214">
        <f t="shared" si="961"/>
        <v>-608909134.97798574</v>
      </c>
      <c r="S214">
        <f t="shared" si="962"/>
        <v>-6089.0913497798574</v>
      </c>
      <c r="T214">
        <f t="shared" si="963"/>
        <v>-6.0890913497798573</v>
      </c>
    </row>
    <row r="215" spans="1:20" x14ac:dyDescent="0.25">
      <c r="A215" s="5">
        <v>44378</v>
      </c>
      <c r="B215">
        <v>0.26794000000000001</v>
      </c>
      <c r="C215">
        <v>0.26990999999999998</v>
      </c>
      <c r="D215">
        <v>0.24543000000000001</v>
      </c>
      <c r="E215">
        <v>0.24997</v>
      </c>
      <c r="F215">
        <v>14816368.1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-0.62908496732026198</v>
      </c>
      <c r="Q215">
        <f t="shared" si="960"/>
        <v>-9320754.4419934712</v>
      </c>
      <c r="R215">
        <f t="shared" si="961"/>
        <v>-615747769.7589525</v>
      </c>
      <c r="S215">
        <f t="shared" si="962"/>
        <v>-6157.4776975895247</v>
      </c>
      <c r="T215">
        <f t="shared" si="963"/>
        <v>-6.1574776975895249</v>
      </c>
    </row>
    <row r="216" spans="1:20" x14ac:dyDescent="0.25">
      <c r="A216" s="5">
        <v>44377</v>
      </c>
      <c r="B216">
        <v>0.27840999999999999</v>
      </c>
      <c r="C216">
        <v>0.28315000000000001</v>
      </c>
      <c r="D216">
        <v>0.25600000000000001</v>
      </c>
      <c r="E216">
        <v>0.26794000000000001</v>
      </c>
      <c r="F216">
        <v>23870839.399999999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-0.12044198895027602</v>
      </c>
      <c r="Q216">
        <f t="shared" si="960"/>
        <v>-2875051.3752486133</v>
      </c>
      <c r="R216">
        <f t="shared" si="961"/>
        <v>-606427015.31695902</v>
      </c>
      <c r="S216">
        <f t="shared" si="962"/>
        <v>-6064.2701531695902</v>
      </c>
      <c r="T216">
        <f t="shared" si="963"/>
        <v>-6.0642701531695904</v>
      </c>
    </row>
    <row r="217" spans="1:20" x14ac:dyDescent="0.25">
      <c r="A217" s="5">
        <v>44376</v>
      </c>
      <c r="B217">
        <v>0.27931</v>
      </c>
      <c r="C217">
        <v>0.29715999999999998</v>
      </c>
      <c r="D217">
        <v>0.27628999999999998</v>
      </c>
      <c r="E217">
        <v>0.27859</v>
      </c>
      <c r="F217">
        <v>42955574.100000001</v>
      </c>
      <c r="G217">
        <v>0</v>
      </c>
      <c r="L217" t="s">
        <v>8</v>
      </c>
      <c r="M217" t="s">
        <v>7</v>
      </c>
      <c r="N217" t="s">
        <v>8</v>
      </c>
      <c r="P217">
        <f t="shared" si="959"/>
        <v>-0.77958792525155496</v>
      </c>
      <c r="Q217">
        <f t="shared" si="960"/>
        <v>-33487646.89060843</v>
      </c>
      <c r="R217">
        <f t="shared" si="961"/>
        <v>-603551963.94171035</v>
      </c>
      <c r="S217">
        <f t="shared" si="962"/>
        <v>-6035.5196394171035</v>
      </c>
      <c r="T217">
        <f t="shared" si="963"/>
        <v>-6.0355196394171031</v>
      </c>
    </row>
    <row r="218" spans="1:20" x14ac:dyDescent="0.25">
      <c r="A218" s="5">
        <v>44375</v>
      </c>
      <c r="B218">
        <v>0.27768999999999999</v>
      </c>
      <c r="C218">
        <v>0.30199999999999999</v>
      </c>
      <c r="D218">
        <v>0.2656</v>
      </c>
      <c r="E218">
        <v>0.27938000000000002</v>
      </c>
      <c r="F218">
        <v>121665262.2</v>
      </c>
      <c r="G218">
        <v>0</v>
      </c>
      <c r="L218" t="s">
        <v>7</v>
      </c>
      <c r="M218" t="s">
        <v>7</v>
      </c>
      <c r="N218" t="s">
        <v>8</v>
      </c>
      <c r="P218">
        <f t="shared" si="959"/>
        <v>-0.2428571428571418</v>
      </c>
      <c r="Q218">
        <f t="shared" si="960"/>
        <v>-29547277.962857015</v>
      </c>
      <c r="R218">
        <f t="shared" si="961"/>
        <v>-570064317.05110192</v>
      </c>
      <c r="S218">
        <f t="shared" si="962"/>
        <v>-5700.643170511019</v>
      </c>
      <c r="T218">
        <f t="shared" si="963"/>
        <v>-5.700643170511019</v>
      </c>
    </row>
    <row r="219" spans="1:20" x14ac:dyDescent="0.25">
      <c r="A219" s="5">
        <v>44374</v>
      </c>
      <c r="B219">
        <v>0.21071999999999999</v>
      </c>
      <c r="C219">
        <v>0.32751000000000002</v>
      </c>
      <c r="D219">
        <v>0.20862</v>
      </c>
      <c r="E219">
        <v>0.27809</v>
      </c>
      <c r="F219">
        <v>216941366.09999999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0.16864328370762874</v>
      </c>
      <c r="Q219">
        <f t="shared" si="960"/>
        <v>36585704.351122849</v>
      </c>
      <c r="R219">
        <f t="shared" si="961"/>
        <v>-540517039.08824492</v>
      </c>
      <c r="S219">
        <f t="shared" si="962"/>
        <v>-5405.1703908824493</v>
      </c>
      <c r="T219">
        <f t="shared" si="963"/>
        <v>-5.4051703908824491</v>
      </c>
    </row>
    <row r="220" spans="1:20" x14ac:dyDescent="0.25">
      <c r="A220" s="5">
        <v>44373</v>
      </c>
      <c r="B220">
        <v>0.20605000000000001</v>
      </c>
      <c r="C220">
        <v>0.21243999999999999</v>
      </c>
      <c r="D220">
        <v>0.19719</v>
      </c>
      <c r="E220">
        <v>0.21079000000000001</v>
      </c>
      <c r="F220">
        <v>18640407.600000001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0.78360655737705098</v>
      </c>
      <c r="Q220">
        <f t="shared" si="960"/>
        <v>14606745.627541019</v>
      </c>
      <c r="R220">
        <f t="shared" si="961"/>
        <v>-577102743.43936777</v>
      </c>
      <c r="S220">
        <f t="shared" si="962"/>
        <v>-5771.027434393678</v>
      </c>
      <c r="T220">
        <f t="shared" si="963"/>
        <v>-5.7710274343936785</v>
      </c>
    </row>
    <row r="221" spans="1:20" x14ac:dyDescent="0.25">
      <c r="A221" s="5">
        <v>44372</v>
      </c>
      <c r="B221">
        <v>0.22352</v>
      </c>
      <c r="C221">
        <v>0.23302</v>
      </c>
      <c r="D221">
        <v>0.20482</v>
      </c>
      <c r="E221">
        <v>0.20565</v>
      </c>
      <c r="F221">
        <v>21073982.699999999</v>
      </c>
      <c r="G221">
        <v>0</v>
      </c>
      <c r="L221" t="s">
        <v>8</v>
      </c>
      <c r="M221" t="s">
        <v>8</v>
      </c>
      <c r="N221" t="s">
        <v>7</v>
      </c>
      <c r="P221">
        <f t="shared" si="959"/>
        <v>-0.94113475177304984</v>
      </c>
      <c r="Q221">
        <f t="shared" si="960"/>
        <v>-19833457.477234047</v>
      </c>
      <c r="R221">
        <f t="shared" si="961"/>
        <v>-591709489.06690884</v>
      </c>
      <c r="S221">
        <f t="shared" si="962"/>
        <v>-5917.0948906690883</v>
      </c>
      <c r="T221">
        <f t="shared" si="963"/>
        <v>-5.9170948906690883</v>
      </c>
    </row>
    <row r="222" spans="1:20" x14ac:dyDescent="0.25">
      <c r="A222" s="5">
        <v>44371</v>
      </c>
      <c r="B222">
        <v>0.21726999999999999</v>
      </c>
      <c r="C222">
        <v>0.22725999999999999</v>
      </c>
      <c r="D222">
        <v>0.20413000000000001</v>
      </c>
      <c r="E222">
        <v>0.22337000000000001</v>
      </c>
      <c r="F222">
        <v>15719679.1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0.66364029399049029</v>
      </c>
      <c r="Q222">
        <f t="shared" si="960"/>
        <v>10432212.459360166</v>
      </c>
      <c r="R222">
        <f t="shared" si="961"/>
        <v>-571876031.58967483</v>
      </c>
      <c r="S222">
        <f t="shared" si="962"/>
        <v>-5718.7603158967486</v>
      </c>
      <c r="T222">
        <f t="shared" si="963"/>
        <v>-5.7187603158967484</v>
      </c>
    </row>
    <row r="223" spans="1:20" x14ac:dyDescent="0.25">
      <c r="A223" s="5">
        <v>44370</v>
      </c>
      <c r="B223">
        <v>0.19974</v>
      </c>
      <c r="C223">
        <v>0.22309000000000001</v>
      </c>
      <c r="D223">
        <v>0.19370000000000001</v>
      </c>
      <c r="E223">
        <v>0.21712000000000001</v>
      </c>
      <c r="F223">
        <v>17572680.5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0.59373936713167719</v>
      </c>
      <c r="Q223">
        <f t="shared" si="960"/>
        <v>10433592.198877165</v>
      </c>
      <c r="R223">
        <f t="shared" si="961"/>
        <v>-582308244.04903495</v>
      </c>
      <c r="S223">
        <f t="shared" si="962"/>
        <v>-5823.0824404903497</v>
      </c>
      <c r="T223">
        <f t="shared" si="963"/>
        <v>-5.8230824404903494</v>
      </c>
    </row>
    <row r="224" spans="1:20" x14ac:dyDescent="0.25">
      <c r="A224" s="5">
        <v>44369</v>
      </c>
      <c r="B224">
        <v>0.21301999999999999</v>
      </c>
      <c r="C224">
        <v>0.22223999999999999</v>
      </c>
      <c r="D224">
        <v>0.17419999999999999</v>
      </c>
      <c r="E224">
        <v>0.20030000000000001</v>
      </c>
      <c r="F224">
        <v>28762085.300000001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8.6594504579517589E-2</v>
      </c>
      <c r="Q224">
        <f t="shared" si="960"/>
        <v>2490638.5272273258</v>
      </c>
      <c r="R224">
        <f t="shared" si="961"/>
        <v>-592741836.24791217</v>
      </c>
      <c r="S224">
        <f t="shared" si="962"/>
        <v>-5927.4183624791212</v>
      </c>
      <c r="T224">
        <f t="shared" si="963"/>
        <v>-5.9274183624791217</v>
      </c>
    </row>
    <row r="225" spans="1:20" x14ac:dyDescent="0.25">
      <c r="A225" s="5">
        <v>44368</v>
      </c>
      <c r="B225">
        <v>0.27089000000000002</v>
      </c>
      <c r="C225">
        <v>0.27231</v>
      </c>
      <c r="D225">
        <v>0.21257000000000001</v>
      </c>
      <c r="E225">
        <v>0.21299000000000001</v>
      </c>
      <c r="F225">
        <v>19651139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-0.98593906930030117</v>
      </c>
      <c r="Q225">
        <f t="shared" si="960"/>
        <v>-19374825.69635085</v>
      </c>
      <c r="R225">
        <f t="shared" si="961"/>
        <v>-595232474.77513945</v>
      </c>
      <c r="S225">
        <f t="shared" si="962"/>
        <v>-5952.3247477513942</v>
      </c>
      <c r="T225">
        <f t="shared" si="963"/>
        <v>-5.9523247477513941</v>
      </c>
    </row>
    <row r="226" spans="1:20" x14ac:dyDescent="0.25">
      <c r="A226" s="5">
        <v>44367</v>
      </c>
      <c r="B226">
        <v>0.26812000000000002</v>
      </c>
      <c r="C226">
        <v>0.27228999999999998</v>
      </c>
      <c r="D226">
        <v>0.24528</v>
      </c>
      <c r="E226">
        <v>0.27050999999999997</v>
      </c>
      <c r="F226">
        <v>12997085.6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0.86819696408737468</v>
      </c>
      <c r="Q226">
        <f t="shared" si="960"/>
        <v>11284030.259903735</v>
      </c>
      <c r="R226">
        <f t="shared" si="961"/>
        <v>-575857649.07878864</v>
      </c>
      <c r="S226">
        <f t="shared" si="962"/>
        <v>-5758.5764907878865</v>
      </c>
      <c r="T226">
        <f t="shared" si="963"/>
        <v>-5.7585764907878865</v>
      </c>
    </row>
    <row r="227" spans="1:20" x14ac:dyDescent="0.25">
      <c r="A227" s="5">
        <v>44366</v>
      </c>
      <c r="B227">
        <v>0.27073000000000003</v>
      </c>
      <c r="C227">
        <v>0.27499000000000001</v>
      </c>
      <c r="D227">
        <v>0.25924999999999998</v>
      </c>
      <c r="E227">
        <v>0.26835999999999999</v>
      </c>
      <c r="F227">
        <v>8435113.1999999993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0.15756035578144709</v>
      </c>
      <c r="Q227">
        <f t="shared" si="960"/>
        <v>1329039.4368487806</v>
      </c>
      <c r="R227">
        <f t="shared" si="961"/>
        <v>-587141679.33869243</v>
      </c>
      <c r="S227">
        <f t="shared" si="962"/>
        <v>-5871.4167933869239</v>
      </c>
      <c r="T227">
        <f t="shared" si="963"/>
        <v>-5.8714167933869241</v>
      </c>
    </row>
    <row r="228" spans="1:20" x14ac:dyDescent="0.25">
      <c r="A228" s="5">
        <v>44365</v>
      </c>
      <c r="B228">
        <v>0.29294999999999999</v>
      </c>
      <c r="C228">
        <v>0.29720999999999997</v>
      </c>
      <c r="D228">
        <v>0.26030999999999999</v>
      </c>
      <c r="E228">
        <v>0.27034999999999998</v>
      </c>
      <c r="F228">
        <v>13469759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-0.45582655826558283</v>
      </c>
      <c r="Q228">
        <f t="shared" si="960"/>
        <v>-6139873.8856368586</v>
      </c>
      <c r="R228">
        <f t="shared" si="961"/>
        <v>-588470718.77554119</v>
      </c>
      <c r="S228">
        <f t="shared" si="962"/>
        <v>-5884.7071877554117</v>
      </c>
      <c r="T228">
        <f t="shared" si="963"/>
        <v>-5.8847071877554118</v>
      </c>
    </row>
    <row r="229" spans="1:20" x14ac:dyDescent="0.25">
      <c r="A229" s="5">
        <v>44364</v>
      </c>
      <c r="B229">
        <v>0.28927000000000003</v>
      </c>
      <c r="C229">
        <v>0.29959000000000002</v>
      </c>
      <c r="D229">
        <v>0.28349999999999997</v>
      </c>
      <c r="E229">
        <v>0.29305999999999999</v>
      </c>
      <c r="F229">
        <v>11379808.4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0.18831572405220434</v>
      </c>
      <c r="Q229">
        <f t="shared" si="960"/>
        <v>2142996.8584213569</v>
      </c>
      <c r="R229">
        <f t="shared" si="961"/>
        <v>-582330844.88990438</v>
      </c>
      <c r="S229">
        <f t="shared" si="962"/>
        <v>-5823.3084488990435</v>
      </c>
      <c r="T229">
        <f t="shared" si="963"/>
        <v>-5.8233084488990432</v>
      </c>
    </row>
    <row r="230" spans="1:20" x14ac:dyDescent="0.25">
      <c r="A230" s="5">
        <v>44363</v>
      </c>
      <c r="B230">
        <v>0.30645</v>
      </c>
      <c r="C230">
        <v>0.31183</v>
      </c>
      <c r="D230">
        <v>0.28499999999999998</v>
      </c>
      <c r="E230">
        <v>0.28946</v>
      </c>
      <c r="F230">
        <v>18185857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-0.66753633991800099</v>
      </c>
      <c r="Q230">
        <f t="shared" si="960"/>
        <v>-12139720.420052158</v>
      </c>
      <c r="R230">
        <f t="shared" si="961"/>
        <v>-584473841.74832571</v>
      </c>
      <c r="S230">
        <f t="shared" si="962"/>
        <v>-5844.7384174832569</v>
      </c>
      <c r="T230">
        <f t="shared" si="963"/>
        <v>-5.8447384174832573</v>
      </c>
    </row>
    <row r="231" spans="1:20" x14ac:dyDescent="0.25">
      <c r="A231" s="5">
        <v>44362</v>
      </c>
      <c r="B231">
        <v>0.31329000000000001</v>
      </c>
      <c r="C231">
        <v>0.32097999999999999</v>
      </c>
      <c r="D231">
        <v>0.30220000000000002</v>
      </c>
      <c r="E231">
        <v>0.30647000000000002</v>
      </c>
      <c r="F231">
        <v>13120115.300000001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-0.54526091586794412</v>
      </c>
      <c r="Q231">
        <f t="shared" si="960"/>
        <v>-7153886.0847710269</v>
      </c>
      <c r="R231">
        <f t="shared" si="961"/>
        <v>-572334121.32827353</v>
      </c>
      <c r="S231">
        <f t="shared" si="962"/>
        <v>-5723.3412132827352</v>
      </c>
      <c r="T231">
        <f t="shared" si="963"/>
        <v>-5.723341213282735</v>
      </c>
    </row>
    <row r="232" spans="1:20" x14ac:dyDescent="0.25">
      <c r="A232" s="5">
        <v>44361</v>
      </c>
      <c r="B232">
        <v>0.30635000000000001</v>
      </c>
      <c r="C232">
        <v>0.32049</v>
      </c>
      <c r="D232">
        <v>0.29888999999999999</v>
      </c>
      <c r="E232">
        <v>0.31329000000000001</v>
      </c>
      <c r="F232">
        <v>13274391.699999999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0.33333333333333504</v>
      </c>
      <c r="Q232">
        <f t="shared" si="960"/>
        <v>4424797.2333333557</v>
      </c>
      <c r="R232">
        <f t="shared" si="961"/>
        <v>-565180235.2435025</v>
      </c>
      <c r="S232">
        <f t="shared" si="962"/>
        <v>-5651.8023524350247</v>
      </c>
      <c r="T232">
        <f t="shared" si="963"/>
        <v>-5.6518023524350243</v>
      </c>
    </row>
    <row r="233" spans="1:20" x14ac:dyDescent="0.25">
      <c r="A233" s="5">
        <v>44360</v>
      </c>
      <c r="B233">
        <v>0.29022999999999999</v>
      </c>
      <c r="C233">
        <v>0.31519000000000003</v>
      </c>
      <c r="D233">
        <v>0.28360000000000002</v>
      </c>
      <c r="E233">
        <v>0.30546000000000001</v>
      </c>
      <c r="F233">
        <v>11320660.4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0.38398227287116088</v>
      </c>
      <c r="Q233">
        <f t="shared" si="960"/>
        <v>4346932.910794545</v>
      </c>
      <c r="R233">
        <f t="shared" si="961"/>
        <v>-569605032.47683585</v>
      </c>
      <c r="S233">
        <f t="shared" si="962"/>
        <v>-5696.0503247683582</v>
      </c>
      <c r="T233">
        <f t="shared" si="963"/>
        <v>-5.6960503247683585</v>
      </c>
    </row>
    <row r="234" spans="1:20" x14ac:dyDescent="0.25">
      <c r="A234" s="5">
        <v>44359</v>
      </c>
      <c r="B234">
        <v>0.29199000000000003</v>
      </c>
      <c r="C234">
        <v>0.30963000000000002</v>
      </c>
      <c r="D234">
        <v>0.2792</v>
      </c>
      <c r="E234">
        <v>0.29019</v>
      </c>
      <c r="F234">
        <v>13782427.300000001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-0.27768649359185044</v>
      </c>
      <c r="Q234">
        <f t="shared" si="960"/>
        <v>-3827193.9101215946</v>
      </c>
      <c r="R234">
        <f t="shared" si="961"/>
        <v>-573951965.38763034</v>
      </c>
      <c r="S234">
        <f t="shared" si="962"/>
        <v>-5739.519653876303</v>
      </c>
      <c r="T234">
        <f t="shared" si="963"/>
        <v>-5.7395196538763029</v>
      </c>
    </row>
    <row r="235" spans="1:20" x14ac:dyDescent="0.25">
      <c r="A235" s="5">
        <v>44358</v>
      </c>
      <c r="B235">
        <v>0.31215999999999999</v>
      </c>
      <c r="C235">
        <v>0.31722</v>
      </c>
      <c r="D235">
        <v>0.28667999999999999</v>
      </c>
      <c r="E235">
        <v>0.29226000000000002</v>
      </c>
      <c r="F235">
        <v>8378651.5999999996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-0.63457760314341671</v>
      </c>
      <c r="Q235">
        <f t="shared" si="960"/>
        <v>-5316904.6499017533</v>
      </c>
      <c r="R235">
        <f t="shared" si="961"/>
        <v>-570124771.47750878</v>
      </c>
      <c r="S235">
        <f t="shared" si="962"/>
        <v>-5701.2477147750878</v>
      </c>
      <c r="T235">
        <f t="shared" si="963"/>
        <v>-5.7012477147750875</v>
      </c>
    </row>
    <row r="236" spans="1:20" x14ac:dyDescent="0.25">
      <c r="A236" s="5">
        <v>44357</v>
      </c>
      <c r="B236">
        <v>0.33268999999999999</v>
      </c>
      <c r="C236">
        <v>0.34276000000000001</v>
      </c>
      <c r="D236">
        <v>0.307</v>
      </c>
      <c r="E236">
        <v>0.31202999999999997</v>
      </c>
      <c r="F236">
        <v>11279700.1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-0.71868008948545992</v>
      </c>
      <c r="Q236">
        <f t="shared" si="960"/>
        <v>-8106495.8772371504</v>
      </c>
      <c r="R236">
        <f t="shared" si="961"/>
        <v>-564807866.82760704</v>
      </c>
      <c r="S236">
        <f t="shared" si="962"/>
        <v>-5648.0786682760699</v>
      </c>
      <c r="T236">
        <f t="shared" si="963"/>
        <v>-5.64807866827607</v>
      </c>
    </row>
    <row r="237" spans="1:20" x14ac:dyDescent="0.25">
      <c r="A237" s="5">
        <v>44356</v>
      </c>
      <c r="B237">
        <v>0.31953999999999999</v>
      </c>
      <c r="C237">
        <v>0.33683999999999997</v>
      </c>
      <c r="D237">
        <v>0.30734</v>
      </c>
      <c r="E237">
        <v>0.33189000000000002</v>
      </c>
      <c r="F237">
        <v>17041907.199999999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0.66440677966101969</v>
      </c>
      <c r="Q237">
        <f t="shared" si="960"/>
        <v>11322758.682033945</v>
      </c>
      <c r="R237">
        <f t="shared" si="961"/>
        <v>-556701370.95036983</v>
      </c>
      <c r="S237">
        <f t="shared" si="962"/>
        <v>-5567.013709503698</v>
      </c>
      <c r="T237">
        <f t="shared" si="963"/>
        <v>-5.5670137095036978</v>
      </c>
    </row>
    <row r="238" spans="1:20" x14ac:dyDescent="0.25">
      <c r="A238" s="5">
        <v>44355</v>
      </c>
      <c r="B238">
        <v>0.32733000000000001</v>
      </c>
      <c r="C238">
        <v>0.33399000000000001</v>
      </c>
      <c r="D238">
        <v>0.28427999999999998</v>
      </c>
      <c r="E238">
        <v>0.31935000000000002</v>
      </c>
      <c r="F238">
        <v>24207742.5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0.41098370549185365</v>
      </c>
      <c r="Q238">
        <f t="shared" si="960"/>
        <v>9948987.7142426297</v>
      </c>
      <c r="R238">
        <f t="shared" si="961"/>
        <v>-568024129.63240373</v>
      </c>
      <c r="S238">
        <f t="shared" si="962"/>
        <v>-5680.2412963240376</v>
      </c>
      <c r="T238">
        <f t="shared" si="963"/>
        <v>-5.6802412963240378</v>
      </c>
    </row>
    <row r="239" spans="1:20" x14ac:dyDescent="0.25">
      <c r="A239" s="5">
        <v>44354</v>
      </c>
      <c r="B239">
        <v>0.35525000000000001</v>
      </c>
      <c r="C239">
        <v>0.36953999999999998</v>
      </c>
      <c r="D239">
        <v>0.32554</v>
      </c>
      <c r="E239">
        <v>0.32743</v>
      </c>
      <c r="F239">
        <v>14996091.300000001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-0.91409090909090895</v>
      </c>
      <c r="Q239">
        <f t="shared" si="960"/>
        <v>-13707790.729227271</v>
      </c>
      <c r="R239">
        <f t="shared" si="961"/>
        <v>-577973117.34664631</v>
      </c>
      <c r="S239">
        <f t="shared" si="962"/>
        <v>-5779.7311734664627</v>
      </c>
      <c r="T239">
        <f t="shared" si="963"/>
        <v>-5.7797311734664625</v>
      </c>
    </row>
    <row r="240" spans="1:20" x14ac:dyDescent="0.25">
      <c r="A240" s="5">
        <v>44353</v>
      </c>
      <c r="B240">
        <v>0.34572999999999998</v>
      </c>
      <c r="C240">
        <v>0.36258000000000001</v>
      </c>
      <c r="D240">
        <v>0.34306999999999999</v>
      </c>
      <c r="E240">
        <v>0.35537999999999997</v>
      </c>
      <c r="F240">
        <v>7919128.2999999998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0.26191696565863354</v>
      </c>
      <c r="Q240">
        <f t="shared" si="960"/>
        <v>2074154.054997413</v>
      </c>
      <c r="R240">
        <f t="shared" si="961"/>
        <v>-564265326.617419</v>
      </c>
      <c r="S240">
        <f t="shared" si="962"/>
        <v>-5642.6532661741903</v>
      </c>
      <c r="T240">
        <f t="shared" si="963"/>
        <v>-5.6426532661741904</v>
      </c>
    </row>
    <row r="241" spans="1:20" x14ac:dyDescent="0.25">
      <c r="A241" s="5">
        <v>44352</v>
      </c>
      <c r="B241">
        <v>0.36115999999999998</v>
      </c>
      <c r="C241">
        <v>0.37494</v>
      </c>
      <c r="D241">
        <v>0.3397</v>
      </c>
      <c r="E241">
        <v>0.34594000000000003</v>
      </c>
      <c r="F241">
        <v>12296511.300000001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-0.64585698070374431</v>
      </c>
      <c r="Q241">
        <f t="shared" si="960"/>
        <v>-7941787.6614074744</v>
      </c>
      <c r="R241">
        <f t="shared" si="961"/>
        <v>-566339480.67241645</v>
      </c>
      <c r="S241">
        <f t="shared" si="962"/>
        <v>-5663.3948067241645</v>
      </c>
      <c r="T241">
        <f t="shared" si="963"/>
        <v>-5.6633948067241642</v>
      </c>
    </row>
    <row r="242" spans="1:20" x14ac:dyDescent="0.25">
      <c r="A242" s="5">
        <v>44351</v>
      </c>
      <c r="B242">
        <v>0.39230999999999999</v>
      </c>
      <c r="C242">
        <v>0.39274999999999999</v>
      </c>
      <c r="D242">
        <v>0.34388000000000002</v>
      </c>
      <c r="E242">
        <v>0.36125000000000002</v>
      </c>
      <c r="F242">
        <v>14433260</v>
      </c>
      <c r="G242">
        <v>0</v>
      </c>
      <c r="L242" t="s">
        <v>7</v>
      </c>
      <c r="M242" t="s">
        <v>8</v>
      </c>
      <c r="N242" t="s">
        <v>7</v>
      </c>
      <c r="P242">
        <f t="shared" si="959"/>
        <v>-0.28913443830570873</v>
      </c>
      <c r="Q242">
        <f t="shared" si="960"/>
        <v>-4173152.5230202535</v>
      </c>
      <c r="R242">
        <f t="shared" si="961"/>
        <v>-558397693.01100898</v>
      </c>
      <c r="S242">
        <f t="shared" si="962"/>
        <v>-5583.9769301100896</v>
      </c>
      <c r="T242">
        <f t="shared" si="963"/>
        <v>-5.5839769301100892</v>
      </c>
    </row>
    <row r="243" spans="1:20" x14ac:dyDescent="0.25">
      <c r="A243" s="5">
        <v>44350</v>
      </c>
      <c r="B243">
        <v>0.38102000000000003</v>
      </c>
      <c r="C243">
        <v>0.40871000000000002</v>
      </c>
      <c r="D243">
        <v>0.37546000000000002</v>
      </c>
      <c r="E243">
        <v>0.39217999999999997</v>
      </c>
      <c r="F243">
        <v>15224473.5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5.714285714283081E-3</v>
      </c>
      <c r="Q243">
        <f t="shared" si="960"/>
        <v>86996.991428531343</v>
      </c>
      <c r="R243">
        <f t="shared" si="961"/>
        <v>-554224540.48798871</v>
      </c>
      <c r="S243">
        <f t="shared" si="962"/>
        <v>-5542.2454048798872</v>
      </c>
      <c r="T243">
        <f t="shared" si="963"/>
        <v>-5.5422454048798873</v>
      </c>
    </row>
    <row r="244" spans="1:20" x14ac:dyDescent="0.25">
      <c r="A244" s="5">
        <v>44349</v>
      </c>
      <c r="B244">
        <v>0.37508000000000002</v>
      </c>
      <c r="C244">
        <v>0.40050000000000002</v>
      </c>
      <c r="D244">
        <v>0.36076999999999998</v>
      </c>
      <c r="E244">
        <v>0.38164999999999999</v>
      </c>
      <c r="F244">
        <v>19991206.300000001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5.1094890510948253E-2</v>
      </c>
      <c r="Q244">
        <f t="shared" si="960"/>
        <v>1021448.4970802789</v>
      </c>
      <c r="R244">
        <f t="shared" si="961"/>
        <v>-554311537.4794172</v>
      </c>
      <c r="S244">
        <f t="shared" si="962"/>
        <v>-5543.1153747941717</v>
      </c>
      <c r="T244">
        <f t="shared" si="963"/>
        <v>-5.5431153747941719</v>
      </c>
    </row>
    <row r="245" spans="1:20" x14ac:dyDescent="0.25">
      <c r="A245" s="5">
        <v>44348</v>
      </c>
      <c r="B245">
        <v>0.36865999999999999</v>
      </c>
      <c r="C245">
        <v>0.40804000000000001</v>
      </c>
      <c r="D245">
        <v>0.35727999999999999</v>
      </c>
      <c r="E245">
        <v>0.37506</v>
      </c>
      <c r="F245">
        <v>24027009.699999999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-0.29944838455476719</v>
      </c>
      <c r="Q245">
        <f t="shared" si="960"/>
        <v>-7194849.2403467214</v>
      </c>
      <c r="R245">
        <f t="shared" si="961"/>
        <v>-555332985.97649753</v>
      </c>
      <c r="S245">
        <f t="shared" si="962"/>
        <v>-5553.3298597649755</v>
      </c>
      <c r="T245">
        <f t="shared" si="963"/>
        <v>-5.5533298597649754</v>
      </c>
    </row>
    <row r="246" spans="1:20" x14ac:dyDescent="0.25">
      <c r="A246" s="5">
        <v>44347</v>
      </c>
      <c r="B246">
        <v>0.33531</v>
      </c>
      <c r="C246">
        <v>0.39187</v>
      </c>
      <c r="D246">
        <v>0.31619999999999998</v>
      </c>
      <c r="E246">
        <v>0.36864000000000002</v>
      </c>
      <c r="F246">
        <v>22088517.699999999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0.38601823708206773</v>
      </c>
      <c r="Q246">
        <f t="shared" si="960"/>
        <v>8526570.6623100489</v>
      </c>
      <c r="R246">
        <f t="shared" si="961"/>
        <v>-548138136.73615086</v>
      </c>
      <c r="S246">
        <f t="shared" si="962"/>
        <v>-5481.3813673615086</v>
      </c>
      <c r="T246">
        <f t="shared" si="963"/>
        <v>-5.481381367361509</v>
      </c>
    </row>
    <row r="247" spans="1:20" x14ac:dyDescent="0.25">
      <c r="A247" s="5">
        <v>44346</v>
      </c>
      <c r="B247">
        <v>0.32107999999999998</v>
      </c>
      <c r="C247">
        <v>0.35793000000000003</v>
      </c>
      <c r="D247">
        <v>0.29946</v>
      </c>
      <c r="E247">
        <v>0.33531</v>
      </c>
      <c r="F247">
        <v>20251935.199999999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0.22626988199076378</v>
      </c>
      <c r="Q247">
        <f t="shared" si="960"/>
        <v>4582402.9877885953</v>
      </c>
      <c r="R247">
        <f t="shared" si="961"/>
        <v>-556664707.39846087</v>
      </c>
      <c r="S247">
        <f t="shared" si="962"/>
        <v>-5566.6470739846091</v>
      </c>
      <c r="T247">
        <f t="shared" si="963"/>
        <v>-5.5666470739846092</v>
      </c>
    </row>
    <row r="248" spans="1:20" x14ac:dyDescent="0.25">
      <c r="A248" s="5">
        <v>44345</v>
      </c>
      <c r="B248">
        <v>0.35099999999999998</v>
      </c>
      <c r="C248">
        <v>0.38429000000000002</v>
      </c>
      <c r="D248">
        <v>0.30212</v>
      </c>
      <c r="E248">
        <v>0.32146999999999998</v>
      </c>
      <c r="F248">
        <v>24561884.600000001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-0.52902519167579476</v>
      </c>
      <c r="Q248">
        <f t="shared" si="960"/>
        <v>-12993855.708433753</v>
      </c>
      <c r="R248">
        <f t="shared" si="961"/>
        <v>-561247110.38624942</v>
      </c>
      <c r="S248">
        <f t="shared" si="962"/>
        <v>-5612.4711038624946</v>
      </c>
      <c r="T248">
        <f t="shared" si="963"/>
        <v>-5.6124711038624948</v>
      </c>
    </row>
    <row r="249" spans="1:20" x14ac:dyDescent="0.25">
      <c r="A249" s="5">
        <v>44344</v>
      </c>
      <c r="B249">
        <v>0.40620000000000001</v>
      </c>
      <c r="C249">
        <v>0.48870000000000002</v>
      </c>
      <c r="D249">
        <v>0.33317000000000002</v>
      </c>
      <c r="E249">
        <v>0.35089999999999999</v>
      </c>
      <c r="F249">
        <v>81210422.5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-0.77200540088728908</v>
      </c>
      <c r="Q249">
        <f t="shared" si="960"/>
        <v>-62694884.778338619</v>
      </c>
      <c r="R249">
        <f t="shared" si="961"/>
        <v>-548253254.67781568</v>
      </c>
      <c r="S249">
        <f t="shared" si="962"/>
        <v>-5482.5325467781568</v>
      </c>
      <c r="T249">
        <f t="shared" si="963"/>
        <v>-5.4825325467781569</v>
      </c>
    </row>
    <row r="250" spans="1:20" x14ac:dyDescent="0.25">
      <c r="A250" s="5">
        <v>44343</v>
      </c>
      <c r="B250">
        <v>0.42238999999999999</v>
      </c>
      <c r="C250">
        <v>0.44782</v>
      </c>
      <c r="D250">
        <v>0.38027</v>
      </c>
      <c r="E250">
        <v>0.40534999999999999</v>
      </c>
      <c r="F250">
        <v>24218002.800000001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-0.25743893412287222</v>
      </c>
      <c r="Q250">
        <f t="shared" si="960"/>
        <v>-6234656.8274167348</v>
      </c>
      <c r="R250">
        <f t="shared" si="961"/>
        <v>-485558369.89947701</v>
      </c>
      <c r="S250">
        <f t="shared" si="962"/>
        <v>-4855.5836989947702</v>
      </c>
      <c r="T250">
        <f t="shared" si="963"/>
        <v>-4.8555836989947698</v>
      </c>
    </row>
    <row r="251" spans="1:20" x14ac:dyDescent="0.25">
      <c r="A251" s="5">
        <v>44342</v>
      </c>
      <c r="B251">
        <v>0.39163999999999999</v>
      </c>
      <c r="C251">
        <v>0.47909000000000002</v>
      </c>
      <c r="D251">
        <v>0.38608999999999999</v>
      </c>
      <c r="E251">
        <v>0.42294999999999999</v>
      </c>
      <c r="F251">
        <v>56363038.299999997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-0.20731182795698941</v>
      </c>
      <c r="Q251">
        <f t="shared" si="960"/>
        <v>-11684724.499182804</v>
      </c>
      <c r="R251">
        <f t="shared" si="961"/>
        <v>-479323713.07206029</v>
      </c>
      <c r="S251">
        <f t="shared" si="962"/>
        <v>-4793.2371307206031</v>
      </c>
      <c r="T251">
        <f t="shared" si="963"/>
        <v>-4.7932371307206028</v>
      </c>
    </row>
    <row r="252" spans="1:20" x14ac:dyDescent="0.25">
      <c r="A252" s="5">
        <v>44341</v>
      </c>
      <c r="B252">
        <v>0.33809</v>
      </c>
      <c r="C252">
        <v>0.40999000000000002</v>
      </c>
      <c r="D252">
        <v>0.28982999999999998</v>
      </c>
      <c r="E252">
        <v>0.39204</v>
      </c>
      <c r="F252">
        <v>48899649.299999997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0.70123169107856165</v>
      </c>
      <c r="Q252">
        <f t="shared" si="960"/>
        <v>34289983.771787599</v>
      </c>
      <c r="R252">
        <f t="shared" si="961"/>
        <v>-467638988.57287747</v>
      </c>
      <c r="S252">
        <f t="shared" si="962"/>
        <v>-4676.389885728775</v>
      </c>
      <c r="T252">
        <f t="shared" si="963"/>
        <v>-4.6763898857287751</v>
      </c>
    </row>
    <row r="253" spans="1:20" x14ac:dyDescent="0.25">
      <c r="A253" s="5">
        <v>44340</v>
      </c>
      <c r="B253">
        <v>0.27289000000000002</v>
      </c>
      <c r="C253">
        <v>0.34360000000000002</v>
      </c>
      <c r="D253">
        <v>0.26429999999999998</v>
      </c>
      <c r="E253">
        <v>0.33794000000000002</v>
      </c>
      <c r="F253">
        <v>52607128.700000003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0.85725094577553607</v>
      </c>
      <c r="Q253">
        <f t="shared" si="960"/>
        <v>45097510.832610346</v>
      </c>
      <c r="R253">
        <f t="shared" si="961"/>
        <v>-501928972.34466505</v>
      </c>
      <c r="S253">
        <f t="shared" si="962"/>
        <v>-5019.2897234466509</v>
      </c>
      <c r="T253">
        <f t="shared" si="963"/>
        <v>-5.0192897234466507</v>
      </c>
    </row>
    <row r="254" spans="1:20" x14ac:dyDescent="0.25">
      <c r="A254" s="5">
        <v>44339</v>
      </c>
      <c r="B254">
        <v>0.31418000000000001</v>
      </c>
      <c r="C254">
        <v>0.32940999999999998</v>
      </c>
      <c r="D254">
        <v>0.222</v>
      </c>
      <c r="E254">
        <v>0.2727</v>
      </c>
      <c r="F254">
        <v>40126320.799999997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-5.5953821804301168E-2</v>
      </c>
      <c r="Q254">
        <f t="shared" si="960"/>
        <v>-2245221.0037054233</v>
      </c>
      <c r="R254">
        <f t="shared" si="961"/>
        <v>-547026483.17727542</v>
      </c>
      <c r="S254">
        <f t="shared" si="962"/>
        <v>-5470.2648317727544</v>
      </c>
      <c r="T254">
        <f t="shared" si="963"/>
        <v>-5.470264831772754</v>
      </c>
    </row>
    <row r="255" spans="1:20" x14ac:dyDescent="0.25">
      <c r="A255" s="5">
        <v>44338</v>
      </c>
      <c r="B255">
        <v>0.34839999999999999</v>
      </c>
      <c r="C255">
        <v>0.35675000000000001</v>
      </c>
      <c r="D255">
        <v>0.3024</v>
      </c>
      <c r="E255">
        <v>0.31437999999999999</v>
      </c>
      <c r="F255">
        <v>23989455.899999999</v>
      </c>
      <c r="G255">
        <v>0</v>
      </c>
      <c r="L255" t="s">
        <v>8</v>
      </c>
      <c r="M255" t="s">
        <v>7</v>
      </c>
      <c r="N255" t="s">
        <v>7</v>
      </c>
      <c r="P255">
        <f t="shared" si="959"/>
        <v>-0.55915363385464623</v>
      </c>
      <c r="Q255">
        <f t="shared" si="960"/>
        <v>-13413791.440680781</v>
      </c>
      <c r="R255">
        <f t="shared" si="961"/>
        <v>-544781262.17357004</v>
      </c>
      <c r="S255">
        <f t="shared" si="962"/>
        <v>-5447.8126217357003</v>
      </c>
      <c r="T255">
        <f t="shared" si="963"/>
        <v>-5.4478126217357001</v>
      </c>
    </row>
    <row r="256" spans="1:20" x14ac:dyDescent="0.25">
      <c r="A256" s="5">
        <v>44337</v>
      </c>
      <c r="B256">
        <v>0.40562999999999999</v>
      </c>
      <c r="C256">
        <v>0.43479000000000001</v>
      </c>
      <c r="D256">
        <v>0.29912</v>
      </c>
      <c r="E256">
        <v>0.34775</v>
      </c>
      <c r="F256">
        <v>35614817.700000003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-0.28311343701628949</v>
      </c>
      <c r="Q256">
        <f t="shared" si="960"/>
        <v>-10083033.447755583</v>
      </c>
      <c r="R256">
        <f t="shared" si="961"/>
        <v>-531367470.73288929</v>
      </c>
      <c r="S256">
        <f t="shared" si="962"/>
        <v>-5313.6747073288925</v>
      </c>
      <c r="T256">
        <f t="shared" si="963"/>
        <v>-5.3136747073288921</v>
      </c>
    </row>
    <row r="257" spans="1:20" x14ac:dyDescent="0.25">
      <c r="A257" s="5">
        <v>44336</v>
      </c>
      <c r="B257">
        <v>0.34139000000000003</v>
      </c>
      <c r="C257">
        <v>0.42998999999999998</v>
      </c>
      <c r="D257">
        <v>0.30152000000000001</v>
      </c>
      <c r="E257">
        <v>0.40562999999999999</v>
      </c>
      <c r="F257">
        <v>42338001.799999997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0.62076749435665912</v>
      </c>
      <c r="Q257">
        <f t="shared" si="960"/>
        <v>26282055.293453723</v>
      </c>
      <c r="R257">
        <f t="shared" si="961"/>
        <v>-521284437.28513372</v>
      </c>
      <c r="S257">
        <f t="shared" si="962"/>
        <v>-5212.8443728513375</v>
      </c>
      <c r="T257">
        <f t="shared" si="963"/>
        <v>-5.2128443728513378</v>
      </c>
    </row>
    <row r="258" spans="1:20" x14ac:dyDescent="0.25">
      <c r="A258" s="5">
        <v>44335</v>
      </c>
      <c r="B258">
        <v>0.52783999999999998</v>
      </c>
      <c r="C258">
        <v>0.53781000000000001</v>
      </c>
      <c r="D258">
        <v>0.26840000000000003</v>
      </c>
      <c r="E258">
        <v>0.34100000000000003</v>
      </c>
      <c r="F258">
        <v>91695453.799999997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-0.46104450465832741</v>
      </c>
      <c r="Q258">
        <f t="shared" si="960"/>
        <v>-42275685.076641545</v>
      </c>
      <c r="R258">
        <f t="shared" si="961"/>
        <v>-547566492.57858741</v>
      </c>
      <c r="S258">
        <f t="shared" si="962"/>
        <v>-5475.6649257858744</v>
      </c>
      <c r="T258">
        <f t="shared" si="963"/>
        <v>-5.4756649257858747</v>
      </c>
    </row>
    <row r="259" spans="1:20" x14ac:dyDescent="0.25">
      <c r="A259" s="5">
        <v>44334</v>
      </c>
      <c r="B259">
        <v>0.51060000000000005</v>
      </c>
      <c r="C259">
        <v>0.57589999999999997</v>
      </c>
      <c r="D259">
        <v>0.50400999999999996</v>
      </c>
      <c r="E259">
        <v>0.52761999999999998</v>
      </c>
      <c r="F259">
        <v>33737510.600000001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-0.34316316594797563</v>
      </c>
      <c r="Q259">
        <f t="shared" si="960"/>
        <v>-11577470.948699387</v>
      </c>
      <c r="R259">
        <f t="shared" si="961"/>
        <v>-505290807.50194585</v>
      </c>
      <c r="S259">
        <f t="shared" si="962"/>
        <v>-5052.9080750194589</v>
      </c>
      <c r="T259">
        <f t="shared" si="963"/>
        <v>-5.0529080750194586</v>
      </c>
    </row>
    <row r="260" spans="1:20" x14ac:dyDescent="0.25">
      <c r="A260" s="5">
        <v>44333</v>
      </c>
      <c r="B260">
        <v>0.56740999999999997</v>
      </c>
      <c r="C260">
        <v>0.56828999999999996</v>
      </c>
      <c r="D260">
        <v>0.48596</v>
      </c>
      <c r="E260">
        <v>0.50949999999999995</v>
      </c>
      <c r="F260">
        <v>39055781.799999997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-0.42815498603182406</v>
      </c>
      <c r="Q260">
        <f t="shared" si="960"/>
        <v>-16721927.711040966</v>
      </c>
      <c r="R260">
        <f t="shared" si="961"/>
        <v>-493713336.55324644</v>
      </c>
      <c r="S260">
        <f t="shared" si="962"/>
        <v>-4937.1333655324643</v>
      </c>
      <c r="T260">
        <f t="shared" si="963"/>
        <v>-4.9371333655324641</v>
      </c>
    </row>
    <row r="261" spans="1:20" x14ac:dyDescent="0.25">
      <c r="A261" s="5">
        <v>44332</v>
      </c>
      <c r="B261">
        <v>0.55793999999999999</v>
      </c>
      <c r="C261">
        <v>0.62043999999999999</v>
      </c>
      <c r="D261">
        <v>0.52573000000000003</v>
      </c>
      <c r="E261">
        <v>0.56655</v>
      </c>
      <c r="F261">
        <v>40025786.799999997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-0.13800021117094322</v>
      </c>
      <c r="Q261">
        <f t="shared" si="960"/>
        <v>-5523567.0306831514</v>
      </c>
      <c r="R261">
        <f t="shared" si="961"/>
        <v>-476991408.84220546</v>
      </c>
      <c r="S261">
        <f t="shared" si="962"/>
        <v>-4769.9140884220551</v>
      </c>
      <c r="T261">
        <f t="shared" si="963"/>
        <v>-4.7699140884220554</v>
      </c>
    </row>
    <row r="262" spans="1:20" x14ac:dyDescent="0.25">
      <c r="A262" s="5">
        <v>44331</v>
      </c>
      <c r="B262">
        <v>0.61284000000000005</v>
      </c>
      <c r="C262">
        <v>0.65451000000000004</v>
      </c>
      <c r="D262">
        <v>0.55571999999999999</v>
      </c>
      <c r="E262">
        <v>0.55620999999999998</v>
      </c>
      <c r="F262">
        <v>46644314.799999997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-0.99007996760805772</v>
      </c>
      <c r="Q262">
        <f t="shared" ref="Q262:Q325" si="965">F262*P262</f>
        <v>-46181601.686284043</v>
      </c>
      <c r="R262">
        <f t="shared" ref="R262:R325" si="966">R263+Q262</f>
        <v>-471467841.81152231</v>
      </c>
      <c r="S262">
        <f t="shared" ref="S262:S325" si="967">R262/100000</f>
        <v>-4714.6784181152234</v>
      </c>
      <c r="T262">
        <f t="shared" ref="T262:T325" si="968">S262/1000</f>
        <v>-4.7146784181152235</v>
      </c>
    </row>
    <row r="263" spans="1:20" x14ac:dyDescent="0.25">
      <c r="A263" s="5">
        <v>44330</v>
      </c>
      <c r="B263">
        <v>0.61143999999999998</v>
      </c>
      <c r="C263">
        <v>0.66283000000000003</v>
      </c>
      <c r="D263">
        <v>0.58582999999999996</v>
      </c>
      <c r="E263">
        <v>0.61199999999999999</v>
      </c>
      <c r="F263">
        <v>62645003.899999999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-0.32025974025974019</v>
      </c>
      <c r="Q263">
        <f t="shared" si="965"/>
        <v>-20062672.67758441</v>
      </c>
      <c r="R263">
        <f t="shared" si="966"/>
        <v>-425286240.12523824</v>
      </c>
      <c r="S263">
        <f t="shared" si="967"/>
        <v>-4252.8624012523824</v>
      </c>
      <c r="T263">
        <f t="shared" si="968"/>
        <v>-4.2528624012523828</v>
      </c>
    </row>
    <row r="264" spans="1:20" x14ac:dyDescent="0.25">
      <c r="A264" s="5">
        <v>44329</v>
      </c>
      <c r="B264">
        <v>0.61385999999999996</v>
      </c>
      <c r="C264">
        <v>0.66678000000000004</v>
      </c>
      <c r="D264">
        <v>0.57138999999999995</v>
      </c>
      <c r="E264">
        <v>0.61124999999999996</v>
      </c>
      <c r="F264">
        <v>103028052.3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-0.16427298458958023</v>
      </c>
      <c r="Q264">
        <f t="shared" si="965"/>
        <v>-16924725.647772364</v>
      </c>
      <c r="R264">
        <f t="shared" si="966"/>
        <v>-405223567.44765383</v>
      </c>
      <c r="S264">
        <f t="shared" si="967"/>
        <v>-4052.2356744765384</v>
      </c>
      <c r="T264">
        <f t="shared" si="968"/>
        <v>-4.0522356744765382</v>
      </c>
    </row>
    <row r="265" spans="1:20" x14ac:dyDescent="0.25">
      <c r="A265" s="5">
        <v>44328</v>
      </c>
      <c r="B265">
        <v>0.65856000000000003</v>
      </c>
      <c r="C265">
        <v>0.91</v>
      </c>
      <c r="D265">
        <v>0.59709999999999996</v>
      </c>
      <c r="E265">
        <v>0.61385999999999996</v>
      </c>
      <c r="F265">
        <v>417152624.80000001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-0.89287312240332384</v>
      </c>
      <c r="Q265">
        <f t="shared" si="965"/>
        <v>-372464366.62391824</v>
      </c>
      <c r="R265">
        <f t="shared" si="966"/>
        <v>-388298841.79988146</v>
      </c>
      <c r="S265">
        <f t="shared" si="967"/>
        <v>-3882.9884179988144</v>
      </c>
      <c r="T265">
        <f t="shared" si="968"/>
        <v>-3.8829884179988143</v>
      </c>
    </row>
    <row r="266" spans="1:20" x14ac:dyDescent="0.25">
      <c r="A266" s="5">
        <v>44327</v>
      </c>
      <c r="B266">
        <v>0.51</v>
      </c>
      <c r="C266">
        <v>0.69499999999999995</v>
      </c>
      <c r="D266">
        <v>0.48987999999999998</v>
      </c>
      <c r="E266">
        <v>0.65895999999999999</v>
      </c>
      <c r="F266">
        <v>120451869.8</v>
      </c>
      <c r="G266">
        <v>0</v>
      </c>
      <c r="L266" t="s">
        <v>8</v>
      </c>
      <c r="M266" t="s">
        <v>8</v>
      </c>
      <c r="N266" t="s">
        <v>8</v>
      </c>
      <c r="P266">
        <f t="shared" si="964"/>
        <v>0.64859594383775387</v>
      </c>
      <c r="Q266">
        <f t="shared" si="965"/>
        <v>78124594.179953247</v>
      </c>
      <c r="R266">
        <f t="shared" si="966"/>
        <v>-15834475.175963193</v>
      </c>
      <c r="S266">
        <f t="shared" si="967"/>
        <v>-158.34475175963192</v>
      </c>
      <c r="T266">
        <f t="shared" si="968"/>
        <v>-0.15834475175963192</v>
      </c>
    </row>
    <row r="267" spans="1:20" x14ac:dyDescent="0.25">
      <c r="A267" s="5">
        <v>44326</v>
      </c>
      <c r="B267">
        <v>0.57149000000000005</v>
      </c>
      <c r="C267">
        <v>0.5887</v>
      </c>
      <c r="D267">
        <v>0.48580000000000001</v>
      </c>
      <c r="E267">
        <v>0.51078000000000001</v>
      </c>
      <c r="F267">
        <v>23877069.5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-0.51448007774538373</v>
      </c>
      <c r="Q267">
        <f t="shared" si="965"/>
        <v>-12284276.57269193</v>
      </c>
      <c r="R267">
        <f t="shared" si="966"/>
        <v>-93959069.35591644</v>
      </c>
      <c r="S267">
        <f t="shared" si="967"/>
        <v>-939.59069355916438</v>
      </c>
      <c r="T267">
        <f t="shared" si="968"/>
        <v>-0.93959069355916436</v>
      </c>
    </row>
    <row r="268" spans="1:20" x14ac:dyDescent="0.25">
      <c r="A268" s="5">
        <v>44325</v>
      </c>
      <c r="B268">
        <v>0.57735000000000003</v>
      </c>
      <c r="C268">
        <v>0.58996999999999999</v>
      </c>
      <c r="D268">
        <v>0.53517999999999999</v>
      </c>
      <c r="E268">
        <v>0.57111999999999996</v>
      </c>
      <c r="F268">
        <v>17490215.600000001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0.31191823325424234</v>
      </c>
      <c r="Q268">
        <f t="shared" si="965"/>
        <v>5455517.1491877884</v>
      </c>
      <c r="R268">
        <f t="shared" si="966"/>
        <v>-81674792.783224508</v>
      </c>
      <c r="S268">
        <f t="shared" si="967"/>
        <v>-816.74792783224507</v>
      </c>
      <c r="T268">
        <f t="shared" si="968"/>
        <v>-0.81674792783224504</v>
      </c>
    </row>
    <row r="269" spans="1:20" x14ac:dyDescent="0.25">
      <c r="A269" s="5">
        <v>44324</v>
      </c>
      <c r="B269">
        <v>0.58116000000000001</v>
      </c>
      <c r="C269">
        <v>0.60087999999999997</v>
      </c>
      <c r="D269">
        <v>0.55718999999999996</v>
      </c>
      <c r="E269">
        <v>0.57745999999999997</v>
      </c>
      <c r="F269">
        <v>19166628.800000001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-7.2098878461890267E-2</v>
      </c>
      <c r="Q269">
        <f t="shared" si="965"/>
        <v>-1381892.4403753658</v>
      </c>
      <c r="R269">
        <f t="shared" si="966"/>
        <v>-87130309.932412297</v>
      </c>
      <c r="S269">
        <f t="shared" si="967"/>
        <v>-871.30309932412297</v>
      </c>
      <c r="T269">
        <f t="shared" si="968"/>
        <v>-0.87130309932412298</v>
      </c>
    </row>
    <row r="270" spans="1:20" x14ac:dyDescent="0.25">
      <c r="A270" s="5">
        <v>44323</v>
      </c>
      <c r="B270">
        <v>0.57847000000000004</v>
      </c>
      <c r="C270">
        <v>0.63476999999999995</v>
      </c>
      <c r="D270">
        <v>0.56406000000000001</v>
      </c>
      <c r="E270">
        <v>0.58164000000000005</v>
      </c>
      <c r="F270">
        <v>46298698.799999997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-0.50275774289350716</v>
      </c>
      <c r="Q270">
        <f t="shared" si="965"/>
        <v>-23277029.307594325</v>
      </c>
      <c r="R270">
        <f t="shared" si="966"/>
        <v>-85748417.492036924</v>
      </c>
      <c r="S270">
        <f t="shared" si="967"/>
        <v>-857.48417492036924</v>
      </c>
      <c r="T270">
        <f t="shared" si="968"/>
        <v>-0.85748417492036921</v>
      </c>
    </row>
    <row r="271" spans="1:20" x14ac:dyDescent="0.25">
      <c r="A271" s="5">
        <v>44322</v>
      </c>
      <c r="B271">
        <v>0.57382999999999995</v>
      </c>
      <c r="C271">
        <v>0.59499999999999997</v>
      </c>
      <c r="D271">
        <v>0.54500000000000004</v>
      </c>
      <c r="E271">
        <v>0.57847000000000004</v>
      </c>
      <c r="F271">
        <v>37007815.299999997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0.33880000000000177</v>
      </c>
      <c r="Q271">
        <f t="shared" si="965"/>
        <v>12538247.823640065</v>
      </c>
      <c r="R271">
        <f t="shared" si="966"/>
        <v>-62471388.184442595</v>
      </c>
      <c r="S271">
        <f t="shared" si="967"/>
        <v>-624.71388184442594</v>
      </c>
      <c r="T271">
        <f t="shared" si="968"/>
        <v>-0.62471388184442589</v>
      </c>
    </row>
    <row r="272" spans="1:20" x14ac:dyDescent="0.25">
      <c r="A272" s="5">
        <v>44321</v>
      </c>
      <c r="B272">
        <v>0.51004000000000005</v>
      </c>
      <c r="C272">
        <v>0.58533000000000002</v>
      </c>
      <c r="D272">
        <v>0.50356999999999996</v>
      </c>
      <c r="E272">
        <v>0.57382999999999995</v>
      </c>
      <c r="F272">
        <v>35511117.600000001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0.71868884540117273</v>
      </c>
      <c r="Q272">
        <f t="shared" si="965"/>
        <v>25521444.106849264</v>
      </c>
      <c r="R272">
        <f t="shared" si="966"/>
        <v>-75009636.008082658</v>
      </c>
      <c r="S272">
        <f t="shared" si="967"/>
        <v>-750.09636008082657</v>
      </c>
      <c r="T272">
        <f t="shared" si="968"/>
        <v>-0.75009636008082659</v>
      </c>
    </row>
    <row r="273" spans="1:20" x14ac:dyDescent="0.25">
      <c r="A273" s="5">
        <v>44320</v>
      </c>
      <c r="B273">
        <v>0.58109999999999995</v>
      </c>
      <c r="C273">
        <v>0.58177000000000001</v>
      </c>
      <c r="D273">
        <v>0.49747000000000002</v>
      </c>
      <c r="E273">
        <v>0.51004000000000005</v>
      </c>
      <c r="F273">
        <v>31451792.399999999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-0.70177935943060432</v>
      </c>
      <c r="Q273">
        <f t="shared" si="965"/>
        <v>-22072218.723416347</v>
      </c>
      <c r="R273">
        <f t="shared" si="966"/>
        <v>-100531080.11493193</v>
      </c>
      <c r="S273">
        <f t="shared" si="967"/>
        <v>-1005.3108011493192</v>
      </c>
      <c r="T273">
        <f t="shared" si="968"/>
        <v>-1.0053108011493193</v>
      </c>
    </row>
    <row r="274" spans="1:20" x14ac:dyDescent="0.25">
      <c r="A274" s="5">
        <v>44319</v>
      </c>
      <c r="B274">
        <v>0.57637000000000005</v>
      </c>
      <c r="C274">
        <v>0.60872999999999999</v>
      </c>
      <c r="D274">
        <v>0.56594</v>
      </c>
      <c r="E274">
        <v>0.58082999999999996</v>
      </c>
      <c r="F274">
        <v>25255390.199999999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-0.30404300070110024</v>
      </c>
      <c r="Q274">
        <f t="shared" si="965"/>
        <v>-7678724.6202851599</v>
      </c>
      <c r="R274">
        <f t="shared" si="966"/>
        <v>-78458861.391515583</v>
      </c>
      <c r="S274">
        <f t="shared" si="967"/>
        <v>-784.58861391515586</v>
      </c>
      <c r="T274">
        <f t="shared" si="968"/>
        <v>-0.78458861391515589</v>
      </c>
    </row>
    <row r="275" spans="1:20" x14ac:dyDescent="0.25">
      <c r="A275" s="5">
        <v>44318</v>
      </c>
      <c r="B275">
        <v>0.58143</v>
      </c>
      <c r="C275">
        <v>0.59453</v>
      </c>
      <c r="D275">
        <v>0.56000000000000005</v>
      </c>
      <c r="E275">
        <v>0.57689000000000001</v>
      </c>
      <c r="F275">
        <v>29692981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-2.1720243266725441E-2</v>
      </c>
      <c r="Q275">
        <f t="shared" si="965"/>
        <v>-644938.77063425642</v>
      </c>
      <c r="R275">
        <f t="shared" si="966"/>
        <v>-70780136.771230429</v>
      </c>
      <c r="S275">
        <f t="shared" si="967"/>
        <v>-707.80136771230434</v>
      </c>
      <c r="T275">
        <f t="shared" si="968"/>
        <v>-0.70780136771230429</v>
      </c>
    </row>
    <row r="276" spans="1:20" x14ac:dyDescent="0.25">
      <c r="A276" s="5">
        <v>44317</v>
      </c>
      <c r="B276">
        <v>0.56138999999999994</v>
      </c>
      <c r="C276">
        <v>0.58450999999999997</v>
      </c>
      <c r="D276">
        <v>0.54761000000000004</v>
      </c>
      <c r="E276">
        <v>0.58062000000000002</v>
      </c>
      <c r="F276">
        <v>17180500.800000001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0.78915989159891842</v>
      </c>
      <c r="Q276">
        <f t="shared" si="965"/>
        <v>13558162.148943132</v>
      </c>
      <c r="R276">
        <f t="shared" si="966"/>
        <v>-70135198.000596166</v>
      </c>
      <c r="S276">
        <f t="shared" si="967"/>
        <v>-701.35198000596165</v>
      </c>
      <c r="T276">
        <f t="shared" si="968"/>
        <v>-0.70135198000596166</v>
      </c>
    </row>
    <row r="277" spans="1:20" x14ac:dyDescent="0.25">
      <c r="A277" s="5">
        <v>44316</v>
      </c>
      <c r="B277">
        <v>0.53098000000000001</v>
      </c>
      <c r="C277">
        <v>0.57084999999999997</v>
      </c>
      <c r="D277">
        <v>0.51734000000000002</v>
      </c>
      <c r="E277">
        <v>0.56086999999999998</v>
      </c>
      <c r="F277">
        <v>19421966.399999999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0.62698561016632415</v>
      </c>
      <c r="Q277">
        <f t="shared" si="965"/>
        <v>12177293.453933844</v>
      </c>
      <c r="R277">
        <f t="shared" si="966"/>
        <v>-83693360.149539292</v>
      </c>
      <c r="S277">
        <f t="shared" si="967"/>
        <v>-836.93360149539296</v>
      </c>
      <c r="T277">
        <f t="shared" si="968"/>
        <v>-0.83693360149539298</v>
      </c>
    </row>
    <row r="278" spans="1:20" x14ac:dyDescent="0.25">
      <c r="A278" s="5">
        <v>44315</v>
      </c>
      <c r="B278">
        <v>0.52259</v>
      </c>
      <c r="C278">
        <v>0.56140000000000001</v>
      </c>
      <c r="D278">
        <v>0.50119000000000002</v>
      </c>
      <c r="E278">
        <v>0.53098000000000001</v>
      </c>
      <c r="F278">
        <v>22539027.199999999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-1.0463378176382985E-2</v>
      </c>
      <c r="Q278">
        <f t="shared" si="965"/>
        <v>-235834.3653213825</v>
      </c>
      <c r="R278">
        <f t="shared" si="966"/>
        <v>-95870653.603473142</v>
      </c>
      <c r="S278">
        <f t="shared" si="967"/>
        <v>-958.70653603473147</v>
      </c>
      <c r="T278">
        <f t="shared" si="968"/>
        <v>-0.95870653603473144</v>
      </c>
    </row>
    <row r="279" spans="1:20" x14ac:dyDescent="0.25">
      <c r="A279" s="5">
        <v>44314</v>
      </c>
      <c r="B279">
        <v>0.54174999999999995</v>
      </c>
      <c r="C279">
        <v>0.56000000000000005</v>
      </c>
      <c r="D279">
        <v>0.49732999999999999</v>
      </c>
      <c r="E279">
        <v>0.52315</v>
      </c>
      <c r="F279">
        <v>19987200.399999999</v>
      </c>
      <c r="G279">
        <v>0</v>
      </c>
      <c r="L279" t="s">
        <v>8</v>
      </c>
      <c r="M279" t="s">
        <v>8</v>
      </c>
      <c r="N279" t="s">
        <v>7</v>
      </c>
      <c r="P279">
        <f t="shared" si="964"/>
        <v>-0.17600127652784472</v>
      </c>
      <c r="Q279">
        <f t="shared" si="965"/>
        <v>-3517772.7846178482</v>
      </c>
      <c r="R279">
        <f t="shared" si="966"/>
        <v>-95634819.238151759</v>
      </c>
      <c r="S279">
        <f t="shared" si="967"/>
        <v>-956.34819238151761</v>
      </c>
      <c r="T279">
        <f t="shared" si="968"/>
        <v>-0.95634819238151758</v>
      </c>
    </row>
    <row r="280" spans="1:20" x14ac:dyDescent="0.25">
      <c r="A280" s="5">
        <v>44313</v>
      </c>
      <c r="B280">
        <v>0.49530999999999997</v>
      </c>
      <c r="C280">
        <v>0.54430999999999996</v>
      </c>
      <c r="D280">
        <v>0.48707</v>
      </c>
      <c r="E280">
        <v>0.54176000000000002</v>
      </c>
      <c r="F280">
        <v>19951661.300000001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0.91090146750524303</v>
      </c>
      <c r="Q280">
        <f t="shared" si="965"/>
        <v>18173997.557337567</v>
      </c>
      <c r="R280">
        <f t="shared" si="966"/>
        <v>-92117046.453533918</v>
      </c>
      <c r="S280">
        <f t="shared" si="967"/>
        <v>-921.17046453533919</v>
      </c>
      <c r="T280">
        <f t="shared" si="968"/>
        <v>-0.92117046453533924</v>
      </c>
    </row>
    <row r="281" spans="1:20" x14ac:dyDescent="0.25">
      <c r="A281" s="5">
        <v>44312</v>
      </c>
      <c r="B281">
        <v>0.43878</v>
      </c>
      <c r="C281">
        <v>0.49990000000000001</v>
      </c>
      <c r="D281">
        <v>0.43604999999999999</v>
      </c>
      <c r="E281">
        <v>0.49547000000000002</v>
      </c>
      <c r="F281">
        <v>19721231.899999999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0.86123727486296042</v>
      </c>
      <c r="Q281">
        <f t="shared" si="965"/>
        <v>16984660.018496484</v>
      </c>
      <c r="R281">
        <f t="shared" si="966"/>
        <v>-110291044.01087148</v>
      </c>
      <c r="S281">
        <f t="shared" si="967"/>
        <v>-1102.9104401087147</v>
      </c>
      <c r="T281">
        <f t="shared" si="968"/>
        <v>-1.1029104401087146</v>
      </c>
    </row>
    <row r="282" spans="1:20" x14ac:dyDescent="0.25">
      <c r="A282" s="5">
        <v>44311</v>
      </c>
      <c r="B282">
        <v>0.43657000000000001</v>
      </c>
      <c r="C282">
        <v>0.46817999999999999</v>
      </c>
      <c r="D282">
        <v>0.41327000000000003</v>
      </c>
      <c r="E282">
        <v>0.43863999999999997</v>
      </c>
      <c r="F282">
        <v>11531763.699999999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-7.594245128392034E-2</v>
      </c>
      <c r="Q282">
        <f t="shared" si="965"/>
        <v>-875750.40300493094</v>
      </c>
      <c r="R282">
        <f t="shared" si="966"/>
        <v>-127275704.02936797</v>
      </c>
      <c r="S282">
        <f t="shared" si="967"/>
        <v>-1272.7570402936797</v>
      </c>
      <c r="T282">
        <f t="shared" si="968"/>
        <v>-1.2727570402936796</v>
      </c>
    </row>
    <row r="283" spans="1:20" x14ac:dyDescent="0.25">
      <c r="A283" s="5">
        <v>44310</v>
      </c>
      <c r="B283">
        <v>0.48060999999999998</v>
      </c>
      <c r="C283">
        <v>0.48282999999999998</v>
      </c>
      <c r="D283">
        <v>0.43209999999999998</v>
      </c>
      <c r="E283">
        <v>0.43643999999999999</v>
      </c>
      <c r="F283">
        <v>16523321.6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-0.82889808791641983</v>
      </c>
      <c r="Q283">
        <f t="shared" si="965"/>
        <v>-13696149.680268079</v>
      </c>
      <c r="R283">
        <f t="shared" si="966"/>
        <v>-126399953.62636304</v>
      </c>
      <c r="S283">
        <f t="shared" si="967"/>
        <v>-1263.9995362636305</v>
      </c>
      <c r="T283">
        <f t="shared" si="968"/>
        <v>-1.2639995362636305</v>
      </c>
    </row>
    <row r="284" spans="1:20" x14ac:dyDescent="0.25">
      <c r="A284" s="5">
        <v>44309</v>
      </c>
      <c r="B284">
        <v>0.50258999999999998</v>
      </c>
      <c r="C284">
        <v>0.50899000000000005</v>
      </c>
      <c r="D284">
        <v>0.40167000000000003</v>
      </c>
      <c r="E284">
        <v>0.47999000000000003</v>
      </c>
      <c r="F284">
        <v>32026236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0.45956019381289565</v>
      </c>
      <c r="Q284">
        <f t="shared" si="965"/>
        <v>14717983.223257536</v>
      </c>
      <c r="R284">
        <f t="shared" si="966"/>
        <v>-112703803.94609496</v>
      </c>
      <c r="S284">
        <f t="shared" si="967"/>
        <v>-1127.0380394609497</v>
      </c>
      <c r="T284">
        <f t="shared" si="968"/>
        <v>-1.1270380394609496</v>
      </c>
    </row>
    <row r="285" spans="1:20" x14ac:dyDescent="0.25">
      <c r="A285" s="5">
        <v>44308</v>
      </c>
      <c r="B285">
        <v>0.54757</v>
      </c>
      <c r="C285">
        <v>0.57552999999999999</v>
      </c>
      <c r="D285">
        <v>0.48163</v>
      </c>
      <c r="E285">
        <v>0.50282000000000004</v>
      </c>
      <c r="F285">
        <v>28051726.5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-0.54866879659211831</v>
      </c>
      <c r="Q285">
        <f t="shared" si="965"/>
        <v>-15391107.021086235</v>
      </c>
      <c r="R285">
        <f t="shared" si="966"/>
        <v>-127421787.1693525</v>
      </c>
      <c r="S285">
        <f t="shared" si="967"/>
        <v>-1274.217871693525</v>
      </c>
      <c r="T285">
        <f t="shared" si="968"/>
        <v>-1.2742178716935251</v>
      </c>
    </row>
    <row r="286" spans="1:20" x14ac:dyDescent="0.25">
      <c r="A286" s="5">
        <v>44307</v>
      </c>
      <c r="B286">
        <v>0.57040000000000002</v>
      </c>
      <c r="C286">
        <v>0.60229999999999995</v>
      </c>
      <c r="D286">
        <v>0.54435</v>
      </c>
      <c r="E286">
        <v>0.54757999999999996</v>
      </c>
      <c r="F286">
        <v>28186229.199999999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-0.88852459016393592</v>
      </c>
      <c r="Q286">
        <f t="shared" si="965"/>
        <v>-25044157.748196762</v>
      </c>
      <c r="R286">
        <f t="shared" si="966"/>
        <v>-112030680.14826627</v>
      </c>
      <c r="S286">
        <f t="shared" si="967"/>
        <v>-1120.3068014826626</v>
      </c>
      <c r="T286">
        <f t="shared" si="968"/>
        <v>-1.1203068014826627</v>
      </c>
    </row>
    <row r="287" spans="1:20" x14ac:dyDescent="0.25">
      <c r="A287" s="5">
        <v>44306</v>
      </c>
      <c r="B287">
        <v>0.56201000000000001</v>
      </c>
      <c r="C287">
        <v>0.57899</v>
      </c>
      <c r="D287">
        <v>0.50734000000000001</v>
      </c>
      <c r="E287">
        <v>0.57040999999999997</v>
      </c>
      <c r="F287">
        <v>27347768.600000001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0.76050244242847076</v>
      </c>
      <c r="Q287">
        <f t="shared" si="965"/>
        <v>20798044.815268643</v>
      </c>
      <c r="R287">
        <f t="shared" si="966"/>
        <v>-86986522.400069505</v>
      </c>
      <c r="S287">
        <f t="shared" si="967"/>
        <v>-869.86522400069509</v>
      </c>
      <c r="T287">
        <f t="shared" si="968"/>
        <v>-0.8698652240006951</v>
      </c>
    </row>
    <row r="288" spans="1:20" x14ac:dyDescent="0.25">
      <c r="A288" s="5">
        <v>44305</v>
      </c>
      <c r="B288">
        <v>0.63014999999999999</v>
      </c>
      <c r="C288">
        <v>0.64097999999999999</v>
      </c>
      <c r="D288">
        <v>0.53388000000000002</v>
      </c>
      <c r="E288">
        <v>0.56200000000000006</v>
      </c>
      <c r="F288">
        <v>43874568.299999997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-0.47488328664799179</v>
      </c>
      <c r="Q288">
        <f t="shared" si="965"/>
        <v>-20835299.194565792</v>
      </c>
      <c r="R288">
        <f t="shared" si="966"/>
        <v>-107784567.21533816</v>
      </c>
      <c r="S288">
        <f t="shared" si="967"/>
        <v>-1077.8456721533817</v>
      </c>
      <c r="T288">
        <f t="shared" si="968"/>
        <v>-1.0778456721533816</v>
      </c>
    </row>
    <row r="289" spans="1:20" x14ac:dyDescent="0.25">
      <c r="A289" s="5">
        <v>44304</v>
      </c>
      <c r="B289">
        <v>0.74882000000000004</v>
      </c>
      <c r="C289">
        <v>0.77380000000000004</v>
      </c>
      <c r="D289">
        <v>0.52732000000000001</v>
      </c>
      <c r="E289">
        <v>0.63077000000000005</v>
      </c>
      <c r="F289">
        <v>90981241.299999997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-0.16058098020123313</v>
      </c>
      <c r="Q289">
        <f t="shared" si="965"/>
        <v>-14609856.907878913</v>
      </c>
      <c r="R289">
        <f t="shared" si="966"/>
        <v>-86949268.020772368</v>
      </c>
      <c r="S289">
        <f t="shared" si="967"/>
        <v>-869.49268020772365</v>
      </c>
      <c r="T289">
        <f t="shared" si="968"/>
        <v>-0.86949268020772363</v>
      </c>
    </row>
    <row r="290" spans="1:20" x14ac:dyDescent="0.25">
      <c r="A290" s="5">
        <v>44303</v>
      </c>
      <c r="B290">
        <v>0.64034999999999997</v>
      </c>
      <c r="C290">
        <v>0.78298999999999996</v>
      </c>
      <c r="D290">
        <v>0.63402000000000003</v>
      </c>
      <c r="E290">
        <v>0.75014999999999998</v>
      </c>
      <c r="F290">
        <v>103222771.90000001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0.55910586024031694</v>
      </c>
      <c r="Q290">
        <f t="shared" si="965"/>
        <v>57712456.679539517</v>
      </c>
      <c r="R290">
        <f t="shared" si="966"/>
        <v>-72339411.112893447</v>
      </c>
      <c r="S290">
        <f t="shared" si="967"/>
        <v>-723.39411112893447</v>
      </c>
      <c r="T290">
        <f t="shared" si="968"/>
        <v>-0.72339411112893448</v>
      </c>
    </row>
    <row r="291" spans="1:20" x14ac:dyDescent="0.25">
      <c r="A291" s="5">
        <v>44302</v>
      </c>
      <c r="B291">
        <v>0.67337000000000002</v>
      </c>
      <c r="C291">
        <v>0.67834000000000005</v>
      </c>
      <c r="D291">
        <v>0.60777000000000003</v>
      </c>
      <c r="E291">
        <v>0.64061999999999997</v>
      </c>
      <c r="F291">
        <v>31740658.899999999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-6.9009494119316284E-2</v>
      </c>
      <c r="Q291">
        <f t="shared" si="965"/>
        <v>-2190406.8137027738</v>
      </c>
      <c r="R291">
        <f t="shared" si="966"/>
        <v>-130051867.79243296</v>
      </c>
      <c r="S291">
        <f t="shared" si="967"/>
        <v>-1300.5186779243297</v>
      </c>
      <c r="T291">
        <f t="shared" si="968"/>
        <v>-1.3005186779243296</v>
      </c>
    </row>
    <row r="292" spans="1:20" x14ac:dyDescent="0.25">
      <c r="A292" s="5">
        <v>44301</v>
      </c>
      <c r="B292">
        <v>0.65151999999999999</v>
      </c>
      <c r="C292">
        <v>0.69774000000000003</v>
      </c>
      <c r="D292">
        <v>0.64885000000000004</v>
      </c>
      <c r="E292">
        <v>0.67301</v>
      </c>
      <c r="F292">
        <v>35006793.600000001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-1.165882593577563E-2</v>
      </c>
      <c r="Q292">
        <f t="shared" si="965"/>
        <v>-408138.11315202434</v>
      </c>
      <c r="R292">
        <f t="shared" si="966"/>
        <v>-127861460.97873019</v>
      </c>
      <c r="S292">
        <f t="shared" si="967"/>
        <v>-1278.6146097873018</v>
      </c>
      <c r="T292">
        <f t="shared" si="968"/>
        <v>-1.2786146097873017</v>
      </c>
    </row>
    <row r="293" spans="1:20" x14ac:dyDescent="0.25">
      <c r="A293" s="5">
        <v>44300</v>
      </c>
      <c r="B293">
        <v>0.59943000000000002</v>
      </c>
      <c r="C293">
        <v>0.67932999999999999</v>
      </c>
      <c r="D293">
        <v>0.59023000000000003</v>
      </c>
      <c r="E293">
        <v>0.65095000000000003</v>
      </c>
      <c r="F293">
        <v>57898592.299999997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0.36296296296296354</v>
      </c>
      <c r="Q293">
        <f t="shared" si="965"/>
        <v>21015044.612592626</v>
      </c>
      <c r="R293">
        <f t="shared" si="966"/>
        <v>-127453322.86557816</v>
      </c>
      <c r="S293">
        <f t="shared" si="967"/>
        <v>-1274.5332286557816</v>
      </c>
      <c r="T293">
        <f t="shared" si="968"/>
        <v>-1.2745332286557816</v>
      </c>
    </row>
    <row r="294" spans="1:20" x14ac:dyDescent="0.25">
      <c r="A294" s="5">
        <v>44299</v>
      </c>
      <c r="B294">
        <v>0.62229999999999996</v>
      </c>
      <c r="C294">
        <v>0.63637999999999995</v>
      </c>
      <c r="D294">
        <v>0.58245000000000002</v>
      </c>
      <c r="E294">
        <v>0.59901000000000004</v>
      </c>
      <c r="F294">
        <v>28504694.199999999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-0.38587057296495297</v>
      </c>
      <c r="Q294">
        <f t="shared" si="965"/>
        <v>-10999122.683144772</v>
      </c>
      <c r="R294">
        <f t="shared" si="966"/>
        <v>-148468367.47817078</v>
      </c>
      <c r="S294">
        <f t="shared" si="967"/>
        <v>-1484.6836747817079</v>
      </c>
      <c r="T294">
        <f t="shared" si="968"/>
        <v>-1.4846836747817078</v>
      </c>
    </row>
    <row r="295" spans="1:20" x14ac:dyDescent="0.25">
      <c r="A295" s="5">
        <v>44298</v>
      </c>
      <c r="B295">
        <v>0.57213000000000003</v>
      </c>
      <c r="C295">
        <v>0.62229999999999996</v>
      </c>
      <c r="D295">
        <v>0.56108000000000002</v>
      </c>
      <c r="E295">
        <v>0.62229000000000001</v>
      </c>
      <c r="F295">
        <v>36637796.399999999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0.99967330937602239</v>
      </c>
      <c r="Q295">
        <f t="shared" si="965"/>
        <v>36625827.17543292</v>
      </c>
      <c r="R295">
        <f t="shared" si="966"/>
        <v>-137469244.795026</v>
      </c>
      <c r="S295">
        <f t="shared" si="967"/>
        <v>-1374.69244795026</v>
      </c>
      <c r="T295">
        <f t="shared" si="968"/>
        <v>-1.37469244795026</v>
      </c>
    </row>
    <row r="296" spans="1:20" x14ac:dyDescent="0.25">
      <c r="A296" s="5">
        <v>44297</v>
      </c>
      <c r="B296">
        <v>0.55400000000000005</v>
      </c>
      <c r="C296">
        <v>0.57999999999999996</v>
      </c>
      <c r="D296">
        <v>0.54256000000000004</v>
      </c>
      <c r="E296">
        <v>0.57184000000000001</v>
      </c>
      <c r="F296">
        <v>19488307.300000001</v>
      </c>
      <c r="G296">
        <v>0</v>
      </c>
      <c r="L296" t="s">
        <v>8</v>
      </c>
      <c r="M296" t="s">
        <v>7</v>
      </c>
      <c r="N296" t="s">
        <v>7</v>
      </c>
      <c r="P296">
        <f t="shared" si="964"/>
        <v>0.5641025641025661</v>
      </c>
      <c r="Q296">
        <f t="shared" si="965"/>
        <v>10993404.117948757</v>
      </c>
      <c r="R296">
        <f t="shared" si="966"/>
        <v>-174095071.97045892</v>
      </c>
      <c r="S296">
        <f t="shared" si="967"/>
        <v>-1740.9507197045893</v>
      </c>
      <c r="T296">
        <f t="shared" si="968"/>
        <v>-1.7409507197045893</v>
      </c>
    </row>
    <row r="297" spans="1:20" x14ac:dyDescent="0.25">
      <c r="A297" s="5">
        <v>44296</v>
      </c>
      <c r="B297">
        <v>0.55581999999999998</v>
      </c>
      <c r="C297">
        <v>0.57928999999999997</v>
      </c>
      <c r="D297">
        <v>0.54220999999999997</v>
      </c>
      <c r="E297">
        <v>0.55347999999999997</v>
      </c>
      <c r="F297">
        <v>22072477.800000001</v>
      </c>
      <c r="G297">
        <v>0</v>
      </c>
      <c r="L297" t="s">
        <v>8</v>
      </c>
      <c r="M297" t="s">
        <v>7</v>
      </c>
      <c r="N297" t="s">
        <v>7</v>
      </c>
      <c r="P297">
        <f t="shared" si="964"/>
        <v>-0.39212513484358136</v>
      </c>
      <c r="Q297">
        <f t="shared" si="965"/>
        <v>-8655173.3336569555</v>
      </c>
      <c r="R297">
        <f t="shared" si="966"/>
        <v>-185088476.0884077</v>
      </c>
      <c r="S297">
        <f t="shared" si="967"/>
        <v>-1850.884760884077</v>
      </c>
      <c r="T297">
        <f t="shared" si="968"/>
        <v>-1.8508847608840771</v>
      </c>
    </row>
    <row r="298" spans="1:20" x14ac:dyDescent="0.25">
      <c r="A298" s="5">
        <v>44295</v>
      </c>
      <c r="B298">
        <v>0.56771000000000005</v>
      </c>
      <c r="C298">
        <v>0.57315000000000005</v>
      </c>
      <c r="D298">
        <v>0.54662999999999995</v>
      </c>
      <c r="E298">
        <v>0.55564000000000002</v>
      </c>
      <c r="F298">
        <v>19444645.699999999</v>
      </c>
      <c r="G298">
        <v>0</v>
      </c>
      <c r="L298" t="s">
        <v>8</v>
      </c>
      <c r="M298" t="s">
        <v>7</v>
      </c>
      <c r="N298" t="s">
        <v>7</v>
      </c>
      <c r="P298">
        <f t="shared" si="964"/>
        <v>-0.32051282051281749</v>
      </c>
      <c r="Q298">
        <f t="shared" si="965"/>
        <v>-6232258.2371794283</v>
      </c>
      <c r="R298">
        <f t="shared" si="966"/>
        <v>-176433302.75475073</v>
      </c>
      <c r="S298">
        <f t="shared" si="967"/>
        <v>-1764.3330275475073</v>
      </c>
      <c r="T298">
        <f t="shared" si="968"/>
        <v>-1.7643330275475073</v>
      </c>
    </row>
    <row r="299" spans="1:20" x14ac:dyDescent="0.25">
      <c r="A299" s="5">
        <v>44294</v>
      </c>
      <c r="B299">
        <v>0.52097000000000004</v>
      </c>
      <c r="C299">
        <v>0.57730999999999999</v>
      </c>
      <c r="D299">
        <v>0.51670000000000005</v>
      </c>
      <c r="E299">
        <v>0.56786999999999999</v>
      </c>
      <c r="F299">
        <v>35957569</v>
      </c>
      <c r="G299">
        <v>0</v>
      </c>
      <c r="L299" t="s">
        <v>8</v>
      </c>
      <c r="M299" t="s">
        <v>7</v>
      </c>
      <c r="N299" t="s">
        <v>7</v>
      </c>
      <c r="P299">
        <f t="shared" si="964"/>
        <v>0.68850024748391314</v>
      </c>
      <c r="Q299">
        <f t="shared" si="965"/>
        <v>24756795.155419882</v>
      </c>
      <c r="R299">
        <f t="shared" si="966"/>
        <v>-170201044.5175713</v>
      </c>
      <c r="S299">
        <f t="shared" si="967"/>
        <v>-1702.0104451757129</v>
      </c>
      <c r="T299">
        <f t="shared" si="968"/>
        <v>-1.702010445175713</v>
      </c>
    </row>
    <row r="300" spans="1:20" x14ac:dyDescent="0.25">
      <c r="A300" s="5">
        <v>44293</v>
      </c>
      <c r="B300">
        <v>0.57191999999999998</v>
      </c>
      <c r="C300">
        <v>0.58416999999999997</v>
      </c>
      <c r="D300">
        <v>0.49006</v>
      </c>
      <c r="E300">
        <v>0.52129999999999999</v>
      </c>
      <c r="F300">
        <v>34075127.399999999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-0.33609605780469665</v>
      </c>
      <c r="Q300">
        <f t="shared" si="965"/>
        <v>-11452515.988332802</v>
      </c>
      <c r="R300">
        <f t="shared" si="966"/>
        <v>-194957839.67299119</v>
      </c>
      <c r="S300">
        <f t="shared" si="967"/>
        <v>-1949.5783967299119</v>
      </c>
      <c r="T300">
        <f t="shared" si="968"/>
        <v>-1.9495783967299118</v>
      </c>
    </row>
    <row r="301" spans="1:20" x14ac:dyDescent="0.25">
      <c r="A301" s="5">
        <v>44292</v>
      </c>
      <c r="B301">
        <v>0.58803000000000005</v>
      </c>
      <c r="C301">
        <v>0.61060000000000003</v>
      </c>
      <c r="D301">
        <v>0.55023999999999995</v>
      </c>
      <c r="E301">
        <v>0.57167000000000001</v>
      </c>
      <c r="F301">
        <v>34563074.299999997</v>
      </c>
      <c r="G301">
        <v>0</v>
      </c>
      <c r="L301" t="s">
        <v>7</v>
      </c>
      <c r="M301" t="s">
        <v>8</v>
      </c>
      <c r="N301" t="s">
        <v>7</v>
      </c>
      <c r="P301">
        <f t="shared" si="964"/>
        <v>-0.28992710404241112</v>
      </c>
      <c r="Q301">
        <f t="shared" si="965"/>
        <v>-10020772.038601685</v>
      </c>
      <c r="R301">
        <f t="shared" si="966"/>
        <v>-183505323.68465838</v>
      </c>
      <c r="S301">
        <f t="shared" si="967"/>
        <v>-1835.0532368465838</v>
      </c>
      <c r="T301">
        <f t="shared" si="968"/>
        <v>-1.8350532368465837</v>
      </c>
    </row>
    <row r="302" spans="1:20" x14ac:dyDescent="0.25">
      <c r="A302" s="5">
        <v>44291</v>
      </c>
      <c r="B302">
        <v>0.57164999999999999</v>
      </c>
      <c r="C302">
        <v>0.61324000000000001</v>
      </c>
      <c r="D302">
        <v>0.54027000000000003</v>
      </c>
      <c r="E302">
        <v>0.58792999999999995</v>
      </c>
      <c r="F302">
        <v>40136145</v>
      </c>
      <c r="G302">
        <v>0</v>
      </c>
      <c r="L302" t="s">
        <v>8</v>
      </c>
      <c r="M302" t="s">
        <v>8</v>
      </c>
      <c r="N302" t="s">
        <v>7</v>
      </c>
      <c r="P302">
        <f t="shared" si="964"/>
        <v>0.30629025626969819</v>
      </c>
      <c r="Q302">
        <f t="shared" si="965"/>
        <v>12293310.137727765</v>
      </c>
      <c r="R302">
        <f t="shared" si="966"/>
        <v>-173484551.64605668</v>
      </c>
      <c r="S302">
        <f t="shared" si="967"/>
        <v>-1734.8455164605668</v>
      </c>
      <c r="T302">
        <f t="shared" si="968"/>
        <v>-1.7348455164605669</v>
      </c>
    </row>
    <row r="303" spans="1:20" x14ac:dyDescent="0.25">
      <c r="A303" s="5">
        <v>44290</v>
      </c>
      <c r="B303">
        <v>0.52685999999999999</v>
      </c>
      <c r="C303">
        <v>0.57899999999999996</v>
      </c>
      <c r="D303">
        <v>0.51700999999999997</v>
      </c>
      <c r="E303">
        <v>0.57169999999999999</v>
      </c>
      <c r="F303">
        <v>22292494.399999999</v>
      </c>
      <c r="G303">
        <v>0</v>
      </c>
      <c r="L303" t="s">
        <v>8</v>
      </c>
      <c r="M303" t="s">
        <v>8</v>
      </c>
      <c r="N303" t="s">
        <v>7</v>
      </c>
      <c r="P303">
        <f t="shared" si="964"/>
        <v>0.76447814163574856</v>
      </c>
      <c r="Q303">
        <f t="shared" si="965"/>
        <v>17042124.691337332</v>
      </c>
      <c r="R303">
        <f t="shared" si="966"/>
        <v>-185777861.78378445</v>
      </c>
      <c r="S303">
        <f t="shared" si="967"/>
        <v>-1857.7786178378444</v>
      </c>
      <c r="T303">
        <f t="shared" si="968"/>
        <v>-1.8577786178378444</v>
      </c>
    </row>
    <row r="304" spans="1:20" x14ac:dyDescent="0.25">
      <c r="A304" s="5">
        <v>44289</v>
      </c>
      <c r="B304">
        <v>0.57011000000000001</v>
      </c>
      <c r="C304">
        <v>0.59855999999999998</v>
      </c>
      <c r="D304">
        <v>0.51229000000000002</v>
      </c>
      <c r="E304">
        <v>0.52685999999999999</v>
      </c>
      <c r="F304">
        <v>32970369.300000001</v>
      </c>
      <c r="G304">
        <v>0</v>
      </c>
      <c r="L304" t="s">
        <v>7</v>
      </c>
      <c r="M304" t="s">
        <v>8</v>
      </c>
      <c r="N304" t="s">
        <v>7</v>
      </c>
      <c r="P304">
        <f t="shared" si="964"/>
        <v>-0.66222325257911263</v>
      </c>
      <c r="Q304">
        <f t="shared" si="965"/>
        <v>-21833745.196580522</v>
      </c>
      <c r="R304">
        <f t="shared" si="966"/>
        <v>-202819986.4751218</v>
      </c>
      <c r="S304">
        <f t="shared" si="967"/>
        <v>-2028.199864751218</v>
      </c>
      <c r="T304">
        <f t="shared" si="968"/>
        <v>-2.0281998647512181</v>
      </c>
    </row>
    <row r="305" spans="1:20" x14ac:dyDescent="0.25">
      <c r="A305" s="5">
        <v>44288</v>
      </c>
      <c r="B305">
        <v>0.53671000000000002</v>
      </c>
      <c r="C305">
        <v>0.57999000000000001</v>
      </c>
      <c r="D305">
        <v>0.52708999999999995</v>
      </c>
      <c r="E305">
        <v>0.56977999999999995</v>
      </c>
      <c r="F305">
        <v>28347492.100000001</v>
      </c>
      <c r="G305">
        <v>0</v>
      </c>
      <c r="L305" t="s">
        <v>7</v>
      </c>
      <c r="M305" t="s">
        <v>8</v>
      </c>
      <c r="N305" t="s">
        <v>7</v>
      </c>
      <c r="P305">
        <f t="shared" si="964"/>
        <v>0.61398865784498902</v>
      </c>
      <c r="Q305">
        <f t="shared" si="965"/>
        <v>17405038.62775043</v>
      </c>
      <c r="R305">
        <f t="shared" si="966"/>
        <v>-180986241.27854127</v>
      </c>
      <c r="S305">
        <f t="shared" si="967"/>
        <v>-1809.8624127854127</v>
      </c>
      <c r="T305">
        <f t="shared" si="968"/>
        <v>-1.8098624127854128</v>
      </c>
    </row>
    <row r="306" spans="1:20" x14ac:dyDescent="0.25">
      <c r="A306" s="5">
        <v>44287</v>
      </c>
      <c r="B306">
        <v>0.54891999999999996</v>
      </c>
      <c r="C306">
        <v>0.57499999999999996</v>
      </c>
      <c r="D306">
        <v>0.52532000000000001</v>
      </c>
      <c r="E306">
        <v>0.53671000000000002</v>
      </c>
      <c r="F306">
        <v>24372576.699999999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-0.54146537842189923</v>
      </c>
      <c r="Q306">
        <f t="shared" si="965"/>
        <v>-13196906.465982264</v>
      </c>
      <c r="R306">
        <f t="shared" si="966"/>
        <v>-198391279.90629169</v>
      </c>
      <c r="S306">
        <f t="shared" si="967"/>
        <v>-1983.912799062917</v>
      </c>
      <c r="T306">
        <f t="shared" si="968"/>
        <v>-1.9839127990629171</v>
      </c>
    </row>
    <row r="307" spans="1:20" x14ac:dyDescent="0.25">
      <c r="A307" s="5">
        <v>44286</v>
      </c>
      <c r="B307">
        <v>0.54881999999999997</v>
      </c>
      <c r="C307">
        <v>0.56000000000000005</v>
      </c>
      <c r="D307">
        <v>0.50370999999999999</v>
      </c>
      <c r="E307">
        <v>0.54847999999999997</v>
      </c>
      <c r="F307">
        <v>21896664.399999999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0.5906910641321701</v>
      </c>
      <c r="Q307">
        <f t="shared" si="965"/>
        <v>12934163.995381005</v>
      </c>
      <c r="R307">
        <f t="shared" si="966"/>
        <v>-185194373.44030944</v>
      </c>
      <c r="S307">
        <f t="shared" si="967"/>
        <v>-1851.9437344030944</v>
      </c>
      <c r="T307">
        <f t="shared" si="968"/>
        <v>-1.8519437344030945</v>
      </c>
    </row>
    <row r="308" spans="1:20" x14ac:dyDescent="0.25">
      <c r="A308" s="5">
        <v>44285</v>
      </c>
      <c r="B308">
        <v>0.53864000000000001</v>
      </c>
      <c r="C308">
        <v>0.56100000000000005</v>
      </c>
      <c r="D308">
        <v>0.53046000000000004</v>
      </c>
      <c r="E308">
        <v>0.54866000000000004</v>
      </c>
      <c r="F308">
        <v>21458950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0.19187950229207512</v>
      </c>
      <c r="Q308">
        <f t="shared" si="965"/>
        <v>4117532.6457105256</v>
      </c>
      <c r="R308">
        <f t="shared" si="966"/>
        <v>-198128537.43569043</v>
      </c>
      <c r="S308">
        <f t="shared" si="967"/>
        <v>-1981.2853743569044</v>
      </c>
      <c r="T308">
        <f t="shared" si="968"/>
        <v>-1.9812853743569043</v>
      </c>
    </row>
    <row r="309" spans="1:20" x14ac:dyDescent="0.25">
      <c r="A309" s="5">
        <v>44284</v>
      </c>
      <c r="B309">
        <v>0.4909</v>
      </c>
      <c r="C309">
        <v>0.55273000000000005</v>
      </c>
      <c r="D309">
        <v>0.48288999999999999</v>
      </c>
      <c r="E309">
        <v>0.53815000000000002</v>
      </c>
      <c r="F309">
        <v>36271277.600000001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0.58247422680412309</v>
      </c>
      <c r="Q309">
        <f t="shared" si="965"/>
        <v>21127084.375257712</v>
      </c>
      <c r="R309">
        <f t="shared" si="966"/>
        <v>-202246070.08140096</v>
      </c>
      <c r="S309">
        <f t="shared" si="967"/>
        <v>-2022.4607008140097</v>
      </c>
      <c r="T309">
        <f t="shared" si="968"/>
        <v>-2.0224607008140096</v>
      </c>
    </row>
    <row r="310" spans="1:20" x14ac:dyDescent="0.25">
      <c r="A310" s="5">
        <v>44283</v>
      </c>
      <c r="B310">
        <v>0.48618</v>
      </c>
      <c r="C310">
        <v>0.50585999999999998</v>
      </c>
      <c r="D310">
        <v>0.47321999999999997</v>
      </c>
      <c r="E310">
        <v>0.49085000000000001</v>
      </c>
      <c r="F310">
        <v>22139146.800000001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8.0269607843139287E-2</v>
      </c>
      <c r="Q310">
        <f t="shared" si="965"/>
        <v>1777100.6316176921</v>
      </c>
      <c r="R310">
        <f t="shared" si="966"/>
        <v>-223373154.45665866</v>
      </c>
      <c r="S310">
        <f t="shared" si="967"/>
        <v>-2233.7315445665868</v>
      </c>
      <c r="T310">
        <f t="shared" si="968"/>
        <v>-2.2337315445665866</v>
      </c>
    </row>
    <row r="311" spans="1:20" x14ac:dyDescent="0.25">
      <c r="A311" s="5">
        <v>44282</v>
      </c>
      <c r="B311">
        <v>0.50190999999999997</v>
      </c>
      <c r="C311">
        <v>0.51178999999999997</v>
      </c>
      <c r="D311">
        <v>0.48052</v>
      </c>
      <c r="E311">
        <v>0.48596</v>
      </c>
      <c r="F311">
        <v>19996920.699999999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-0.65206267988487321</v>
      </c>
      <c r="Q311">
        <f t="shared" si="965"/>
        <v>-13039245.701087294</v>
      </c>
      <c r="R311">
        <f t="shared" si="966"/>
        <v>-225150255.08827636</v>
      </c>
      <c r="S311">
        <f t="shared" si="967"/>
        <v>-2251.5025508827634</v>
      </c>
      <c r="T311">
        <f t="shared" si="968"/>
        <v>-2.2515025508827633</v>
      </c>
    </row>
    <row r="312" spans="1:20" x14ac:dyDescent="0.25">
      <c r="A312" s="5">
        <v>44281</v>
      </c>
      <c r="B312">
        <v>0.44862999999999997</v>
      </c>
      <c r="C312">
        <v>0.51227</v>
      </c>
      <c r="D312">
        <v>0.44862999999999997</v>
      </c>
      <c r="E312">
        <v>0.50190999999999997</v>
      </c>
      <c r="F312">
        <v>20582997.199999999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0.67441860465116177</v>
      </c>
      <c r="Q312">
        <f t="shared" si="965"/>
        <v>13881556.251162769</v>
      </c>
      <c r="R312">
        <f t="shared" si="966"/>
        <v>-212111009.38718906</v>
      </c>
      <c r="S312">
        <f t="shared" si="967"/>
        <v>-2121.1100938718905</v>
      </c>
      <c r="T312">
        <f t="shared" si="968"/>
        <v>-2.1211100938718905</v>
      </c>
    </row>
    <row r="313" spans="1:20" x14ac:dyDescent="0.25">
      <c r="A313" s="5">
        <v>44280</v>
      </c>
      <c r="B313">
        <v>0.46837000000000001</v>
      </c>
      <c r="C313">
        <v>0.47614000000000001</v>
      </c>
      <c r="D313">
        <v>0.43569999999999998</v>
      </c>
      <c r="E313">
        <v>0.44896000000000003</v>
      </c>
      <c r="F313">
        <v>21811099.600000001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-0.34421364985163011</v>
      </c>
      <c r="Q313">
        <f t="shared" si="965"/>
        <v>-7507678.2005934296</v>
      </c>
      <c r="R313">
        <f t="shared" si="966"/>
        <v>-225992565.63835183</v>
      </c>
      <c r="S313">
        <f t="shared" si="967"/>
        <v>-2259.9256563835183</v>
      </c>
      <c r="T313">
        <f t="shared" si="968"/>
        <v>-2.2599256563835182</v>
      </c>
    </row>
    <row r="314" spans="1:20" x14ac:dyDescent="0.25">
      <c r="A314" s="5">
        <v>44279</v>
      </c>
      <c r="B314">
        <v>0.51951000000000003</v>
      </c>
      <c r="C314">
        <v>0.53595999999999999</v>
      </c>
      <c r="D314">
        <v>0.45865</v>
      </c>
      <c r="E314">
        <v>0.46840999999999999</v>
      </c>
      <c r="F314">
        <v>27179791.5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-0.74751002457638105</v>
      </c>
      <c r="Q314">
        <f t="shared" si="965"/>
        <v>-20317166.612145912</v>
      </c>
      <c r="R314">
        <f t="shared" si="966"/>
        <v>-218484887.43775839</v>
      </c>
      <c r="S314">
        <f t="shared" si="967"/>
        <v>-2184.8488743775838</v>
      </c>
      <c r="T314">
        <f t="shared" si="968"/>
        <v>-2.1848488743775838</v>
      </c>
    </row>
    <row r="315" spans="1:20" x14ac:dyDescent="0.25">
      <c r="A315" s="5">
        <v>44278</v>
      </c>
      <c r="B315">
        <v>0.52</v>
      </c>
      <c r="C315">
        <v>0.54327000000000003</v>
      </c>
      <c r="D315">
        <v>0.49467</v>
      </c>
      <c r="E315">
        <v>0.51959999999999995</v>
      </c>
      <c r="F315">
        <v>19196352.399999999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2.5925925925923281E-2</v>
      </c>
      <c r="Q315">
        <f t="shared" si="965"/>
        <v>497683.21037031955</v>
      </c>
      <c r="R315">
        <f t="shared" si="966"/>
        <v>-198167720.82561249</v>
      </c>
      <c r="S315">
        <f t="shared" si="967"/>
        <v>-1981.6772082561249</v>
      </c>
      <c r="T315">
        <f t="shared" si="968"/>
        <v>-1.9816772082561249</v>
      </c>
    </row>
    <row r="316" spans="1:20" x14ac:dyDescent="0.25">
      <c r="A316" s="5">
        <v>44277</v>
      </c>
      <c r="B316">
        <v>0.55532000000000004</v>
      </c>
      <c r="C316">
        <v>0.56806999999999996</v>
      </c>
      <c r="D316">
        <v>0.51329999999999998</v>
      </c>
      <c r="E316">
        <v>0.51975000000000005</v>
      </c>
      <c r="F316">
        <v>19678271.199999999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-0.76446960014606291</v>
      </c>
      <c r="Q316">
        <f t="shared" si="965"/>
        <v>-15043440.115829784</v>
      </c>
      <c r="R316">
        <f t="shared" si="966"/>
        <v>-198665404.03598282</v>
      </c>
      <c r="S316">
        <f t="shared" si="967"/>
        <v>-1986.6540403598283</v>
      </c>
      <c r="T316">
        <f t="shared" si="968"/>
        <v>-1.9866540403598283</v>
      </c>
    </row>
    <row r="317" spans="1:20" x14ac:dyDescent="0.25">
      <c r="A317" s="5">
        <v>44276</v>
      </c>
      <c r="B317">
        <v>0.57799</v>
      </c>
      <c r="C317">
        <v>0.58306999999999998</v>
      </c>
      <c r="D317">
        <v>0.53527000000000002</v>
      </c>
      <c r="E317">
        <v>0.55564999999999998</v>
      </c>
      <c r="F317">
        <v>21637609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-0.14728033472803459</v>
      </c>
      <c r="Q317">
        <f t="shared" si="965"/>
        <v>-3186794.2962343339</v>
      </c>
      <c r="R317">
        <f t="shared" si="966"/>
        <v>-183621963.92015302</v>
      </c>
      <c r="S317">
        <f t="shared" si="967"/>
        <v>-1836.2196392015303</v>
      </c>
      <c r="T317">
        <f t="shared" si="968"/>
        <v>-1.8362196392015302</v>
      </c>
    </row>
    <row r="318" spans="1:20" x14ac:dyDescent="0.25">
      <c r="A318" s="5">
        <v>44275</v>
      </c>
      <c r="B318">
        <v>0.58496999999999999</v>
      </c>
      <c r="C318">
        <v>0.61289000000000005</v>
      </c>
      <c r="D318">
        <v>0.57713999999999999</v>
      </c>
      <c r="E318">
        <v>0.57811000000000001</v>
      </c>
      <c r="F318">
        <v>13654735.199999999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-0.94573426573426433</v>
      </c>
      <c r="Q318">
        <f t="shared" si="965"/>
        <v>-12913750.968167812</v>
      </c>
      <c r="R318">
        <f t="shared" si="966"/>
        <v>-180435169.62391868</v>
      </c>
      <c r="S318">
        <f t="shared" si="967"/>
        <v>-1804.3516962391868</v>
      </c>
      <c r="T318">
        <f t="shared" si="968"/>
        <v>-1.8043516962391868</v>
      </c>
    </row>
    <row r="319" spans="1:20" x14ac:dyDescent="0.25">
      <c r="A319" s="5">
        <v>44274</v>
      </c>
      <c r="B319">
        <v>0.59257000000000004</v>
      </c>
      <c r="C319">
        <v>0.61</v>
      </c>
      <c r="D319">
        <v>0.55859000000000003</v>
      </c>
      <c r="E319">
        <v>0.58455999999999997</v>
      </c>
      <c r="F319">
        <v>14903137.699999999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1.0309278350513906E-2</v>
      </c>
      <c r="Q319">
        <f t="shared" si="965"/>
        <v>153640.59484533759</v>
      </c>
      <c r="R319">
        <f t="shared" si="966"/>
        <v>-167521418.65575087</v>
      </c>
      <c r="S319">
        <f t="shared" si="967"/>
        <v>-1675.2141865575088</v>
      </c>
      <c r="T319">
        <f t="shared" si="968"/>
        <v>-1.6752141865575088</v>
      </c>
    </row>
    <row r="320" spans="1:20" x14ac:dyDescent="0.25">
      <c r="A320" s="5">
        <v>44273</v>
      </c>
      <c r="B320">
        <v>0.62680000000000002</v>
      </c>
      <c r="C320">
        <v>0.63300000000000001</v>
      </c>
      <c r="D320">
        <v>0.58830000000000005</v>
      </c>
      <c r="E320">
        <v>0.59238999999999997</v>
      </c>
      <c r="F320">
        <v>17898213</v>
      </c>
      <c r="G320">
        <v>0</v>
      </c>
      <c r="L320" t="s">
        <v>7</v>
      </c>
      <c r="M320" t="s">
        <v>8</v>
      </c>
      <c r="N320" t="s">
        <v>8</v>
      </c>
      <c r="P320">
        <f t="shared" si="964"/>
        <v>-0.81700223713646847</v>
      </c>
      <c r="Q320">
        <f t="shared" si="965"/>
        <v>-14622880.061745023</v>
      </c>
      <c r="R320">
        <f t="shared" si="966"/>
        <v>-167675059.2505962</v>
      </c>
      <c r="S320">
        <f t="shared" si="967"/>
        <v>-1676.750592505962</v>
      </c>
      <c r="T320">
        <f t="shared" si="968"/>
        <v>-1.676750592505962</v>
      </c>
    </row>
    <row r="321" spans="1:20" x14ac:dyDescent="0.25">
      <c r="A321" s="5">
        <v>44272</v>
      </c>
      <c r="B321">
        <v>0.54461000000000004</v>
      </c>
      <c r="C321">
        <v>0.65498000000000001</v>
      </c>
      <c r="D321">
        <v>0.54</v>
      </c>
      <c r="E321">
        <v>0.62673000000000001</v>
      </c>
      <c r="F321">
        <v>40930219.5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0.50861019307705679</v>
      </c>
      <c r="Q321">
        <f t="shared" si="965"/>
        <v>20817526.842581317</v>
      </c>
      <c r="R321">
        <f t="shared" si="966"/>
        <v>-153052179.18885118</v>
      </c>
      <c r="S321">
        <f t="shared" si="967"/>
        <v>-1530.5217918885119</v>
      </c>
      <c r="T321">
        <f t="shared" si="968"/>
        <v>-1.5305217918885119</v>
      </c>
    </row>
    <row r="322" spans="1:20" x14ac:dyDescent="0.25">
      <c r="A322" s="5">
        <v>44271</v>
      </c>
      <c r="B322">
        <v>0.56225000000000003</v>
      </c>
      <c r="C322">
        <v>0.57765</v>
      </c>
      <c r="D322">
        <v>0.51619000000000004</v>
      </c>
      <c r="E322">
        <v>0.54468000000000005</v>
      </c>
      <c r="F322">
        <v>23596917.399999999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-7.289293849658203E-2</v>
      </c>
      <c r="Q322">
        <f t="shared" si="965"/>
        <v>-1720048.6487471263</v>
      </c>
      <c r="R322">
        <f t="shared" si="966"/>
        <v>-173869706.03143248</v>
      </c>
      <c r="S322">
        <f t="shared" si="967"/>
        <v>-1738.6970603143247</v>
      </c>
      <c r="T322">
        <f t="shared" si="968"/>
        <v>-1.7386970603143248</v>
      </c>
    </row>
    <row r="323" spans="1:20" x14ac:dyDescent="0.25">
      <c r="A323" s="5">
        <v>44270</v>
      </c>
      <c r="B323">
        <v>0.54096</v>
      </c>
      <c r="C323">
        <v>0.61229999999999996</v>
      </c>
      <c r="D323">
        <v>0.51049999999999995</v>
      </c>
      <c r="E323">
        <v>0.56205000000000005</v>
      </c>
      <c r="F323">
        <v>36789462.799999997</v>
      </c>
      <c r="G323">
        <v>0</v>
      </c>
      <c r="L323" t="s">
        <v>8</v>
      </c>
      <c r="M323" t="s">
        <v>7</v>
      </c>
      <c r="N323" t="s">
        <v>8</v>
      </c>
      <c r="P323">
        <f t="shared" si="964"/>
        <v>1.2770137524559822E-2</v>
      </c>
      <c r="Q323">
        <f t="shared" si="965"/>
        <v>469806.49941067758</v>
      </c>
      <c r="R323">
        <f t="shared" si="966"/>
        <v>-172149657.38268536</v>
      </c>
      <c r="S323">
        <f t="shared" si="967"/>
        <v>-1721.4965738268536</v>
      </c>
      <c r="T323">
        <f t="shared" si="968"/>
        <v>-1.7214965738268535</v>
      </c>
    </row>
    <row r="324" spans="1:20" x14ac:dyDescent="0.25">
      <c r="A324" s="5">
        <v>44269</v>
      </c>
      <c r="B324">
        <v>0.57074000000000003</v>
      </c>
      <c r="C324">
        <v>0.57791000000000003</v>
      </c>
      <c r="D324">
        <v>0.53935999999999995</v>
      </c>
      <c r="E324">
        <v>0.54235</v>
      </c>
      <c r="F324">
        <v>16372366.6</v>
      </c>
      <c r="G324">
        <v>0</v>
      </c>
      <c r="L324" t="s">
        <v>8</v>
      </c>
      <c r="M324" t="s">
        <v>7</v>
      </c>
      <c r="N324" t="s">
        <v>8</v>
      </c>
      <c r="P324">
        <f t="shared" si="964"/>
        <v>-0.84487678339818206</v>
      </c>
      <c r="Q324">
        <f t="shared" si="965"/>
        <v>-13832632.429623831</v>
      </c>
      <c r="R324">
        <f t="shared" si="966"/>
        <v>-172619463.88209605</v>
      </c>
      <c r="S324">
        <f t="shared" si="967"/>
        <v>-1726.1946388209606</v>
      </c>
      <c r="T324">
        <f t="shared" si="968"/>
        <v>-1.7261946388209606</v>
      </c>
    </row>
    <row r="325" spans="1:20" x14ac:dyDescent="0.25">
      <c r="A325" s="5">
        <v>44268</v>
      </c>
      <c r="B325">
        <v>0.52717000000000003</v>
      </c>
      <c r="C325">
        <v>0.60370000000000001</v>
      </c>
      <c r="D325">
        <v>0.50748000000000004</v>
      </c>
      <c r="E325">
        <v>0.57074000000000003</v>
      </c>
      <c r="F325">
        <v>23753354.199999999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0.31490334649760965</v>
      </c>
      <c r="Q325">
        <f t="shared" si="965"/>
        <v>7480010.7281230511</v>
      </c>
      <c r="R325">
        <f t="shared" si="966"/>
        <v>-158786831.45247221</v>
      </c>
      <c r="S325">
        <f t="shared" si="967"/>
        <v>-1587.8683145247221</v>
      </c>
      <c r="T325">
        <f t="shared" si="968"/>
        <v>-1.5878683145247221</v>
      </c>
    </row>
    <row r="326" spans="1:20" x14ac:dyDescent="0.25">
      <c r="A326" s="5">
        <v>44267</v>
      </c>
      <c r="B326">
        <v>0.55925000000000002</v>
      </c>
      <c r="C326">
        <v>0.56820000000000004</v>
      </c>
      <c r="D326">
        <v>0.51327</v>
      </c>
      <c r="E326">
        <v>0.52668000000000004</v>
      </c>
      <c r="F326">
        <v>22099370.199999999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-0.51174221736755776</v>
      </c>
      <c r="Q326">
        <f t="shared" ref="Q326:Q389" si="970">F326*P326</f>
        <v>-11309180.708574528</v>
      </c>
      <c r="R326">
        <f t="shared" ref="R326:R389" si="971">R327+Q326</f>
        <v>-166266842.18059525</v>
      </c>
      <c r="S326">
        <f t="shared" ref="S326:S389" si="972">R326/100000</f>
        <v>-1662.6684218059524</v>
      </c>
      <c r="T326">
        <f t="shared" ref="T326:T389" si="973">S326/1000</f>
        <v>-1.6626684218059524</v>
      </c>
    </row>
    <row r="327" spans="1:20" x14ac:dyDescent="0.25">
      <c r="A327" s="5">
        <v>44266</v>
      </c>
      <c r="B327">
        <v>0.57196999999999998</v>
      </c>
      <c r="C327">
        <v>0.58145999999999998</v>
      </c>
      <c r="D327">
        <v>0.53818999999999995</v>
      </c>
      <c r="E327">
        <v>0.55879999999999996</v>
      </c>
      <c r="F327">
        <v>22854871.699999999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-4.737693552114617E-2</v>
      </c>
      <c r="Q327">
        <f t="shared" si="970"/>
        <v>-1082793.7828749684</v>
      </c>
      <c r="R327">
        <f t="shared" si="971"/>
        <v>-154957661.47202072</v>
      </c>
      <c r="S327">
        <f t="shared" si="972"/>
        <v>-1549.5766147202071</v>
      </c>
      <c r="T327">
        <f t="shared" si="973"/>
        <v>-1.549576614720207</v>
      </c>
    </row>
    <row r="328" spans="1:20" x14ac:dyDescent="0.25">
      <c r="A328" s="5">
        <v>44265</v>
      </c>
      <c r="B328">
        <v>0.61948999999999999</v>
      </c>
      <c r="C328">
        <v>0.62699000000000005</v>
      </c>
      <c r="D328">
        <v>0.56050999999999995</v>
      </c>
      <c r="E328">
        <v>0.57147000000000003</v>
      </c>
      <c r="F328">
        <v>21942831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-0.67027677496991378</v>
      </c>
      <c r="Q328">
        <f t="shared" si="970"/>
        <v>-14707769.996389847</v>
      </c>
      <c r="R328">
        <f t="shared" si="971"/>
        <v>-153874867.68914574</v>
      </c>
      <c r="S328">
        <f t="shared" si="972"/>
        <v>-1538.7486768914575</v>
      </c>
      <c r="T328">
        <f t="shared" si="973"/>
        <v>-1.5387486768914576</v>
      </c>
    </row>
    <row r="329" spans="1:20" x14ac:dyDescent="0.25">
      <c r="A329" s="5">
        <v>44264</v>
      </c>
      <c r="B329">
        <v>0.59189999999999998</v>
      </c>
      <c r="C329">
        <v>0.62878999999999996</v>
      </c>
      <c r="D329">
        <v>0.57901000000000002</v>
      </c>
      <c r="E329">
        <v>0.61975999999999998</v>
      </c>
      <c r="F329">
        <v>26616390.899999999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0.63720369626355988</v>
      </c>
      <c r="Q329">
        <f t="shared" si="970"/>
        <v>16960062.662675779</v>
      </c>
      <c r="R329">
        <f t="shared" si="971"/>
        <v>-139167097.69275591</v>
      </c>
      <c r="S329">
        <f t="shared" si="972"/>
        <v>-1391.670976927559</v>
      </c>
      <c r="T329">
        <f t="shared" si="973"/>
        <v>-1.391670976927559</v>
      </c>
    </row>
    <row r="330" spans="1:20" x14ac:dyDescent="0.25">
      <c r="A330" s="5">
        <v>44263</v>
      </c>
      <c r="B330">
        <v>0.57142999999999999</v>
      </c>
      <c r="C330">
        <v>0.60009000000000001</v>
      </c>
      <c r="D330">
        <v>0.54700000000000004</v>
      </c>
      <c r="E330">
        <v>0.59174000000000004</v>
      </c>
      <c r="F330">
        <v>14345787.800000001</v>
      </c>
      <c r="G330">
        <v>0</v>
      </c>
      <c r="L330" t="s">
        <v>7</v>
      </c>
      <c r="M330" t="s">
        <v>7</v>
      </c>
      <c r="N330" t="s">
        <v>7</v>
      </c>
      <c r="P330">
        <f t="shared" si="969"/>
        <v>0.68543981917498686</v>
      </c>
      <c r="Q330">
        <f t="shared" si="970"/>
        <v>9833174.1955547333</v>
      </c>
      <c r="R330">
        <f t="shared" si="971"/>
        <v>-156127160.35543168</v>
      </c>
      <c r="S330">
        <f t="shared" si="972"/>
        <v>-1561.2716035543167</v>
      </c>
      <c r="T330">
        <f t="shared" si="973"/>
        <v>-1.5612716035543166</v>
      </c>
    </row>
    <row r="331" spans="1:20" x14ac:dyDescent="0.25">
      <c r="A331" s="5">
        <v>44262</v>
      </c>
      <c r="B331">
        <v>0.58521000000000001</v>
      </c>
      <c r="C331">
        <v>0.59214</v>
      </c>
      <c r="D331">
        <v>0.55691000000000002</v>
      </c>
      <c r="E331">
        <v>0.57096000000000002</v>
      </c>
      <c r="F331">
        <v>10837084.6</v>
      </c>
      <c r="G331">
        <v>0</v>
      </c>
      <c r="L331" t="s">
        <v>7</v>
      </c>
      <c r="M331" t="s">
        <v>7</v>
      </c>
      <c r="N331" t="s">
        <v>7</v>
      </c>
      <c r="P331">
        <f t="shared" si="969"/>
        <v>-0.20238433153562227</v>
      </c>
      <c r="Q331">
        <f t="shared" si="970"/>
        <v>-2193256.1225659866</v>
      </c>
      <c r="R331">
        <f t="shared" si="971"/>
        <v>-165960334.55098641</v>
      </c>
      <c r="S331">
        <f t="shared" si="972"/>
        <v>-1659.6033455098641</v>
      </c>
      <c r="T331">
        <f t="shared" si="973"/>
        <v>-1.659603345509864</v>
      </c>
    </row>
    <row r="332" spans="1:20" x14ac:dyDescent="0.25">
      <c r="A332" s="5">
        <v>44261</v>
      </c>
      <c r="B332">
        <v>0.57155999999999996</v>
      </c>
      <c r="C332">
        <v>0.59777000000000002</v>
      </c>
      <c r="D332">
        <v>0.54601</v>
      </c>
      <c r="E332">
        <v>0.58503000000000005</v>
      </c>
      <c r="F332">
        <v>11878052.1</v>
      </c>
      <c r="G332">
        <v>0</v>
      </c>
      <c r="L332" t="s">
        <v>8</v>
      </c>
      <c r="M332" t="s">
        <v>7</v>
      </c>
      <c r="N332" t="s">
        <v>7</v>
      </c>
      <c r="P332">
        <f t="shared" si="969"/>
        <v>0.50772797527048041</v>
      </c>
      <c r="Q332">
        <f t="shared" si="970"/>
        <v>6030819.3428902775</v>
      </c>
      <c r="R332">
        <f t="shared" si="971"/>
        <v>-163767078.42842042</v>
      </c>
      <c r="S332">
        <f t="shared" si="972"/>
        <v>-1637.6707842842043</v>
      </c>
      <c r="T332">
        <f t="shared" si="973"/>
        <v>-1.6376707842842042</v>
      </c>
    </row>
    <row r="333" spans="1:20" x14ac:dyDescent="0.25">
      <c r="A333" s="5">
        <v>44260</v>
      </c>
      <c r="B333">
        <v>0.54415999999999998</v>
      </c>
      <c r="C333">
        <v>0.59</v>
      </c>
      <c r="D333">
        <v>0.51171</v>
      </c>
      <c r="E333">
        <v>0.57130000000000003</v>
      </c>
      <c r="F333">
        <v>24669701.800000001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0.52228892578873554</v>
      </c>
      <c r="Q333">
        <f t="shared" si="970"/>
        <v>12884712.052650437</v>
      </c>
      <c r="R333">
        <f t="shared" si="971"/>
        <v>-169797897.77131069</v>
      </c>
      <c r="S333">
        <f t="shared" si="972"/>
        <v>-1697.9789777131068</v>
      </c>
      <c r="T333">
        <f t="shared" si="973"/>
        <v>-1.6979789777131069</v>
      </c>
    </row>
    <row r="334" spans="1:20" x14ac:dyDescent="0.25">
      <c r="A334" s="5">
        <v>44259</v>
      </c>
      <c r="B334">
        <v>0.57593000000000005</v>
      </c>
      <c r="C334">
        <v>0.59826000000000001</v>
      </c>
      <c r="D334">
        <v>0.53700999999999999</v>
      </c>
      <c r="E334">
        <v>0.54318999999999995</v>
      </c>
      <c r="F334">
        <v>16372008.4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-0.79820408163265433</v>
      </c>
      <c r="Q334">
        <f t="shared" si="970"/>
        <v>-13068203.929404102</v>
      </c>
      <c r="R334">
        <f t="shared" si="971"/>
        <v>-182682609.82396114</v>
      </c>
      <c r="S334">
        <f t="shared" si="972"/>
        <v>-1826.8260982396114</v>
      </c>
      <c r="T334">
        <f t="shared" si="973"/>
        <v>-1.8268260982396114</v>
      </c>
    </row>
    <row r="335" spans="1:20" x14ac:dyDescent="0.25">
      <c r="A335" s="5">
        <v>44258</v>
      </c>
      <c r="B335">
        <v>0.56637000000000004</v>
      </c>
      <c r="C335">
        <v>0.61173</v>
      </c>
      <c r="D335">
        <v>0.55800000000000005</v>
      </c>
      <c r="E335">
        <v>0.57518999999999998</v>
      </c>
      <c r="F335">
        <v>17332974</v>
      </c>
      <c r="G335">
        <v>0</v>
      </c>
      <c r="L335" t="s">
        <v>7</v>
      </c>
      <c r="M335" t="s">
        <v>8</v>
      </c>
      <c r="N335" t="s">
        <v>7</v>
      </c>
      <c r="P335">
        <f t="shared" si="969"/>
        <v>-0.36013400335008577</v>
      </c>
      <c r="Q335">
        <f t="shared" si="970"/>
        <v>-6242193.3165829498</v>
      </c>
      <c r="R335">
        <f t="shared" si="971"/>
        <v>-169614405.89455703</v>
      </c>
      <c r="S335">
        <f t="shared" si="972"/>
        <v>-1696.1440589455704</v>
      </c>
      <c r="T335">
        <f t="shared" si="973"/>
        <v>-1.6961440589455703</v>
      </c>
    </row>
    <row r="336" spans="1:20" x14ac:dyDescent="0.25">
      <c r="A336" s="5">
        <v>44257</v>
      </c>
      <c r="B336">
        <v>0.59470000000000001</v>
      </c>
      <c r="C336">
        <v>0.61463000000000001</v>
      </c>
      <c r="D336">
        <v>0.54278999999999999</v>
      </c>
      <c r="E336">
        <v>0.56659999999999999</v>
      </c>
      <c r="F336">
        <v>19050526.5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-0.33713808463251688</v>
      </c>
      <c r="Q336">
        <f t="shared" si="970"/>
        <v>-6422658.0154510057</v>
      </c>
      <c r="R336">
        <f t="shared" si="971"/>
        <v>-163372212.57797408</v>
      </c>
      <c r="S336">
        <f t="shared" si="972"/>
        <v>-1633.7221257797407</v>
      </c>
      <c r="T336">
        <f t="shared" si="973"/>
        <v>-1.6337221257797407</v>
      </c>
    </row>
    <row r="337" spans="1:20" x14ac:dyDescent="0.25">
      <c r="A337" s="5">
        <v>44256</v>
      </c>
      <c r="B337">
        <v>0.51893</v>
      </c>
      <c r="C337">
        <v>0.59775</v>
      </c>
      <c r="D337">
        <v>0.51587000000000005</v>
      </c>
      <c r="E337">
        <v>0.59567000000000003</v>
      </c>
      <c r="F337">
        <v>14921619.1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0.94919394235466603</v>
      </c>
      <c r="Q337">
        <f t="shared" si="970"/>
        <v>14163510.459843684</v>
      </c>
      <c r="R337">
        <f t="shared" si="971"/>
        <v>-156949554.56252307</v>
      </c>
      <c r="S337">
        <f t="shared" si="972"/>
        <v>-1569.4955456252308</v>
      </c>
      <c r="T337">
        <f t="shared" si="973"/>
        <v>-1.5694955456252309</v>
      </c>
    </row>
    <row r="338" spans="1:20" x14ac:dyDescent="0.25">
      <c r="A338" s="5">
        <v>44255</v>
      </c>
      <c r="B338">
        <v>0.53966000000000003</v>
      </c>
      <c r="C338">
        <v>0.54745999999999995</v>
      </c>
      <c r="D338">
        <v>0.46322000000000002</v>
      </c>
      <c r="E338">
        <v>0.51893</v>
      </c>
      <c r="F338">
        <v>13793761.9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0.32264957264957339</v>
      </c>
      <c r="Q338">
        <f t="shared" si="970"/>
        <v>4450551.382264968</v>
      </c>
      <c r="R338">
        <f t="shared" si="971"/>
        <v>-171113065.02236676</v>
      </c>
      <c r="S338">
        <f t="shared" si="972"/>
        <v>-1711.1306502236675</v>
      </c>
      <c r="T338">
        <f t="shared" si="973"/>
        <v>-1.7111306502236676</v>
      </c>
    </row>
    <row r="339" spans="1:20" x14ac:dyDescent="0.25">
      <c r="A339" s="5">
        <v>44254</v>
      </c>
      <c r="B339">
        <v>0.51107999999999998</v>
      </c>
      <c r="C339">
        <v>0.56499999999999995</v>
      </c>
      <c r="D339">
        <v>0.50834000000000001</v>
      </c>
      <c r="E339">
        <v>0.53979999999999995</v>
      </c>
      <c r="F339">
        <v>12355881.4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0.11048358630427002</v>
      </c>
      <c r="Q339">
        <f t="shared" si="970"/>
        <v>1365122.0890222248</v>
      </c>
      <c r="R339">
        <f t="shared" si="971"/>
        <v>-175563616.40463173</v>
      </c>
      <c r="S339">
        <f t="shared" si="972"/>
        <v>-1755.6361640463174</v>
      </c>
      <c r="T339">
        <f t="shared" si="973"/>
        <v>-1.7556361640463174</v>
      </c>
    </row>
    <row r="340" spans="1:20" x14ac:dyDescent="0.25">
      <c r="A340" s="5">
        <v>44253</v>
      </c>
      <c r="B340">
        <v>0.53435999999999995</v>
      </c>
      <c r="C340">
        <v>0.55259000000000003</v>
      </c>
      <c r="D340">
        <v>0.48076000000000002</v>
      </c>
      <c r="E340">
        <v>0.51107999999999998</v>
      </c>
      <c r="F340">
        <v>14073392.699999999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-0.15578449115968382</v>
      </c>
      <c r="Q340">
        <f t="shared" si="970"/>
        <v>-2192416.3206599085</v>
      </c>
      <c r="R340">
        <f t="shared" si="971"/>
        <v>-176928738.49365395</v>
      </c>
      <c r="S340">
        <f t="shared" si="972"/>
        <v>-1769.2873849365396</v>
      </c>
      <c r="T340">
        <f t="shared" si="973"/>
        <v>-1.7692873849365396</v>
      </c>
    </row>
    <row r="341" spans="1:20" x14ac:dyDescent="0.25">
      <c r="A341" s="5">
        <v>44252</v>
      </c>
      <c r="B341">
        <v>0.58382000000000001</v>
      </c>
      <c r="C341">
        <v>0.61626999999999998</v>
      </c>
      <c r="D341">
        <v>0.52976000000000001</v>
      </c>
      <c r="E341">
        <v>0.5333</v>
      </c>
      <c r="F341">
        <v>11301890.5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-0.91815975031788255</v>
      </c>
      <c r="Q341">
        <f t="shared" si="970"/>
        <v>-10376940.959600048</v>
      </c>
      <c r="R341">
        <f t="shared" si="971"/>
        <v>-174736322.17299405</v>
      </c>
      <c r="S341">
        <f t="shared" si="972"/>
        <v>-1747.3632217299405</v>
      </c>
      <c r="T341">
        <f t="shared" si="973"/>
        <v>-1.7473632217299404</v>
      </c>
    </row>
    <row r="342" spans="1:20" x14ac:dyDescent="0.25">
      <c r="A342" s="5">
        <v>44251</v>
      </c>
      <c r="B342">
        <v>0.56886999999999999</v>
      </c>
      <c r="C342">
        <v>0.63737999999999995</v>
      </c>
      <c r="D342">
        <v>0.54117999999999999</v>
      </c>
      <c r="E342">
        <v>0.58543000000000001</v>
      </c>
      <c r="F342">
        <v>18292174.5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-8.0041580041579338E-2</v>
      </c>
      <c r="Q342">
        <f t="shared" si="970"/>
        <v>-1464134.5493762866</v>
      </c>
      <c r="R342">
        <f t="shared" si="971"/>
        <v>-164359381.21339399</v>
      </c>
      <c r="S342">
        <f t="shared" si="972"/>
        <v>-1643.5938121339398</v>
      </c>
      <c r="T342">
        <f t="shared" si="973"/>
        <v>-1.6435938121339397</v>
      </c>
    </row>
    <row r="343" spans="1:20" x14ac:dyDescent="0.25">
      <c r="A343" s="5">
        <v>44250</v>
      </c>
      <c r="B343">
        <v>0.68193999999999999</v>
      </c>
      <c r="C343">
        <v>0.68662999999999996</v>
      </c>
      <c r="D343">
        <v>0.45800000000000002</v>
      </c>
      <c r="E343">
        <v>0.56872</v>
      </c>
      <c r="F343">
        <v>42330522.299999997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-3.1448191400953403E-2</v>
      </c>
      <c r="Q343">
        <f t="shared" si="970"/>
        <v>-1331218.3673927262</v>
      </c>
      <c r="R343">
        <f t="shared" si="971"/>
        <v>-162895246.66401771</v>
      </c>
      <c r="S343">
        <f t="shared" si="972"/>
        <v>-1628.9524666401771</v>
      </c>
      <c r="T343">
        <f t="shared" si="973"/>
        <v>-1.6289524666401771</v>
      </c>
    </row>
    <row r="344" spans="1:20" x14ac:dyDescent="0.25">
      <c r="A344" s="5">
        <v>44249</v>
      </c>
      <c r="B344">
        <v>0.77171000000000001</v>
      </c>
      <c r="C344">
        <v>0.77798</v>
      </c>
      <c r="D344">
        <v>0.54654999999999998</v>
      </c>
      <c r="E344">
        <v>0.68074999999999997</v>
      </c>
      <c r="F344">
        <v>31157665.100000001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0.15974592749427449</v>
      </c>
      <c r="Q344">
        <f t="shared" si="970"/>
        <v>4977310.1099554868</v>
      </c>
      <c r="R344">
        <f t="shared" si="971"/>
        <v>-161564028.29662499</v>
      </c>
      <c r="S344">
        <f t="shared" si="972"/>
        <v>-1615.64028296625</v>
      </c>
      <c r="T344">
        <f t="shared" si="973"/>
        <v>-1.61564028296625</v>
      </c>
    </row>
    <row r="345" spans="1:20" x14ac:dyDescent="0.25">
      <c r="A345" s="5">
        <v>44248</v>
      </c>
      <c r="B345">
        <v>0.70857000000000003</v>
      </c>
      <c r="C345">
        <v>0.81932000000000005</v>
      </c>
      <c r="D345">
        <v>0.69044000000000005</v>
      </c>
      <c r="E345">
        <v>0.77186999999999995</v>
      </c>
      <c r="F345">
        <v>20802080.199999999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0.26365611421477181</v>
      </c>
      <c r="Q345">
        <f t="shared" si="970"/>
        <v>5484595.6331160432</v>
      </c>
      <c r="R345">
        <f t="shared" si="971"/>
        <v>-166541338.40658048</v>
      </c>
      <c r="S345">
        <f t="shared" si="972"/>
        <v>-1665.4133840658048</v>
      </c>
      <c r="T345">
        <f t="shared" si="973"/>
        <v>-1.6654133840658047</v>
      </c>
    </row>
    <row r="346" spans="1:20" x14ac:dyDescent="0.25">
      <c r="A346" s="5">
        <v>44247</v>
      </c>
      <c r="B346">
        <v>0.73923000000000005</v>
      </c>
      <c r="C346">
        <v>0.79054000000000002</v>
      </c>
      <c r="D346">
        <v>0.67817000000000005</v>
      </c>
      <c r="E346">
        <v>0.70869000000000004</v>
      </c>
      <c r="F346">
        <v>18302931.300000001</v>
      </c>
      <c r="G346">
        <v>0</v>
      </c>
      <c r="L346" t="s">
        <v>7</v>
      </c>
      <c r="M346" t="s">
        <v>8</v>
      </c>
      <c r="N346" t="s">
        <v>8</v>
      </c>
      <c r="P346">
        <f t="shared" si="969"/>
        <v>-0.45679451810981581</v>
      </c>
      <c r="Q346">
        <f t="shared" si="970"/>
        <v>-8360678.683180565</v>
      </c>
      <c r="R346">
        <f t="shared" si="971"/>
        <v>-172025934.03969651</v>
      </c>
      <c r="S346">
        <f t="shared" si="972"/>
        <v>-1720.2593403969652</v>
      </c>
      <c r="T346">
        <f t="shared" si="973"/>
        <v>-1.7202593403969653</v>
      </c>
    </row>
    <row r="347" spans="1:20" x14ac:dyDescent="0.25">
      <c r="A347" s="5">
        <v>44246</v>
      </c>
      <c r="B347">
        <v>0.76197999999999999</v>
      </c>
      <c r="C347">
        <v>0.77185999999999999</v>
      </c>
      <c r="D347">
        <v>0.71613000000000004</v>
      </c>
      <c r="E347">
        <v>0.73873999999999995</v>
      </c>
      <c r="F347">
        <v>14647231.800000001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-0.18858783420061259</v>
      </c>
      <c r="Q347">
        <f t="shared" si="970"/>
        <v>-2762289.7221963406</v>
      </c>
      <c r="R347">
        <f t="shared" si="971"/>
        <v>-163665255.35651594</v>
      </c>
      <c r="S347">
        <f t="shared" si="972"/>
        <v>-1636.6525535651595</v>
      </c>
      <c r="T347">
        <f t="shared" si="973"/>
        <v>-1.6366525535651595</v>
      </c>
    </row>
    <row r="348" spans="1:20" x14ac:dyDescent="0.25">
      <c r="A348" s="5">
        <v>44245</v>
      </c>
      <c r="B348">
        <v>0.75899000000000005</v>
      </c>
      <c r="C348">
        <v>0.80945999999999996</v>
      </c>
      <c r="D348">
        <v>0.75216000000000005</v>
      </c>
      <c r="E348">
        <v>0.76095000000000002</v>
      </c>
      <c r="F348">
        <v>16189587.6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-0.69319371727748769</v>
      </c>
      <c r="Q348">
        <f t="shared" si="970"/>
        <v>-11222520.409633521</v>
      </c>
      <c r="R348">
        <f t="shared" si="971"/>
        <v>-160902965.6343196</v>
      </c>
      <c r="S348">
        <f t="shared" si="972"/>
        <v>-1609.0296563431959</v>
      </c>
      <c r="T348">
        <f t="shared" si="973"/>
        <v>-1.6090296563431958</v>
      </c>
    </row>
    <row r="349" spans="1:20" x14ac:dyDescent="0.25">
      <c r="A349" s="5">
        <v>44244</v>
      </c>
      <c r="B349">
        <v>0.69450999999999996</v>
      </c>
      <c r="C349">
        <v>0.76053999999999999</v>
      </c>
      <c r="D349">
        <v>0.66005999999999998</v>
      </c>
      <c r="E349">
        <v>0.75800000000000001</v>
      </c>
      <c r="F349">
        <v>16571428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0.94944267515923597</v>
      </c>
      <c r="Q349">
        <f t="shared" si="970"/>
        <v>15733620.931528667</v>
      </c>
      <c r="R349">
        <f t="shared" si="971"/>
        <v>-149680445.22468609</v>
      </c>
      <c r="S349">
        <f t="shared" si="972"/>
        <v>-1496.8044522468608</v>
      </c>
      <c r="T349">
        <f t="shared" si="973"/>
        <v>-1.4968044522468609</v>
      </c>
    </row>
    <row r="350" spans="1:20" x14ac:dyDescent="0.25">
      <c r="A350" s="5">
        <v>44243</v>
      </c>
      <c r="B350">
        <v>0.71940999999999999</v>
      </c>
      <c r="C350">
        <v>0.74187999999999998</v>
      </c>
      <c r="D350">
        <v>0.66003999999999996</v>
      </c>
      <c r="E350">
        <v>0.69450999999999996</v>
      </c>
      <c r="F350">
        <v>13747074.1</v>
      </c>
      <c r="G350">
        <v>0</v>
      </c>
      <c r="L350" t="s">
        <v>8</v>
      </c>
      <c r="M350" t="s">
        <v>7</v>
      </c>
      <c r="N350" t="s">
        <v>8</v>
      </c>
      <c r="P350">
        <f t="shared" si="969"/>
        <v>-0.15762463343108526</v>
      </c>
      <c r="Q350">
        <f t="shared" si="970"/>
        <v>-2166877.5157624665</v>
      </c>
      <c r="R350">
        <f t="shared" si="971"/>
        <v>-165414066.15621474</v>
      </c>
      <c r="S350">
        <f t="shared" si="972"/>
        <v>-1654.1406615621474</v>
      </c>
      <c r="T350">
        <f t="shared" si="973"/>
        <v>-1.6541406615621475</v>
      </c>
    </row>
    <row r="351" spans="1:20" x14ac:dyDescent="0.25">
      <c r="A351" s="5">
        <v>44242</v>
      </c>
      <c r="B351">
        <v>0.77300000000000002</v>
      </c>
      <c r="C351">
        <v>0.78432000000000002</v>
      </c>
      <c r="D351">
        <v>0.63219999999999998</v>
      </c>
      <c r="E351">
        <v>0.71853</v>
      </c>
      <c r="F351">
        <v>21655706.300000001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0.13502498027872731</v>
      </c>
      <c r="Q351">
        <f t="shared" si="970"/>
        <v>2924061.3160794107</v>
      </c>
      <c r="R351">
        <f t="shared" si="971"/>
        <v>-163247188.64045227</v>
      </c>
      <c r="S351">
        <f t="shared" si="972"/>
        <v>-1632.4718864045226</v>
      </c>
      <c r="T351">
        <f t="shared" si="973"/>
        <v>-1.6324718864045227</v>
      </c>
    </row>
    <row r="352" spans="1:20" x14ac:dyDescent="0.25">
      <c r="A352" s="5">
        <v>44241</v>
      </c>
      <c r="B352">
        <v>0.83018000000000003</v>
      </c>
      <c r="C352">
        <v>0.83784000000000003</v>
      </c>
      <c r="D352">
        <v>0.74563000000000001</v>
      </c>
      <c r="E352">
        <v>0.77273000000000003</v>
      </c>
      <c r="F352">
        <v>21008689.100000001</v>
      </c>
      <c r="G352">
        <v>0</v>
      </c>
      <c r="L352" t="s">
        <v>8</v>
      </c>
      <c r="M352" t="s">
        <v>7</v>
      </c>
      <c r="N352" t="s">
        <v>8</v>
      </c>
      <c r="P352">
        <f t="shared" si="969"/>
        <v>-0.41221125691356669</v>
      </c>
      <c r="Q352">
        <f t="shared" si="970"/>
        <v>-8660018.1400173493</v>
      </c>
      <c r="R352">
        <f t="shared" si="971"/>
        <v>-166171249.95653167</v>
      </c>
      <c r="S352">
        <f t="shared" si="972"/>
        <v>-1661.7124995653166</v>
      </c>
      <c r="T352">
        <f t="shared" si="973"/>
        <v>-1.6617124995653167</v>
      </c>
    </row>
    <row r="353" spans="1:20" x14ac:dyDescent="0.25">
      <c r="A353" s="5">
        <v>44240</v>
      </c>
      <c r="B353">
        <v>0.81798999999999999</v>
      </c>
      <c r="C353">
        <v>0.86428000000000005</v>
      </c>
      <c r="D353">
        <v>0.75</v>
      </c>
      <c r="E353">
        <v>0.82926999999999995</v>
      </c>
      <c r="F353">
        <v>26668538.399999999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0.38729436471823447</v>
      </c>
      <c r="Q353">
        <f t="shared" si="970"/>
        <v>10328574.637591841</v>
      </c>
      <c r="R353">
        <f t="shared" si="971"/>
        <v>-157511231.81651431</v>
      </c>
      <c r="S353">
        <f t="shared" si="972"/>
        <v>-1575.1123181651431</v>
      </c>
      <c r="T353">
        <f t="shared" si="973"/>
        <v>-1.575112318165143</v>
      </c>
    </row>
    <row r="354" spans="1:20" x14ac:dyDescent="0.25">
      <c r="A354" s="5">
        <v>44239</v>
      </c>
      <c r="B354">
        <v>0.75255000000000005</v>
      </c>
      <c r="C354">
        <v>0.88888</v>
      </c>
      <c r="D354">
        <v>0.70803000000000005</v>
      </c>
      <c r="E354">
        <v>0.81808999999999998</v>
      </c>
      <c r="F354">
        <v>39066167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0.21714127730163077</v>
      </c>
      <c r="Q354">
        <f t="shared" si="970"/>
        <v>8482877.4016588163</v>
      </c>
      <c r="R354">
        <f t="shared" si="971"/>
        <v>-167839806.45410615</v>
      </c>
      <c r="S354">
        <f t="shared" si="972"/>
        <v>-1678.3980645410616</v>
      </c>
      <c r="T354">
        <f t="shared" si="973"/>
        <v>-1.6783980645410617</v>
      </c>
    </row>
    <row r="355" spans="1:20" x14ac:dyDescent="0.25">
      <c r="A355" s="5">
        <v>44238</v>
      </c>
      <c r="B355">
        <v>0.69120999999999999</v>
      </c>
      <c r="C355">
        <v>0.76637999999999995</v>
      </c>
      <c r="D355">
        <v>0.67235999999999996</v>
      </c>
      <c r="E355">
        <v>0.75049999999999994</v>
      </c>
      <c r="F355">
        <v>25352167.199999999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0.66219953201446491</v>
      </c>
      <c r="Q355">
        <f t="shared" si="970"/>
        <v>16788193.255392466</v>
      </c>
      <c r="R355">
        <f t="shared" si="971"/>
        <v>-176322683.85576496</v>
      </c>
      <c r="S355">
        <f t="shared" si="972"/>
        <v>-1763.2268385576494</v>
      </c>
      <c r="T355">
        <f t="shared" si="973"/>
        <v>-1.7632268385576495</v>
      </c>
    </row>
    <row r="356" spans="1:20" x14ac:dyDescent="0.25">
      <c r="A356" s="5">
        <v>44237</v>
      </c>
      <c r="B356">
        <v>0.69540000000000002</v>
      </c>
      <c r="C356">
        <v>0.72636999999999996</v>
      </c>
      <c r="D356">
        <v>0.63632</v>
      </c>
      <c r="E356">
        <v>0.69176000000000004</v>
      </c>
      <c r="F356">
        <v>31139758.199999999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0.23131593559133964</v>
      </c>
      <c r="Q356">
        <f t="shared" si="970"/>
        <v>7203122.3021210907</v>
      </c>
      <c r="R356">
        <f t="shared" si="971"/>
        <v>-193110877.11115742</v>
      </c>
      <c r="S356">
        <f t="shared" si="972"/>
        <v>-1931.1087711115742</v>
      </c>
      <c r="T356">
        <f t="shared" si="973"/>
        <v>-1.9311087711115742</v>
      </c>
    </row>
    <row r="357" spans="1:20" x14ac:dyDescent="0.25">
      <c r="A357" s="5">
        <v>44236</v>
      </c>
      <c r="B357">
        <v>0.66357999999999995</v>
      </c>
      <c r="C357">
        <v>0.69787999999999994</v>
      </c>
      <c r="D357">
        <v>0.63873000000000002</v>
      </c>
      <c r="E357">
        <v>0.69540000000000002</v>
      </c>
      <c r="F357">
        <v>23172775.600000001</v>
      </c>
      <c r="G357">
        <v>0</v>
      </c>
      <c r="L357" t="s">
        <v>7</v>
      </c>
      <c r="M357" t="s">
        <v>8</v>
      </c>
      <c r="N357" t="s">
        <v>8</v>
      </c>
      <c r="P357">
        <f t="shared" si="969"/>
        <v>0.91614539306847231</v>
      </c>
      <c r="Q357">
        <f t="shared" si="970"/>
        <v>21229631.610549506</v>
      </c>
      <c r="R357">
        <f t="shared" si="971"/>
        <v>-200313999.41327852</v>
      </c>
      <c r="S357">
        <f t="shared" si="972"/>
        <v>-2003.1399941327852</v>
      </c>
      <c r="T357">
        <f t="shared" si="973"/>
        <v>-2.003139994132785</v>
      </c>
    </row>
    <row r="358" spans="1:20" x14ac:dyDescent="0.25">
      <c r="A358" s="5">
        <v>44235</v>
      </c>
      <c r="B358">
        <v>0.62941000000000003</v>
      </c>
      <c r="C358">
        <v>0.68989</v>
      </c>
      <c r="D358">
        <v>0.61333000000000004</v>
      </c>
      <c r="E358">
        <v>0.66341000000000006</v>
      </c>
      <c r="F358">
        <v>27233997.699999999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0.30825496342737824</v>
      </c>
      <c r="Q358">
        <f t="shared" si="970"/>
        <v>8395014.9649948031</v>
      </c>
      <c r="R358">
        <f t="shared" si="971"/>
        <v>-221543631.02382803</v>
      </c>
      <c r="S358">
        <f t="shared" si="972"/>
        <v>-2215.4363102382804</v>
      </c>
      <c r="T358">
        <f t="shared" si="973"/>
        <v>-2.2154363102382804</v>
      </c>
    </row>
    <row r="359" spans="1:20" x14ac:dyDescent="0.25">
      <c r="A359" s="5">
        <v>44234</v>
      </c>
      <c r="B359">
        <v>0.65498000000000001</v>
      </c>
      <c r="C359">
        <v>0.67400000000000004</v>
      </c>
      <c r="D359">
        <v>0.57699</v>
      </c>
      <c r="E359">
        <v>0.62917999999999996</v>
      </c>
      <c r="F359">
        <v>28970271.300000001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7.5971549324810567E-2</v>
      </c>
      <c r="Q359">
        <f t="shared" si="970"/>
        <v>2200916.395021094</v>
      </c>
      <c r="R359">
        <f t="shared" si="971"/>
        <v>-229938645.98882285</v>
      </c>
      <c r="S359">
        <f t="shared" si="972"/>
        <v>-2299.3864598882283</v>
      </c>
      <c r="T359">
        <f t="shared" si="973"/>
        <v>-2.2993864598882281</v>
      </c>
    </row>
    <row r="360" spans="1:20" x14ac:dyDescent="0.25">
      <c r="A360" s="5">
        <v>44233</v>
      </c>
      <c r="B360">
        <v>0.72833999999999999</v>
      </c>
      <c r="C360">
        <v>0.74890000000000001</v>
      </c>
      <c r="D360">
        <v>0.62312999999999996</v>
      </c>
      <c r="E360">
        <v>0.65649000000000002</v>
      </c>
      <c r="F360">
        <v>41843409.399999999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-0.46950783175638</v>
      </c>
      <c r="Q360">
        <f t="shared" si="970"/>
        <v>-19645808.420688529</v>
      </c>
      <c r="R360">
        <f t="shared" si="971"/>
        <v>-232139562.38384393</v>
      </c>
      <c r="S360">
        <f t="shared" si="972"/>
        <v>-2321.3956238384394</v>
      </c>
      <c r="T360">
        <f t="shared" si="973"/>
        <v>-2.3213956238384394</v>
      </c>
    </row>
    <row r="361" spans="1:20" x14ac:dyDescent="0.25">
      <c r="A361" s="5">
        <v>44232</v>
      </c>
      <c r="B361">
        <v>0.53988000000000003</v>
      </c>
      <c r="C361">
        <v>0.79354000000000002</v>
      </c>
      <c r="D361">
        <v>0.53842999999999996</v>
      </c>
      <c r="E361">
        <v>0.72868999999999995</v>
      </c>
      <c r="F361">
        <v>83105203.099999994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0.49159186233389474</v>
      </c>
      <c r="Q361">
        <f t="shared" si="970"/>
        <v>40853841.561565556</v>
      </c>
      <c r="R361">
        <f t="shared" si="971"/>
        <v>-212493753.96315539</v>
      </c>
      <c r="S361">
        <f t="shared" si="972"/>
        <v>-2124.937539631554</v>
      </c>
      <c r="T361">
        <f t="shared" si="973"/>
        <v>-2.1249375396315542</v>
      </c>
    </row>
    <row r="362" spans="1:20" x14ac:dyDescent="0.25">
      <c r="A362" s="5">
        <v>44231</v>
      </c>
      <c r="B362">
        <v>0.56579999999999997</v>
      </c>
      <c r="C362">
        <v>0.59</v>
      </c>
      <c r="D362">
        <v>0.52005999999999997</v>
      </c>
      <c r="E362">
        <v>0.53969999999999996</v>
      </c>
      <c r="F362">
        <v>24347684.899999999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-0.43837575064340889</v>
      </c>
      <c r="Q362">
        <f t="shared" si="970"/>
        <v>-10673434.644466691</v>
      </c>
      <c r="R362">
        <f t="shared" si="971"/>
        <v>-253347595.52472094</v>
      </c>
      <c r="S362">
        <f t="shared" si="972"/>
        <v>-2533.4759552472092</v>
      </c>
      <c r="T362">
        <f t="shared" si="973"/>
        <v>-2.533475955247209</v>
      </c>
    </row>
    <row r="363" spans="1:20" x14ac:dyDescent="0.25">
      <c r="A363" s="5">
        <v>44230</v>
      </c>
      <c r="B363">
        <v>0.53842999999999996</v>
      </c>
      <c r="C363">
        <v>0.57299999999999995</v>
      </c>
      <c r="D363">
        <v>0.52159999999999995</v>
      </c>
      <c r="E363">
        <v>0.56557999999999997</v>
      </c>
      <c r="F363">
        <v>22684456.800000001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0.7112840466926077</v>
      </c>
      <c r="Q363">
        <f t="shared" si="970"/>
        <v>16135092.229727643</v>
      </c>
      <c r="R363">
        <f t="shared" si="971"/>
        <v>-242674160.88025424</v>
      </c>
      <c r="S363">
        <f t="shared" si="972"/>
        <v>-2426.7416088025425</v>
      </c>
      <c r="T363">
        <f t="shared" si="973"/>
        <v>-2.4267416088025424</v>
      </c>
    </row>
    <row r="364" spans="1:20" x14ac:dyDescent="0.25">
      <c r="A364" s="5">
        <v>44229</v>
      </c>
      <c r="B364">
        <v>0.53686</v>
      </c>
      <c r="C364">
        <v>0.55000000000000004</v>
      </c>
      <c r="D364">
        <v>0.51017999999999997</v>
      </c>
      <c r="E364">
        <v>0.53915999999999997</v>
      </c>
      <c r="F364">
        <v>19459530.800000001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0.4555499748869889</v>
      </c>
      <c r="Q364">
        <f t="shared" si="970"/>
        <v>8864788.7672525868</v>
      </c>
      <c r="R364">
        <f t="shared" si="971"/>
        <v>-258809253.10998189</v>
      </c>
      <c r="S364">
        <f t="shared" si="972"/>
        <v>-2588.0925310998191</v>
      </c>
      <c r="T364">
        <f t="shared" si="973"/>
        <v>-2.5880925310998193</v>
      </c>
    </row>
    <row r="365" spans="1:20" x14ac:dyDescent="0.25">
      <c r="A365" s="5">
        <v>44228</v>
      </c>
      <c r="B365">
        <v>0.49399999999999999</v>
      </c>
      <c r="C365">
        <v>0.54990000000000006</v>
      </c>
      <c r="D365">
        <v>0.46348</v>
      </c>
      <c r="E365">
        <v>0.53678000000000003</v>
      </c>
      <c r="F365">
        <v>30459661.5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0.69636658180976596</v>
      </c>
      <c r="Q365">
        <f t="shared" si="970"/>
        <v>21211090.361837529</v>
      </c>
      <c r="R365">
        <f t="shared" si="971"/>
        <v>-267674041.87723449</v>
      </c>
      <c r="S365">
        <f t="shared" si="972"/>
        <v>-2676.740418772345</v>
      </c>
      <c r="T365">
        <f t="shared" si="973"/>
        <v>-2.6767404187723449</v>
      </c>
    </row>
    <row r="366" spans="1:20" x14ac:dyDescent="0.25">
      <c r="A366" s="5">
        <v>44227</v>
      </c>
      <c r="B366">
        <v>0.50124000000000002</v>
      </c>
      <c r="C366">
        <v>0.57618000000000003</v>
      </c>
      <c r="D366">
        <v>0.47</v>
      </c>
      <c r="E366">
        <v>0.49399999999999999</v>
      </c>
      <c r="F366">
        <v>52942237.399999999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-0.54793746468261428</v>
      </c>
      <c r="Q366">
        <f t="shared" si="970"/>
        <v>-29009035.335581079</v>
      </c>
      <c r="R366">
        <f t="shared" si="971"/>
        <v>-288885132.23907202</v>
      </c>
      <c r="S366">
        <f t="shared" si="972"/>
        <v>-2888.8513223907203</v>
      </c>
      <c r="T366">
        <f t="shared" si="973"/>
        <v>-2.8888513223907202</v>
      </c>
    </row>
    <row r="367" spans="1:20" x14ac:dyDescent="0.25">
      <c r="A367" s="5">
        <v>44226</v>
      </c>
      <c r="B367">
        <v>0.44458999999999999</v>
      </c>
      <c r="C367">
        <v>0.51070000000000004</v>
      </c>
      <c r="D367">
        <v>0.43332999999999999</v>
      </c>
      <c r="E367">
        <v>0.50138000000000005</v>
      </c>
      <c r="F367">
        <v>49325965.799999997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0.75907974667183686</v>
      </c>
      <c r="Q367">
        <f t="shared" si="970"/>
        <v>37442341.623807684</v>
      </c>
      <c r="R367">
        <f t="shared" si="971"/>
        <v>-259876096.90349096</v>
      </c>
      <c r="S367">
        <f t="shared" si="972"/>
        <v>-2598.7609690349095</v>
      </c>
      <c r="T367">
        <f t="shared" si="973"/>
        <v>-2.5987609690349096</v>
      </c>
    </row>
    <row r="368" spans="1:20" x14ac:dyDescent="0.25">
      <c r="A368" s="5">
        <v>44225</v>
      </c>
      <c r="B368">
        <v>0.44795000000000001</v>
      </c>
      <c r="C368">
        <v>0.48</v>
      </c>
      <c r="D368">
        <v>0.41114000000000001</v>
      </c>
      <c r="E368">
        <v>0.44464999999999999</v>
      </c>
      <c r="F368">
        <v>35646520.700000003</v>
      </c>
      <c r="G368">
        <v>0</v>
      </c>
      <c r="L368" t="s">
        <v>7</v>
      </c>
      <c r="M368" t="s">
        <v>8</v>
      </c>
      <c r="N368" t="s">
        <v>8</v>
      </c>
      <c r="P368">
        <f t="shared" si="969"/>
        <v>-2.6720882950915029E-2</v>
      </c>
      <c r="Q368">
        <f t="shared" si="970"/>
        <v>-952506.50723206974</v>
      </c>
      <c r="R368">
        <f t="shared" si="971"/>
        <v>-297318438.52729863</v>
      </c>
      <c r="S368">
        <f t="shared" si="972"/>
        <v>-2973.1843852729862</v>
      </c>
      <c r="T368">
        <f t="shared" si="973"/>
        <v>-2.9731843852729862</v>
      </c>
    </row>
    <row r="369" spans="1:20" x14ac:dyDescent="0.25">
      <c r="A369" s="5">
        <v>44224</v>
      </c>
      <c r="B369">
        <v>0.39693000000000001</v>
      </c>
      <c r="C369">
        <v>0.47688999999999998</v>
      </c>
      <c r="D369">
        <v>0.38773999999999997</v>
      </c>
      <c r="E369">
        <v>0.44736999999999999</v>
      </c>
      <c r="F369">
        <v>30363822.600000001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0.33774537296690998</v>
      </c>
      <c r="Q369">
        <f t="shared" si="970"/>
        <v>10255240.588738091</v>
      </c>
      <c r="R369">
        <f t="shared" si="971"/>
        <v>-296365932.02006656</v>
      </c>
      <c r="S369">
        <f t="shared" si="972"/>
        <v>-2963.6593202006657</v>
      </c>
      <c r="T369">
        <f t="shared" si="973"/>
        <v>-2.9636593202006658</v>
      </c>
    </row>
    <row r="370" spans="1:20" x14ac:dyDescent="0.25">
      <c r="A370" s="5">
        <v>44223</v>
      </c>
      <c r="B370">
        <v>0.43565999999999999</v>
      </c>
      <c r="C370">
        <v>0.46100000000000002</v>
      </c>
      <c r="D370">
        <v>0.38636999999999999</v>
      </c>
      <c r="E370">
        <v>0.39709</v>
      </c>
      <c r="F370">
        <v>26590274.800000001</v>
      </c>
      <c r="G370">
        <v>0</v>
      </c>
      <c r="L370" t="s">
        <v>7</v>
      </c>
      <c r="M370" t="s">
        <v>8</v>
      </c>
      <c r="N370" t="s">
        <v>8</v>
      </c>
      <c r="P370">
        <f t="shared" si="969"/>
        <v>-0.71271606592523107</v>
      </c>
      <c r="Q370">
        <f t="shared" si="970"/>
        <v>-18951316.047326811</v>
      </c>
      <c r="R370">
        <f t="shared" si="971"/>
        <v>-306621172.60880464</v>
      </c>
      <c r="S370">
        <f t="shared" si="972"/>
        <v>-3066.2117260880464</v>
      </c>
      <c r="T370">
        <f t="shared" si="973"/>
        <v>-3.0662117260880462</v>
      </c>
    </row>
    <row r="371" spans="1:20" x14ac:dyDescent="0.25">
      <c r="A371" s="5">
        <v>44222</v>
      </c>
      <c r="B371">
        <v>0.41838999999999998</v>
      </c>
      <c r="C371">
        <v>0.441</v>
      </c>
      <c r="D371">
        <v>0.39015</v>
      </c>
      <c r="E371">
        <v>0.43557000000000001</v>
      </c>
      <c r="F371">
        <v>32591468.5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0.78643067846607706</v>
      </c>
      <c r="Q371">
        <f t="shared" si="970"/>
        <v>25630930.684660777</v>
      </c>
      <c r="R371">
        <f t="shared" si="971"/>
        <v>-287669856.56147784</v>
      </c>
      <c r="S371">
        <f t="shared" si="972"/>
        <v>-2876.6985656147785</v>
      </c>
      <c r="T371">
        <f t="shared" si="973"/>
        <v>-2.8766985656147783</v>
      </c>
    </row>
    <row r="372" spans="1:20" x14ac:dyDescent="0.25">
      <c r="A372" s="5">
        <v>44221</v>
      </c>
      <c r="B372">
        <v>0.41981000000000002</v>
      </c>
      <c r="C372">
        <v>0.47774</v>
      </c>
      <c r="D372">
        <v>0.41708000000000001</v>
      </c>
      <c r="E372">
        <v>0.41830000000000001</v>
      </c>
      <c r="F372">
        <v>35353256.5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-0.95977579953841086</v>
      </c>
      <c r="Q372">
        <f t="shared" si="970"/>
        <v>-33931200.023574017</v>
      </c>
      <c r="R372">
        <f t="shared" si="971"/>
        <v>-313300787.24613863</v>
      </c>
      <c r="S372">
        <f t="shared" si="972"/>
        <v>-3133.0078724613863</v>
      </c>
      <c r="T372">
        <f t="shared" si="973"/>
        <v>-3.1330078724613863</v>
      </c>
    </row>
    <row r="373" spans="1:20" x14ac:dyDescent="0.25">
      <c r="A373" s="5">
        <v>44220</v>
      </c>
      <c r="B373">
        <v>0.40570000000000001</v>
      </c>
      <c r="C373">
        <v>0.42775999999999997</v>
      </c>
      <c r="D373">
        <v>0.40043000000000001</v>
      </c>
      <c r="E373">
        <v>0.42</v>
      </c>
      <c r="F373">
        <v>18576868.5</v>
      </c>
      <c r="G373">
        <v>0</v>
      </c>
      <c r="L373" t="s">
        <v>7</v>
      </c>
      <c r="M373" t="s">
        <v>8</v>
      </c>
      <c r="N373" t="s">
        <v>7</v>
      </c>
      <c r="P373">
        <f t="shared" si="969"/>
        <v>0.43212586900841576</v>
      </c>
      <c r="Q373">
        <f t="shared" si="970"/>
        <v>8027545.4440175649</v>
      </c>
      <c r="R373">
        <f t="shared" si="971"/>
        <v>-279369587.22256464</v>
      </c>
      <c r="S373">
        <f t="shared" si="972"/>
        <v>-2793.6958722256463</v>
      </c>
      <c r="T373">
        <f t="shared" si="973"/>
        <v>-2.7936958722256464</v>
      </c>
    </row>
    <row r="374" spans="1:20" x14ac:dyDescent="0.25">
      <c r="A374" s="5">
        <v>44219</v>
      </c>
      <c r="B374">
        <v>0.39799000000000001</v>
      </c>
      <c r="C374">
        <v>0.43099999999999999</v>
      </c>
      <c r="D374">
        <v>0.38938</v>
      </c>
      <c r="E374">
        <v>0.40570000000000001</v>
      </c>
      <c r="F374">
        <v>25110853.600000001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-0.21576165305141734</v>
      </c>
      <c r="Q374">
        <f t="shared" si="970"/>
        <v>-5417959.2822681349</v>
      </c>
      <c r="R374">
        <f t="shared" si="971"/>
        <v>-287397132.66658223</v>
      </c>
      <c r="S374">
        <f t="shared" si="972"/>
        <v>-2873.9713266658223</v>
      </c>
      <c r="T374">
        <f t="shared" si="973"/>
        <v>-2.8739713266658224</v>
      </c>
    </row>
    <row r="375" spans="1:20" x14ac:dyDescent="0.25">
      <c r="A375" s="5">
        <v>44218</v>
      </c>
      <c r="B375">
        <v>0.36753999999999998</v>
      </c>
      <c r="C375">
        <v>0.41965999999999998</v>
      </c>
      <c r="D375">
        <v>0.33650999999999998</v>
      </c>
      <c r="E375">
        <v>0.39835999999999999</v>
      </c>
      <c r="F375">
        <v>21230203.100000001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0.48767288033674117</v>
      </c>
      <c r="Q375">
        <f t="shared" si="970"/>
        <v>10353394.295911012</v>
      </c>
      <c r="R375">
        <f t="shared" si="971"/>
        <v>-281979173.38431412</v>
      </c>
      <c r="S375">
        <f t="shared" si="972"/>
        <v>-2819.7917338431412</v>
      </c>
      <c r="T375">
        <f t="shared" si="973"/>
        <v>-2.8197917338431413</v>
      </c>
    </row>
    <row r="376" spans="1:20" x14ac:dyDescent="0.25">
      <c r="A376" s="5">
        <v>44217</v>
      </c>
      <c r="B376">
        <v>0.45788000000000001</v>
      </c>
      <c r="C376">
        <v>0.46177000000000001</v>
      </c>
      <c r="D376">
        <v>0.36520000000000002</v>
      </c>
      <c r="E376">
        <v>0.36704999999999999</v>
      </c>
      <c r="F376">
        <v>30213880.899999999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-0.96168582375479006</v>
      </c>
      <c r="Q376">
        <f t="shared" si="970"/>
        <v>-29056260.942145616</v>
      </c>
      <c r="R376">
        <f t="shared" si="971"/>
        <v>-292332567.68022513</v>
      </c>
      <c r="S376">
        <f t="shared" si="972"/>
        <v>-2923.3256768022516</v>
      </c>
      <c r="T376">
        <f t="shared" si="973"/>
        <v>-2.9233256768022517</v>
      </c>
    </row>
    <row r="377" spans="1:20" x14ac:dyDescent="0.25">
      <c r="A377" s="5">
        <v>44216</v>
      </c>
      <c r="B377">
        <v>0.46610000000000001</v>
      </c>
      <c r="C377">
        <v>0.48942999999999998</v>
      </c>
      <c r="D377">
        <v>0.39183000000000001</v>
      </c>
      <c r="E377">
        <v>0.45790999999999998</v>
      </c>
      <c r="F377">
        <v>45907877.200000003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0.35409836065573763</v>
      </c>
      <c r="Q377">
        <f t="shared" si="970"/>
        <v>16255904.057704916</v>
      </c>
      <c r="R377">
        <f t="shared" si="971"/>
        <v>-263276306.73807955</v>
      </c>
      <c r="S377">
        <f t="shared" si="972"/>
        <v>-2632.7630673807953</v>
      </c>
      <c r="T377">
        <f t="shared" si="973"/>
        <v>-2.6327630673807954</v>
      </c>
    </row>
    <row r="378" spans="1:20" x14ac:dyDescent="0.25">
      <c r="A378" s="5">
        <v>44215</v>
      </c>
      <c r="B378">
        <v>0.41395999999999999</v>
      </c>
      <c r="C378">
        <v>0.51758999999999999</v>
      </c>
      <c r="D378">
        <v>0.41305999999999998</v>
      </c>
      <c r="E378">
        <v>0.46694000000000002</v>
      </c>
      <c r="F378">
        <v>69628491.799999997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3.0900220032527178E-2</v>
      </c>
      <c r="Q378">
        <f t="shared" si="970"/>
        <v>2151535.7171530141</v>
      </c>
      <c r="R378">
        <f t="shared" si="971"/>
        <v>-279532210.79578447</v>
      </c>
      <c r="S378">
        <f t="shared" si="972"/>
        <v>-2795.3221079578448</v>
      </c>
      <c r="T378">
        <f t="shared" si="973"/>
        <v>-2.795322107957845</v>
      </c>
    </row>
    <row r="379" spans="1:20" x14ac:dyDescent="0.25">
      <c r="A379" s="5">
        <v>44214</v>
      </c>
      <c r="B379">
        <v>0.42297000000000001</v>
      </c>
      <c r="C379">
        <v>0.43004999999999999</v>
      </c>
      <c r="D379">
        <v>0.39193</v>
      </c>
      <c r="E379">
        <v>0.41443000000000002</v>
      </c>
      <c r="F379">
        <v>25546248.100000001</v>
      </c>
      <c r="G379">
        <v>0</v>
      </c>
      <c r="L379" t="s">
        <v>7</v>
      </c>
      <c r="M379" t="s">
        <v>8</v>
      </c>
      <c r="N379" t="s">
        <v>8</v>
      </c>
      <c r="P379">
        <f t="shared" si="969"/>
        <v>0.18048268625393638</v>
      </c>
      <c r="Q379">
        <f t="shared" si="970"/>
        <v>4610655.480797519</v>
      </c>
      <c r="R379">
        <f t="shared" si="971"/>
        <v>-281683746.51293749</v>
      </c>
      <c r="S379">
        <f t="shared" si="972"/>
        <v>-2816.8374651293748</v>
      </c>
      <c r="T379">
        <f t="shared" si="973"/>
        <v>-2.8168374651293746</v>
      </c>
    </row>
    <row r="380" spans="1:20" x14ac:dyDescent="0.25">
      <c r="A380" s="5">
        <v>44213</v>
      </c>
      <c r="B380">
        <v>0.38829999999999998</v>
      </c>
      <c r="C380">
        <v>0.43902000000000002</v>
      </c>
      <c r="D380">
        <v>0.36215999999999998</v>
      </c>
      <c r="E380">
        <v>0.42288999999999999</v>
      </c>
      <c r="F380">
        <v>32273682.5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0.58027582617746487</v>
      </c>
      <c r="Q380">
        <f t="shared" si="970"/>
        <v>18727637.776476689</v>
      </c>
      <c r="R380">
        <f t="shared" si="971"/>
        <v>-286294401.99373502</v>
      </c>
      <c r="S380">
        <f t="shared" si="972"/>
        <v>-2862.9440199373503</v>
      </c>
      <c r="T380">
        <f t="shared" si="973"/>
        <v>-2.8629440199373501</v>
      </c>
    </row>
    <row r="381" spans="1:20" x14ac:dyDescent="0.25">
      <c r="A381" s="5">
        <v>44212</v>
      </c>
      <c r="B381">
        <v>0.38611000000000001</v>
      </c>
      <c r="C381">
        <v>0.42029</v>
      </c>
      <c r="D381">
        <v>0.37307000000000001</v>
      </c>
      <c r="E381">
        <v>0.3881</v>
      </c>
      <c r="F381">
        <v>26849060.600000001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-0.36340533672172837</v>
      </c>
      <c r="Q381">
        <f t="shared" si="970"/>
        <v>-9757091.9080050904</v>
      </c>
      <c r="R381">
        <f t="shared" si="971"/>
        <v>-305022039.7702117</v>
      </c>
      <c r="S381">
        <f t="shared" si="972"/>
        <v>-3050.2203977021168</v>
      </c>
      <c r="T381">
        <f t="shared" si="973"/>
        <v>-3.0502203977021169</v>
      </c>
    </row>
    <row r="382" spans="1:20" x14ac:dyDescent="0.25">
      <c r="A382" s="5">
        <v>44211</v>
      </c>
      <c r="B382">
        <v>0.40522000000000002</v>
      </c>
      <c r="C382">
        <v>0.41433999999999999</v>
      </c>
      <c r="D382">
        <v>0.34499999999999997</v>
      </c>
      <c r="E382">
        <v>0.38685000000000003</v>
      </c>
      <c r="F382">
        <v>31352090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0.20709547158927161</v>
      </c>
      <c r="Q382">
        <f t="shared" si="970"/>
        <v>6492875.8638592865</v>
      </c>
      <c r="R382">
        <f t="shared" si="971"/>
        <v>-295264947.86220658</v>
      </c>
      <c r="S382">
        <f t="shared" si="972"/>
        <v>-2952.649478622066</v>
      </c>
      <c r="T382">
        <f t="shared" si="973"/>
        <v>-2.9526494786220661</v>
      </c>
    </row>
    <row r="383" spans="1:20" x14ac:dyDescent="0.25">
      <c r="A383" s="5">
        <v>44210</v>
      </c>
      <c r="B383">
        <v>0.41321000000000002</v>
      </c>
      <c r="C383">
        <v>0.44839000000000001</v>
      </c>
      <c r="D383">
        <v>0.37998999999999999</v>
      </c>
      <c r="E383">
        <v>0.4052</v>
      </c>
      <c r="F383">
        <v>54092989.700000003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-0.26286549707602325</v>
      </c>
      <c r="Q383">
        <f t="shared" si="970"/>
        <v>-14219180.625818707</v>
      </c>
      <c r="R383">
        <f t="shared" si="971"/>
        <v>-301757823.72606587</v>
      </c>
      <c r="S383">
        <f t="shared" si="972"/>
        <v>-3017.5782372606586</v>
      </c>
      <c r="T383">
        <f t="shared" si="973"/>
        <v>-3.0175782372606585</v>
      </c>
    </row>
    <row r="384" spans="1:20" x14ac:dyDescent="0.25">
      <c r="A384" s="5">
        <v>44209</v>
      </c>
      <c r="B384">
        <v>0.32380999999999999</v>
      </c>
      <c r="C384">
        <v>0.41399999999999998</v>
      </c>
      <c r="D384">
        <v>0.30847000000000002</v>
      </c>
      <c r="E384">
        <v>0.41241</v>
      </c>
      <c r="F384">
        <v>48985610.399999999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0.96986638870463415</v>
      </c>
      <c r="Q384">
        <f t="shared" si="970"/>
        <v>47509497.057140172</v>
      </c>
      <c r="R384">
        <f t="shared" si="971"/>
        <v>-287538643.10024714</v>
      </c>
      <c r="S384">
        <f t="shared" si="972"/>
        <v>-2875.3864310024715</v>
      </c>
      <c r="T384">
        <f t="shared" si="973"/>
        <v>-2.8753864310024713</v>
      </c>
    </row>
    <row r="385" spans="1:20" x14ac:dyDescent="0.25">
      <c r="A385" s="5">
        <v>44208</v>
      </c>
      <c r="B385">
        <v>0.31320999999999999</v>
      </c>
      <c r="C385">
        <v>0.34943000000000002</v>
      </c>
      <c r="D385">
        <v>0.3</v>
      </c>
      <c r="E385">
        <v>0.32340000000000002</v>
      </c>
      <c r="F385">
        <v>35941315.100000001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-5.3206554723851184E-2</v>
      </c>
      <c r="Q385">
        <f t="shared" si="970"/>
        <v>-1912313.548715329</v>
      </c>
      <c r="R385">
        <f t="shared" si="971"/>
        <v>-335048140.15738732</v>
      </c>
      <c r="S385">
        <f t="shared" si="972"/>
        <v>-3350.481401573873</v>
      </c>
      <c r="T385">
        <f t="shared" si="973"/>
        <v>-3.3504814015738731</v>
      </c>
    </row>
    <row r="386" spans="1:20" x14ac:dyDescent="0.25">
      <c r="A386" s="5">
        <v>44207</v>
      </c>
      <c r="B386">
        <v>0.35224</v>
      </c>
      <c r="C386">
        <v>0.35237000000000002</v>
      </c>
      <c r="D386">
        <v>0.26301000000000002</v>
      </c>
      <c r="E386">
        <v>0.31314999999999998</v>
      </c>
      <c r="F386">
        <v>49629219.600000001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0.12220232766338329</v>
      </c>
      <c r="Q386">
        <f t="shared" si="970"/>
        <v>6064806.1552372044</v>
      </c>
      <c r="R386">
        <f t="shared" si="971"/>
        <v>-333135826.60867196</v>
      </c>
      <c r="S386">
        <f t="shared" si="972"/>
        <v>-3331.3582660867196</v>
      </c>
      <c r="T386">
        <f t="shared" si="973"/>
        <v>-3.3313582660867196</v>
      </c>
    </row>
    <row r="387" spans="1:20" x14ac:dyDescent="0.25">
      <c r="A387" s="5">
        <v>44206</v>
      </c>
      <c r="B387">
        <v>0.38486999999999999</v>
      </c>
      <c r="C387">
        <v>0.40965000000000001</v>
      </c>
      <c r="D387">
        <v>0.32657000000000003</v>
      </c>
      <c r="E387">
        <v>0.35119</v>
      </c>
      <c r="F387">
        <v>37350051.899999999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-0.40731824747231632</v>
      </c>
      <c r="Q387">
        <f t="shared" si="970"/>
        <v>-15213357.682908058</v>
      </c>
      <c r="R387">
        <f t="shared" si="971"/>
        <v>-339200632.76390916</v>
      </c>
      <c r="S387">
        <f t="shared" si="972"/>
        <v>-3392.0063276390915</v>
      </c>
      <c r="T387">
        <f t="shared" si="973"/>
        <v>-3.3920063276390917</v>
      </c>
    </row>
    <row r="388" spans="1:20" x14ac:dyDescent="0.25">
      <c r="A388" s="5">
        <v>44205</v>
      </c>
      <c r="B388">
        <v>0.34945999999999999</v>
      </c>
      <c r="C388">
        <v>0.43</v>
      </c>
      <c r="D388">
        <v>0.34639999999999999</v>
      </c>
      <c r="E388">
        <v>0.38419999999999999</v>
      </c>
      <c r="F388">
        <v>81106000.900000006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-9.5693779904306303E-2</v>
      </c>
      <c r="Q388">
        <f t="shared" si="970"/>
        <v>-7761339.7990430696</v>
      </c>
      <c r="R388">
        <f t="shared" si="971"/>
        <v>-323987275.0810011</v>
      </c>
      <c r="S388">
        <f t="shared" si="972"/>
        <v>-3239.872750810011</v>
      </c>
      <c r="T388">
        <f t="shared" si="973"/>
        <v>-3.2398727508100111</v>
      </c>
    </row>
    <row r="389" spans="1:20" x14ac:dyDescent="0.25">
      <c r="A389" s="5">
        <v>44204</v>
      </c>
      <c r="B389">
        <v>0.37031999999999998</v>
      </c>
      <c r="C389">
        <v>0.38879999999999998</v>
      </c>
      <c r="D389">
        <v>0.31495000000000001</v>
      </c>
      <c r="E389">
        <v>0.34911999999999999</v>
      </c>
      <c r="F389">
        <v>52988876.700000003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-7.4610697359512756E-2</v>
      </c>
      <c r="Q389">
        <f t="shared" si="970"/>
        <v>-3953537.0428842371</v>
      </c>
      <c r="R389">
        <f t="shared" si="971"/>
        <v>-316225935.28195804</v>
      </c>
      <c r="S389">
        <f t="shared" si="972"/>
        <v>-3162.2593528195803</v>
      </c>
      <c r="T389">
        <f t="shared" si="973"/>
        <v>-3.1622593528195804</v>
      </c>
    </row>
    <row r="390" spans="1:20" x14ac:dyDescent="0.25">
      <c r="A390" s="5">
        <v>44203</v>
      </c>
      <c r="B390">
        <v>0.40976000000000001</v>
      </c>
      <c r="C390">
        <v>0.44996000000000003</v>
      </c>
      <c r="D390">
        <v>0.35</v>
      </c>
      <c r="E390">
        <v>0.36919000000000002</v>
      </c>
      <c r="F390">
        <v>98708764.200000003</v>
      </c>
      <c r="G390">
        <v>0</v>
      </c>
      <c r="L390" t="s">
        <v>7</v>
      </c>
      <c r="M390" t="s">
        <v>7</v>
      </c>
      <c r="N390" t="s">
        <v>7</v>
      </c>
      <c r="P390">
        <f t="shared" ref="P390:P453" si="974">IF(C390=D390,0,((E390-D390)-(C390-E390))/(C390-D390))</f>
        <v>-0.61604641856742637</v>
      </c>
      <c r="Q390">
        <f t="shared" ref="Q390:Q453" si="975">F390*P390</f>
        <v>-60809180.666626595</v>
      </c>
      <c r="R390">
        <f t="shared" ref="R390:R453" si="976">R391+Q390</f>
        <v>-312272398.23907381</v>
      </c>
      <c r="S390">
        <f t="shared" ref="S390:S453" si="977">R390/100000</f>
        <v>-3122.723982390738</v>
      </c>
      <c r="T390">
        <f t="shared" ref="T390:T453" si="978">S390/1000</f>
        <v>-3.1227239823907378</v>
      </c>
    </row>
    <row r="391" spans="1:20" x14ac:dyDescent="0.25">
      <c r="A391" s="5">
        <v>44202</v>
      </c>
      <c r="B391">
        <v>0.49077999999999999</v>
      </c>
      <c r="C391">
        <v>0.51907999999999999</v>
      </c>
      <c r="D391">
        <v>0.4</v>
      </c>
      <c r="E391">
        <v>0.40900999999999998</v>
      </c>
      <c r="F391">
        <v>234660453.90000001</v>
      </c>
      <c r="G391">
        <v>0</v>
      </c>
      <c r="L391" t="s">
        <v>7</v>
      </c>
      <c r="M391" t="s">
        <v>7</v>
      </c>
      <c r="N391" t="s">
        <v>7</v>
      </c>
      <c r="P391">
        <f t="shared" si="974"/>
        <v>-0.8486731609002357</v>
      </c>
      <c r="Q391">
        <f t="shared" si="975"/>
        <v>-199150029.14959705</v>
      </c>
      <c r="R391">
        <f t="shared" si="976"/>
        <v>-251463217.57244724</v>
      </c>
      <c r="S391">
        <f t="shared" si="977"/>
        <v>-2514.6321757244723</v>
      </c>
      <c r="T391">
        <f t="shared" si="978"/>
        <v>-2.5146321757244725</v>
      </c>
    </row>
    <row r="392" spans="1:20" x14ac:dyDescent="0.25">
      <c r="A392" s="5">
        <v>44201</v>
      </c>
      <c r="B392">
        <v>0.36313000000000001</v>
      </c>
      <c r="C392">
        <v>0.62166999999999994</v>
      </c>
      <c r="D392">
        <v>0.34981000000000001</v>
      </c>
      <c r="E392">
        <v>0.49098000000000003</v>
      </c>
      <c r="F392">
        <v>438219069.39999998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3.8549253292136036E-2</v>
      </c>
      <c r="Q392">
        <f t="shared" si="975"/>
        <v>16893017.903744739</v>
      </c>
      <c r="R392">
        <f t="shared" si="976"/>
        <v>-52313188.422850206</v>
      </c>
      <c r="S392">
        <f t="shared" si="977"/>
        <v>-523.13188422850203</v>
      </c>
      <c r="T392">
        <f t="shared" si="978"/>
        <v>-0.52313188422850199</v>
      </c>
    </row>
    <row r="393" spans="1:20" x14ac:dyDescent="0.25">
      <c r="A393" s="5">
        <v>44200</v>
      </c>
      <c r="B393">
        <v>0.27499000000000001</v>
      </c>
      <c r="C393">
        <v>0.38657999999999998</v>
      </c>
      <c r="D393">
        <v>0.24</v>
      </c>
      <c r="E393">
        <v>0.36324000000000001</v>
      </c>
      <c r="F393">
        <v>218763698.30000001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0.68153909128121193</v>
      </c>
      <c r="Q393">
        <f t="shared" si="975"/>
        <v>149096012.14469922</v>
      </c>
      <c r="R393">
        <f t="shared" si="976"/>
        <v>-69206206.326594949</v>
      </c>
      <c r="S393">
        <f t="shared" si="977"/>
        <v>-692.06206326594952</v>
      </c>
      <c r="T393">
        <f t="shared" si="978"/>
        <v>-0.69206206326594955</v>
      </c>
    </row>
    <row r="394" spans="1:20" x14ac:dyDescent="0.25">
      <c r="A394" s="5">
        <v>44199</v>
      </c>
      <c r="B394">
        <v>0.1757</v>
      </c>
      <c r="C394">
        <v>0.27884999999999999</v>
      </c>
      <c r="D394">
        <v>0.17499999999999999</v>
      </c>
      <c r="E394">
        <v>0.27500000000000002</v>
      </c>
      <c r="F394">
        <v>48780505.799999997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0.9258545979778533</v>
      </c>
      <c r="Q394">
        <f t="shared" si="975"/>
        <v>45163655.586615339</v>
      </c>
      <c r="R394">
        <f t="shared" si="976"/>
        <v>-218302218.47129416</v>
      </c>
      <c r="S394">
        <f t="shared" si="977"/>
        <v>-2183.0221847129415</v>
      </c>
      <c r="T394">
        <f t="shared" si="978"/>
        <v>-2.1830221847129416</v>
      </c>
    </row>
    <row r="395" spans="1:20" x14ac:dyDescent="0.25">
      <c r="A395" s="5">
        <v>44198</v>
      </c>
      <c r="B395">
        <v>0.17507</v>
      </c>
      <c r="C395">
        <v>0.17937</v>
      </c>
      <c r="D395">
        <v>0.16974</v>
      </c>
      <c r="E395">
        <v>0.17546</v>
      </c>
      <c r="F395">
        <v>7425720.2000000002</v>
      </c>
      <c r="G395">
        <v>0</v>
      </c>
      <c r="L395" t="s">
        <v>8</v>
      </c>
      <c r="M395" t="s">
        <v>7</v>
      </c>
      <c r="N395" t="s">
        <v>8</v>
      </c>
      <c r="P395">
        <f t="shared" si="974"/>
        <v>0.18795430944963717</v>
      </c>
      <c r="Q395">
        <f t="shared" si="975"/>
        <v>1395696.1123572218</v>
      </c>
      <c r="R395">
        <f t="shared" si="976"/>
        <v>-263465874.05790952</v>
      </c>
      <c r="S395">
        <f t="shared" si="977"/>
        <v>-2634.6587405790951</v>
      </c>
      <c r="T395">
        <f t="shared" si="978"/>
        <v>-2.6346587405790953</v>
      </c>
    </row>
    <row r="396" spans="1:20" x14ac:dyDescent="0.25">
      <c r="A396" s="5">
        <v>44197</v>
      </c>
      <c r="B396">
        <v>0.16944999999999999</v>
      </c>
      <c r="C396">
        <v>0.18173</v>
      </c>
      <c r="D396">
        <v>0.16694999999999999</v>
      </c>
      <c r="E396">
        <v>0.17502999999999999</v>
      </c>
      <c r="F396">
        <v>12308078.300000001</v>
      </c>
      <c r="G396">
        <v>0</v>
      </c>
      <c r="L396" t="s">
        <v>8</v>
      </c>
      <c r="M396" t="s">
        <v>7</v>
      </c>
      <c r="N396" t="s">
        <v>8</v>
      </c>
      <c r="P396">
        <f t="shared" si="974"/>
        <v>9.3369418132611029E-2</v>
      </c>
      <c r="Q396">
        <f t="shared" si="975"/>
        <v>1149198.1092016164</v>
      </c>
      <c r="R396">
        <f t="shared" si="976"/>
        <v>-264861570.17026675</v>
      </c>
      <c r="S396">
        <f t="shared" si="977"/>
        <v>-2648.6157017026676</v>
      </c>
      <c r="T396">
        <f t="shared" si="978"/>
        <v>-2.6486157017026675</v>
      </c>
    </row>
    <row r="397" spans="1:20" x14ac:dyDescent="0.25">
      <c r="A397" s="5">
        <v>44196</v>
      </c>
      <c r="B397">
        <v>0.17906</v>
      </c>
      <c r="C397">
        <v>0.17935000000000001</v>
      </c>
      <c r="D397">
        <v>0.16647000000000001</v>
      </c>
      <c r="E397">
        <v>0.16955000000000001</v>
      </c>
      <c r="F397">
        <v>10240527.199999999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-0.52173913043478282</v>
      </c>
      <c r="Q397">
        <f t="shared" si="975"/>
        <v>-5342883.7565217409</v>
      </c>
      <c r="R397">
        <f t="shared" si="976"/>
        <v>-266010768.27946836</v>
      </c>
      <c r="S397">
        <f t="shared" si="977"/>
        <v>-2660.1076827946836</v>
      </c>
      <c r="T397">
        <f t="shared" si="978"/>
        <v>-2.6601076827946835</v>
      </c>
    </row>
    <row r="398" spans="1:20" x14ac:dyDescent="0.25">
      <c r="A398" s="5">
        <v>44195</v>
      </c>
      <c r="B398">
        <v>0.18323999999999999</v>
      </c>
      <c r="C398">
        <v>0.20102999999999999</v>
      </c>
      <c r="D398">
        <v>0.17763000000000001</v>
      </c>
      <c r="E398">
        <v>0.17904999999999999</v>
      </c>
      <c r="F398">
        <v>24016787.300000001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-0.87863247863248051</v>
      </c>
      <c r="Q398">
        <f t="shared" si="975"/>
        <v>-21101929.354188081</v>
      </c>
      <c r="R398">
        <f t="shared" si="976"/>
        <v>-260667884.52294663</v>
      </c>
      <c r="S398">
        <f t="shared" si="977"/>
        <v>-2606.6788452294663</v>
      </c>
      <c r="T398">
        <f t="shared" si="978"/>
        <v>-2.6066788452294665</v>
      </c>
    </row>
    <row r="399" spans="1:20" x14ac:dyDescent="0.25">
      <c r="A399" s="5">
        <v>44194</v>
      </c>
      <c r="B399">
        <v>0.17566999999999999</v>
      </c>
      <c r="C399">
        <v>0.18598999999999999</v>
      </c>
      <c r="D399">
        <v>0.16600999999999999</v>
      </c>
      <c r="E399">
        <v>0.18310000000000001</v>
      </c>
      <c r="F399">
        <v>19996515</v>
      </c>
      <c r="G399">
        <v>0</v>
      </c>
      <c r="L399" t="s">
        <v>7</v>
      </c>
      <c r="M399" t="s">
        <v>8</v>
      </c>
      <c r="N399" t="s">
        <v>8</v>
      </c>
      <c r="P399">
        <f t="shared" si="974"/>
        <v>0.71071071071071312</v>
      </c>
      <c r="Q399">
        <f t="shared" si="975"/>
        <v>14211737.387387436</v>
      </c>
      <c r="R399">
        <f t="shared" si="976"/>
        <v>-239565955.16875854</v>
      </c>
      <c r="S399">
        <f t="shared" si="977"/>
        <v>-2395.6595516875855</v>
      </c>
      <c r="T399">
        <f t="shared" si="978"/>
        <v>-2.3956595516875856</v>
      </c>
    </row>
    <row r="400" spans="1:20" x14ac:dyDescent="0.25">
      <c r="A400" s="5">
        <v>44193</v>
      </c>
      <c r="B400">
        <v>0.16111</v>
      </c>
      <c r="C400">
        <v>0.18693000000000001</v>
      </c>
      <c r="D400">
        <v>0.15740000000000001</v>
      </c>
      <c r="E400">
        <v>0.17580999999999999</v>
      </c>
      <c r="F400">
        <v>32285442.899999999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0.24686759227903701</v>
      </c>
      <c r="Q400">
        <f t="shared" si="975"/>
        <v>7970229.5543853296</v>
      </c>
      <c r="R400">
        <f t="shared" si="976"/>
        <v>-253777692.55614597</v>
      </c>
      <c r="S400">
        <f t="shared" si="977"/>
        <v>-2537.7769255614598</v>
      </c>
      <c r="T400">
        <f t="shared" si="978"/>
        <v>-2.53777692556146</v>
      </c>
    </row>
    <row r="401" spans="1:20" x14ac:dyDescent="0.25">
      <c r="A401" s="5">
        <v>44192</v>
      </c>
      <c r="B401">
        <v>0.15215000000000001</v>
      </c>
      <c r="C401">
        <v>0.16750999999999999</v>
      </c>
      <c r="D401">
        <v>0.14477999999999999</v>
      </c>
      <c r="E401">
        <v>0.16117999999999999</v>
      </c>
      <c r="F401">
        <v>12734044.5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0.44302683677958626</v>
      </c>
      <c r="Q401">
        <f t="shared" si="975"/>
        <v>5641523.4542454882</v>
      </c>
      <c r="R401">
        <f t="shared" si="976"/>
        <v>-261747922.1105313</v>
      </c>
      <c r="S401">
        <f t="shared" si="977"/>
        <v>-2617.4792211053132</v>
      </c>
      <c r="T401">
        <f t="shared" si="978"/>
        <v>-2.6174792211053131</v>
      </c>
    </row>
    <row r="402" spans="1:20" x14ac:dyDescent="0.25">
      <c r="A402" s="5">
        <v>44191</v>
      </c>
      <c r="B402">
        <v>0.15232000000000001</v>
      </c>
      <c r="C402">
        <v>0.15753</v>
      </c>
      <c r="D402">
        <v>0.14641000000000001</v>
      </c>
      <c r="E402">
        <v>0.15215000000000001</v>
      </c>
      <c r="F402">
        <v>8336937.2999999998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3.2374100719424419E-2</v>
      </c>
      <c r="Q402">
        <f t="shared" si="975"/>
        <v>269900.84784172627</v>
      </c>
      <c r="R402">
        <f t="shared" si="976"/>
        <v>-267389445.56477678</v>
      </c>
      <c r="S402">
        <f t="shared" si="977"/>
        <v>-2673.8944556477677</v>
      </c>
      <c r="T402">
        <f t="shared" si="978"/>
        <v>-2.6738944556477677</v>
      </c>
    </row>
    <row r="403" spans="1:20" x14ac:dyDescent="0.25">
      <c r="A403" s="5">
        <v>44190</v>
      </c>
      <c r="B403">
        <v>0.15009</v>
      </c>
      <c r="C403">
        <v>0.15887000000000001</v>
      </c>
      <c r="D403">
        <v>0.14544000000000001</v>
      </c>
      <c r="E403">
        <v>0.15187</v>
      </c>
      <c r="F403">
        <v>8916542.5999999996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-4.2442293373046544E-2</v>
      </c>
      <c r="Q403">
        <f t="shared" si="975"/>
        <v>-378438.51690246718</v>
      </c>
      <c r="R403">
        <f t="shared" si="976"/>
        <v>-267659346.41261852</v>
      </c>
      <c r="S403">
        <f t="shared" si="977"/>
        <v>-2676.5934641261852</v>
      </c>
      <c r="T403">
        <f t="shared" si="978"/>
        <v>-2.676593464126185</v>
      </c>
    </row>
    <row r="404" spans="1:20" x14ac:dyDescent="0.25">
      <c r="A404" s="5">
        <v>44189</v>
      </c>
      <c r="B404">
        <v>0.14072000000000001</v>
      </c>
      <c r="C404">
        <v>0.15090000000000001</v>
      </c>
      <c r="D404">
        <v>0.13464000000000001</v>
      </c>
      <c r="E404">
        <v>0.14981</v>
      </c>
      <c r="F404">
        <v>8713247.1999999993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0.86592865928659191</v>
      </c>
      <c r="Q404">
        <f t="shared" si="975"/>
        <v>7545050.4659286505</v>
      </c>
      <c r="R404">
        <f t="shared" si="976"/>
        <v>-267280907.89571604</v>
      </c>
      <c r="S404">
        <f t="shared" si="977"/>
        <v>-2672.8090789571606</v>
      </c>
      <c r="T404">
        <f t="shared" si="978"/>
        <v>-2.6728090789571608</v>
      </c>
    </row>
    <row r="405" spans="1:20" x14ac:dyDescent="0.25">
      <c r="A405" s="5">
        <v>44188</v>
      </c>
      <c r="B405">
        <v>0.16439000000000001</v>
      </c>
      <c r="C405">
        <v>0.16586000000000001</v>
      </c>
      <c r="D405">
        <v>0.13077</v>
      </c>
      <c r="E405">
        <v>0.14129</v>
      </c>
      <c r="F405">
        <v>12654756.4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-0.40039897406668573</v>
      </c>
      <c r="Q405">
        <f t="shared" si="975"/>
        <v>-5066951.4796238253</v>
      </c>
      <c r="R405">
        <f t="shared" si="976"/>
        <v>-274825958.36164469</v>
      </c>
      <c r="S405">
        <f t="shared" si="977"/>
        <v>-2748.2595836164469</v>
      </c>
      <c r="T405">
        <f t="shared" si="978"/>
        <v>-2.7482595836164467</v>
      </c>
    </row>
    <row r="406" spans="1:20" x14ac:dyDescent="0.25">
      <c r="A406" s="5">
        <v>44187</v>
      </c>
      <c r="B406">
        <v>0.16089000000000001</v>
      </c>
      <c r="C406">
        <v>0.16850000000000001</v>
      </c>
      <c r="D406">
        <v>0.15458</v>
      </c>
      <c r="E406">
        <v>0.16414999999999999</v>
      </c>
      <c r="F406">
        <v>10747405.199999999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0.37499999999999778</v>
      </c>
      <c r="Q406">
        <f t="shared" si="975"/>
        <v>4030276.949999976</v>
      </c>
      <c r="R406">
        <f t="shared" si="976"/>
        <v>-269759006.88202083</v>
      </c>
      <c r="S406">
        <f t="shared" si="977"/>
        <v>-2697.5900688202082</v>
      </c>
      <c r="T406">
        <f t="shared" si="978"/>
        <v>-2.6975900688202081</v>
      </c>
    </row>
    <row r="407" spans="1:20" x14ac:dyDescent="0.25">
      <c r="A407" s="5">
        <v>44186</v>
      </c>
      <c r="B407">
        <v>0.17082</v>
      </c>
      <c r="C407">
        <v>0.17699999999999999</v>
      </c>
      <c r="D407">
        <v>0.15812999999999999</v>
      </c>
      <c r="E407">
        <v>0.16094</v>
      </c>
      <c r="F407">
        <v>10753304.800000001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-0.70217276099628967</v>
      </c>
      <c r="Q407">
        <f t="shared" si="975"/>
        <v>-7550677.7212506551</v>
      </c>
      <c r="R407">
        <f t="shared" si="976"/>
        <v>-273789283.83202082</v>
      </c>
      <c r="S407">
        <f t="shared" si="977"/>
        <v>-2737.8928383202083</v>
      </c>
      <c r="T407">
        <f t="shared" si="978"/>
        <v>-2.7378928383202084</v>
      </c>
    </row>
    <row r="408" spans="1:20" x14ac:dyDescent="0.25">
      <c r="A408" s="5">
        <v>44185</v>
      </c>
      <c r="B408">
        <v>0.17152000000000001</v>
      </c>
      <c r="C408">
        <v>0.17457</v>
      </c>
      <c r="D408">
        <v>0.16051000000000001</v>
      </c>
      <c r="E408">
        <v>0.17118</v>
      </c>
      <c r="F408">
        <v>8686900.3000000007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0.51778093883356946</v>
      </c>
      <c r="Q408">
        <f t="shared" si="975"/>
        <v>4497911.3928876165</v>
      </c>
      <c r="R408">
        <f t="shared" si="976"/>
        <v>-266238606.11077014</v>
      </c>
      <c r="S408">
        <f t="shared" si="977"/>
        <v>-2662.3860611077012</v>
      </c>
      <c r="T408">
        <f t="shared" si="978"/>
        <v>-2.6623860611077013</v>
      </c>
    </row>
    <row r="409" spans="1:20" x14ac:dyDescent="0.25">
      <c r="A409" s="5">
        <v>44184</v>
      </c>
      <c r="B409">
        <v>0.17269000000000001</v>
      </c>
      <c r="C409">
        <v>0.17923</v>
      </c>
      <c r="D409">
        <v>0.17066999999999999</v>
      </c>
      <c r="E409">
        <v>0.17172999999999999</v>
      </c>
      <c r="F409">
        <v>8731737.3000000007</v>
      </c>
      <c r="G409">
        <v>0</v>
      </c>
      <c r="L409" t="s">
        <v>8</v>
      </c>
      <c r="M409" t="s">
        <v>7</v>
      </c>
      <c r="N409" t="s">
        <v>7</v>
      </c>
      <c r="P409">
        <f t="shared" si="974"/>
        <v>-0.75233644859812998</v>
      </c>
      <c r="Q409">
        <f t="shared" si="975"/>
        <v>-6569204.2303738249</v>
      </c>
      <c r="R409">
        <f t="shared" si="976"/>
        <v>-270736517.50365776</v>
      </c>
      <c r="S409">
        <f t="shared" si="977"/>
        <v>-2707.3651750365775</v>
      </c>
      <c r="T409">
        <f t="shared" si="978"/>
        <v>-2.7073651750365775</v>
      </c>
    </row>
    <row r="410" spans="1:20" x14ac:dyDescent="0.25">
      <c r="A410" s="5">
        <v>44183</v>
      </c>
      <c r="B410">
        <v>0.17155999999999999</v>
      </c>
      <c r="C410">
        <v>0.17568</v>
      </c>
      <c r="D410">
        <v>0.16822999999999999</v>
      </c>
      <c r="E410">
        <v>0.17266999999999999</v>
      </c>
      <c r="F410">
        <v>4793772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0.19194630872483012</v>
      </c>
      <c r="Q410">
        <f t="shared" si="975"/>
        <v>920146.84026844637</v>
      </c>
      <c r="R410">
        <f t="shared" si="976"/>
        <v>-264167313.27328393</v>
      </c>
      <c r="S410">
        <f t="shared" si="977"/>
        <v>-2641.6731327328393</v>
      </c>
      <c r="T410">
        <f t="shared" si="978"/>
        <v>-2.6416731327328393</v>
      </c>
    </row>
    <row r="411" spans="1:20" x14ac:dyDescent="0.25">
      <c r="A411" s="5">
        <v>44182</v>
      </c>
      <c r="B411">
        <v>0.17346</v>
      </c>
      <c r="C411">
        <v>0.18240000000000001</v>
      </c>
      <c r="D411">
        <v>0.16850000000000001</v>
      </c>
      <c r="E411">
        <v>0.17177000000000001</v>
      </c>
      <c r="F411">
        <v>15147575.199999999</v>
      </c>
      <c r="G411">
        <v>0</v>
      </c>
      <c r="L411" t="s">
        <v>8</v>
      </c>
      <c r="M411" t="s">
        <v>7</v>
      </c>
      <c r="N411" t="s">
        <v>7</v>
      </c>
      <c r="P411">
        <f t="shared" si="974"/>
        <v>-0.52949640287769839</v>
      </c>
      <c r="Q411">
        <f t="shared" si="975"/>
        <v>-8020586.5807194328</v>
      </c>
      <c r="R411">
        <f t="shared" si="976"/>
        <v>-265087460.11355236</v>
      </c>
      <c r="S411">
        <f t="shared" si="977"/>
        <v>-2650.8746011355238</v>
      </c>
      <c r="T411">
        <f t="shared" si="978"/>
        <v>-2.650874601135524</v>
      </c>
    </row>
    <row r="412" spans="1:20" x14ac:dyDescent="0.25">
      <c r="A412" s="5">
        <v>44181</v>
      </c>
      <c r="B412">
        <v>0.17232</v>
      </c>
      <c r="C412">
        <v>0.17910000000000001</v>
      </c>
      <c r="D412">
        <v>0.16849</v>
      </c>
      <c r="E412">
        <v>0.17349000000000001</v>
      </c>
      <c r="F412">
        <v>12631981.6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-5.7492931196983878E-2</v>
      </c>
      <c r="Q412">
        <f t="shared" si="975"/>
        <v>-726249.64901036629</v>
      </c>
      <c r="R412">
        <f t="shared" si="976"/>
        <v>-257066873.53283292</v>
      </c>
      <c r="S412">
        <f t="shared" si="977"/>
        <v>-2570.6687353283291</v>
      </c>
      <c r="T412">
        <f t="shared" si="978"/>
        <v>-2.5706687353283293</v>
      </c>
    </row>
    <row r="413" spans="1:20" x14ac:dyDescent="0.25">
      <c r="A413" s="5">
        <v>44180</v>
      </c>
      <c r="B413">
        <v>0.17731</v>
      </c>
      <c r="C413">
        <v>0.17963000000000001</v>
      </c>
      <c r="D413">
        <v>0.17150000000000001</v>
      </c>
      <c r="E413">
        <v>0.17230999999999999</v>
      </c>
      <c r="F413">
        <v>5076650.7</v>
      </c>
      <c r="G413">
        <v>0</v>
      </c>
      <c r="L413" t="s">
        <v>7</v>
      </c>
      <c r="M413" t="s">
        <v>7</v>
      </c>
      <c r="N413" t="s">
        <v>7</v>
      </c>
      <c r="P413">
        <f t="shared" si="974"/>
        <v>-0.80073800738007928</v>
      </c>
      <c r="Q413">
        <f t="shared" si="975"/>
        <v>-4065067.1656826846</v>
      </c>
      <c r="R413">
        <f t="shared" si="976"/>
        <v>-256340623.88382256</v>
      </c>
      <c r="S413">
        <f t="shared" si="977"/>
        <v>-2563.4062388382258</v>
      </c>
      <c r="T413">
        <f t="shared" si="978"/>
        <v>-2.5634062388382257</v>
      </c>
    </row>
    <row r="414" spans="1:20" x14ac:dyDescent="0.25">
      <c r="A414" s="5">
        <v>44179</v>
      </c>
      <c r="B414">
        <v>0.17760999999999999</v>
      </c>
      <c r="C414">
        <v>0.17796000000000001</v>
      </c>
      <c r="D414">
        <v>0.17269000000000001</v>
      </c>
      <c r="E414">
        <v>0.17731</v>
      </c>
      <c r="F414">
        <v>4013760.9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0.75332068311194988</v>
      </c>
      <c r="Q414">
        <f t="shared" si="975"/>
        <v>3023649.1030360349</v>
      </c>
      <c r="R414">
        <f t="shared" si="976"/>
        <v>-252275556.71813989</v>
      </c>
      <c r="S414">
        <f t="shared" si="977"/>
        <v>-2522.7555671813989</v>
      </c>
      <c r="T414">
        <f t="shared" si="978"/>
        <v>-2.5227555671813988</v>
      </c>
    </row>
    <row r="415" spans="1:20" x14ac:dyDescent="0.25">
      <c r="A415" s="5">
        <v>44178</v>
      </c>
      <c r="B415">
        <v>0.17832000000000001</v>
      </c>
      <c r="C415">
        <v>0.182</v>
      </c>
      <c r="D415">
        <v>0.17435999999999999</v>
      </c>
      <c r="E415">
        <v>0.17799000000000001</v>
      </c>
      <c r="F415">
        <v>4281967.5999999996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-4.9738219895283153E-2</v>
      </c>
      <c r="Q415">
        <f t="shared" si="975"/>
        <v>-212977.44607327782</v>
      </c>
      <c r="R415">
        <f t="shared" si="976"/>
        <v>-255299205.82117593</v>
      </c>
      <c r="S415">
        <f t="shared" si="977"/>
        <v>-2552.9920582117593</v>
      </c>
      <c r="T415">
        <f t="shared" si="978"/>
        <v>-2.5529920582117591</v>
      </c>
    </row>
    <row r="416" spans="1:20" x14ac:dyDescent="0.25">
      <c r="A416" s="5">
        <v>44177</v>
      </c>
      <c r="B416">
        <v>0.16663</v>
      </c>
      <c r="C416">
        <v>0.18451999999999999</v>
      </c>
      <c r="D416">
        <v>0.16650999999999999</v>
      </c>
      <c r="E416">
        <v>0.17824000000000001</v>
      </c>
      <c r="F416">
        <v>6582348.2999999998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0.30260966129928035</v>
      </c>
      <c r="Q416">
        <f t="shared" si="975"/>
        <v>1991882.1896168937</v>
      </c>
      <c r="R416">
        <f t="shared" si="976"/>
        <v>-255086228.37510267</v>
      </c>
      <c r="S416">
        <f t="shared" si="977"/>
        <v>-2550.8622837510266</v>
      </c>
      <c r="T416">
        <f t="shared" si="978"/>
        <v>-2.5508622837510266</v>
      </c>
    </row>
    <row r="417" spans="1:20" x14ac:dyDescent="0.25">
      <c r="A417" s="5">
        <v>44176</v>
      </c>
      <c r="B417">
        <v>0.17432</v>
      </c>
      <c r="C417">
        <v>0.17494999999999999</v>
      </c>
      <c r="D417">
        <v>0.1653</v>
      </c>
      <c r="E417">
        <v>0.16682</v>
      </c>
      <c r="F417">
        <v>9152447.5999999996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-0.68497409326424974</v>
      </c>
      <c r="Q417">
        <f t="shared" si="975"/>
        <v>-6269189.4959585583</v>
      </c>
      <c r="R417">
        <f t="shared" si="976"/>
        <v>-257078110.56471956</v>
      </c>
      <c r="S417">
        <f t="shared" si="977"/>
        <v>-2570.7811056471955</v>
      </c>
      <c r="T417">
        <f t="shared" si="978"/>
        <v>-2.5707811056471956</v>
      </c>
    </row>
    <row r="418" spans="1:20" x14ac:dyDescent="0.25">
      <c r="A418" s="5">
        <v>44175</v>
      </c>
      <c r="B418">
        <v>0.18681</v>
      </c>
      <c r="C418">
        <v>0.18820999999999999</v>
      </c>
      <c r="D418">
        <v>0.17363000000000001</v>
      </c>
      <c r="E418">
        <v>0.17405000000000001</v>
      </c>
      <c r="F418">
        <v>9852705.3000000007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-0.94238683127571954</v>
      </c>
      <c r="Q418">
        <f t="shared" si="975"/>
        <v>-9285059.7271604892</v>
      </c>
      <c r="R418">
        <f t="shared" si="976"/>
        <v>-250808921.06876099</v>
      </c>
      <c r="S418">
        <f t="shared" si="977"/>
        <v>-2508.0892106876099</v>
      </c>
      <c r="T418">
        <f t="shared" si="978"/>
        <v>-2.50808921068761</v>
      </c>
    </row>
    <row r="419" spans="1:20" x14ac:dyDescent="0.25">
      <c r="A419" s="5">
        <v>44174</v>
      </c>
      <c r="B419">
        <v>0.18645999999999999</v>
      </c>
      <c r="C419">
        <v>0.19925999999999999</v>
      </c>
      <c r="D419">
        <v>0.16949</v>
      </c>
      <c r="E419">
        <v>0.187</v>
      </c>
      <c r="F419">
        <v>28404420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0.17635203224722895</v>
      </c>
      <c r="Q419">
        <f t="shared" si="975"/>
        <v>5009177.1918038353</v>
      </c>
      <c r="R419">
        <f t="shared" si="976"/>
        <v>-241523861.34160051</v>
      </c>
      <c r="S419">
        <f t="shared" si="977"/>
        <v>-2415.2386134160051</v>
      </c>
      <c r="T419">
        <f t="shared" si="978"/>
        <v>-2.4152386134160051</v>
      </c>
    </row>
    <row r="420" spans="1:20" x14ac:dyDescent="0.25">
      <c r="A420" s="5">
        <v>44173</v>
      </c>
      <c r="B420">
        <v>0.18379000000000001</v>
      </c>
      <c r="C420">
        <v>0.19980000000000001</v>
      </c>
      <c r="D420">
        <v>0.17216000000000001</v>
      </c>
      <c r="E420">
        <v>0.18643999999999999</v>
      </c>
      <c r="F420">
        <v>26764538.5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3.3285094066569335E-2</v>
      </c>
      <c r="Q420">
        <f t="shared" si="975"/>
        <v>890860.18162081647</v>
      </c>
      <c r="R420">
        <f t="shared" si="976"/>
        <v>-246533038.53340435</v>
      </c>
      <c r="S420">
        <f t="shared" si="977"/>
        <v>-2465.3303853340435</v>
      </c>
      <c r="T420">
        <f t="shared" si="978"/>
        <v>-2.4653303853340436</v>
      </c>
    </row>
    <row r="421" spans="1:20" x14ac:dyDescent="0.25">
      <c r="A421" s="5">
        <v>44172</v>
      </c>
      <c r="B421">
        <v>0.18898999999999999</v>
      </c>
      <c r="C421">
        <v>0.18953999999999999</v>
      </c>
      <c r="D421">
        <v>0.18099999999999999</v>
      </c>
      <c r="E421">
        <v>0.18379000000000001</v>
      </c>
      <c r="F421">
        <v>5751421.5</v>
      </c>
      <c r="G421">
        <v>0</v>
      </c>
      <c r="L421" t="s">
        <v>7</v>
      </c>
      <c r="M421" t="s">
        <v>8</v>
      </c>
      <c r="N421" t="s">
        <v>7</v>
      </c>
      <c r="P421">
        <f t="shared" si="974"/>
        <v>-0.34660421545667042</v>
      </c>
      <c r="Q421">
        <f t="shared" si="975"/>
        <v>-1993466.9367681264</v>
      </c>
      <c r="R421">
        <f t="shared" si="976"/>
        <v>-247423898.71502516</v>
      </c>
      <c r="S421">
        <f t="shared" si="977"/>
        <v>-2474.2389871502514</v>
      </c>
      <c r="T421">
        <f t="shared" si="978"/>
        <v>-2.4742389871502515</v>
      </c>
    </row>
    <row r="422" spans="1:20" x14ac:dyDescent="0.25">
      <c r="A422" s="5">
        <v>44171</v>
      </c>
      <c r="B422">
        <v>0.19441</v>
      </c>
      <c r="C422">
        <v>0.19570000000000001</v>
      </c>
      <c r="D422">
        <v>0.18254999999999999</v>
      </c>
      <c r="E422">
        <v>0.18897</v>
      </c>
      <c r="F422">
        <v>4096379.6</v>
      </c>
      <c r="G422">
        <v>0</v>
      </c>
      <c r="L422" t="s">
        <v>8</v>
      </c>
      <c r="M422" t="s">
        <v>8</v>
      </c>
      <c r="N422" t="s">
        <v>7</v>
      </c>
      <c r="P422">
        <f t="shared" si="974"/>
        <v>-2.3574144486692334E-2</v>
      </c>
      <c r="Q422">
        <f t="shared" si="975"/>
        <v>-96568.644562738948</v>
      </c>
      <c r="R422">
        <f t="shared" si="976"/>
        <v>-245430431.77825704</v>
      </c>
      <c r="S422">
        <f t="shared" si="977"/>
        <v>-2454.3043177825703</v>
      </c>
      <c r="T422">
        <f t="shared" si="978"/>
        <v>-2.4543043177825701</v>
      </c>
    </row>
    <row r="423" spans="1:20" x14ac:dyDescent="0.25">
      <c r="A423" s="5">
        <v>44170</v>
      </c>
      <c r="B423">
        <v>0.18204999999999999</v>
      </c>
      <c r="C423">
        <v>0.19442000000000001</v>
      </c>
      <c r="D423">
        <v>0.17979999999999999</v>
      </c>
      <c r="E423">
        <v>0.19406999999999999</v>
      </c>
      <c r="F423">
        <v>3577316.2</v>
      </c>
      <c r="G423">
        <v>0</v>
      </c>
      <c r="L423" t="s">
        <v>8</v>
      </c>
      <c r="M423" t="s">
        <v>8</v>
      </c>
      <c r="N423" t="s">
        <v>7</v>
      </c>
      <c r="P423">
        <f t="shared" si="974"/>
        <v>0.95212038303693347</v>
      </c>
      <c r="Q423">
        <f t="shared" si="975"/>
        <v>3406035.6705882275</v>
      </c>
      <c r="R423">
        <f t="shared" si="976"/>
        <v>-245333863.13369429</v>
      </c>
      <c r="S423">
        <f t="shared" si="977"/>
        <v>-2453.3386313369429</v>
      </c>
      <c r="T423">
        <f t="shared" si="978"/>
        <v>-2.4533386313369427</v>
      </c>
    </row>
    <row r="424" spans="1:20" x14ac:dyDescent="0.25">
      <c r="A424" s="5">
        <v>44169</v>
      </c>
      <c r="B424">
        <v>0.1988</v>
      </c>
      <c r="C424">
        <v>0.19975999999999999</v>
      </c>
      <c r="D424">
        <v>0.18</v>
      </c>
      <c r="E424">
        <v>0.18201000000000001</v>
      </c>
      <c r="F424">
        <v>10625846.9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-0.79655870445344013</v>
      </c>
      <c r="Q424">
        <f t="shared" si="975"/>
        <v>-8464110.8403846025</v>
      </c>
      <c r="R424">
        <f t="shared" si="976"/>
        <v>-248739898.80428252</v>
      </c>
      <c r="S424">
        <f t="shared" si="977"/>
        <v>-2487.3989880428253</v>
      </c>
      <c r="T424">
        <f t="shared" si="978"/>
        <v>-2.4873989880428251</v>
      </c>
    </row>
    <row r="425" spans="1:20" x14ac:dyDescent="0.25">
      <c r="A425" s="5">
        <v>44168</v>
      </c>
      <c r="B425">
        <v>0.2006</v>
      </c>
      <c r="C425">
        <v>0.20244999999999999</v>
      </c>
      <c r="D425">
        <v>0.19209999999999999</v>
      </c>
      <c r="E425">
        <v>0.19880999999999999</v>
      </c>
      <c r="F425">
        <v>7119052.0999999996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0.29661835748792176</v>
      </c>
      <c r="Q425">
        <f t="shared" si="975"/>
        <v>2111641.54077294</v>
      </c>
      <c r="R425">
        <f t="shared" si="976"/>
        <v>-240275787.96389791</v>
      </c>
      <c r="S425">
        <f t="shared" si="977"/>
        <v>-2402.7578796389789</v>
      </c>
      <c r="T425">
        <f t="shared" si="978"/>
        <v>-2.4027578796389788</v>
      </c>
    </row>
    <row r="426" spans="1:20" x14ac:dyDescent="0.25">
      <c r="A426" s="5">
        <v>44167</v>
      </c>
      <c r="B426">
        <v>0.18858</v>
      </c>
      <c r="C426">
        <v>0.20399999999999999</v>
      </c>
      <c r="D426">
        <v>0.18595</v>
      </c>
      <c r="E426">
        <v>0.20075000000000001</v>
      </c>
      <c r="F426">
        <v>8431385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0.63988919667590272</v>
      </c>
      <c r="Q426">
        <f t="shared" si="975"/>
        <v>5395152.1745152557</v>
      </c>
      <c r="R426">
        <f t="shared" si="976"/>
        <v>-242387429.50467086</v>
      </c>
      <c r="S426">
        <f t="shared" si="977"/>
        <v>-2423.8742950467085</v>
      </c>
      <c r="T426">
        <f t="shared" si="978"/>
        <v>-2.4238742950467085</v>
      </c>
    </row>
    <row r="427" spans="1:20" x14ac:dyDescent="0.25">
      <c r="A427" s="5">
        <v>44166</v>
      </c>
      <c r="B427">
        <v>0.20135</v>
      </c>
      <c r="C427">
        <v>0.20571</v>
      </c>
      <c r="D427">
        <v>0.18218999999999999</v>
      </c>
      <c r="E427">
        <v>0.189</v>
      </c>
      <c r="F427">
        <v>14601064.800000001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-0.42091836734693822</v>
      </c>
      <c r="Q427">
        <f t="shared" si="975"/>
        <v>-6145856.3571428489</v>
      </c>
      <c r="R427">
        <f t="shared" si="976"/>
        <v>-247782581.67918611</v>
      </c>
      <c r="S427">
        <f t="shared" si="977"/>
        <v>-2477.8258167918611</v>
      </c>
      <c r="T427">
        <f t="shared" si="978"/>
        <v>-2.477825816791861</v>
      </c>
    </row>
    <row r="428" spans="1:20" x14ac:dyDescent="0.25">
      <c r="A428" s="5">
        <v>44165</v>
      </c>
      <c r="B428">
        <v>0.19633999999999999</v>
      </c>
      <c r="C428">
        <v>0.20302000000000001</v>
      </c>
      <c r="D428">
        <v>0.18992999999999999</v>
      </c>
      <c r="E428">
        <v>0.20138</v>
      </c>
      <c r="F428">
        <v>7806524.7999999998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0.74942704354469059</v>
      </c>
      <c r="Q428">
        <f t="shared" si="975"/>
        <v>5850420.8012223067</v>
      </c>
      <c r="R428">
        <f t="shared" si="976"/>
        <v>-241636725.32204327</v>
      </c>
      <c r="S428">
        <f t="shared" si="977"/>
        <v>-2416.3672532204328</v>
      </c>
      <c r="T428">
        <f t="shared" si="978"/>
        <v>-2.4163672532204328</v>
      </c>
    </row>
    <row r="429" spans="1:20" x14ac:dyDescent="0.25">
      <c r="A429" s="5">
        <v>44164</v>
      </c>
      <c r="B429">
        <v>0.19034999999999999</v>
      </c>
      <c r="C429">
        <v>0.20150000000000001</v>
      </c>
      <c r="D429">
        <v>0.18751000000000001</v>
      </c>
      <c r="E429">
        <v>0.19631000000000001</v>
      </c>
      <c r="F429">
        <v>6436304.5999999996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0.25804145818441754</v>
      </c>
      <c r="Q429">
        <f t="shared" si="975"/>
        <v>1660833.4243030741</v>
      </c>
      <c r="R429">
        <f t="shared" si="976"/>
        <v>-247487146.12326556</v>
      </c>
      <c r="S429">
        <f t="shared" si="977"/>
        <v>-2474.8714612326557</v>
      </c>
      <c r="T429">
        <f t="shared" si="978"/>
        <v>-2.4748714612326559</v>
      </c>
    </row>
    <row r="430" spans="1:20" x14ac:dyDescent="0.25">
      <c r="A430" s="5">
        <v>44163</v>
      </c>
      <c r="B430">
        <v>0.18507999999999999</v>
      </c>
      <c r="C430">
        <v>0.20038</v>
      </c>
      <c r="D430">
        <v>0.18299000000000001</v>
      </c>
      <c r="E430">
        <v>0.19037999999999999</v>
      </c>
      <c r="F430">
        <v>10260263.4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-0.15008625646923696</v>
      </c>
      <c r="Q430">
        <f t="shared" si="975"/>
        <v>-1539924.5240943253</v>
      </c>
      <c r="R430">
        <f t="shared" si="976"/>
        <v>-249147979.54756865</v>
      </c>
      <c r="S430">
        <f t="shared" si="977"/>
        <v>-2491.4797954756864</v>
      </c>
      <c r="T430">
        <f t="shared" si="978"/>
        <v>-2.4914797954756862</v>
      </c>
    </row>
    <row r="431" spans="1:20" x14ac:dyDescent="0.25">
      <c r="A431" s="5">
        <v>44162</v>
      </c>
      <c r="B431">
        <v>0.19</v>
      </c>
      <c r="C431">
        <v>0.19534000000000001</v>
      </c>
      <c r="D431">
        <v>0.17251</v>
      </c>
      <c r="E431">
        <v>0.18429000000000001</v>
      </c>
      <c r="F431">
        <v>8006588.5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3.1975470871660444E-2</v>
      </c>
      <c r="Q431">
        <f t="shared" si="975"/>
        <v>256014.43736312148</v>
      </c>
      <c r="R431">
        <f t="shared" si="976"/>
        <v>-247608055.02347434</v>
      </c>
      <c r="S431">
        <f t="shared" si="977"/>
        <v>-2476.0805502347434</v>
      </c>
      <c r="T431">
        <f t="shared" si="978"/>
        <v>-2.4760805502347436</v>
      </c>
    </row>
    <row r="432" spans="1:20" x14ac:dyDescent="0.25">
      <c r="A432" s="5">
        <v>44161</v>
      </c>
      <c r="B432">
        <v>0.20938999999999999</v>
      </c>
      <c r="C432">
        <v>0.22076000000000001</v>
      </c>
      <c r="D432">
        <v>0.16843</v>
      </c>
      <c r="E432">
        <v>0.18983</v>
      </c>
      <c r="F432">
        <v>29663051.800000001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-0.18211351041467624</v>
      </c>
      <c r="Q432">
        <f t="shared" si="975"/>
        <v>-5402042.4929103814</v>
      </c>
      <c r="R432">
        <f t="shared" si="976"/>
        <v>-247864069.46083745</v>
      </c>
      <c r="S432">
        <f t="shared" si="977"/>
        <v>-2478.6406946083744</v>
      </c>
      <c r="T432">
        <f t="shared" si="978"/>
        <v>-2.4786406946083743</v>
      </c>
    </row>
    <row r="433" spans="1:20" x14ac:dyDescent="0.25">
      <c r="A433" s="5">
        <v>44160</v>
      </c>
      <c r="B433">
        <v>0.22400999999999999</v>
      </c>
      <c r="C433">
        <v>0.23857</v>
      </c>
      <c r="D433">
        <v>0.20027</v>
      </c>
      <c r="E433">
        <v>0.20987</v>
      </c>
      <c r="F433">
        <v>21917987.899999999</v>
      </c>
      <c r="G433">
        <v>0</v>
      </c>
      <c r="L433" t="s">
        <v>8</v>
      </c>
      <c r="M433" t="s">
        <v>8</v>
      </c>
      <c r="N433" t="s">
        <v>7</v>
      </c>
      <c r="P433">
        <f t="shared" si="974"/>
        <v>-0.49869451697127953</v>
      </c>
      <c r="Q433">
        <f t="shared" si="975"/>
        <v>-10930380.388772849</v>
      </c>
      <c r="R433">
        <f t="shared" si="976"/>
        <v>-242462026.96792707</v>
      </c>
      <c r="S433">
        <f t="shared" si="977"/>
        <v>-2424.6202696792707</v>
      </c>
      <c r="T433">
        <f t="shared" si="978"/>
        <v>-2.4246202696792705</v>
      </c>
    </row>
    <row r="434" spans="1:20" x14ac:dyDescent="0.25">
      <c r="A434" s="5">
        <v>44159</v>
      </c>
      <c r="B434">
        <v>0.19825000000000001</v>
      </c>
      <c r="C434">
        <v>0.22958999999999999</v>
      </c>
      <c r="D434">
        <v>0.19238</v>
      </c>
      <c r="E434">
        <v>0.22406000000000001</v>
      </c>
      <c r="F434">
        <v>30631836</v>
      </c>
      <c r="G434">
        <v>0</v>
      </c>
      <c r="L434" t="s">
        <v>8</v>
      </c>
      <c r="M434" t="s">
        <v>8</v>
      </c>
      <c r="N434" t="s">
        <v>7</v>
      </c>
      <c r="P434">
        <f t="shared" si="974"/>
        <v>0.70276807309863043</v>
      </c>
      <c r="Q434">
        <f t="shared" si="975"/>
        <v>21527076.361193258</v>
      </c>
      <c r="R434">
        <f t="shared" si="976"/>
        <v>-231531646.57915422</v>
      </c>
      <c r="S434">
        <f t="shared" si="977"/>
        <v>-2315.3164657915422</v>
      </c>
      <c r="T434">
        <f t="shared" si="978"/>
        <v>-2.3153164657915424</v>
      </c>
    </row>
    <row r="435" spans="1:20" x14ac:dyDescent="0.25">
      <c r="A435" s="5">
        <v>44158</v>
      </c>
      <c r="B435">
        <v>0.18948000000000001</v>
      </c>
      <c r="C435">
        <v>0.20296</v>
      </c>
      <c r="D435">
        <v>0.18561</v>
      </c>
      <c r="E435">
        <v>0.19825000000000001</v>
      </c>
      <c r="F435">
        <v>16455870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0.45706051873198955</v>
      </c>
      <c r="Q435">
        <f t="shared" si="975"/>
        <v>7521328.4783861851</v>
      </c>
      <c r="R435">
        <f t="shared" si="976"/>
        <v>-253058722.94034749</v>
      </c>
      <c r="S435">
        <f t="shared" si="977"/>
        <v>-2530.5872294034748</v>
      </c>
      <c r="T435">
        <f t="shared" si="978"/>
        <v>-2.5305872294034746</v>
      </c>
    </row>
    <row r="436" spans="1:20" x14ac:dyDescent="0.25">
      <c r="A436" s="5">
        <v>44157</v>
      </c>
      <c r="B436">
        <v>0.19928999999999999</v>
      </c>
      <c r="C436">
        <v>0.20201</v>
      </c>
      <c r="D436">
        <v>0.17821999999999999</v>
      </c>
      <c r="E436">
        <v>0.18923000000000001</v>
      </c>
      <c r="F436">
        <v>16534352.6</v>
      </c>
      <c r="G436">
        <v>0</v>
      </c>
      <c r="L436" t="s">
        <v>7</v>
      </c>
      <c r="M436" t="s">
        <v>8</v>
      </c>
      <c r="N436" t="s">
        <v>7</v>
      </c>
      <c r="P436">
        <f t="shared" si="974"/>
        <v>-7.4401008827236895E-2</v>
      </c>
      <c r="Q436">
        <f t="shared" si="975"/>
        <v>-1230172.5137452474</v>
      </c>
      <c r="R436">
        <f t="shared" si="976"/>
        <v>-260580051.41873369</v>
      </c>
      <c r="S436">
        <f t="shared" si="977"/>
        <v>-2605.8005141873368</v>
      </c>
      <c r="T436">
        <f t="shared" si="978"/>
        <v>-2.605800514187337</v>
      </c>
    </row>
    <row r="437" spans="1:20" x14ac:dyDescent="0.25">
      <c r="A437" s="5">
        <v>44156</v>
      </c>
      <c r="B437">
        <v>0.18718000000000001</v>
      </c>
      <c r="C437">
        <v>0.20723</v>
      </c>
      <c r="D437">
        <v>0.18027000000000001</v>
      </c>
      <c r="E437">
        <v>0.19925999999999999</v>
      </c>
      <c r="F437">
        <v>18846840.899999999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0.40875370919881232</v>
      </c>
      <c r="Q437">
        <f t="shared" si="975"/>
        <v>7703716.1245548818</v>
      </c>
      <c r="R437">
        <f t="shared" si="976"/>
        <v>-259349878.90498844</v>
      </c>
      <c r="S437">
        <f t="shared" si="977"/>
        <v>-2593.4987890498842</v>
      </c>
      <c r="T437">
        <f t="shared" si="978"/>
        <v>-2.5934987890498844</v>
      </c>
    </row>
    <row r="438" spans="1:20" x14ac:dyDescent="0.25">
      <c r="A438" s="5">
        <v>44155</v>
      </c>
      <c r="B438">
        <v>0.17626</v>
      </c>
      <c r="C438">
        <v>0.2</v>
      </c>
      <c r="D438">
        <v>0.17488000000000001</v>
      </c>
      <c r="E438">
        <v>0.18717</v>
      </c>
      <c r="F438">
        <v>19909686.600000001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-2.1496815286624706E-2</v>
      </c>
      <c r="Q438">
        <f t="shared" si="975"/>
        <v>-427994.85525478708</v>
      </c>
      <c r="R438">
        <f t="shared" si="976"/>
        <v>-267053595.02954331</v>
      </c>
      <c r="S438">
        <f t="shared" si="977"/>
        <v>-2670.5359502954329</v>
      </c>
      <c r="T438">
        <f t="shared" si="978"/>
        <v>-2.6705359502954331</v>
      </c>
    </row>
    <row r="439" spans="1:20" x14ac:dyDescent="0.25">
      <c r="A439" s="5">
        <v>44154</v>
      </c>
      <c r="B439">
        <v>0.17702000000000001</v>
      </c>
      <c r="C439">
        <v>0.18859999999999999</v>
      </c>
      <c r="D439">
        <v>0.17323</v>
      </c>
      <c r="E439">
        <v>0.17615</v>
      </c>
      <c r="F439">
        <v>14198624</v>
      </c>
      <c r="G439">
        <v>0</v>
      </c>
      <c r="L439" t="s">
        <v>8</v>
      </c>
      <c r="M439" t="s">
        <v>7</v>
      </c>
      <c r="N439" t="s">
        <v>7</v>
      </c>
      <c r="P439">
        <f t="shared" si="974"/>
        <v>-0.62003903708523012</v>
      </c>
      <c r="Q439">
        <f t="shared" si="975"/>
        <v>-8803701.1528952383</v>
      </c>
      <c r="R439">
        <f t="shared" si="976"/>
        <v>-266625600.17428851</v>
      </c>
      <c r="S439">
        <f t="shared" si="977"/>
        <v>-2666.256001742885</v>
      </c>
      <c r="T439">
        <f t="shared" si="978"/>
        <v>-2.6662560017428851</v>
      </c>
    </row>
    <row r="440" spans="1:20" x14ac:dyDescent="0.25">
      <c r="A440" s="5">
        <v>44153</v>
      </c>
      <c r="B440">
        <v>0.18659000000000001</v>
      </c>
      <c r="C440">
        <v>0.18967000000000001</v>
      </c>
      <c r="D440">
        <v>0.16889000000000001</v>
      </c>
      <c r="E440">
        <v>0.17699999999999999</v>
      </c>
      <c r="F440">
        <v>15158158.9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-0.21944177093359182</v>
      </c>
      <c r="Q440">
        <f t="shared" si="975"/>
        <v>-3326333.2331087864</v>
      </c>
      <c r="R440">
        <f t="shared" si="976"/>
        <v>-257821899.02139327</v>
      </c>
      <c r="S440">
        <f t="shared" si="977"/>
        <v>-2578.2189902139326</v>
      </c>
      <c r="T440">
        <f t="shared" si="978"/>
        <v>-2.5782189902139327</v>
      </c>
    </row>
    <row r="441" spans="1:20" x14ac:dyDescent="0.25">
      <c r="A441" s="5">
        <v>44152</v>
      </c>
      <c r="B441">
        <v>0.18445</v>
      </c>
      <c r="C441">
        <v>0.19012000000000001</v>
      </c>
      <c r="D441">
        <v>0.18</v>
      </c>
      <c r="E441">
        <v>0.18584000000000001</v>
      </c>
      <c r="F441">
        <v>13778892.1</v>
      </c>
      <c r="G441">
        <v>0</v>
      </c>
      <c r="L441" t="s">
        <v>8</v>
      </c>
      <c r="M441" t="s">
        <v>7</v>
      </c>
      <c r="N441" t="s">
        <v>7</v>
      </c>
      <c r="P441">
        <f t="shared" si="974"/>
        <v>0.1541501976284588</v>
      </c>
      <c r="Q441">
        <f t="shared" si="975"/>
        <v>2124018.9403162096</v>
      </c>
      <c r="R441">
        <f t="shared" si="976"/>
        <v>-254495565.78828448</v>
      </c>
      <c r="S441">
        <f t="shared" si="977"/>
        <v>-2544.9556578828447</v>
      </c>
      <c r="T441">
        <f t="shared" si="978"/>
        <v>-2.5449556578828445</v>
      </c>
    </row>
    <row r="442" spans="1:20" x14ac:dyDescent="0.25">
      <c r="A442" s="5">
        <v>44151</v>
      </c>
      <c r="B442">
        <v>0.17623</v>
      </c>
      <c r="C442">
        <v>0.193</v>
      </c>
      <c r="D442">
        <v>0.17313999999999999</v>
      </c>
      <c r="E442">
        <v>0.18468999999999999</v>
      </c>
      <c r="F442">
        <v>12521883.9</v>
      </c>
      <c r="G442">
        <v>0</v>
      </c>
      <c r="L442" t="s">
        <v>8</v>
      </c>
      <c r="M442" t="s">
        <v>7</v>
      </c>
      <c r="N442" t="s">
        <v>7</v>
      </c>
      <c r="P442">
        <f t="shared" si="974"/>
        <v>0.16314199395770343</v>
      </c>
      <c r="Q442">
        <f t="shared" si="975"/>
        <v>2042845.1075528639</v>
      </c>
      <c r="R442">
        <f t="shared" si="976"/>
        <v>-256619584.72860068</v>
      </c>
      <c r="S442">
        <f t="shared" si="977"/>
        <v>-2566.1958472860069</v>
      </c>
      <c r="T442">
        <f t="shared" si="978"/>
        <v>-2.5661958472860071</v>
      </c>
    </row>
    <row r="443" spans="1:20" x14ac:dyDescent="0.25">
      <c r="A443" s="5">
        <v>44150</v>
      </c>
      <c r="B443">
        <v>0.17860000000000001</v>
      </c>
      <c r="C443">
        <v>0.18762000000000001</v>
      </c>
      <c r="D443">
        <v>0.17030999999999999</v>
      </c>
      <c r="E443">
        <v>0.17638000000000001</v>
      </c>
      <c r="F443">
        <v>16436047.6</v>
      </c>
      <c r="G443">
        <v>0</v>
      </c>
      <c r="L443" t="s">
        <v>7</v>
      </c>
      <c r="M443" t="s">
        <v>7</v>
      </c>
      <c r="N443" t="s">
        <v>7</v>
      </c>
      <c r="P443">
        <f t="shared" si="974"/>
        <v>-0.29867128827267325</v>
      </c>
      <c r="Q443">
        <f t="shared" si="975"/>
        <v>-4908975.5108029796</v>
      </c>
      <c r="R443">
        <f t="shared" si="976"/>
        <v>-258662429.83615354</v>
      </c>
      <c r="S443">
        <f t="shared" si="977"/>
        <v>-2586.6242983615352</v>
      </c>
      <c r="T443">
        <f t="shared" si="978"/>
        <v>-2.5866242983615351</v>
      </c>
    </row>
    <row r="444" spans="1:20" x14ac:dyDescent="0.25">
      <c r="A444" s="5">
        <v>44149</v>
      </c>
      <c r="B444">
        <v>0.191</v>
      </c>
      <c r="C444">
        <v>0.19400000000000001</v>
      </c>
      <c r="D444">
        <v>0.17302000000000001</v>
      </c>
      <c r="E444">
        <v>0.17843999999999999</v>
      </c>
      <c r="F444">
        <v>13253932</v>
      </c>
      <c r="G444">
        <v>0</v>
      </c>
      <c r="L444" t="s">
        <v>7</v>
      </c>
      <c r="M444" t="s">
        <v>7</v>
      </c>
      <c r="N444" t="s">
        <v>7</v>
      </c>
      <c r="P444">
        <f t="shared" si="974"/>
        <v>-0.48331744518589315</v>
      </c>
      <c r="Q444">
        <f t="shared" si="975"/>
        <v>-6405856.5529075554</v>
      </c>
      <c r="R444">
        <f t="shared" si="976"/>
        <v>-253753454.32535055</v>
      </c>
      <c r="S444">
        <f t="shared" si="977"/>
        <v>-2537.5345432535055</v>
      </c>
      <c r="T444">
        <f t="shared" si="978"/>
        <v>-2.5375345432535057</v>
      </c>
    </row>
    <row r="445" spans="1:20" x14ac:dyDescent="0.25">
      <c r="A445" s="5">
        <v>44148</v>
      </c>
      <c r="B445">
        <v>0.17895</v>
      </c>
      <c r="C445">
        <v>0.19597000000000001</v>
      </c>
      <c r="D445">
        <v>0.17798</v>
      </c>
      <c r="E445">
        <v>0.191</v>
      </c>
      <c r="F445">
        <v>13892463.6</v>
      </c>
      <c r="G445">
        <v>0</v>
      </c>
      <c r="L445" t="s">
        <v>8</v>
      </c>
      <c r="M445" t="s">
        <v>7</v>
      </c>
      <c r="N445" t="s">
        <v>7</v>
      </c>
      <c r="P445">
        <f t="shared" si="974"/>
        <v>0.44747081712062253</v>
      </c>
      <c r="Q445">
        <f t="shared" si="975"/>
        <v>6216472.0389105054</v>
      </c>
      <c r="R445">
        <f t="shared" si="976"/>
        <v>-247347597.772443</v>
      </c>
      <c r="S445">
        <f t="shared" si="977"/>
        <v>-2473.4759777244299</v>
      </c>
      <c r="T445">
        <f t="shared" si="978"/>
        <v>-2.47347597772443</v>
      </c>
    </row>
    <row r="446" spans="1:20" x14ac:dyDescent="0.25">
      <c r="A446" s="5">
        <v>44147</v>
      </c>
      <c r="B446">
        <v>0.18501000000000001</v>
      </c>
      <c r="C446">
        <v>0.19101000000000001</v>
      </c>
      <c r="D446">
        <v>0.1724</v>
      </c>
      <c r="E446">
        <v>0.17881</v>
      </c>
      <c r="F446">
        <v>30462221.5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-0.31112305212251545</v>
      </c>
      <c r="Q446">
        <f t="shared" si="975"/>
        <v>-9477499.3275121115</v>
      </c>
      <c r="R446">
        <f t="shared" si="976"/>
        <v>-253564069.8113535</v>
      </c>
      <c r="S446">
        <f t="shared" si="977"/>
        <v>-2535.6406981135351</v>
      </c>
      <c r="T446">
        <f t="shared" si="978"/>
        <v>-2.5356406981135353</v>
      </c>
    </row>
    <row r="447" spans="1:20" x14ac:dyDescent="0.25">
      <c r="A447" s="5">
        <v>44146</v>
      </c>
      <c r="B447">
        <v>0.21154000000000001</v>
      </c>
      <c r="C447">
        <v>0.22700999999999999</v>
      </c>
      <c r="D447">
        <v>0.18104000000000001</v>
      </c>
      <c r="E447">
        <v>0.18501000000000001</v>
      </c>
      <c r="F447">
        <v>71445659.799999997</v>
      </c>
      <c r="G447">
        <v>0</v>
      </c>
      <c r="L447" t="s">
        <v>7</v>
      </c>
      <c r="M447" t="s">
        <v>7</v>
      </c>
      <c r="N447" t="s">
        <v>8</v>
      </c>
      <c r="P447">
        <f t="shared" si="974"/>
        <v>-0.8272786599956492</v>
      </c>
      <c r="Q447">
        <f t="shared" si="975"/>
        <v>-59105469.701849021</v>
      </c>
      <c r="R447">
        <f t="shared" si="976"/>
        <v>-244086570.48384139</v>
      </c>
      <c r="S447">
        <f t="shared" si="977"/>
        <v>-2440.8657048384139</v>
      </c>
      <c r="T447">
        <f t="shared" si="978"/>
        <v>-2.4408657048384139</v>
      </c>
    </row>
    <row r="448" spans="1:20" x14ac:dyDescent="0.25">
      <c r="A448" s="5">
        <v>44145</v>
      </c>
      <c r="B448">
        <v>0.15648000000000001</v>
      </c>
      <c r="C448">
        <v>0.24692</v>
      </c>
      <c r="D448">
        <v>0.15426999999999999</v>
      </c>
      <c r="E448">
        <v>0.21153</v>
      </c>
      <c r="F448">
        <v>58008584.799999997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0.23604964921748514</v>
      </c>
      <c r="Q448">
        <f t="shared" si="975"/>
        <v>13692906.09364274</v>
      </c>
      <c r="R448">
        <f t="shared" si="976"/>
        <v>-184981100.78199238</v>
      </c>
      <c r="S448">
        <f t="shared" si="977"/>
        <v>-1849.8110078199238</v>
      </c>
      <c r="T448">
        <f t="shared" si="978"/>
        <v>-1.8498110078199239</v>
      </c>
    </row>
    <row r="449" spans="1:20" x14ac:dyDescent="0.25">
      <c r="A449" s="5">
        <v>44144</v>
      </c>
      <c r="B449">
        <v>0.15603</v>
      </c>
      <c r="C449">
        <v>0.17041999999999999</v>
      </c>
      <c r="D449">
        <v>0.14791000000000001</v>
      </c>
      <c r="E449">
        <v>0.15640999999999999</v>
      </c>
      <c r="F449">
        <v>18165630.100000001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-0.24478009773434123</v>
      </c>
      <c r="Q449">
        <f t="shared" si="975"/>
        <v>-4446584.7112838915</v>
      </c>
      <c r="R449">
        <f t="shared" si="976"/>
        <v>-198674006.87563512</v>
      </c>
      <c r="S449">
        <f t="shared" si="977"/>
        <v>-1986.7400687563511</v>
      </c>
      <c r="T449">
        <f t="shared" si="978"/>
        <v>-1.986740068756351</v>
      </c>
    </row>
    <row r="450" spans="1:20" x14ac:dyDescent="0.25">
      <c r="A450" s="5">
        <v>44143</v>
      </c>
      <c r="B450">
        <v>0.14304</v>
      </c>
      <c r="C450">
        <v>0.16100999999999999</v>
      </c>
      <c r="D450">
        <v>0.13983000000000001</v>
      </c>
      <c r="E450">
        <v>0.15619</v>
      </c>
      <c r="F450">
        <v>12259450.800000001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0.54485363550519395</v>
      </c>
      <c r="Q450">
        <f t="shared" si="975"/>
        <v>6679606.3376770588</v>
      </c>
      <c r="R450">
        <f t="shared" si="976"/>
        <v>-194227422.16435122</v>
      </c>
      <c r="S450">
        <f t="shared" si="977"/>
        <v>-1942.2742216435122</v>
      </c>
      <c r="T450">
        <f t="shared" si="978"/>
        <v>-1.9422742216435123</v>
      </c>
    </row>
    <row r="451" spans="1:20" x14ac:dyDescent="0.25">
      <c r="A451" s="5">
        <v>44142</v>
      </c>
      <c r="B451">
        <v>0.13841000000000001</v>
      </c>
      <c r="C451">
        <v>0.16</v>
      </c>
      <c r="D451">
        <v>0.13500000000000001</v>
      </c>
      <c r="E451">
        <v>0.14326</v>
      </c>
      <c r="F451">
        <v>28365995.399999999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-0.33920000000000067</v>
      </c>
      <c r="Q451">
        <f t="shared" si="975"/>
        <v>-9621745.6396800186</v>
      </c>
      <c r="R451">
        <f t="shared" si="976"/>
        <v>-200907028.50202829</v>
      </c>
      <c r="S451">
        <f t="shared" si="977"/>
        <v>-2009.0702850202829</v>
      </c>
      <c r="T451">
        <f t="shared" si="978"/>
        <v>-2.0090702850202828</v>
      </c>
    </row>
    <row r="452" spans="1:20" x14ac:dyDescent="0.25">
      <c r="A452" s="5">
        <v>44141</v>
      </c>
      <c r="B452">
        <v>0.12031</v>
      </c>
      <c r="C452">
        <v>0.14024</v>
      </c>
      <c r="D452">
        <v>0.12001000000000001</v>
      </c>
      <c r="E452">
        <v>0.13830000000000001</v>
      </c>
      <c r="F452">
        <v>15625673.4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0.80820563519525479</v>
      </c>
      <c r="Q452">
        <f t="shared" si="975"/>
        <v>12628757.295600597</v>
      </c>
      <c r="R452">
        <f t="shared" si="976"/>
        <v>-191285282.86234826</v>
      </c>
      <c r="S452">
        <f t="shared" si="977"/>
        <v>-1912.8528286234825</v>
      </c>
      <c r="T452">
        <f t="shared" si="978"/>
        <v>-1.9128528286234825</v>
      </c>
    </row>
    <row r="453" spans="1:20" x14ac:dyDescent="0.25">
      <c r="A453" s="5">
        <v>44140</v>
      </c>
      <c r="B453">
        <v>0.12467</v>
      </c>
      <c r="C453">
        <v>0.12941</v>
      </c>
      <c r="D453">
        <v>0.11494</v>
      </c>
      <c r="E453">
        <v>0.12028999999999999</v>
      </c>
      <c r="F453">
        <v>14089764.699999999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-0.26053904630269592</v>
      </c>
      <c r="Q453">
        <f t="shared" si="975"/>
        <v>-3670933.8575673904</v>
      </c>
      <c r="R453">
        <f t="shared" si="976"/>
        <v>-203914040.15794885</v>
      </c>
      <c r="S453">
        <f t="shared" si="977"/>
        <v>-2039.1404015794885</v>
      </c>
      <c r="T453">
        <f t="shared" si="978"/>
        <v>-2.0391404015794885</v>
      </c>
    </row>
    <row r="454" spans="1:20" x14ac:dyDescent="0.25">
      <c r="A454" s="5">
        <v>44139</v>
      </c>
      <c r="B454">
        <v>0.13109000000000001</v>
      </c>
      <c r="C454">
        <v>0.13181999999999999</v>
      </c>
      <c r="D454">
        <v>0.11799</v>
      </c>
      <c r="E454">
        <v>0.1246</v>
      </c>
      <c r="F454">
        <v>7785115.5999999996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-4.410701373824915E-2</v>
      </c>
      <c r="Q454">
        <f t="shared" ref="Q454:Q517" si="980">F454*P454</f>
        <v>-343378.20072305773</v>
      </c>
      <c r="R454">
        <f t="shared" ref="R454:R517" si="981">R455+Q454</f>
        <v>-200243106.30038145</v>
      </c>
      <c r="S454">
        <f t="shared" ref="S454:S517" si="982">R454/100000</f>
        <v>-2002.4310630038144</v>
      </c>
      <c r="T454">
        <f t="shared" ref="T454:T517" si="983">S454/1000</f>
        <v>-2.0024310630038142</v>
      </c>
    </row>
    <row r="455" spans="1:20" x14ac:dyDescent="0.25">
      <c r="A455" s="5">
        <v>44138</v>
      </c>
      <c r="B455">
        <v>0.13902</v>
      </c>
      <c r="C455">
        <v>0.13927</v>
      </c>
      <c r="D455">
        <v>0.12961</v>
      </c>
      <c r="E455">
        <v>0.13117999999999999</v>
      </c>
      <c r="F455">
        <v>6989661.2000000002</v>
      </c>
      <c r="G455">
        <v>0</v>
      </c>
      <c r="L455" t="s">
        <v>7</v>
      </c>
      <c r="M455" t="s">
        <v>8</v>
      </c>
      <c r="N455" t="s">
        <v>7</v>
      </c>
      <c r="P455">
        <f t="shared" si="979"/>
        <v>-0.67494824016563404</v>
      </c>
      <c r="Q455">
        <f t="shared" si="980"/>
        <v>-4717659.5262940135</v>
      </c>
      <c r="R455">
        <f t="shared" si="981"/>
        <v>-199899728.0996584</v>
      </c>
      <c r="S455">
        <f t="shared" si="982"/>
        <v>-1998.9972809965841</v>
      </c>
      <c r="T455">
        <f t="shared" si="983"/>
        <v>-1.9989972809965841</v>
      </c>
    </row>
    <row r="456" spans="1:20" x14ac:dyDescent="0.25">
      <c r="A456" s="5">
        <v>44137</v>
      </c>
      <c r="B456">
        <v>0.14865</v>
      </c>
      <c r="C456">
        <v>0.15139</v>
      </c>
      <c r="D456">
        <v>0.13750000000000001</v>
      </c>
      <c r="E456">
        <v>0.13902</v>
      </c>
      <c r="F456">
        <v>9521347.3000000007</v>
      </c>
      <c r="G456">
        <v>0</v>
      </c>
      <c r="L456" t="s">
        <v>7</v>
      </c>
      <c r="M456" t="s">
        <v>8</v>
      </c>
      <c r="N456" t="s">
        <v>7</v>
      </c>
      <c r="P456">
        <f t="shared" si="979"/>
        <v>-0.78113750899928081</v>
      </c>
      <c r="Q456">
        <f t="shared" si="980"/>
        <v>-7437481.5122390287</v>
      </c>
      <c r="R456">
        <f t="shared" si="981"/>
        <v>-195182068.57336438</v>
      </c>
      <c r="S456">
        <f t="shared" si="982"/>
        <v>-1951.8206857336438</v>
      </c>
      <c r="T456">
        <f t="shared" si="983"/>
        <v>-1.9518206857336438</v>
      </c>
    </row>
    <row r="457" spans="1:20" x14ac:dyDescent="0.25">
      <c r="A457" s="5">
        <v>44136</v>
      </c>
      <c r="B457">
        <v>0.14199999999999999</v>
      </c>
      <c r="C457">
        <v>0.15423000000000001</v>
      </c>
      <c r="D457">
        <v>0.1416</v>
      </c>
      <c r="E457">
        <v>0.14876</v>
      </c>
      <c r="F457">
        <v>16725615.300000001</v>
      </c>
      <c r="G457">
        <v>0</v>
      </c>
      <c r="L457" t="s">
        <v>8</v>
      </c>
      <c r="M457" t="s">
        <v>8</v>
      </c>
      <c r="N457" t="s">
        <v>7</v>
      </c>
      <c r="P457">
        <f t="shared" si="979"/>
        <v>0.13380839271575587</v>
      </c>
      <c r="Q457">
        <f t="shared" si="980"/>
        <v>2238027.7004750548</v>
      </c>
      <c r="R457">
        <f t="shared" si="981"/>
        <v>-187744587.06112534</v>
      </c>
      <c r="S457">
        <f t="shared" si="982"/>
        <v>-1877.4458706112534</v>
      </c>
      <c r="T457">
        <f t="shared" si="983"/>
        <v>-1.8774458706112533</v>
      </c>
    </row>
    <row r="458" spans="1:20" x14ac:dyDescent="0.25">
      <c r="A458" s="5">
        <v>44135</v>
      </c>
      <c r="B458">
        <v>0.12792000000000001</v>
      </c>
      <c r="C458">
        <v>0.14383000000000001</v>
      </c>
      <c r="D458">
        <v>0.12589</v>
      </c>
      <c r="E458">
        <v>0.14199999999999999</v>
      </c>
      <c r="F458">
        <v>10498859.1</v>
      </c>
      <c r="G458">
        <v>0</v>
      </c>
      <c r="L458" t="s">
        <v>8</v>
      </c>
      <c r="M458" t="s">
        <v>8</v>
      </c>
      <c r="N458" t="s">
        <v>7</v>
      </c>
      <c r="P458">
        <f t="shared" si="979"/>
        <v>0.79598662207357584</v>
      </c>
      <c r="Q458">
        <f t="shared" si="980"/>
        <v>8356951.3906354224</v>
      </c>
      <c r="R458">
        <f t="shared" si="981"/>
        <v>-189982614.7616004</v>
      </c>
      <c r="S458">
        <f t="shared" si="982"/>
        <v>-1899.8261476160039</v>
      </c>
      <c r="T458">
        <f t="shared" si="983"/>
        <v>-1.8998261476160039</v>
      </c>
    </row>
    <row r="459" spans="1:20" x14ac:dyDescent="0.25">
      <c r="A459" s="5">
        <v>44134</v>
      </c>
      <c r="B459">
        <v>0.13331999999999999</v>
      </c>
      <c r="C459">
        <v>0.13539000000000001</v>
      </c>
      <c r="D459">
        <v>0.11948</v>
      </c>
      <c r="E459">
        <v>0.12756000000000001</v>
      </c>
      <c r="F459">
        <v>13831581.699999999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1.5713387806411069E-2</v>
      </c>
      <c r="Q459">
        <f t="shared" si="980"/>
        <v>217341.00722815847</v>
      </c>
      <c r="R459">
        <f t="shared" si="981"/>
        <v>-198339566.15223584</v>
      </c>
      <c r="S459">
        <f t="shared" si="982"/>
        <v>-1983.3956615223583</v>
      </c>
      <c r="T459">
        <f t="shared" si="983"/>
        <v>-1.9833956615223582</v>
      </c>
    </row>
    <row r="460" spans="1:20" x14ac:dyDescent="0.25">
      <c r="A460" s="5">
        <v>44133</v>
      </c>
      <c r="B460">
        <v>0.1447</v>
      </c>
      <c r="C460">
        <v>0.14612</v>
      </c>
      <c r="D460">
        <v>0.12941</v>
      </c>
      <c r="E460">
        <v>0.13364999999999999</v>
      </c>
      <c r="F460">
        <v>9317591.5999999996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-0.49251944943147896</v>
      </c>
      <c r="Q460">
        <f t="shared" si="980"/>
        <v>-4589095.084859373</v>
      </c>
      <c r="R460">
        <f t="shared" si="981"/>
        <v>-198556907.159464</v>
      </c>
      <c r="S460">
        <f t="shared" si="982"/>
        <v>-1985.56907159464</v>
      </c>
      <c r="T460">
        <f t="shared" si="983"/>
        <v>-1.9855690715946401</v>
      </c>
    </row>
    <row r="461" spans="1:20" x14ac:dyDescent="0.25">
      <c r="A461" s="5">
        <v>44132</v>
      </c>
      <c r="B461">
        <v>0.15717</v>
      </c>
      <c r="C461">
        <v>0.15875</v>
      </c>
      <c r="D461">
        <v>0.14027000000000001</v>
      </c>
      <c r="E461">
        <v>0.1447</v>
      </c>
      <c r="F461">
        <v>10360548.4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-0.52056277056277156</v>
      </c>
      <c r="Q461">
        <f t="shared" si="980"/>
        <v>-5393315.7796536898</v>
      </c>
      <c r="R461">
        <f t="shared" si="981"/>
        <v>-193967812.07460463</v>
      </c>
      <c r="S461">
        <f t="shared" si="982"/>
        <v>-1939.6781207460463</v>
      </c>
      <c r="T461">
        <f t="shared" si="983"/>
        <v>-1.9396781207460463</v>
      </c>
    </row>
    <row r="462" spans="1:20" x14ac:dyDescent="0.25">
      <c r="A462" s="5">
        <v>44131</v>
      </c>
      <c r="B462">
        <v>0.15686</v>
      </c>
      <c r="C462">
        <v>0.16113</v>
      </c>
      <c r="D462">
        <v>0.15367</v>
      </c>
      <c r="E462">
        <v>0.15704000000000001</v>
      </c>
      <c r="F462">
        <v>8423991.5999999996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-9.6514745308307129E-2</v>
      </c>
      <c r="Q462">
        <f t="shared" si="980"/>
        <v>-813039.40375331859</v>
      </c>
      <c r="R462">
        <f t="shared" si="981"/>
        <v>-188574496.29495093</v>
      </c>
      <c r="S462">
        <f t="shared" si="982"/>
        <v>-1885.7449629495093</v>
      </c>
      <c r="T462">
        <f t="shared" si="983"/>
        <v>-1.8857449629495093</v>
      </c>
    </row>
    <row r="463" spans="1:20" x14ac:dyDescent="0.25">
      <c r="A463" s="5">
        <v>44130</v>
      </c>
      <c r="B463">
        <v>0.16447999999999999</v>
      </c>
      <c r="C463">
        <v>0.16749</v>
      </c>
      <c r="D463">
        <v>0.15032999999999999</v>
      </c>
      <c r="E463">
        <v>0.15689</v>
      </c>
      <c r="F463">
        <v>9293091.4000000004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-0.23543123543123462</v>
      </c>
      <c r="Q463">
        <f t="shared" si="980"/>
        <v>-2187883.9892773819</v>
      </c>
      <c r="R463">
        <f t="shared" si="981"/>
        <v>-187761456.89119762</v>
      </c>
      <c r="S463">
        <f t="shared" si="982"/>
        <v>-1877.6145689119762</v>
      </c>
      <c r="T463">
        <f t="shared" si="983"/>
        <v>-1.8776145689119763</v>
      </c>
    </row>
    <row r="464" spans="1:20" x14ac:dyDescent="0.25">
      <c r="A464" s="5">
        <v>44129</v>
      </c>
      <c r="B464">
        <v>0.16663</v>
      </c>
      <c r="C464">
        <v>0.17069000000000001</v>
      </c>
      <c r="D464">
        <v>0.16385</v>
      </c>
      <c r="E464">
        <v>0.16438</v>
      </c>
      <c r="F464">
        <v>8474335.0999999996</v>
      </c>
      <c r="G464">
        <v>0</v>
      </c>
      <c r="L464" t="s">
        <v>8</v>
      </c>
      <c r="M464" t="s">
        <v>7</v>
      </c>
      <c r="N464" t="s">
        <v>7</v>
      </c>
      <c r="P464">
        <f t="shared" si="979"/>
        <v>-0.84502923976608135</v>
      </c>
      <c r="Q464">
        <f t="shared" si="980"/>
        <v>-7161060.9470760189</v>
      </c>
      <c r="R464">
        <f t="shared" si="981"/>
        <v>-185573572.90192023</v>
      </c>
      <c r="S464">
        <f t="shared" si="982"/>
        <v>-1855.7357290192024</v>
      </c>
      <c r="T464">
        <f t="shared" si="983"/>
        <v>-1.8557357290192025</v>
      </c>
    </row>
    <row r="465" spans="1:20" x14ac:dyDescent="0.25">
      <c r="A465" s="5">
        <v>44128</v>
      </c>
      <c r="B465">
        <v>0.16558999999999999</v>
      </c>
      <c r="C465">
        <v>0.16841</v>
      </c>
      <c r="D465">
        <v>0.16300000000000001</v>
      </c>
      <c r="E465">
        <v>0.16675000000000001</v>
      </c>
      <c r="F465">
        <v>5710241.5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0.38632162661737696</v>
      </c>
      <c r="Q465">
        <f t="shared" si="980"/>
        <v>2205989.7846580506</v>
      </c>
      <c r="R465">
        <f t="shared" si="981"/>
        <v>-178412511.95484421</v>
      </c>
      <c r="S465">
        <f t="shared" si="982"/>
        <v>-1784.1251195484422</v>
      </c>
      <c r="T465">
        <f t="shared" si="983"/>
        <v>-1.7841251195484422</v>
      </c>
    </row>
    <row r="466" spans="1:20" x14ac:dyDescent="0.25">
      <c r="A466" s="5">
        <v>44127</v>
      </c>
      <c r="B466">
        <v>0.16961999999999999</v>
      </c>
      <c r="C466">
        <v>0.17149</v>
      </c>
      <c r="D466">
        <v>0.16200000000000001</v>
      </c>
      <c r="E466">
        <v>0.16599</v>
      </c>
      <c r="F466">
        <v>6489769.4000000004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-0.15911485774499595</v>
      </c>
      <c r="Q466">
        <f t="shared" si="980"/>
        <v>-1032618.7348788278</v>
      </c>
      <c r="R466">
        <f t="shared" si="981"/>
        <v>-180618501.73950225</v>
      </c>
      <c r="S466">
        <f t="shared" si="982"/>
        <v>-1806.1850173950224</v>
      </c>
      <c r="T466">
        <f t="shared" si="983"/>
        <v>-1.8061850173950225</v>
      </c>
    </row>
    <row r="467" spans="1:20" x14ac:dyDescent="0.25">
      <c r="A467" s="5">
        <v>44126</v>
      </c>
      <c r="B467">
        <v>0.16531000000000001</v>
      </c>
      <c r="C467">
        <v>0.17460999999999999</v>
      </c>
      <c r="D467">
        <v>0.16517000000000001</v>
      </c>
      <c r="E467">
        <v>0.16961999999999999</v>
      </c>
      <c r="F467">
        <v>7225433.9000000004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-5.7203389830509967E-2</v>
      </c>
      <c r="Q467">
        <f t="shared" si="980"/>
        <v>-413319.31207628199</v>
      </c>
      <c r="R467">
        <f t="shared" si="981"/>
        <v>-179585883.00462341</v>
      </c>
      <c r="S467">
        <f t="shared" si="982"/>
        <v>-1795.8588300462341</v>
      </c>
      <c r="T467">
        <f t="shared" si="983"/>
        <v>-1.7958588300462341</v>
      </c>
    </row>
    <row r="468" spans="1:20" x14ac:dyDescent="0.25">
      <c r="A468" s="5">
        <v>44125</v>
      </c>
      <c r="B468">
        <v>0.15792999999999999</v>
      </c>
      <c r="C468">
        <v>0.17459</v>
      </c>
      <c r="D468">
        <v>0.15726999999999999</v>
      </c>
      <c r="E468">
        <v>0.16511999999999999</v>
      </c>
      <c r="F468">
        <v>15090712.9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-9.3533487297922061E-2</v>
      </c>
      <c r="Q468">
        <f t="shared" si="980"/>
        <v>-1411487.0033487387</v>
      </c>
      <c r="R468">
        <f t="shared" si="981"/>
        <v>-179172563.69254714</v>
      </c>
      <c r="S468">
        <f t="shared" si="982"/>
        <v>-1791.7256369254715</v>
      </c>
      <c r="T468">
        <f t="shared" si="983"/>
        <v>-1.7917256369254715</v>
      </c>
    </row>
    <row r="469" spans="1:20" x14ac:dyDescent="0.25">
      <c r="A469" s="5">
        <v>44124</v>
      </c>
      <c r="B469">
        <v>0.17155000000000001</v>
      </c>
      <c r="C469">
        <v>0.17623</v>
      </c>
      <c r="D469">
        <v>0.15619</v>
      </c>
      <c r="E469">
        <v>0.15792</v>
      </c>
      <c r="F469">
        <v>12301101.4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-0.82734530938123663</v>
      </c>
      <c r="Q469">
        <f t="shared" si="980"/>
        <v>-10177258.543512963</v>
      </c>
      <c r="R469">
        <f t="shared" si="981"/>
        <v>-177761076.6891984</v>
      </c>
      <c r="S469">
        <f t="shared" si="982"/>
        <v>-1777.610766891984</v>
      </c>
      <c r="T469">
        <f t="shared" si="983"/>
        <v>-1.7776107668919841</v>
      </c>
    </row>
    <row r="470" spans="1:20" x14ac:dyDescent="0.25">
      <c r="A470" s="5">
        <v>44123</v>
      </c>
      <c r="B470">
        <v>0.17566000000000001</v>
      </c>
      <c r="C470">
        <v>0.17949999999999999</v>
      </c>
      <c r="D470">
        <v>0.16800000000000001</v>
      </c>
      <c r="E470">
        <v>0.17115</v>
      </c>
      <c r="F470">
        <v>15369152.5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-0.45217391304347981</v>
      </c>
      <c r="Q470">
        <f t="shared" si="980"/>
        <v>-6949529.8260869803</v>
      </c>
      <c r="R470">
        <f t="shared" si="981"/>
        <v>-167583818.14568543</v>
      </c>
      <c r="S470">
        <f t="shared" si="982"/>
        <v>-1675.8381814568543</v>
      </c>
      <c r="T470">
        <f t="shared" si="983"/>
        <v>-1.6758381814568544</v>
      </c>
    </row>
    <row r="471" spans="1:20" x14ac:dyDescent="0.25">
      <c r="A471" s="5">
        <v>44122</v>
      </c>
      <c r="B471">
        <v>0.17135</v>
      </c>
      <c r="C471">
        <v>0.17956</v>
      </c>
      <c r="D471">
        <v>0.17099</v>
      </c>
      <c r="E471">
        <v>0.17576</v>
      </c>
      <c r="F471">
        <v>4238468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0.11318553092182022</v>
      </c>
      <c r="Q471">
        <f t="shared" si="980"/>
        <v>479733.25087514555</v>
      </c>
      <c r="R471">
        <f t="shared" si="981"/>
        <v>-160634288.31959847</v>
      </c>
      <c r="S471">
        <f t="shared" si="982"/>
        <v>-1606.3428831959848</v>
      </c>
      <c r="T471">
        <f t="shared" si="983"/>
        <v>-1.6063428831959847</v>
      </c>
    </row>
    <row r="472" spans="1:20" x14ac:dyDescent="0.25">
      <c r="A472" s="5">
        <v>44121</v>
      </c>
      <c r="B472">
        <v>0.16900000000000001</v>
      </c>
      <c r="C472">
        <v>0.17948</v>
      </c>
      <c r="D472">
        <v>0.16783000000000001</v>
      </c>
      <c r="E472">
        <v>0.17207</v>
      </c>
      <c r="F472">
        <v>6271153.2000000002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-0.2721030042918462</v>
      </c>
      <c r="Q472">
        <f t="shared" si="980"/>
        <v>-1706399.6260944251</v>
      </c>
      <c r="R472">
        <f t="shared" si="981"/>
        <v>-161114021.57047361</v>
      </c>
      <c r="S472">
        <f t="shared" si="982"/>
        <v>-1611.1402157047362</v>
      </c>
      <c r="T472">
        <f t="shared" si="983"/>
        <v>-1.6111402157047361</v>
      </c>
    </row>
    <row r="473" spans="1:20" x14ac:dyDescent="0.25">
      <c r="A473" s="5">
        <v>44120</v>
      </c>
      <c r="B473">
        <v>0.18315999999999999</v>
      </c>
      <c r="C473">
        <v>0.18360000000000001</v>
      </c>
      <c r="D473">
        <v>0.16713</v>
      </c>
      <c r="E473">
        <v>0.16955999999999999</v>
      </c>
      <c r="F473">
        <v>11502380.800000001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-0.70491803278688692</v>
      </c>
      <c r="Q473">
        <f t="shared" si="980"/>
        <v>-8108235.6459016595</v>
      </c>
      <c r="R473">
        <f t="shared" si="981"/>
        <v>-159407621.94437918</v>
      </c>
      <c r="S473">
        <f t="shared" si="982"/>
        <v>-1594.0762194437918</v>
      </c>
      <c r="T473">
        <f t="shared" si="983"/>
        <v>-1.5940762194437919</v>
      </c>
    </row>
    <row r="474" spans="1:20" x14ac:dyDescent="0.25">
      <c r="A474" s="5">
        <v>44119</v>
      </c>
      <c r="B474">
        <v>0.1797</v>
      </c>
      <c r="C474">
        <v>0.18572</v>
      </c>
      <c r="D474">
        <v>0.17632</v>
      </c>
      <c r="E474">
        <v>0.18315999999999999</v>
      </c>
      <c r="F474">
        <v>7869898.9000000004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0.45531914893616832</v>
      </c>
      <c r="Q474">
        <f t="shared" si="980"/>
        <v>3583315.6693616873</v>
      </c>
      <c r="R474">
        <f t="shared" si="981"/>
        <v>-151299386.29847753</v>
      </c>
      <c r="S474">
        <f t="shared" si="982"/>
        <v>-1512.9938629847752</v>
      </c>
      <c r="T474">
        <f t="shared" si="983"/>
        <v>-1.5129938629847752</v>
      </c>
    </row>
    <row r="475" spans="1:20" x14ac:dyDescent="0.25">
      <c r="A475" s="5">
        <v>44118</v>
      </c>
      <c r="B475">
        <v>0.18898999999999999</v>
      </c>
      <c r="C475">
        <v>0.19273999999999999</v>
      </c>
      <c r="D475">
        <v>0.17732000000000001</v>
      </c>
      <c r="E475">
        <v>0.17967</v>
      </c>
      <c r="F475">
        <v>9088039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-0.69520103761348995</v>
      </c>
      <c r="Q475">
        <f t="shared" si="980"/>
        <v>-6318014.1426718635</v>
      </c>
      <c r="R475">
        <f t="shared" si="981"/>
        <v>-154882701.96783921</v>
      </c>
      <c r="S475">
        <f t="shared" si="982"/>
        <v>-1548.8270196783922</v>
      </c>
      <c r="T475">
        <f t="shared" si="983"/>
        <v>-1.5488270196783922</v>
      </c>
    </row>
    <row r="476" spans="1:20" x14ac:dyDescent="0.25">
      <c r="A476" s="5">
        <v>44117</v>
      </c>
      <c r="B476">
        <v>0.19797999999999999</v>
      </c>
      <c r="C476">
        <v>0.19836999999999999</v>
      </c>
      <c r="D476">
        <v>0.18662000000000001</v>
      </c>
      <c r="E476">
        <v>0.18887999999999999</v>
      </c>
      <c r="F476">
        <v>7067277.9000000004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-0.61531914893617234</v>
      </c>
      <c r="Q476">
        <f t="shared" si="980"/>
        <v>-4348631.42272342</v>
      </c>
      <c r="R476">
        <f t="shared" si="981"/>
        <v>-148564687.82516736</v>
      </c>
      <c r="S476">
        <f t="shared" si="982"/>
        <v>-1485.6468782516736</v>
      </c>
      <c r="T476">
        <f t="shared" si="983"/>
        <v>-1.4856468782516736</v>
      </c>
    </row>
    <row r="477" spans="1:20" x14ac:dyDescent="0.25">
      <c r="A477" s="5">
        <v>44116</v>
      </c>
      <c r="B477">
        <v>0.19489999999999999</v>
      </c>
      <c r="C477">
        <v>0.20327000000000001</v>
      </c>
      <c r="D477">
        <v>0.18889</v>
      </c>
      <c r="E477">
        <v>0.1988</v>
      </c>
      <c r="F477">
        <v>12943904.800000001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0.37830319888734348</v>
      </c>
      <c r="Q477">
        <f t="shared" si="980"/>
        <v>4896720.5919332402</v>
      </c>
      <c r="R477">
        <f t="shared" si="981"/>
        <v>-144216056.40244395</v>
      </c>
      <c r="S477">
        <f t="shared" si="982"/>
        <v>-1442.1605640244395</v>
      </c>
      <c r="T477">
        <f t="shared" si="983"/>
        <v>-1.4421605640244395</v>
      </c>
    </row>
    <row r="478" spans="1:20" x14ac:dyDescent="0.25">
      <c r="A478" s="5">
        <v>44115</v>
      </c>
      <c r="B478">
        <v>0.20927000000000001</v>
      </c>
      <c r="C478">
        <v>0.21165999999999999</v>
      </c>
      <c r="D478">
        <v>0.19084999999999999</v>
      </c>
      <c r="E478">
        <v>0.19491</v>
      </c>
      <c r="F478">
        <v>9667104.3000000007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-0.60980297933685645</v>
      </c>
      <c r="Q478">
        <f t="shared" si="980"/>
        <v>-5895029.0037001362</v>
      </c>
      <c r="R478">
        <f t="shared" si="981"/>
        <v>-149112776.9943772</v>
      </c>
      <c r="S478">
        <f t="shared" si="982"/>
        <v>-1491.1277699437719</v>
      </c>
      <c r="T478">
        <f t="shared" si="983"/>
        <v>-1.4911277699437719</v>
      </c>
    </row>
    <row r="479" spans="1:20" x14ac:dyDescent="0.25">
      <c r="A479" s="5">
        <v>44114</v>
      </c>
      <c r="B479">
        <v>0.19686999999999999</v>
      </c>
      <c r="C479">
        <v>0.21199000000000001</v>
      </c>
      <c r="D479">
        <v>0.19561999999999999</v>
      </c>
      <c r="E479">
        <v>0.20943999999999999</v>
      </c>
      <c r="F479">
        <v>9906335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0.68845448992058389</v>
      </c>
      <c r="Q479">
        <f t="shared" si="980"/>
        <v>6820060.809407427</v>
      </c>
      <c r="R479">
        <f t="shared" si="981"/>
        <v>-143217747.99067706</v>
      </c>
      <c r="S479">
        <f t="shared" si="982"/>
        <v>-1432.1774799067705</v>
      </c>
      <c r="T479">
        <f t="shared" si="983"/>
        <v>-1.4321774799067706</v>
      </c>
    </row>
    <row r="480" spans="1:20" x14ac:dyDescent="0.25">
      <c r="A480" s="5">
        <v>44113</v>
      </c>
      <c r="B480">
        <v>0.18490000000000001</v>
      </c>
      <c r="C480">
        <v>0.19991</v>
      </c>
      <c r="D480">
        <v>0.17863000000000001</v>
      </c>
      <c r="E480">
        <v>0.19691</v>
      </c>
      <c r="F480">
        <v>13624946.6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0.7180451127819546</v>
      </c>
      <c r="Q480">
        <f t="shared" si="980"/>
        <v>9783326.3180451076</v>
      </c>
      <c r="R480">
        <f t="shared" si="981"/>
        <v>-150037808.80008447</v>
      </c>
      <c r="S480">
        <f t="shared" si="982"/>
        <v>-1500.3780880008446</v>
      </c>
      <c r="T480">
        <f t="shared" si="983"/>
        <v>-1.5003780880008446</v>
      </c>
    </row>
    <row r="481" spans="1:20" x14ac:dyDescent="0.25">
      <c r="A481" s="5">
        <v>44112</v>
      </c>
      <c r="B481">
        <v>0.16735</v>
      </c>
      <c r="C481">
        <v>0.19</v>
      </c>
      <c r="D481">
        <v>0.16446</v>
      </c>
      <c r="E481">
        <v>0.18489</v>
      </c>
      <c r="F481">
        <v>16929050.100000001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0.59984338292873907</v>
      </c>
      <c r="Q481">
        <f t="shared" si="980"/>
        <v>10154778.681754109</v>
      </c>
      <c r="R481">
        <f t="shared" si="981"/>
        <v>-159821135.11812958</v>
      </c>
      <c r="S481">
        <f t="shared" si="982"/>
        <v>-1598.2113511812959</v>
      </c>
      <c r="T481">
        <f t="shared" si="983"/>
        <v>-1.5982113511812959</v>
      </c>
    </row>
    <row r="482" spans="1:20" x14ac:dyDescent="0.25">
      <c r="A482" s="5">
        <v>44111</v>
      </c>
      <c r="B482">
        <v>0.17291000000000001</v>
      </c>
      <c r="C482">
        <v>0.17348</v>
      </c>
      <c r="D482">
        <v>0.15504000000000001</v>
      </c>
      <c r="E482">
        <v>0.16772999999999999</v>
      </c>
      <c r="F482">
        <v>17846355.300000001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0.37635574837310087</v>
      </c>
      <c r="Q482">
        <f t="shared" si="980"/>
        <v>6716578.4046637556</v>
      </c>
      <c r="R482">
        <f t="shared" si="981"/>
        <v>-169975913.79988369</v>
      </c>
      <c r="S482">
        <f t="shared" si="982"/>
        <v>-1699.7591379988369</v>
      </c>
      <c r="T482">
        <f t="shared" si="983"/>
        <v>-1.6997591379988368</v>
      </c>
    </row>
    <row r="483" spans="1:20" x14ac:dyDescent="0.25">
      <c r="A483" s="5">
        <v>44110</v>
      </c>
      <c r="B483">
        <v>0.19317000000000001</v>
      </c>
      <c r="C483">
        <v>0.19461000000000001</v>
      </c>
      <c r="D483">
        <v>0.17227000000000001</v>
      </c>
      <c r="E483">
        <v>0.17307</v>
      </c>
      <c r="F483">
        <v>15071491.9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-0.92837958818263244</v>
      </c>
      <c r="Q483">
        <f t="shared" si="980"/>
        <v>-13992065.443419881</v>
      </c>
      <c r="R483">
        <f t="shared" si="981"/>
        <v>-176692492.20454744</v>
      </c>
      <c r="S483">
        <f t="shared" si="982"/>
        <v>-1766.9249220454744</v>
      </c>
      <c r="T483">
        <f t="shared" si="983"/>
        <v>-1.7669249220454744</v>
      </c>
    </row>
    <row r="484" spans="1:20" x14ac:dyDescent="0.25">
      <c r="A484" s="5">
        <v>44109</v>
      </c>
      <c r="B484">
        <v>0.19969999999999999</v>
      </c>
      <c r="C484">
        <v>0.20293</v>
      </c>
      <c r="D484">
        <v>0.19001999999999999</v>
      </c>
      <c r="E484">
        <v>0.19259999999999999</v>
      </c>
      <c r="F484">
        <v>8244500.9000000004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-0.60030983733539922</v>
      </c>
      <c r="Q484">
        <f t="shared" si="980"/>
        <v>-4949254.9941905523</v>
      </c>
      <c r="R484">
        <f t="shared" si="981"/>
        <v>-162700426.76112756</v>
      </c>
      <c r="S484">
        <f t="shared" si="982"/>
        <v>-1627.0042676112755</v>
      </c>
      <c r="T484">
        <f t="shared" si="983"/>
        <v>-1.6270042676112755</v>
      </c>
    </row>
    <row r="485" spans="1:20" x14ac:dyDescent="0.25">
      <c r="A485" s="5">
        <v>44108</v>
      </c>
      <c r="B485">
        <v>0.20180999999999999</v>
      </c>
      <c r="C485">
        <v>0.20660000000000001</v>
      </c>
      <c r="D485">
        <v>0.19833999999999999</v>
      </c>
      <c r="E485">
        <v>0.19919999999999999</v>
      </c>
      <c r="F485">
        <v>4458757.5999999996</v>
      </c>
      <c r="G485">
        <v>0</v>
      </c>
      <c r="L485" t="s">
        <v>8</v>
      </c>
      <c r="M485" t="s">
        <v>7</v>
      </c>
      <c r="N485" t="s">
        <v>7</v>
      </c>
      <c r="P485">
        <f t="shared" si="979"/>
        <v>-0.79176755447941938</v>
      </c>
      <c r="Q485">
        <f t="shared" si="980"/>
        <v>-3530299.6009685248</v>
      </c>
      <c r="R485">
        <f t="shared" si="981"/>
        <v>-157751171.76693702</v>
      </c>
      <c r="S485">
        <f t="shared" si="982"/>
        <v>-1577.5117176693702</v>
      </c>
      <c r="T485">
        <f t="shared" si="983"/>
        <v>-1.5775117176693703</v>
      </c>
    </row>
    <row r="486" spans="1:20" x14ac:dyDescent="0.25">
      <c r="A486" s="5">
        <v>44107</v>
      </c>
      <c r="B486">
        <v>0.19933999999999999</v>
      </c>
      <c r="C486">
        <v>0.20823</v>
      </c>
      <c r="D486">
        <v>0.19535</v>
      </c>
      <c r="E486">
        <v>0.20191999999999999</v>
      </c>
      <c r="F486">
        <v>5545645.5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2.0186335403725345E-2</v>
      </c>
      <c r="Q486">
        <f t="shared" si="980"/>
        <v>111946.26009316013</v>
      </c>
      <c r="R486">
        <f t="shared" si="981"/>
        <v>-154220872.16596851</v>
      </c>
      <c r="S486">
        <f t="shared" si="982"/>
        <v>-1542.2087216596851</v>
      </c>
      <c r="T486">
        <f t="shared" si="983"/>
        <v>-1.5422087216596851</v>
      </c>
    </row>
    <row r="487" spans="1:20" x14ac:dyDescent="0.25">
      <c r="A487" s="5">
        <v>44106</v>
      </c>
      <c r="B487">
        <v>0.21424000000000001</v>
      </c>
      <c r="C487">
        <v>0.22031999999999999</v>
      </c>
      <c r="D487">
        <v>0.18959999999999999</v>
      </c>
      <c r="E487">
        <v>0.19953000000000001</v>
      </c>
      <c r="F487">
        <v>15123458.699999999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-0.3535156249999985</v>
      </c>
      <c r="Q487">
        <f t="shared" si="980"/>
        <v>-5346378.9544921648</v>
      </c>
      <c r="R487">
        <f t="shared" si="981"/>
        <v>-154332818.42606166</v>
      </c>
      <c r="S487">
        <f t="shared" si="982"/>
        <v>-1543.3281842606166</v>
      </c>
      <c r="T487">
        <f t="shared" si="983"/>
        <v>-1.5433281842606166</v>
      </c>
    </row>
    <row r="488" spans="1:20" x14ac:dyDescent="0.25">
      <c r="A488" s="5">
        <v>44105</v>
      </c>
      <c r="B488">
        <v>0.21576999999999999</v>
      </c>
      <c r="C488">
        <v>0.22506000000000001</v>
      </c>
      <c r="D488">
        <v>0.20394999999999999</v>
      </c>
      <c r="E488">
        <v>0.21471999999999999</v>
      </c>
      <c r="F488">
        <v>8393724.3000000007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2.0369493131216748E-2</v>
      </c>
      <c r="Q488">
        <f t="shared" si="980"/>
        <v>170975.90947417711</v>
      </c>
      <c r="R488">
        <f t="shared" si="981"/>
        <v>-148986439.47156951</v>
      </c>
      <c r="S488">
        <f t="shared" si="982"/>
        <v>-1489.864394715695</v>
      </c>
      <c r="T488">
        <f t="shared" si="983"/>
        <v>-1.4898643947156949</v>
      </c>
    </row>
    <row r="489" spans="1:20" x14ac:dyDescent="0.25">
      <c r="A489" s="5">
        <v>44104</v>
      </c>
      <c r="B489">
        <v>0.22084999999999999</v>
      </c>
      <c r="C489">
        <v>0.22255</v>
      </c>
      <c r="D489">
        <v>0.21035000000000001</v>
      </c>
      <c r="E489">
        <v>0.21562000000000001</v>
      </c>
      <c r="F489">
        <v>4842654.3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-0.1360655737704915</v>
      </c>
      <c r="Q489">
        <f t="shared" si="980"/>
        <v>-658918.53590163786</v>
      </c>
      <c r="R489">
        <f t="shared" si="981"/>
        <v>-149157415.38104367</v>
      </c>
      <c r="S489">
        <f t="shared" si="982"/>
        <v>-1491.5741538104367</v>
      </c>
      <c r="T489">
        <f t="shared" si="983"/>
        <v>-1.4915741538104366</v>
      </c>
    </row>
    <row r="490" spans="1:20" x14ac:dyDescent="0.25">
      <c r="A490" s="5">
        <v>44103</v>
      </c>
      <c r="B490">
        <v>0.22352</v>
      </c>
      <c r="C490">
        <v>0.23083999999999999</v>
      </c>
      <c r="D490">
        <v>0.21329999999999999</v>
      </c>
      <c r="E490">
        <v>0.22105</v>
      </c>
      <c r="F490">
        <v>5298062.8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-0.11630558722918964</v>
      </c>
      <c r="Q490">
        <f t="shared" si="980"/>
        <v>-616194.30513112468</v>
      </c>
      <c r="R490">
        <f t="shared" si="981"/>
        <v>-148498496.84514204</v>
      </c>
      <c r="S490">
        <f t="shared" si="982"/>
        <v>-1484.9849684514204</v>
      </c>
      <c r="T490">
        <f t="shared" si="983"/>
        <v>-1.4849849684514205</v>
      </c>
    </row>
    <row r="491" spans="1:20" x14ac:dyDescent="0.25">
      <c r="A491" s="5">
        <v>44102</v>
      </c>
      <c r="B491">
        <v>0.21834000000000001</v>
      </c>
      <c r="C491">
        <v>0.23408000000000001</v>
      </c>
      <c r="D491">
        <v>0.21575</v>
      </c>
      <c r="E491">
        <v>0.22352</v>
      </c>
      <c r="F491">
        <v>7520904.4000000004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-0.15220949263502526</v>
      </c>
      <c r="Q491">
        <f t="shared" si="980"/>
        <v>-1144753.0428805291</v>
      </c>
      <c r="R491">
        <f t="shared" si="981"/>
        <v>-147882302.5400109</v>
      </c>
      <c r="S491">
        <f t="shared" si="982"/>
        <v>-1478.8230254001089</v>
      </c>
      <c r="T491">
        <f t="shared" si="983"/>
        <v>-1.4788230254001089</v>
      </c>
    </row>
    <row r="492" spans="1:20" x14ac:dyDescent="0.25">
      <c r="A492" s="5">
        <v>44101</v>
      </c>
      <c r="B492">
        <v>0.22505</v>
      </c>
      <c r="C492">
        <v>0.22968</v>
      </c>
      <c r="D492">
        <v>0.21326999999999999</v>
      </c>
      <c r="E492">
        <v>0.21831999999999999</v>
      </c>
      <c r="F492">
        <v>6309726.2999999998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-0.3845216331505184</v>
      </c>
      <c r="Q492">
        <f t="shared" si="980"/>
        <v>-2426226.2616087776</v>
      </c>
      <c r="R492">
        <f t="shared" si="981"/>
        <v>-146737549.49713036</v>
      </c>
      <c r="S492">
        <f t="shared" si="982"/>
        <v>-1467.3754949713036</v>
      </c>
      <c r="T492">
        <f t="shared" si="983"/>
        <v>-1.4673754949713036</v>
      </c>
    </row>
    <row r="493" spans="1:20" x14ac:dyDescent="0.25">
      <c r="A493" s="5">
        <v>44100</v>
      </c>
      <c r="B493">
        <v>0.22486</v>
      </c>
      <c r="C493">
        <v>0.22764000000000001</v>
      </c>
      <c r="D493">
        <v>0.21764</v>
      </c>
      <c r="E493">
        <v>0.22456999999999999</v>
      </c>
      <c r="F493">
        <v>5228645.7</v>
      </c>
      <c r="G493">
        <v>0</v>
      </c>
      <c r="L493" t="s">
        <v>7</v>
      </c>
      <c r="M493" t="s">
        <v>7</v>
      </c>
      <c r="N493" t="s">
        <v>7</v>
      </c>
      <c r="P493">
        <f t="shared" si="979"/>
        <v>0.38599999999999712</v>
      </c>
      <c r="Q493">
        <f t="shared" si="980"/>
        <v>2018257.240199985</v>
      </c>
      <c r="R493">
        <f t="shared" si="981"/>
        <v>-144311323.23552158</v>
      </c>
      <c r="S493">
        <f t="shared" si="982"/>
        <v>-1443.1132323552158</v>
      </c>
      <c r="T493">
        <f t="shared" si="983"/>
        <v>-1.4431132323552158</v>
      </c>
    </row>
    <row r="494" spans="1:20" x14ac:dyDescent="0.25">
      <c r="A494" s="5">
        <v>44099</v>
      </c>
      <c r="B494">
        <v>0.22509000000000001</v>
      </c>
      <c r="C494">
        <v>0.23666999999999999</v>
      </c>
      <c r="D494">
        <v>0.21432000000000001</v>
      </c>
      <c r="E494">
        <v>0.22506000000000001</v>
      </c>
      <c r="F494">
        <v>10086613.4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-3.8926174496643519E-2</v>
      </c>
      <c r="Q494">
        <f t="shared" si="980"/>
        <v>-392633.2732885828</v>
      </c>
      <c r="R494">
        <f t="shared" si="981"/>
        <v>-146329580.47572157</v>
      </c>
      <c r="S494">
        <f t="shared" si="982"/>
        <v>-1463.2958047572156</v>
      </c>
      <c r="T494">
        <f t="shared" si="983"/>
        <v>-1.4632958047572155</v>
      </c>
    </row>
    <row r="495" spans="1:20" x14ac:dyDescent="0.25">
      <c r="A495" s="5">
        <v>44098</v>
      </c>
      <c r="B495">
        <v>0.21006</v>
      </c>
      <c r="C495">
        <v>0.22725000000000001</v>
      </c>
      <c r="D495">
        <v>0.20704</v>
      </c>
      <c r="E495">
        <v>0.22561</v>
      </c>
      <c r="F495">
        <v>11454354.199999999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0.83770410687778307</v>
      </c>
      <c r="Q495">
        <f t="shared" si="980"/>
        <v>9595359.5549727827</v>
      </c>
      <c r="R495">
        <f t="shared" si="981"/>
        <v>-145936947.20243299</v>
      </c>
      <c r="S495">
        <f t="shared" si="982"/>
        <v>-1459.36947202433</v>
      </c>
      <c r="T495">
        <f t="shared" si="983"/>
        <v>-1.45936947202433</v>
      </c>
    </row>
    <row r="496" spans="1:20" x14ac:dyDescent="0.25">
      <c r="A496" s="5">
        <v>44097</v>
      </c>
      <c r="B496">
        <v>0.23960999999999999</v>
      </c>
      <c r="C496">
        <v>0.24234</v>
      </c>
      <c r="D496">
        <v>0.20774000000000001</v>
      </c>
      <c r="E496">
        <v>0.21010000000000001</v>
      </c>
      <c r="F496">
        <v>18358851.300000001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-0.86358381502890169</v>
      </c>
      <c r="Q496">
        <f t="shared" si="980"/>
        <v>-15854406.845202312</v>
      </c>
      <c r="R496">
        <f t="shared" si="981"/>
        <v>-155532306.75740576</v>
      </c>
      <c r="S496">
        <f t="shared" si="982"/>
        <v>-1555.3230675740576</v>
      </c>
      <c r="T496">
        <f t="shared" si="983"/>
        <v>-1.5553230675740577</v>
      </c>
    </row>
    <row r="497" spans="1:20" x14ac:dyDescent="0.25">
      <c r="A497" s="5">
        <v>44096</v>
      </c>
      <c r="B497">
        <v>0.24356</v>
      </c>
      <c r="C497">
        <v>0.25683</v>
      </c>
      <c r="D497">
        <v>0.23599999999999999</v>
      </c>
      <c r="E497">
        <v>0.2392</v>
      </c>
      <c r="F497">
        <v>20423443.600000001</v>
      </c>
      <c r="G497">
        <v>0</v>
      </c>
      <c r="L497" t="s">
        <v>8</v>
      </c>
      <c r="M497" t="s">
        <v>7</v>
      </c>
      <c r="N497" t="s">
        <v>8</v>
      </c>
      <c r="P497">
        <f t="shared" si="979"/>
        <v>-0.6927508401344209</v>
      </c>
      <c r="Q497">
        <f t="shared" si="980"/>
        <v>-14148357.712337963</v>
      </c>
      <c r="R497">
        <f t="shared" si="981"/>
        <v>-139677899.91220343</v>
      </c>
      <c r="S497">
        <f t="shared" si="982"/>
        <v>-1396.7789991220343</v>
      </c>
      <c r="T497">
        <f t="shared" si="983"/>
        <v>-1.3967789991220343</v>
      </c>
    </row>
    <row r="498" spans="1:20" x14ac:dyDescent="0.25">
      <c r="A498" s="5">
        <v>44095</v>
      </c>
      <c r="B498">
        <v>0.24152000000000001</v>
      </c>
      <c r="C498">
        <v>0.27889999999999998</v>
      </c>
      <c r="D498">
        <v>0.22831000000000001</v>
      </c>
      <c r="E498">
        <v>0.24245</v>
      </c>
      <c r="F498">
        <v>38464262.399999999</v>
      </c>
      <c r="G498">
        <v>0</v>
      </c>
      <c r="L498" t="s">
        <v>7</v>
      </c>
      <c r="M498" t="s">
        <v>7</v>
      </c>
      <c r="N498" t="s">
        <v>8</v>
      </c>
      <c r="P498">
        <f t="shared" si="979"/>
        <v>-0.44099624431705892</v>
      </c>
      <c r="Q498">
        <f t="shared" si="980"/>
        <v>-16962595.258825861</v>
      </c>
      <c r="R498">
        <f t="shared" si="981"/>
        <v>-125529542.19986546</v>
      </c>
      <c r="S498">
        <f t="shared" si="982"/>
        <v>-1255.2954219986545</v>
      </c>
      <c r="T498">
        <f t="shared" si="983"/>
        <v>-1.2552954219986545</v>
      </c>
    </row>
    <row r="499" spans="1:20" x14ac:dyDescent="0.25">
      <c r="A499" s="5">
        <v>44094</v>
      </c>
      <c r="B499">
        <v>0.25424000000000002</v>
      </c>
      <c r="C499">
        <v>0.25861000000000001</v>
      </c>
      <c r="D499">
        <v>0.23832</v>
      </c>
      <c r="E499">
        <v>0.24223</v>
      </c>
      <c r="F499">
        <v>8779622.3000000007</v>
      </c>
      <c r="G499">
        <v>0</v>
      </c>
      <c r="L499" t="s">
        <v>7</v>
      </c>
      <c r="M499" t="s">
        <v>7</v>
      </c>
      <c r="N499" t="s">
        <v>8</v>
      </c>
      <c r="P499">
        <f t="shared" si="979"/>
        <v>-0.61458846722523441</v>
      </c>
      <c r="Q499">
        <f t="shared" si="980"/>
        <v>-5395854.6121734874</v>
      </c>
      <c r="R499">
        <f t="shared" si="981"/>
        <v>-108566946.94103961</v>
      </c>
      <c r="S499">
        <f t="shared" si="982"/>
        <v>-1085.669469410396</v>
      </c>
      <c r="T499">
        <f t="shared" si="983"/>
        <v>-1.0856694694103961</v>
      </c>
    </row>
    <row r="500" spans="1:20" x14ac:dyDescent="0.25">
      <c r="A500" s="5">
        <v>44093</v>
      </c>
      <c r="B500">
        <v>0.26182</v>
      </c>
      <c r="C500">
        <v>0.27200000000000002</v>
      </c>
      <c r="D500">
        <v>0.24346999999999999</v>
      </c>
      <c r="E500">
        <v>0.25433</v>
      </c>
      <c r="F500">
        <v>10100473.199999999</v>
      </c>
      <c r="G500">
        <v>0</v>
      </c>
      <c r="L500" t="s">
        <v>7</v>
      </c>
      <c r="M500" t="s">
        <v>8</v>
      </c>
      <c r="N500" t="s">
        <v>8</v>
      </c>
      <c r="P500">
        <f t="shared" si="979"/>
        <v>-0.23869610935857005</v>
      </c>
      <c r="Q500">
        <f t="shared" si="980"/>
        <v>-2410943.6555205057</v>
      </c>
      <c r="R500">
        <f t="shared" si="981"/>
        <v>-103171092.32886612</v>
      </c>
      <c r="S500">
        <f t="shared" si="982"/>
        <v>-1031.7109232886612</v>
      </c>
      <c r="T500">
        <f t="shared" si="983"/>
        <v>-1.0317109232886612</v>
      </c>
    </row>
    <row r="501" spans="1:20" x14ac:dyDescent="0.25">
      <c r="A501" s="5">
        <v>44092</v>
      </c>
      <c r="B501">
        <v>0.26297999999999999</v>
      </c>
      <c r="C501">
        <v>0.28697</v>
      </c>
      <c r="D501">
        <v>0.25020999999999999</v>
      </c>
      <c r="E501">
        <v>0.26193</v>
      </c>
      <c r="F501">
        <v>24722162.399999999</v>
      </c>
      <c r="G501">
        <v>0</v>
      </c>
      <c r="L501" t="s">
        <v>8</v>
      </c>
      <c r="M501" t="s">
        <v>8</v>
      </c>
      <c r="N501" t="s">
        <v>8</v>
      </c>
      <c r="P501">
        <f t="shared" si="979"/>
        <v>-0.36235038084874843</v>
      </c>
      <c r="Q501">
        <f t="shared" si="980"/>
        <v>-8958084.9610446077</v>
      </c>
      <c r="R501">
        <f t="shared" si="981"/>
        <v>-100760148.67334563</v>
      </c>
      <c r="S501">
        <f t="shared" si="982"/>
        <v>-1007.6014867334562</v>
      </c>
      <c r="T501">
        <f t="shared" si="983"/>
        <v>-1.0076014867334562</v>
      </c>
    </row>
    <row r="502" spans="1:20" x14ac:dyDescent="0.25">
      <c r="A502" s="5">
        <v>44091</v>
      </c>
      <c r="B502">
        <v>0.24636</v>
      </c>
      <c r="C502">
        <v>0.28899999999999998</v>
      </c>
      <c r="D502">
        <v>0.22</v>
      </c>
      <c r="E502">
        <v>0.26299</v>
      </c>
      <c r="F502">
        <v>36226860.700000003</v>
      </c>
      <c r="G502">
        <v>0</v>
      </c>
      <c r="L502" t="s">
        <v>7</v>
      </c>
      <c r="M502" t="s">
        <v>7</v>
      </c>
      <c r="N502" t="s">
        <v>8</v>
      </c>
      <c r="P502">
        <f t="shared" si="979"/>
        <v>0.24608695652173954</v>
      </c>
      <c r="Q502">
        <f t="shared" si="980"/>
        <v>8914957.8940000162</v>
      </c>
      <c r="R502">
        <f t="shared" si="981"/>
        <v>-91802063.712301016</v>
      </c>
      <c r="S502">
        <f t="shared" si="982"/>
        <v>-918.02063712301015</v>
      </c>
      <c r="T502">
        <f t="shared" si="983"/>
        <v>-0.91802063712301019</v>
      </c>
    </row>
    <row r="503" spans="1:20" x14ac:dyDescent="0.25">
      <c r="A503" s="5">
        <v>44090</v>
      </c>
      <c r="B503">
        <v>0.25459999999999999</v>
      </c>
      <c r="C503">
        <v>0.25790000000000002</v>
      </c>
      <c r="D503">
        <v>0.22711000000000001</v>
      </c>
      <c r="E503">
        <v>0.24621999999999999</v>
      </c>
      <c r="F503">
        <v>21937297.100000001</v>
      </c>
      <c r="G503">
        <v>0</v>
      </c>
      <c r="L503" t="s">
        <v>7</v>
      </c>
      <c r="M503" t="s">
        <v>7</v>
      </c>
      <c r="N503" t="s">
        <v>8</v>
      </c>
      <c r="P503">
        <f t="shared" si="979"/>
        <v>0.24131211432283084</v>
      </c>
      <c r="Q503">
        <f t="shared" si="980"/>
        <v>5293735.5457291054</v>
      </c>
      <c r="R503">
        <f t="shared" si="981"/>
        <v>-100717021.60630104</v>
      </c>
      <c r="S503">
        <f t="shared" si="982"/>
        <v>-1007.1702160630103</v>
      </c>
      <c r="T503">
        <f t="shared" si="983"/>
        <v>-1.0071702160630103</v>
      </c>
    </row>
    <row r="504" spans="1:20" x14ac:dyDescent="0.25">
      <c r="A504" s="5">
        <v>44089</v>
      </c>
      <c r="B504">
        <v>0.25890000000000002</v>
      </c>
      <c r="C504">
        <v>0.29714000000000002</v>
      </c>
      <c r="D504">
        <v>0.24879000000000001</v>
      </c>
      <c r="E504">
        <v>0.25459999999999999</v>
      </c>
      <c r="F504">
        <v>42565969.700000003</v>
      </c>
      <c r="G504">
        <v>0</v>
      </c>
      <c r="L504" t="s">
        <v>8</v>
      </c>
      <c r="M504" t="s">
        <v>8</v>
      </c>
      <c r="N504" t="s">
        <v>8</v>
      </c>
      <c r="P504">
        <f t="shared" si="979"/>
        <v>-0.75966907962771535</v>
      </c>
      <c r="Q504">
        <f t="shared" si="980"/>
        <v>-32336051.025460221</v>
      </c>
      <c r="R504">
        <f t="shared" si="981"/>
        <v>-106010757.15203014</v>
      </c>
      <c r="S504">
        <f t="shared" si="982"/>
        <v>-1060.1075715203015</v>
      </c>
      <c r="T504">
        <f t="shared" si="983"/>
        <v>-1.0601075715203014</v>
      </c>
    </row>
    <row r="505" spans="1:20" x14ac:dyDescent="0.25">
      <c r="A505" s="5">
        <v>44088</v>
      </c>
      <c r="B505">
        <v>0.25369999999999998</v>
      </c>
      <c r="C505">
        <v>0.28778999999999999</v>
      </c>
      <c r="D505">
        <v>0.24998999999999999</v>
      </c>
      <c r="E505">
        <v>0.25889000000000001</v>
      </c>
      <c r="F505">
        <v>32564653.300000001</v>
      </c>
      <c r="G505">
        <v>0</v>
      </c>
      <c r="L505" t="s">
        <v>8</v>
      </c>
      <c r="M505" t="s">
        <v>8</v>
      </c>
      <c r="N505" t="s">
        <v>8</v>
      </c>
      <c r="P505">
        <f t="shared" si="979"/>
        <v>-0.52910052910052807</v>
      </c>
      <c r="Q505">
        <f t="shared" si="980"/>
        <v>-17229975.291005258</v>
      </c>
      <c r="R505">
        <f t="shared" si="981"/>
        <v>-73674706.126569927</v>
      </c>
      <c r="S505">
        <f t="shared" si="982"/>
        <v>-736.74706126569924</v>
      </c>
      <c r="T505">
        <f t="shared" si="983"/>
        <v>-0.73674706126569922</v>
      </c>
    </row>
    <row r="506" spans="1:20" x14ac:dyDescent="0.25">
      <c r="A506" s="5">
        <v>44087</v>
      </c>
      <c r="B506">
        <v>0.25713000000000003</v>
      </c>
      <c r="C506">
        <v>0.26988000000000001</v>
      </c>
      <c r="D506">
        <v>0.23759</v>
      </c>
      <c r="E506">
        <v>0.25456000000000001</v>
      </c>
      <c r="F506">
        <v>11747748.699999999</v>
      </c>
      <c r="G506">
        <v>0</v>
      </c>
      <c r="L506" t="s">
        <v>7</v>
      </c>
      <c r="M506" t="s">
        <v>8</v>
      </c>
      <c r="N506" t="s">
        <v>8</v>
      </c>
      <c r="P506">
        <f t="shared" si="979"/>
        <v>5.1099411582533658E-2</v>
      </c>
      <c r="Q506">
        <f t="shared" si="980"/>
        <v>600303.04598947463</v>
      </c>
      <c r="R506">
        <f t="shared" si="981"/>
        <v>-56444730.835564665</v>
      </c>
      <c r="S506">
        <f t="shared" si="982"/>
        <v>-564.44730835564667</v>
      </c>
      <c r="T506">
        <f t="shared" si="983"/>
        <v>-0.56444730835564672</v>
      </c>
    </row>
    <row r="507" spans="1:20" x14ac:dyDescent="0.25">
      <c r="A507" s="5">
        <v>44086</v>
      </c>
      <c r="B507">
        <v>0.24987999999999999</v>
      </c>
      <c r="C507">
        <v>0.27353</v>
      </c>
      <c r="D507">
        <v>0.24843999999999999</v>
      </c>
      <c r="E507">
        <v>0.25679000000000002</v>
      </c>
      <c r="F507">
        <v>15718456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-0.33439617377441022</v>
      </c>
      <c r="Q507">
        <f t="shared" si="980"/>
        <v>-5256191.5440414213</v>
      </c>
      <c r="R507">
        <f t="shared" si="981"/>
        <v>-57045033.881554142</v>
      </c>
      <c r="S507">
        <f t="shared" si="982"/>
        <v>-570.45033881554139</v>
      </c>
      <c r="T507">
        <f t="shared" si="983"/>
        <v>-0.57045033881554141</v>
      </c>
    </row>
    <row r="508" spans="1:20" x14ac:dyDescent="0.25">
      <c r="A508" s="5">
        <v>44085</v>
      </c>
      <c r="B508">
        <v>0.25368000000000002</v>
      </c>
      <c r="C508">
        <v>0.27345999999999998</v>
      </c>
      <c r="D508">
        <v>0.22570999999999999</v>
      </c>
      <c r="E508">
        <v>0.25047999999999998</v>
      </c>
      <c r="F508">
        <v>29575995.399999999</v>
      </c>
      <c r="G508">
        <v>0</v>
      </c>
      <c r="L508" t="s">
        <v>7</v>
      </c>
      <c r="M508" t="s">
        <v>7</v>
      </c>
      <c r="N508" t="s">
        <v>8</v>
      </c>
      <c r="P508">
        <f t="shared" si="979"/>
        <v>3.7486910994764117E-2</v>
      </c>
      <c r="Q508">
        <f t="shared" si="980"/>
        <v>1108712.7071413528</v>
      </c>
      <c r="R508">
        <f t="shared" si="981"/>
        <v>-51788842.337512717</v>
      </c>
      <c r="S508">
        <f t="shared" si="982"/>
        <v>-517.88842337512722</v>
      </c>
      <c r="T508">
        <f t="shared" si="983"/>
        <v>-0.51788842337512719</v>
      </c>
    </row>
    <row r="509" spans="1:20" x14ac:dyDescent="0.25">
      <c r="A509" s="5">
        <v>44084</v>
      </c>
      <c r="B509">
        <v>0.20668</v>
      </c>
      <c r="C509">
        <v>0.30829000000000001</v>
      </c>
      <c r="D509">
        <v>0.20648</v>
      </c>
      <c r="E509">
        <v>0.25369000000000003</v>
      </c>
      <c r="F509">
        <v>63312034.299999997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-7.2586189961692874E-2</v>
      </c>
      <c r="Q509">
        <f t="shared" si="980"/>
        <v>-4595579.348561015</v>
      </c>
      <c r="R509">
        <f t="shared" si="981"/>
        <v>-52897555.044654071</v>
      </c>
      <c r="S509">
        <f t="shared" si="982"/>
        <v>-528.97555044654075</v>
      </c>
      <c r="T509">
        <f t="shared" si="983"/>
        <v>-0.52897555044654077</v>
      </c>
    </row>
    <row r="510" spans="1:20" x14ac:dyDescent="0.25">
      <c r="A510" s="5">
        <v>44083</v>
      </c>
      <c r="B510">
        <v>0.17460999999999999</v>
      </c>
      <c r="C510">
        <v>0.22345999999999999</v>
      </c>
      <c r="D510">
        <v>0.16941999999999999</v>
      </c>
      <c r="E510">
        <v>0.20668</v>
      </c>
      <c r="F510">
        <v>13009570.1</v>
      </c>
      <c r="G510">
        <v>0</v>
      </c>
      <c r="L510" t="s">
        <v>8</v>
      </c>
      <c r="M510" t="s">
        <v>8</v>
      </c>
      <c r="N510" t="s">
        <v>8</v>
      </c>
      <c r="P510">
        <f t="shared" si="979"/>
        <v>0.37897853441894935</v>
      </c>
      <c r="Q510">
        <f t="shared" si="980"/>
        <v>4930347.8099185843</v>
      </c>
      <c r="R510">
        <f t="shared" si="981"/>
        <v>-48301975.696093053</v>
      </c>
      <c r="S510">
        <f t="shared" si="982"/>
        <v>-483.01975696093052</v>
      </c>
      <c r="T510">
        <f t="shared" si="983"/>
        <v>-0.48301975696093052</v>
      </c>
    </row>
    <row r="511" spans="1:20" x14ac:dyDescent="0.25">
      <c r="A511" s="5">
        <v>44082</v>
      </c>
      <c r="B511">
        <v>0.17824999999999999</v>
      </c>
      <c r="C511">
        <v>0.18447</v>
      </c>
      <c r="D511">
        <v>0.16800000000000001</v>
      </c>
      <c r="E511">
        <v>0.17494999999999999</v>
      </c>
      <c r="F511">
        <v>5964356.2000000002</v>
      </c>
      <c r="G511">
        <v>0</v>
      </c>
      <c r="L511" t="s">
        <v>7</v>
      </c>
      <c r="M511" t="s">
        <v>8</v>
      </c>
      <c r="N511" t="s">
        <v>7</v>
      </c>
      <c r="P511">
        <f t="shared" si="979"/>
        <v>-0.15604128718882934</v>
      </c>
      <c r="Q511">
        <f t="shared" si="980"/>
        <v>-930685.81870067492</v>
      </c>
      <c r="R511">
        <f t="shared" si="981"/>
        <v>-53232323.506011635</v>
      </c>
      <c r="S511">
        <f t="shared" si="982"/>
        <v>-532.3232350601163</v>
      </c>
      <c r="T511">
        <f t="shared" si="983"/>
        <v>-0.53232323506011625</v>
      </c>
    </row>
    <row r="512" spans="1:20" x14ac:dyDescent="0.25">
      <c r="A512" s="5">
        <v>44081</v>
      </c>
      <c r="B512">
        <v>0.18310000000000001</v>
      </c>
      <c r="C512">
        <v>0.18598000000000001</v>
      </c>
      <c r="D512">
        <v>0.16339999999999999</v>
      </c>
      <c r="E512">
        <v>0.17774999999999999</v>
      </c>
      <c r="F512">
        <v>7555154.0999999996</v>
      </c>
      <c r="G512">
        <v>0</v>
      </c>
      <c r="L512" t="s">
        <v>8</v>
      </c>
      <c r="M512" t="s">
        <v>8</v>
      </c>
      <c r="N512" t="s">
        <v>7</v>
      </c>
      <c r="P512">
        <f t="shared" si="979"/>
        <v>0.27103631532329414</v>
      </c>
      <c r="Q512">
        <f t="shared" si="980"/>
        <v>2047721.1289636784</v>
      </c>
      <c r="R512">
        <f t="shared" si="981"/>
        <v>-52301637.687310964</v>
      </c>
      <c r="S512">
        <f t="shared" si="982"/>
        <v>-523.01637687310961</v>
      </c>
      <c r="T512">
        <f t="shared" si="983"/>
        <v>-0.52301637687310965</v>
      </c>
    </row>
    <row r="513" spans="1:20" x14ac:dyDescent="0.25">
      <c r="A513" s="5">
        <v>44080</v>
      </c>
      <c r="B513">
        <v>0.17104</v>
      </c>
      <c r="C513">
        <v>0.18797</v>
      </c>
      <c r="D513">
        <v>0.15304000000000001</v>
      </c>
      <c r="E513">
        <v>0.18309</v>
      </c>
      <c r="F513">
        <v>12857900.4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0.72058402519324383</v>
      </c>
      <c r="Q513">
        <f t="shared" si="980"/>
        <v>9265197.625765821</v>
      </c>
      <c r="R513">
        <f t="shared" si="981"/>
        <v>-54349358.816274643</v>
      </c>
      <c r="S513">
        <f t="shared" si="982"/>
        <v>-543.49358816274639</v>
      </c>
      <c r="T513">
        <f t="shared" si="983"/>
        <v>-0.5434935881627464</v>
      </c>
    </row>
    <row r="514" spans="1:20" x14ac:dyDescent="0.25">
      <c r="A514" s="5">
        <v>44079</v>
      </c>
      <c r="B514">
        <v>0.20654</v>
      </c>
      <c r="C514">
        <v>0.22048000000000001</v>
      </c>
      <c r="D514">
        <v>0.16</v>
      </c>
      <c r="E514">
        <v>0.17121</v>
      </c>
      <c r="F514">
        <v>15249359.699999999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-0.62929894179894186</v>
      </c>
      <c r="Q514">
        <f t="shared" si="980"/>
        <v>-9596405.9223214295</v>
      </c>
      <c r="R514">
        <f t="shared" si="981"/>
        <v>-63614556.442040466</v>
      </c>
      <c r="S514">
        <f t="shared" si="982"/>
        <v>-636.14556442040464</v>
      </c>
      <c r="T514">
        <f t="shared" si="983"/>
        <v>-0.6361455644204046</v>
      </c>
    </row>
    <row r="515" spans="1:20" x14ac:dyDescent="0.25">
      <c r="A515" s="5">
        <v>44078</v>
      </c>
      <c r="B515">
        <v>0.20973</v>
      </c>
      <c r="C515">
        <v>0.23330000000000001</v>
      </c>
      <c r="D515">
        <v>0.18989</v>
      </c>
      <c r="E515">
        <v>0.20630999999999999</v>
      </c>
      <c r="F515">
        <v>18877799.899999999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-0.24349228288412861</v>
      </c>
      <c r="Q515">
        <f t="shared" si="980"/>
        <v>-4596598.5934807742</v>
      </c>
      <c r="R515">
        <f t="shared" si="981"/>
        <v>-54018150.519719034</v>
      </c>
      <c r="S515">
        <f t="shared" si="982"/>
        <v>-540.18150519719029</v>
      </c>
      <c r="T515">
        <f t="shared" si="983"/>
        <v>-0.54018150519719033</v>
      </c>
    </row>
    <row r="516" spans="1:20" x14ac:dyDescent="0.25">
      <c r="A516" s="5">
        <v>44077</v>
      </c>
      <c r="B516">
        <v>0.22170999999999999</v>
      </c>
      <c r="C516">
        <v>0.26589000000000002</v>
      </c>
      <c r="D516">
        <v>0.20741000000000001</v>
      </c>
      <c r="E516">
        <v>0.21052000000000001</v>
      </c>
      <c r="F516">
        <v>46757604.899999999</v>
      </c>
      <c r="G516">
        <v>0</v>
      </c>
      <c r="L516" t="s">
        <v>8</v>
      </c>
      <c r="M516" t="s">
        <v>8</v>
      </c>
      <c r="N516" t="s">
        <v>8</v>
      </c>
      <c r="P516">
        <f t="shared" si="979"/>
        <v>-0.89363885088919282</v>
      </c>
      <c r="Q516">
        <f t="shared" si="980"/>
        <v>-41784412.313166887</v>
      </c>
      <c r="R516">
        <f t="shared" si="981"/>
        <v>-49421551.926238261</v>
      </c>
      <c r="S516">
        <f t="shared" si="982"/>
        <v>-494.2155192623826</v>
      </c>
      <c r="T516">
        <f t="shared" si="983"/>
        <v>-0.49421551926238261</v>
      </c>
    </row>
    <row r="517" spans="1:20" x14ac:dyDescent="0.25">
      <c r="A517" s="5">
        <v>44076</v>
      </c>
      <c r="B517">
        <v>0.22531999999999999</v>
      </c>
      <c r="C517">
        <v>0.23982000000000001</v>
      </c>
      <c r="D517">
        <v>0.19467999999999999</v>
      </c>
      <c r="E517">
        <v>0.222</v>
      </c>
      <c r="F517">
        <v>16112080.4</v>
      </c>
      <c r="G517">
        <v>0</v>
      </c>
      <c r="L517" t="s">
        <v>8</v>
      </c>
      <c r="M517" t="s">
        <v>7</v>
      </c>
      <c r="N517" t="s">
        <v>8</v>
      </c>
      <c r="P517">
        <f t="shared" si="979"/>
        <v>0.21045635799734172</v>
      </c>
      <c r="Q517">
        <f t="shared" si="980"/>
        <v>3390889.7607443528</v>
      </c>
      <c r="R517">
        <f t="shared" si="981"/>
        <v>-7637139.6130713774</v>
      </c>
      <c r="S517">
        <f t="shared" si="982"/>
        <v>-76.371396130713777</v>
      </c>
      <c r="T517">
        <f t="shared" si="983"/>
        <v>-7.6371396130713781E-2</v>
      </c>
    </row>
    <row r="518" spans="1:20" x14ac:dyDescent="0.25">
      <c r="A518" s="5">
        <v>44075</v>
      </c>
      <c r="B518">
        <v>0.21671000000000001</v>
      </c>
      <c r="C518">
        <v>0.23089999999999999</v>
      </c>
      <c r="D518">
        <v>0.21062</v>
      </c>
      <c r="E518">
        <v>0.22553999999999999</v>
      </c>
      <c r="F518">
        <v>11992623.4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0.47140039447731702</v>
      </c>
      <c r="Q518">
        <f t="shared" ref="Q518:Q581" si="985">F518*P518</f>
        <v>5653327.401577903</v>
      </c>
      <c r="R518">
        <f t="shared" ref="R518:R581" si="986">R519+Q518</f>
        <v>-11028029.37381573</v>
      </c>
      <c r="S518">
        <f t="shared" ref="S518:S581" si="987">R518/100000</f>
        <v>-110.2802937381573</v>
      </c>
      <c r="T518">
        <f t="shared" ref="T518:T581" si="988">S518/1000</f>
        <v>-0.1102802937381573</v>
      </c>
    </row>
    <row r="519" spans="1:20" x14ac:dyDescent="0.25">
      <c r="A519" s="5">
        <v>44074</v>
      </c>
      <c r="B519">
        <v>0.23624999999999999</v>
      </c>
      <c r="C519">
        <v>0.24382999999999999</v>
      </c>
      <c r="D519">
        <v>0.21127000000000001</v>
      </c>
      <c r="E519">
        <v>0.21671000000000001</v>
      </c>
      <c r="F519">
        <v>13106489.800000001</v>
      </c>
      <c r="G519">
        <v>0</v>
      </c>
      <c r="L519" t="s">
        <v>7</v>
      </c>
      <c r="M519" t="s">
        <v>8</v>
      </c>
      <c r="N519" t="s">
        <v>8</v>
      </c>
      <c r="P519">
        <f t="shared" si="984"/>
        <v>-0.66584766584766564</v>
      </c>
      <c r="Q519">
        <f t="shared" si="985"/>
        <v>-8726925.640786238</v>
      </c>
      <c r="R519">
        <f t="shared" si="986"/>
        <v>-16681356.775393633</v>
      </c>
      <c r="S519">
        <f t="shared" si="987"/>
        <v>-166.81356775393633</v>
      </c>
      <c r="T519">
        <f t="shared" si="988"/>
        <v>-0.16681356775393633</v>
      </c>
    </row>
    <row r="520" spans="1:20" x14ac:dyDescent="0.25">
      <c r="A520" s="5">
        <v>44073</v>
      </c>
      <c r="B520">
        <v>0.20469000000000001</v>
      </c>
      <c r="C520">
        <v>0.24997</v>
      </c>
      <c r="D520">
        <v>0.20438999999999999</v>
      </c>
      <c r="E520">
        <v>0.23624999999999999</v>
      </c>
      <c r="F520">
        <v>17339777.399999999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0.39798157086441388</v>
      </c>
      <c r="Q520">
        <f t="shared" si="985"/>
        <v>6900911.8480912615</v>
      </c>
      <c r="R520">
        <f t="shared" si="986"/>
        <v>-7954431.1346073952</v>
      </c>
      <c r="S520">
        <f t="shared" si="987"/>
        <v>-79.544311346073954</v>
      </c>
      <c r="T520">
        <f t="shared" si="988"/>
        <v>-7.9544311346073954E-2</v>
      </c>
    </row>
    <row r="521" spans="1:20" x14ac:dyDescent="0.25">
      <c r="A521" s="5">
        <v>44072</v>
      </c>
      <c r="B521">
        <v>0.19402</v>
      </c>
      <c r="C521">
        <v>0.21579000000000001</v>
      </c>
      <c r="D521">
        <v>0.18962000000000001</v>
      </c>
      <c r="E521">
        <v>0.20527999999999999</v>
      </c>
      <c r="F521">
        <v>11699297.4</v>
      </c>
      <c r="G521">
        <v>0</v>
      </c>
      <c r="L521" t="s">
        <v>8</v>
      </c>
      <c r="M521" t="s">
        <v>8</v>
      </c>
      <c r="N521" t="s">
        <v>7</v>
      </c>
      <c r="P521">
        <f t="shared" si="984"/>
        <v>0.19679021780664732</v>
      </c>
      <c r="Q521">
        <f t="shared" si="985"/>
        <v>2302307.2835307429</v>
      </c>
      <c r="R521">
        <f t="shared" si="986"/>
        <v>-14855342.982698657</v>
      </c>
      <c r="S521">
        <f t="shared" si="987"/>
        <v>-148.55342982698656</v>
      </c>
      <c r="T521">
        <f t="shared" si="988"/>
        <v>-0.14855342982698655</v>
      </c>
    </row>
    <row r="522" spans="1:20" x14ac:dyDescent="0.25">
      <c r="A522" s="5">
        <v>44071</v>
      </c>
      <c r="B522">
        <v>0.18715000000000001</v>
      </c>
      <c r="C522">
        <v>0.20025000000000001</v>
      </c>
      <c r="D522">
        <v>0.1827</v>
      </c>
      <c r="E522">
        <v>0.19305</v>
      </c>
      <c r="F522">
        <v>4652079.9000000004</v>
      </c>
      <c r="G522">
        <v>0</v>
      </c>
      <c r="L522" t="s">
        <v>8</v>
      </c>
      <c r="M522" t="s">
        <v>8</v>
      </c>
      <c r="N522" t="s">
        <v>7</v>
      </c>
      <c r="P522">
        <f t="shared" si="984"/>
        <v>0.1794871794871786</v>
      </c>
      <c r="Q522">
        <f t="shared" si="985"/>
        <v>834988.699999996</v>
      </c>
      <c r="R522">
        <f t="shared" si="986"/>
        <v>-17157650.266229399</v>
      </c>
      <c r="S522">
        <f t="shared" si="987"/>
        <v>-171.57650266229399</v>
      </c>
      <c r="T522">
        <f t="shared" si="988"/>
        <v>-0.17157650266229399</v>
      </c>
    </row>
    <row r="523" spans="1:20" x14ac:dyDescent="0.25">
      <c r="A523" s="5">
        <v>44070</v>
      </c>
      <c r="B523">
        <v>0.19466</v>
      </c>
      <c r="C523">
        <v>0.19869999999999999</v>
      </c>
      <c r="D523">
        <v>0.17699999999999999</v>
      </c>
      <c r="E523">
        <v>0.18711</v>
      </c>
      <c r="F523">
        <v>6802417.0999999996</v>
      </c>
      <c r="G523">
        <v>0</v>
      </c>
      <c r="L523" t="s">
        <v>7</v>
      </c>
      <c r="M523" t="s">
        <v>8</v>
      </c>
      <c r="N523" t="s">
        <v>7</v>
      </c>
      <c r="P523">
        <f t="shared" si="984"/>
        <v>-6.820276497695768E-2</v>
      </c>
      <c r="Q523">
        <f t="shared" si="985"/>
        <v>-463943.65474653803</v>
      </c>
      <c r="R523">
        <f t="shared" si="986"/>
        <v>-17992638.966229394</v>
      </c>
      <c r="S523">
        <f t="shared" si="987"/>
        <v>-179.92638966229393</v>
      </c>
      <c r="T523">
        <f t="shared" si="988"/>
        <v>-0.17992638966229393</v>
      </c>
    </row>
    <row r="524" spans="1:20" x14ac:dyDescent="0.25">
      <c r="A524" s="5">
        <v>44069</v>
      </c>
      <c r="B524">
        <v>0.19803000000000001</v>
      </c>
      <c r="C524">
        <v>0.2</v>
      </c>
      <c r="D524">
        <v>0.1867</v>
      </c>
      <c r="E524">
        <v>0.19433</v>
      </c>
      <c r="F524">
        <v>8243132.7999999998</v>
      </c>
      <c r="G524">
        <v>0</v>
      </c>
      <c r="L524" t="s">
        <v>8</v>
      </c>
      <c r="M524" t="s">
        <v>8</v>
      </c>
      <c r="N524" t="s">
        <v>7</v>
      </c>
      <c r="P524">
        <f t="shared" si="984"/>
        <v>0.14736842105263073</v>
      </c>
      <c r="Q524">
        <f t="shared" si="985"/>
        <v>1214777.4652631509</v>
      </c>
      <c r="R524">
        <f t="shared" si="986"/>
        <v>-17528695.311482854</v>
      </c>
      <c r="S524">
        <f t="shared" si="987"/>
        <v>-175.28695311482855</v>
      </c>
      <c r="T524">
        <f t="shared" si="988"/>
        <v>-0.17528695311482856</v>
      </c>
    </row>
    <row r="525" spans="1:20" x14ac:dyDescent="0.25">
      <c r="A525" s="5">
        <v>44068</v>
      </c>
      <c r="B525">
        <v>0.18962000000000001</v>
      </c>
      <c r="C525">
        <v>0.20349999999999999</v>
      </c>
      <c r="D525">
        <v>0.17477999999999999</v>
      </c>
      <c r="E525">
        <v>0.19802</v>
      </c>
      <c r="F525">
        <v>13102204</v>
      </c>
      <c r="G525">
        <v>0</v>
      </c>
      <c r="L525" t="s">
        <v>7</v>
      </c>
      <c r="M525" t="s">
        <v>8</v>
      </c>
      <c r="N525" t="s">
        <v>7</v>
      </c>
      <c r="P525">
        <f t="shared" si="984"/>
        <v>0.61838440111420712</v>
      </c>
      <c r="Q525">
        <f t="shared" si="985"/>
        <v>8102198.5738161691</v>
      </c>
      <c r="R525">
        <f t="shared" si="986"/>
        <v>-18743472.776746005</v>
      </c>
      <c r="S525">
        <f t="shared" si="987"/>
        <v>-187.43472776746006</v>
      </c>
      <c r="T525">
        <f t="shared" si="988"/>
        <v>-0.18743472776746006</v>
      </c>
    </row>
    <row r="526" spans="1:20" x14ac:dyDescent="0.25">
      <c r="A526" s="5">
        <v>44067</v>
      </c>
      <c r="B526">
        <v>0.19127</v>
      </c>
      <c r="C526">
        <v>0.19350000000000001</v>
      </c>
      <c r="D526">
        <v>0.18493999999999999</v>
      </c>
      <c r="E526">
        <v>0.18962000000000001</v>
      </c>
      <c r="F526">
        <v>6526326.2999999998</v>
      </c>
      <c r="G526">
        <v>0</v>
      </c>
      <c r="L526" t="s">
        <v>7</v>
      </c>
      <c r="M526" t="s">
        <v>8</v>
      </c>
      <c r="N526" t="s">
        <v>7</v>
      </c>
      <c r="P526">
        <f t="shared" si="984"/>
        <v>9.3457943925236195E-2</v>
      </c>
      <c r="Q526">
        <f t="shared" si="985"/>
        <v>609937.0373831942</v>
      </c>
      <c r="R526">
        <f t="shared" si="986"/>
        <v>-26845671.350562174</v>
      </c>
      <c r="S526">
        <f t="shared" si="987"/>
        <v>-268.45671350562174</v>
      </c>
      <c r="T526">
        <f t="shared" si="988"/>
        <v>-0.26845671350562172</v>
      </c>
    </row>
    <row r="527" spans="1:20" x14ac:dyDescent="0.25">
      <c r="A527" s="5">
        <v>44066</v>
      </c>
      <c r="B527">
        <v>0.19669</v>
      </c>
      <c r="C527">
        <v>0.2092</v>
      </c>
      <c r="D527">
        <v>0.18706999999999999</v>
      </c>
      <c r="E527">
        <v>0.19127</v>
      </c>
      <c r="F527">
        <v>6803359</v>
      </c>
      <c r="G527">
        <v>0</v>
      </c>
      <c r="L527" t="s">
        <v>8</v>
      </c>
      <c r="M527" t="s">
        <v>8</v>
      </c>
      <c r="N527" t="s">
        <v>7</v>
      </c>
      <c r="P527">
        <f t="shared" si="984"/>
        <v>-0.62042476276547609</v>
      </c>
      <c r="Q527">
        <f t="shared" si="985"/>
        <v>-4220972.3935833666</v>
      </c>
      <c r="R527">
        <f t="shared" si="986"/>
        <v>-27455608.387945369</v>
      </c>
      <c r="S527">
        <f t="shared" si="987"/>
        <v>-274.55608387945369</v>
      </c>
      <c r="T527">
        <f t="shared" si="988"/>
        <v>-0.27455608387945368</v>
      </c>
    </row>
    <row r="528" spans="1:20" x14ac:dyDescent="0.25">
      <c r="A528" s="5">
        <v>44065</v>
      </c>
      <c r="B528">
        <v>0.1716</v>
      </c>
      <c r="C528">
        <v>0.19772999999999999</v>
      </c>
      <c r="D528">
        <v>0.16064000000000001</v>
      </c>
      <c r="E528">
        <v>0.19627</v>
      </c>
      <c r="F528">
        <v>9998576.0999999996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0.92127258021029979</v>
      </c>
      <c r="Q528">
        <f t="shared" si="985"/>
        <v>9211414.0020760354</v>
      </c>
      <c r="R528">
        <f t="shared" si="986"/>
        <v>-23234635.994362004</v>
      </c>
      <c r="S528">
        <f t="shared" si="987"/>
        <v>-232.34635994362003</v>
      </c>
      <c r="T528">
        <f t="shared" si="988"/>
        <v>-0.23234635994362002</v>
      </c>
    </row>
    <row r="529" spans="1:20" x14ac:dyDescent="0.25">
      <c r="A529" s="5">
        <v>44064</v>
      </c>
      <c r="B529">
        <v>0.19291</v>
      </c>
      <c r="C529">
        <v>0.22988</v>
      </c>
      <c r="D529">
        <v>0.17027999999999999</v>
      </c>
      <c r="E529">
        <v>0.1716</v>
      </c>
      <c r="F529">
        <v>28807493.399999999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-0.95570469798657665</v>
      </c>
      <c r="Q529">
        <f t="shared" si="985"/>
        <v>-27531456.779597297</v>
      </c>
      <c r="R529">
        <f t="shared" si="986"/>
        <v>-32446049.996438038</v>
      </c>
      <c r="S529">
        <f t="shared" si="987"/>
        <v>-324.4604999643804</v>
      </c>
      <c r="T529">
        <f t="shared" si="988"/>
        <v>-0.32446049996438042</v>
      </c>
    </row>
    <row r="530" spans="1:20" x14ac:dyDescent="0.25">
      <c r="A530" s="5">
        <v>44063</v>
      </c>
      <c r="B530">
        <v>0.1603</v>
      </c>
      <c r="C530">
        <v>0.19585</v>
      </c>
      <c r="D530">
        <v>0.15937999999999999</v>
      </c>
      <c r="E530">
        <v>0.19298000000000001</v>
      </c>
      <c r="F530">
        <v>9556774.0999999996</v>
      </c>
      <c r="G530">
        <v>0</v>
      </c>
      <c r="L530" t="s">
        <v>8</v>
      </c>
      <c r="M530" t="s">
        <v>8</v>
      </c>
      <c r="N530" t="s">
        <v>7</v>
      </c>
      <c r="P530">
        <f t="shared" si="984"/>
        <v>0.8426103646833023</v>
      </c>
      <c r="Q530">
        <f t="shared" si="985"/>
        <v>8052636.9095969377</v>
      </c>
      <c r="R530">
        <f t="shared" si="986"/>
        <v>-4914593.2168407412</v>
      </c>
      <c r="S530">
        <f t="shared" si="987"/>
        <v>-49.145932168407413</v>
      </c>
      <c r="T530">
        <f t="shared" si="988"/>
        <v>-4.9145932168407409E-2</v>
      </c>
    </row>
    <row r="531" spans="1:20" x14ac:dyDescent="0.25">
      <c r="A531" s="5">
        <v>44062</v>
      </c>
      <c r="B531">
        <v>0.17454</v>
      </c>
      <c r="C531">
        <v>0.17888000000000001</v>
      </c>
      <c r="D531">
        <v>0.158</v>
      </c>
      <c r="E531">
        <v>0.16028999999999999</v>
      </c>
      <c r="F531">
        <v>6566314.0999999996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-0.78065134099616995</v>
      </c>
      <c r="Q531">
        <f t="shared" si="985"/>
        <v>-5126001.9075670587</v>
      </c>
      <c r="R531">
        <f t="shared" si="986"/>
        <v>-12967230.126437679</v>
      </c>
      <c r="S531">
        <f t="shared" si="987"/>
        <v>-129.67230126437678</v>
      </c>
      <c r="T531">
        <f t="shared" si="988"/>
        <v>-0.12967230126437679</v>
      </c>
    </row>
    <row r="532" spans="1:20" x14ac:dyDescent="0.25">
      <c r="A532" s="5">
        <v>44061</v>
      </c>
      <c r="B532">
        <v>0.17929</v>
      </c>
      <c r="C532">
        <v>0.18634000000000001</v>
      </c>
      <c r="D532">
        <v>0.16500000000000001</v>
      </c>
      <c r="E532">
        <v>0.17499999999999999</v>
      </c>
      <c r="F532">
        <v>9091397.0999999996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-6.2792877225868585E-2</v>
      </c>
      <c r="Q532">
        <f t="shared" si="985"/>
        <v>-570874.98191191768</v>
      </c>
      <c r="R532">
        <f t="shared" si="986"/>
        <v>-7841228.2188706193</v>
      </c>
      <c r="S532">
        <f t="shared" si="987"/>
        <v>-78.412282188706186</v>
      </c>
      <c r="T532">
        <f t="shared" si="988"/>
        <v>-7.8412282188706189E-2</v>
      </c>
    </row>
    <row r="533" spans="1:20" x14ac:dyDescent="0.25">
      <c r="A533" s="5">
        <v>44060</v>
      </c>
      <c r="B533">
        <v>0.18768000000000001</v>
      </c>
      <c r="C533">
        <v>0.20568</v>
      </c>
      <c r="D533">
        <v>0.17865</v>
      </c>
      <c r="E533">
        <v>0.17882999999999999</v>
      </c>
      <c r="F533">
        <v>14197191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-0.98668146503884679</v>
      </c>
      <c r="Q533">
        <f t="shared" si="985"/>
        <v>-14008105.215316331</v>
      </c>
      <c r="R533">
        <f t="shared" si="986"/>
        <v>-7270353.2369587012</v>
      </c>
      <c r="S533">
        <f t="shared" si="987"/>
        <v>-72.703532369587009</v>
      </c>
      <c r="T533">
        <f t="shared" si="988"/>
        <v>-7.2703532369587015E-2</v>
      </c>
    </row>
    <row r="534" spans="1:20" x14ac:dyDescent="0.25">
      <c r="A534" s="5">
        <v>44059</v>
      </c>
      <c r="B534">
        <v>0.17473</v>
      </c>
      <c r="C534">
        <v>0.19531000000000001</v>
      </c>
      <c r="D534">
        <v>0.17183000000000001</v>
      </c>
      <c r="E534">
        <v>0.18840999999999999</v>
      </c>
      <c r="F534">
        <v>15488404.6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0.41226575809199173</v>
      </c>
      <c r="Q534">
        <f t="shared" si="985"/>
        <v>6385338.8640544917</v>
      </c>
      <c r="R534">
        <f t="shared" si="986"/>
        <v>6737751.9783576299</v>
      </c>
      <c r="S534">
        <f t="shared" si="987"/>
        <v>67.377519783576304</v>
      </c>
      <c r="T534">
        <f t="shared" si="988"/>
        <v>6.7377519783576298E-2</v>
      </c>
    </row>
    <row r="535" spans="1:20" x14ac:dyDescent="0.25">
      <c r="A535" s="5">
        <v>44058</v>
      </c>
      <c r="B535">
        <v>0.18986</v>
      </c>
      <c r="C535">
        <v>0.22378999999999999</v>
      </c>
      <c r="D535">
        <v>0.17266000000000001</v>
      </c>
      <c r="E535">
        <v>0.17473</v>
      </c>
      <c r="F535">
        <v>31207593.800000001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-0.91902992372384162</v>
      </c>
      <c r="Q535">
        <f t="shared" si="985"/>
        <v>-28680712.549618635</v>
      </c>
      <c r="R535">
        <f t="shared" si="986"/>
        <v>352413.11430313811</v>
      </c>
      <c r="S535">
        <f t="shared" si="987"/>
        <v>3.5241311430313811</v>
      </c>
      <c r="T535">
        <f t="shared" si="988"/>
        <v>3.5241311430313812E-3</v>
      </c>
    </row>
    <row r="536" spans="1:20" x14ac:dyDescent="0.25">
      <c r="A536" s="5">
        <v>44057</v>
      </c>
      <c r="B536">
        <v>0.15925</v>
      </c>
      <c r="C536">
        <v>0.19253000000000001</v>
      </c>
      <c r="D536">
        <v>0.15579000000000001</v>
      </c>
      <c r="E536">
        <v>0.18881000000000001</v>
      </c>
      <c r="F536">
        <v>17509419.800000001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0.79749591725639624</v>
      </c>
      <c r="Q536">
        <f t="shared" si="985"/>
        <v>13963690.804028306</v>
      </c>
      <c r="R536">
        <f t="shared" si="986"/>
        <v>29033125.663921773</v>
      </c>
      <c r="S536">
        <f t="shared" si="987"/>
        <v>290.33125663921771</v>
      </c>
      <c r="T536">
        <f t="shared" si="988"/>
        <v>0.29033125663921772</v>
      </c>
    </row>
    <row r="537" spans="1:20" x14ac:dyDescent="0.25">
      <c r="A537" s="5">
        <v>44056</v>
      </c>
      <c r="B537">
        <v>0.14552000000000001</v>
      </c>
      <c r="C537">
        <v>0.16600000000000001</v>
      </c>
      <c r="D537">
        <v>0.13328000000000001</v>
      </c>
      <c r="E537">
        <v>0.15923999999999999</v>
      </c>
      <c r="F537">
        <v>18135471.5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0.58679706601466897</v>
      </c>
      <c r="Q537">
        <f t="shared" si="985"/>
        <v>10641841.466992648</v>
      </c>
      <c r="R537">
        <f t="shared" si="986"/>
        <v>15069434.859893467</v>
      </c>
      <c r="S537">
        <f t="shared" si="987"/>
        <v>150.69434859893468</v>
      </c>
      <c r="T537">
        <f t="shared" si="988"/>
        <v>0.15069434859893469</v>
      </c>
    </row>
    <row r="538" spans="1:20" x14ac:dyDescent="0.25">
      <c r="A538" s="5">
        <v>44055</v>
      </c>
      <c r="B538">
        <v>0.13475000000000001</v>
      </c>
      <c r="C538">
        <v>0.14893000000000001</v>
      </c>
      <c r="D538">
        <v>0.12511</v>
      </c>
      <c r="E538">
        <v>0.14579</v>
      </c>
      <c r="F538">
        <v>9797591.5999999996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0.73635600335852203</v>
      </c>
      <c r="Q538">
        <f t="shared" si="985"/>
        <v>7214515.3931150269</v>
      </c>
      <c r="R538">
        <f t="shared" si="986"/>
        <v>4427593.392900819</v>
      </c>
      <c r="S538">
        <f t="shared" si="987"/>
        <v>44.27593392900819</v>
      </c>
      <c r="T538">
        <f t="shared" si="988"/>
        <v>4.4275933929008186E-2</v>
      </c>
    </row>
    <row r="539" spans="1:20" x14ac:dyDescent="0.25">
      <c r="A539" s="5">
        <v>44054</v>
      </c>
      <c r="B539">
        <v>0.14557</v>
      </c>
      <c r="C539">
        <v>0.14629</v>
      </c>
      <c r="D539">
        <v>0.12822</v>
      </c>
      <c r="E539">
        <v>0.13386999999999999</v>
      </c>
      <c r="F539">
        <v>8066353.0999999996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-0.3746541228555631</v>
      </c>
      <c r="Q539">
        <f t="shared" si="985"/>
        <v>-3022092.4453237522</v>
      </c>
      <c r="R539">
        <f t="shared" si="986"/>
        <v>-2786922.0002142075</v>
      </c>
      <c r="S539">
        <f t="shared" si="987"/>
        <v>-27.869220002142075</v>
      </c>
      <c r="T539">
        <f t="shared" si="988"/>
        <v>-2.7869220002142075E-2</v>
      </c>
    </row>
    <row r="540" spans="1:20" x14ac:dyDescent="0.25">
      <c r="A540" s="5">
        <v>44053</v>
      </c>
      <c r="B540">
        <v>0.14618999999999999</v>
      </c>
      <c r="C540">
        <v>0.14984</v>
      </c>
      <c r="D540">
        <v>0.1381</v>
      </c>
      <c r="E540">
        <v>0.1462</v>
      </c>
      <c r="F540">
        <v>10788751.1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0.37989778534923269</v>
      </c>
      <c r="Q540">
        <f t="shared" si="985"/>
        <v>4098622.6495740977</v>
      </c>
      <c r="R540">
        <f t="shared" si="986"/>
        <v>235170.44510954479</v>
      </c>
      <c r="S540">
        <f t="shared" si="987"/>
        <v>2.3517044510954479</v>
      </c>
      <c r="T540">
        <f t="shared" si="988"/>
        <v>2.3517044510954479E-3</v>
      </c>
    </row>
    <row r="541" spans="1:20" x14ac:dyDescent="0.25">
      <c r="A541" s="5">
        <v>44052</v>
      </c>
      <c r="B541">
        <v>0.13500999999999999</v>
      </c>
      <c r="C541">
        <v>0.15210000000000001</v>
      </c>
      <c r="D541">
        <v>0.13291</v>
      </c>
      <c r="E541">
        <v>0.14618999999999999</v>
      </c>
      <c r="F541">
        <v>18175064.899999999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0.38405419489317116</v>
      </c>
      <c r="Q541">
        <f t="shared" si="985"/>
        <v>6980209.9173006341</v>
      </c>
      <c r="R541">
        <f t="shared" si="986"/>
        <v>-3863452.2044645529</v>
      </c>
      <c r="S541">
        <f t="shared" si="987"/>
        <v>-38.634522044645529</v>
      </c>
      <c r="T541">
        <f t="shared" si="988"/>
        <v>-3.8634522044645528E-2</v>
      </c>
    </row>
    <row r="542" spans="1:20" x14ac:dyDescent="0.25">
      <c r="A542" s="5">
        <v>44051</v>
      </c>
      <c r="B542">
        <v>0.12573999999999999</v>
      </c>
      <c r="C542">
        <v>0.13747999999999999</v>
      </c>
      <c r="D542">
        <v>0.12252</v>
      </c>
      <c r="E542">
        <v>0.13500000000000001</v>
      </c>
      <c r="F542">
        <v>6545350.2999999998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0.66844919786096468</v>
      </c>
      <c r="Q542">
        <f t="shared" si="985"/>
        <v>4375234.1577540245</v>
      </c>
      <c r="R542">
        <f t="shared" si="986"/>
        <v>-10843662.121765187</v>
      </c>
      <c r="S542">
        <f t="shared" si="987"/>
        <v>-108.43662121765188</v>
      </c>
      <c r="T542">
        <f t="shared" si="988"/>
        <v>-0.10843662121765188</v>
      </c>
    </row>
    <row r="543" spans="1:20" x14ac:dyDescent="0.25">
      <c r="A543" s="5">
        <v>44050</v>
      </c>
      <c r="B543">
        <v>0.13147</v>
      </c>
      <c r="C543">
        <v>0.13442999999999999</v>
      </c>
      <c r="D543">
        <v>0.11922000000000001</v>
      </c>
      <c r="E543">
        <v>0.12573999999999999</v>
      </c>
      <c r="F543">
        <v>5717109.9000000004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-0.14266929651545174</v>
      </c>
      <c r="Q543">
        <f t="shared" si="985"/>
        <v>-815656.0475345247</v>
      </c>
      <c r="R543">
        <f t="shared" si="986"/>
        <v>-15218896.279519212</v>
      </c>
      <c r="S543">
        <f t="shared" si="987"/>
        <v>-152.18896279519211</v>
      </c>
      <c r="T543">
        <f t="shared" si="988"/>
        <v>-0.15218896279519212</v>
      </c>
    </row>
    <row r="544" spans="1:20" x14ac:dyDescent="0.25">
      <c r="A544" s="5">
        <v>44049</v>
      </c>
      <c r="B544">
        <v>0.13136</v>
      </c>
      <c r="C544">
        <v>0.13600000000000001</v>
      </c>
      <c r="D544">
        <v>0.12578</v>
      </c>
      <c r="E544">
        <v>0.13149</v>
      </c>
      <c r="F544">
        <v>5676801.2999999998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0.11741682974559473</v>
      </c>
      <c r="Q544">
        <f t="shared" si="985"/>
        <v>666552.01174167078</v>
      </c>
      <c r="R544">
        <f t="shared" si="986"/>
        <v>-14403240.231984686</v>
      </c>
      <c r="S544">
        <f t="shared" si="987"/>
        <v>-144.03240231984685</v>
      </c>
      <c r="T544">
        <f t="shared" si="988"/>
        <v>-0.14403240231984685</v>
      </c>
    </row>
    <row r="545" spans="1:20" x14ac:dyDescent="0.25">
      <c r="A545" s="5">
        <v>44048</v>
      </c>
      <c r="B545">
        <v>0.13350000000000001</v>
      </c>
      <c r="C545">
        <v>0.13400000000000001</v>
      </c>
      <c r="D545">
        <v>0.12528</v>
      </c>
      <c r="E545">
        <v>0.13023999999999999</v>
      </c>
      <c r="F545">
        <v>4679234.0999999996</v>
      </c>
      <c r="G545">
        <v>0</v>
      </c>
      <c r="L545" t="s">
        <v>7</v>
      </c>
      <c r="M545" t="s">
        <v>8</v>
      </c>
      <c r="N545" t="s">
        <v>8</v>
      </c>
      <c r="P545">
        <f t="shared" si="984"/>
        <v>0.13761467889908005</v>
      </c>
      <c r="Q545">
        <f t="shared" si="985"/>
        <v>643931.29816512577</v>
      </c>
      <c r="R545">
        <f t="shared" si="986"/>
        <v>-15069792.243726356</v>
      </c>
      <c r="S545">
        <f t="shared" si="987"/>
        <v>-150.69792243726357</v>
      </c>
      <c r="T545">
        <f t="shared" si="988"/>
        <v>-0.15069792243726357</v>
      </c>
    </row>
    <row r="546" spans="1:20" x14ac:dyDescent="0.25">
      <c r="A546" s="5">
        <v>44047</v>
      </c>
      <c r="B546">
        <v>0.12444</v>
      </c>
      <c r="C546">
        <v>0.13899</v>
      </c>
      <c r="D546">
        <v>0.12271</v>
      </c>
      <c r="E546">
        <v>0.13350000000000001</v>
      </c>
      <c r="F546">
        <v>11417444.6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0.32555282555282627</v>
      </c>
      <c r="Q546">
        <f t="shared" si="985"/>
        <v>3716981.3501228583</v>
      </c>
      <c r="R546">
        <f t="shared" si="986"/>
        <v>-15713723.541891482</v>
      </c>
      <c r="S546">
        <f t="shared" si="987"/>
        <v>-157.13723541891483</v>
      </c>
      <c r="T546">
        <f t="shared" si="988"/>
        <v>-0.15713723541891483</v>
      </c>
    </row>
    <row r="547" spans="1:20" x14ac:dyDescent="0.25">
      <c r="A547" s="5">
        <v>44046</v>
      </c>
      <c r="B547">
        <v>0.12537000000000001</v>
      </c>
      <c r="C547">
        <v>0.12831000000000001</v>
      </c>
      <c r="D547">
        <v>0.12014</v>
      </c>
      <c r="E547">
        <v>0.12402000000000001</v>
      </c>
      <c r="F547">
        <v>10737127</v>
      </c>
      <c r="G547">
        <v>0</v>
      </c>
      <c r="L547" t="s">
        <v>7</v>
      </c>
      <c r="M547" t="s">
        <v>8</v>
      </c>
      <c r="N547" t="s">
        <v>8</v>
      </c>
      <c r="P547">
        <f t="shared" si="984"/>
        <v>-5.0183598531210911E-2</v>
      </c>
      <c r="Q547">
        <f t="shared" si="985"/>
        <v>-538827.67074662505</v>
      </c>
      <c r="R547">
        <f t="shared" si="986"/>
        <v>-19430704.89201434</v>
      </c>
      <c r="S547">
        <f t="shared" si="987"/>
        <v>-194.30704892014339</v>
      </c>
      <c r="T547">
        <f t="shared" si="988"/>
        <v>-0.19430704892014339</v>
      </c>
    </row>
    <row r="548" spans="1:20" x14ac:dyDescent="0.25">
      <c r="A548" s="5">
        <v>44045</v>
      </c>
      <c r="B548">
        <v>0.10681</v>
      </c>
      <c r="C548">
        <v>0.13400000000000001</v>
      </c>
      <c r="D548">
        <v>0.10069</v>
      </c>
      <c r="E548">
        <v>0.12536</v>
      </c>
      <c r="F548">
        <v>19982649.899999999</v>
      </c>
      <c r="G548">
        <v>0</v>
      </c>
      <c r="L548" t="s">
        <v>8</v>
      </c>
      <c r="M548" t="s">
        <v>8</v>
      </c>
      <c r="N548" t="s">
        <v>8</v>
      </c>
      <c r="P548">
        <f t="shared" si="984"/>
        <v>0.48123686580606384</v>
      </c>
      <c r="Q548">
        <f t="shared" si="985"/>
        <v>9616387.808375854</v>
      </c>
      <c r="R548">
        <f t="shared" si="986"/>
        <v>-18891877.221267715</v>
      </c>
      <c r="S548">
        <f t="shared" si="987"/>
        <v>-188.91877221267714</v>
      </c>
      <c r="T548">
        <f t="shared" si="988"/>
        <v>-0.18891877221267714</v>
      </c>
    </row>
    <row r="549" spans="1:20" x14ac:dyDescent="0.25">
      <c r="A549" s="5">
        <v>44044</v>
      </c>
      <c r="B549">
        <v>0.10264</v>
      </c>
      <c r="C549">
        <v>0.10775</v>
      </c>
      <c r="D549">
        <v>0.10155</v>
      </c>
      <c r="E549">
        <v>0.10695</v>
      </c>
      <c r="F549">
        <v>4218184.8</v>
      </c>
      <c r="G549">
        <v>0</v>
      </c>
      <c r="L549" t="s">
        <v>8</v>
      </c>
      <c r="M549" t="s">
        <v>7</v>
      </c>
      <c r="N549" t="s">
        <v>7</v>
      </c>
      <c r="P549">
        <f t="shared" si="984"/>
        <v>0.74193548387096919</v>
      </c>
      <c r="Q549">
        <f t="shared" si="985"/>
        <v>3129620.9806451672</v>
      </c>
      <c r="R549">
        <f t="shared" si="986"/>
        <v>-28508265.029643569</v>
      </c>
      <c r="S549">
        <f t="shared" si="987"/>
        <v>-285.0826502964357</v>
      </c>
      <c r="T549">
        <f t="shared" si="988"/>
        <v>-0.2850826502964357</v>
      </c>
    </row>
    <row r="550" spans="1:20" x14ac:dyDescent="0.25">
      <c r="A550" s="5">
        <v>44043</v>
      </c>
      <c r="B550">
        <v>0.10818</v>
      </c>
      <c r="C550">
        <v>0.10904</v>
      </c>
      <c r="D550">
        <v>0.1</v>
      </c>
      <c r="E550">
        <v>0.10247000000000001</v>
      </c>
      <c r="F550">
        <v>4896183.0999999996</v>
      </c>
      <c r="G550">
        <v>0</v>
      </c>
      <c r="L550" t="s">
        <v>7</v>
      </c>
      <c r="M550" t="s">
        <v>7</v>
      </c>
      <c r="N550" t="s">
        <v>7</v>
      </c>
      <c r="P550">
        <f t="shared" si="984"/>
        <v>-0.4535398230088491</v>
      </c>
      <c r="Q550">
        <f t="shared" si="985"/>
        <v>-2220614.016592918</v>
      </c>
      <c r="R550">
        <f t="shared" si="986"/>
        <v>-31637886.010288738</v>
      </c>
      <c r="S550">
        <f t="shared" si="987"/>
        <v>-316.37886010288736</v>
      </c>
      <c r="T550">
        <f t="shared" si="988"/>
        <v>-0.31637886010288735</v>
      </c>
    </row>
    <row r="551" spans="1:20" x14ac:dyDescent="0.25">
      <c r="A551" s="5">
        <v>44042</v>
      </c>
      <c r="B551">
        <v>0.10643</v>
      </c>
      <c r="C551">
        <v>0.10876</v>
      </c>
      <c r="D551">
        <v>0.10371</v>
      </c>
      <c r="E551">
        <v>0.1075</v>
      </c>
      <c r="F551">
        <v>2709894</v>
      </c>
      <c r="G551">
        <v>0</v>
      </c>
      <c r="L551" t="s">
        <v>7</v>
      </c>
      <c r="M551" t="s">
        <v>8</v>
      </c>
      <c r="N551" t="s">
        <v>7</v>
      </c>
      <c r="P551">
        <f t="shared" si="984"/>
        <v>0.50099009900990199</v>
      </c>
      <c r="Q551">
        <f t="shared" si="985"/>
        <v>1357630.0633663393</v>
      </c>
      <c r="R551">
        <f t="shared" si="986"/>
        <v>-29417271.993695822</v>
      </c>
      <c r="S551">
        <f t="shared" si="987"/>
        <v>-294.17271993695823</v>
      </c>
      <c r="T551">
        <f t="shared" si="988"/>
        <v>-0.2941727199369582</v>
      </c>
    </row>
    <row r="552" spans="1:20" x14ac:dyDescent="0.25">
      <c r="A552" s="5">
        <v>44041</v>
      </c>
      <c r="B552">
        <v>0.11507000000000001</v>
      </c>
      <c r="C552">
        <v>0.11582000000000001</v>
      </c>
      <c r="D552">
        <v>0.10559</v>
      </c>
      <c r="E552">
        <v>0.10616</v>
      </c>
      <c r="F552">
        <v>3373871.3</v>
      </c>
      <c r="G552">
        <v>0</v>
      </c>
      <c r="L552" t="s">
        <v>7</v>
      </c>
      <c r="M552" t="s">
        <v>8</v>
      </c>
      <c r="N552" t="s">
        <v>7</v>
      </c>
      <c r="P552">
        <f t="shared" si="984"/>
        <v>-0.88856304985337231</v>
      </c>
      <c r="Q552">
        <f t="shared" si="985"/>
        <v>-2997897.3721407619</v>
      </c>
      <c r="R552">
        <f t="shared" si="986"/>
        <v>-30774902.05706216</v>
      </c>
      <c r="S552">
        <f t="shared" si="987"/>
        <v>-307.74902057062161</v>
      </c>
      <c r="T552">
        <f t="shared" si="988"/>
        <v>-0.30774902057062159</v>
      </c>
    </row>
    <row r="553" spans="1:20" x14ac:dyDescent="0.25">
      <c r="A553" s="5">
        <v>44040</v>
      </c>
      <c r="B553">
        <v>0.1031</v>
      </c>
      <c r="C553">
        <v>0.11744</v>
      </c>
      <c r="D553">
        <v>9.9269999999999997E-2</v>
      </c>
      <c r="E553">
        <v>0.11432</v>
      </c>
      <c r="F553">
        <v>9882434.8000000007</v>
      </c>
      <c r="G553">
        <v>0</v>
      </c>
      <c r="L553" t="s">
        <v>8</v>
      </c>
      <c r="M553" t="s">
        <v>8</v>
      </c>
      <c r="N553" t="s">
        <v>7</v>
      </c>
      <c r="P553">
        <f t="shared" si="984"/>
        <v>0.65657677490368771</v>
      </c>
      <c r="Q553">
        <f t="shared" si="985"/>
        <v>6488577.1691799704</v>
      </c>
      <c r="R553">
        <f t="shared" si="986"/>
        <v>-27777004.684921399</v>
      </c>
      <c r="S553">
        <f t="shared" si="987"/>
        <v>-277.770046849214</v>
      </c>
      <c r="T553">
        <f t="shared" si="988"/>
        <v>-0.27777004684921403</v>
      </c>
    </row>
    <row r="554" spans="1:20" x14ac:dyDescent="0.25">
      <c r="A554" s="5">
        <v>44039</v>
      </c>
      <c r="B554">
        <v>0.10871</v>
      </c>
      <c r="C554">
        <v>0.10909000000000001</v>
      </c>
      <c r="D554">
        <v>0.09</v>
      </c>
      <c r="E554">
        <v>0.10269</v>
      </c>
      <c r="F554">
        <v>11868338.5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0.32949188056574125</v>
      </c>
      <c r="Q554">
        <f t="shared" si="985"/>
        <v>3910521.1715557887</v>
      </c>
      <c r="R554">
        <f t="shared" si="986"/>
        <v>-34265581.854101367</v>
      </c>
      <c r="S554">
        <f t="shared" si="987"/>
        <v>-342.65581854101367</v>
      </c>
      <c r="T554">
        <f t="shared" si="988"/>
        <v>-0.34265581854101368</v>
      </c>
    </row>
    <row r="555" spans="1:20" x14ac:dyDescent="0.25">
      <c r="A555" s="5">
        <v>44038</v>
      </c>
      <c r="B555">
        <v>0.11563</v>
      </c>
      <c r="C555">
        <v>0.1178</v>
      </c>
      <c r="D555">
        <v>0.10596</v>
      </c>
      <c r="E555">
        <v>0.10909000000000001</v>
      </c>
      <c r="F555">
        <v>6882560.4000000004</v>
      </c>
      <c r="G555">
        <v>0</v>
      </c>
      <c r="L555" t="s">
        <v>7</v>
      </c>
      <c r="M555" t="s">
        <v>7</v>
      </c>
      <c r="N555" t="s">
        <v>7</v>
      </c>
      <c r="P555">
        <f t="shared" si="984"/>
        <v>-0.47128378378378261</v>
      </c>
      <c r="Q555">
        <f t="shared" si="985"/>
        <v>-3243639.1074324246</v>
      </c>
      <c r="R555">
        <f t="shared" si="986"/>
        <v>-38176103.025657155</v>
      </c>
      <c r="S555">
        <f t="shared" si="987"/>
        <v>-381.76103025657153</v>
      </c>
      <c r="T555">
        <f t="shared" si="988"/>
        <v>-0.38176103025657154</v>
      </c>
    </row>
    <row r="556" spans="1:20" x14ac:dyDescent="0.25">
      <c r="A556" s="5">
        <v>44037</v>
      </c>
      <c r="B556">
        <v>0.11758</v>
      </c>
      <c r="C556">
        <v>0.12243999999999999</v>
      </c>
      <c r="D556">
        <v>0.115</v>
      </c>
      <c r="E556">
        <v>0.11609</v>
      </c>
      <c r="F556">
        <v>4028535.4</v>
      </c>
      <c r="G556">
        <v>0</v>
      </c>
      <c r="L556" t="s">
        <v>7</v>
      </c>
      <c r="M556" t="s">
        <v>7</v>
      </c>
      <c r="N556" t="s">
        <v>7</v>
      </c>
      <c r="P556">
        <f t="shared" si="984"/>
        <v>-0.70698924731182922</v>
      </c>
      <c r="Q556">
        <f t="shared" si="985"/>
        <v>-2848131.2102150586</v>
      </c>
      <c r="R556">
        <f t="shared" si="986"/>
        <v>-34932463.91822473</v>
      </c>
      <c r="S556">
        <f t="shared" si="987"/>
        <v>-349.32463918224732</v>
      </c>
      <c r="T556">
        <f t="shared" si="988"/>
        <v>-0.34932463918224732</v>
      </c>
    </row>
    <row r="557" spans="1:20" x14ac:dyDescent="0.25">
      <c r="A557" s="5">
        <v>44036</v>
      </c>
      <c r="B557">
        <v>0.12514</v>
      </c>
      <c r="C557">
        <v>0.12540000000000001</v>
      </c>
      <c r="D557">
        <v>0.11700000000000001</v>
      </c>
      <c r="E557">
        <v>0.11762</v>
      </c>
      <c r="F557">
        <v>6834543.7999999998</v>
      </c>
      <c r="G557">
        <v>0</v>
      </c>
      <c r="L557" t="s">
        <v>7</v>
      </c>
      <c r="M557" t="s">
        <v>7</v>
      </c>
      <c r="N557" t="s">
        <v>7</v>
      </c>
      <c r="P557">
        <f t="shared" si="984"/>
        <v>-0.85238095238095357</v>
      </c>
      <c r="Q557">
        <f t="shared" si="985"/>
        <v>-5825634.9533333415</v>
      </c>
      <c r="R557">
        <f t="shared" si="986"/>
        <v>-32084332.708009671</v>
      </c>
      <c r="S557">
        <f t="shared" si="987"/>
        <v>-320.84332708009674</v>
      </c>
      <c r="T557">
        <f t="shared" si="988"/>
        <v>-0.32084332708009672</v>
      </c>
    </row>
    <row r="558" spans="1:20" x14ac:dyDescent="0.25">
      <c r="A558" s="5">
        <v>44035</v>
      </c>
      <c r="B558">
        <v>0.12365</v>
      </c>
      <c r="C558">
        <v>0.12997</v>
      </c>
      <c r="D558">
        <v>0.12341000000000001</v>
      </c>
      <c r="E558">
        <v>0.12515000000000001</v>
      </c>
      <c r="F558">
        <v>4185162.8</v>
      </c>
      <c r="G558">
        <v>0</v>
      </c>
      <c r="L558" t="s">
        <v>8</v>
      </c>
      <c r="M558" t="s">
        <v>7</v>
      </c>
      <c r="N558" t="s">
        <v>7</v>
      </c>
      <c r="P558">
        <f t="shared" si="984"/>
        <v>-0.46951219512194925</v>
      </c>
      <c r="Q558">
        <f t="shared" si="985"/>
        <v>-1964984.9731707233</v>
      </c>
      <c r="R558">
        <f t="shared" si="986"/>
        <v>-26258697.754676331</v>
      </c>
      <c r="S558">
        <f t="shared" si="987"/>
        <v>-262.58697754676331</v>
      </c>
      <c r="T558">
        <f t="shared" si="988"/>
        <v>-0.2625869775467633</v>
      </c>
    </row>
    <row r="559" spans="1:20" x14ac:dyDescent="0.25">
      <c r="A559" s="5">
        <v>44034</v>
      </c>
      <c r="B559">
        <v>0.12275999999999999</v>
      </c>
      <c r="C559">
        <v>0.1285</v>
      </c>
      <c r="D559">
        <v>0.12111</v>
      </c>
      <c r="E559">
        <v>0.12365</v>
      </c>
      <c r="F559">
        <v>3271787.9</v>
      </c>
      <c r="G559">
        <v>0</v>
      </c>
      <c r="L559" t="s">
        <v>8</v>
      </c>
      <c r="M559" t="s">
        <v>7</v>
      </c>
      <c r="N559" t="s">
        <v>7</v>
      </c>
      <c r="P559">
        <f t="shared" si="984"/>
        <v>-0.31258457374830906</v>
      </c>
      <c r="Q559">
        <f t="shared" si="985"/>
        <v>-1022710.4261163751</v>
      </c>
      <c r="R559">
        <f t="shared" si="986"/>
        <v>-24293712.781505607</v>
      </c>
      <c r="S559">
        <f t="shared" si="987"/>
        <v>-242.93712781505607</v>
      </c>
      <c r="T559">
        <f t="shared" si="988"/>
        <v>-0.24293712781505608</v>
      </c>
    </row>
    <row r="560" spans="1:20" x14ac:dyDescent="0.25">
      <c r="A560" s="5">
        <v>44033</v>
      </c>
      <c r="B560">
        <v>0.1244</v>
      </c>
      <c r="C560">
        <v>0.12756999999999999</v>
      </c>
      <c r="D560">
        <v>0.11903</v>
      </c>
      <c r="E560">
        <v>0.12286</v>
      </c>
      <c r="F560">
        <v>6560601.4000000004</v>
      </c>
      <c r="G560">
        <v>0</v>
      </c>
      <c r="L560" t="s">
        <v>8</v>
      </c>
      <c r="M560" t="s">
        <v>7</v>
      </c>
      <c r="N560" t="s">
        <v>7</v>
      </c>
      <c r="P560">
        <f t="shared" si="984"/>
        <v>-0.10304449648711858</v>
      </c>
      <c r="Q560">
        <f t="shared" si="985"/>
        <v>-676033.86791568529</v>
      </c>
      <c r="R560">
        <f t="shared" si="986"/>
        <v>-23271002.355389234</v>
      </c>
      <c r="S560">
        <f t="shared" si="987"/>
        <v>-232.71002355389234</v>
      </c>
      <c r="T560">
        <f t="shared" si="988"/>
        <v>-0.23271002355389234</v>
      </c>
    </row>
    <row r="561" spans="1:104" x14ac:dyDescent="0.25">
      <c r="A561" s="5">
        <v>44032</v>
      </c>
      <c r="B561">
        <v>0.13289000000000001</v>
      </c>
      <c r="C561">
        <v>0.13807</v>
      </c>
      <c r="D561">
        <v>0.11939</v>
      </c>
      <c r="E561">
        <v>0.12472999999999999</v>
      </c>
      <c r="F561">
        <v>10309956.5</v>
      </c>
      <c r="G561">
        <v>0</v>
      </c>
      <c r="L561" t="s">
        <v>7</v>
      </c>
      <c r="M561" t="s">
        <v>7</v>
      </c>
      <c r="N561" t="s">
        <v>7</v>
      </c>
      <c r="P561">
        <f t="shared" si="984"/>
        <v>-0.42826552462526801</v>
      </c>
      <c r="Q561">
        <f t="shared" si="985"/>
        <v>-4415398.9293361921</v>
      </c>
      <c r="R561">
        <f t="shared" si="986"/>
        <v>-22594968.487473547</v>
      </c>
      <c r="S561">
        <f t="shared" si="987"/>
        <v>-225.94968487473548</v>
      </c>
      <c r="T561">
        <f t="shared" si="988"/>
        <v>-0.22594968487473549</v>
      </c>
      <c r="CZ561" t="s">
        <v>7</v>
      </c>
    </row>
    <row r="562" spans="1:104" x14ac:dyDescent="0.25">
      <c r="A562" s="5">
        <v>44031</v>
      </c>
      <c r="B562">
        <v>0.13439000000000001</v>
      </c>
      <c r="C562">
        <v>0.13739999999999999</v>
      </c>
      <c r="D562">
        <v>0.127</v>
      </c>
      <c r="E562">
        <v>0.13347999999999999</v>
      </c>
      <c r="F562">
        <v>10228825.9</v>
      </c>
      <c r="G562">
        <v>0</v>
      </c>
      <c r="L562" t="s">
        <v>7</v>
      </c>
      <c r="M562" t="s">
        <v>8</v>
      </c>
      <c r="N562" t="s">
        <v>7</v>
      </c>
      <c r="P562">
        <f t="shared" si="984"/>
        <v>0.24615384615384431</v>
      </c>
      <c r="Q562">
        <f t="shared" si="985"/>
        <v>2517864.8369230581</v>
      </c>
      <c r="R562">
        <f t="shared" si="986"/>
        <v>-18179569.558137354</v>
      </c>
      <c r="S562">
        <f t="shared" si="987"/>
        <v>-181.79569558137354</v>
      </c>
      <c r="T562">
        <f t="shared" si="988"/>
        <v>-0.18179569558137354</v>
      </c>
      <c r="CZ562" t="s">
        <v>7</v>
      </c>
    </row>
    <row r="563" spans="1:104" x14ac:dyDescent="0.25">
      <c r="A563" s="5">
        <v>44030</v>
      </c>
      <c r="B563">
        <v>0.12989999999999999</v>
      </c>
      <c r="C563">
        <v>0.14249999999999999</v>
      </c>
      <c r="D563">
        <v>0.12371</v>
      </c>
      <c r="E563">
        <v>0.13464000000000001</v>
      </c>
      <c r="F563">
        <v>11769671.6</v>
      </c>
      <c r="G563">
        <v>0</v>
      </c>
      <c r="L563" t="s">
        <v>8</v>
      </c>
      <c r="M563" t="s">
        <v>8</v>
      </c>
      <c r="N563" t="s">
        <v>7</v>
      </c>
      <c r="P563">
        <f t="shared" si="984"/>
        <v>0.16338477913784105</v>
      </c>
      <c r="Q563">
        <f t="shared" si="985"/>
        <v>1922985.1948909203</v>
      </c>
      <c r="R563">
        <f t="shared" si="986"/>
        <v>-20697434.395060413</v>
      </c>
      <c r="S563">
        <f t="shared" si="987"/>
        <v>-206.97434395060412</v>
      </c>
      <c r="T563">
        <f t="shared" si="988"/>
        <v>-0.20697434395060413</v>
      </c>
      <c r="CZ563" t="s">
        <v>7</v>
      </c>
    </row>
    <row r="564" spans="1:104" x14ac:dyDescent="0.25">
      <c r="A564" s="5">
        <v>44029</v>
      </c>
      <c r="B564">
        <v>0.11949</v>
      </c>
      <c r="C564">
        <v>0.13600000000000001</v>
      </c>
      <c r="D564">
        <v>0.11429</v>
      </c>
      <c r="E564">
        <v>0.13042000000000001</v>
      </c>
      <c r="F564">
        <v>10310881.800000001</v>
      </c>
      <c r="G564">
        <v>0</v>
      </c>
      <c r="L564" t="s">
        <v>8</v>
      </c>
      <c r="M564" t="s">
        <v>8</v>
      </c>
      <c r="N564" t="s">
        <v>7</v>
      </c>
      <c r="P564">
        <f t="shared" si="984"/>
        <v>0.48595117457392906</v>
      </c>
      <c r="Q564">
        <f t="shared" si="985"/>
        <v>5010585.1216029478</v>
      </c>
      <c r="R564">
        <f t="shared" si="986"/>
        <v>-22620419.589951333</v>
      </c>
      <c r="S564">
        <f t="shared" si="987"/>
        <v>-226.20419589951334</v>
      </c>
      <c r="T564">
        <f t="shared" si="988"/>
        <v>-0.22620419589951335</v>
      </c>
    </row>
    <row r="565" spans="1:104" x14ac:dyDescent="0.25">
      <c r="A565" s="5">
        <v>44028</v>
      </c>
      <c r="B565">
        <v>0.12315</v>
      </c>
      <c r="C565">
        <v>0.12537000000000001</v>
      </c>
      <c r="D565">
        <v>0.10972999999999999</v>
      </c>
      <c r="E565">
        <v>0.11944</v>
      </c>
      <c r="F565">
        <v>9775671</v>
      </c>
      <c r="G565">
        <v>0</v>
      </c>
      <c r="L565" t="s">
        <v>7</v>
      </c>
      <c r="M565" t="s">
        <v>7</v>
      </c>
      <c r="N565" t="s">
        <v>7</v>
      </c>
      <c r="P565">
        <f t="shared" si="984"/>
        <v>0.24168797953964208</v>
      </c>
      <c r="Q565">
        <f t="shared" si="985"/>
        <v>2362662.1726342724</v>
      </c>
      <c r="R565">
        <f t="shared" si="986"/>
        <v>-27631004.711554281</v>
      </c>
      <c r="S565">
        <f t="shared" si="987"/>
        <v>-276.31004711554283</v>
      </c>
      <c r="T565">
        <f t="shared" si="988"/>
        <v>-0.27631004711554286</v>
      </c>
    </row>
    <row r="566" spans="1:104" x14ac:dyDescent="0.25">
      <c r="A566" s="5">
        <v>44027</v>
      </c>
      <c r="B566">
        <v>0.12701000000000001</v>
      </c>
      <c r="C566">
        <v>0.13632</v>
      </c>
      <c r="D566">
        <v>0.121</v>
      </c>
      <c r="E566">
        <v>0.12353</v>
      </c>
      <c r="F566">
        <v>9609613.1999999993</v>
      </c>
      <c r="G566">
        <v>0</v>
      </c>
      <c r="L566" t="s">
        <v>8</v>
      </c>
      <c r="M566" t="s">
        <v>7</v>
      </c>
      <c r="N566" t="s">
        <v>7</v>
      </c>
      <c r="P566">
        <f t="shared" si="984"/>
        <v>-0.66971279373368087</v>
      </c>
      <c r="Q566">
        <f t="shared" si="985"/>
        <v>-6435680.9028720567</v>
      </c>
      <c r="R566">
        <f t="shared" si="986"/>
        <v>-29993666.884188555</v>
      </c>
      <c r="S566">
        <f t="shared" si="987"/>
        <v>-299.93666884188553</v>
      </c>
      <c r="T566">
        <f t="shared" si="988"/>
        <v>-0.29993666884188552</v>
      </c>
    </row>
    <row r="567" spans="1:104" x14ac:dyDescent="0.25">
      <c r="A567" s="5">
        <v>44026</v>
      </c>
      <c r="B567">
        <v>0.12519</v>
      </c>
      <c r="C567">
        <v>0.13492000000000001</v>
      </c>
      <c r="D567">
        <v>0.12</v>
      </c>
      <c r="E567">
        <v>0.12695000000000001</v>
      </c>
      <c r="F567">
        <v>18546277.199999999</v>
      </c>
      <c r="G567">
        <v>0</v>
      </c>
      <c r="L567" t="s">
        <v>7</v>
      </c>
      <c r="M567" t="s">
        <v>7</v>
      </c>
      <c r="N567" t="s">
        <v>7</v>
      </c>
      <c r="P567">
        <f t="shared" si="984"/>
        <v>-6.8364611260053082E-2</v>
      </c>
      <c r="Q567">
        <f t="shared" si="985"/>
        <v>-1267909.0310991856</v>
      </c>
      <c r="R567">
        <f t="shared" si="986"/>
        <v>-23557985.981316499</v>
      </c>
      <c r="S567">
        <f t="shared" si="987"/>
        <v>-235.579859813165</v>
      </c>
      <c r="T567">
        <f t="shared" si="988"/>
        <v>-0.23557985981316501</v>
      </c>
    </row>
    <row r="568" spans="1:104" x14ac:dyDescent="0.25">
      <c r="A568" s="5">
        <v>44025</v>
      </c>
      <c r="B568">
        <v>0.10339</v>
      </c>
      <c r="C568">
        <v>0.16719999999999999</v>
      </c>
      <c r="D568">
        <v>0.1019</v>
      </c>
      <c r="E568">
        <v>0.12506</v>
      </c>
      <c r="F568">
        <v>62888552.299999997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-0.29065849923430304</v>
      </c>
      <c r="Q568">
        <f t="shared" si="985"/>
        <v>-18279092.230535977</v>
      </c>
      <c r="R568">
        <f t="shared" si="986"/>
        <v>-22290076.950217314</v>
      </c>
      <c r="S568">
        <f t="shared" si="987"/>
        <v>-222.90076950217315</v>
      </c>
      <c r="T568">
        <f t="shared" si="988"/>
        <v>-0.22290076950217314</v>
      </c>
    </row>
    <row r="569" spans="1:104" x14ac:dyDescent="0.25">
      <c r="A569" s="5">
        <v>44024</v>
      </c>
      <c r="B569">
        <v>0.10425</v>
      </c>
      <c r="C569">
        <v>0.10629</v>
      </c>
      <c r="D569">
        <v>9.7259999999999999E-2</v>
      </c>
      <c r="E569">
        <v>0.10338</v>
      </c>
      <c r="F569">
        <v>7747030.0999999996</v>
      </c>
      <c r="G569">
        <v>0</v>
      </c>
      <c r="L569" t="s">
        <v>7</v>
      </c>
      <c r="M569" t="s">
        <v>8</v>
      </c>
      <c r="N569" t="s">
        <v>8</v>
      </c>
      <c r="P569">
        <f t="shared" si="984"/>
        <v>0.35548172757475149</v>
      </c>
      <c r="Q569">
        <f t="shared" si="985"/>
        <v>2753927.6435215995</v>
      </c>
      <c r="R569">
        <f t="shared" si="986"/>
        <v>-4010984.7196813356</v>
      </c>
      <c r="S569">
        <f t="shared" si="987"/>
        <v>-40.109847196813355</v>
      </c>
      <c r="T569">
        <f t="shared" si="988"/>
        <v>-4.0109847196813354E-2</v>
      </c>
    </row>
    <row r="570" spans="1:104" x14ac:dyDescent="0.25">
      <c r="A570" s="5">
        <v>44023</v>
      </c>
      <c r="B570">
        <v>9.6629999999999994E-2</v>
      </c>
      <c r="C570">
        <v>0.10655000000000001</v>
      </c>
      <c r="D570">
        <v>9.6350000000000005E-2</v>
      </c>
      <c r="E570">
        <v>0.10425</v>
      </c>
      <c r="F570">
        <v>8662957.9000000004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0.5490196078431353</v>
      </c>
      <c r="Q570">
        <f t="shared" si="985"/>
        <v>4756133.7490195911</v>
      </c>
      <c r="R570">
        <f t="shared" si="986"/>
        <v>-6764912.3632029351</v>
      </c>
      <c r="S570">
        <f t="shared" si="987"/>
        <v>-67.649123632029344</v>
      </c>
      <c r="T570">
        <f t="shared" si="988"/>
        <v>-6.7649123632029337E-2</v>
      </c>
    </row>
    <row r="571" spans="1:104" x14ac:dyDescent="0.25">
      <c r="A571" s="5">
        <v>44022</v>
      </c>
      <c r="B571">
        <v>9.2590000000000006E-2</v>
      </c>
      <c r="C571">
        <v>9.7769999999999996E-2</v>
      </c>
      <c r="D571">
        <v>9.0719999999999995E-2</v>
      </c>
      <c r="E571">
        <v>9.7129999999999994E-2</v>
      </c>
      <c r="F571">
        <v>3819509.4</v>
      </c>
      <c r="G571">
        <v>0</v>
      </c>
      <c r="L571" t="s">
        <v>8</v>
      </c>
      <c r="M571" t="s">
        <v>7</v>
      </c>
      <c r="N571" t="s">
        <v>8</v>
      </c>
      <c r="P571">
        <f t="shared" si="984"/>
        <v>0.81843971631205625</v>
      </c>
      <c r="Q571">
        <f t="shared" si="985"/>
        <v>3126038.1897872323</v>
      </c>
      <c r="R571">
        <f t="shared" si="986"/>
        <v>-11521046.112222526</v>
      </c>
      <c r="S571">
        <f t="shared" si="987"/>
        <v>-115.21046112222527</v>
      </c>
      <c r="T571">
        <f t="shared" si="988"/>
        <v>-0.11521046112222527</v>
      </c>
    </row>
    <row r="572" spans="1:104" x14ac:dyDescent="0.25">
      <c r="A572" s="5">
        <v>44021</v>
      </c>
      <c r="B572">
        <v>0.10100000000000001</v>
      </c>
      <c r="C572">
        <v>0.10100000000000001</v>
      </c>
      <c r="D572">
        <v>9.0270000000000003E-2</v>
      </c>
      <c r="E572">
        <v>9.2600000000000002E-2</v>
      </c>
      <c r="F572">
        <v>6052898.7000000002</v>
      </c>
      <c r="G572">
        <v>0</v>
      </c>
      <c r="L572" t="s">
        <v>7</v>
      </c>
      <c r="M572" t="s">
        <v>7</v>
      </c>
      <c r="N572" t="s">
        <v>8</v>
      </c>
      <c r="P572">
        <f t="shared" si="984"/>
        <v>-0.5657036346691523</v>
      </c>
      <c r="Q572">
        <f t="shared" si="985"/>
        <v>-3424146.7948741871</v>
      </c>
      <c r="R572">
        <f t="shared" si="986"/>
        <v>-14647084.302009758</v>
      </c>
      <c r="S572">
        <f t="shared" si="987"/>
        <v>-146.47084302009759</v>
      </c>
      <c r="T572">
        <f t="shared" si="988"/>
        <v>-0.14647084302009758</v>
      </c>
    </row>
    <row r="573" spans="1:104" x14ac:dyDescent="0.25">
      <c r="A573" s="5">
        <v>44020</v>
      </c>
      <c r="B573">
        <v>9.7070000000000004E-2</v>
      </c>
      <c r="C573">
        <v>0.10426000000000001</v>
      </c>
      <c r="D573">
        <v>9.3859999999999999E-2</v>
      </c>
      <c r="E573">
        <v>0.10145999999999999</v>
      </c>
      <c r="F573">
        <v>10640359</v>
      </c>
      <c r="G573">
        <v>0</v>
      </c>
      <c r="L573" t="s">
        <v>7</v>
      </c>
      <c r="M573" t="s">
        <v>7</v>
      </c>
      <c r="N573" t="s">
        <v>8</v>
      </c>
      <c r="P573">
        <f t="shared" si="984"/>
        <v>0.46153846153845979</v>
      </c>
      <c r="Q573">
        <f t="shared" si="985"/>
        <v>4910934.9230769044</v>
      </c>
      <c r="R573">
        <f t="shared" si="986"/>
        <v>-11222937.50713557</v>
      </c>
      <c r="S573">
        <f t="shared" si="987"/>
        <v>-112.2293750713557</v>
      </c>
      <c r="T573">
        <f t="shared" si="988"/>
        <v>-0.11222937507135571</v>
      </c>
    </row>
    <row r="574" spans="1:104" x14ac:dyDescent="0.25">
      <c r="A574" s="5">
        <v>44019</v>
      </c>
      <c r="B574">
        <v>0.10084</v>
      </c>
      <c r="C574">
        <v>0.10135</v>
      </c>
      <c r="D574">
        <v>9.6009999999999998E-2</v>
      </c>
      <c r="E574">
        <v>9.7070000000000004E-2</v>
      </c>
      <c r="F574">
        <v>9196785.4000000004</v>
      </c>
      <c r="G574">
        <v>0</v>
      </c>
      <c r="L574" t="s">
        <v>7</v>
      </c>
      <c r="M574" t="s">
        <v>7</v>
      </c>
      <c r="N574" t="s">
        <v>8</v>
      </c>
      <c r="P574">
        <f t="shared" si="984"/>
        <v>-0.60299625468164575</v>
      </c>
      <c r="Q574">
        <f t="shared" si="985"/>
        <v>-5545627.1513108416</v>
      </c>
      <c r="R574">
        <f t="shared" si="986"/>
        <v>-16133872.430212475</v>
      </c>
      <c r="S574">
        <f t="shared" si="987"/>
        <v>-161.33872430212475</v>
      </c>
      <c r="T574">
        <f t="shared" si="988"/>
        <v>-0.16133872430212476</v>
      </c>
    </row>
    <row r="575" spans="1:104" x14ac:dyDescent="0.25">
      <c r="A575" s="5">
        <v>44018</v>
      </c>
      <c r="B575">
        <v>0.1011</v>
      </c>
      <c r="C575">
        <v>0.11</v>
      </c>
      <c r="D575">
        <v>9.529E-2</v>
      </c>
      <c r="E575">
        <v>0.10119</v>
      </c>
      <c r="F575">
        <v>14580027.800000001</v>
      </c>
      <c r="G575">
        <v>0</v>
      </c>
      <c r="L575" t="s">
        <v>7</v>
      </c>
      <c r="M575" t="s">
        <v>7</v>
      </c>
      <c r="N575" t="s">
        <v>8</v>
      </c>
      <c r="P575">
        <f t="shared" si="984"/>
        <v>-0.19782460910944907</v>
      </c>
      <c r="Q575">
        <f t="shared" si="985"/>
        <v>-2884288.3003399009</v>
      </c>
      <c r="R575">
        <f t="shared" si="986"/>
        <v>-10588245.278901633</v>
      </c>
      <c r="S575">
        <f t="shared" si="987"/>
        <v>-105.88245278901633</v>
      </c>
      <c r="T575">
        <f t="shared" si="988"/>
        <v>-0.10588245278901633</v>
      </c>
    </row>
    <row r="576" spans="1:104" x14ac:dyDescent="0.25">
      <c r="A576" s="5">
        <v>44017</v>
      </c>
      <c r="B576">
        <v>0.10485999999999999</v>
      </c>
      <c r="C576">
        <v>0.1135</v>
      </c>
      <c r="D576">
        <v>9.851E-2</v>
      </c>
      <c r="E576">
        <v>0.10148</v>
      </c>
      <c r="F576">
        <v>17735194.899999999</v>
      </c>
      <c r="G576">
        <v>0</v>
      </c>
      <c r="L576" t="s">
        <v>8</v>
      </c>
      <c r="M576" t="s">
        <v>8</v>
      </c>
      <c r="N576" t="s">
        <v>8</v>
      </c>
      <c r="P576">
        <f t="shared" si="984"/>
        <v>-0.6037358238825884</v>
      </c>
      <c r="Q576">
        <f t="shared" si="985"/>
        <v>-10707372.50466978</v>
      </c>
      <c r="R576">
        <f t="shared" si="986"/>
        <v>-7703956.9785617311</v>
      </c>
      <c r="S576">
        <f t="shared" si="987"/>
        <v>-77.039569785617317</v>
      </c>
      <c r="T576">
        <f t="shared" si="988"/>
        <v>-7.7039569785617323E-2</v>
      </c>
    </row>
    <row r="577" spans="1:20" x14ac:dyDescent="0.25">
      <c r="A577" s="5">
        <v>44016</v>
      </c>
      <c r="B577">
        <v>9.0939999999999993E-2</v>
      </c>
      <c r="C577">
        <v>0.1094</v>
      </c>
      <c r="D577">
        <v>9.0829999999999994E-2</v>
      </c>
      <c r="E577">
        <v>0.1047</v>
      </c>
      <c r="F577">
        <v>23949895.100000001</v>
      </c>
      <c r="G577">
        <v>0</v>
      </c>
      <c r="L577" t="s">
        <v>8</v>
      </c>
      <c r="M577" t="s">
        <v>8</v>
      </c>
      <c r="N577" t="s">
        <v>8</v>
      </c>
      <c r="P577">
        <f t="shared" si="984"/>
        <v>0.49380721593968818</v>
      </c>
      <c r="Q577">
        <f t="shared" si="985"/>
        <v>11826631.02137858</v>
      </c>
      <c r="R577">
        <f t="shared" si="986"/>
        <v>3003415.5261080489</v>
      </c>
      <c r="S577">
        <f t="shared" si="987"/>
        <v>30.034155261080489</v>
      </c>
      <c r="T577">
        <f t="shared" si="988"/>
        <v>3.003415526108049E-2</v>
      </c>
    </row>
    <row r="578" spans="1:20" x14ac:dyDescent="0.25">
      <c r="A578" s="5">
        <v>44015</v>
      </c>
      <c r="B578">
        <v>8.3250000000000005E-2</v>
      </c>
      <c r="C578">
        <v>9.1230000000000006E-2</v>
      </c>
      <c r="D578">
        <v>8.2650000000000001E-2</v>
      </c>
      <c r="E578">
        <v>9.0939999999999993E-2</v>
      </c>
      <c r="F578">
        <v>7145946.9000000004</v>
      </c>
      <c r="G578">
        <v>0</v>
      </c>
      <c r="L578" t="s">
        <v>8</v>
      </c>
      <c r="M578" t="s">
        <v>8</v>
      </c>
      <c r="N578" t="s">
        <v>7</v>
      </c>
      <c r="P578">
        <f t="shared" si="984"/>
        <v>0.93240093240092958</v>
      </c>
      <c r="Q578">
        <f t="shared" si="985"/>
        <v>6662887.5524475323</v>
      </c>
      <c r="R578">
        <f t="shared" si="986"/>
        <v>-8823215.4952705316</v>
      </c>
      <c r="S578">
        <f t="shared" si="987"/>
        <v>-88.232154952705315</v>
      </c>
      <c r="T578">
        <f t="shared" si="988"/>
        <v>-8.8232154952705311E-2</v>
      </c>
    </row>
    <row r="579" spans="1:20" x14ac:dyDescent="0.25">
      <c r="A579" s="5">
        <v>44014</v>
      </c>
      <c r="B579">
        <v>7.9390000000000002E-2</v>
      </c>
      <c r="C579">
        <v>8.9499999999999996E-2</v>
      </c>
      <c r="D579">
        <v>7.9310000000000005E-2</v>
      </c>
      <c r="E579">
        <v>8.2799999999999999E-2</v>
      </c>
      <c r="F579">
        <v>13036526.800000001</v>
      </c>
      <c r="G579">
        <v>0</v>
      </c>
      <c r="L579" t="s">
        <v>8</v>
      </c>
      <c r="M579" t="s">
        <v>8</v>
      </c>
      <c r="N579" t="s">
        <v>7</v>
      </c>
      <c r="P579">
        <f t="shared" si="984"/>
        <v>-0.3150147203140341</v>
      </c>
      <c r="Q579">
        <f t="shared" si="985"/>
        <v>-4106697.8437684104</v>
      </c>
      <c r="R579">
        <f t="shared" si="986"/>
        <v>-15486103.047718063</v>
      </c>
      <c r="S579">
        <f t="shared" si="987"/>
        <v>-154.86103047718063</v>
      </c>
      <c r="T579">
        <f t="shared" si="988"/>
        <v>-0.15486103047718064</v>
      </c>
    </row>
    <row r="580" spans="1:20" x14ac:dyDescent="0.25">
      <c r="A580" s="5">
        <v>44013</v>
      </c>
      <c r="B580">
        <v>7.4319999999999997E-2</v>
      </c>
      <c r="C580">
        <v>8.0710000000000004E-2</v>
      </c>
      <c r="D580">
        <v>7.3260000000000006E-2</v>
      </c>
      <c r="E580">
        <v>7.9439999999999997E-2</v>
      </c>
      <c r="F580">
        <v>5192550.5999999996</v>
      </c>
      <c r="G580">
        <v>0</v>
      </c>
      <c r="L580" t="s">
        <v>8</v>
      </c>
      <c r="M580" t="s">
        <v>7</v>
      </c>
      <c r="N580" t="s">
        <v>7</v>
      </c>
      <c r="P580">
        <f t="shared" si="984"/>
        <v>0.65906040268456179</v>
      </c>
      <c r="Q580">
        <f t="shared" si="985"/>
        <v>3422204.4893959626</v>
      </c>
      <c r="R580">
        <f t="shared" si="986"/>
        <v>-11379405.203949653</v>
      </c>
      <c r="S580">
        <f t="shared" si="987"/>
        <v>-113.79405203949652</v>
      </c>
      <c r="T580">
        <f t="shared" si="988"/>
        <v>-0.11379405203949652</v>
      </c>
    </row>
    <row r="581" spans="1:20" x14ac:dyDescent="0.25">
      <c r="A581" s="5">
        <v>44012</v>
      </c>
      <c r="B581">
        <v>7.4740000000000001E-2</v>
      </c>
      <c r="C581">
        <v>7.7799999999999994E-2</v>
      </c>
      <c r="D581">
        <v>7.3090000000000002E-2</v>
      </c>
      <c r="E581">
        <v>7.4520000000000003E-2</v>
      </c>
      <c r="F581">
        <v>3728237.4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-0.39278131634819397</v>
      </c>
      <c r="Q581">
        <f t="shared" si="985"/>
        <v>-1464381.993630568</v>
      </c>
      <c r="R581">
        <f t="shared" si="986"/>
        <v>-14801609.693345616</v>
      </c>
      <c r="S581">
        <f t="shared" si="987"/>
        <v>-148.01609693345617</v>
      </c>
      <c r="T581">
        <f t="shared" si="988"/>
        <v>-0.14801609693345616</v>
      </c>
    </row>
    <row r="582" spans="1:20" x14ac:dyDescent="0.25">
      <c r="A582" s="5">
        <v>44011</v>
      </c>
      <c r="B582">
        <v>7.5759999999999994E-2</v>
      </c>
      <c r="C582">
        <v>7.7030000000000001E-2</v>
      </c>
      <c r="D582">
        <v>7.0999999999999994E-2</v>
      </c>
      <c r="E582">
        <v>7.4740000000000001E-2</v>
      </c>
      <c r="F582">
        <v>4074629.6</v>
      </c>
      <c r="G582">
        <v>0</v>
      </c>
      <c r="L582" t="s">
        <v>7</v>
      </c>
      <c r="M582" t="s">
        <v>7</v>
      </c>
      <c r="N582" t="s">
        <v>7</v>
      </c>
      <c r="P582">
        <f t="shared" ref="P582:P645" si="989">IF(C582=D582,0,((E582-D582)-(C582-E582))/(C582-D582))</f>
        <v>0.2404643449419577</v>
      </c>
      <c r="Q582">
        <f t="shared" ref="Q582:Q645" si="990">F582*P582</f>
        <v>979803.13764511119</v>
      </c>
      <c r="R582">
        <f t="shared" ref="R582:R645" si="991">R583+Q582</f>
        <v>-13337227.699715048</v>
      </c>
      <c r="S582">
        <f t="shared" ref="S582:S645" si="992">R582/100000</f>
        <v>-133.37227699715049</v>
      </c>
      <c r="T582">
        <f t="shared" ref="T582:T645" si="993">S582/1000</f>
        <v>-0.13337227699715049</v>
      </c>
    </row>
    <row r="583" spans="1:20" x14ac:dyDescent="0.25">
      <c r="A583" s="5">
        <v>44010</v>
      </c>
      <c r="B583">
        <v>7.4490000000000001E-2</v>
      </c>
      <c r="C583">
        <v>7.8450000000000006E-2</v>
      </c>
      <c r="D583">
        <v>7.3249999999999996E-2</v>
      </c>
      <c r="E583">
        <v>7.528E-2</v>
      </c>
      <c r="F583">
        <v>1817414.1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-0.2192307692307692</v>
      </c>
      <c r="Q583">
        <f t="shared" si="990"/>
        <v>-398433.09115384612</v>
      </c>
      <c r="R583">
        <f t="shared" si="991"/>
        <v>-14317030.837360159</v>
      </c>
      <c r="S583">
        <f t="shared" si="992"/>
        <v>-143.17030837360159</v>
      </c>
      <c r="T583">
        <f t="shared" si="993"/>
        <v>-0.14317030837360159</v>
      </c>
    </row>
    <row r="584" spans="1:20" x14ac:dyDescent="0.25">
      <c r="A584" s="5">
        <v>44009</v>
      </c>
      <c r="B584">
        <v>8.6319999999999994E-2</v>
      </c>
      <c r="C584">
        <v>8.6819999999999994E-2</v>
      </c>
      <c r="D584">
        <v>7.2029999999999997E-2</v>
      </c>
      <c r="E584">
        <v>7.4940000000000007E-2</v>
      </c>
      <c r="F584">
        <v>6087793.5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-0.60649087221095199</v>
      </c>
      <c r="Q584">
        <f t="shared" si="990"/>
        <v>-3692191.1896551643</v>
      </c>
      <c r="R584">
        <f t="shared" si="991"/>
        <v>-13918597.746206312</v>
      </c>
      <c r="S584">
        <f t="shared" si="992"/>
        <v>-139.18597746206311</v>
      </c>
      <c r="T584">
        <f t="shared" si="993"/>
        <v>-0.1391859774620631</v>
      </c>
    </row>
    <row r="585" spans="1:20" x14ac:dyDescent="0.25">
      <c r="A585" s="5">
        <v>44008</v>
      </c>
      <c r="B585">
        <v>7.5819999999999999E-2</v>
      </c>
      <c r="C585">
        <v>8.8499999999999995E-2</v>
      </c>
      <c r="D585">
        <v>7.5819999999999999E-2</v>
      </c>
      <c r="E585">
        <v>8.6319999999999994E-2</v>
      </c>
      <c r="F585">
        <v>10792389.4</v>
      </c>
      <c r="G585">
        <v>0</v>
      </c>
      <c r="L585" t="s">
        <v>8</v>
      </c>
      <c r="M585" t="s">
        <v>7</v>
      </c>
      <c r="N585" t="s">
        <v>7</v>
      </c>
      <c r="P585">
        <f t="shared" si="989"/>
        <v>0.65615141955835932</v>
      </c>
      <c r="Q585">
        <f t="shared" si="990"/>
        <v>7081441.6252365904</v>
      </c>
      <c r="R585">
        <f t="shared" si="991"/>
        <v>-10226406.556551147</v>
      </c>
      <c r="S585">
        <f t="shared" si="992"/>
        <v>-102.26406556551147</v>
      </c>
      <c r="T585">
        <f t="shared" si="993"/>
        <v>-0.10226406556551147</v>
      </c>
    </row>
    <row r="586" spans="1:20" x14ac:dyDescent="0.25">
      <c r="A586" s="5">
        <v>44007</v>
      </c>
      <c r="B586">
        <v>8.004E-2</v>
      </c>
      <c r="C586">
        <v>8.0240000000000006E-2</v>
      </c>
      <c r="D586">
        <v>7.5370000000000006E-2</v>
      </c>
      <c r="E586">
        <v>7.5939999999999994E-2</v>
      </c>
      <c r="F586">
        <v>3649203.7</v>
      </c>
      <c r="G586">
        <v>0</v>
      </c>
      <c r="L586" t="s">
        <v>7</v>
      </c>
      <c r="M586" t="s">
        <v>7</v>
      </c>
      <c r="N586" t="s">
        <v>7</v>
      </c>
      <c r="P586">
        <f t="shared" si="989"/>
        <v>-0.76591375770021053</v>
      </c>
      <c r="Q586">
        <f t="shared" si="990"/>
        <v>-2794975.3184805121</v>
      </c>
      <c r="R586">
        <f t="shared" si="991"/>
        <v>-17307848.181787737</v>
      </c>
      <c r="S586">
        <f t="shared" si="992"/>
        <v>-173.07848181787736</v>
      </c>
      <c r="T586">
        <f t="shared" si="993"/>
        <v>-0.17307848181787736</v>
      </c>
    </row>
    <row r="587" spans="1:20" x14ac:dyDescent="0.25">
      <c r="A587" s="5">
        <v>44006</v>
      </c>
      <c r="B587">
        <v>8.4879999999999997E-2</v>
      </c>
      <c r="C587">
        <v>8.5199999999999998E-2</v>
      </c>
      <c r="D587">
        <v>7.8619999999999995E-2</v>
      </c>
      <c r="E587">
        <v>7.9939999999999997E-2</v>
      </c>
      <c r="F587">
        <v>3951479.7</v>
      </c>
      <c r="G587">
        <v>0</v>
      </c>
      <c r="L587" t="s">
        <v>7</v>
      </c>
      <c r="M587" t="s">
        <v>7</v>
      </c>
      <c r="N587" t="s">
        <v>7</v>
      </c>
      <c r="P587">
        <f t="shared" si="989"/>
        <v>-0.59878419452887499</v>
      </c>
      <c r="Q587">
        <f t="shared" si="990"/>
        <v>-2366083.5893617007</v>
      </c>
      <c r="R587">
        <f t="shared" si="991"/>
        <v>-14512872.863307226</v>
      </c>
      <c r="S587">
        <f t="shared" si="992"/>
        <v>-145.12872863307226</v>
      </c>
      <c r="T587">
        <f t="shared" si="993"/>
        <v>-0.14512872863307225</v>
      </c>
    </row>
    <row r="588" spans="1:20" x14ac:dyDescent="0.25">
      <c r="A588" s="5">
        <v>44005</v>
      </c>
      <c r="B588">
        <v>8.7489999999999998E-2</v>
      </c>
      <c r="C588">
        <v>8.7489999999999998E-2</v>
      </c>
      <c r="D588">
        <v>8.4239999999999995E-2</v>
      </c>
      <c r="E588">
        <v>8.4390000000000007E-2</v>
      </c>
      <c r="F588">
        <v>3242025.9</v>
      </c>
      <c r="G588">
        <v>0</v>
      </c>
      <c r="L588" t="s">
        <v>7</v>
      </c>
      <c r="M588" t="s">
        <v>7</v>
      </c>
      <c r="N588" t="s">
        <v>7</v>
      </c>
      <c r="P588">
        <f t="shared" si="989"/>
        <v>-0.90769230769230091</v>
      </c>
      <c r="Q588">
        <f t="shared" si="990"/>
        <v>-2942761.9707692089</v>
      </c>
      <c r="R588">
        <f t="shared" si="991"/>
        <v>-12146789.273945525</v>
      </c>
      <c r="S588">
        <f t="shared" si="992"/>
        <v>-121.46789273945525</v>
      </c>
      <c r="T588">
        <f t="shared" si="993"/>
        <v>-0.12146789273945525</v>
      </c>
    </row>
    <row r="589" spans="1:20" x14ac:dyDescent="0.25">
      <c r="A589" s="5">
        <v>44004</v>
      </c>
      <c r="B589">
        <v>9.0749999999999997E-2</v>
      </c>
      <c r="C589">
        <v>9.1850000000000001E-2</v>
      </c>
      <c r="D589">
        <v>8.2860000000000003E-2</v>
      </c>
      <c r="E589">
        <v>8.7489999999999998E-2</v>
      </c>
      <c r="F589">
        <v>7474042.2999999998</v>
      </c>
      <c r="G589">
        <v>0</v>
      </c>
      <c r="L589" t="s">
        <v>7</v>
      </c>
      <c r="M589" t="s">
        <v>7</v>
      </c>
      <c r="N589" t="s">
        <v>7</v>
      </c>
      <c r="P589">
        <f t="shared" si="989"/>
        <v>3.0033370411567579E-2</v>
      </c>
      <c r="Q589">
        <f t="shared" si="990"/>
        <v>224470.6808676245</v>
      </c>
      <c r="R589">
        <f t="shared" si="991"/>
        <v>-9204027.3031763174</v>
      </c>
      <c r="S589">
        <f t="shared" si="992"/>
        <v>-92.040273031763178</v>
      </c>
      <c r="T589">
        <f t="shared" si="993"/>
        <v>-9.2040273031763181E-2</v>
      </c>
    </row>
    <row r="590" spans="1:20" x14ac:dyDescent="0.25">
      <c r="A590" s="5">
        <v>44003</v>
      </c>
      <c r="B590">
        <v>9.0179999999999996E-2</v>
      </c>
      <c r="C590">
        <v>9.1619999999999993E-2</v>
      </c>
      <c r="D590">
        <v>8.9480000000000004E-2</v>
      </c>
      <c r="E590">
        <v>9.0800000000000006E-2</v>
      </c>
      <c r="F590">
        <v>1572310.5</v>
      </c>
      <c r="G590">
        <v>0</v>
      </c>
      <c r="L590" t="s">
        <v>7</v>
      </c>
      <c r="M590" t="s">
        <v>7</v>
      </c>
      <c r="N590" t="s">
        <v>7</v>
      </c>
      <c r="P590">
        <f t="shared" si="989"/>
        <v>0.23364485981309199</v>
      </c>
      <c r="Q590">
        <f t="shared" si="990"/>
        <v>367362.26635515259</v>
      </c>
      <c r="R590">
        <f t="shared" si="991"/>
        <v>-9428497.9840439428</v>
      </c>
      <c r="S590">
        <f t="shared" si="992"/>
        <v>-94.284979840439433</v>
      </c>
      <c r="T590">
        <f t="shared" si="993"/>
        <v>-9.4284979840439431E-2</v>
      </c>
    </row>
    <row r="591" spans="1:20" x14ac:dyDescent="0.25">
      <c r="A591" s="5">
        <v>44002</v>
      </c>
      <c r="B591">
        <v>9.3740000000000004E-2</v>
      </c>
      <c r="C591">
        <v>9.4640000000000002E-2</v>
      </c>
      <c r="D591">
        <v>8.8260000000000005E-2</v>
      </c>
      <c r="E591">
        <v>9.0179999999999996E-2</v>
      </c>
      <c r="F591">
        <v>5454382.4000000004</v>
      </c>
      <c r="G591">
        <v>0</v>
      </c>
      <c r="L591" t="s">
        <v>7</v>
      </c>
      <c r="M591" t="s">
        <v>7</v>
      </c>
      <c r="N591" t="s">
        <v>7</v>
      </c>
      <c r="P591">
        <f t="shared" si="989"/>
        <v>-0.39811912225705576</v>
      </c>
      <c r="Q591">
        <f t="shared" si="990"/>
        <v>-2171493.9335423335</v>
      </c>
      <c r="R591">
        <f t="shared" si="991"/>
        <v>-9795860.2503990959</v>
      </c>
      <c r="S591">
        <f t="shared" si="992"/>
        <v>-97.95860250399096</v>
      </c>
      <c r="T591">
        <f t="shared" si="993"/>
        <v>-9.7958602503990966E-2</v>
      </c>
    </row>
    <row r="592" spans="1:20" x14ac:dyDescent="0.25">
      <c r="A592" s="5">
        <v>44001</v>
      </c>
      <c r="B592">
        <v>9.1189999999999993E-2</v>
      </c>
      <c r="C592">
        <v>9.5000000000000001E-2</v>
      </c>
      <c r="D592">
        <v>8.8020000000000001E-2</v>
      </c>
      <c r="E592">
        <v>9.3780000000000002E-2</v>
      </c>
      <c r="F592">
        <v>3532628.7</v>
      </c>
      <c r="G592">
        <v>0</v>
      </c>
      <c r="L592" t="s">
        <v>7</v>
      </c>
      <c r="M592" t="s">
        <v>7</v>
      </c>
      <c r="N592" t="s">
        <v>7</v>
      </c>
      <c r="P592">
        <f t="shared" si="989"/>
        <v>0.65042979942693446</v>
      </c>
      <c r="Q592">
        <f t="shared" si="990"/>
        <v>2297726.9767908324</v>
      </c>
      <c r="R592">
        <f t="shared" si="991"/>
        <v>-7624366.3168567624</v>
      </c>
      <c r="S592">
        <f t="shared" si="992"/>
        <v>-76.243663168567622</v>
      </c>
      <c r="T592">
        <f t="shared" si="993"/>
        <v>-7.6243663168567621E-2</v>
      </c>
    </row>
    <row r="593" spans="1:20" x14ac:dyDescent="0.25">
      <c r="A593" s="5">
        <v>44000</v>
      </c>
      <c r="B593">
        <v>8.9620000000000005E-2</v>
      </c>
      <c r="C593">
        <v>9.5000000000000001E-2</v>
      </c>
      <c r="D593">
        <v>8.9010000000000006E-2</v>
      </c>
      <c r="E593">
        <v>9.1189999999999993E-2</v>
      </c>
      <c r="F593">
        <v>3422795.2</v>
      </c>
      <c r="G593">
        <v>0</v>
      </c>
      <c r="L593" t="s">
        <v>8</v>
      </c>
      <c r="M593" t="s">
        <v>7</v>
      </c>
      <c r="N593" t="s">
        <v>7</v>
      </c>
      <c r="P593">
        <f t="shared" si="989"/>
        <v>-0.27212020033389345</v>
      </c>
      <c r="Q593">
        <f t="shared" si="990"/>
        <v>-931411.71552588895</v>
      </c>
      <c r="R593">
        <f t="shared" si="991"/>
        <v>-9922093.2936475947</v>
      </c>
      <c r="S593">
        <f t="shared" si="992"/>
        <v>-99.220932936475947</v>
      </c>
      <c r="T593">
        <f t="shared" si="993"/>
        <v>-9.922093293647595E-2</v>
      </c>
    </row>
    <row r="594" spans="1:20" x14ac:dyDescent="0.25">
      <c r="A594" s="5">
        <v>43999</v>
      </c>
      <c r="B594">
        <v>9.2060000000000003E-2</v>
      </c>
      <c r="C594">
        <v>9.2600000000000002E-2</v>
      </c>
      <c r="D594">
        <v>8.7569999999999995E-2</v>
      </c>
      <c r="E594">
        <v>8.9510000000000006E-2</v>
      </c>
      <c r="F594">
        <v>4485298.7</v>
      </c>
      <c r="G594">
        <v>0</v>
      </c>
      <c r="L594" t="s">
        <v>7</v>
      </c>
      <c r="M594" t="s">
        <v>7</v>
      </c>
      <c r="N594" t="s">
        <v>7</v>
      </c>
      <c r="P594">
        <f t="shared" si="989"/>
        <v>-0.22862823061629878</v>
      </c>
      <c r="Q594">
        <f t="shared" si="990"/>
        <v>-1025465.9055665851</v>
      </c>
      <c r="R594">
        <f t="shared" si="991"/>
        <v>-8990681.578121705</v>
      </c>
      <c r="S594">
        <f t="shared" si="992"/>
        <v>-89.906815781217048</v>
      </c>
      <c r="T594">
        <f t="shared" si="993"/>
        <v>-8.990681578121705E-2</v>
      </c>
    </row>
    <row r="595" spans="1:20" x14ac:dyDescent="0.25">
      <c r="A595" s="5">
        <v>43998</v>
      </c>
      <c r="B595">
        <v>9.1789999999999997E-2</v>
      </c>
      <c r="C595">
        <v>9.6000000000000002E-2</v>
      </c>
      <c r="D595">
        <v>8.9190000000000005E-2</v>
      </c>
      <c r="E595">
        <v>9.1990000000000002E-2</v>
      </c>
      <c r="F595">
        <v>4313615</v>
      </c>
      <c r="G595">
        <v>0</v>
      </c>
      <c r="L595" t="s">
        <v>8</v>
      </c>
      <c r="M595" t="s">
        <v>7</v>
      </c>
      <c r="N595" t="s">
        <v>7</v>
      </c>
      <c r="P595">
        <f t="shared" si="989"/>
        <v>-0.177679882525698</v>
      </c>
      <c r="Q595">
        <f t="shared" si="990"/>
        <v>-766442.60646108876</v>
      </c>
      <c r="R595">
        <f t="shared" si="991"/>
        <v>-7965215.6725551207</v>
      </c>
      <c r="S595">
        <f t="shared" si="992"/>
        <v>-79.652156725551208</v>
      </c>
      <c r="T595">
        <f t="shared" si="993"/>
        <v>-7.9652156725551204E-2</v>
      </c>
    </row>
    <row r="596" spans="1:20" x14ac:dyDescent="0.25">
      <c r="A596" s="5">
        <v>43997</v>
      </c>
      <c r="B596">
        <v>9.2840000000000006E-2</v>
      </c>
      <c r="C596">
        <v>9.6610000000000001E-2</v>
      </c>
      <c r="D596">
        <v>8.1790000000000002E-2</v>
      </c>
      <c r="E596">
        <v>9.1939999999999994E-2</v>
      </c>
      <c r="F596">
        <v>7099419.7999999998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0.36977058029689508</v>
      </c>
      <c r="Q596">
        <f t="shared" si="990"/>
        <v>2625156.5792172668</v>
      </c>
      <c r="R596">
        <f t="shared" si="991"/>
        <v>-7198773.0660940316</v>
      </c>
      <c r="S596">
        <f t="shared" si="992"/>
        <v>-71.987730660940315</v>
      </c>
      <c r="T596">
        <f t="shared" si="993"/>
        <v>-7.1987730660940316E-2</v>
      </c>
    </row>
    <row r="597" spans="1:20" x14ac:dyDescent="0.25">
      <c r="A597" s="5">
        <v>43996</v>
      </c>
      <c r="B597">
        <v>0.10224999999999999</v>
      </c>
      <c r="C597">
        <v>0.10543</v>
      </c>
      <c r="D597">
        <v>9.2929999999999999E-2</v>
      </c>
      <c r="E597">
        <v>9.2999999999999999E-2</v>
      </c>
      <c r="F597">
        <v>3148213.5</v>
      </c>
      <c r="G597">
        <v>0</v>
      </c>
      <c r="L597" t="s">
        <v>7</v>
      </c>
      <c r="M597" t="s">
        <v>7</v>
      </c>
      <c r="N597" t="s">
        <v>7</v>
      </c>
      <c r="P597">
        <f t="shared" si="989"/>
        <v>-0.9887999999999999</v>
      </c>
      <c r="Q597">
        <f t="shared" si="990"/>
        <v>-3112953.5087999995</v>
      </c>
      <c r="R597">
        <f t="shared" si="991"/>
        <v>-9823929.6453112978</v>
      </c>
      <c r="S597">
        <f t="shared" si="992"/>
        <v>-98.239296453112985</v>
      </c>
      <c r="T597">
        <f t="shared" si="993"/>
        <v>-9.8239296453112981E-2</v>
      </c>
    </row>
    <row r="598" spans="1:20" x14ac:dyDescent="0.25">
      <c r="A598" s="5">
        <v>43995</v>
      </c>
      <c r="B598">
        <v>0.10403</v>
      </c>
      <c r="C598">
        <v>0.1154</v>
      </c>
      <c r="D598">
        <v>0.10041</v>
      </c>
      <c r="E598">
        <v>0.10227</v>
      </c>
      <c r="F598">
        <v>5595755.5</v>
      </c>
      <c r="G598">
        <v>0</v>
      </c>
      <c r="L598" t="s">
        <v>7</v>
      </c>
      <c r="M598" t="s">
        <v>7</v>
      </c>
      <c r="N598" t="s">
        <v>7</v>
      </c>
      <c r="P598">
        <f t="shared" si="989"/>
        <v>-0.7518345563709139</v>
      </c>
      <c r="Q598">
        <f t="shared" si="990"/>
        <v>-4207082.3539026016</v>
      </c>
      <c r="R598">
        <f t="shared" si="991"/>
        <v>-6710976.1365112979</v>
      </c>
      <c r="S598">
        <f t="shared" si="992"/>
        <v>-67.109761365112973</v>
      </c>
      <c r="T598">
        <f t="shared" si="993"/>
        <v>-6.7109761365112972E-2</v>
      </c>
    </row>
    <row r="599" spans="1:20" x14ac:dyDescent="0.25">
      <c r="A599" s="5">
        <v>43994</v>
      </c>
      <c r="B599">
        <v>9.3350000000000002E-2</v>
      </c>
      <c r="C599">
        <v>0.17499999999999999</v>
      </c>
      <c r="D599">
        <v>9.3350000000000002E-2</v>
      </c>
      <c r="E599">
        <v>0.104</v>
      </c>
      <c r="F599">
        <v>3387621</v>
      </c>
      <c r="G599">
        <v>0</v>
      </c>
      <c r="P599">
        <f t="shared" si="989"/>
        <v>-0.73913043478260887</v>
      </c>
      <c r="Q599">
        <f t="shared" si="990"/>
        <v>-2503893.7826086963</v>
      </c>
      <c r="R599">
        <f t="shared" si="991"/>
        <v>-2503893.7826086963</v>
      </c>
      <c r="S599">
        <f t="shared" si="992"/>
        <v>-25.038937826086961</v>
      </c>
      <c r="T599">
        <f t="shared" si="993"/>
        <v>-2.503893782608696E-2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KR586" sqref="KR58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$A$585</v>
      </c>
      <c r="D111" s="1" t="str">
        <f>ADDRESS(C121-1,D121,1,1)</f>
        <v>$KR$585</v>
      </c>
      <c r="E111"/>
    </row>
    <row r="112" spans="1:5" x14ac:dyDescent="0.25">
      <c r="A112" s="7">
        <v>12164.144957890772</v>
      </c>
      <c r="C112" s="1" t="str">
        <f>ADDRESS(C121,1,1,1)</f>
        <v>$A$586</v>
      </c>
      <c r="D112" s="1" t="str">
        <f>ADDRESS(C121,D121-1,1,1)</f>
        <v>$KQ$586</v>
      </c>
      <c r="E112"/>
    </row>
    <row r="113" spans="1:5" x14ac:dyDescent="0.25">
      <c r="A113" s="7">
        <v>11925.63231165762</v>
      </c>
      <c r="C113" s="1" t="str">
        <f>ADDRESS(C121+1,1,1,1)</f>
        <v>$A$587</v>
      </c>
      <c r="D113" s="1" t="str">
        <f>ADDRESS(C121-1,D121+1,1,1)</f>
        <v>$KS$585</v>
      </c>
    </row>
    <row r="114" spans="1:5" x14ac:dyDescent="0.25">
      <c r="A114" s="7">
        <v>11691.796383978059</v>
      </c>
      <c r="C114" s="1" t="str">
        <f>ADDRESS(C121,D121,1,1)</f>
        <v>$KR$586</v>
      </c>
      <c r="D114" s="1" t="str">
        <f>ADDRESS(C121+1,D121+1,1,1)</f>
        <v>$KS$587</v>
      </c>
    </row>
    <row r="115" spans="1:5" x14ac:dyDescent="0.25">
      <c r="A115" s="7">
        <v>11462.545474488292</v>
      </c>
      <c r="C115" s="1" t="str">
        <f>ADDRESS(C121+1,D121,1,1)</f>
        <v>$KR$587</v>
      </c>
    </row>
    <row r="116" spans="1:5" x14ac:dyDescent="0.25">
      <c r="A116" s="7">
        <v>11237.789680870874</v>
      </c>
      <c r="C116" s="1">
        <f>C117-1</f>
        <v>585</v>
      </c>
    </row>
    <row r="117" spans="1:5" x14ac:dyDescent="0.25">
      <c r="A117" s="7">
        <v>11017.440863598895</v>
      </c>
      <c r="C117" s="1">
        <f>C121</f>
        <v>586</v>
      </c>
      <c r="D117" s="1">
        <f>D121</f>
        <v>304</v>
      </c>
    </row>
    <row r="118" spans="1:5" x14ac:dyDescent="0.25">
      <c r="A118" s="7">
        <v>10801.412611371465</v>
      </c>
      <c r="C118" s="1">
        <f>C117+1</f>
        <v>587</v>
      </c>
      <c r="D118" s="1">
        <f>D117+1</f>
        <v>305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586</v>
      </c>
      <c r="D121" s="19">
        <v>304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R586</v>
      </c>
      <c r="D123" s="1" t="str">
        <f>"C"&amp;D121</f>
        <v>C304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1.02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272" x14ac:dyDescent="0.25">
      <c r="A513" s="7">
        <v>4.3292504462035977</v>
      </c>
      <c r="B513"/>
      <c r="C513"/>
      <c r="D513"/>
      <c r="E513"/>
    </row>
    <row r="514" spans="1:272" x14ac:dyDescent="0.25">
      <c r="A514" s="7">
        <v>4.2443631825525463</v>
      </c>
      <c r="B514"/>
      <c r="C514"/>
      <c r="D514"/>
      <c r="E514"/>
    </row>
    <row r="515" spans="1:272" x14ac:dyDescent="0.25">
      <c r="A515" s="7">
        <v>4.1611403750515157</v>
      </c>
      <c r="B515"/>
      <c r="C515"/>
      <c r="D515"/>
      <c r="E515"/>
    </row>
    <row r="516" spans="1:272" x14ac:dyDescent="0.25">
      <c r="A516" s="7">
        <v>4.0795493873054074</v>
      </c>
      <c r="B516"/>
      <c r="C516"/>
      <c r="D516"/>
      <c r="E516"/>
    </row>
    <row r="517" spans="1:272" x14ac:dyDescent="0.25">
      <c r="A517" s="7">
        <v>3.9995582228484383</v>
      </c>
      <c r="B517"/>
      <c r="C517"/>
      <c r="D517"/>
      <c r="E517"/>
    </row>
    <row r="518" spans="1:272" x14ac:dyDescent="0.25">
      <c r="A518" s="7">
        <v>3.9211355125965079</v>
      </c>
      <c r="B518"/>
      <c r="C518"/>
      <c r="D518"/>
      <c r="E518"/>
    </row>
    <row r="519" spans="1:272" x14ac:dyDescent="0.25">
      <c r="A519" s="7">
        <v>3.844250502545596</v>
      </c>
      <c r="B519"/>
      <c r="C519"/>
      <c r="D519"/>
      <c r="E519"/>
      <c r="JC519" s="27" t="s">
        <v>8</v>
      </c>
    </row>
    <row r="520" spans="1:272" x14ac:dyDescent="0.25">
      <c r="A520" s="7">
        <v>3.7688730417113687</v>
      </c>
      <c r="B520"/>
      <c r="C520"/>
      <c r="D520"/>
      <c r="E520"/>
      <c r="JC520" s="27" t="s">
        <v>8</v>
      </c>
      <c r="JD520" s="27" t="s">
        <v>7</v>
      </c>
      <c r="JK520" s="27" t="s">
        <v>8</v>
      </c>
    </row>
    <row r="521" spans="1:272" x14ac:dyDescent="0.25">
      <c r="A521" s="7">
        <v>3.6949735703052635</v>
      </c>
      <c r="B521"/>
      <c r="C521"/>
      <c r="D521"/>
      <c r="E521"/>
      <c r="JC521" s="27" t="s">
        <v>8</v>
      </c>
      <c r="JD521" s="27" t="s">
        <v>7</v>
      </c>
      <c r="JK521" s="27" t="s">
        <v>8</v>
      </c>
      <c r="JL521" s="27" t="s">
        <v>7</v>
      </c>
    </row>
    <row r="522" spans="1:272" x14ac:dyDescent="0.25">
      <c r="A522" s="7">
        <v>3.6225231081424152</v>
      </c>
      <c r="B522"/>
      <c r="C522"/>
      <c r="D522"/>
      <c r="E522"/>
      <c r="JC522" s="27" t="s">
        <v>8</v>
      </c>
      <c r="JD522" s="27" t="s">
        <v>7</v>
      </c>
      <c r="JK522" s="27" t="s">
        <v>8</v>
      </c>
      <c r="JL522" s="27" t="s">
        <v>7</v>
      </c>
    </row>
    <row r="523" spans="1:272" x14ac:dyDescent="0.25">
      <c r="A523" s="7">
        <v>3.5514932432768775</v>
      </c>
      <c r="B523"/>
      <c r="C523"/>
      <c r="D523"/>
      <c r="E523"/>
      <c r="JC523" s="27" t="s">
        <v>8</v>
      </c>
      <c r="JD523" s="27" t="s">
        <v>7</v>
      </c>
      <c r="JK523" s="27" t="s">
        <v>8</v>
      </c>
      <c r="JL523" s="27" t="s">
        <v>7</v>
      </c>
    </row>
    <row r="524" spans="1:272" x14ac:dyDescent="0.25">
      <c r="A524" s="7">
        <v>3.4818561208596837</v>
      </c>
      <c r="B524"/>
      <c r="C524"/>
      <c r="D524"/>
      <c r="E524"/>
      <c r="JC524" s="27" t="s">
        <v>8</v>
      </c>
      <c r="JD524" s="27" t="s">
        <v>7</v>
      </c>
      <c r="JK524" s="27" t="s">
        <v>8</v>
      </c>
      <c r="JL524" s="27" t="s">
        <v>7</v>
      </c>
    </row>
    <row r="525" spans="1:272" x14ac:dyDescent="0.25">
      <c r="A525" s="7">
        <v>3.4135844322153761</v>
      </c>
      <c r="B525"/>
      <c r="C525"/>
      <c r="D525"/>
      <c r="E525"/>
      <c r="JC525" s="27" t="s">
        <v>8</v>
      </c>
      <c r="JD525" s="27" t="s">
        <v>7</v>
      </c>
      <c r="JK525" s="27" t="s">
        <v>8</v>
      </c>
      <c r="JL525" s="27" t="s">
        <v>7</v>
      </c>
    </row>
    <row r="526" spans="1:272" x14ac:dyDescent="0.25">
      <c r="A526" s="7">
        <v>3.3466514041327216</v>
      </c>
      <c r="B526"/>
      <c r="C526"/>
      <c r="D526"/>
      <c r="E526"/>
      <c r="JC526" s="27" t="s">
        <v>8</v>
      </c>
      <c r="JD526" s="27" t="s">
        <v>7</v>
      </c>
      <c r="JE526" s="27" t="s">
        <v>8</v>
      </c>
      <c r="JK526" s="27" t="s">
        <v>8</v>
      </c>
      <c r="JL526" s="27" t="s">
        <v>7</v>
      </c>
    </row>
    <row r="527" spans="1:272" x14ac:dyDescent="0.25">
      <c r="A527" s="7">
        <v>3.2810307883654133</v>
      </c>
      <c r="B527"/>
      <c r="C527"/>
      <c r="D527"/>
      <c r="E527"/>
      <c r="JC527" s="27" t="s">
        <v>8</v>
      </c>
      <c r="JD527" s="27" t="s">
        <v>7</v>
      </c>
      <c r="JE527" s="27" t="s">
        <v>8</v>
      </c>
      <c r="JF527" s="27" t="s">
        <v>7</v>
      </c>
      <c r="JK527" s="27" t="s">
        <v>8</v>
      </c>
      <c r="JL527" s="27" t="s">
        <v>7</v>
      </c>
    </row>
    <row r="528" spans="1:272" x14ac:dyDescent="0.25">
      <c r="A528" s="7">
        <v>3.2166968513386403</v>
      </c>
      <c r="B528"/>
      <c r="C528"/>
      <c r="D528"/>
      <c r="E528"/>
      <c r="JC528" s="27" t="s">
        <v>8</v>
      </c>
      <c r="JD528" s="27" t="s">
        <v>7</v>
      </c>
      <c r="JE528" s="27" t="s">
        <v>8</v>
      </c>
      <c r="JF528" s="27" t="s">
        <v>7</v>
      </c>
      <c r="JK528" s="27" t="s">
        <v>8</v>
      </c>
      <c r="JL528" s="27" t="s">
        <v>7</v>
      </c>
    </row>
    <row r="529" spans="1:292" x14ac:dyDescent="0.25">
      <c r="A529" s="7">
        <v>3.1536243640574906</v>
      </c>
      <c r="B529"/>
      <c r="C529"/>
      <c r="D529"/>
      <c r="E529"/>
      <c r="JC529" s="27" t="s">
        <v>8</v>
      </c>
      <c r="JD529" s="27" t="s">
        <v>7</v>
      </c>
      <c r="JE529" s="27" t="s">
        <v>8</v>
      </c>
      <c r="JF529" s="27" t="s">
        <v>7</v>
      </c>
      <c r="JK529" s="27" t="s">
        <v>8</v>
      </c>
      <c r="JL529" s="27" t="s">
        <v>7</v>
      </c>
      <c r="JO529" s="27" t="s">
        <v>8</v>
      </c>
    </row>
    <row r="530" spans="1:292" x14ac:dyDescent="0.25">
      <c r="A530" s="7">
        <v>3.0917885922132262</v>
      </c>
      <c r="B530"/>
      <c r="C530"/>
      <c r="D530"/>
      <c r="E530"/>
      <c r="JC530" s="27" t="s">
        <v>8</v>
      </c>
      <c r="JD530" s="27" t="s">
        <v>7</v>
      </c>
      <c r="JE530" s="27" t="s">
        <v>8</v>
      </c>
      <c r="JF530" s="27" t="s">
        <v>7</v>
      </c>
      <c r="JK530" s="27" t="s">
        <v>8</v>
      </c>
      <c r="JL530" s="27" t="s">
        <v>7</v>
      </c>
      <c r="JM530" s="27" t="s">
        <v>8</v>
      </c>
      <c r="JO530" s="27" t="s">
        <v>8</v>
      </c>
      <c r="JP530" s="27" t="s">
        <v>7</v>
      </c>
    </row>
    <row r="531" spans="1:292" x14ac:dyDescent="0.25">
      <c r="A531" s="7">
        <v>3.0311652864835552</v>
      </c>
      <c r="B531"/>
      <c r="C531"/>
      <c r="D531"/>
      <c r="E531"/>
      <c r="JC531" s="27" t="s">
        <v>8</v>
      </c>
      <c r="JD531" s="27" t="s">
        <v>7</v>
      </c>
      <c r="JE531" s="27" t="s">
        <v>8</v>
      </c>
      <c r="JF531" s="27" t="s">
        <v>7</v>
      </c>
      <c r="JK531" s="27" t="s">
        <v>8</v>
      </c>
      <c r="JL531" s="27" t="s">
        <v>7</v>
      </c>
      <c r="JM531" s="27" t="s">
        <v>8</v>
      </c>
      <c r="JN531" s="27" t="s">
        <v>7</v>
      </c>
      <c r="JO531" s="27" t="s">
        <v>8</v>
      </c>
      <c r="JP531" s="27" t="s">
        <v>7</v>
      </c>
    </row>
    <row r="532" spans="1:292" x14ac:dyDescent="0.25">
      <c r="A532" s="7">
        <v>2.9717306730230932</v>
      </c>
      <c r="B532"/>
      <c r="C532"/>
      <c r="D532"/>
      <c r="E532"/>
      <c r="JC532" s="27" t="s">
        <v>8</v>
      </c>
      <c r="JD532" s="27" t="s">
        <v>7</v>
      </c>
      <c r="JE532" s="27" t="s">
        <v>8</v>
      </c>
      <c r="JF532" s="27" t="s">
        <v>7</v>
      </c>
      <c r="JK532" s="27" t="s">
        <v>8</v>
      </c>
      <c r="JL532" s="27" t="s">
        <v>7</v>
      </c>
      <c r="JM532" s="27" t="s">
        <v>8</v>
      </c>
      <c r="JN532" s="27" t="s">
        <v>7</v>
      </c>
      <c r="JO532" s="27" t="s">
        <v>8</v>
      </c>
      <c r="JP532" s="27" t="s">
        <v>7</v>
      </c>
      <c r="JQ532" s="27" t="s">
        <v>8</v>
      </c>
    </row>
    <row r="533" spans="1:292" x14ac:dyDescent="0.25">
      <c r="A533" s="7">
        <v>2.9134614441402875</v>
      </c>
      <c r="B533"/>
      <c r="C533"/>
      <c r="D533"/>
      <c r="E533"/>
      <c r="JC533" s="27" t="s">
        <v>8</v>
      </c>
      <c r="JD533" s="27" t="s">
        <v>7</v>
      </c>
      <c r="JE533" s="27" t="s">
        <v>8</v>
      </c>
      <c r="JF533" s="27" t="s">
        <v>7</v>
      </c>
      <c r="JK533" s="27" t="s">
        <v>8</v>
      </c>
      <c r="JL533" s="27" t="s">
        <v>7</v>
      </c>
      <c r="JM533" s="27" t="s">
        <v>8</v>
      </c>
      <c r="JN533" s="27" t="s">
        <v>7</v>
      </c>
      <c r="JO533" s="27" t="s">
        <v>8</v>
      </c>
      <c r="JP533" s="27" t="s">
        <v>7</v>
      </c>
      <c r="JQ533" s="27" t="s">
        <v>8</v>
      </c>
      <c r="JR533" s="27" t="s">
        <v>7</v>
      </c>
      <c r="JS533" s="27" t="s">
        <v>8</v>
      </c>
    </row>
    <row r="534" spans="1:292" x14ac:dyDescent="0.25">
      <c r="A534" s="7">
        <v>2.8563347491571447</v>
      </c>
      <c r="B534"/>
      <c r="C534"/>
      <c r="D534"/>
      <c r="E534"/>
      <c r="JC534" s="27" t="s">
        <v>8</v>
      </c>
      <c r="JD534" s="27" t="s">
        <v>7</v>
      </c>
      <c r="JE534" s="27" t="s">
        <v>8</v>
      </c>
      <c r="JF534" s="27" t="s">
        <v>7</v>
      </c>
      <c r="JG534" s="27" t="s">
        <v>8</v>
      </c>
      <c r="JI534" s="27" t="s">
        <v>8</v>
      </c>
      <c r="JK534" s="27" t="s">
        <v>8</v>
      </c>
      <c r="JL534" s="27" t="s">
        <v>7</v>
      </c>
      <c r="JM534" s="27" t="s">
        <v>8</v>
      </c>
      <c r="JN534" s="27" t="s">
        <v>7</v>
      </c>
      <c r="JO534" s="27" t="s">
        <v>8</v>
      </c>
      <c r="JP534" s="27" t="s">
        <v>7</v>
      </c>
      <c r="JQ534" s="27" t="s">
        <v>8</v>
      </c>
      <c r="JR534" s="27" t="s">
        <v>7</v>
      </c>
      <c r="JS534" s="27" t="s">
        <v>8</v>
      </c>
      <c r="JT534" s="27" t="s">
        <v>7</v>
      </c>
    </row>
    <row r="535" spans="1:292" x14ac:dyDescent="0.25">
      <c r="A535" s="7">
        <v>2.8003281854481812</v>
      </c>
      <c r="B535"/>
      <c r="C535"/>
      <c r="D535"/>
      <c r="E535"/>
      <c r="JC535" s="27" t="s">
        <v>8</v>
      </c>
      <c r="JD535" s="27" t="s">
        <v>7</v>
      </c>
      <c r="JE535" s="27" t="s">
        <v>8</v>
      </c>
      <c r="JF535" s="27" t="s">
        <v>7</v>
      </c>
      <c r="JG535" s="27" t="s">
        <v>8</v>
      </c>
      <c r="JH535" s="27" t="s">
        <v>7</v>
      </c>
      <c r="JI535" s="27" t="s">
        <v>8</v>
      </c>
      <c r="JJ535" s="27" t="s">
        <v>7</v>
      </c>
      <c r="JK535" s="27" t="s">
        <v>8</v>
      </c>
      <c r="JL535" s="27" t="s">
        <v>7</v>
      </c>
      <c r="JM535" s="27" t="s">
        <v>8</v>
      </c>
      <c r="JN535" s="27" t="s">
        <v>7</v>
      </c>
      <c r="JO535" s="27" t="s">
        <v>8</v>
      </c>
      <c r="JP535" s="27" t="s">
        <v>7</v>
      </c>
      <c r="JQ535" s="27" t="s">
        <v>8</v>
      </c>
      <c r="JR535" s="27" t="s">
        <v>7</v>
      </c>
      <c r="JS535" s="27" t="s">
        <v>8</v>
      </c>
      <c r="JT535" s="27" t="s">
        <v>7</v>
      </c>
    </row>
    <row r="536" spans="1:292" x14ac:dyDescent="0.25">
      <c r="A536" s="7">
        <v>2.7454197896550796</v>
      </c>
      <c r="B536"/>
      <c r="C536"/>
      <c r="D536"/>
      <c r="E536"/>
      <c r="JC536" s="27" t="s">
        <v>8</v>
      </c>
      <c r="JD536" s="27" t="s">
        <v>7</v>
      </c>
      <c r="JE536" s="27" t="s">
        <v>8</v>
      </c>
      <c r="JF536" s="27" t="s">
        <v>7</v>
      </c>
      <c r="JG536" s="27" t="s">
        <v>8</v>
      </c>
      <c r="JH536" s="27" t="s">
        <v>7</v>
      </c>
      <c r="JI536" s="27" t="s">
        <v>8</v>
      </c>
      <c r="JJ536" s="27" t="s">
        <v>7</v>
      </c>
      <c r="JK536" s="27" t="s">
        <v>8</v>
      </c>
      <c r="JL536" s="27" t="s">
        <v>7</v>
      </c>
      <c r="JM536" s="27" t="s">
        <v>8</v>
      </c>
      <c r="JN536" s="27" t="s">
        <v>7</v>
      </c>
      <c r="JO536" s="27" t="s">
        <v>8</v>
      </c>
      <c r="JP536" s="27" t="s">
        <v>7</v>
      </c>
      <c r="JR536" s="27" t="s">
        <v>7</v>
      </c>
      <c r="JS536" s="27" t="s">
        <v>8</v>
      </c>
      <c r="JT536" s="27" t="s">
        <v>7</v>
      </c>
    </row>
    <row r="537" spans="1:292" x14ac:dyDescent="0.25">
      <c r="A537" s="7">
        <v>2.6915880290736074</v>
      </c>
      <c r="B537"/>
      <c r="C537"/>
      <c r="D537"/>
      <c r="E537"/>
      <c r="JC537" s="27" t="s">
        <v>8</v>
      </c>
      <c r="JD537" s="27" t="s">
        <v>7</v>
      </c>
      <c r="JE537" s="27" t="s">
        <v>8</v>
      </c>
      <c r="JF537" s="27" t="s">
        <v>7</v>
      </c>
      <c r="JG537" s="27" t="s">
        <v>8</v>
      </c>
      <c r="JH537" s="27" t="s">
        <v>7</v>
      </c>
      <c r="JI537" s="27" t="s">
        <v>8</v>
      </c>
      <c r="JJ537" s="27" t="s">
        <v>7</v>
      </c>
      <c r="JK537" s="27" t="s">
        <v>8</v>
      </c>
      <c r="JL537" s="27" t="s">
        <v>7</v>
      </c>
      <c r="JN537" s="27" t="s">
        <v>7</v>
      </c>
      <c r="JR537" s="27" t="s">
        <v>7</v>
      </c>
      <c r="JS537" s="27" t="s">
        <v>8</v>
      </c>
      <c r="JT537" s="27" t="s">
        <v>7</v>
      </c>
    </row>
    <row r="538" spans="1:292" x14ac:dyDescent="0.25">
      <c r="A538" s="7">
        <v>2.6388117932094191</v>
      </c>
      <c r="B538"/>
      <c r="C538"/>
      <c r="D538"/>
      <c r="E538"/>
      <c r="JC538" s="27" t="s">
        <v>8</v>
      </c>
      <c r="JD538" s="27" t="s">
        <v>7</v>
      </c>
      <c r="JF538" s="27" t="s">
        <v>7</v>
      </c>
      <c r="JG538" s="27" t="s">
        <v>8</v>
      </c>
      <c r="JH538" s="27" t="s">
        <v>7</v>
      </c>
      <c r="JI538" s="27" t="s">
        <v>8</v>
      </c>
      <c r="JJ538" s="27" t="s">
        <v>7</v>
      </c>
      <c r="JK538" s="27" t="s">
        <v>8</v>
      </c>
      <c r="JR538" s="27" t="s">
        <v>7</v>
      </c>
      <c r="JS538" s="27" t="s">
        <v>8</v>
      </c>
      <c r="JT538" s="27" t="s">
        <v>7</v>
      </c>
    </row>
    <row r="539" spans="1:292" x14ac:dyDescent="0.25">
      <c r="A539" s="7">
        <v>2.5870703854994304</v>
      </c>
      <c r="B539"/>
      <c r="C539"/>
      <c r="D539"/>
      <c r="E539"/>
      <c r="JC539" s="27" t="s">
        <v>8</v>
      </c>
      <c r="JF539" s="27" t="s">
        <v>7</v>
      </c>
      <c r="JG539" s="27" t="s">
        <v>8</v>
      </c>
      <c r="JH539" s="27" t="s">
        <v>7</v>
      </c>
      <c r="JI539" s="27" t="s">
        <v>8</v>
      </c>
      <c r="JJ539" s="27" t="s">
        <v>7</v>
      </c>
      <c r="JK539" s="27" t="s">
        <v>8</v>
      </c>
      <c r="JR539" s="27" t="s">
        <v>7</v>
      </c>
      <c r="JS539" s="27" t="s">
        <v>8</v>
      </c>
      <c r="JT539" s="27" t="s">
        <v>7</v>
      </c>
    </row>
    <row r="540" spans="1:292" x14ac:dyDescent="0.25">
      <c r="A540" s="7">
        <v>2.53634351519552</v>
      </c>
      <c r="B540"/>
      <c r="C540"/>
      <c r="D540"/>
      <c r="E540"/>
      <c r="JC540" s="27" t="s">
        <v>8</v>
      </c>
      <c r="JF540" s="27" t="s">
        <v>7</v>
      </c>
      <c r="JG540" s="27" t="s">
        <v>8</v>
      </c>
      <c r="JH540" s="27" t="s">
        <v>7</v>
      </c>
      <c r="JI540" s="27" t="s">
        <v>8</v>
      </c>
      <c r="JJ540" s="27" t="s">
        <v>7</v>
      </c>
      <c r="JK540" s="27" t="s">
        <v>8</v>
      </c>
      <c r="JR540" s="27" t="s">
        <v>7</v>
      </c>
      <c r="JS540" s="27" t="s">
        <v>8</v>
      </c>
      <c r="JT540" s="27" t="s">
        <v>7</v>
      </c>
    </row>
    <row r="541" spans="1:292" x14ac:dyDescent="0.25">
      <c r="A541" s="7">
        <v>2.4866112894073726</v>
      </c>
      <c r="B541"/>
      <c r="C541"/>
      <c r="D541"/>
      <c r="E541"/>
      <c r="JC541" s="27" t="s">
        <v>8</v>
      </c>
      <c r="JF541" s="27" t="s">
        <v>7</v>
      </c>
      <c r="JG541" s="27" t="s">
        <v>8</v>
      </c>
      <c r="JH541" s="27" t="s">
        <v>7</v>
      </c>
      <c r="JI541" s="27" t="s">
        <v>8</v>
      </c>
      <c r="JJ541" s="27" t="s">
        <v>7</v>
      </c>
      <c r="JK541" s="27" t="s">
        <v>8</v>
      </c>
      <c r="JR541" s="27" t="s">
        <v>7</v>
      </c>
      <c r="JS541" s="27" t="s">
        <v>8</v>
      </c>
      <c r="JT541" s="27" t="s">
        <v>7</v>
      </c>
      <c r="JU541" s="27" t="s">
        <v>8</v>
      </c>
    </row>
    <row r="542" spans="1:292" x14ac:dyDescent="0.25">
      <c r="A542" s="7">
        <v>2.4378542053013459</v>
      </c>
      <c r="B542"/>
      <c r="C542"/>
      <c r="D542"/>
      <c r="E542"/>
      <c r="JC542" s="27" t="s">
        <v>8</v>
      </c>
      <c r="JF542" s="27" t="s">
        <v>7</v>
      </c>
      <c r="JG542" s="27" t="s">
        <v>8</v>
      </c>
      <c r="JH542" s="27" t="s">
        <v>7</v>
      </c>
      <c r="JI542" s="27" t="s">
        <v>8</v>
      </c>
      <c r="JJ542" s="27" t="s">
        <v>7</v>
      </c>
      <c r="JK542" s="27" t="s">
        <v>8</v>
      </c>
      <c r="JR542" s="27" t="s">
        <v>7</v>
      </c>
      <c r="JS542" s="27" t="s">
        <v>8</v>
      </c>
      <c r="JT542" s="27" t="s">
        <v>7</v>
      </c>
      <c r="JU542" s="27" t="s">
        <v>8</v>
      </c>
      <c r="JV542" s="27" t="s">
        <v>7</v>
      </c>
      <c r="KA542" s="27" t="s">
        <v>8</v>
      </c>
      <c r="KE542" s="27" t="s">
        <v>8</v>
      </c>
    </row>
    <row r="543" spans="1:292" x14ac:dyDescent="0.25">
      <c r="A543" s="7">
        <v>2.3900531424522997</v>
      </c>
      <c r="B543"/>
      <c r="C543"/>
      <c r="D543"/>
      <c r="E543"/>
      <c r="JC543" s="27" t="s">
        <v>8</v>
      </c>
      <c r="JF543" s="27" t="s">
        <v>7</v>
      </c>
      <c r="JH543" s="27" t="s">
        <v>7</v>
      </c>
      <c r="JI543" s="27" t="s">
        <v>8</v>
      </c>
      <c r="JJ543" s="27" t="s">
        <v>7</v>
      </c>
      <c r="JK543" s="27" t="s">
        <v>8</v>
      </c>
      <c r="JR543" s="27" t="s">
        <v>7</v>
      </c>
      <c r="JS543" s="27" t="s">
        <v>8</v>
      </c>
      <c r="JT543" s="27" t="s">
        <v>7</v>
      </c>
      <c r="JU543" s="27" t="s">
        <v>8</v>
      </c>
      <c r="JV543" s="27" t="s">
        <v>7</v>
      </c>
      <c r="KA543" s="27" t="s">
        <v>8</v>
      </c>
      <c r="KB543" s="27" t="s">
        <v>7</v>
      </c>
      <c r="KE543" s="27" t="s">
        <v>8</v>
      </c>
      <c r="KF543" s="27" t="s">
        <v>7</v>
      </c>
    </row>
    <row r="544" spans="1:292" x14ac:dyDescent="0.25">
      <c r="A544" s="7">
        <v>2.343189355345392</v>
      </c>
      <c r="B544"/>
      <c r="C544"/>
      <c r="D544"/>
      <c r="E544"/>
      <c r="JC544" s="27" t="s">
        <v>8</v>
      </c>
      <c r="JH544" s="27" t="s">
        <v>7</v>
      </c>
      <c r="JI544" s="27" t="s">
        <v>8</v>
      </c>
      <c r="JJ544" s="27" t="s">
        <v>7</v>
      </c>
      <c r="JR544" s="27" t="s">
        <v>7</v>
      </c>
      <c r="JS544" s="27" t="s">
        <v>8</v>
      </c>
      <c r="JT544" s="27" t="s">
        <v>7</v>
      </c>
      <c r="JU544" s="27" t="s">
        <v>8</v>
      </c>
      <c r="JV544" s="27" t="s">
        <v>7</v>
      </c>
      <c r="JW544" s="27" t="s">
        <v>8</v>
      </c>
      <c r="KA544" s="27" t="s">
        <v>8</v>
      </c>
      <c r="KB544" s="27" t="s">
        <v>7</v>
      </c>
      <c r="KC544" s="27" t="s">
        <v>8</v>
      </c>
      <c r="KE544" s="27" t="s">
        <v>8</v>
      </c>
      <c r="KF544" s="27" t="s">
        <v>7</v>
      </c>
    </row>
    <row r="545" spans="1:296" x14ac:dyDescent="0.25">
      <c r="A545" s="7">
        <v>2.2972444660248938</v>
      </c>
      <c r="B545"/>
      <c r="C545"/>
      <c r="D545"/>
      <c r="E545"/>
      <c r="JC545" s="27" t="s">
        <v>8</v>
      </c>
      <c r="JH545" s="27" t="s">
        <v>7</v>
      </c>
      <c r="JI545" s="27" t="s">
        <v>8</v>
      </c>
      <c r="JR545" s="27" t="s">
        <v>7</v>
      </c>
      <c r="JS545" s="27" t="s">
        <v>8</v>
      </c>
      <c r="JT545" s="27" t="s">
        <v>7</v>
      </c>
      <c r="JV545" s="27" t="s">
        <v>7</v>
      </c>
      <c r="JW545" s="27" t="s">
        <v>8</v>
      </c>
      <c r="JX545" s="27" t="s">
        <v>7</v>
      </c>
      <c r="KA545" s="27" t="s">
        <v>8</v>
      </c>
      <c r="KB545" s="27" t="s">
        <v>7</v>
      </c>
      <c r="KC545" s="27" t="s">
        <v>8</v>
      </c>
      <c r="KD545" s="27" t="s">
        <v>7</v>
      </c>
      <c r="KE545" s="27" t="s">
        <v>8</v>
      </c>
      <c r="KF545" s="27" t="s">
        <v>7</v>
      </c>
    </row>
    <row r="546" spans="1:296" x14ac:dyDescent="0.25">
      <c r="A546" s="7">
        <v>2.252200456887151</v>
      </c>
      <c r="B546"/>
      <c r="C546"/>
      <c r="D546"/>
      <c r="E546"/>
      <c r="JC546" s="27" t="s">
        <v>8</v>
      </c>
      <c r="JH546" s="27" t="s">
        <v>7</v>
      </c>
      <c r="JI546" s="27" t="s">
        <v>8</v>
      </c>
      <c r="JR546" s="27" t="s">
        <v>7</v>
      </c>
      <c r="JS546" s="27" t="s">
        <v>8</v>
      </c>
      <c r="JV546" s="27" t="s">
        <v>7</v>
      </c>
      <c r="JW546" s="27" t="s">
        <v>8</v>
      </c>
      <c r="JX546" s="27" t="s">
        <v>7</v>
      </c>
      <c r="KA546" s="27" t="s">
        <v>8</v>
      </c>
      <c r="KB546" s="27" t="s">
        <v>7</v>
      </c>
      <c r="KC546" s="27" t="s">
        <v>8</v>
      </c>
      <c r="KD546" s="27" t="s">
        <v>7</v>
      </c>
      <c r="KE546" s="27" t="s">
        <v>8</v>
      </c>
      <c r="KF546" s="27" t="s">
        <v>7</v>
      </c>
    </row>
    <row r="547" spans="1:296" x14ac:dyDescent="0.25">
      <c r="A547" s="7">
        <v>2.208039663614854</v>
      </c>
      <c r="B547"/>
      <c r="C547"/>
      <c r="D547"/>
      <c r="E547"/>
      <c r="JC547" s="27" t="s">
        <v>8</v>
      </c>
      <c r="JH547" s="27" t="s">
        <v>7</v>
      </c>
      <c r="JI547" s="27" t="s">
        <v>8</v>
      </c>
      <c r="JR547" s="27" t="s">
        <v>7</v>
      </c>
      <c r="JS547" s="27" t="s">
        <v>8</v>
      </c>
      <c r="JV547" s="27" t="s">
        <v>7</v>
      </c>
      <c r="JW547" s="27" t="s">
        <v>8</v>
      </c>
      <c r="JX547" s="27" t="s">
        <v>7</v>
      </c>
      <c r="KA547" s="27" t="s">
        <v>8</v>
      </c>
      <c r="KB547" s="27" t="s">
        <v>7</v>
      </c>
      <c r="KC547" s="27" t="s">
        <v>8</v>
      </c>
      <c r="KD547" s="27" t="s">
        <v>7</v>
      </c>
      <c r="KF547" s="27" t="s">
        <v>7</v>
      </c>
    </row>
    <row r="548" spans="1:296" x14ac:dyDescent="0.25">
      <c r="A548" s="7">
        <v>2.1647447682498568</v>
      </c>
      <c r="B548"/>
      <c r="C548"/>
      <c r="D548"/>
      <c r="E548"/>
      <c r="JC548" s="27" t="s">
        <v>8</v>
      </c>
      <c r="JH548" s="27" t="s">
        <v>7</v>
      </c>
      <c r="JR548" s="27" t="s">
        <v>7</v>
      </c>
      <c r="JS548" s="27" t="s">
        <v>8</v>
      </c>
      <c r="JV548" s="27" t="s">
        <v>7</v>
      </c>
      <c r="JW548" s="27" t="s">
        <v>8</v>
      </c>
      <c r="JX548" s="27" t="s">
        <v>7</v>
      </c>
      <c r="KA548" s="27" t="s">
        <v>8</v>
      </c>
      <c r="KB548" s="27" t="s">
        <v>7</v>
      </c>
      <c r="KF548" s="27" t="s">
        <v>7</v>
      </c>
    </row>
    <row r="549" spans="1:296" x14ac:dyDescent="0.25">
      <c r="A549" s="7">
        <v>2.1222987924018204</v>
      </c>
      <c r="B549"/>
      <c r="C549"/>
      <c r="D549"/>
      <c r="E549"/>
      <c r="JC549" s="27" t="s">
        <v>8</v>
      </c>
      <c r="JR549" s="27" t="s">
        <v>7</v>
      </c>
      <c r="JS549" s="27" t="s">
        <v>8</v>
      </c>
      <c r="JV549" s="27" t="s">
        <v>7</v>
      </c>
      <c r="JW549" s="27" t="s">
        <v>8</v>
      </c>
      <c r="JX549" s="27" t="s">
        <v>7</v>
      </c>
      <c r="JY549" s="27" t="s">
        <v>8</v>
      </c>
      <c r="KA549" s="27" t="s">
        <v>8</v>
      </c>
      <c r="KF549" s="27" t="s">
        <v>7</v>
      </c>
      <c r="KG549" s="27" t="s">
        <v>8</v>
      </c>
    </row>
    <row r="550" spans="1:296" x14ac:dyDescent="0.25">
      <c r="A550" s="7">
        <v>2.0806850905900198</v>
      </c>
      <c r="B550"/>
      <c r="C550"/>
      <c r="D550"/>
      <c r="E550"/>
      <c r="JC550" s="27" t="s">
        <v>8</v>
      </c>
      <c r="JR550" s="27" t="s">
        <v>7</v>
      </c>
      <c r="JS550" s="27" t="s">
        <v>8</v>
      </c>
      <c r="JV550" s="27" t="s">
        <v>7</v>
      </c>
      <c r="JW550" s="27" t="s">
        <v>8</v>
      </c>
      <c r="JX550" s="27" t="s">
        <v>7</v>
      </c>
      <c r="JY550" s="27" t="s">
        <v>8</v>
      </c>
      <c r="JZ550" s="27" t="s">
        <v>7</v>
      </c>
      <c r="KA550" s="27" t="s">
        <v>8</v>
      </c>
      <c r="KF550" s="27" t="s">
        <v>7</v>
      </c>
      <c r="KG550" s="27" t="s">
        <v>8</v>
      </c>
      <c r="KH550" s="27" t="s">
        <v>7</v>
      </c>
    </row>
    <row r="551" spans="1:296" x14ac:dyDescent="0.25">
      <c r="A551" s="7">
        <v>2.0398873437157055</v>
      </c>
      <c r="B551"/>
      <c r="C551"/>
      <c r="D551"/>
      <c r="E551"/>
      <c r="JC551" s="27" t="s">
        <v>8</v>
      </c>
      <c r="JR551" s="27" t="s">
        <v>7</v>
      </c>
      <c r="JS551" s="27" t="s">
        <v>8</v>
      </c>
      <c r="JV551" s="27" t="s">
        <v>7</v>
      </c>
      <c r="JX551" s="27" t="s">
        <v>7</v>
      </c>
      <c r="JY551" s="27" t="s">
        <v>8</v>
      </c>
      <c r="JZ551" s="27" t="s">
        <v>7</v>
      </c>
      <c r="KA551" s="27" t="s">
        <v>8</v>
      </c>
      <c r="KF551" s="27" t="s">
        <v>7</v>
      </c>
      <c r="KG551" s="27" t="s">
        <v>8</v>
      </c>
      <c r="KH551" s="27" t="s">
        <v>7</v>
      </c>
      <c r="KI551" s="27" t="s">
        <v>8</v>
      </c>
    </row>
    <row r="552" spans="1:296" x14ac:dyDescent="0.25">
      <c r="A552" s="7">
        <v>1.9998895526624565</v>
      </c>
      <c r="B552"/>
      <c r="C552"/>
      <c r="D552"/>
      <c r="E552"/>
      <c r="JC552" s="27" t="s">
        <v>8</v>
      </c>
      <c r="JR552" s="27" t="s">
        <v>7</v>
      </c>
      <c r="JS552" s="27" t="s">
        <v>8</v>
      </c>
      <c r="JX552" s="27" t="s">
        <v>7</v>
      </c>
      <c r="JZ552" s="27" t="s">
        <v>7</v>
      </c>
      <c r="KA552" s="27" t="s">
        <v>8</v>
      </c>
      <c r="KF552" s="27" t="s">
        <v>7</v>
      </c>
      <c r="KG552" s="27" t="s">
        <v>8</v>
      </c>
      <c r="KH552" s="27" t="s">
        <v>7</v>
      </c>
      <c r="KI552" s="27" t="s">
        <v>8</v>
      </c>
      <c r="KJ552" s="27" t="s">
        <v>7</v>
      </c>
    </row>
    <row r="553" spans="1:296" x14ac:dyDescent="0.25">
      <c r="A553" s="7">
        <v>1.9606760320220162</v>
      </c>
      <c r="B553"/>
      <c r="C553"/>
      <c r="D553"/>
      <c r="E553"/>
      <c r="JC553" s="27" t="s">
        <v>8</v>
      </c>
      <c r="JR553" s="27" t="s">
        <v>7</v>
      </c>
      <c r="JS553" s="27" t="s">
        <v>8</v>
      </c>
      <c r="JZ553" s="27" t="s">
        <v>7</v>
      </c>
      <c r="KA553" s="27" t="s">
        <v>8</v>
      </c>
      <c r="KF553" s="27" t="s">
        <v>7</v>
      </c>
      <c r="KG553" s="27" t="s">
        <v>8</v>
      </c>
      <c r="KH553" s="27" t="s">
        <v>7</v>
      </c>
      <c r="KI553" s="27" t="s">
        <v>8</v>
      </c>
      <c r="KJ553" s="27" t="s">
        <v>7</v>
      </c>
    </row>
    <row r="554" spans="1:296" x14ac:dyDescent="0.25">
      <c r="A554" s="7">
        <v>1.9222314039431532</v>
      </c>
      <c r="B554"/>
      <c r="C554"/>
      <c r="D554"/>
      <c r="E554"/>
      <c r="JC554" s="27" t="s">
        <v>8</v>
      </c>
      <c r="JR554" s="27" t="s">
        <v>7</v>
      </c>
      <c r="JS554" s="27" t="s">
        <v>8</v>
      </c>
      <c r="JZ554" s="27" t="s">
        <v>7</v>
      </c>
      <c r="KA554" s="27" t="s">
        <v>8</v>
      </c>
      <c r="KF554" s="27" t="s">
        <v>7</v>
      </c>
      <c r="KH554" s="27" t="s">
        <v>7</v>
      </c>
      <c r="KI554" s="27" t="s">
        <v>8</v>
      </c>
      <c r="KJ554" s="27" t="s">
        <v>7</v>
      </c>
    </row>
    <row r="555" spans="1:296" x14ac:dyDescent="0.25">
      <c r="A555" s="7">
        <v>1.8845405921011305</v>
      </c>
      <c r="B555"/>
      <c r="C555"/>
      <c r="D555"/>
      <c r="E555"/>
      <c r="JC555" s="27" t="s">
        <v>8</v>
      </c>
      <c r="JR555" s="27" t="s">
        <v>7</v>
      </c>
      <c r="JS555" s="27" t="s">
        <v>8</v>
      </c>
      <c r="JZ555" s="27" t="s">
        <v>7</v>
      </c>
      <c r="KH555" s="27" t="s">
        <v>7</v>
      </c>
      <c r="KI555" s="27" t="s">
        <v>8</v>
      </c>
      <c r="KJ555" s="27" t="s">
        <v>7</v>
      </c>
    </row>
    <row r="556" spans="1:296" x14ac:dyDescent="0.25">
      <c r="A556" s="7">
        <v>1.8475888157854219</v>
      </c>
      <c r="B556"/>
      <c r="C556"/>
      <c r="D556"/>
      <c r="E556"/>
      <c r="JC556" s="27" t="s">
        <v>8</v>
      </c>
      <c r="JR556" s="27" t="s">
        <v>7</v>
      </c>
      <c r="JS556" s="27" t="s">
        <v>8</v>
      </c>
      <c r="KH556" s="27" t="s">
        <v>7</v>
      </c>
      <c r="KI556" s="27" t="s">
        <v>8</v>
      </c>
      <c r="KJ556" s="27" t="s">
        <v>7</v>
      </c>
    </row>
    <row r="557" spans="1:296" x14ac:dyDescent="0.25">
      <c r="A557" s="7">
        <v>1.8113615841033548</v>
      </c>
      <c r="B557"/>
      <c r="C557"/>
      <c r="D557"/>
      <c r="E557"/>
      <c r="JC557" s="27" t="s">
        <v>8</v>
      </c>
      <c r="JR557" s="27" t="s">
        <v>7</v>
      </c>
      <c r="JS557" s="27" t="s">
        <v>8</v>
      </c>
      <c r="KH557" s="27" t="s">
        <v>7</v>
      </c>
      <c r="KI557" s="27" t="s">
        <v>8</v>
      </c>
      <c r="KJ557" s="27" t="s">
        <v>7</v>
      </c>
    </row>
    <row r="558" spans="1:296" x14ac:dyDescent="0.25">
      <c r="A558" s="7">
        <v>1.7758446902974065</v>
      </c>
      <c r="B558"/>
      <c r="C558"/>
      <c r="D558"/>
      <c r="E558"/>
      <c r="JC558" s="27" t="s">
        <v>8</v>
      </c>
      <c r="JR558" s="27" t="s">
        <v>7</v>
      </c>
      <c r="JS558" s="27" t="s">
        <v>8</v>
      </c>
      <c r="KH558" s="27" t="s">
        <v>7</v>
      </c>
      <c r="KI558" s="27" t="s">
        <v>8</v>
      </c>
      <c r="KJ558" s="27" t="s">
        <v>7</v>
      </c>
    </row>
    <row r="559" spans="1:296" x14ac:dyDescent="0.25">
      <c r="A559" s="7">
        <v>1.7410242061739281</v>
      </c>
      <c r="B559"/>
      <c r="C559"/>
      <c r="D559"/>
      <c r="E559"/>
      <c r="JC559" s="27" t="s">
        <v>8</v>
      </c>
      <c r="JR559" s="27" t="s">
        <v>7</v>
      </c>
      <c r="JS559" s="27" t="s">
        <v>8</v>
      </c>
      <c r="KH559" s="27" t="s">
        <v>7</v>
      </c>
      <c r="KI559" s="27" t="s">
        <v>8</v>
      </c>
      <c r="KJ559" s="27" t="s">
        <v>7</v>
      </c>
    </row>
    <row r="560" spans="1:296" x14ac:dyDescent="0.25">
      <c r="A560" s="7">
        <v>1.7068864766411058</v>
      </c>
      <c r="B560"/>
      <c r="C560"/>
      <c r="D560"/>
      <c r="E560"/>
      <c r="IY560" s="27" t="s">
        <v>8</v>
      </c>
      <c r="JC560" s="27" t="s">
        <v>8</v>
      </c>
      <c r="JR560" s="27" t="s">
        <v>7</v>
      </c>
      <c r="JS560" s="27" t="s">
        <v>8</v>
      </c>
      <c r="KH560" s="27" t="s">
        <v>7</v>
      </c>
      <c r="KI560" s="27" t="s">
        <v>8</v>
      </c>
      <c r="KJ560" s="27" t="s">
        <v>7</v>
      </c>
    </row>
    <row r="561" spans="1:301" x14ac:dyDescent="0.25">
      <c r="A561" s="7">
        <v>1.6734181143540252</v>
      </c>
      <c r="B561"/>
      <c r="C561"/>
      <c r="D561"/>
      <c r="E561"/>
      <c r="IY561" s="27" t="s">
        <v>8</v>
      </c>
      <c r="IZ561" s="27" t="s">
        <v>7</v>
      </c>
      <c r="JC561" s="27" t="s">
        <v>8</v>
      </c>
      <c r="JR561" s="27" t="s">
        <v>7</v>
      </c>
      <c r="JS561" s="27" t="s">
        <v>8</v>
      </c>
      <c r="KH561" s="27" t="s">
        <v>7</v>
      </c>
      <c r="KJ561" s="27" t="s">
        <v>7</v>
      </c>
    </row>
    <row r="562" spans="1:301" x14ac:dyDescent="0.25">
      <c r="A562" s="7">
        <v>1.6406059944647307</v>
      </c>
      <c r="B562"/>
      <c r="C562"/>
      <c r="D562"/>
      <c r="E562"/>
      <c r="IY562" s="27" t="s">
        <v>8</v>
      </c>
      <c r="IZ562" s="27" t="s">
        <v>7</v>
      </c>
      <c r="JC562" s="27" t="s">
        <v>8</v>
      </c>
      <c r="JR562" s="27" t="s">
        <v>7</v>
      </c>
      <c r="JS562" s="27" t="s">
        <v>8</v>
      </c>
      <c r="KJ562" s="27" t="s">
        <v>7</v>
      </c>
      <c r="KM562" s="27" t="s">
        <v>8</v>
      </c>
    </row>
    <row r="563" spans="1:301" x14ac:dyDescent="0.25">
      <c r="A563" s="7">
        <v>1.6084372494752261</v>
      </c>
      <c r="B563"/>
      <c r="C563"/>
      <c r="D563"/>
      <c r="E563"/>
      <c r="IY563" s="27" t="s">
        <v>8</v>
      </c>
      <c r="IZ563" s="27" t="s">
        <v>7</v>
      </c>
      <c r="JC563" s="27" t="s">
        <v>8</v>
      </c>
      <c r="JR563" s="27" t="s">
        <v>7</v>
      </c>
      <c r="KJ563" s="27" t="s">
        <v>7</v>
      </c>
      <c r="KK563" s="27" t="s">
        <v>8</v>
      </c>
      <c r="KM563" s="27" t="s">
        <v>8</v>
      </c>
      <c r="KN563" s="27" t="s">
        <v>7</v>
      </c>
    </row>
    <row r="564" spans="1:301" x14ac:dyDescent="0.25">
      <c r="A564" s="7">
        <v>1.5768992641913981</v>
      </c>
      <c r="B564"/>
      <c r="C564"/>
      <c r="D564"/>
      <c r="E564"/>
      <c r="IY564" s="27" t="s">
        <v>8</v>
      </c>
      <c r="IZ564" s="27" t="s">
        <v>7</v>
      </c>
      <c r="JC564" s="27" t="s">
        <v>8</v>
      </c>
      <c r="KJ564" s="27" t="s">
        <v>7</v>
      </c>
      <c r="KK564" s="27" t="s">
        <v>8</v>
      </c>
      <c r="KL564" s="27" t="s">
        <v>7</v>
      </c>
      <c r="KM564" s="27" t="s">
        <v>8</v>
      </c>
      <c r="KN564" s="27" t="s">
        <v>7</v>
      </c>
    </row>
    <row r="565" spans="1:301" x14ac:dyDescent="0.25">
      <c r="A565" s="7">
        <v>1.5459796707758806</v>
      </c>
      <c r="B565"/>
      <c r="C565"/>
      <c r="D565"/>
      <c r="E565"/>
      <c r="IY565" s="27" t="s">
        <v>8</v>
      </c>
      <c r="IZ565" s="27" t="s">
        <v>7</v>
      </c>
      <c r="JC565" s="27" t="s">
        <v>8</v>
      </c>
      <c r="KJ565" s="27" t="s">
        <v>7</v>
      </c>
      <c r="KK565" s="27" t="s">
        <v>8</v>
      </c>
      <c r="KL565" s="27" t="s">
        <v>7</v>
      </c>
      <c r="KM565" s="27" t="s">
        <v>8</v>
      </c>
      <c r="KN565" s="27" t="s">
        <v>7</v>
      </c>
    </row>
    <row r="566" spans="1:301" x14ac:dyDescent="0.25">
      <c r="A566" s="7">
        <v>1.5156663438979221</v>
      </c>
      <c r="B566"/>
      <c r="C566"/>
      <c r="D566"/>
      <c r="E566"/>
      <c r="IY566" s="27" t="s">
        <v>8</v>
      </c>
      <c r="IZ566" s="27" t="s">
        <v>7</v>
      </c>
      <c r="JC566" s="27" t="s">
        <v>8</v>
      </c>
      <c r="KJ566" s="27" t="s">
        <v>7</v>
      </c>
      <c r="KK566" s="27" t="s">
        <v>8</v>
      </c>
      <c r="KL566" s="27" t="s">
        <v>7</v>
      </c>
      <c r="KM566" s="27" t="s">
        <v>8</v>
      </c>
      <c r="KN566" s="27" t="s">
        <v>7</v>
      </c>
    </row>
    <row r="567" spans="1:301" x14ac:dyDescent="0.25">
      <c r="A567" s="7">
        <v>1.4859473959783549</v>
      </c>
      <c r="B567"/>
      <c r="C567"/>
      <c r="D567"/>
      <c r="E567"/>
      <c r="IY567" s="27" t="s">
        <v>8</v>
      </c>
      <c r="IZ567" s="27" t="s">
        <v>7</v>
      </c>
      <c r="JC567" s="27" t="s">
        <v>8</v>
      </c>
      <c r="KJ567" s="27" t="s">
        <v>7</v>
      </c>
      <c r="KK567" s="27" t="s">
        <v>8</v>
      </c>
      <c r="KL567" s="27" t="s">
        <v>7</v>
      </c>
      <c r="KM567" s="27" t="s">
        <v>8</v>
      </c>
      <c r="KN567" s="27" t="s">
        <v>7</v>
      </c>
    </row>
    <row r="568" spans="1:301" x14ac:dyDescent="0.25">
      <c r="A568" s="7">
        <v>1.4568111725277988</v>
      </c>
      <c r="B568"/>
      <c r="C568"/>
      <c r="D568"/>
      <c r="E568"/>
      <c r="IY568" s="27" t="s">
        <v>8</v>
      </c>
      <c r="IZ568" s="27" t="s">
        <v>7</v>
      </c>
      <c r="JA568" s="27" t="s">
        <v>8</v>
      </c>
      <c r="JC568" s="27" t="s">
        <v>8</v>
      </c>
      <c r="KJ568" s="27" t="s">
        <v>7</v>
      </c>
      <c r="KL568" s="27" t="s">
        <v>7</v>
      </c>
      <c r="KM568" s="27" t="s">
        <v>8</v>
      </c>
      <c r="KN568" s="27" t="s">
        <v>7</v>
      </c>
    </row>
    <row r="569" spans="1:301" x14ac:dyDescent="0.25">
      <c r="A569" s="7">
        <v>1.4282462475762734</v>
      </c>
      <c r="B569"/>
      <c r="C569"/>
      <c r="D569"/>
      <c r="E569"/>
      <c r="IY569" s="27" t="s">
        <v>8</v>
      </c>
      <c r="IZ569" s="27" t="s">
        <v>7</v>
      </c>
      <c r="JA569" s="27" t="s">
        <v>8</v>
      </c>
      <c r="JB569" s="27" t="s">
        <v>7</v>
      </c>
      <c r="JC569" s="27" t="s">
        <v>8</v>
      </c>
      <c r="KL569" s="27" t="s">
        <v>7</v>
      </c>
      <c r="KM569" s="27" t="s">
        <v>8</v>
      </c>
      <c r="KN569" s="27" t="s">
        <v>7</v>
      </c>
    </row>
    <row r="570" spans="1:301" x14ac:dyDescent="0.25">
      <c r="A570" s="7">
        <v>1.4002414191924248</v>
      </c>
      <c r="B570"/>
      <c r="C570"/>
      <c r="D570"/>
      <c r="E570"/>
      <c r="IY570" s="27" t="s">
        <v>8</v>
      </c>
      <c r="IZ570" s="27" t="s">
        <v>7</v>
      </c>
      <c r="JA570" s="27" t="s">
        <v>8</v>
      </c>
      <c r="JB570" s="27" t="s">
        <v>7</v>
      </c>
      <c r="JC570" s="27" t="s">
        <v>8</v>
      </c>
      <c r="KL570" s="27" t="s">
        <v>7</v>
      </c>
      <c r="KN570" s="27" t="s">
        <v>7</v>
      </c>
    </row>
    <row r="571" spans="1:301" x14ac:dyDescent="0.25">
      <c r="A571" s="7">
        <v>1.3727857050906125</v>
      </c>
      <c r="B571"/>
      <c r="C571"/>
      <c r="D571"/>
      <c r="E571"/>
      <c r="IY571" s="27" t="s">
        <v>8</v>
      </c>
      <c r="IZ571" s="27" t="s">
        <v>7</v>
      </c>
      <c r="JA571" s="27" t="s">
        <v>8</v>
      </c>
      <c r="JB571" s="27" t="s">
        <v>7</v>
      </c>
      <c r="JC571" s="27" t="s">
        <v>8</v>
      </c>
      <c r="KN571" s="27" t="s">
        <v>7</v>
      </c>
    </row>
    <row r="572" spans="1:301" x14ac:dyDescent="0.25">
      <c r="A572" s="7">
        <v>1.3458683383241299</v>
      </c>
      <c r="B572"/>
      <c r="C572"/>
      <c r="D572"/>
      <c r="E572"/>
      <c r="IY572" s="27" t="s">
        <v>8</v>
      </c>
      <c r="IZ572" s="27" t="s">
        <v>7</v>
      </c>
      <c r="JA572" s="27" t="s">
        <v>8</v>
      </c>
      <c r="JB572" s="27" t="s">
        <v>7</v>
      </c>
      <c r="JC572" s="27" t="s">
        <v>8</v>
      </c>
      <c r="KN572" s="27" t="s">
        <v>7</v>
      </c>
    </row>
    <row r="573" spans="1:301" x14ac:dyDescent="0.25">
      <c r="A573" s="7">
        <v>1.3194787630628724</v>
      </c>
      <c r="B573"/>
      <c r="C573"/>
      <c r="D573"/>
      <c r="E573"/>
      <c r="IY573" s="27" t="s">
        <v>8</v>
      </c>
      <c r="IZ573" s="27" t="s">
        <v>7</v>
      </c>
      <c r="JA573" s="27" t="s">
        <v>8</v>
      </c>
      <c r="JB573" s="27" t="s">
        <v>7</v>
      </c>
      <c r="JC573" s="27" t="s">
        <v>8</v>
      </c>
      <c r="KN573" s="27" t="s">
        <v>7</v>
      </c>
    </row>
    <row r="574" spans="1:301" x14ac:dyDescent="0.25">
      <c r="A574" s="7">
        <v>1.2936066304537963</v>
      </c>
      <c r="B574"/>
      <c r="C574"/>
      <c r="D574"/>
      <c r="E574"/>
      <c r="IY574" s="27" t="s">
        <v>8</v>
      </c>
      <c r="IZ574" s="27" t="s">
        <v>7</v>
      </c>
      <c r="JA574" s="27" t="s">
        <v>8</v>
      </c>
      <c r="JB574" s="27" t="s">
        <v>7</v>
      </c>
      <c r="JC574" s="27" t="s">
        <v>8</v>
      </c>
      <c r="KN574" s="27" t="s">
        <v>7</v>
      </c>
    </row>
    <row r="575" spans="1:301" x14ac:dyDescent="0.25">
      <c r="A575" s="7">
        <v>1.2682417945625455</v>
      </c>
      <c r="B575"/>
      <c r="C575"/>
      <c r="D575"/>
      <c r="E575"/>
      <c r="IY575" s="27" t="s">
        <v>8</v>
      </c>
      <c r="IZ575" s="27" t="s">
        <v>7</v>
      </c>
      <c r="JA575" s="27" t="s">
        <v>8</v>
      </c>
      <c r="JB575" s="27" t="s">
        <v>7</v>
      </c>
      <c r="JC575" s="27" t="s">
        <v>8</v>
      </c>
      <c r="KN575" s="27" t="s">
        <v>7</v>
      </c>
    </row>
    <row r="576" spans="1:301" x14ac:dyDescent="0.25">
      <c r="A576" s="7">
        <v>1.2433743083946525</v>
      </c>
      <c r="B576"/>
      <c r="C576"/>
      <c r="D576"/>
      <c r="E576"/>
      <c r="IY576" s="27" t="s">
        <v>8</v>
      </c>
      <c r="IZ576" s="27" t="s">
        <v>7</v>
      </c>
      <c r="JA576" s="27" t="s">
        <v>8</v>
      </c>
      <c r="JB576" s="27" t="s">
        <v>7</v>
      </c>
      <c r="JC576" s="27" t="s">
        <v>8</v>
      </c>
      <c r="KN576" s="27" t="s">
        <v>7</v>
      </c>
      <c r="KO576" s="27" t="s">
        <v>8</v>
      </c>
    </row>
    <row r="577" spans="1:304" x14ac:dyDescent="0.25">
      <c r="A577" s="7">
        <v>1.2189944199947573</v>
      </c>
      <c r="B577"/>
      <c r="C577"/>
      <c r="D577"/>
      <c r="E577"/>
      <c r="IY577" s="27" t="s">
        <v>8</v>
      </c>
      <c r="IZ577" s="27" t="s">
        <v>7</v>
      </c>
      <c r="JA577" s="27" t="s">
        <v>8</v>
      </c>
      <c r="JB577" s="27" t="s">
        <v>7</v>
      </c>
      <c r="JC577" s="27" t="s">
        <v>8</v>
      </c>
      <c r="KN577" s="27" t="s">
        <v>7</v>
      </c>
      <c r="KO577" s="27" t="s">
        <v>8</v>
      </c>
      <c r="KP577" s="27" t="s">
        <v>7</v>
      </c>
    </row>
    <row r="578" spans="1:304" x14ac:dyDescent="0.25">
      <c r="A578" s="7">
        <v>1.1950925686223111</v>
      </c>
      <c r="B578"/>
      <c r="C578"/>
      <c r="D578"/>
      <c r="E578"/>
      <c r="IY578" s="27" t="s">
        <v>8</v>
      </c>
      <c r="IZ578" s="27" t="s">
        <v>7</v>
      </c>
      <c r="JA578" s="27" t="s">
        <v>8</v>
      </c>
      <c r="JB578" s="27" t="s">
        <v>7</v>
      </c>
      <c r="JC578" s="27" t="s">
        <v>8</v>
      </c>
      <c r="KN578" s="27" t="s">
        <v>7</v>
      </c>
      <c r="KO578" s="27" t="s">
        <v>8</v>
      </c>
      <c r="KP578" s="27" t="s">
        <v>7</v>
      </c>
      <c r="KQ578" s="27" t="s">
        <v>8</v>
      </c>
    </row>
    <row r="579" spans="1:304" x14ac:dyDescent="0.25">
      <c r="A579" s="7">
        <v>1.1716593810022657</v>
      </c>
      <c r="B579"/>
      <c r="C579"/>
      <c r="D579"/>
      <c r="E579"/>
      <c r="IY579" s="27" t="s">
        <v>8</v>
      </c>
      <c r="IZ579" s="27" t="s">
        <v>7</v>
      </c>
      <c r="JA579" s="27" t="s">
        <v>8</v>
      </c>
      <c r="JB579" s="27" t="s">
        <v>7</v>
      </c>
      <c r="KN579" s="27" t="s">
        <v>7</v>
      </c>
      <c r="KO579" s="27" t="s">
        <v>8</v>
      </c>
      <c r="KP579" s="27" t="s">
        <v>7</v>
      </c>
      <c r="KQ579" s="27" t="s">
        <v>8</v>
      </c>
      <c r="KR579" s="27" t="s">
        <v>7</v>
      </c>
    </row>
    <row r="580" spans="1:304" x14ac:dyDescent="0.25">
      <c r="A580" s="7">
        <v>1.14868566764928</v>
      </c>
      <c r="B580"/>
      <c r="C580"/>
      <c r="D580"/>
      <c r="E580"/>
      <c r="IY580" s="27" t="s">
        <v>8</v>
      </c>
      <c r="IZ580" s="27" t="s">
        <v>7</v>
      </c>
      <c r="JA580" s="27" t="s">
        <v>8</v>
      </c>
      <c r="KN580" s="27" t="s">
        <v>7</v>
      </c>
      <c r="KO580" s="27" t="s">
        <v>8</v>
      </c>
      <c r="KP580" s="27" t="s">
        <v>7</v>
      </c>
      <c r="KQ580" s="27" t="s">
        <v>8</v>
      </c>
      <c r="KR580" s="27" t="s">
        <v>7</v>
      </c>
    </row>
    <row r="581" spans="1:304" x14ac:dyDescent="0.25">
      <c r="A581" s="7">
        <v>1.1261624192640001</v>
      </c>
      <c r="B581"/>
      <c r="C581"/>
      <c r="D581"/>
      <c r="E581"/>
      <c r="IY581" s="27" t="s">
        <v>8</v>
      </c>
      <c r="IZ581" s="27" t="s">
        <v>7</v>
      </c>
      <c r="JA581" s="27" t="s">
        <v>8</v>
      </c>
      <c r="KN581" s="27" t="s">
        <v>7</v>
      </c>
      <c r="KO581" s="27" t="s">
        <v>8</v>
      </c>
      <c r="KP581" s="27" t="s">
        <v>7</v>
      </c>
      <c r="KQ581" s="27" t="s">
        <v>8</v>
      </c>
      <c r="KR581" s="27" t="s">
        <v>7</v>
      </c>
    </row>
    <row r="582" spans="1:304" x14ac:dyDescent="0.25">
      <c r="A582" s="7">
        <v>1.1040808032</v>
      </c>
      <c r="B582"/>
      <c r="C582"/>
      <c r="D582"/>
      <c r="E582"/>
      <c r="IY582" s="27" t="s">
        <v>8</v>
      </c>
      <c r="IZ582" s="27" t="s">
        <v>7</v>
      </c>
      <c r="JA582" s="27" t="s">
        <v>8</v>
      </c>
      <c r="KN582" s="27" t="s">
        <v>7</v>
      </c>
      <c r="KP582" s="27" t="s">
        <v>7</v>
      </c>
      <c r="KQ582" s="27" t="s">
        <v>8</v>
      </c>
      <c r="KR582" s="27" t="s">
        <v>7</v>
      </c>
    </row>
    <row r="583" spans="1:304" x14ac:dyDescent="0.25">
      <c r="A583" s="7">
        <v>1.08243216</v>
      </c>
      <c r="B583"/>
      <c r="C583"/>
      <c r="D583"/>
      <c r="E583"/>
      <c r="IY583" s="27" t="s">
        <v>8</v>
      </c>
      <c r="IZ583" s="27" t="s">
        <v>7</v>
      </c>
      <c r="JA583" s="27" t="s">
        <v>8</v>
      </c>
      <c r="KP583" s="27" t="s">
        <v>7</v>
      </c>
      <c r="KQ583" s="27" t="s">
        <v>8</v>
      </c>
      <c r="KR583" s="27" t="s">
        <v>7</v>
      </c>
    </row>
    <row r="584" spans="1:304" x14ac:dyDescent="0.25">
      <c r="A584" s="7">
        <v>1.0612079999999999</v>
      </c>
      <c r="B584"/>
      <c r="C584"/>
      <c r="D584"/>
      <c r="E584"/>
      <c r="IY584" s="27" t="s">
        <v>8</v>
      </c>
      <c r="IZ584" s="27" t="s">
        <v>7</v>
      </c>
      <c r="KP584" s="27" t="s">
        <v>7</v>
      </c>
      <c r="KQ584" s="27" t="s">
        <v>8</v>
      </c>
      <c r="KR584" s="27" t="s">
        <v>7</v>
      </c>
    </row>
    <row r="585" spans="1:304" x14ac:dyDescent="0.25">
      <c r="A585" s="7">
        <v>1.0404</v>
      </c>
      <c r="B585"/>
      <c r="C585"/>
      <c r="D585"/>
      <c r="E585"/>
      <c r="IY585" s="27" t="s">
        <v>8</v>
      </c>
      <c r="KP585" s="27" t="s">
        <v>7</v>
      </c>
      <c r="KQ585" s="27" t="s">
        <v>8</v>
      </c>
      <c r="KR585" s="27" t="s">
        <v>7</v>
      </c>
    </row>
    <row r="586" spans="1:304" x14ac:dyDescent="0.25">
      <c r="A586" s="7">
        <v>1.02</v>
      </c>
      <c r="B586"/>
      <c r="C586"/>
      <c r="D586"/>
      <c r="E586"/>
      <c r="IY586" s="27" t="s">
        <v>8</v>
      </c>
      <c r="KP586" s="27" t="s">
        <v>7</v>
      </c>
      <c r="KQ586" s="27" t="s">
        <v>8</v>
      </c>
      <c r="KR586" s="27" t="s">
        <v>7</v>
      </c>
    </row>
    <row r="587" spans="1:304" x14ac:dyDescent="0.25">
      <c r="A587" s="7">
        <v>1</v>
      </c>
      <c r="B587"/>
      <c r="C587"/>
      <c r="D587"/>
      <c r="E587" s="29" t="s">
        <v>8</v>
      </c>
      <c r="IY587" s="27" t="s">
        <v>8</v>
      </c>
      <c r="KP587" s="27" t="s">
        <v>7</v>
      </c>
      <c r="KQ587" s="27" t="s">
        <v>8</v>
      </c>
    </row>
    <row r="588" spans="1:304" x14ac:dyDescent="0.25">
      <c r="A588" s="7">
        <v>0.98039215686274506</v>
      </c>
      <c r="B588"/>
      <c r="C588"/>
      <c r="D588"/>
      <c r="E588"/>
      <c r="F588" s="27" t="s">
        <v>7</v>
      </c>
      <c r="IY588" s="27" t="s">
        <v>8</v>
      </c>
      <c r="KP588" s="27" t="s">
        <v>7</v>
      </c>
      <c r="KQ588" s="27" t="s">
        <v>8</v>
      </c>
    </row>
    <row r="589" spans="1:304" x14ac:dyDescent="0.25">
      <c r="A589" s="7">
        <v>0.96116878123798544</v>
      </c>
      <c r="B589"/>
      <c r="C589"/>
      <c r="D589"/>
      <c r="E589"/>
      <c r="F589" s="27" t="s">
        <v>7</v>
      </c>
      <c r="IY589" s="27" t="s">
        <v>8</v>
      </c>
      <c r="KP589" s="27" t="s">
        <v>7</v>
      </c>
      <c r="KQ589" s="27" t="s">
        <v>8</v>
      </c>
    </row>
    <row r="590" spans="1:304" x14ac:dyDescent="0.25">
      <c r="A590" s="7">
        <v>0.94232233454704462</v>
      </c>
      <c r="B590"/>
      <c r="C590"/>
      <c r="D590"/>
      <c r="E590"/>
      <c r="F590" s="27" t="s">
        <v>7</v>
      </c>
      <c r="IY590" s="27" t="s">
        <v>8</v>
      </c>
      <c r="KP590" s="27" t="s">
        <v>7</v>
      </c>
      <c r="KQ590" s="27" t="s">
        <v>8</v>
      </c>
    </row>
    <row r="591" spans="1:304" x14ac:dyDescent="0.25">
      <c r="A591" s="7">
        <v>0.92384542602651432</v>
      </c>
      <c r="B591"/>
      <c r="C591"/>
      <c r="D591"/>
      <c r="E591"/>
      <c r="F591" s="27" t="s">
        <v>7</v>
      </c>
      <c r="IY591" s="27" t="s">
        <v>8</v>
      </c>
      <c r="KP591" s="27" t="s">
        <v>7</v>
      </c>
      <c r="KQ591" s="27" t="s">
        <v>8</v>
      </c>
    </row>
    <row r="592" spans="1:304" x14ac:dyDescent="0.25">
      <c r="A592" s="7">
        <v>0.90573080982991594</v>
      </c>
      <c r="B592"/>
      <c r="C592"/>
      <c r="D592"/>
      <c r="E592"/>
      <c r="F592" s="27" t="s">
        <v>7</v>
      </c>
      <c r="FW592" s="27" t="s">
        <v>8</v>
      </c>
      <c r="IY592" s="27" t="s">
        <v>8</v>
      </c>
      <c r="KP592" s="27" t="s">
        <v>7</v>
      </c>
      <c r="KQ592" s="27" t="s">
        <v>8</v>
      </c>
    </row>
    <row r="593" spans="1:303" x14ac:dyDescent="0.25">
      <c r="A593" s="7">
        <v>0.8879713821861922</v>
      </c>
      <c r="B593"/>
      <c r="C593"/>
      <c r="D593"/>
      <c r="E593"/>
      <c r="F593" s="27" t="s">
        <v>7</v>
      </c>
      <c r="EA593" s="27" t="s">
        <v>8</v>
      </c>
      <c r="FW593" s="27" t="s">
        <v>8</v>
      </c>
      <c r="FX593" s="27" t="s">
        <v>7</v>
      </c>
      <c r="IY593" s="27" t="s">
        <v>8</v>
      </c>
      <c r="KP593" s="27" t="s">
        <v>7</v>
      </c>
      <c r="KQ593" s="27" t="s">
        <v>8</v>
      </c>
    </row>
    <row r="594" spans="1:303" x14ac:dyDescent="0.25">
      <c r="A594" s="7">
        <v>0.87056017861391399</v>
      </c>
      <c r="B594"/>
      <c r="C594"/>
      <c r="D594"/>
      <c r="E594"/>
      <c r="F594" s="27" t="s">
        <v>7</v>
      </c>
      <c r="EA594" s="27" t="s">
        <v>8</v>
      </c>
      <c r="EB594" s="27" t="s">
        <v>7</v>
      </c>
      <c r="FW594" s="27" t="s">
        <v>8</v>
      </c>
      <c r="FX594" s="27" t="s">
        <v>7</v>
      </c>
      <c r="IY594" s="27" t="s">
        <v>8</v>
      </c>
      <c r="KP594" s="27" t="s">
        <v>7</v>
      </c>
      <c r="KQ594" s="27" t="s">
        <v>8</v>
      </c>
    </row>
    <row r="595" spans="1:303" x14ac:dyDescent="0.25">
      <c r="A595" s="7">
        <v>0.85349037119011173</v>
      </c>
      <c r="B595"/>
      <c r="C595"/>
      <c r="D595"/>
      <c r="E595"/>
      <c r="F595" s="27" t="s">
        <v>7</v>
      </c>
      <c r="EA595" s="27" t="s">
        <v>8</v>
      </c>
      <c r="EB595" s="27" t="s">
        <v>7</v>
      </c>
      <c r="FW595" s="27" t="s">
        <v>8</v>
      </c>
      <c r="FX595" s="27" t="s">
        <v>7</v>
      </c>
      <c r="IY595" s="27" t="s">
        <v>8</v>
      </c>
      <c r="KP595" s="27" t="s">
        <v>7</v>
      </c>
      <c r="KQ595" s="27" t="s">
        <v>8</v>
      </c>
    </row>
    <row r="596" spans="1:303" x14ac:dyDescent="0.25">
      <c r="A596" s="7">
        <v>0.83675526587265858</v>
      </c>
      <c r="B596"/>
      <c r="C596"/>
      <c r="D596"/>
      <c r="E596"/>
      <c r="F596" s="27" t="s">
        <v>7</v>
      </c>
      <c r="EA596" s="27" t="s">
        <v>8</v>
      </c>
      <c r="EB596" s="27" t="s">
        <v>7</v>
      </c>
      <c r="EC596" s="27" t="s">
        <v>8</v>
      </c>
      <c r="FW596" s="27" t="s">
        <v>8</v>
      </c>
      <c r="FX596" s="27" t="s">
        <v>7</v>
      </c>
      <c r="IY596" s="27" t="s">
        <v>8</v>
      </c>
      <c r="KP596" s="27" t="s">
        <v>7</v>
      </c>
      <c r="KQ596" s="27" t="s">
        <v>8</v>
      </c>
    </row>
    <row r="597" spans="1:303" x14ac:dyDescent="0.25">
      <c r="A597" s="7">
        <v>0.82034829987515545</v>
      </c>
      <c r="B597"/>
      <c r="C597"/>
      <c r="D597"/>
      <c r="E597"/>
      <c r="F597" s="27" t="s">
        <v>7</v>
      </c>
      <c r="EA597" s="27" t="s">
        <v>8</v>
      </c>
      <c r="EB597" s="27" t="s">
        <v>7</v>
      </c>
      <c r="EC597" s="27" t="s">
        <v>8</v>
      </c>
      <c r="ED597" s="27" t="s">
        <v>7</v>
      </c>
      <c r="FW597" s="27" t="s">
        <v>8</v>
      </c>
      <c r="FX597" s="27" t="s">
        <v>7</v>
      </c>
      <c r="IY597" s="27" t="s">
        <v>8</v>
      </c>
      <c r="KP597" s="27" t="s">
        <v>7</v>
      </c>
      <c r="KQ597" s="27" t="s">
        <v>8</v>
      </c>
    </row>
    <row r="598" spans="1:303" x14ac:dyDescent="0.25">
      <c r="A598" s="7">
        <v>0.80426303909328967</v>
      </c>
      <c r="B598"/>
      <c r="C598"/>
      <c r="D598"/>
      <c r="E598"/>
      <c r="F598" s="27" t="s">
        <v>7</v>
      </c>
      <c r="EA598" s="27" t="s">
        <v>8</v>
      </c>
      <c r="EB598" s="27" t="s">
        <v>7</v>
      </c>
      <c r="EC598" s="27" t="s">
        <v>8</v>
      </c>
      <c r="ED598" s="27" t="s">
        <v>7</v>
      </c>
      <c r="EE598" s="27" t="s">
        <v>8</v>
      </c>
      <c r="EG598" s="27" t="s">
        <v>8</v>
      </c>
      <c r="FW598" s="27" t="s">
        <v>8</v>
      </c>
      <c r="FX598" s="27" t="s">
        <v>7</v>
      </c>
      <c r="IY598" s="27" t="s">
        <v>8</v>
      </c>
      <c r="KP598" s="27" t="s">
        <v>7</v>
      </c>
      <c r="KQ598" s="27" t="s">
        <v>8</v>
      </c>
    </row>
    <row r="599" spans="1:303" x14ac:dyDescent="0.25">
      <c r="A599" s="7">
        <v>0.78849317558165644</v>
      </c>
      <c r="B599"/>
      <c r="C599"/>
      <c r="D599"/>
      <c r="E599"/>
      <c r="F599" s="27" t="s">
        <v>7</v>
      </c>
      <c r="DW599" s="27" t="s">
        <v>8</v>
      </c>
      <c r="EA599" s="27" t="s">
        <v>8</v>
      </c>
      <c r="EB599" s="27" t="s">
        <v>7</v>
      </c>
      <c r="EC599" s="27" t="s">
        <v>8</v>
      </c>
      <c r="ED599" s="27" t="s">
        <v>7</v>
      </c>
      <c r="EE599" s="27" t="s">
        <v>8</v>
      </c>
      <c r="EF599" s="27" t="s">
        <v>7</v>
      </c>
      <c r="EG599" s="27" t="s">
        <v>8</v>
      </c>
      <c r="EH599" s="27" t="s">
        <v>7</v>
      </c>
      <c r="FW599" s="27" t="s">
        <v>8</v>
      </c>
      <c r="FX599" s="27" t="s">
        <v>7</v>
      </c>
      <c r="IY599" s="27" t="s">
        <v>8</v>
      </c>
      <c r="KP599" s="27" t="s">
        <v>7</v>
      </c>
      <c r="KQ599" s="27" t="s">
        <v>8</v>
      </c>
    </row>
    <row r="600" spans="1:303" x14ac:dyDescent="0.25">
      <c r="A600" s="7">
        <v>0.77303252508005538</v>
      </c>
      <c r="B600"/>
      <c r="C600"/>
      <c r="D600"/>
      <c r="E600"/>
      <c r="F600" s="27" t="s">
        <v>7</v>
      </c>
      <c r="DW600" s="27" t="s">
        <v>8</v>
      </c>
      <c r="DX600" s="27" t="s">
        <v>7</v>
      </c>
      <c r="EA600" s="27" t="s">
        <v>8</v>
      </c>
      <c r="EB600" s="27" t="s">
        <v>7</v>
      </c>
      <c r="EC600" s="27" t="s">
        <v>8</v>
      </c>
      <c r="ED600" s="27" t="s">
        <v>7</v>
      </c>
      <c r="EE600" s="27" t="s">
        <v>8</v>
      </c>
      <c r="EF600" s="27" t="s">
        <v>7</v>
      </c>
      <c r="EG600" s="27" t="s">
        <v>8</v>
      </c>
      <c r="EH600" s="27" t="s">
        <v>7</v>
      </c>
      <c r="FI600" s="27" t="s">
        <v>8</v>
      </c>
      <c r="FW600" s="27" t="s">
        <v>8</v>
      </c>
      <c r="FX600" s="27" t="s">
        <v>7</v>
      </c>
      <c r="IY600" s="27" t="s">
        <v>8</v>
      </c>
      <c r="KP600" s="27" t="s">
        <v>7</v>
      </c>
      <c r="KQ600" s="27" t="s">
        <v>8</v>
      </c>
    </row>
    <row r="601" spans="1:303" x14ac:dyDescent="0.25">
      <c r="A601" s="7">
        <v>0.75787502458828959</v>
      </c>
      <c r="B601"/>
      <c r="C601"/>
      <c r="D601"/>
      <c r="E601"/>
      <c r="F601" s="27" t="s">
        <v>7</v>
      </c>
      <c r="DW601" s="27" t="s">
        <v>8</v>
      </c>
      <c r="DX601" s="27" t="s">
        <v>7</v>
      </c>
      <c r="EA601" s="27" t="s">
        <v>8</v>
      </c>
      <c r="EB601" s="27" t="s">
        <v>7</v>
      </c>
      <c r="ED601" s="27" t="s">
        <v>7</v>
      </c>
      <c r="EE601" s="27" t="s">
        <v>8</v>
      </c>
      <c r="EF601" s="27" t="s">
        <v>7</v>
      </c>
      <c r="EG601" s="27" t="s">
        <v>8</v>
      </c>
      <c r="EH601" s="27" t="s">
        <v>7</v>
      </c>
      <c r="FI601" s="27" t="s">
        <v>8</v>
      </c>
      <c r="FJ601" s="27" t="s">
        <v>7</v>
      </c>
      <c r="FW601" s="27" t="s">
        <v>8</v>
      </c>
      <c r="FX601" s="27" t="s">
        <v>7</v>
      </c>
      <c r="IY601" s="27" t="s">
        <v>8</v>
      </c>
      <c r="KP601" s="27" t="s">
        <v>7</v>
      </c>
      <c r="KQ601" s="27" t="s">
        <v>8</v>
      </c>
    </row>
    <row r="602" spans="1:303" x14ac:dyDescent="0.25">
      <c r="A602" s="7">
        <v>0.74301472998851925</v>
      </c>
      <c r="B602"/>
      <c r="C602"/>
      <c r="D602"/>
      <c r="E602"/>
      <c r="F602" s="27" t="s">
        <v>7</v>
      </c>
      <c r="DW602" s="27" t="s">
        <v>8</v>
      </c>
      <c r="DX602" s="27" t="s">
        <v>7</v>
      </c>
      <c r="EA602" s="27" t="s">
        <v>8</v>
      </c>
      <c r="ED602" s="27" t="s">
        <v>7</v>
      </c>
      <c r="EE602" s="27" t="s">
        <v>8</v>
      </c>
      <c r="EF602" s="27" t="s">
        <v>7</v>
      </c>
      <c r="EG602" s="27" t="s">
        <v>8</v>
      </c>
      <c r="EH602" s="27" t="s">
        <v>7</v>
      </c>
      <c r="FI602" s="27" t="s">
        <v>8</v>
      </c>
      <c r="FJ602" s="27" t="s">
        <v>7</v>
      </c>
      <c r="FW602" s="27" t="s">
        <v>8</v>
      </c>
      <c r="FX602" s="27" t="s">
        <v>7</v>
      </c>
      <c r="HS602" s="27" t="s">
        <v>8</v>
      </c>
      <c r="IY602" s="27" t="s">
        <v>8</v>
      </c>
      <c r="KP602" s="27" t="s">
        <v>7</v>
      </c>
      <c r="KQ602" s="27" t="s">
        <v>8</v>
      </c>
    </row>
    <row r="603" spans="1:303" x14ac:dyDescent="0.25">
      <c r="A603" s="7">
        <v>0.72844581371423456</v>
      </c>
      <c r="B603"/>
      <c r="C603"/>
      <c r="D603"/>
      <c r="E603"/>
      <c r="F603" s="27" t="s">
        <v>7</v>
      </c>
      <c r="DW603" s="27" t="s">
        <v>8</v>
      </c>
      <c r="DX603" s="27" t="s">
        <v>7</v>
      </c>
      <c r="EA603" s="27" t="s">
        <v>8</v>
      </c>
      <c r="ED603" s="27" t="s">
        <v>7</v>
      </c>
      <c r="EE603" s="27" t="s">
        <v>8</v>
      </c>
      <c r="EF603" s="27" t="s">
        <v>7</v>
      </c>
      <c r="EG603" s="27" t="s">
        <v>8</v>
      </c>
      <c r="EH603" s="27" t="s">
        <v>7</v>
      </c>
      <c r="FI603" s="27" t="s">
        <v>8</v>
      </c>
      <c r="FJ603" s="27" t="s">
        <v>7</v>
      </c>
      <c r="FW603" s="27" t="s">
        <v>8</v>
      </c>
      <c r="FX603" s="27" t="s">
        <v>7</v>
      </c>
      <c r="HS603" s="27" t="s">
        <v>8</v>
      </c>
      <c r="HT603" s="27" t="s">
        <v>7</v>
      </c>
      <c r="IY603" s="27" t="s">
        <v>8</v>
      </c>
      <c r="KP603" s="27" t="s">
        <v>7</v>
      </c>
      <c r="KQ603" s="27" t="s">
        <v>8</v>
      </c>
    </row>
    <row r="604" spans="1:303" x14ac:dyDescent="0.25">
      <c r="A604" s="7">
        <v>0.71416256246493581</v>
      </c>
      <c r="B604"/>
      <c r="C604"/>
      <c r="D604"/>
      <c r="E604"/>
      <c r="F604" s="27" t="s">
        <v>7</v>
      </c>
      <c r="DW604" s="27" t="s">
        <v>8</v>
      </c>
      <c r="DX604" s="27" t="s">
        <v>7</v>
      </c>
      <c r="EA604" s="27" t="s">
        <v>8</v>
      </c>
      <c r="ED604" s="27" t="s">
        <v>7</v>
      </c>
      <c r="EE604" s="27" t="s">
        <v>8</v>
      </c>
      <c r="EF604" s="27" t="s">
        <v>7</v>
      </c>
      <c r="EG604" s="27" t="s">
        <v>8</v>
      </c>
      <c r="EH604" s="27" t="s">
        <v>7</v>
      </c>
      <c r="FI604" s="27" t="s">
        <v>8</v>
      </c>
      <c r="FJ604" s="27" t="s">
        <v>7</v>
      </c>
      <c r="FW604" s="27" t="s">
        <v>8</v>
      </c>
      <c r="FX604" s="27" t="s">
        <v>7</v>
      </c>
      <c r="HS604" s="27" t="s">
        <v>8</v>
      </c>
      <c r="HT604" s="27" t="s">
        <v>7</v>
      </c>
      <c r="IY604" s="27" t="s">
        <v>8</v>
      </c>
      <c r="KP604" s="27" t="s">
        <v>7</v>
      </c>
      <c r="KQ604" s="27" t="s">
        <v>8</v>
      </c>
    </row>
    <row r="605" spans="1:303" x14ac:dyDescent="0.25">
      <c r="A605" s="7">
        <v>0.7001593749656233</v>
      </c>
      <c r="B605"/>
      <c r="C605"/>
      <c r="D605"/>
      <c r="E605"/>
      <c r="F605" s="27" t="s">
        <v>7</v>
      </c>
      <c r="DW605" s="27" t="s">
        <v>8</v>
      </c>
      <c r="DX605" s="27" t="s">
        <v>7</v>
      </c>
      <c r="EA605" s="27" t="s">
        <v>8</v>
      </c>
      <c r="ED605" s="27" t="s">
        <v>7</v>
      </c>
      <c r="EE605" s="27" t="s">
        <v>8</v>
      </c>
      <c r="EF605" s="27" t="s">
        <v>7</v>
      </c>
      <c r="EG605" s="27" t="s">
        <v>8</v>
      </c>
      <c r="EH605" s="27" t="s">
        <v>7</v>
      </c>
      <c r="FI605" s="27" t="s">
        <v>8</v>
      </c>
      <c r="FJ605" s="27" t="s">
        <v>7</v>
      </c>
      <c r="FW605" s="27" t="s">
        <v>8</v>
      </c>
      <c r="FX605" s="27" t="s">
        <v>7</v>
      </c>
      <c r="HS605" s="27" t="s">
        <v>8</v>
      </c>
      <c r="HT605" s="27" t="s">
        <v>7</v>
      </c>
      <c r="IY605" s="27" t="s">
        <v>8</v>
      </c>
      <c r="KP605" s="27" t="s">
        <v>7</v>
      </c>
      <c r="KQ605" s="27" t="s">
        <v>8</v>
      </c>
    </row>
    <row r="606" spans="1:303" x14ac:dyDescent="0.25">
      <c r="A606" s="7">
        <v>0.68643075977021883</v>
      </c>
      <c r="B606"/>
      <c r="C606"/>
      <c r="D606"/>
      <c r="E606"/>
      <c r="F606" s="27" t="s">
        <v>7</v>
      </c>
      <c r="DW606" s="27" t="s">
        <v>8</v>
      </c>
      <c r="DX606" s="27" t="s">
        <v>7</v>
      </c>
      <c r="DY606" s="27" t="s">
        <v>8</v>
      </c>
      <c r="EA606" s="27" t="s">
        <v>8</v>
      </c>
      <c r="ED606" s="27" t="s">
        <v>7</v>
      </c>
      <c r="EE606" s="27" t="s">
        <v>8</v>
      </c>
      <c r="EF606" s="27" t="s">
        <v>7</v>
      </c>
      <c r="EH606" s="27" t="s">
        <v>7</v>
      </c>
      <c r="FG606" s="27" t="s">
        <v>8</v>
      </c>
      <c r="FI606" s="27" t="s">
        <v>8</v>
      </c>
      <c r="FJ606" s="27" t="s">
        <v>7</v>
      </c>
      <c r="FW606" s="27" t="s">
        <v>8</v>
      </c>
      <c r="FX606" s="27" t="s">
        <v>7</v>
      </c>
      <c r="HS606" s="27" t="s">
        <v>8</v>
      </c>
      <c r="HT606" s="27" t="s">
        <v>7</v>
      </c>
      <c r="IY606" s="27" t="s">
        <v>8</v>
      </c>
      <c r="KP606" s="27" t="s">
        <v>7</v>
      </c>
      <c r="KQ606" s="27" t="s">
        <v>8</v>
      </c>
    </row>
    <row r="607" spans="1:303" x14ac:dyDescent="0.25">
      <c r="A607" s="7">
        <v>0.67297133310805768</v>
      </c>
      <c r="B607"/>
      <c r="C607"/>
      <c r="D607"/>
      <c r="E607"/>
      <c r="F607" s="27" t="s">
        <v>7</v>
      </c>
      <c r="DW607" s="27" t="s">
        <v>8</v>
      </c>
      <c r="DX607" s="27" t="s">
        <v>7</v>
      </c>
      <c r="DY607" s="27" t="s">
        <v>8</v>
      </c>
      <c r="DZ607" s="27" t="s">
        <v>7</v>
      </c>
      <c r="EA607" s="27" t="s">
        <v>8</v>
      </c>
      <c r="ED607" s="27" t="s">
        <v>7</v>
      </c>
      <c r="EE607" s="27" t="s">
        <v>8</v>
      </c>
      <c r="EH607" s="27" t="s">
        <v>7</v>
      </c>
      <c r="FG607" s="27" t="s">
        <v>8</v>
      </c>
      <c r="FH607" s="27" t="s">
        <v>7</v>
      </c>
      <c r="FI607" s="27" t="s">
        <v>8</v>
      </c>
      <c r="FJ607" s="27" t="s">
        <v>7</v>
      </c>
      <c r="FW607" s="27" t="s">
        <v>8</v>
      </c>
      <c r="FX607" s="27" t="s">
        <v>7</v>
      </c>
      <c r="HS607" s="27" t="s">
        <v>8</v>
      </c>
      <c r="HT607" s="27" t="s">
        <v>7</v>
      </c>
      <c r="IY607" s="27" t="s">
        <v>8</v>
      </c>
      <c r="KP607" s="27" t="s">
        <v>7</v>
      </c>
      <c r="KQ607" s="27" t="s">
        <v>8</v>
      </c>
    </row>
    <row r="608" spans="1:303" x14ac:dyDescent="0.25">
      <c r="A608" s="7">
        <v>0.65977581677260566</v>
      </c>
      <c r="B608"/>
      <c r="C608"/>
      <c r="D608"/>
      <c r="E608"/>
      <c r="F608" s="27" t="s">
        <v>7</v>
      </c>
      <c r="DW608" s="27" t="s">
        <v>8</v>
      </c>
      <c r="DX608" s="27" t="s">
        <v>7</v>
      </c>
      <c r="DY608" s="27" t="s">
        <v>8</v>
      </c>
      <c r="DZ608" s="27" t="s">
        <v>7</v>
      </c>
      <c r="EA608" s="27" t="s">
        <v>8</v>
      </c>
      <c r="ED608" s="27" t="s">
        <v>7</v>
      </c>
      <c r="EE608" s="27" t="s">
        <v>8</v>
      </c>
      <c r="EH608" s="27" t="s">
        <v>7</v>
      </c>
      <c r="FG608" s="27" t="s">
        <v>8</v>
      </c>
      <c r="FH608" s="27" t="s">
        <v>7</v>
      </c>
      <c r="FI608" s="27" t="s">
        <v>8</v>
      </c>
      <c r="FJ608" s="27" t="s">
        <v>7</v>
      </c>
      <c r="FW608" s="27" t="s">
        <v>8</v>
      </c>
      <c r="FX608" s="27" t="s">
        <v>7</v>
      </c>
      <c r="FY608" s="27" t="s">
        <v>8</v>
      </c>
      <c r="HS608" s="27" t="s">
        <v>8</v>
      </c>
      <c r="HT608" s="27" t="s">
        <v>7</v>
      </c>
      <c r="IY608" s="27" t="s">
        <v>8</v>
      </c>
      <c r="KP608" s="27" t="s">
        <v>7</v>
      </c>
      <c r="KQ608" s="27" t="s">
        <v>8</v>
      </c>
    </row>
    <row r="609" spans="1:302" x14ac:dyDescent="0.25">
      <c r="A609" s="7">
        <v>0.64683903605157422</v>
      </c>
      <c r="B609"/>
      <c r="C609"/>
      <c r="D609"/>
      <c r="E609"/>
      <c r="F609" s="27" t="s">
        <v>7</v>
      </c>
      <c r="DW609" s="27" t="s">
        <v>8</v>
      </c>
      <c r="DX609" s="27" t="s">
        <v>7</v>
      </c>
      <c r="DY609" s="27" t="s">
        <v>8</v>
      </c>
      <c r="DZ609" s="27" t="s">
        <v>7</v>
      </c>
      <c r="ED609" s="27" t="s">
        <v>7</v>
      </c>
      <c r="EE609" s="27" t="s">
        <v>8</v>
      </c>
      <c r="EH609" s="27" t="s">
        <v>7</v>
      </c>
      <c r="EU609" s="27" t="s">
        <v>8</v>
      </c>
      <c r="FG609" s="27" t="s">
        <v>8</v>
      </c>
      <c r="FH609" s="27" t="s">
        <v>7</v>
      </c>
      <c r="FI609" s="27" t="s">
        <v>8</v>
      </c>
      <c r="FJ609" s="27" t="s">
        <v>7</v>
      </c>
      <c r="FW609" s="27" t="s">
        <v>8</v>
      </c>
      <c r="FX609" s="27" t="s">
        <v>7</v>
      </c>
      <c r="FY609" s="27" t="s">
        <v>8</v>
      </c>
      <c r="FZ609" s="27" t="s">
        <v>7</v>
      </c>
      <c r="HS609" s="27" t="s">
        <v>8</v>
      </c>
      <c r="HT609" s="27" t="s">
        <v>7</v>
      </c>
      <c r="IY609" s="27" t="s">
        <v>8</v>
      </c>
      <c r="KP609" s="27" t="s">
        <v>7</v>
      </c>
    </row>
    <row r="610" spans="1:302" x14ac:dyDescent="0.25">
      <c r="A610" s="7">
        <v>0.63415591769762181</v>
      </c>
      <c r="B610"/>
      <c r="C610"/>
      <c r="D610"/>
      <c r="E610"/>
      <c r="F610" s="27" t="s">
        <v>7</v>
      </c>
      <c r="DW610" s="27" t="s">
        <v>8</v>
      </c>
      <c r="DX610" s="27" t="s">
        <v>7</v>
      </c>
      <c r="DY610" s="27" t="s">
        <v>8</v>
      </c>
      <c r="ED610" s="27" t="s">
        <v>7</v>
      </c>
      <c r="EH610" s="27" t="s">
        <v>7</v>
      </c>
      <c r="EI610" s="27" t="s">
        <v>8</v>
      </c>
      <c r="EU610" s="27" t="s">
        <v>8</v>
      </c>
      <c r="EV610" s="27" t="s">
        <v>7</v>
      </c>
      <c r="FG610" s="27" t="s">
        <v>8</v>
      </c>
      <c r="FH610" s="27" t="s">
        <v>7</v>
      </c>
      <c r="FI610" s="27" t="s">
        <v>8</v>
      </c>
      <c r="FJ610" s="27" t="s">
        <v>7</v>
      </c>
      <c r="FK610" s="27" t="s">
        <v>8</v>
      </c>
      <c r="FU610" s="27" t="s">
        <v>8</v>
      </c>
      <c r="FW610" s="27" t="s">
        <v>8</v>
      </c>
      <c r="FX610" s="27" t="s">
        <v>7</v>
      </c>
      <c r="FY610" s="27" t="s">
        <v>8</v>
      </c>
      <c r="FZ610" s="27" t="s">
        <v>7</v>
      </c>
      <c r="HS610" s="27" t="s">
        <v>8</v>
      </c>
      <c r="HT610" s="27" t="s">
        <v>7</v>
      </c>
      <c r="IW610" s="27" t="s">
        <v>8</v>
      </c>
      <c r="IY610" s="27" t="s">
        <v>8</v>
      </c>
    </row>
    <row r="611" spans="1:302" x14ac:dyDescent="0.25">
      <c r="A611" s="7">
        <v>0.62172148793884496</v>
      </c>
      <c r="B611"/>
      <c r="C611"/>
      <c r="D611"/>
      <c r="E611"/>
      <c r="F611" s="27" t="s">
        <v>7</v>
      </c>
      <c r="DW611" s="27" t="s">
        <v>8</v>
      </c>
      <c r="DX611" s="27" t="s">
        <v>7</v>
      </c>
      <c r="DY611" s="27" t="s">
        <v>8</v>
      </c>
      <c r="EH611" s="27" t="s">
        <v>7</v>
      </c>
      <c r="EI611" s="27" t="s">
        <v>8</v>
      </c>
      <c r="EJ611" s="27" t="s">
        <v>7</v>
      </c>
      <c r="EQ611" s="27" t="s">
        <v>8</v>
      </c>
      <c r="EU611" s="27" t="s">
        <v>8</v>
      </c>
      <c r="EV611" s="27" t="s">
        <v>7</v>
      </c>
      <c r="FG611" s="27" t="s">
        <v>8</v>
      </c>
      <c r="FH611" s="27" t="s">
        <v>7</v>
      </c>
      <c r="FI611" s="27" t="s">
        <v>8</v>
      </c>
      <c r="FJ611" s="27" t="s">
        <v>7</v>
      </c>
      <c r="FK611" s="27" t="s">
        <v>8</v>
      </c>
      <c r="FL611" s="27" t="s">
        <v>7</v>
      </c>
      <c r="FU611" s="27" t="s">
        <v>8</v>
      </c>
      <c r="FV611" s="27" t="s">
        <v>7</v>
      </c>
      <c r="FW611" s="27" t="s">
        <v>8</v>
      </c>
      <c r="FX611" s="27" t="s">
        <v>7</v>
      </c>
      <c r="FY611" s="27" t="s">
        <v>8</v>
      </c>
      <c r="FZ611" s="27" t="s">
        <v>7</v>
      </c>
      <c r="HS611" s="27" t="s">
        <v>8</v>
      </c>
      <c r="HT611" s="27" t="s">
        <v>7</v>
      </c>
      <c r="IW611" s="27" t="s">
        <v>8</v>
      </c>
      <c r="IX611" s="27" t="s">
        <v>7</v>
      </c>
      <c r="IY611" s="27" t="s">
        <v>8</v>
      </c>
    </row>
    <row r="612" spans="1:302" x14ac:dyDescent="0.25">
      <c r="A612" s="7">
        <v>0.60953087052827937</v>
      </c>
      <c r="B612"/>
      <c r="C612"/>
      <c r="D612"/>
      <c r="E612"/>
      <c r="F612" s="27" t="s">
        <v>7</v>
      </c>
      <c r="DE612" s="27" t="s">
        <v>8</v>
      </c>
      <c r="DW612" s="27" t="s">
        <v>8</v>
      </c>
      <c r="DX612" s="27" t="s">
        <v>7</v>
      </c>
      <c r="DY612" s="27" t="s">
        <v>8</v>
      </c>
      <c r="EH612" s="27" t="s">
        <v>7</v>
      </c>
      <c r="EI612" s="27" t="s">
        <v>8</v>
      </c>
      <c r="EJ612" s="27" t="s">
        <v>7</v>
      </c>
      <c r="EM612" s="27" t="s">
        <v>8</v>
      </c>
      <c r="EQ612" s="27" t="s">
        <v>8</v>
      </c>
      <c r="ER612" s="27" t="s">
        <v>7</v>
      </c>
      <c r="ES612" s="27" t="s">
        <v>8</v>
      </c>
      <c r="EU612" s="27" t="s">
        <v>8</v>
      </c>
      <c r="EV612" s="27" t="s">
        <v>7</v>
      </c>
      <c r="EW612" s="27" t="s">
        <v>8</v>
      </c>
      <c r="FE612" s="27" t="s">
        <v>8</v>
      </c>
      <c r="FG612" s="27" t="s">
        <v>8</v>
      </c>
      <c r="FH612" s="27" t="s">
        <v>7</v>
      </c>
      <c r="FJ612" s="27" t="s">
        <v>7</v>
      </c>
      <c r="FK612" s="27" t="s">
        <v>8</v>
      </c>
      <c r="FL612" s="27" t="s">
        <v>7</v>
      </c>
      <c r="FU612" s="27" t="s">
        <v>8</v>
      </c>
      <c r="FV612" s="27" t="s">
        <v>7</v>
      </c>
      <c r="FW612" s="27" t="s">
        <v>8</v>
      </c>
      <c r="FX612" s="27" t="s">
        <v>7</v>
      </c>
      <c r="FY612" s="27" t="s">
        <v>8</v>
      </c>
      <c r="FZ612" s="27" t="s">
        <v>7</v>
      </c>
      <c r="HS612" s="27" t="s">
        <v>8</v>
      </c>
      <c r="HT612" s="27" t="s">
        <v>7</v>
      </c>
      <c r="IW612" s="27" t="s">
        <v>8</v>
      </c>
      <c r="IX612" s="27" t="s">
        <v>7</v>
      </c>
      <c r="IY612" s="27" t="s">
        <v>8</v>
      </c>
    </row>
    <row r="613" spans="1:302" x14ac:dyDescent="0.25">
      <c r="A613" s="7">
        <v>0.59757928483164646</v>
      </c>
      <c r="B613"/>
      <c r="C613"/>
      <c r="D613"/>
      <c r="E613"/>
      <c r="F613" s="27" t="s">
        <v>7</v>
      </c>
      <c r="DE613" s="27" t="s">
        <v>8</v>
      </c>
      <c r="DF613" s="27" t="s">
        <v>7</v>
      </c>
      <c r="DW613" s="27" t="s">
        <v>8</v>
      </c>
      <c r="DX613" s="27" t="s">
        <v>7</v>
      </c>
      <c r="DY613" s="27" t="s">
        <v>8</v>
      </c>
      <c r="EH613" s="27" t="s">
        <v>7</v>
      </c>
      <c r="EI613" s="27" t="s">
        <v>8</v>
      </c>
      <c r="EJ613" s="27" t="s">
        <v>7</v>
      </c>
      <c r="EM613" s="27" t="s">
        <v>8</v>
      </c>
      <c r="EN613" s="27" t="s">
        <v>7</v>
      </c>
      <c r="EO613" s="27" t="s">
        <v>8</v>
      </c>
      <c r="EQ613" s="27" t="s">
        <v>8</v>
      </c>
      <c r="ER613" s="27" t="s">
        <v>7</v>
      </c>
      <c r="ES613" s="27" t="s">
        <v>8</v>
      </c>
      <c r="ET613" s="27" t="s">
        <v>7</v>
      </c>
      <c r="EU613" s="27" t="s">
        <v>8</v>
      </c>
      <c r="EV613" s="27" t="s">
        <v>7</v>
      </c>
      <c r="EW613" s="27" t="s">
        <v>8</v>
      </c>
      <c r="EX613" s="27" t="s">
        <v>7</v>
      </c>
      <c r="FE613" s="27" t="s">
        <v>8</v>
      </c>
      <c r="FF613" s="27" t="s">
        <v>7</v>
      </c>
      <c r="FG613" s="27" t="s">
        <v>8</v>
      </c>
      <c r="FJ613" s="27" t="s">
        <v>7</v>
      </c>
      <c r="FK613" s="27" t="s">
        <v>8</v>
      </c>
      <c r="FL613" s="27" t="s">
        <v>7</v>
      </c>
      <c r="FM613" s="27" t="s">
        <v>8</v>
      </c>
      <c r="FS613" s="27" t="s">
        <v>8</v>
      </c>
      <c r="FU613" s="27" t="s">
        <v>8</v>
      </c>
      <c r="FV613" s="27" t="s">
        <v>7</v>
      </c>
      <c r="FW613" s="27" t="s">
        <v>8</v>
      </c>
      <c r="FX613" s="27" t="s">
        <v>7</v>
      </c>
      <c r="FY613" s="27" t="s">
        <v>8</v>
      </c>
      <c r="FZ613" s="27" t="s">
        <v>7</v>
      </c>
      <c r="HS613" s="27" t="s">
        <v>8</v>
      </c>
      <c r="HT613" s="27" t="s">
        <v>7</v>
      </c>
      <c r="IW613" s="27" t="s">
        <v>8</v>
      </c>
      <c r="IX613" s="27" t="s">
        <v>7</v>
      </c>
      <c r="IY613" s="27" t="s">
        <v>8</v>
      </c>
    </row>
    <row r="614" spans="1:302" x14ac:dyDescent="0.25">
      <c r="A614" s="7">
        <v>0.58586204395259456</v>
      </c>
      <c r="B614"/>
      <c r="C614"/>
      <c r="D614"/>
      <c r="E614"/>
      <c r="F614" s="27" t="s">
        <v>7</v>
      </c>
      <c r="DE614" s="27" t="s">
        <v>8</v>
      </c>
      <c r="DF614" s="27" t="s">
        <v>7</v>
      </c>
      <c r="DW614" s="27" t="s">
        <v>8</v>
      </c>
      <c r="DX614" s="27" t="s">
        <v>7</v>
      </c>
      <c r="EH614" s="27" t="s">
        <v>7</v>
      </c>
      <c r="EI614" s="27" t="s">
        <v>8</v>
      </c>
      <c r="EJ614" s="27" t="s">
        <v>7</v>
      </c>
      <c r="EM614" s="27" t="s">
        <v>8</v>
      </c>
      <c r="EN614" s="27" t="s">
        <v>7</v>
      </c>
      <c r="EO614" s="27" t="s">
        <v>8</v>
      </c>
      <c r="EP614" s="27" t="s">
        <v>7</v>
      </c>
      <c r="EQ614" s="27" t="s">
        <v>8</v>
      </c>
      <c r="ER614" s="27" t="s">
        <v>7</v>
      </c>
      <c r="ES614" s="27" t="s">
        <v>8</v>
      </c>
      <c r="ET614" s="27" t="s">
        <v>7</v>
      </c>
      <c r="EU614" s="27" t="s">
        <v>8</v>
      </c>
      <c r="EV614" s="27" t="s">
        <v>7</v>
      </c>
      <c r="EW614" s="27" t="s">
        <v>8</v>
      </c>
      <c r="EX614" s="27" t="s">
        <v>7</v>
      </c>
      <c r="FE614" s="27" t="s">
        <v>8</v>
      </c>
      <c r="FF614" s="27" t="s">
        <v>7</v>
      </c>
      <c r="FG614" s="27" t="s">
        <v>8</v>
      </c>
      <c r="FJ614" s="27" t="s">
        <v>7</v>
      </c>
      <c r="FK614" s="27" t="s">
        <v>8</v>
      </c>
      <c r="FL614" s="27" t="s">
        <v>7</v>
      </c>
      <c r="FM614" s="27" t="s">
        <v>8</v>
      </c>
      <c r="FN614" s="27" t="s">
        <v>7</v>
      </c>
      <c r="FS614" s="27" t="s">
        <v>8</v>
      </c>
      <c r="FT614" s="27" t="s">
        <v>7</v>
      </c>
      <c r="FU614" s="27" t="s">
        <v>8</v>
      </c>
      <c r="FV614" s="27" t="s">
        <v>7</v>
      </c>
      <c r="FW614" s="27" t="s">
        <v>8</v>
      </c>
      <c r="FX614" s="27" t="s">
        <v>7</v>
      </c>
      <c r="FY614" s="27" t="s">
        <v>8</v>
      </c>
      <c r="FZ614" s="27" t="s">
        <v>7</v>
      </c>
      <c r="HS614" s="27" t="s">
        <v>8</v>
      </c>
      <c r="HT614" s="27" t="s">
        <v>7</v>
      </c>
      <c r="IU614" s="27" t="s">
        <v>8</v>
      </c>
      <c r="IW614" s="27" t="s">
        <v>8</v>
      </c>
      <c r="IX614" s="27" t="s">
        <v>7</v>
      </c>
      <c r="IY614" s="27" t="s">
        <v>8</v>
      </c>
    </row>
    <row r="615" spans="1:302" x14ac:dyDescent="0.25">
      <c r="A615" s="7">
        <v>0.57437455289470052</v>
      </c>
      <c r="B615"/>
      <c r="C615"/>
      <c r="D615"/>
      <c r="E615"/>
      <c r="F615" s="27" t="s">
        <v>7</v>
      </c>
      <c r="DE615" s="27" t="s">
        <v>8</v>
      </c>
      <c r="DF615" s="27" t="s">
        <v>7</v>
      </c>
      <c r="DU615" s="27" t="s">
        <v>8</v>
      </c>
      <c r="DW615" s="27" t="s">
        <v>8</v>
      </c>
      <c r="EH615" s="27" t="s">
        <v>7</v>
      </c>
      <c r="EI615" s="27" t="s">
        <v>8</v>
      </c>
      <c r="EJ615" s="27" t="s">
        <v>7</v>
      </c>
      <c r="EM615" s="27" t="s">
        <v>8</v>
      </c>
      <c r="EN615" s="27" t="s">
        <v>7</v>
      </c>
      <c r="EO615" s="27" t="s">
        <v>8</v>
      </c>
      <c r="EP615" s="27" t="s">
        <v>7</v>
      </c>
      <c r="EQ615" s="27" t="s">
        <v>8</v>
      </c>
      <c r="ER615" s="27" t="s">
        <v>7</v>
      </c>
      <c r="ES615" s="27" t="s">
        <v>8</v>
      </c>
      <c r="ET615" s="27" t="s">
        <v>7</v>
      </c>
      <c r="EU615" s="27" t="s">
        <v>8</v>
      </c>
      <c r="EV615" s="27" t="s">
        <v>7</v>
      </c>
      <c r="EW615" s="27" t="s">
        <v>8</v>
      </c>
      <c r="EX615" s="27" t="s">
        <v>7</v>
      </c>
      <c r="FC615" s="27" t="s">
        <v>8</v>
      </c>
      <c r="FE615" s="27" t="s">
        <v>8</v>
      </c>
      <c r="FF615" s="27" t="s">
        <v>7</v>
      </c>
      <c r="FG615" s="27" t="s">
        <v>8</v>
      </c>
      <c r="FJ615" s="27" t="s">
        <v>7</v>
      </c>
      <c r="FK615" s="27" t="s">
        <v>8</v>
      </c>
      <c r="FL615" s="27" t="s">
        <v>7</v>
      </c>
      <c r="FM615" s="27" t="s">
        <v>8</v>
      </c>
      <c r="FN615" s="27" t="s">
        <v>7</v>
      </c>
      <c r="FS615" s="27" t="s">
        <v>8</v>
      </c>
      <c r="FT615" s="27" t="s">
        <v>7</v>
      </c>
      <c r="FU615" s="27" t="s">
        <v>8</v>
      </c>
      <c r="FV615" s="27" t="s">
        <v>7</v>
      </c>
      <c r="FW615" s="27" t="s">
        <v>8</v>
      </c>
      <c r="FX615" s="27" t="s">
        <v>7</v>
      </c>
      <c r="FZ615" s="27" t="s">
        <v>7</v>
      </c>
      <c r="GA615" s="27" t="s">
        <v>8</v>
      </c>
      <c r="HQ615" s="27" t="s">
        <v>8</v>
      </c>
      <c r="HS615" s="27" t="s">
        <v>8</v>
      </c>
      <c r="HT615" s="27" t="s">
        <v>7</v>
      </c>
      <c r="IU615" s="27" t="s">
        <v>8</v>
      </c>
      <c r="IV615" s="27" t="s">
        <v>7</v>
      </c>
      <c r="IW615" s="27" t="s">
        <v>8</v>
      </c>
      <c r="IX615" s="27" t="s">
        <v>7</v>
      </c>
      <c r="IY615" s="27" t="s">
        <v>8</v>
      </c>
    </row>
    <row r="616" spans="1:302" x14ac:dyDescent="0.25">
      <c r="A616" s="7">
        <v>0.56311230675951029</v>
      </c>
      <c r="B616"/>
      <c r="C616"/>
      <c r="D616"/>
      <c r="E616"/>
      <c r="F616" s="27" t="s">
        <v>7</v>
      </c>
      <c r="DE616" s="27" t="s">
        <v>8</v>
      </c>
      <c r="DF616" s="27" t="s">
        <v>7</v>
      </c>
      <c r="DU616" s="27" t="s">
        <v>8</v>
      </c>
      <c r="DV616" s="27" t="s">
        <v>7</v>
      </c>
      <c r="DW616" s="27" t="s">
        <v>8</v>
      </c>
      <c r="EH616" s="27" t="s">
        <v>7</v>
      </c>
      <c r="EI616" s="27" t="s">
        <v>8</v>
      </c>
      <c r="EJ616" s="27" t="s">
        <v>7</v>
      </c>
      <c r="EK616" s="27" t="s">
        <v>8</v>
      </c>
      <c r="EM616" s="27" t="s">
        <v>8</v>
      </c>
      <c r="EN616" s="27" t="s">
        <v>7</v>
      </c>
      <c r="EO616" s="27" t="s">
        <v>8</v>
      </c>
      <c r="EP616" s="27" t="s">
        <v>7</v>
      </c>
      <c r="EQ616" s="27" t="s">
        <v>8</v>
      </c>
      <c r="ER616" s="27" t="s">
        <v>7</v>
      </c>
      <c r="ES616" s="27" t="s">
        <v>8</v>
      </c>
      <c r="ET616" s="27" t="s">
        <v>7</v>
      </c>
      <c r="EU616" s="27" t="s">
        <v>8</v>
      </c>
      <c r="EV616" s="27" t="s">
        <v>7</v>
      </c>
      <c r="EX616" s="27" t="s">
        <v>7</v>
      </c>
      <c r="FC616" s="27" t="s">
        <v>8</v>
      </c>
      <c r="FD616" s="27" t="s">
        <v>7</v>
      </c>
      <c r="FE616" s="27" t="s">
        <v>8</v>
      </c>
      <c r="FF616" s="27" t="s">
        <v>7</v>
      </c>
      <c r="FG616" s="27" t="s">
        <v>8</v>
      </c>
      <c r="FJ616" s="27" t="s">
        <v>7</v>
      </c>
      <c r="FK616" s="27" t="s">
        <v>8</v>
      </c>
      <c r="FL616" s="27" t="s">
        <v>7</v>
      </c>
      <c r="FM616" s="27" t="s">
        <v>8</v>
      </c>
      <c r="FN616" s="27" t="s">
        <v>7</v>
      </c>
      <c r="FS616" s="27" t="s">
        <v>8</v>
      </c>
      <c r="FT616" s="27" t="s">
        <v>7</v>
      </c>
      <c r="FU616" s="27" t="s">
        <v>8</v>
      </c>
      <c r="FV616" s="27" t="s">
        <v>7</v>
      </c>
      <c r="FW616" s="27" t="s">
        <v>8</v>
      </c>
      <c r="FZ616" s="27" t="s">
        <v>7</v>
      </c>
      <c r="GA616" s="27" t="s">
        <v>8</v>
      </c>
      <c r="GB616" s="27" t="s">
        <v>7</v>
      </c>
      <c r="HQ616" s="27" t="s">
        <v>8</v>
      </c>
      <c r="HR616" s="27" t="s">
        <v>7</v>
      </c>
      <c r="HS616" s="27" t="s">
        <v>8</v>
      </c>
      <c r="HT616" s="27" t="s">
        <v>7</v>
      </c>
      <c r="HU616" s="27" t="s">
        <v>8</v>
      </c>
      <c r="IU616" s="27" t="s">
        <v>8</v>
      </c>
      <c r="IV616" s="27" t="s">
        <v>7</v>
      </c>
      <c r="IW616" s="27" t="s">
        <v>8</v>
      </c>
      <c r="IX616" s="27" t="s">
        <v>7</v>
      </c>
      <c r="IY616" s="27" t="s">
        <v>8</v>
      </c>
    </row>
    <row r="617" spans="1:302" x14ac:dyDescent="0.25">
      <c r="A617" s="7">
        <v>0.55207088897991208</v>
      </c>
      <c r="B617"/>
      <c r="C617"/>
      <c r="D617"/>
      <c r="E617"/>
      <c r="F617" s="27" t="s">
        <v>7</v>
      </c>
      <c r="DE617" s="27" t="s">
        <v>8</v>
      </c>
      <c r="DF617" s="27" t="s">
        <v>7</v>
      </c>
      <c r="DU617" s="27" t="s">
        <v>8</v>
      </c>
      <c r="DV617" s="27" t="s">
        <v>7</v>
      </c>
      <c r="DW617" s="27" t="s">
        <v>8</v>
      </c>
      <c r="EH617" s="27" t="s">
        <v>7</v>
      </c>
      <c r="EI617" s="27" t="s">
        <v>8</v>
      </c>
      <c r="EJ617" s="27" t="s">
        <v>7</v>
      </c>
      <c r="EK617" s="27" t="s">
        <v>8</v>
      </c>
      <c r="EL617" s="27" t="s">
        <v>7</v>
      </c>
      <c r="EM617" s="27" t="s">
        <v>8</v>
      </c>
      <c r="EN617" s="27" t="s">
        <v>7</v>
      </c>
      <c r="EO617" s="27" t="s">
        <v>8</v>
      </c>
      <c r="EP617" s="27" t="s">
        <v>7</v>
      </c>
      <c r="ER617" s="27" t="s">
        <v>7</v>
      </c>
      <c r="ES617" s="27" t="s">
        <v>8</v>
      </c>
      <c r="ET617" s="27" t="s">
        <v>7</v>
      </c>
      <c r="EU617" s="27" t="s">
        <v>8</v>
      </c>
      <c r="EX617" s="27" t="s">
        <v>7</v>
      </c>
      <c r="FA617" s="27" t="s">
        <v>8</v>
      </c>
      <c r="FC617" s="27" t="s">
        <v>8</v>
      </c>
      <c r="FD617" s="27" t="s">
        <v>7</v>
      </c>
      <c r="FE617" s="27" t="s">
        <v>8</v>
      </c>
      <c r="FF617" s="27" t="s">
        <v>7</v>
      </c>
      <c r="FG617" s="27" t="s">
        <v>8</v>
      </c>
      <c r="FJ617" s="27" t="s">
        <v>7</v>
      </c>
      <c r="FK617" s="27" t="s">
        <v>8</v>
      </c>
      <c r="FL617" s="27" t="s">
        <v>7</v>
      </c>
      <c r="FM617" s="27" t="s">
        <v>8</v>
      </c>
      <c r="FN617" s="27" t="s">
        <v>7</v>
      </c>
      <c r="FQ617" s="27" t="s">
        <v>8</v>
      </c>
      <c r="FS617" s="27" t="s">
        <v>8</v>
      </c>
      <c r="FT617" s="27" t="s">
        <v>7</v>
      </c>
      <c r="FU617" s="27" t="s">
        <v>8</v>
      </c>
      <c r="FV617" s="27" t="s">
        <v>7</v>
      </c>
      <c r="FW617" s="27" t="s">
        <v>8</v>
      </c>
      <c r="FZ617" s="27" t="s">
        <v>7</v>
      </c>
      <c r="GA617" s="27" t="s">
        <v>8</v>
      </c>
      <c r="GB617" s="27" t="s">
        <v>7</v>
      </c>
      <c r="HQ617" s="27" t="s">
        <v>8</v>
      </c>
      <c r="HR617" s="27" t="s">
        <v>7</v>
      </c>
      <c r="HS617" s="27" t="s">
        <v>8</v>
      </c>
      <c r="HT617" s="27" t="s">
        <v>7</v>
      </c>
      <c r="HU617" s="27" t="s">
        <v>8</v>
      </c>
      <c r="HV617" s="27" t="s">
        <v>7</v>
      </c>
      <c r="IU617" s="27" t="s">
        <v>8</v>
      </c>
      <c r="IV617" s="27" t="s">
        <v>7</v>
      </c>
      <c r="IW617" s="27" t="s">
        <v>8</v>
      </c>
      <c r="IX617" s="27" t="s">
        <v>7</v>
      </c>
      <c r="IY617" s="27" t="s">
        <v>8</v>
      </c>
    </row>
    <row r="618" spans="1:302" x14ac:dyDescent="0.25">
      <c r="A618" s="7">
        <v>0.54124596958814908</v>
      </c>
      <c r="B618"/>
      <c r="C618"/>
      <c r="D618"/>
      <c r="E618"/>
      <c r="F618" s="27" t="s">
        <v>7</v>
      </c>
      <c r="DE618" s="27" t="s">
        <v>8</v>
      </c>
      <c r="DF618" s="27" t="s">
        <v>7</v>
      </c>
      <c r="DU618" s="27" t="s">
        <v>8</v>
      </c>
      <c r="DV618" s="27" t="s">
        <v>7</v>
      </c>
      <c r="DW618" s="27" t="s">
        <v>8</v>
      </c>
      <c r="EH618" s="27" t="s">
        <v>7</v>
      </c>
      <c r="EI618" s="27" t="s">
        <v>8</v>
      </c>
      <c r="EJ618" s="27" t="s">
        <v>7</v>
      </c>
      <c r="EK618" s="27" t="s">
        <v>8</v>
      </c>
      <c r="EL618" s="27" t="s">
        <v>7</v>
      </c>
      <c r="EM618" s="27" t="s">
        <v>8</v>
      </c>
      <c r="EN618" s="27" t="s">
        <v>7</v>
      </c>
      <c r="EO618" s="27" t="s">
        <v>8</v>
      </c>
      <c r="ER618" s="27" t="s">
        <v>7</v>
      </c>
      <c r="ES618" s="27" t="s">
        <v>8</v>
      </c>
      <c r="ET618" s="27" t="s">
        <v>7</v>
      </c>
      <c r="EU618" s="27" t="s">
        <v>8</v>
      </c>
      <c r="EX618" s="27" t="s">
        <v>7</v>
      </c>
      <c r="FA618" s="27" t="s">
        <v>8</v>
      </c>
      <c r="FB618" s="27" t="s">
        <v>7</v>
      </c>
      <c r="FC618" s="27" t="s">
        <v>8</v>
      </c>
      <c r="FD618" s="27" t="s">
        <v>7</v>
      </c>
      <c r="FE618" s="27" t="s">
        <v>8</v>
      </c>
      <c r="FF618" s="27" t="s">
        <v>7</v>
      </c>
      <c r="FG618" s="27" t="s">
        <v>8</v>
      </c>
      <c r="FJ618" s="27" t="s">
        <v>7</v>
      </c>
      <c r="FK618" s="27" t="s">
        <v>8</v>
      </c>
      <c r="FL618" s="27" t="s">
        <v>7</v>
      </c>
      <c r="FM618" s="27" t="s">
        <v>8</v>
      </c>
      <c r="FN618" s="27" t="s">
        <v>7</v>
      </c>
      <c r="FQ618" s="27" t="s">
        <v>8</v>
      </c>
      <c r="FR618" s="27" t="s">
        <v>7</v>
      </c>
      <c r="FS618" s="27" t="s">
        <v>8</v>
      </c>
      <c r="FT618" s="27" t="s">
        <v>7</v>
      </c>
      <c r="FU618" s="27" t="s">
        <v>8</v>
      </c>
      <c r="FV618" s="27" t="s">
        <v>7</v>
      </c>
      <c r="FW618" s="27" t="s">
        <v>8</v>
      </c>
      <c r="FZ618" s="27" t="s">
        <v>7</v>
      </c>
      <c r="GA618" s="27" t="s">
        <v>8</v>
      </c>
      <c r="GB618" s="27" t="s">
        <v>7</v>
      </c>
      <c r="HQ618" s="27" t="s">
        <v>8</v>
      </c>
      <c r="HR618" s="27" t="s">
        <v>7</v>
      </c>
      <c r="HS618" s="27" t="s">
        <v>8</v>
      </c>
      <c r="HT618" s="27" t="s">
        <v>7</v>
      </c>
      <c r="HU618" s="27" t="s">
        <v>8</v>
      </c>
      <c r="HV618" s="27" t="s">
        <v>7</v>
      </c>
      <c r="IU618" s="27" t="s">
        <v>8</v>
      </c>
      <c r="IV618" s="27" t="s">
        <v>7</v>
      </c>
      <c r="IW618" s="27" t="s">
        <v>8</v>
      </c>
      <c r="IX618" s="27" t="s">
        <v>7</v>
      </c>
    </row>
    <row r="619" spans="1:302" x14ac:dyDescent="0.25">
      <c r="A619" s="7">
        <v>0.53063330351779314</v>
      </c>
      <c r="B619"/>
      <c r="C619"/>
      <c r="D619"/>
      <c r="E619"/>
      <c r="F619" s="27" t="s">
        <v>7</v>
      </c>
      <c r="DE619" s="27" t="s">
        <v>8</v>
      </c>
      <c r="DF619" s="27" t="s">
        <v>7</v>
      </c>
      <c r="DU619" s="27" t="s">
        <v>8</v>
      </c>
      <c r="DV619" s="27" t="s">
        <v>7</v>
      </c>
      <c r="DW619" s="27" t="s">
        <v>8</v>
      </c>
      <c r="EH619" s="27" t="s">
        <v>7</v>
      </c>
      <c r="EI619" s="27" t="s">
        <v>8</v>
      </c>
      <c r="EJ619" s="27" t="s">
        <v>7</v>
      </c>
      <c r="EK619" s="27" t="s">
        <v>8</v>
      </c>
      <c r="EL619" s="27" t="s">
        <v>7</v>
      </c>
      <c r="EM619" s="27" t="s">
        <v>8</v>
      </c>
      <c r="EN619" s="27" t="s">
        <v>7</v>
      </c>
      <c r="EO619" s="27" t="s">
        <v>8</v>
      </c>
      <c r="ER619" s="27" t="s">
        <v>7</v>
      </c>
      <c r="ES619" s="27" t="s">
        <v>8</v>
      </c>
      <c r="ET619" s="27" t="s">
        <v>7</v>
      </c>
      <c r="EU619" s="27" t="s">
        <v>8</v>
      </c>
      <c r="EX619" s="27" t="s">
        <v>7</v>
      </c>
      <c r="FA619" s="27" t="s">
        <v>8</v>
      </c>
      <c r="FB619" s="27" t="s">
        <v>7</v>
      </c>
      <c r="FC619" s="27" t="s">
        <v>8</v>
      </c>
      <c r="FD619" s="27" t="s">
        <v>7</v>
      </c>
      <c r="FE619" s="27" t="s">
        <v>8</v>
      </c>
      <c r="FF619" s="27" t="s">
        <v>7</v>
      </c>
      <c r="FG619" s="27" t="s">
        <v>8</v>
      </c>
      <c r="FJ619" s="27" t="s">
        <v>7</v>
      </c>
      <c r="FL619" s="27" t="s">
        <v>7</v>
      </c>
      <c r="FM619" s="27" t="s">
        <v>8</v>
      </c>
      <c r="FN619" s="27" t="s">
        <v>7</v>
      </c>
      <c r="FQ619" s="27" t="s">
        <v>8</v>
      </c>
      <c r="FR619" s="27" t="s">
        <v>7</v>
      </c>
      <c r="FS619" s="27" t="s">
        <v>8</v>
      </c>
      <c r="FT619" s="27" t="s">
        <v>7</v>
      </c>
      <c r="FU619" s="27" t="s">
        <v>8</v>
      </c>
      <c r="FV619" s="27" t="s">
        <v>7</v>
      </c>
      <c r="FW619" s="27" t="s">
        <v>8</v>
      </c>
      <c r="FZ619" s="27" t="s">
        <v>7</v>
      </c>
      <c r="GA619" s="27" t="s">
        <v>8</v>
      </c>
      <c r="GB619" s="27" t="s">
        <v>7</v>
      </c>
      <c r="HQ619" s="27" t="s">
        <v>8</v>
      </c>
      <c r="HR619" s="27" t="s">
        <v>7</v>
      </c>
      <c r="HS619" s="27" t="s">
        <v>8</v>
      </c>
      <c r="HT619" s="27" t="s">
        <v>7</v>
      </c>
      <c r="HU619" s="27" t="s">
        <v>8</v>
      </c>
      <c r="HV619" s="27" t="s">
        <v>7</v>
      </c>
      <c r="HW619" s="27" t="s">
        <v>8</v>
      </c>
      <c r="IU619" s="27" t="s">
        <v>8</v>
      </c>
      <c r="IV619" s="27" t="s">
        <v>7</v>
      </c>
      <c r="IW619" s="27" t="s">
        <v>8</v>
      </c>
    </row>
    <row r="620" spans="1:302" x14ac:dyDescent="0.25">
      <c r="A620" s="7">
        <v>0.52022872893901284</v>
      </c>
      <c r="B620"/>
      <c r="C620"/>
      <c r="D620"/>
      <c r="E620"/>
      <c r="F620" s="27" t="s">
        <v>7</v>
      </c>
      <c r="DE620" s="27" t="s">
        <v>8</v>
      </c>
      <c r="DF620" s="27" t="s">
        <v>7</v>
      </c>
      <c r="DU620" s="27" t="s">
        <v>8</v>
      </c>
      <c r="DV620" s="27" t="s">
        <v>7</v>
      </c>
      <c r="DW620" s="27" t="s">
        <v>8</v>
      </c>
      <c r="EH620" s="27" t="s">
        <v>7</v>
      </c>
      <c r="EI620" s="27" t="s">
        <v>8</v>
      </c>
      <c r="EJ620" s="27" t="s">
        <v>7</v>
      </c>
      <c r="EK620" s="27" t="s">
        <v>8</v>
      </c>
      <c r="EL620" s="27" t="s">
        <v>7</v>
      </c>
      <c r="EM620" s="27" t="s">
        <v>8</v>
      </c>
      <c r="EN620" s="27" t="s">
        <v>7</v>
      </c>
      <c r="ER620" s="27" t="s">
        <v>7</v>
      </c>
      <c r="ES620" s="27" t="s">
        <v>8</v>
      </c>
      <c r="ET620" s="27" t="s">
        <v>7</v>
      </c>
      <c r="EX620" s="27" t="s">
        <v>7</v>
      </c>
      <c r="FA620" s="27" t="s">
        <v>8</v>
      </c>
      <c r="FB620" s="27" t="s">
        <v>7</v>
      </c>
      <c r="FC620" s="27" t="s">
        <v>8</v>
      </c>
      <c r="FD620" s="27" t="s">
        <v>7</v>
      </c>
      <c r="FF620" s="27" t="s">
        <v>7</v>
      </c>
      <c r="FG620" s="27" t="s">
        <v>8</v>
      </c>
      <c r="FL620" s="27" t="s">
        <v>7</v>
      </c>
      <c r="FM620" s="27" t="s">
        <v>8</v>
      </c>
      <c r="FN620" s="27" t="s">
        <v>7</v>
      </c>
      <c r="FQ620" s="27" t="s">
        <v>8</v>
      </c>
      <c r="FR620" s="27" t="s">
        <v>7</v>
      </c>
      <c r="FS620" s="27" t="s">
        <v>8</v>
      </c>
      <c r="FT620" s="27" t="s">
        <v>7</v>
      </c>
      <c r="FU620" s="27" t="s">
        <v>8</v>
      </c>
      <c r="FV620" s="27" t="s">
        <v>7</v>
      </c>
      <c r="FW620" s="27" t="s">
        <v>8</v>
      </c>
      <c r="FZ620" s="27" t="s">
        <v>7</v>
      </c>
      <c r="GA620" s="27" t="s">
        <v>8</v>
      </c>
      <c r="GB620" s="27" t="s">
        <v>7</v>
      </c>
      <c r="HQ620" s="27" t="s">
        <v>8</v>
      </c>
      <c r="HR620" s="27" t="s">
        <v>7</v>
      </c>
      <c r="HS620" s="27" t="s">
        <v>8</v>
      </c>
      <c r="HT620" s="27" t="s">
        <v>7</v>
      </c>
      <c r="HV620" s="27" t="s">
        <v>7</v>
      </c>
      <c r="HW620" s="27" t="s">
        <v>8</v>
      </c>
      <c r="HX620" s="27" t="s">
        <v>7</v>
      </c>
      <c r="IA620" s="27" t="s">
        <v>8</v>
      </c>
      <c r="IU620" s="27" t="s">
        <v>8</v>
      </c>
      <c r="IV620" s="27" t="s">
        <v>7</v>
      </c>
      <c r="IW620" s="27" t="s">
        <v>8</v>
      </c>
    </row>
    <row r="621" spans="1:302" x14ac:dyDescent="0.25">
      <c r="A621" s="7">
        <v>0.51002816562648323</v>
      </c>
      <c r="B621"/>
      <c r="C621"/>
      <c r="D621"/>
      <c r="E621"/>
      <c r="F621" s="27" t="s">
        <v>7</v>
      </c>
      <c r="DE621" s="27" t="s">
        <v>8</v>
      </c>
      <c r="DF621" s="27" t="s">
        <v>7</v>
      </c>
      <c r="DM621" s="27" t="s">
        <v>8</v>
      </c>
      <c r="DU621" s="27" t="s">
        <v>8</v>
      </c>
      <c r="DV621" s="27" t="s">
        <v>7</v>
      </c>
      <c r="DW621" s="27" t="s">
        <v>8</v>
      </c>
      <c r="EH621" s="27" t="s">
        <v>7</v>
      </c>
      <c r="EI621" s="27" t="s">
        <v>8</v>
      </c>
      <c r="EJ621" s="27" t="s">
        <v>7</v>
      </c>
      <c r="EK621" s="27" t="s">
        <v>8</v>
      </c>
      <c r="EL621" s="27" t="s">
        <v>7</v>
      </c>
      <c r="EM621" s="27" t="s">
        <v>8</v>
      </c>
      <c r="ER621" s="27" t="s">
        <v>7</v>
      </c>
      <c r="EX621" s="27" t="s">
        <v>7</v>
      </c>
      <c r="EY621" s="27" t="s">
        <v>8</v>
      </c>
      <c r="FA621" s="27" t="s">
        <v>8</v>
      </c>
      <c r="FB621" s="27" t="s">
        <v>7</v>
      </c>
      <c r="FF621" s="27" t="s">
        <v>7</v>
      </c>
      <c r="FG621" s="27" t="s">
        <v>8</v>
      </c>
      <c r="FL621" s="27" t="s">
        <v>7</v>
      </c>
      <c r="FN621" s="27" t="s">
        <v>7</v>
      </c>
      <c r="FQ621" s="27" t="s">
        <v>8</v>
      </c>
      <c r="FR621" s="27" t="s">
        <v>7</v>
      </c>
      <c r="FT621" s="27" t="s">
        <v>7</v>
      </c>
      <c r="FU621" s="27" t="s">
        <v>8</v>
      </c>
      <c r="FV621" s="27" t="s">
        <v>7</v>
      </c>
      <c r="FW621" s="27" t="s">
        <v>8</v>
      </c>
      <c r="FZ621" s="27" t="s">
        <v>7</v>
      </c>
      <c r="GA621" s="27" t="s">
        <v>8</v>
      </c>
      <c r="GB621" s="27" t="s">
        <v>7</v>
      </c>
      <c r="HQ621" s="27" t="s">
        <v>8</v>
      </c>
      <c r="HR621" s="27" t="s">
        <v>7</v>
      </c>
      <c r="HS621" s="27" t="s">
        <v>8</v>
      </c>
      <c r="HV621" s="27" t="s">
        <v>7</v>
      </c>
      <c r="HW621" s="27" t="s">
        <v>8</v>
      </c>
      <c r="HX621" s="27" t="s">
        <v>7</v>
      </c>
      <c r="IA621" s="27" t="s">
        <v>8</v>
      </c>
      <c r="IB621" s="27" t="s">
        <v>7</v>
      </c>
      <c r="IC621" s="27" t="s">
        <v>8</v>
      </c>
      <c r="IQ621" s="27" t="s">
        <v>8</v>
      </c>
      <c r="IU621" s="27" t="s">
        <v>8</v>
      </c>
      <c r="IV621" s="27" t="s">
        <v>7</v>
      </c>
    </row>
    <row r="622" spans="1:302" x14ac:dyDescent="0.25">
      <c r="A622" s="7">
        <v>0.50002761335929735</v>
      </c>
      <c r="B622"/>
      <c r="C622"/>
      <c r="D622"/>
      <c r="E622"/>
      <c r="F622" s="27" t="s">
        <v>7</v>
      </c>
      <c r="DE622" s="27" t="s">
        <v>8</v>
      </c>
      <c r="DF622" s="27" t="s">
        <v>7</v>
      </c>
      <c r="DM622" s="27" t="s">
        <v>8</v>
      </c>
      <c r="DN622" s="27" t="s">
        <v>7</v>
      </c>
      <c r="DU622" s="27" t="s">
        <v>8</v>
      </c>
      <c r="DV622" s="27" t="s">
        <v>7</v>
      </c>
      <c r="DW622" s="27" t="s">
        <v>8</v>
      </c>
      <c r="EH622" s="27" t="s">
        <v>7</v>
      </c>
      <c r="EI622" s="27" t="s">
        <v>8</v>
      </c>
      <c r="EJ622" s="27" t="s">
        <v>7</v>
      </c>
      <c r="EK622" s="27" t="s">
        <v>8</v>
      </c>
      <c r="EL622" s="27" t="s">
        <v>7</v>
      </c>
      <c r="EM622" s="27" t="s">
        <v>8</v>
      </c>
      <c r="EX622" s="27" t="s">
        <v>7</v>
      </c>
      <c r="EY622" s="27" t="s">
        <v>8</v>
      </c>
      <c r="EZ622" s="27" t="s">
        <v>7</v>
      </c>
      <c r="FA622" s="27" t="s">
        <v>8</v>
      </c>
      <c r="FF622" s="27" t="s">
        <v>7</v>
      </c>
      <c r="FG622" s="27" t="s">
        <v>8</v>
      </c>
      <c r="FN622" s="27" t="s">
        <v>7</v>
      </c>
      <c r="FQ622" s="27" t="s">
        <v>8</v>
      </c>
      <c r="FT622" s="27" t="s">
        <v>7</v>
      </c>
      <c r="FV622" s="27" t="s">
        <v>7</v>
      </c>
      <c r="FW622" s="27" t="s">
        <v>8</v>
      </c>
      <c r="FZ622" s="27" t="s">
        <v>7</v>
      </c>
      <c r="GA622" s="27" t="s">
        <v>8</v>
      </c>
      <c r="GB622" s="27" t="s">
        <v>7</v>
      </c>
      <c r="HQ622" s="27" t="s">
        <v>8</v>
      </c>
      <c r="HR622" s="27" t="s">
        <v>7</v>
      </c>
      <c r="HS622" s="27" t="s">
        <v>8</v>
      </c>
      <c r="HV622" s="27" t="s">
        <v>7</v>
      </c>
      <c r="HX622" s="27" t="s">
        <v>7</v>
      </c>
      <c r="IA622" s="27" t="s">
        <v>8</v>
      </c>
      <c r="IB622" s="27" t="s">
        <v>7</v>
      </c>
      <c r="IC622" s="27" t="s">
        <v>8</v>
      </c>
      <c r="ID622" s="27" t="s">
        <v>7</v>
      </c>
      <c r="IQ622" s="27" t="s">
        <v>8</v>
      </c>
      <c r="IR622" s="27" t="s">
        <v>7</v>
      </c>
      <c r="IU622" s="27" t="s">
        <v>8</v>
      </c>
    </row>
    <row r="623" spans="1:302" x14ac:dyDescent="0.25">
      <c r="A623" s="7">
        <v>0.49022315035225228</v>
      </c>
      <c r="B623"/>
      <c r="C623"/>
      <c r="D623"/>
      <c r="E623"/>
      <c r="F623" s="27" t="s">
        <v>7</v>
      </c>
      <c r="DE623" s="27" t="s">
        <v>8</v>
      </c>
      <c r="DF623" s="27" t="s">
        <v>7</v>
      </c>
      <c r="DM623" s="27" t="s">
        <v>8</v>
      </c>
      <c r="DN623" s="27" t="s">
        <v>7</v>
      </c>
      <c r="DU623" s="27" t="s">
        <v>8</v>
      </c>
      <c r="DV623" s="27" t="s">
        <v>7</v>
      </c>
      <c r="DW623" s="27" t="s">
        <v>8</v>
      </c>
      <c r="EH623" s="27" t="s">
        <v>7</v>
      </c>
      <c r="EI623" s="27" t="s">
        <v>8</v>
      </c>
      <c r="EJ623" s="27" t="s">
        <v>7</v>
      </c>
      <c r="EL623" s="27" t="s">
        <v>7</v>
      </c>
      <c r="EM623" s="27" t="s">
        <v>8</v>
      </c>
      <c r="EX623" s="27" t="s">
        <v>7</v>
      </c>
      <c r="EY623" s="27" t="s">
        <v>8</v>
      </c>
      <c r="EZ623" s="27" t="s">
        <v>7</v>
      </c>
      <c r="FA623" s="27" t="s">
        <v>8</v>
      </c>
      <c r="FF623" s="27" t="s">
        <v>7</v>
      </c>
      <c r="FN623" s="27" t="s">
        <v>7</v>
      </c>
      <c r="FQ623" s="27" t="s">
        <v>8</v>
      </c>
      <c r="FV623" s="27" t="s">
        <v>7</v>
      </c>
      <c r="FZ623" s="27" t="s">
        <v>7</v>
      </c>
      <c r="GB623" s="27" t="s">
        <v>7</v>
      </c>
      <c r="HQ623" s="27" t="s">
        <v>8</v>
      </c>
      <c r="HR623" s="27" t="s">
        <v>7</v>
      </c>
      <c r="HS623" s="27" t="s">
        <v>8</v>
      </c>
      <c r="HX623" s="27" t="s">
        <v>7</v>
      </c>
      <c r="IA623" s="27" t="s">
        <v>8</v>
      </c>
      <c r="IB623" s="27" t="s">
        <v>7</v>
      </c>
      <c r="IC623" s="27" t="s">
        <v>8</v>
      </c>
      <c r="ID623" s="27" t="s">
        <v>7</v>
      </c>
      <c r="IO623" s="27" t="s">
        <v>8</v>
      </c>
      <c r="IQ623" s="27" t="s">
        <v>8</v>
      </c>
      <c r="IR623" s="27" t="s">
        <v>7</v>
      </c>
      <c r="IU623" s="27" t="s">
        <v>8</v>
      </c>
    </row>
    <row r="624" spans="1:302" x14ac:dyDescent="0.25">
      <c r="A624" s="7">
        <v>0.48061093171789437</v>
      </c>
      <c r="B624"/>
      <c r="C624"/>
      <c r="D624"/>
      <c r="E624"/>
      <c r="F624" s="27" t="s">
        <v>7</v>
      </c>
      <c r="DE624" s="27" t="s">
        <v>8</v>
      </c>
      <c r="DF624" s="27" t="s">
        <v>7</v>
      </c>
      <c r="DM624" s="27" t="s">
        <v>8</v>
      </c>
      <c r="DN624" s="27" t="s">
        <v>7</v>
      </c>
      <c r="DU624" s="27" t="s">
        <v>8</v>
      </c>
      <c r="DV624" s="27" t="s">
        <v>7</v>
      </c>
      <c r="DW624" s="27" t="s">
        <v>8</v>
      </c>
      <c r="EH624" s="27" t="s">
        <v>7</v>
      </c>
      <c r="EI624" s="27" t="s">
        <v>8</v>
      </c>
      <c r="EL624" s="27" t="s">
        <v>7</v>
      </c>
      <c r="EM624" s="27" t="s">
        <v>8</v>
      </c>
      <c r="EX624" s="27" t="s">
        <v>7</v>
      </c>
      <c r="EY624" s="27" t="s">
        <v>8</v>
      </c>
      <c r="EZ624" s="27" t="s">
        <v>7</v>
      </c>
      <c r="FN624" s="27" t="s">
        <v>7</v>
      </c>
      <c r="FO624" s="27" t="s">
        <v>8</v>
      </c>
      <c r="FQ624" s="27" t="s">
        <v>8</v>
      </c>
      <c r="GB624" s="27" t="s">
        <v>7</v>
      </c>
      <c r="HQ624" s="27" t="s">
        <v>8</v>
      </c>
      <c r="HR624" s="27" t="s">
        <v>7</v>
      </c>
      <c r="HS624" s="27" t="s">
        <v>8</v>
      </c>
      <c r="HX624" s="27" t="s">
        <v>7</v>
      </c>
      <c r="HY624" s="27" t="s">
        <v>8</v>
      </c>
      <c r="IA624" s="27" t="s">
        <v>8</v>
      </c>
      <c r="IB624" s="27" t="s">
        <v>7</v>
      </c>
      <c r="IC624" s="27" t="s">
        <v>8</v>
      </c>
      <c r="ID624" s="27" t="s">
        <v>7</v>
      </c>
      <c r="IO624" s="27" t="s">
        <v>8</v>
      </c>
      <c r="IP624" s="27" t="s">
        <v>7</v>
      </c>
      <c r="IQ624" s="27" t="s">
        <v>8</v>
      </c>
      <c r="IR624" s="27" t="s">
        <v>7</v>
      </c>
      <c r="IU624" s="27" t="s">
        <v>8</v>
      </c>
    </row>
    <row r="625" spans="1:255" x14ac:dyDescent="0.25">
      <c r="A625" s="7">
        <v>0.47118718795871994</v>
      </c>
      <c r="B625"/>
      <c r="C625"/>
      <c r="D625"/>
      <c r="E625"/>
      <c r="F625" s="27" t="s">
        <v>7</v>
      </c>
      <c r="DE625" s="27" t="s">
        <v>8</v>
      </c>
      <c r="DF625" s="27" t="s">
        <v>7</v>
      </c>
      <c r="DM625" s="27" t="s">
        <v>8</v>
      </c>
      <c r="DN625" s="27" t="s">
        <v>7</v>
      </c>
      <c r="DQ625" s="27" t="s">
        <v>8</v>
      </c>
      <c r="DS625" s="27" t="s">
        <v>8</v>
      </c>
      <c r="DU625" s="27" t="s">
        <v>8</v>
      </c>
      <c r="DV625" s="27" t="s">
        <v>7</v>
      </c>
      <c r="EH625" s="27" t="s">
        <v>7</v>
      </c>
      <c r="EI625" s="27" t="s">
        <v>8</v>
      </c>
      <c r="EL625" s="27" t="s">
        <v>7</v>
      </c>
      <c r="EX625" s="27" t="s">
        <v>7</v>
      </c>
      <c r="EY625" s="27" t="s">
        <v>8</v>
      </c>
      <c r="FN625" s="27" t="s">
        <v>7</v>
      </c>
      <c r="FO625" s="27" t="s">
        <v>8</v>
      </c>
      <c r="FP625" s="27" t="s">
        <v>7</v>
      </c>
      <c r="FQ625" s="27" t="s">
        <v>8</v>
      </c>
      <c r="GB625" s="27" t="s">
        <v>7</v>
      </c>
      <c r="GG625" s="27" t="s">
        <v>8</v>
      </c>
      <c r="HQ625" s="27" t="s">
        <v>8</v>
      </c>
      <c r="HR625" s="27" t="s">
        <v>7</v>
      </c>
      <c r="HS625" s="27" t="s">
        <v>8</v>
      </c>
      <c r="HX625" s="27" t="s">
        <v>7</v>
      </c>
      <c r="HY625" s="27" t="s">
        <v>8</v>
      </c>
      <c r="HZ625" s="27" t="s">
        <v>7</v>
      </c>
      <c r="IA625" s="27" t="s">
        <v>8</v>
      </c>
      <c r="IB625" s="27" t="s">
        <v>7</v>
      </c>
      <c r="IC625" s="27" t="s">
        <v>8</v>
      </c>
      <c r="ID625" s="27" t="s">
        <v>7</v>
      </c>
      <c r="IO625" s="27" t="s">
        <v>8</v>
      </c>
      <c r="IP625" s="27" t="s">
        <v>7</v>
      </c>
      <c r="IQ625" s="27" t="s">
        <v>8</v>
      </c>
      <c r="IR625" s="27" t="s">
        <v>7</v>
      </c>
      <c r="IU625" s="27" t="s">
        <v>8</v>
      </c>
    </row>
    <row r="626" spans="1:255" x14ac:dyDescent="0.25">
      <c r="A626" s="7">
        <v>0.46194822348894116</v>
      </c>
      <c r="B626"/>
      <c r="C626"/>
      <c r="D626"/>
      <c r="E626"/>
      <c r="F626" s="27" t="s">
        <v>7</v>
      </c>
      <c r="DE626" s="27" t="s">
        <v>8</v>
      </c>
      <c r="DF626" s="27" t="s">
        <v>7</v>
      </c>
      <c r="DM626" s="27" t="s">
        <v>8</v>
      </c>
      <c r="DN626" s="27" t="s">
        <v>7</v>
      </c>
      <c r="DQ626" s="27" t="s">
        <v>8</v>
      </c>
      <c r="DR626" s="27" t="s">
        <v>7</v>
      </c>
      <c r="DS626" s="27" t="s">
        <v>8</v>
      </c>
      <c r="DT626" s="27" t="s">
        <v>7</v>
      </c>
      <c r="DU626" s="27" t="s">
        <v>8</v>
      </c>
      <c r="EH626" s="27" t="s">
        <v>7</v>
      </c>
      <c r="EX626" s="27" t="s">
        <v>7</v>
      </c>
      <c r="EY626" s="27" t="s">
        <v>8</v>
      </c>
      <c r="FN626" s="27" t="s">
        <v>7</v>
      </c>
      <c r="FO626" s="27" t="s">
        <v>8</v>
      </c>
      <c r="FP626" s="27" t="s">
        <v>7</v>
      </c>
      <c r="FQ626" s="27" t="s">
        <v>8</v>
      </c>
      <c r="GB626" s="27" t="s">
        <v>7</v>
      </c>
      <c r="GG626" s="27" t="s">
        <v>8</v>
      </c>
      <c r="GH626" s="27" t="s">
        <v>7</v>
      </c>
      <c r="HQ626" s="27" t="s">
        <v>8</v>
      </c>
      <c r="HR626" s="27" t="s">
        <v>7</v>
      </c>
      <c r="HS626" s="27" t="s">
        <v>8</v>
      </c>
      <c r="HX626" s="27" t="s">
        <v>7</v>
      </c>
      <c r="HY626" s="27" t="s">
        <v>8</v>
      </c>
      <c r="HZ626" s="27" t="s">
        <v>7</v>
      </c>
      <c r="IA626" s="27" t="s">
        <v>8</v>
      </c>
      <c r="IB626" s="27" t="s">
        <v>7</v>
      </c>
      <c r="IC626" s="27" t="s">
        <v>8</v>
      </c>
      <c r="ID626" s="27" t="s">
        <v>7</v>
      </c>
      <c r="IO626" s="27" t="s">
        <v>8</v>
      </c>
      <c r="IP626" s="27" t="s">
        <v>7</v>
      </c>
      <c r="IQ626" s="27" t="s">
        <v>8</v>
      </c>
      <c r="IR626" s="27" t="s">
        <v>7</v>
      </c>
      <c r="IU626" s="27" t="s">
        <v>8</v>
      </c>
    </row>
    <row r="627" spans="1:255" x14ac:dyDescent="0.25">
      <c r="A627" s="7">
        <v>0.45289041518523643</v>
      </c>
      <c r="B627"/>
      <c r="C627"/>
      <c r="D627"/>
      <c r="E627"/>
      <c r="F627" s="27" t="s">
        <v>7</v>
      </c>
      <c r="DE627" s="27" t="s">
        <v>8</v>
      </c>
      <c r="DF627" s="27" t="s">
        <v>7</v>
      </c>
      <c r="DM627" s="27" t="s">
        <v>8</v>
      </c>
      <c r="DN627" s="27" t="s">
        <v>7</v>
      </c>
      <c r="DQ627" s="27" t="s">
        <v>8</v>
      </c>
      <c r="DR627" s="27" t="s">
        <v>7</v>
      </c>
      <c r="DS627" s="27" t="s">
        <v>8</v>
      </c>
      <c r="DT627" s="27" t="s">
        <v>7</v>
      </c>
      <c r="DU627" s="27" t="s">
        <v>8</v>
      </c>
      <c r="EX627" s="27" t="s">
        <v>7</v>
      </c>
      <c r="EY627" s="27" t="s">
        <v>8</v>
      </c>
      <c r="FN627" s="27" t="s">
        <v>7</v>
      </c>
      <c r="FO627" s="27" t="s">
        <v>8</v>
      </c>
      <c r="FP627" s="27" t="s">
        <v>7</v>
      </c>
      <c r="FQ627" s="27" t="s">
        <v>8</v>
      </c>
      <c r="GB627" s="27" t="s">
        <v>7</v>
      </c>
      <c r="GG627" s="27" t="s">
        <v>8</v>
      </c>
      <c r="GH627" s="27" t="s">
        <v>7</v>
      </c>
      <c r="HQ627" s="27" t="s">
        <v>8</v>
      </c>
      <c r="HR627" s="27" t="s">
        <v>7</v>
      </c>
      <c r="HS627" s="27" t="s">
        <v>8</v>
      </c>
      <c r="HX627" s="27" t="s">
        <v>7</v>
      </c>
      <c r="HY627" s="27" t="s">
        <v>8</v>
      </c>
      <c r="HZ627" s="27" t="s">
        <v>7</v>
      </c>
      <c r="IA627" s="27" t="s">
        <v>8</v>
      </c>
      <c r="IB627" s="27" t="s">
        <v>7</v>
      </c>
      <c r="IC627" s="27" t="s">
        <v>8</v>
      </c>
      <c r="ID627" s="27" t="s">
        <v>7</v>
      </c>
      <c r="IO627" s="27" t="s">
        <v>8</v>
      </c>
      <c r="IP627" s="27" t="s">
        <v>7</v>
      </c>
      <c r="IQ627" s="27" t="s">
        <v>8</v>
      </c>
      <c r="IR627" s="27" t="s">
        <v>7</v>
      </c>
      <c r="IU627" s="27" t="s">
        <v>8</v>
      </c>
    </row>
    <row r="628" spans="1:255" x14ac:dyDescent="0.25">
      <c r="A628" s="7">
        <v>0.44401021096591808</v>
      </c>
      <c r="B628"/>
      <c r="C628"/>
      <c r="D628"/>
      <c r="E628"/>
      <c r="F628" s="27" t="s">
        <v>7</v>
      </c>
      <c r="DE628" s="27" t="s">
        <v>8</v>
      </c>
      <c r="DF628" s="27" t="s">
        <v>7</v>
      </c>
      <c r="DI628" s="27" t="s">
        <v>8</v>
      </c>
      <c r="DM628" s="27" t="s">
        <v>8</v>
      </c>
      <c r="DN628" s="27" t="s">
        <v>7</v>
      </c>
      <c r="DQ628" s="27" t="s">
        <v>8</v>
      </c>
      <c r="DR628" s="27" t="s">
        <v>7</v>
      </c>
      <c r="DS628" s="27" t="s">
        <v>8</v>
      </c>
      <c r="DT628" s="27" t="s">
        <v>7</v>
      </c>
      <c r="DU628" s="27" t="s">
        <v>8</v>
      </c>
      <c r="EX628" s="27" t="s">
        <v>7</v>
      </c>
      <c r="FN628" s="27" t="s">
        <v>7</v>
      </c>
      <c r="FO628" s="27" t="s">
        <v>8</v>
      </c>
      <c r="FP628" s="27" t="s">
        <v>7</v>
      </c>
      <c r="FQ628" s="27" t="s">
        <v>8</v>
      </c>
      <c r="GB628" s="27" t="s">
        <v>7</v>
      </c>
      <c r="GG628" s="27" t="s">
        <v>8</v>
      </c>
      <c r="GH628" s="27" t="s">
        <v>7</v>
      </c>
      <c r="HQ628" s="27" t="s">
        <v>8</v>
      </c>
      <c r="HR628" s="27" t="s">
        <v>7</v>
      </c>
      <c r="HX628" s="27" t="s">
        <v>7</v>
      </c>
      <c r="HY628" s="27" t="s">
        <v>8</v>
      </c>
      <c r="HZ628" s="27" t="s">
        <v>7</v>
      </c>
      <c r="IA628" s="27" t="s">
        <v>8</v>
      </c>
      <c r="IB628" s="27" t="s">
        <v>7</v>
      </c>
      <c r="IC628" s="27" t="s">
        <v>8</v>
      </c>
      <c r="ID628" s="27" t="s">
        <v>7</v>
      </c>
      <c r="IO628" s="27" t="s">
        <v>8</v>
      </c>
      <c r="IP628" s="27" t="s">
        <v>7</v>
      </c>
      <c r="IQ628" s="27" t="s">
        <v>8</v>
      </c>
      <c r="IR628" s="27" t="s">
        <v>7</v>
      </c>
      <c r="IU628" s="27" t="s">
        <v>8</v>
      </c>
    </row>
    <row r="629" spans="1:255" x14ac:dyDescent="0.25">
      <c r="A629" s="7">
        <v>0.4353041283979589</v>
      </c>
      <c r="B629"/>
      <c r="C629"/>
      <c r="D629"/>
      <c r="E629"/>
      <c r="F629" s="27" t="s">
        <v>7</v>
      </c>
      <c r="DE629" s="27" t="s">
        <v>8</v>
      </c>
      <c r="DF629" s="27" t="s">
        <v>7</v>
      </c>
      <c r="DI629" s="27" t="s">
        <v>8</v>
      </c>
      <c r="DJ629" s="27" t="s">
        <v>7</v>
      </c>
      <c r="DK629" s="27" t="s">
        <v>8</v>
      </c>
      <c r="DM629" s="27" t="s">
        <v>8</v>
      </c>
      <c r="DN629" s="27" t="s">
        <v>7</v>
      </c>
      <c r="DQ629" s="27" t="s">
        <v>8</v>
      </c>
      <c r="DR629" s="27" t="s">
        <v>7</v>
      </c>
      <c r="DS629" s="27" t="s">
        <v>8</v>
      </c>
      <c r="DT629" s="27" t="s">
        <v>7</v>
      </c>
      <c r="DU629" s="27" t="s">
        <v>8</v>
      </c>
      <c r="FN629" s="27" t="s">
        <v>7</v>
      </c>
      <c r="FO629" s="27" t="s">
        <v>8</v>
      </c>
      <c r="FP629" s="27" t="s">
        <v>7</v>
      </c>
      <c r="FQ629" s="27" t="s">
        <v>8</v>
      </c>
      <c r="GB629" s="27" t="s">
        <v>7</v>
      </c>
      <c r="GG629" s="27" t="s">
        <v>8</v>
      </c>
      <c r="GH629" s="27" t="s">
        <v>7</v>
      </c>
      <c r="HQ629" s="27" t="s">
        <v>8</v>
      </c>
      <c r="HX629" s="27" t="s">
        <v>7</v>
      </c>
      <c r="HY629" s="27" t="s">
        <v>8</v>
      </c>
      <c r="HZ629" s="27" t="s">
        <v>7</v>
      </c>
      <c r="IA629" s="27" t="s">
        <v>8</v>
      </c>
      <c r="IB629" s="27" t="s">
        <v>7</v>
      </c>
      <c r="IC629" s="27" t="s">
        <v>8</v>
      </c>
      <c r="ID629" s="27" t="s">
        <v>7</v>
      </c>
      <c r="IO629" s="27" t="s">
        <v>8</v>
      </c>
      <c r="IP629" s="27" t="s">
        <v>7</v>
      </c>
      <c r="IQ629" s="27" t="s">
        <v>8</v>
      </c>
      <c r="IR629" s="27" t="s">
        <v>7</v>
      </c>
      <c r="IS629" s="27" t="s">
        <v>8</v>
      </c>
      <c r="IU629" s="27" t="s">
        <v>8</v>
      </c>
    </row>
    <row r="630" spans="1:255" x14ac:dyDescent="0.25">
      <c r="A630" s="7">
        <v>0.4267687533313323</v>
      </c>
      <c r="B630"/>
      <c r="C630"/>
      <c r="D630"/>
      <c r="E630"/>
      <c r="F630" s="27" t="s">
        <v>7</v>
      </c>
      <c r="DE630" s="27" t="s">
        <v>8</v>
      </c>
      <c r="DF630" s="27" t="s">
        <v>7</v>
      </c>
      <c r="DG630" s="27" t="s">
        <v>8</v>
      </c>
      <c r="DI630" s="27" t="s">
        <v>8</v>
      </c>
      <c r="DJ630" s="27" t="s">
        <v>7</v>
      </c>
      <c r="DK630" s="27" t="s">
        <v>8</v>
      </c>
      <c r="DL630" s="27" t="s">
        <v>7</v>
      </c>
      <c r="DM630" s="27" t="s">
        <v>8</v>
      </c>
      <c r="DN630" s="27" t="s">
        <v>7</v>
      </c>
      <c r="DO630" s="27" t="s">
        <v>8</v>
      </c>
      <c r="DQ630" s="27" t="s">
        <v>8</v>
      </c>
      <c r="DR630" s="27" t="s">
        <v>7</v>
      </c>
      <c r="DS630" s="27" t="s">
        <v>8</v>
      </c>
      <c r="DT630" s="27" t="s">
        <v>7</v>
      </c>
      <c r="DU630" s="27" t="s">
        <v>8</v>
      </c>
      <c r="FN630" s="27" t="s">
        <v>7</v>
      </c>
      <c r="FO630" s="27" t="s">
        <v>8</v>
      </c>
      <c r="FP630" s="27" t="s">
        <v>7</v>
      </c>
      <c r="FQ630" s="27" t="s">
        <v>8</v>
      </c>
      <c r="GB630" s="27" t="s">
        <v>7</v>
      </c>
      <c r="GC630" s="27" t="s">
        <v>8</v>
      </c>
      <c r="GG630" s="27" t="s">
        <v>8</v>
      </c>
      <c r="GH630" s="27" t="s">
        <v>7</v>
      </c>
      <c r="HQ630" s="27" t="s">
        <v>8</v>
      </c>
      <c r="HX630" s="27" t="s">
        <v>7</v>
      </c>
      <c r="HY630" s="27" t="s">
        <v>8</v>
      </c>
      <c r="HZ630" s="27" t="s">
        <v>7</v>
      </c>
      <c r="IA630" s="27" t="s">
        <v>8</v>
      </c>
      <c r="IB630" s="27" t="s">
        <v>7</v>
      </c>
      <c r="IC630" s="27" t="s">
        <v>8</v>
      </c>
      <c r="ID630" s="27" t="s">
        <v>7</v>
      </c>
      <c r="II630" s="27" t="s">
        <v>8</v>
      </c>
      <c r="IM630" s="27" t="s">
        <v>8</v>
      </c>
      <c r="IO630" s="27" t="s">
        <v>8</v>
      </c>
      <c r="IP630" s="27" t="s">
        <v>7</v>
      </c>
      <c r="IQ630" s="27" t="s">
        <v>8</v>
      </c>
      <c r="IR630" s="27" t="s">
        <v>7</v>
      </c>
      <c r="IS630" s="27" t="s">
        <v>8</v>
      </c>
      <c r="IT630" s="27" t="s">
        <v>7</v>
      </c>
      <c r="IU630" s="27" t="s">
        <v>8</v>
      </c>
    </row>
    <row r="631" spans="1:255" x14ac:dyDescent="0.25">
      <c r="A631" s="7">
        <v>0.41840073856012971</v>
      </c>
      <c r="B631"/>
      <c r="C631"/>
      <c r="D631"/>
      <c r="E631"/>
      <c r="F631" s="27" t="s">
        <v>7</v>
      </c>
      <c r="DE631" s="27" t="s">
        <v>8</v>
      </c>
      <c r="DF631" s="27" t="s">
        <v>7</v>
      </c>
      <c r="DG631" s="27" t="s">
        <v>8</v>
      </c>
      <c r="DH631" s="27" t="s">
        <v>7</v>
      </c>
      <c r="DI631" s="27" t="s">
        <v>8</v>
      </c>
      <c r="DJ631" s="27" t="s">
        <v>7</v>
      </c>
      <c r="DK631" s="27" t="s">
        <v>8</v>
      </c>
      <c r="DL631" s="27" t="s">
        <v>7</v>
      </c>
      <c r="DM631" s="27" t="s">
        <v>8</v>
      </c>
      <c r="DN631" s="27" t="s">
        <v>7</v>
      </c>
      <c r="DO631" s="27" t="s">
        <v>8</v>
      </c>
      <c r="DP631" s="27" t="s">
        <v>7</v>
      </c>
      <c r="DQ631" s="27" t="s">
        <v>8</v>
      </c>
      <c r="DR631" s="27" t="s">
        <v>7</v>
      </c>
      <c r="DS631" s="27" t="s">
        <v>8</v>
      </c>
      <c r="DT631" s="27" t="s">
        <v>7</v>
      </c>
      <c r="FN631" s="27" t="s">
        <v>7</v>
      </c>
      <c r="FO631" s="27" t="s">
        <v>8</v>
      </c>
      <c r="FP631" s="27" t="s">
        <v>7</v>
      </c>
      <c r="GB631" s="27" t="s">
        <v>7</v>
      </c>
      <c r="GC631" s="27" t="s">
        <v>8</v>
      </c>
      <c r="GD631" s="27" t="s">
        <v>7</v>
      </c>
      <c r="GG631" s="27" t="s">
        <v>8</v>
      </c>
      <c r="GH631" s="27" t="s">
        <v>7</v>
      </c>
      <c r="HQ631" s="27" t="s">
        <v>8</v>
      </c>
      <c r="HX631" s="27" t="s">
        <v>7</v>
      </c>
      <c r="HY631" s="27" t="s">
        <v>8</v>
      </c>
      <c r="HZ631" s="27" t="s">
        <v>7</v>
      </c>
      <c r="IA631" s="27" t="s">
        <v>8</v>
      </c>
      <c r="IB631" s="27" t="s">
        <v>7</v>
      </c>
      <c r="ID631" s="27" t="s">
        <v>7</v>
      </c>
      <c r="II631" s="27" t="s">
        <v>8</v>
      </c>
      <c r="IJ631" s="27" t="s">
        <v>7</v>
      </c>
      <c r="IM631" s="27" t="s">
        <v>8</v>
      </c>
      <c r="IN631" s="27" t="s">
        <v>7</v>
      </c>
      <c r="IO631" s="27" t="s">
        <v>8</v>
      </c>
      <c r="IP631" s="27" t="s">
        <v>7</v>
      </c>
      <c r="IR631" s="27" t="s">
        <v>7</v>
      </c>
      <c r="IS631" s="27" t="s">
        <v>8</v>
      </c>
      <c r="IT631" s="27" t="s">
        <v>7</v>
      </c>
      <c r="IU631" s="27" t="s">
        <v>8</v>
      </c>
    </row>
    <row r="632" spans="1:255" x14ac:dyDescent="0.25">
      <c r="A632" s="7">
        <v>0.41019680250993112</v>
      </c>
      <c r="B632"/>
      <c r="C632"/>
      <c r="D632"/>
      <c r="E632"/>
      <c r="F632" s="27" t="s">
        <v>7</v>
      </c>
      <c r="DE632" s="27" t="s">
        <v>8</v>
      </c>
      <c r="DF632" s="27" t="s">
        <v>7</v>
      </c>
      <c r="DG632" s="27" t="s">
        <v>8</v>
      </c>
      <c r="DH632" s="27" t="s">
        <v>7</v>
      </c>
      <c r="DI632" s="27" t="s">
        <v>8</v>
      </c>
      <c r="DJ632" s="27" t="s">
        <v>7</v>
      </c>
      <c r="DK632" s="27" t="s">
        <v>8</v>
      </c>
      <c r="DL632" s="27" t="s">
        <v>7</v>
      </c>
      <c r="DM632" s="27" t="s">
        <v>8</v>
      </c>
      <c r="DN632" s="27" t="s">
        <v>7</v>
      </c>
      <c r="DO632" s="27" t="s">
        <v>8</v>
      </c>
      <c r="DP632" s="27" t="s">
        <v>7</v>
      </c>
      <c r="DQ632" s="27" t="s">
        <v>8</v>
      </c>
      <c r="DR632" s="27" t="s">
        <v>7</v>
      </c>
      <c r="DS632" s="27" t="s">
        <v>8</v>
      </c>
      <c r="FN632" s="27" t="s">
        <v>7</v>
      </c>
      <c r="FO632" s="27" t="s">
        <v>8</v>
      </c>
      <c r="GB632" s="27" t="s">
        <v>7</v>
      </c>
      <c r="GC632" s="27" t="s">
        <v>8</v>
      </c>
      <c r="GD632" s="27" t="s">
        <v>7</v>
      </c>
      <c r="GG632" s="27" t="s">
        <v>8</v>
      </c>
      <c r="GH632" s="27" t="s">
        <v>7</v>
      </c>
      <c r="HQ632" s="27" t="s">
        <v>8</v>
      </c>
      <c r="HX632" s="27" t="s">
        <v>7</v>
      </c>
      <c r="HY632" s="27" t="s">
        <v>8</v>
      </c>
      <c r="HZ632" s="27" t="s">
        <v>7</v>
      </c>
      <c r="ID632" s="27" t="s">
        <v>7</v>
      </c>
      <c r="IE632" s="27" t="s">
        <v>8</v>
      </c>
      <c r="II632" s="27" t="s">
        <v>8</v>
      </c>
      <c r="IJ632" s="27" t="s">
        <v>7</v>
      </c>
      <c r="IK632" s="27" t="s">
        <v>8</v>
      </c>
      <c r="IM632" s="27" t="s">
        <v>8</v>
      </c>
      <c r="IN632" s="27" t="s">
        <v>7</v>
      </c>
      <c r="IO632" s="27" t="s">
        <v>8</v>
      </c>
      <c r="IR632" s="27" t="s">
        <v>7</v>
      </c>
      <c r="IT632" s="27" t="s">
        <v>7</v>
      </c>
    </row>
    <row r="633" spans="1:255" x14ac:dyDescent="0.25">
      <c r="A633" s="7">
        <v>0.40215372795091286</v>
      </c>
      <c r="B633"/>
      <c r="C633"/>
      <c r="D633"/>
      <c r="E633"/>
      <c r="F633" s="27" t="s">
        <v>7</v>
      </c>
      <c r="DE633" s="27" t="s">
        <v>8</v>
      </c>
      <c r="DF633" s="27" t="s">
        <v>7</v>
      </c>
      <c r="DG633" s="27" t="s">
        <v>8</v>
      </c>
      <c r="DH633" s="27" t="s">
        <v>7</v>
      </c>
      <c r="DI633" s="27" t="s">
        <v>8</v>
      </c>
      <c r="DJ633" s="27" t="s">
        <v>7</v>
      </c>
      <c r="DK633" s="27" t="s">
        <v>8</v>
      </c>
      <c r="DL633" s="27" t="s">
        <v>7</v>
      </c>
      <c r="DM633" s="27" t="s">
        <v>8</v>
      </c>
      <c r="DN633" s="27" t="s">
        <v>7</v>
      </c>
      <c r="DO633" s="27" t="s">
        <v>8</v>
      </c>
      <c r="DP633" s="27" t="s">
        <v>7</v>
      </c>
      <c r="DR633" s="27" t="s">
        <v>7</v>
      </c>
      <c r="DS633" s="27" t="s">
        <v>8</v>
      </c>
      <c r="FN633" s="27" t="s">
        <v>7</v>
      </c>
      <c r="GB633" s="27" t="s">
        <v>7</v>
      </c>
      <c r="GC633" s="27" t="s">
        <v>8</v>
      </c>
      <c r="GD633" s="27" t="s">
        <v>7</v>
      </c>
      <c r="GG633" s="27" t="s">
        <v>8</v>
      </c>
      <c r="GH633" s="27" t="s">
        <v>7</v>
      </c>
      <c r="GI633" s="27" t="s">
        <v>8</v>
      </c>
      <c r="GK633" s="27" t="s">
        <v>8</v>
      </c>
      <c r="HQ633" s="27" t="s">
        <v>8</v>
      </c>
      <c r="HX633" s="27" t="s">
        <v>7</v>
      </c>
      <c r="HY633" s="27" t="s">
        <v>8</v>
      </c>
      <c r="ID633" s="27" t="s">
        <v>7</v>
      </c>
      <c r="IE633" s="27" t="s">
        <v>8</v>
      </c>
      <c r="IF633" s="27" t="s">
        <v>7</v>
      </c>
      <c r="II633" s="27" t="s">
        <v>8</v>
      </c>
      <c r="IJ633" s="27" t="s">
        <v>7</v>
      </c>
      <c r="IK633" s="27" t="s">
        <v>8</v>
      </c>
      <c r="IL633" s="27" t="s">
        <v>7</v>
      </c>
      <c r="IM633" s="27" t="s">
        <v>8</v>
      </c>
      <c r="IN633" s="27" t="s">
        <v>7</v>
      </c>
      <c r="IO633" s="27" t="s">
        <v>8</v>
      </c>
    </row>
    <row r="634" spans="1:255" x14ac:dyDescent="0.25">
      <c r="A634" s="7">
        <v>0.39426836073618904</v>
      </c>
      <c r="B634"/>
      <c r="C634"/>
      <c r="D634"/>
      <c r="E634"/>
      <c r="F634" s="27" t="s">
        <v>7</v>
      </c>
      <c r="DE634" s="27" t="s">
        <v>8</v>
      </c>
      <c r="DF634" s="27" t="s">
        <v>7</v>
      </c>
      <c r="DG634" s="27" t="s">
        <v>8</v>
      </c>
      <c r="DH634" s="27" t="s">
        <v>7</v>
      </c>
      <c r="DI634" s="27" t="s">
        <v>8</v>
      </c>
      <c r="DJ634" s="27" t="s">
        <v>7</v>
      </c>
      <c r="DK634" s="27" t="s">
        <v>8</v>
      </c>
      <c r="DL634" s="27" t="s">
        <v>7</v>
      </c>
      <c r="DN634" s="27" t="s">
        <v>7</v>
      </c>
      <c r="DO634" s="27" t="s">
        <v>8</v>
      </c>
      <c r="DR634" s="27" t="s">
        <v>7</v>
      </c>
      <c r="DS634" s="27" t="s">
        <v>8</v>
      </c>
      <c r="GB634" s="27" t="s">
        <v>7</v>
      </c>
      <c r="GC634" s="27" t="s">
        <v>8</v>
      </c>
      <c r="GD634" s="27" t="s">
        <v>7</v>
      </c>
      <c r="GG634" s="27" t="s">
        <v>8</v>
      </c>
      <c r="GH634" s="27" t="s">
        <v>7</v>
      </c>
      <c r="GI634" s="27" t="s">
        <v>8</v>
      </c>
      <c r="GJ634" s="27" t="s">
        <v>7</v>
      </c>
      <c r="GK634" s="27" t="s">
        <v>8</v>
      </c>
      <c r="GL634" s="27" t="s">
        <v>7</v>
      </c>
      <c r="HQ634" s="27" t="s">
        <v>8</v>
      </c>
      <c r="HX634" s="27" t="s">
        <v>7</v>
      </c>
      <c r="HY634" s="27" t="s">
        <v>8</v>
      </c>
      <c r="ID634" s="27" t="s">
        <v>7</v>
      </c>
      <c r="IE634" s="27" t="s">
        <v>8</v>
      </c>
      <c r="IF634" s="27" t="s">
        <v>7</v>
      </c>
      <c r="II634" s="27" t="s">
        <v>8</v>
      </c>
      <c r="IJ634" s="27" t="s">
        <v>7</v>
      </c>
      <c r="IK634" s="27" t="s">
        <v>8</v>
      </c>
      <c r="IL634" s="27" t="s">
        <v>7</v>
      </c>
      <c r="IM634" s="27" t="s">
        <v>8</v>
      </c>
      <c r="IN634" s="27" t="s">
        <v>7</v>
      </c>
      <c r="IO634" s="27" t="s">
        <v>8</v>
      </c>
    </row>
    <row r="635" spans="1:255" x14ac:dyDescent="0.25">
      <c r="A635" s="7">
        <v>0.38653760856489122</v>
      </c>
      <c r="B635"/>
      <c r="C635"/>
      <c r="D635"/>
      <c r="E635"/>
      <c r="F635" s="27" t="s">
        <v>7</v>
      </c>
      <c r="DE635" s="27" t="s">
        <v>8</v>
      </c>
      <c r="DF635" s="27" t="s">
        <v>7</v>
      </c>
      <c r="DG635" s="27" t="s">
        <v>8</v>
      </c>
      <c r="DH635" s="27" t="s">
        <v>7</v>
      </c>
      <c r="DI635" s="27" t="s">
        <v>8</v>
      </c>
      <c r="DJ635" s="27" t="s">
        <v>7</v>
      </c>
      <c r="DK635" s="27" t="s">
        <v>8</v>
      </c>
      <c r="DN635" s="27" t="s">
        <v>7</v>
      </c>
      <c r="DO635" s="27" t="s">
        <v>8</v>
      </c>
      <c r="DR635" s="27" t="s">
        <v>7</v>
      </c>
      <c r="GB635" s="27" t="s">
        <v>7</v>
      </c>
      <c r="GC635" s="27" t="s">
        <v>8</v>
      </c>
      <c r="GD635" s="27" t="s">
        <v>7</v>
      </c>
      <c r="GG635" s="27" t="s">
        <v>8</v>
      </c>
      <c r="GH635" s="27" t="s">
        <v>7</v>
      </c>
      <c r="GI635" s="27" t="s">
        <v>8</v>
      </c>
      <c r="GJ635" s="27" t="s">
        <v>7</v>
      </c>
      <c r="GK635" s="27" t="s">
        <v>8</v>
      </c>
      <c r="GL635" s="27" t="s">
        <v>7</v>
      </c>
      <c r="HQ635" s="27" t="s">
        <v>8</v>
      </c>
      <c r="HX635" s="27" t="s">
        <v>7</v>
      </c>
      <c r="ID635" s="27" t="s">
        <v>7</v>
      </c>
      <c r="IE635" s="27" t="s">
        <v>8</v>
      </c>
      <c r="IF635" s="27" t="s">
        <v>7</v>
      </c>
      <c r="II635" s="27" t="s">
        <v>8</v>
      </c>
      <c r="IJ635" s="27" t="s">
        <v>7</v>
      </c>
      <c r="IL635" s="27" t="s">
        <v>7</v>
      </c>
      <c r="IN635" s="27" t="s">
        <v>7</v>
      </c>
      <c r="IO635" s="27" t="s">
        <v>8</v>
      </c>
    </row>
    <row r="636" spans="1:255" x14ac:dyDescent="0.25">
      <c r="A636" s="7">
        <v>0.37895843976950117</v>
      </c>
      <c r="B636"/>
      <c r="C636"/>
      <c r="D636"/>
      <c r="E636"/>
      <c r="F636" s="27" t="s">
        <v>7</v>
      </c>
      <c r="DE636" s="27" t="s">
        <v>8</v>
      </c>
      <c r="DF636" s="27" t="s">
        <v>7</v>
      </c>
      <c r="DG636" s="27" t="s">
        <v>8</v>
      </c>
      <c r="DH636" s="27" t="s">
        <v>7</v>
      </c>
      <c r="DI636" s="27" t="s">
        <v>8</v>
      </c>
      <c r="DJ636" s="27" t="s">
        <v>7</v>
      </c>
      <c r="DK636" s="27" t="s">
        <v>8</v>
      </c>
      <c r="DN636" s="27" t="s">
        <v>7</v>
      </c>
      <c r="DO636" s="27" t="s">
        <v>8</v>
      </c>
      <c r="GB636" s="27" t="s">
        <v>7</v>
      </c>
      <c r="GC636" s="27" t="s">
        <v>8</v>
      </c>
      <c r="GD636" s="27" t="s">
        <v>7</v>
      </c>
      <c r="GG636" s="27" t="s">
        <v>8</v>
      </c>
      <c r="GH636" s="27" t="s">
        <v>7</v>
      </c>
      <c r="GI636" s="27" t="s">
        <v>8</v>
      </c>
      <c r="GJ636" s="27" t="s">
        <v>7</v>
      </c>
      <c r="GK636" s="27" t="s">
        <v>8</v>
      </c>
      <c r="GL636" s="27" t="s">
        <v>7</v>
      </c>
      <c r="HQ636" s="27" t="s">
        <v>8</v>
      </c>
      <c r="ID636" s="27" t="s">
        <v>7</v>
      </c>
      <c r="IE636" s="27" t="s">
        <v>8</v>
      </c>
      <c r="IF636" s="27" t="s">
        <v>7</v>
      </c>
      <c r="IG636" s="27" t="s">
        <v>8</v>
      </c>
      <c r="II636" s="27" t="s">
        <v>8</v>
      </c>
      <c r="IN636" s="27" t="s">
        <v>7</v>
      </c>
      <c r="IO636" s="27" t="s">
        <v>8</v>
      </c>
    </row>
    <row r="637" spans="1:255" x14ac:dyDescent="0.25">
      <c r="A637" s="7">
        <v>0.37152788212696197</v>
      </c>
      <c r="B637"/>
      <c r="C637"/>
      <c r="D637"/>
      <c r="E637"/>
      <c r="F637" s="27" t="s">
        <v>7</v>
      </c>
      <c r="DE637" s="27" t="s">
        <v>8</v>
      </c>
      <c r="DF637" s="27" t="s">
        <v>7</v>
      </c>
      <c r="DG637" s="27" t="s">
        <v>8</v>
      </c>
      <c r="DH637" s="27" t="s">
        <v>7</v>
      </c>
      <c r="DI637" s="27" t="s">
        <v>8</v>
      </c>
      <c r="DJ637" s="27" t="s">
        <v>7</v>
      </c>
      <c r="DK637" s="27" t="s">
        <v>8</v>
      </c>
      <c r="DN637" s="27" t="s">
        <v>7</v>
      </c>
      <c r="DO637" s="27" t="s">
        <v>8</v>
      </c>
      <c r="GB637" s="27" t="s">
        <v>7</v>
      </c>
      <c r="GC637" s="27" t="s">
        <v>8</v>
      </c>
      <c r="GD637" s="27" t="s">
        <v>7</v>
      </c>
      <c r="GG637" s="27" t="s">
        <v>8</v>
      </c>
      <c r="GH637" s="27" t="s">
        <v>7</v>
      </c>
      <c r="GI637" s="27" t="s">
        <v>8</v>
      </c>
      <c r="GJ637" s="27" t="s">
        <v>7</v>
      </c>
      <c r="GK637" s="27" t="s">
        <v>8</v>
      </c>
      <c r="GL637" s="27" t="s">
        <v>7</v>
      </c>
      <c r="HQ637" s="27" t="s">
        <v>8</v>
      </c>
      <c r="ID637" s="27" t="s">
        <v>7</v>
      </c>
      <c r="IF637" s="27" t="s">
        <v>7</v>
      </c>
      <c r="IG637" s="27" t="s">
        <v>8</v>
      </c>
      <c r="IH637" s="27" t="s">
        <v>7</v>
      </c>
      <c r="II637" s="27" t="s">
        <v>8</v>
      </c>
      <c r="IN637" s="27" t="s">
        <v>7</v>
      </c>
      <c r="IO637" s="27" t="s">
        <v>8</v>
      </c>
    </row>
    <row r="638" spans="1:255" x14ac:dyDescent="0.25">
      <c r="A638" s="7">
        <v>0.36424302169310002</v>
      </c>
      <c r="B638"/>
      <c r="C638"/>
      <c r="D638"/>
      <c r="E638"/>
      <c r="F638" s="27" t="s">
        <v>7</v>
      </c>
      <c r="DE638" s="27" t="s">
        <v>8</v>
      </c>
      <c r="DF638" s="27" t="s">
        <v>7</v>
      </c>
      <c r="DG638" s="27" t="s">
        <v>8</v>
      </c>
      <c r="DH638" s="27" t="s">
        <v>7</v>
      </c>
      <c r="DI638" s="27" t="s">
        <v>8</v>
      </c>
      <c r="DJ638" s="27" t="s">
        <v>7</v>
      </c>
      <c r="DK638" s="27" t="s">
        <v>8</v>
      </c>
      <c r="DN638" s="27" t="s">
        <v>7</v>
      </c>
      <c r="DO638" s="27" t="s">
        <v>8</v>
      </c>
      <c r="GB638" s="27" t="s">
        <v>7</v>
      </c>
      <c r="GC638" s="27" t="s">
        <v>8</v>
      </c>
      <c r="GD638" s="27" t="s">
        <v>7</v>
      </c>
      <c r="GG638" s="27" t="s">
        <v>8</v>
      </c>
      <c r="GH638" s="27" t="s">
        <v>7</v>
      </c>
      <c r="GI638" s="27" t="s">
        <v>8</v>
      </c>
      <c r="GJ638" s="27" t="s">
        <v>7</v>
      </c>
      <c r="GL638" s="27" t="s">
        <v>7</v>
      </c>
      <c r="HO638" s="27" t="s">
        <v>8</v>
      </c>
      <c r="HQ638" s="27" t="s">
        <v>8</v>
      </c>
      <c r="IF638" s="27" t="s">
        <v>7</v>
      </c>
      <c r="IG638" s="27" t="s">
        <v>8</v>
      </c>
      <c r="IH638" s="27" t="s">
        <v>7</v>
      </c>
      <c r="II638" s="27" t="s">
        <v>8</v>
      </c>
      <c r="IN638" s="27" t="s">
        <v>7</v>
      </c>
      <c r="IO638" s="27" t="s">
        <v>8</v>
      </c>
    </row>
    <row r="639" spans="1:255" x14ac:dyDescent="0.25">
      <c r="A639" s="7">
        <v>0.35710100165990194</v>
      </c>
      <c r="B639"/>
      <c r="C639"/>
      <c r="D639"/>
      <c r="E639"/>
      <c r="F639" s="27" t="s">
        <v>7</v>
      </c>
      <c r="DE639" s="27" t="s">
        <v>8</v>
      </c>
      <c r="DF639" s="27" t="s">
        <v>7</v>
      </c>
      <c r="DG639" s="27" t="s">
        <v>8</v>
      </c>
      <c r="DH639" s="27" t="s">
        <v>7</v>
      </c>
      <c r="DI639" s="27" t="s">
        <v>8</v>
      </c>
      <c r="DJ639" s="27" t="s">
        <v>7</v>
      </c>
      <c r="DK639" s="27" t="s">
        <v>8</v>
      </c>
      <c r="DN639" s="27" t="s">
        <v>7</v>
      </c>
      <c r="DO639" s="27" t="s">
        <v>8</v>
      </c>
      <c r="GB639" s="27" t="s">
        <v>7</v>
      </c>
      <c r="GC639" s="27" t="s">
        <v>8</v>
      </c>
      <c r="GD639" s="27" t="s">
        <v>7</v>
      </c>
      <c r="GG639" s="27" t="s">
        <v>8</v>
      </c>
      <c r="GH639" s="27" t="s">
        <v>7</v>
      </c>
      <c r="GI639" s="27" t="s">
        <v>8</v>
      </c>
      <c r="GL639" s="27" t="s">
        <v>7</v>
      </c>
      <c r="HO639" s="27" t="s">
        <v>8</v>
      </c>
      <c r="HP639" s="27" t="s">
        <v>7</v>
      </c>
      <c r="HQ639" s="27" t="s">
        <v>8</v>
      </c>
      <c r="IF639" s="27" t="s">
        <v>7</v>
      </c>
      <c r="IH639" s="27" t="s">
        <v>7</v>
      </c>
      <c r="II639" s="27" t="s">
        <v>8</v>
      </c>
      <c r="IN639" s="27" t="s">
        <v>7</v>
      </c>
      <c r="IO639" s="27" t="s">
        <v>8</v>
      </c>
    </row>
    <row r="640" spans="1:255" x14ac:dyDescent="0.25">
      <c r="A640" s="7">
        <v>0.35009902123519804</v>
      </c>
      <c r="B640"/>
      <c r="C640"/>
      <c r="D640"/>
      <c r="E640"/>
      <c r="F640" s="27" t="s">
        <v>7</v>
      </c>
      <c r="DE640" s="27" t="s">
        <v>8</v>
      </c>
      <c r="DF640" s="27" t="s">
        <v>7</v>
      </c>
      <c r="DG640" s="27" t="s">
        <v>8</v>
      </c>
      <c r="DH640" s="27" t="s">
        <v>7</v>
      </c>
      <c r="DI640" s="27" t="s">
        <v>8</v>
      </c>
      <c r="DJ640" s="27" t="s">
        <v>7</v>
      </c>
      <c r="DN640" s="27" t="s">
        <v>7</v>
      </c>
      <c r="DO640" s="27" t="s">
        <v>8</v>
      </c>
      <c r="GB640" s="27" t="s">
        <v>7</v>
      </c>
      <c r="GC640" s="27" t="s">
        <v>8</v>
      </c>
      <c r="GD640" s="27" t="s">
        <v>7</v>
      </c>
      <c r="GE640" s="27" t="s">
        <v>8</v>
      </c>
      <c r="GG640" s="27" t="s">
        <v>8</v>
      </c>
      <c r="GH640" s="27" t="s">
        <v>7</v>
      </c>
      <c r="GI640" s="27" t="s">
        <v>8</v>
      </c>
      <c r="GL640" s="27" t="s">
        <v>7</v>
      </c>
      <c r="HO640" s="27" t="s">
        <v>8</v>
      </c>
      <c r="HP640" s="27" t="s">
        <v>7</v>
      </c>
      <c r="HQ640" s="27" t="s">
        <v>8</v>
      </c>
      <c r="IH640" s="27" t="s">
        <v>7</v>
      </c>
      <c r="IN640" s="27" t="s">
        <v>7</v>
      </c>
    </row>
    <row r="641" spans="1:225" x14ac:dyDescent="0.25">
      <c r="A641" s="7">
        <v>0.34323433454431179</v>
      </c>
      <c r="B641"/>
      <c r="C641"/>
      <c r="D641"/>
      <c r="E641"/>
      <c r="F641" s="27" t="s">
        <v>7</v>
      </c>
      <c r="DE641" s="27" t="s">
        <v>8</v>
      </c>
      <c r="DF641" s="27" t="s">
        <v>7</v>
      </c>
      <c r="DG641" s="27" t="s">
        <v>8</v>
      </c>
      <c r="DH641" s="27" t="s">
        <v>7</v>
      </c>
      <c r="DI641" s="27" t="s">
        <v>8</v>
      </c>
      <c r="DN641" s="27" t="s">
        <v>7</v>
      </c>
      <c r="GB641" s="27" t="s">
        <v>7</v>
      </c>
      <c r="GC641" s="27" t="s">
        <v>8</v>
      </c>
      <c r="GD641" s="27" t="s">
        <v>7</v>
      </c>
      <c r="GE641" s="27" t="s">
        <v>8</v>
      </c>
      <c r="GF641" s="27" t="s">
        <v>7</v>
      </c>
      <c r="GG641" s="27" t="s">
        <v>8</v>
      </c>
      <c r="GH641" s="27" t="s">
        <v>7</v>
      </c>
      <c r="GI641" s="27" t="s">
        <v>8</v>
      </c>
      <c r="GL641" s="27" t="s">
        <v>7</v>
      </c>
      <c r="HO641" s="27" t="s">
        <v>8</v>
      </c>
      <c r="HP641" s="27" t="s">
        <v>7</v>
      </c>
      <c r="HQ641" s="27" t="s">
        <v>8</v>
      </c>
    </row>
    <row r="642" spans="1:225" x14ac:dyDescent="0.25">
      <c r="A642" s="7">
        <v>0.33650424955324681</v>
      </c>
      <c r="B642"/>
      <c r="C642"/>
      <c r="D642"/>
      <c r="E642"/>
      <c r="F642" s="27" t="s">
        <v>7</v>
      </c>
      <c r="DE642" s="27" t="s">
        <v>8</v>
      </c>
      <c r="DF642" s="27" t="s">
        <v>7</v>
      </c>
      <c r="DG642" s="27" t="s">
        <v>8</v>
      </c>
      <c r="DH642" s="27" t="s">
        <v>7</v>
      </c>
      <c r="DI642" s="27" t="s">
        <v>8</v>
      </c>
      <c r="GB642" s="27" t="s">
        <v>7</v>
      </c>
      <c r="GC642" s="27" t="s">
        <v>8</v>
      </c>
      <c r="GD642" s="27" t="s">
        <v>7</v>
      </c>
      <c r="GE642" s="27" t="s">
        <v>8</v>
      </c>
      <c r="GF642" s="27" t="s">
        <v>7</v>
      </c>
      <c r="GG642" s="27" t="s">
        <v>8</v>
      </c>
      <c r="GH642" s="27" t="s">
        <v>7</v>
      </c>
      <c r="GI642" s="27" t="s">
        <v>8</v>
      </c>
      <c r="GL642" s="27" t="s">
        <v>7</v>
      </c>
      <c r="GM642" s="27" t="s">
        <v>8</v>
      </c>
      <c r="HM642" s="27" t="s">
        <v>8</v>
      </c>
      <c r="HO642" s="27" t="s">
        <v>8</v>
      </c>
      <c r="HP642" s="27" t="s">
        <v>7</v>
      </c>
      <c r="HQ642" s="27" t="s">
        <v>8</v>
      </c>
    </row>
    <row r="643" spans="1:225" x14ac:dyDescent="0.25">
      <c r="A643" s="7">
        <v>0.3299061270129871</v>
      </c>
      <c r="B643"/>
      <c r="C643"/>
      <c r="D643"/>
      <c r="E643"/>
      <c r="F643" s="27" t="s">
        <v>7</v>
      </c>
      <c r="DE643" s="27" t="s">
        <v>8</v>
      </c>
      <c r="DF643" s="27" t="s">
        <v>7</v>
      </c>
      <c r="DG643" s="27" t="s">
        <v>8</v>
      </c>
      <c r="DH643" s="27" t="s">
        <v>7</v>
      </c>
      <c r="DI643" s="27" t="s">
        <v>8</v>
      </c>
      <c r="GB643" s="27" t="s">
        <v>7</v>
      </c>
      <c r="GC643" s="27" t="s">
        <v>8</v>
      </c>
      <c r="GD643" s="27" t="s">
        <v>7</v>
      </c>
      <c r="GE643" s="27" t="s">
        <v>8</v>
      </c>
      <c r="GF643" s="27" t="s">
        <v>7</v>
      </c>
      <c r="GG643" s="27" t="s">
        <v>8</v>
      </c>
      <c r="GH643" s="27" t="s">
        <v>7</v>
      </c>
      <c r="GI643" s="27" t="s">
        <v>8</v>
      </c>
      <c r="GL643" s="27" t="s">
        <v>7</v>
      </c>
      <c r="GM643" s="27" t="s">
        <v>8</v>
      </c>
      <c r="GN643" s="27" t="s">
        <v>7</v>
      </c>
      <c r="HM643" s="27" t="s">
        <v>8</v>
      </c>
      <c r="HN643" s="27" t="s">
        <v>7</v>
      </c>
      <c r="HO643" s="27" t="s">
        <v>8</v>
      </c>
      <c r="HP643" s="27" t="s">
        <v>7</v>
      </c>
      <c r="HQ643" s="27" t="s">
        <v>8</v>
      </c>
    </row>
    <row r="644" spans="1:225" x14ac:dyDescent="0.25">
      <c r="A644" s="7">
        <v>0.32343737942449713</v>
      </c>
      <c r="B644"/>
      <c r="C644"/>
      <c r="D644"/>
      <c r="E644"/>
      <c r="F644" s="27" t="s">
        <v>7</v>
      </c>
      <c r="DE644" s="27" t="s">
        <v>8</v>
      </c>
      <c r="DF644" s="27" t="s">
        <v>7</v>
      </c>
      <c r="DG644" s="27" t="s">
        <v>8</v>
      </c>
      <c r="DH644" s="27" t="s">
        <v>7</v>
      </c>
      <c r="DI644" s="27" t="s">
        <v>8</v>
      </c>
      <c r="GB644" s="27" t="s">
        <v>7</v>
      </c>
      <c r="GC644" s="27" t="s">
        <v>8</v>
      </c>
      <c r="GD644" s="27" t="s">
        <v>7</v>
      </c>
      <c r="GE644" s="27" t="s">
        <v>8</v>
      </c>
      <c r="GF644" s="27" t="s">
        <v>7</v>
      </c>
      <c r="GG644" s="27" t="s">
        <v>8</v>
      </c>
      <c r="GH644" s="27" t="s">
        <v>7</v>
      </c>
      <c r="GI644" s="27" t="s">
        <v>8</v>
      </c>
      <c r="GL644" s="27" t="s">
        <v>7</v>
      </c>
      <c r="GM644" s="27" t="s">
        <v>8</v>
      </c>
      <c r="GN644" s="27" t="s">
        <v>7</v>
      </c>
      <c r="GS644" s="27" t="s">
        <v>8</v>
      </c>
      <c r="HM644" s="27" t="s">
        <v>8</v>
      </c>
      <c r="HN644" s="27" t="s">
        <v>7</v>
      </c>
      <c r="HO644" s="27" t="s">
        <v>8</v>
      </c>
      <c r="HP644" s="27" t="s">
        <v>7</v>
      </c>
      <c r="HQ644" s="27" t="s">
        <v>8</v>
      </c>
    </row>
    <row r="645" spans="1:225" x14ac:dyDescent="0.25">
      <c r="A645" s="7">
        <v>0.31709547002401678</v>
      </c>
      <c r="B645"/>
      <c r="C645"/>
      <c r="D645"/>
      <c r="E645"/>
      <c r="F645" s="27" t="s">
        <v>7</v>
      </c>
      <c r="DE645" s="27" t="s">
        <v>8</v>
      </c>
      <c r="DF645" s="27" t="s">
        <v>7</v>
      </c>
      <c r="DH645" s="27" t="s">
        <v>7</v>
      </c>
      <c r="DI645" s="27" t="s">
        <v>8</v>
      </c>
      <c r="GB645" s="27" t="s">
        <v>7</v>
      </c>
      <c r="GC645" s="27" t="s">
        <v>8</v>
      </c>
      <c r="GD645" s="27" t="s">
        <v>7</v>
      </c>
      <c r="GE645" s="27" t="s">
        <v>8</v>
      </c>
      <c r="GF645" s="27" t="s">
        <v>7</v>
      </c>
      <c r="GG645" s="27" t="s">
        <v>8</v>
      </c>
      <c r="GH645" s="27" t="s">
        <v>7</v>
      </c>
      <c r="GI645" s="27" t="s">
        <v>8</v>
      </c>
      <c r="GL645" s="27" t="s">
        <v>7</v>
      </c>
      <c r="GM645" s="27" t="s">
        <v>8</v>
      </c>
      <c r="GN645" s="27" t="s">
        <v>7</v>
      </c>
      <c r="GO645" s="27" t="s">
        <v>8</v>
      </c>
      <c r="GS645" s="27" t="s">
        <v>8</v>
      </c>
      <c r="GT645" s="27" t="s">
        <v>7</v>
      </c>
      <c r="HM645" s="27" t="s">
        <v>8</v>
      </c>
      <c r="HN645" s="27" t="s">
        <v>7</v>
      </c>
      <c r="HP645" s="27" t="s">
        <v>7</v>
      </c>
      <c r="HQ645" s="27" t="s">
        <v>8</v>
      </c>
    </row>
    <row r="646" spans="1:225" x14ac:dyDescent="0.25">
      <c r="A646" s="7">
        <v>0.31087791178825175</v>
      </c>
      <c r="B646"/>
      <c r="C646"/>
      <c r="D646"/>
      <c r="E646"/>
      <c r="F646" s="27" t="s">
        <v>7</v>
      </c>
      <c r="DE646" s="27" t="s">
        <v>8</v>
      </c>
      <c r="DH646" s="27" t="s">
        <v>7</v>
      </c>
      <c r="DI646" s="27" t="s">
        <v>8</v>
      </c>
      <c r="GB646" s="27" t="s">
        <v>7</v>
      </c>
      <c r="GC646" s="27" t="s">
        <v>8</v>
      </c>
      <c r="GD646" s="27" t="s">
        <v>7</v>
      </c>
      <c r="GE646" s="27" t="s">
        <v>8</v>
      </c>
      <c r="GF646" s="27" t="s">
        <v>7</v>
      </c>
      <c r="GG646" s="27" t="s">
        <v>8</v>
      </c>
      <c r="GH646" s="27" t="s">
        <v>7</v>
      </c>
      <c r="GI646" s="27" t="s">
        <v>8</v>
      </c>
      <c r="GL646" s="27" t="s">
        <v>7</v>
      </c>
      <c r="GM646" s="27" t="s">
        <v>8</v>
      </c>
      <c r="GN646" s="27" t="s">
        <v>7</v>
      </c>
      <c r="GO646" s="27" t="s">
        <v>8</v>
      </c>
      <c r="GP646" s="27" t="s">
        <v>7</v>
      </c>
      <c r="GS646" s="27" t="s">
        <v>8</v>
      </c>
      <c r="GT646" s="27" t="s">
        <v>7</v>
      </c>
      <c r="HM646" s="27" t="s">
        <v>8</v>
      </c>
      <c r="HP646" s="27" t="s">
        <v>7</v>
      </c>
      <c r="HQ646" s="27" t="s">
        <v>8</v>
      </c>
    </row>
    <row r="647" spans="1:225" x14ac:dyDescent="0.25">
      <c r="A647" s="7">
        <v>0.30478226645907036</v>
      </c>
      <c r="B647"/>
      <c r="C647"/>
      <c r="D647"/>
      <c r="E647"/>
      <c r="F647" s="27" t="s">
        <v>7</v>
      </c>
      <c r="BA647" s="27" t="s">
        <v>8</v>
      </c>
      <c r="DE647" s="27" t="s">
        <v>8</v>
      </c>
      <c r="DH647" s="27" t="s">
        <v>7</v>
      </c>
      <c r="DI647" s="27" t="s">
        <v>8</v>
      </c>
      <c r="GB647" s="27" t="s">
        <v>7</v>
      </c>
      <c r="GC647" s="27" t="s">
        <v>8</v>
      </c>
      <c r="GD647" s="27" t="s">
        <v>7</v>
      </c>
      <c r="GF647" s="27" t="s">
        <v>7</v>
      </c>
      <c r="GG647" s="27" t="s">
        <v>8</v>
      </c>
      <c r="GH647" s="27" t="s">
        <v>7</v>
      </c>
      <c r="GL647" s="27" t="s">
        <v>7</v>
      </c>
      <c r="GM647" s="27" t="s">
        <v>8</v>
      </c>
      <c r="GN647" s="27" t="s">
        <v>7</v>
      </c>
      <c r="GO647" s="27" t="s">
        <v>8</v>
      </c>
      <c r="GP647" s="27" t="s">
        <v>7</v>
      </c>
      <c r="GS647" s="27" t="s">
        <v>8</v>
      </c>
      <c r="GT647" s="27" t="s">
        <v>7</v>
      </c>
      <c r="HK647" s="27" t="s">
        <v>8</v>
      </c>
      <c r="HM647" s="27" t="s">
        <v>8</v>
      </c>
      <c r="HP647" s="27" t="s">
        <v>7</v>
      </c>
      <c r="HQ647" s="27" t="s">
        <v>8</v>
      </c>
    </row>
    <row r="648" spans="1:225" x14ac:dyDescent="0.25">
      <c r="A648" s="7">
        <v>0.29880614358732388</v>
      </c>
      <c r="B648"/>
      <c r="C648"/>
      <c r="D648"/>
      <c r="E648"/>
      <c r="F648" s="27" t="s">
        <v>7</v>
      </c>
      <c r="BA648" s="27" t="s">
        <v>8</v>
      </c>
      <c r="BB648" s="27" t="s">
        <v>7</v>
      </c>
      <c r="DE648" s="27" t="s">
        <v>8</v>
      </c>
      <c r="DH648" s="27" t="s">
        <v>7</v>
      </c>
      <c r="DI648" s="27" t="s">
        <v>8</v>
      </c>
      <c r="GB648" s="27" t="s">
        <v>7</v>
      </c>
      <c r="GC648" s="27" t="s">
        <v>8</v>
      </c>
      <c r="GF648" s="27" t="s">
        <v>7</v>
      </c>
      <c r="GG648" s="27" t="s">
        <v>8</v>
      </c>
      <c r="GL648" s="27" t="s">
        <v>7</v>
      </c>
      <c r="GM648" s="27" t="s">
        <v>8</v>
      </c>
      <c r="GN648" s="27" t="s">
        <v>7</v>
      </c>
      <c r="GO648" s="27" t="s">
        <v>8</v>
      </c>
      <c r="GP648" s="27" t="s">
        <v>7</v>
      </c>
      <c r="GS648" s="27" t="s">
        <v>8</v>
      </c>
      <c r="GT648" s="27" t="s">
        <v>7</v>
      </c>
      <c r="HK648" s="27" t="s">
        <v>8</v>
      </c>
      <c r="HL648" s="27" t="s">
        <v>7</v>
      </c>
      <c r="HM648" s="27" t="s">
        <v>8</v>
      </c>
      <c r="HP648" s="27" t="s">
        <v>7</v>
      </c>
    </row>
    <row r="649" spans="1:225" x14ac:dyDescent="0.25">
      <c r="A649" s="7">
        <v>0.2929471995954156</v>
      </c>
      <c r="B649"/>
      <c r="C649"/>
      <c r="D649"/>
      <c r="E649"/>
      <c r="F649" s="27" t="s">
        <v>7</v>
      </c>
      <c r="BA649" s="27" t="s">
        <v>8</v>
      </c>
      <c r="BB649" s="27" t="s">
        <v>7</v>
      </c>
      <c r="BE649" s="27" t="s">
        <v>8</v>
      </c>
      <c r="DE649" s="27" t="s">
        <v>8</v>
      </c>
      <c r="DH649" s="27" t="s">
        <v>7</v>
      </c>
      <c r="DI649" s="27" t="s">
        <v>8</v>
      </c>
      <c r="GB649" s="27" t="s">
        <v>7</v>
      </c>
      <c r="GC649" s="27" t="s">
        <v>8</v>
      </c>
      <c r="GF649" s="27" t="s">
        <v>7</v>
      </c>
      <c r="GG649" s="27" t="s">
        <v>8</v>
      </c>
      <c r="GL649" s="27" t="s">
        <v>7</v>
      </c>
      <c r="GM649" s="27" t="s">
        <v>8</v>
      </c>
      <c r="GN649" s="27" t="s">
        <v>7</v>
      </c>
      <c r="GO649" s="27" t="s">
        <v>8</v>
      </c>
      <c r="GP649" s="27" t="s">
        <v>7</v>
      </c>
      <c r="GS649" s="27" t="s">
        <v>8</v>
      </c>
      <c r="GT649" s="27" t="s">
        <v>7</v>
      </c>
      <c r="GU649" s="27" t="s">
        <v>8</v>
      </c>
      <c r="HK649" s="27" t="s">
        <v>8</v>
      </c>
      <c r="HL649" s="27" t="s">
        <v>7</v>
      </c>
      <c r="HM649" s="27" t="s">
        <v>8</v>
      </c>
    </row>
    <row r="650" spans="1:225" x14ac:dyDescent="0.25">
      <c r="A650" s="7">
        <v>0.28720313685825055</v>
      </c>
      <c r="B650"/>
      <c r="C650"/>
      <c r="D650"/>
      <c r="E650"/>
      <c r="F650" s="27" t="s">
        <v>7</v>
      </c>
      <c r="BA650" s="27" t="s">
        <v>8</v>
      </c>
      <c r="BB650" s="27" t="s">
        <v>7</v>
      </c>
      <c r="BE650" s="27" t="s">
        <v>8</v>
      </c>
      <c r="BF650" s="27" t="s">
        <v>7</v>
      </c>
      <c r="DE650" s="27" t="s">
        <v>8</v>
      </c>
      <c r="DH650" s="27" t="s">
        <v>7</v>
      </c>
      <c r="DI650" s="27" t="s">
        <v>8</v>
      </c>
      <c r="GB650" s="27" t="s">
        <v>7</v>
      </c>
      <c r="GC650" s="27" t="s">
        <v>8</v>
      </c>
      <c r="GF650" s="27" t="s">
        <v>7</v>
      </c>
      <c r="GG650" s="27" t="s">
        <v>8</v>
      </c>
      <c r="GL650" s="27" t="s">
        <v>7</v>
      </c>
      <c r="GN650" s="27" t="s">
        <v>7</v>
      </c>
      <c r="GO650" s="27" t="s">
        <v>8</v>
      </c>
      <c r="GP650" s="27" t="s">
        <v>7</v>
      </c>
      <c r="GS650" s="27" t="s">
        <v>8</v>
      </c>
      <c r="GT650" s="27" t="s">
        <v>7</v>
      </c>
      <c r="GU650" s="27" t="s">
        <v>8</v>
      </c>
      <c r="GV650" s="27" t="s">
        <v>7</v>
      </c>
      <c r="HI650" s="27" t="s">
        <v>8</v>
      </c>
      <c r="HK650" s="27" t="s">
        <v>8</v>
      </c>
      <c r="HL650" s="27" t="s">
        <v>7</v>
      </c>
      <c r="HM650" s="27" t="s">
        <v>8</v>
      </c>
    </row>
    <row r="651" spans="1:225" x14ac:dyDescent="0.25">
      <c r="A651" s="7">
        <v>0.28157170280220645</v>
      </c>
      <c r="B651"/>
      <c r="C651"/>
      <c r="D651"/>
      <c r="E651"/>
      <c r="F651" s="27" t="s">
        <v>7</v>
      </c>
      <c r="BA651" s="27" t="s">
        <v>8</v>
      </c>
      <c r="BB651" s="27" t="s">
        <v>7</v>
      </c>
      <c r="BE651" s="27" t="s">
        <v>8</v>
      </c>
      <c r="BF651" s="27" t="s">
        <v>7</v>
      </c>
      <c r="BG651" s="27" t="s">
        <v>8</v>
      </c>
      <c r="DE651" s="27" t="s">
        <v>8</v>
      </c>
      <c r="DH651" s="27" t="s">
        <v>7</v>
      </c>
      <c r="DI651" s="27" t="s">
        <v>8</v>
      </c>
      <c r="GB651" s="27" t="s">
        <v>7</v>
      </c>
      <c r="GC651" s="27" t="s">
        <v>8</v>
      </c>
      <c r="GF651" s="27" t="s">
        <v>7</v>
      </c>
      <c r="GG651" s="27" t="s">
        <v>8</v>
      </c>
      <c r="GN651" s="27" t="s">
        <v>7</v>
      </c>
      <c r="GP651" s="27" t="s">
        <v>7</v>
      </c>
      <c r="GS651" s="27" t="s">
        <v>8</v>
      </c>
      <c r="GT651" s="27" t="s">
        <v>7</v>
      </c>
      <c r="GU651" s="27" t="s">
        <v>8</v>
      </c>
      <c r="GV651" s="27" t="s">
        <v>7</v>
      </c>
      <c r="HI651" s="27" t="s">
        <v>8</v>
      </c>
      <c r="HJ651" s="27" t="s">
        <v>7</v>
      </c>
      <c r="HK651" s="27" t="s">
        <v>8</v>
      </c>
      <c r="HL651" s="27" t="s">
        <v>7</v>
      </c>
      <c r="HM651" s="27" t="s">
        <v>8</v>
      </c>
    </row>
    <row r="652" spans="1:225" x14ac:dyDescent="0.25">
      <c r="A652" s="7">
        <v>0.27605068902177105</v>
      </c>
      <c r="B652"/>
      <c r="C652"/>
      <c r="D652"/>
      <c r="E652"/>
      <c r="F652" s="27" t="s">
        <v>7</v>
      </c>
      <c r="BA652" s="27" t="s">
        <v>8</v>
      </c>
      <c r="BB652" s="27" t="s">
        <v>7</v>
      </c>
      <c r="BE652" s="27" t="s">
        <v>8</v>
      </c>
      <c r="BF652" s="27" t="s">
        <v>7</v>
      </c>
      <c r="BG652" s="27" t="s">
        <v>8</v>
      </c>
      <c r="BH652" s="27" t="s">
        <v>7</v>
      </c>
      <c r="DE652" s="27" t="s">
        <v>8</v>
      </c>
      <c r="DH652" s="27" t="s">
        <v>7</v>
      </c>
      <c r="DI652" s="27" t="s">
        <v>8</v>
      </c>
      <c r="GB652" s="27" t="s">
        <v>7</v>
      </c>
      <c r="GC652" s="27" t="s">
        <v>8</v>
      </c>
      <c r="GF652" s="27" t="s">
        <v>7</v>
      </c>
      <c r="GG652" s="27" t="s">
        <v>8</v>
      </c>
      <c r="GP652" s="27" t="s">
        <v>7</v>
      </c>
      <c r="GS652" s="27" t="s">
        <v>8</v>
      </c>
      <c r="GT652" s="27" t="s">
        <v>7</v>
      </c>
      <c r="GU652" s="27" t="s">
        <v>8</v>
      </c>
      <c r="GV652" s="27" t="s">
        <v>7</v>
      </c>
      <c r="HI652" s="27" t="s">
        <v>8</v>
      </c>
      <c r="HJ652" s="27" t="s">
        <v>7</v>
      </c>
      <c r="HK652" s="27" t="s">
        <v>8</v>
      </c>
      <c r="HL652" s="27" t="s">
        <v>7</v>
      </c>
    </row>
    <row r="653" spans="1:225" x14ac:dyDescent="0.25">
      <c r="A653" s="7">
        <v>0.27063793041350104</v>
      </c>
      <c r="B653"/>
      <c r="C653"/>
      <c r="D653"/>
      <c r="E653"/>
      <c r="F653" s="27" t="s">
        <v>7</v>
      </c>
      <c r="BA653" s="27" t="s">
        <v>8</v>
      </c>
      <c r="BB653" s="27" t="s">
        <v>7</v>
      </c>
      <c r="BC653" s="27" t="s">
        <v>8</v>
      </c>
      <c r="BE653" s="27" t="s">
        <v>8</v>
      </c>
      <c r="BF653" s="27" t="s">
        <v>7</v>
      </c>
      <c r="BG653" s="27" t="s">
        <v>8</v>
      </c>
      <c r="BH653" s="27" t="s">
        <v>7</v>
      </c>
      <c r="DE653" s="27" t="s">
        <v>8</v>
      </c>
      <c r="DH653" s="27" t="s">
        <v>7</v>
      </c>
      <c r="DI653" s="27" t="s">
        <v>8</v>
      </c>
      <c r="GB653" s="27" t="s">
        <v>7</v>
      </c>
      <c r="GF653" s="27" t="s">
        <v>7</v>
      </c>
      <c r="GG653" s="27" t="s">
        <v>8</v>
      </c>
      <c r="GP653" s="27" t="s">
        <v>7</v>
      </c>
      <c r="GS653" s="27" t="s">
        <v>8</v>
      </c>
      <c r="GT653" s="27" t="s">
        <v>7</v>
      </c>
      <c r="GV653" s="27" t="s">
        <v>7</v>
      </c>
      <c r="GY653" s="27" t="s">
        <v>8</v>
      </c>
      <c r="HI653" s="27" t="s">
        <v>8</v>
      </c>
      <c r="HJ653" s="27" t="s">
        <v>7</v>
      </c>
      <c r="HK653" s="27" t="s">
        <v>8</v>
      </c>
    </row>
    <row r="654" spans="1:225" x14ac:dyDescent="0.25">
      <c r="A654" s="7">
        <v>0.26533130432696184</v>
      </c>
      <c r="B654"/>
      <c r="C654"/>
      <c r="D654"/>
      <c r="E654"/>
      <c r="F654" s="27" t="s">
        <v>7</v>
      </c>
      <c r="AW654" s="27" t="s">
        <v>8</v>
      </c>
      <c r="BA654" s="27" t="s">
        <v>8</v>
      </c>
      <c r="BB654" s="27" t="s">
        <v>7</v>
      </c>
      <c r="BC654" s="27" t="s">
        <v>8</v>
      </c>
      <c r="BD654" s="27" t="s">
        <v>7</v>
      </c>
      <c r="BE654" s="27" t="s">
        <v>8</v>
      </c>
      <c r="BF654" s="27" t="s">
        <v>7</v>
      </c>
      <c r="BG654" s="27" t="s">
        <v>8</v>
      </c>
      <c r="BH654" s="27" t="s">
        <v>7</v>
      </c>
      <c r="DE654" s="27" t="s">
        <v>8</v>
      </c>
      <c r="DH654" s="27" t="s">
        <v>7</v>
      </c>
      <c r="GF654" s="27" t="s">
        <v>7</v>
      </c>
      <c r="GG654" s="27" t="s">
        <v>8</v>
      </c>
      <c r="GP654" s="27" t="s">
        <v>7</v>
      </c>
      <c r="GS654" s="27" t="s">
        <v>8</v>
      </c>
      <c r="GV654" s="27" t="s">
        <v>7</v>
      </c>
      <c r="GW654" s="27" t="s">
        <v>8</v>
      </c>
      <c r="GY654" s="27" t="s">
        <v>8</v>
      </c>
      <c r="GZ654" s="27" t="s">
        <v>7</v>
      </c>
      <c r="HG654" s="27" t="s">
        <v>8</v>
      </c>
      <c r="HI654" s="27" t="s">
        <v>8</v>
      </c>
      <c r="HJ654" s="27" t="s">
        <v>7</v>
      </c>
      <c r="HK654" s="27" t="s">
        <v>8</v>
      </c>
    </row>
    <row r="655" spans="1:225" x14ac:dyDescent="0.25">
      <c r="A655" s="7">
        <v>0.26012872973231554</v>
      </c>
      <c r="B655"/>
      <c r="C655"/>
      <c r="D655"/>
      <c r="E655"/>
      <c r="F655" s="27" t="s">
        <v>7</v>
      </c>
      <c r="AW655" s="27" t="s">
        <v>8</v>
      </c>
      <c r="AX655" s="27" t="s">
        <v>7</v>
      </c>
      <c r="BA655" s="27" t="s">
        <v>8</v>
      </c>
      <c r="BB655" s="27" t="s">
        <v>7</v>
      </c>
      <c r="BC655" s="27" t="s">
        <v>8</v>
      </c>
      <c r="BD655" s="27" t="s">
        <v>7</v>
      </c>
      <c r="BE655" s="27" t="s">
        <v>8</v>
      </c>
      <c r="BF655" s="27" t="s">
        <v>7</v>
      </c>
      <c r="BG655" s="27" t="s">
        <v>8</v>
      </c>
      <c r="BH655" s="27" t="s">
        <v>7</v>
      </c>
      <c r="DE655" s="27" t="s">
        <v>8</v>
      </c>
      <c r="GF655" s="27" t="s">
        <v>7</v>
      </c>
      <c r="GG655" s="27" t="s">
        <v>8</v>
      </c>
      <c r="GP655" s="27" t="s">
        <v>7</v>
      </c>
      <c r="GS655" s="27" t="s">
        <v>8</v>
      </c>
      <c r="GV655" s="27" t="s">
        <v>7</v>
      </c>
      <c r="GW655" s="27" t="s">
        <v>8</v>
      </c>
      <c r="GX655" s="27" t="s">
        <v>7</v>
      </c>
      <c r="GY655" s="27" t="s">
        <v>8</v>
      </c>
      <c r="GZ655" s="27" t="s">
        <v>7</v>
      </c>
      <c r="HG655" s="27" t="s">
        <v>8</v>
      </c>
      <c r="HH655" s="27" t="s">
        <v>7</v>
      </c>
      <c r="HI655" s="27" t="s">
        <v>8</v>
      </c>
      <c r="HJ655" s="27" t="s">
        <v>7</v>
      </c>
      <c r="HK655" s="27" t="s">
        <v>8</v>
      </c>
    </row>
    <row r="656" spans="1:225" x14ac:dyDescent="0.25">
      <c r="A656" s="7">
        <v>0.25502816640423093</v>
      </c>
      <c r="B656"/>
      <c r="C656"/>
      <c r="D656"/>
      <c r="E656"/>
      <c r="F656" s="27" t="s">
        <v>7</v>
      </c>
      <c r="AW656" s="27" t="s">
        <v>8</v>
      </c>
      <c r="AX656" s="27" t="s">
        <v>7</v>
      </c>
      <c r="BA656" s="27" t="s">
        <v>8</v>
      </c>
      <c r="BB656" s="27" t="s">
        <v>7</v>
      </c>
      <c r="BC656" s="27" t="s">
        <v>8</v>
      </c>
      <c r="BD656" s="27" t="s">
        <v>7</v>
      </c>
      <c r="BE656" s="27" t="s">
        <v>8</v>
      </c>
      <c r="BF656" s="27" t="s">
        <v>7</v>
      </c>
      <c r="BG656" s="27" t="s">
        <v>8</v>
      </c>
      <c r="BH656" s="27" t="s">
        <v>7</v>
      </c>
      <c r="BI656" s="27" t="s">
        <v>8</v>
      </c>
      <c r="DE656" s="27" t="s">
        <v>8</v>
      </c>
      <c r="GF656" s="27" t="s">
        <v>7</v>
      </c>
      <c r="GG656" s="27" t="s">
        <v>8</v>
      </c>
      <c r="GP656" s="27" t="s">
        <v>7</v>
      </c>
      <c r="GS656" s="27" t="s">
        <v>8</v>
      </c>
      <c r="GV656" s="27" t="s">
        <v>7</v>
      </c>
      <c r="GW656" s="27" t="s">
        <v>8</v>
      </c>
      <c r="GX656" s="27" t="s">
        <v>7</v>
      </c>
      <c r="GY656" s="27" t="s">
        <v>8</v>
      </c>
      <c r="GZ656" s="27" t="s">
        <v>7</v>
      </c>
      <c r="HE656" s="27" t="s">
        <v>8</v>
      </c>
      <c r="HG656" s="27" t="s">
        <v>8</v>
      </c>
      <c r="HH656" s="27" t="s">
        <v>7</v>
      </c>
      <c r="HI656" s="27" t="s">
        <v>8</v>
      </c>
      <c r="HJ656" s="27" t="s">
        <v>7</v>
      </c>
    </row>
    <row r="657" spans="1:217" x14ac:dyDescent="0.25">
      <c r="A657" s="7">
        <v>0.25002761412179503</v>
      </c>
      <c r="B657"/>
      <c r="C657"/>
      <c r="D657"/>
      <c r="E657"/>
      <c r="F657" s="27" t="s">
        <v>7</v>
      </c>
      <c r="AW657" s="27" t="s">
        <v>8</v>
      </c>
      <c r="AX657" s="27" t="s">
        <v>7</v>
      </c>
      <c r="BA657" s="27" t="s">
        <v>8</v>
      </c>
      <c r="BB657" s="27" t="s">
        <v>7</v>
      </c>
      <c r="BC657" s="27" t="s">
        <v>8</v>
      </c>
      <c r="BD657" s="27" t="s">
        <v>7</v>
      </c>
      <c r="BE657" s="27" t="s">
        <v>8</v>
      </c>
      <c r="BF657" s="27" t="s">
        <v>7</v>
      </c>
      <c r="BG657" s="27" t="s">
        <v>8</v>
      </c>
      <c r="BH657" s="27" t="s">
        <v>7</v>
      </c>
      <c r="BI657" s="27" t="s">
        <v>8</v>
      </c>
      <c r="BJ657" s="27" t="s">
        <v>7</v>
      </c>
      <c r="DE657" s="27" t="s">
        <v>8</v>
      </c>
      <c r="GF657" s="27" t="s">
        <v>7</v>
      </c>
      <c r="GG657" s="27" t="s">
        <v>8</v>
      </c>
      <c r="GP657" s="27" t="s">
        <v>7</v>
      </c>
      <c r="GS657" s="27" t="s">
        <v>8</v>
      </c>
      <c r="GV657" s="27" t="s">
        <v>7</v>
      </c>
      <c r="GW657" s="27" t="s">
        <v>8</v>
      </c>
      <c r="GX657" s="27" t="s">
        <v>7</v>
      </c>
      <c r="GY657" s="27" t="s">
        <v>8</v>
      </c>
      <c r="GZ657" s="27" t="s">
        <v>7</v>
      </c>
      <c r="HE657" s="27" t="s">
        <v>8</v>
      </c>
      <c r="HF657" s="27" t="s">
        <v>7</v>
      </c>
      <c r="HG657" s="27" t="s">
        <v>8</v>
      </c>
      <c r="HH657" s="27" t="s">
        <v>7</v>
      </c>
      <c r="HI657" s="27" t="s">
        <v>8</v>
      </c>
    </row>
    <row r="658" spans="1:217" x14ac:dyDescent="0.25">
      <c r="A658" s="7">
        <v>0.24512511188411276</v>
      </c>
      <c r="B658"/>
      <c r="C658"/>
      <c r="D658"/>
      <c r="E658"/>
      <c r="F658" s="27" t="s">
        <v>7</v>
      </c>
      <c r="AU658" s="27" t="s">
        <v>8</v>
      </c>
      <c r="AW658" s="27" t="s">
        <v>8</v>
      </c>
      <c r="AX658" s="27" t="s">
        <v>7</v>
      </c>
      <c r="BA658" s="27" t="s">
        <v>8</v>
      </c>
      <c r="BB658" s="27" t="s">
        <v>7</v>
      </c>
      <c r="BC658" s="27" t="s">
        <v>8</v>
      </c>
      <c r="BD658" s="27" t="s">
        <v>7</v>
      </c>
      <c r="BE658" s="27" t="s">
        <v>8</v>
      </c>
      <c r="BF658" s="27" t="s">
        <v>7</v>
      </c>
      <c r="BG658" s="27" t="s">
        <v>8</v>
      </c>
      <c r="BH658" s="27" t="s">
        <v>7</v>
      </c>
      <c r="BI658" s="27" t="s">
        <v>8</v>
      </c>
      <c r="BJ658" s="27" t="s">
        <v>7</v>
      </c>
      <c r="CA658" s="27" t="s">
        <v>8</v>
      </c>
      <c r="DE658" s="27" t="s">
        <v>8</v>
      </c>
      <c r="GF658" s="27" t="s">
        <v>7</v>
      </c>
      <c r="GG658" s="27" t="s">
        <v>8</v>
      </c>
      <c r="GP658" s="27" t="s">
        <v>7</v>
      </c>
      <c r="GS658" s="27" t="s">
        <v>8</v>
      </c>
      <c r="GV658" s="27" t="s">
        <v>7</v>
      </c>
      <c r="GW658" s="27" t="s">
        <v>8</v>
      </c>
      <c r="GX658" s="27" t="s">
        <v>7</v>
      </c>
      <c r="GZ658" s="27" t="s">
        <v>7</v>
      </c>
      <c r="HC658" s="27" t="s">
        <v>8</v>
      </c>
      <c r="HE658" s="27" t="s">
        <v>8</v>
      </c>
      <c r="HF658" s="27" t="s">
        <v>7</v>
      </c>
      <c r="HG658" s="27" t="s">
        <v>8</v>
      </c>
      <c r="HH658" s="27" t="s">
        <v>7</v>
      </c>
      <c r="HI658" s="27" t="s">
        <v>8</v>
      </c>
    </row>
    <row r="659" spans="1:217" x14ac:dyDescent="0.25">
      <c r="A659" s="7">
        <v>0.24031873714128701</v>
      </c>
      <c r="B659"/>
      <c r="C659"/>
      <c r="D659"/>
      <c r="E659"/>
      <c r="F659" s="27" t="s">
        <v>7</v>
      </c>
      <c r="AU659" s="27" t="s">
        <v>8</v>
      </c>
      <c r="AV659" s="27" t="s">
        <v>7</v>
      </c>
      <c r="AW659" s="27" t="s">
        <v>8</v>
      </c>
      <c r="AX659" s="27" t="s">
        <v>7</v>
      </c>
      <c r="BA659" s="27" t="s">
        <v>8</v>
      </c>
      <c r="BB659" s="27" t="s">
        <v>7</v>
      </c>
      <c r="BC659" s="27" t="s">
        <v>8</v>
      </c>
      <c r="BD659" s="27" t="s">
        <v>7</v>
      </c>
      <c r="BF659" s="27" t="s">
        <v>7</v>
      </c>
      <c r="BG659" s="27" t="s">
        <v>8</v>
      </c>
      <c r="BH659" s="27" t="s">
        <v>7</v>
      </c>
      <c r="BI659" s="27" t="s">
        <v>8</v>
      </c>
      <c r="BJ659" s="27" t="s">
        <v>7</v>
      </c>
      <c r="CA659" s="27" t="s">
        <v>8</v>
      </c>
      <c r="CB659" s="27" t="s">
        <v>7</v>
      </c>
      <c r="DE659" s="27" t="s">
        <v>8</v>
      </c>
      <c r="GF659" s="27" t="s">
        <v>7</v>
      </c>
      <c r="GG659" s="27" t="s">
        <v>8</v>
      </c>
      <c r="GP659" s="27" t="s">
        <v>7</v>
      </c>
      <c r="GS659" s="27" t="s">
        <v>8</v>
      </c>
      <c r="GV659" s="27" t="s">
        <v>7</v>
      </c>
      <c r="GZ659" s="27" t="s">
        <v>7</v>
      </c>
      <c r="HA659" s="27" t="s">
        <v>8</v>
      </c>
      <c r="HC659" s="27" t="s">
        <v>8</v>
      </c>
      <c r="HD659" s="27" t="s">
        <v>7</v>
      </c>
      <c r="HE659" s="27" t="s">
        <v>8</v>
      </c>
      <c r="HF659" s="27" t="s">
        <v>7</v>
      </c>
      <c r="HG659" s="27" t="s">
        <v>8</v>
      </c>
      <c r="HH659" s="27" t="s">
        <v>7</v>
      </c>
    </row>
    <row r="660" spans="1:217" x14ac:dyDescent="0.25">
      <c r="A660" s="7">
        <v>0.23560660504047748</v>
      </c>
      <c r="B660"/>
      <c r="C660"/>
      <c r="D660"/>
      <c r="E660"/>
      <c r="F660" s="27" t="s">
        <v>7</v>
      </c>
      <c r="AU660" s="27" t="s">
        <v>8</v>
      </c>
      <c r="AV660" s="27" t="s">
        <v>7</v>
      </c>
      <c r="AW660" s="27" t="s">
        <v>8</v>
      </c>
      <c r="AX660" s="27" t="s">
        <v>7</v>
      </c>
      <c r="BA660" s="27" t="s">
        <v>8</v>
      </c>
      <c r="BB660" s="27" t="s">
        <v>7</v>
      </c>
      <c r="BC660" s="27" t="s">
        <v>8</v>
      </c>
      <c r="BF660" s="27" t="s">
        <v>7</v>
      </c>
      <c r="BG660" s="27" t="s">
        <v>8</v>
      </c>
      <c r="BH660" s="27" t="s">
        <v>7</v>
      </c>
      <c r="BI660" s="27" t="s">
        <v>8</v>
      </c>
      <c r="BJ660" s="27" t="s">
        <v>7</v>
      </c>
      <c r="BK660" s="27" t="s">
        <v>8</v>
      </c>
      <c r="CA660" s="27" t="s">
        <v>8</v>
      </c>
      <c r="CB660" s="27" t="s">
        <v>7</v>
      </c>
      <c r="CI660" s="27" t="s">
        <v>8</v>
      </c>
      <c r="DE660" s="27" t="s">
        <v>8</v>
      </c>
      <c r="GF660" s="27" t="s">
        <v>7</v>
      </c>
      <c r="GG660" s="27" t="s">
        <v>8</v>
      </c>
      <c r="GP660" s="27" t="s">
        <v>7</v>
      </c>
      <c r="GS660" s="27" t="s">
        <v>8</v>
      </c>
      <c r="GZ660" s="27" t="s">
        <v>7</v>
      </c>
      <c r="HA660" s="27" t="s">
        <v>8</v>
      </c>
      <c r="HB660" s="27" t="s">
        <v>7</v>
      </c>
      <c r="HC660" s="27" t="s">
        <v>8</v>
      </c>
      <c r="HD660" s="27" t="s">
        <v>7</v>
      </c>
      <c r="HE660" s="27" t="s">
        <v>8</v>
      </c>
      <c r="HF660" s="27" t="s">
        <v>7</v>
      </c>
      <c r="HG660" s="27" t="s">
        <v>8</v>
      </c>
    </row>
    <row r="661" spans="1:217" x14ac:dyDescent="0.25">
      <c r="A661" s="7">
        <v>0.23098686768674265</v>
      </c>
      <c r="B661"/>
      <c r="C661"/>
      <c r="D661"/>
      <c r="E661"/>
      <c r="F661" s="27" t="s">
        <v>7</v>
      </c>
      <c r="AU661" s="27" t="s">
        <v>8</v>
      </c>
      <c r="AV661" s="27" t="s">
        <v>7</v>
      </c>
      <c r="AW661" s="27" t="s">
        <v>8</v>
      </c>
      <c r="AX661" s="27" t="s">
        <v>7</v>
      </c>
      <c r="BA661" s="27" t="s">
        <v>8</v>
      </c>
      <c r="BB661" s="27" t="s">
        <v>7</v>
      </c>
      <c r="BC661" s="27" t="s">
        <v>8</v>
      </c>
      <c r="BF661" s="27" t="s">
        <v>7</v>
      </c>
      <c r="BG661" s="27" t="s">
        <v>8</v>
      </c>
      <c r="BH661" s="27" t="s">
        <v>7</v>
      </c>
      <c r="BJ661" s="27" t="s">
        <v>7</v>
      </c>
      <c r="BK661" s="27" t="s">
        <v>8</v>
      </c>
      <c r="BL661" s="27" t="s">
        <v>7</v>
      </c>
      <c r="BM661" s="27" t="s">
        <v>8</v>
      </c>
      <c r="CA661" s="27" t="s">
        <v>8</v>
      </c>
      <c r="CB661" s="27" t="s">
        <v>7</v>
      </c>
      <c r="CI661" s="27" t="s">
        <v>8</v>
      </c>
      <c r="CJ661" s="27" t="s">
        <v>7</v>
      </c>
      <c r="DE661" s="27" t="s">
        <v>8</v>
      </c>
      <c r="GF661" s="27" t="s">
        <v>7</v>
      </c>
      <c r="GG661" s="27" t="s">
        <v>8</v>
      </c>
      <c r="GP661" s="27" t="s">
        <v>7</v>
      </c>
      <c r="GQ661" s="27" t="s">
        <v>8</v>
      </c>
      <c r="GS661" s="27" t="s">
        <v>8</v>
      </c>
      <c r="GZ661" s="27" t="s">
        <v>7</v>
      </c>
      <c r="HA661" s="27" t="s">
        <v>8</v>
      </c>
      <c r="HB661" s="27" t="s">
        <v>7</v>
      </c>
      <c r="HC661" s="27" t="s">
        <v>8</v>
      </c>
      <c r="HD661" s="27" t="s">
        <v>7</v>
      </c>
      <c r="HE661" s="27" t="s">
        <v>8</v>
      </c>
      <c r="HF661" s="27" t="s">
        <v>7</v>
      </c>
      <c r="HG661" s="27" t="s">
        <v>8</v>
      </c>
    </row>
    <row r="662" spans="1:217" x14ac:dyDescent="0.25">
      <c r="A662" s="7">
        <v>0.22645771341837515</v>
      </c>
      <c r="B662"/>
      <c r="C662"/>
      <c r="D662"/>
      <c r="E662"/>
      <c r="F662" s="27" t="s">
        <v>7</v>
      </c>
      <c r="AO662" s="27" t="s">
        <v>8</v>
      </c>
      <c r="AU662" s="27" t="s">
        <v>8</v>
      </c>
      <c r="AV662" s="27" t="s">
        <v>7</v>
      </c>
      <c r="AW662" s="27" t="s">
        <v>8</v>
      </c>
      <c r="AX662" s="27" t="s">
        <v>7</v>
      </c>
      <c r="BA662" s="27" t="s">
        <v>8</v>
      </c>
      <c r="BB662" s="27" t="s">
        <v>7</v>
      </c>
      <c r="BF662" s="27" t="s">
        <v>7</v>
      </c>
      <c r="BG662" s="27" t="s">
        <v>8</v>
      </c>
      <c r="BJ662" s="27" t="s">
        <v>7</v>
      </c>
      <c r="BK662" s="27" t="s">
        <v>8</v>
      </c>
      <c r="BL662" s="27" t="s">
        <v>7</v>
      </c>
      <c r="BM662" s="27" t="s">
        <v>8</v>
      </c>
      <c r="BN662" s="27" t="s">
        <v>7</v>
      </c>
      <c r="CA662" s="27" t="s">
        <v>8</v>
      </c>
      <c r="CB662" s="27" t="s">
        <v>7</v>
      </c>
      <c r="CI662" s="27" t="s">
        <v>8</v>
      </c>
      <c r="CJ662" s="27" t="s">
        <v>7</v>
      </c>
      <c r="DE662" s="27" t="s">
        <v>8</v>
      </c>
      <c r="GF662" s="27" t="s">
        <v>7</v>
      </c>
      <c r="GG662" s="27" t="s">
        <v>8</v>
      </c>
      <c r="GP662" s="27" t="s">
        <v>7</v>
      </c>
      <c r="GQ662" s="27" t="s">
        <v>8</v>
      </c>
      <c r="GR662" s="27" t="s">
        <v>7</v>
      </c>
      <c r="GS662" s="27" t="s">
        <v>8</v>
      </c>
      <c r="GZ662" s="27" t="s">
        <v>7</v>
      </c>
      <c r="HB662" s="27" t="s">
        <v>7</v>
      </c>
      <c r="HC662" s="27" t="s">
        <v>8</v>
      </c>
      <c r="HD662" s="27" t="s">
        <v>7</v>
      </c>
      <c r="HE662" s="27" t="s">
        <v>8</v>
      </c>
      <c r="HF662" s="27" t="s">
        <v>7</v>
      </c>
      <c r="HG662" s="27" t="s">
        <v>8</v>
      </c>
    </row>
    <row r="663" spans="1:217" x14ac:dyDescent="0.25">
      <c r="A663" s="7">
        <v>0.22201736609644623</v>
      </c>
      <c r="B663"/>
      <c r="C663"/>
      <c r="D663"/>
      <c r="E663"/>
      <c r="F663" s="27" t="s">
        <v>7</v>
      </c>
      <c r="AK663" s="27" t="s">
        <v>8</v>
      </c>
      <c r="AO663" s="27" t="s">
        <v>8</v>
      </c>
      <c r="AP663" s="27" t="s">
        <v>7</v>
      </c>
      <c r="AU663" s="27" t="s">
        <v>8</v>
      </c>
      <c r="AV663" s="27" t="s">
        <v>7</v>
      </c>
      <c r="AW663" s="27" t="s">
        <v>8</v>
      </c>
      <c r="AX663" s="27" t="s">
        <v>7</v>
      </c>
      <c r="BA663" s="27" t="s">
        <v>8</v>
      </c>
      <c r="BF663" s="27" t="s">
        <v>7</v>
      </c>
      <c r="BJ663" s="27" t="s">
        <v>7</v>
      </c>
      <c r="BK663" s="27" t="s">
        <v>8</v>
      </c>
      <c r="BL663" s="27" t="s">
        <v>7</v>
      </c>
      <c r="BM663" s="27" t="s">
        <v>8</v>
      </c>
      <c r="BN663" s="27" t="s">
        <v>7</v>
      </c>
      <c r="CA663" s="27" t="s">
        <v>8</v>
      </c>
      <c r="CB663" s="27" t="s">
        <v>7</v>
      </c>
      <c r="CI663" s="27" t="s">
        <v>8</v>
      </c>
      <c r="CJ663" s="27" t="s">
        <v>7</v>
      </c>
      <c r="DE663" s="27" t="s">
        <v>8</v>
      </c>
      <c r="GF663" s="27" t="s">
        <v>7</v>
      </c>
      <c r="GP663" s="27" t="s">
        <v>7</v>
      </c>
      <c r="GQ663" s="27" t="s">
        <v>8</v>
      </c>
      <c r="GR663" s="27" t="s">
        <v>7</v>
      </c>
      <c r="GS663" s="27" t="s">
        <v>8</v>
      </c>
      <c r="HB663" s="27" t="s">
        <v>7</v>
      </c>
      <c r="HC663" s="27" t="s">
        <v>8</v>
      </c>
      <c r="HD663" s="27" t="s">
        <v>7</v>
      </c>
      <c r="HE663" s="27" t="s">
        <v>8</v>
      </c>
      <c r="HF663" s="27" t="s">
        <v>7</v>
      </c>
    </row>
    <row r="664" spans="1:217" x14ac:dyDescent="0.25">
      <c r="A664" s="7">
        <v>0.21766408440828061</v>
      </c>
      <c r="B664"/>
      <c r="C664"/>
      <c r="D664"/>
      <c r="E664"/>
      <c r="F664" s="27" t="s">
        <v>7</v>
      </c>
      <c r="AK664" s="27" t="s">
        <v>8</v>
      </c>
      <c r="AL664" s="27" t="s">
        <v>7</v>
      </c>
      <c r="AO664" s="27" t="s">
        <v>8</v>
      </c>
      <c r="AP664" s="27" t="s">
        <v>7</v>
      </c>
      <c r="AU664" s="27" t="s">
        <v>8</v>
      </c>
      <c r="AV664" s="27" t="s">
        <v>7</v>
      </c>
      <c r="AW664" s="27" t="s">
        <v>8</v>
      </c>
      <c r="AX664" s="27" t="s">
        <v>7</v>
      </c>
      <c r="BA664" s="27" t="s">
        <v>8</v>
      </c>
      <c r="BJ664" s="27" t="s">
        <v>7</v>
      </c>
      <c r="BK664" s="27" t="s">
        <v>8</v>
      </c>
      <c r="BL664" s="27" t="s">
        <v>7</v>
      </c>
      <c r="BM664" s="27" t="s">
        <v>8</v>
      </c>
      <c r="BN664" s="27" t="s">
        <v>7</v>
      </c>
      <c r="CA664" s="27" t="s">
        <v>8</v>
      </c>
      <c r="CB664" s="27" t="s">
        <v>7</v>
      </c>
      <c r="CI664" s="27" t="s">
        <v>8</v>
      </c>
      <c r="CJ664" s="27" t="s">
        <v>7</v>
      </c>
      <c r="DE664" s="27" t="s">
        <v>8</v>
      </c>
      <c r="GP664" s="27" t="s">
        <v>7</v>
      </c>
      <c r="GQ664" s="27" t="s">
        <v>8</v>
      </c>
      <c r="GR664" s="27" t="s">
        <v>7</v>
      </c>
      <c r="GS664" s="27" t="s">
        <v>8</v>
      </c>
      <c r="HB664" s="27" t="s">
        <v>7</v>
      </c>
      <c r="HC664" s="27" t="s">
        <v>8</v>
      </c>
      <c r="HD664" s="27" t="s">
        <v>7</v>
      </c>
      <c r="HE664" s="27" t="s">
        <v>8</v>
      </c>
    </row>
    <row r="665" spans="1:217" x14ac:dyDescent="0.25">
      <c r="A665" s="7">
        <v>0.21339616118458882</v>
      </c>
      <c r="B665"/>
      <c r="C665"/>
      <c r="D665"/>
      <c r="E665"/>
      <c r="F665" s="27" t="s">
        <v>7</v>
      </c>
      <c r="AK665" s="27" t="s">
        <v>8</v>
      </c>
      <c r="AL665" s="27" t="s">
        <v>7</v>
      </c>
      <c r="AO665" s="27" t="s">
        <v>8</v>
      </c>
      <c r="AP665" s="27" t="s">
        <v>7</v>
      </c>
      <c r="AU665" s="27" t="s">
        <v>8</v>
      </c>
      <c r="AV665" s="27" t="s">
        <v>7</v>
      </c>
      <c r="AX665" s="27" t="s">
        <v>7</v>
      </c>
      <c r="BA665" s="27" t="s">
        <v>8</v>
      </c>
      <c r="BJ665" s="27" t="s">
        <v>7</v>
      </c>
      <c r="BK665" s="27" t="s">
        <v>8</v>
      </c>
      <c r="BL665" s="27" t="s">
        <v>7</v>
      </c>
      <c r="BN665" s="27" t="s">
        <v>7</v>
      </c>
      <c r="CA665" s="27" t="s">
        <v>8</v>
      </c>
      <c r="CB665" s="27" t="s">
        <v>7</v>
      </c>
      <c r="CI665" s="27" t="s">
        <v>8</v>
      </c>
      <c r="CJ665" s="27" t="s">
        <v>7</v>
      </c>
      <c r="DE665" s="27" t="s">
        <v>8</v>
      </c>
      <c r="GP665" s="27" t="s">
        <v>7</v>
      </c>
      <c r="GQ665" s="27" t="s">
        <v>8</v>
      </c>
      <c r="GR665" s="27" t="s">
        <v>7</v>
      </c>
      <c r="GS665" s="27" t="s">
        <v>8</v>
      </c>
      <c r="HB665" s="27" t="s">
        <v>7</v>
      </c>
      <c r="HD665" s="27" t="s">
        <v>7</v>
      </c>
      <c r="HE665" s="27" t="s">
        <v>8</v>
      </c>
    </row>
    <row r="666" spans="1:217" x14ac:dyDescent="0.25">
      <c r="A666" s="7">
        <v>0.20921192272998904</v>
      </c>
      <c r="B666"/>
      <c r="C666"/>
      <c r="D666"/>
      <c r="E666"/>
      <c r="F666" s="27" t="s">
        <v>7</v>
      </c>
      <c r="AK666" s="27" t="s">
        <v>8</v>
      </c>
      <c r="AL666" s="27" t="s">
        <v>7</v>
      </c>
      <c r="AO666" s="27" t="s">
        <v>8</v>
      </c>
      <c r="AP666" s="27" t="s">
        <v>7</v>
      </c>
      <c r="AU666" s="27" t="s">
        <v>8</v>
      </c>
      <c r="AX666" s="27" t="s">
        <v>7</v>
      </c>
      <c r="BA666" s="27" t="s">
        <v>8</v>
      </c>
      <c r="BJ666" s="27" t="s">
        <v>7</v>
      </c>
      <c r="BN666" s="27" t="s">
        <v>7</v>
      </c>
      <c r="BQ666" s="27" t="s">
        <v>8</v>
      </c>
      <c r="CA666" s="27" t="s">
        <v>8</v>
      </c>
      <c r="CB666" s="27" t="s">
        <v>7</v>
      </c>
      <c r="CI666" s="27" t="s">
        <v>8</v>
      </c>
      <c r="CJ666" s="27" t="s">
        <v>7</v>
      </c>
      <c r="DE666" s="27" t="s">
        <v>8</v>
      </c>
      <c r="GP666" s="27" t="s">
        <v>7</v>
      </c>
      <c r="GQ666" s="27" t="s">
        <v>8</v>
      </c>
      <c r="GR666" s="27" t="s">
        <v>7</v>
      </c>
      <c r="GS666" s="27" t="s">
        <v>8</v>
      </c>
      <c r="HD666" s="27" t="s">
        <v>7</v>
      </c>
      <c r="HE666" s="27" t="s">
        <v>8</v>
      </c>
    </row>
    <row r="667" spans="1:217" x14ac:dyDescent="0.25">
      <c r="A667" s="7">
        <v>0.20510972816665593</v>
      </c>
      <c r="B667"/>
      <c r="C667"/>
      <c r="D667"/>
      <c r="E667"/>
      <c r="F667" s="27" t="s">
        <v>7</v>
      </c>
      <c r="AK667" s="27" t="s">
        <v>8</v>
      </c>
      <c r="AL667" s="27" t="s">
        <v>7</v>
      </c>
      <c r="AM667" s="27" t="s">
        <v>8</v>
      </c>
      <c r="AO667" s="27" t="s">
        <v>8</v>
      </c>
      <c r="AP667" s="27" t="s">
        <v>7</v>
      </c>
      <c r="AQ667" s="27" t="s">
        <v>8</v>
      </c>
      <c r="AU667" s="27" t="s">
        <v>8</v>
      </c>
      <c r="AX667" s="27" t="s">
        <v>7</v>
      </c>
      <c r="BA667" s="27" t="s">
        <v>8</v>
      </c>
      <c r="BN667" s="27" t="s">
        <v>7</v>
      </c>
      <c r="BO667" s="27" t="s">
        <v>8</v>
      </c>
      <c r="BQ667" s="27" t="s">
        <v>8</v>
      </c>
      <c r="BR667" s="27" t="s">
        <v>7</v>
      </c>
      <c r="CA667" s="27" t="s">
        <v>8</v>
      </c>
      <c r="CB667" s="27" t="s">
        <v>7</v>
      </c>
      <c r="CG667" s="27" t="s">
        <v>8</v>
      </c>
      <c r="CI667" s="27" t="s">
        <v>8</v>
      </c>
      <c r="CJ667" s="27" t="s">
        <v>7</v>
      </c>
      <c r="CK667" s="27" t="s">
        <v>8</v>
      </c>
      <c r="DE667" s="27" t="s">
        <v>8</v>
      </c>
      <c r="GP667" s="27" t="s">
        <v>7</v>
      </c>
      <c r="GQ667" s="27" t="s">
        <v>8</v>
      </c>
      <c r="GR667" s="27" t="s">
        <v>7</v>
      </c>
      <c r="GS667" s="27" t="s">
        <v>8</v>
      </c>
      <c r="HD667" s="27" t="s">
        <v>7</v>
      </c>
      <c r="HE667" s="27" t="s">
        <v>8</v>
      </c>
    </row>
    <row r="668" spans="1:217" x14ac:dyDescent="0.25">
      <c r="A668" s="7">
        <v>0.20108796879083912</v>
      </c>
      <c r="B668"/>
      <c r="C668"/>
      <c r="D668"/>
      <c r="E668"/>
      <c r="F668" s="27" t="s">
        <v>7</v>
      </c>
      <c r="AK668" s="27" t="s">
        <v>8</v>
      </c>
      <c r="AL668" s="27" t="s">
        <v>7</v>
      </c>
      <c r="AM668" s="27" t="s">
        <v>8</v>
      </c>
      <c r="AN668" s="27" t="s">
        <v>7</v>
      </c>
      <c r="AO668" s="27" t="s">
        <v>8</v>
      </c>
      <c r="AP668" s="27" t="s">
        <v>7</v>
      </c>
      <c r="AQ668" s="27" t="s">
        <v>8</v>
      </c>
      <c r="AR668" s="27" t="s">
        <v>7</v>
      </c>
      <c r="AU668" s="27" t="s">
        <v>8</v>
      </c>
      <c r="AX668" s="27" t="s">
        <v>7</v>
      </c>
      <c r="BA668" s="27" t="s">
        <v>8</v>
      </c>
      <c r="BN668" s="27" t="s">
        <v>7</v>
      </c>
      <c r="BO668" s="27" t="s">
        <v>8</v>
      </c>
      <c r="BP668" s="27" t="s">
        <v>7</v>
      </c>
      <c r="BQ668" s="27" t="s">
        <v>8</v>
      </c>
      <c r="BR668" s="27" t="s">
        <v>7</v>
      </c>
      <c r="CA668" s="27" t="s">
        <v>8</v>
      </c>
      <c r="CB668" s="27" t="s">
        <v>7</v>
      </c>
      <c r="CG668" s="27" t="s">
        <v>8</v>
      </c>
      <c r="CH668" s="27" t="s">
        <v>7</v>
      </c>
      <c r="CI668" s="27" t="s">
        <v>8</v>
      </c>
      <c r="CJ668" s="27" t="s">
        <v>7</v>
      </c>
      <c r="CK668" s="27" t="s">
        <v>8</v>
      </c>
      <c r="CL668" s="27" t="s">
        <v>7</v>
      </c>
      <c r="CM668" s="27" t="s">
        <v>8</v>
      </c>
      <c r="DE668" s="27" t="s">
        <v>8</v>
      </c>
      <c r="GP668" s="27" t="s">
        <v>7</v>
      </c>
      <c r="GQ668" s="27" t="s">
        <v>8</v>
      </c>
      <c r="GR668" s="27" t="s">
        <v>7</v>
      </c>
      <c r="HD668" s="18" t="s">
        <v>7</v>
      </c>
      <c r="HE668" s="27" t="s">
        <v>8</v>
      </c>
    </row>
    <row r="669" spans="1:217" x14ac:dyDescent="0.25">
      <c r="A669" s="7">
        <v>0.19714506744199917</v>
      </c>
      <c r="B669"/>
      <c r="C669"/>
      <c r="D669"/>
      <c r="E669"/>
      <c r="F669" s="27" t="s">
        <v>7</v>
      </c>
      <c r="AK669" s="27" t="s">
        <v>8</v>
      </c>
      <c r="AL669" s="27" t="s">
        <v>7</v>
      </c>
      <c r="AM669" s="27" t="s">
        <v>8</v>
      </c>
      <c r="AN669" s="27" t="s">
        <v>7</v>
      </c>
      <c r="AO669" s="27" t="s">
        <v>8</v>
      </c>
      <c r="AP669" s="27" t="s">
        <v>7</v>
      </c>
      <c r="AQ669" s="27" t="s">
        <v>8</v>
      </c>
      <c r="AR669" s="27" t="s">
        <v>7</v>
      </c>
      <c r="AS669" s="27" t="s">
        <v>8</v>
      </c>
      <c r="AU669" s="27" t="s">
        <v>8</v>
      </c>
      <c r="AX669" s="27" t="s">
        <v>7</v>
      </c>
      <c r="BA669" s="27" t="s">
        <v>8</v>
      </c>
      <c r="BN669" s="27" t="s">
        <v>7</v>
      </c>
      <c r="BO669" s="27" t="s">
        <v>8</v>
      </c>
      <c r="BP669" s="27" t="s">
        <v>7</v>
      </c>
      <c r="BQ669" s="27" t="s">
        <v>8</v>
      </c>
      <c r="BR669" s="27" t="s">
        <v>7</v>
      </c>
      <c r="CA669" s="27" t="s">
        <v>8</v>
      </c>
      <c r="CB669" s="27" t="s">
        <v>7</v>
      </c>
      <c r="CG669" s="27" t="s">
        <v>8</v>
      </c>
      <c r="CH669" s="27" t="s">
        <v>7</v>
      </c>
      <c r="CI669" s="27" t="s">
        <v>8</v>
      </c>
      <c r="CJ669" s="27" t="s">
        <v>7</v>
      </c>
      <c r="CK669" s="27" t="s">
        <v>8</v>
      </c>
      <c r="CL669" s="27" t="s">
        <v>7</v>
      </c>
      <c r="CM669" s="27" t="s">
        <v>8</v>
      </c>
      <c r="CN669" s="27" t="s">
        <v>7</v>
      </c>
      <c r="DC669" s="27" t="s">
        <v>8</v>
      </c>
      <c r="DE669" s="27" t="s">
        <v>8</v>
      </c>
      <c r="GP669" s="27" t="s">
        <v>7</v>
      </c>
      <c r="GQ669" s="27" t="s">
        <v>8</v>
      </c>
      <c r="HD669" s="27" t="s">
        <v>7</v>
      </c>
      <c r="HE669" s="27" t="s">
        <v>8</v>
      </c>
    </row>
    <row r="670" spans="1:217" x14ac:dyDescent="0.25">
      <c r="A670" s="7">
        <v>0.19327947788431293</v>
      </c>
      <c r="B670"/>
      <c r="C670"/>
      <c r="D670"/>
      <c r="E670"/>
      <c r="F670" s="27" t="s">
        <v>7</v>
      </c>
      <c r="AK670" s="27" t="s">
        <v>8</v>
      </c>
      <c r="AL670" s="27" t="s">
        <v>7</v>
      </c>
      <c r="AM670" s="27" t="s">
        <v>8</v>
      </c>
      <c r="AN670" s="27" t="s">
        <v>7</v>
      </c>
      <c r="AO670" s="27" t="s">
        <v>8</v>
      </c>
      <c r="AP670" s="27" t="s">
        <v>7</v>
      </c>
      <c r="AQ670" s="27" t="s">
        <v>8</v>
      </c>
      <c r="AR670" s="27" t="s">
        <v>7</v>
      </c>
      <c r="AS670" s="27" t="s">
        <v>8</v>
      </c>
      <c r="AT670" s="27" t="s">
        <v>7</v>
      </c>
      <c r="AU670" s="27" t="s">
        <v>8</v>
      </c>
      <c r="AX670" s="27" t="s">
        <v>7</v>
      </c>
      <c r="BA670" s="27" t="s">
        <v>8</v>
      </c>
      <c r="BN670" s="27" t="s">
        <v>7</v>
      </c>
      <c r="BP670" s="27" t="s">
        <v>7</v>
      </c>
      <c r="BQ670" s="27" t="s">
        <v>8</v>
      </c>
      <c r="BR670" s="27" t="s">
        <v>7</v>
      </c>
      <c r="CA670" s="27" t="s">
        <v>8</v>
      </c>
      <c r="CB670" s="27" t="s">
        <v>7</v>
      </c>
      <c r="CC670" s="27" t="s">
        <v>8</v>
      </c>
      <c r="CG670" s="27" t="s">
        <v>8</v>
      </c>
      <c r="CH670" s="27" t="s">
        <v>7</v>
      </c>
      <c r="CI670" s="27" t="s">
        <v>8</v>
      </c>
      <c r="CJ670" s="27" t="s">
        <v>7</v>
      </c>
      <c r="CK670" s="27" t="s">
        <v>8</v>
      </c>
      <c r="CL670" s="27" t="s">
        <v>7</v>
      </c>
      <c r="CM670" s="27" t="s">
        <v>8</v>
      </c>
      <c r="CN670" s="27" t="s">
        <v>7</v>
      </c>
      <c r="CO670" s="27" t="s">
        <v>8</v>
      </c>
      <c r="DC670" s="27" t="s">
        <v>8</v>
      </c>
      <c r="DD670" s="27" t="s">
        <v>7</v>
      </c>
      <c r="DE670" s="27" t="s">
        <v>8</v>
      </c>
      <c r="GP670" s="27" t="s">
        <v>7</v>
      </c>
      <c r="GQ670" s="27" t="s">
        <v>8</v>
      </c>
      <c r="HD670" s="27" t="s">
        <v>7</v>
      </c>
      <c r="HE670" s="27" t="s">
        <v>8</v>
      </c>
    </row>
    <row r="671" spans="1:217" x14ac:dyDescent="0.25">
      <c r="A671" s="7">
        <v>0.18948968420030682</v>
      </c>
      <c r="B671"/>
      <c r="C671"/>
      <c r="D671"/>
      <c r="E671"/>
      <c r="F671" s="27" t="s">
        <v>7</v>
      </c>
      <c r="AK671" s="27" t="s">
        <v>8</v>
      </c>
      <c r="AL671" s="27" t="s">
        <v>7</v>
      </c>
      <c r="AM671" s="27" t="s">
        <v>8</v>
      </c>
      <c r="AN671" s="27" t="s">
        <v>7</v>
      </c>
      <c r="AO671" s="27" t="s">
        <v>8</v>
      </c>
      <c r="AP671" s="27" t="s">
        <v>7</v>
      </c>
      <c r="AQ671" s="27" t="s">
        <v>8</v>
      </c>
      <c r="AR671" s="27" t="s">
        <v>7</v>
      </c>
      <c r="AS671" s="27" t="s">
        <v>8</v>
      </c>
      <c r="AT671" s="27" t="s">
        <v>7</v>
      </c>
      <c r="AU671" s="27" t="s">
        <v>8</v>
      </c>
      <c r="AX671" s="27" t="s">
        <v>7</v>
      </c>
      <c r="BA671" s="27" t="s">
        <v>8</v>
      </c>
      <c r="BP671" s="27" t="s">
        <v>7</v>
      </c>
      <c r="BQ671" s="27" t="s">
        <v>8</v>
      </c>
      <c r="BR671" s="27" t="s">
        <v>7</v>
      </c>
      <c r="CA671" s="27" t="s">
        <v>8</v>
      </c>
      <c r="CB671" s="27" t="s">
        <v>7</v>
      </c>
      <c r="CC671" s="27" t="s">
        <v>8</v>
      </c>
      <c r="CD671" s="27" t="s">
        <v>7</v>
      </c>
      <c r="CE671" s="27" t="s">
        <v>8</v>
      </c>
      <c r="CG671" s="27" t="s">
        <v>8</v>
      </c>
      <c r="CH671" s="27" t="s">
        <v>7</v>
      </c>
      <c r="CI671" s="27" t="s">
        <v>8</v>
      </c>
      <c r="CJ671" s="27" t="s">
        <v>7</v>
      </c>
      <c r="CK671" s="27" t="s">
        <v>8</v>
      </c>
      <c r="CL671" s="27" t="s">
        <v>7</v>
      </c>
      <c r="CN671" s="27" t="s">
        <v>7</v>
      </c>
      <c r="CO671" s="27" t="s">
        <v>8</v>
      </c>
      <c r="CP671" s="27" t="s">
        <v>7</v>
      </c>
      <c r="DC671" s="27" t="s">
        <v>8</v>
      </c>
      <c r="DD671" s="27" t="s">
        <v>7</v>
      </c>
      <c r="DE671" s="27" t="s">
        <v>8</v>
      </c>
      <c r="GP671" s="27" t="s">
        <v>7</v>
      </c>
      <c r="GQ671" s="27" t="s">
        <v>8</v>
      </c>
      <c r="HD671" s="27" t="s">
        <v>7</v>
      </c>
      <c r="HE671" s="27" t="s">
        <v>8</v>
      </c>
    </row>
    <row r="672" spans="1:217" x14ac:dyDescent="0.25">
      <c r="A672" s="7">
        <v>0.18577420019637925</v>
      </c>
      <c r="B672"/>
      <c r="C672"/>
      <c r="D672"/>
      <c r="E672"/>
      <c r="F672" s="27" t="s">
        <v>7</v>
      </c>
      <c r="AK672" s="27" t="s">
        <v>8</v>
      </c>
      <c r="AL672" s="27" t="s">
        <v>7</v>
      </c>
      <c r="AM672" s="27" t="s">
        <v>8</v>
      </c>
      <c r="AN672" s="27" t="s">
        <v>7</v>
      </c>
      <c r="AO672" s="27" t="s">
        <v>8</v>
      </c>
      <c r="AP672" s="27" t="s">
        <v>7</v>
      </c>
      <c r="AQ672" s="27" t="s">
        <v>8</v>
      </c>
      <c r="AR672" s="27" t="s">
        <v>7</v>
      </c>
      <c r="AS672" s="27" t="s">
        <v>8</v>
      </c>
      <c r="AT672" s="27" t="s">
        <v>7</v>
      </c>
      <c r="AU672" s="27" t="s">
        <v>8</v>
      </c>
      <c r="AX672" s="27" t="s">
        <v>7</v>
      </c>
      <c r="AY672" s="27" t="s">
        <v>8</v>
      </c>
      <c r="BA672" s="27" t="s">
        <v>8</v>
      </c>
      <c r="BP672" s="27" t="s">
        <v>7</v>
      </c>
      <c r="BQ672" s="27" t="s">
        <v>8</v>
      </c>
      <c r="BR672" s="27" t="s">
        <v>7</v>
      </c>
      <c r="CA672" s="27" t="s">
        <v>8</v>
      </c>
      <c r="CB672" s="27" t="s">
        <v>7</v>
      </c>
      <c r="CC672" s="27" t="s">
        <v>8</v>
      </c>
      <c r="CD672" s="27" t="s">
        <v>7</v>
      </c>
      <c r="CE672" s="27" t="s">
        <v>8</v>
      </c>
      <c r="CF672" s="27" t="s">
        <v>7</v>
      </c>
      <c r="CG672" s="27" t="s">
        <v>8</v>
      </c>
      <c r="CH672" s="27" t="s">
        <v>7</v>
      </c>
      <c r="CI672" s="27" t="s">
        <v>8</v>
      </c>
      <c r="CJ672" s="27" t="s">
        <v>7</v>
      </c>
      <c r="CK672" s="27" t="s">
        <v>8</v>
      </c>
      <c r="CN672" s="27" t="s">
        <v>7</v>
      </c>
      <c r="CO672" s="27" t="s">
        <v>8</v>
      </c>
      <c r="CP672" s="27" t="s">
        <v>7</v>
      </c>
      <c r="CQ672" s="27" t="s">
        <v>8</v>
      </c>
      <c r="DA672" s="27" t="s">
        <v>8</v>
      </c>
      <c r="DC672" s="27" t="s">
        <v>8</v>
      </c>
      <c r="DD672" s="27" t="s">
        <v>7</v>
      </c>
      <c r="DE672" s="27" t="s">
        <v>8</v>
      </c>
      <c r="GP672" s="27" t="s">
        <v>7</v>
      </c>
      <c r="GQ672" s="27" t="s">
        <v>8</v>
      </c>
      <c r="HD672" s="27" t="s">
        <v>7</v>
      </c>
    </row>
    <row r="673" spans="1:199" x14ac:dyDescent="0.25">
      <c r="A673" s="7">
        <v>0.18213156881997963</v>
      </c>
      <c r="B673"/>
      <c r="C673"/>
      <c r="D673"/>
      <c r="E673"/>
      <c r="F673" s="27" t="s">
        <v>7</v>
      </c>
      <c r="AK673" s="27" t="s">
        <v>8</v>
      </c>
      <c r="AL673" s="27" t="s">
        <v>7</v>
      </c>
      <c r="AM673" s="27" t="s">
        <v>8</v>
      </c>
      <c r="AN673" s="27" t="s">
        <v>7</v>
      </c>
      <c r="AO673" s="27" t="s">
        <v>8</v>
      </c>
      <c r="AP673" s="27" t="s">
        <v>7</v>
      </c>
      <c r="AQ673" s="27" t="s">
        <v>8</v>
      </c>
      <c r="AR673" s="27" t="s">
        <v>7</v>
      </c>
      <c r="AS673" s="27" t="s">
        <v>8</v>
      </c>
      <c r="AT673" s="27" t="s">
        <v>7</v>
      </c>
      <c r="AU673" s="27" t="s">
        <v>8</v>
      </c>
      <c r="AX673" s="27" t="s">
        <v>7</v>
      </c>
      <c r="AY673" s="27" t="s">
        <v>8</v>
      </c>
      <c r="AZ673" s="27" t="s">
        <v>7</v>
      </c>
      <c r="BA673" s="27" t="s">
        <v>8</v>
      </c>
      <c r="BP673" s="27" t="s">
        <v>7</v>
      </c>
      <c r="BQ673" s="27" t="s">
        <v>8</v>
      </c>
      <c r="BR673" s="27" t="s">
        <v>7</v>
      </c>
      <c r="CA673" s="27" t="s">
        <v>8</v>
      </c>
      <c r="CB673" s="27" t="s">
        <v>7</v>
      </c>
      <c r="CC673" s="27" t="s">
        <v>8</v>
      </c>
      <c r="CD673" s="27" t="s">
        <v>7</v>
      </c>
      <c r="CE673" s="27" t="s">
        <v>8</v>
      </c>
      <c r="CF673" s="27" t="s">
        <v>7</v>
      </c>
      <c r="CG673" s="27" t="s">
        <v>8</v>
      </c>
      <c r="CH673" s="27" t="s">
        <v>7</v>
      </c>
      <c r="CI673" s="27" t="s">
        <v>8</v>
      </c>
      <c r="CJ673" s="27" t="s">
        <v>7</v>
      </c>
      <c r="CK673" s="27" t="s">
        <v>8</v>
      </c>
      <c r="CN673" s="27" t="s">
        <v>7</v>
      </c>
      <c r="CP673" s="27" t="s">
        <v>7</v>
      </c>
      <c r="CQ673" s="27" t="s">
        <v>8</v>
      </c>
      <c r="CR673" s="27" t="s">
        <v>7</v>
      </c>
      <c r="CS673" s="27" t="s">
        <v>8</v>
      </c>
      <c r="CU673" s="27" t="s">
        <v>8</v>
      </c>
      <c r="DA673" s="27" t="s">
        <v>8</v>
      </c>
      <c r="DB673" s="27" t="s">
        <v>7</v>
      </c>
      <c r="DC673" s="27" t="s">
        <v>8</v>
      </c>
      <c r="DD673" s="27" t="s">
        <v>7</v>
      </c>
      <c r="DE673" s="27" t="s">
        <v>8</v>
      </c>
      <c r="GP673" s="27" t="s">
        <v>7</v>
      </c>
      <c r="GQ673" s="27" t="s">
        <v>8</v>
      </c>
    </row>
    <row r="674" spans="1:199" x14ac:dyDescent="0.25">
      <c r="A674" s="7">
        <v>0.17856036158821534</v>
      </c>
      <c r="B674"/>
      <c r="C674"/>
      <c r="D674"/>
      <c r="E674"/>
      <c r="F674" s="27" t="s">
        <v>7</v>
      </c>
      <c r="AK674" s="27" t="s">
        <v>8</v>
      </c>
      <c r="AL674" s="27" t="s">
        <v>7</v>
      </c>
      <c r="AM674" s="27" t="s">
        <v>8</v>
      </c>
      <c r="AN674" s="27" t="s">
        <v>7</v>
      </c>
      <c r="AO674" s="27" t="s">
        <v>8</v>
      </c>
      <c r="AP674" s="27" t="s">
        <v>7</v>
      </c>
      <c r="AQ674" s="27" t="s">
        <v>8</v>
      </c>
      <c r="AR674" s="27" t="s">
        <v>7</v>
      </c>
      <c r="AS674" s="27" t="s">
        <v>8</v>
      </c>
      <c r="AT674" s="27" t="s">
        <v>7</v>
      </c>
      <c r="AX674" s="27" t="s">
        <v>7</v>
      </c>
      <c r="AY674" s="27" t="s">
        <v>8</v>
      </c>
      <c r="AZ674" s="27" t="s">
        <v>7</v>
      </c>
      <c r="BA674" s="27" t="s">
        <v>8</v>
      </c>
      <c r="BP674" s="27" t="s">
        <v>7</v>
      </c>
      <c r="BQ674" s="27" t="s">
        <v>8</v>
      </c>
      <c r="BR674" s="27" t="s">
        <v>7</v>
      </c>
      <c r="BS674" s="27" t="s">
        <v>8</v>
      </c>
      <c r="CA674" s="27" t="s">
        <v>8</v>
      </c>
      <c r="CB674" s="27" t="s">
        <v>7</v>
      </c>
      <c r="CC674" s="27" t="s">
        <v>8</v>
      </c>
      <c r="CD674" s="27" t="s">
        <v>7</v>
      </c>
      <c r="CE674" s="27" t="s">
        <v>8</v>
      </c>
      <c r="CF674" s="27" t="s">
        <v>7</v>
      </c>
      <c r="CG674" s="27" t="s">
        <v>8</v>
      </c>
      <c r="CH674" s="27" t="s">
        <v>7</v>
      </c>
      <c r="CJ674" s="27" t="s">
        <v>7</v>
      </c>
      <c r="CK674" s="27" t="s">
        <v>8</v>
      </c>
      <c r="CP674" s="27" t="s">
        <v>7</v>
      </c>
      <c r="CQ674" s="27" t="s">
        <v>8</v>
      </c>
      <c r="CR674" s="27" t="s">
        <v>7</v>
      </c>
      <c r="CS674" s="27" t="s">
        <v>8</v>
      </c>
      <c r="CT674" s="27" t="s">
        <v>7</v>
      </c>
      <c r="CU674" s="27" t="s">
        <v>8</v>
      </c>
      <c r="CV674" s="27" t="s">
        <v>7</v>
      </c>
      <c r="CW674" s="27" t="s">
        <v>8</v>
      </c>
      <c r="DA674" s="27" t="s">
        <v>8</v>
      </c>
      <c r="DB674" s="27" t="s">
        <v>7</v>
      </c>
      <c r="DC674" s="27" t="s">
        <v>8</v>
      </c>
      <c r="DD674" s="27" t="s">
        <v>7</v>
      </c>
      <c r="DE674" s="27" t="s">
        <v>8</v>
      </c>
      <c r="GP674" s="27" t="s">
        <v>7</v>
      </c>
      <c r="GQ674" s="27" t="s">
        <v>8</v>
      </c>
    </row>
    <row r="675" spans="1:199" x14ac:dyDescent="0.25">
      <c r="A675" s="7">
        <v>0.17505917802766208</v>
      </c>
      <c r="B675"/>
      <c r="C675"/>
      <c r="D675"/>
      <c r="E675"/>
      <c r="F675" s="27" t="s">
        <v>7</v>
      </c>
      <c r="AK675" s="27" t="s">
        <v>8</v>
      </c>
      <c r="AL675" s="27" t="s">
        <v>7</v>
      </c>
      <c r="AN675" s="27" t="s">
        <v>7</v>
      </c>
      <c r="AO675" s="27" t="s">
        <v>8</v>
      </c>
      <c r="AP675" s="27" t="s">
        <v>7</v>
      </c>
      <c r="AQ675" s="27" t="s">
        <v>8</v>
      </c>
      <c r="AR675" s="27" t="s">
        <v>7</v>
      </c>
      <c r="AX675" s="27" t="s">
        <v>7</v>
      </c>
      <c r="AY675" s="27" t="s">
        <v>8</v>
      </c>
      <c r="AZ675" s="27" t="s">
        <v>7</v>
      </c>
      <c r="BA675" s="27" t="s">
        <v>8</v>
      </c>
      <c r="BP675" s="27" t="s">
        <v>7</v>
      </c>
      <c r="BQ675" s="27" t="s">
        <v>8</v>
      </c>
      <c r="BR675" s="27" t="s">
        <v>7</v>
      </c>
      <c r="BS675" s="27" t="s">
        <v>8</v>
      </c>
      <c r="BT675" s="27" t="s">
        <v>7</v>
      </c>
      <c r="CA675" s="27" t="s">
        <v>8</v>
      </c>
      <c r="CB675" s="27" t="s">
        <v>7</v>
      </c>
      <c r="CD675" s="27" t="s">
        <v>7</v>
      </c>
      <c r="CE675" s="27" t="s">
        <v>8</v>
      </c>
      <c r="CF675" s="27" t="s">
        <v>7</v>
      </c>
      <c r="CG675" s="27" t="s">
        <v>8</v>
      </c>
      <c r="CJ675" s="27" t="s">
        <v>7</v>
      </c>
      <c r="CK675" s="27" t="s">
        <v>8</v>
      </c>
      <c r="CP675" s="27" t="s">
        <v>7</v>
      </c>
      <c r="CQ675" s="27" t="s">
        <v>8</v>
      </c>
      <c r="CR675" s="27" t="s">
        <v>7</v>
      </c>
      <c r="CS675" s="27" t="s">
        <v>8</v>
      </c>
      <c r="CT675" s="27" t="s">
        <v>7</v>
      </c>
      <c r="CU675" s="27" t="s">
        <v>8</v>
      </c>
      <c r="CV675" s="27" t="s">
        <v>7</v>
      </c>
      <c r="CW675" s="27" t="s">
        <v>8</v>
      </c>
      <c r="CX675" s="27" t="s">
        <v>7</v>
      </c>
      <c r="DA675" s="27" t="s">
        <v>8</v>
      </c>
      <c r="DB675" s="27" t="s">
        <v>7</v>
      </c>
      <c r="DC675" s="27" t="s">
        <v>8</v>
      </c>
      <c r="DD675" s="27" t="s">
        <v>7</v>
      </c>
      <c r="DE675" s="27" t="s">
        <v>8</v>
      </c>
      <c r="GP675" s="27" t="s">
        <v>7</v>
      </c>
    </row>
    <row r="676" spans="1:199" x14ac:dyDescent="0.25">
      <c r="A676" s="7">
        <v>0.17162664512515888</v>
      </c>
      <c r="B676"/>
      <c r="C676"/>
      <c r="D676"/>
      <c r="E676"/>
      <c r="F676" s="27" t="s">
        <v>7</v>
      </c>
      <c r="AK676" s="27" t="s">
        <v>8</v>
      </c>
      <c r="AN676" s="27" t="s">
        <v>7</v>
      </c>
      <c r="AO676" s="27" t="s">
        <v>8</v>
      </c>
      <c r="AP676" s="27" t="s">
        <v>7</v>
      </c>
      <c r="AQ676" s="27" t="s">
        <v>8</v>
      </c>
      <c r="AX676" s="27" t="s">
        <v>7</v>
      </c>
      <c r="AY676" s="27" t="s">
        <v>8</v>
      </c>
      <c r="AZ676" s="27" t="s">
        <v>7</v>
      </c>
      <c r="BA676" s="27" t="s">
        <v>8</v>
      </c>
      <c r="BP676" s="27" t="s">
        <v>7</v>
      </c>
      <c r="BQ676" s="27" t="s">
        <v>8</v>
      </c>
      <c r="BR676" s="27" t="s">
        <v>7</v>
      </c>
      <c r="BS676" s="27" t="s">
        <v>8</v>
      </c>
      <c r="BT676" s="27" t="s">
        <v>7</v>
      </c>
      <c r="BU676" s="27" t="s">
        <v>8</v>
      </c>
      <c r="CA676" s="27" t="s">
        <v>8</v>
      </c>
      <c r="CD676" s="27" t="s">
        <v>7</v>
      </c>
      <c r="CF676" s="27" t="s">
        <v>7</v>
      </c>
      <c r="CJ676" s="27" t="s">
        <v>7</v>
      </c>
      <c r="CP676" s="27" t="s">
        <v>7</v>
      </c>
      <c r="CR676" s="27" t="s">
        <v>7</v>
      </c>
      <c r="CS676" s="27" t="s">
        <v>8</v>
      </c>
      <c r="CT676" s="27" t="s">
        <v>7</v>
      </c>
      <c r="CV676" s="27" t="s">
        <v>7</v>
      </c>
      <c r="CW676" s="27" t="s">
        <v>8</v>
      </c>
      <c r="CX676" s="27" t="s">
        <v>7</v>
      </c>
      <c r="DA676" s="27" t="s">
        <v>8</v>
      </c>
      <c r="DB676" s="27" t="s">
        <v>7</v>
      </c>
      <c r="DC676" s="27" t="s">
        <v>8</v>
      </c>
      <c r="DD676" s="27" t="s">
        <v>7</v>
      </c>
      <c r="DE676" s="27" t="s">
        <v>8</v>
      </c>
    </row>
    <row r="677" spans="1:199" x14ac:dyDescent="0.25">
      <c r="A677" s="7">
        <v>0.16826141678937145</v>
      </c>
      <c r="B677"/>
      <c r="C677"/>
      <c r="D677"/>
      <c r="E677"/>
      <c r="F677" s="27" t="s">
        <v>7</v>
      </c>
      <c r="AK677" s="27" t="s">
        <v>8</v>
      </c>
      <c r="AN677" s="27" t="s">
        <v>7</v>
      </c>
      <c r="AO677" s="27" t="s">
        <v>8</v>
      </c>
      <c r="AP677" s="27" t="s">
        <v>7</v>
      </c>
      <c r="AQ677" s="27" t="s">
        <v>8</v>
      </c>
      <c r="AX677" s="27" t="s">
        <v>7</v>
      </c>
      <c r="AY677" s="27" t="s">
        <v>8</v>
      </c>
      <c r="AZ677" s="27" t="s">
        <v>7</v>
      </c>
      <c r="BP677" s="27" t="s">
        <v>7</v>
      </c>
      <c r="BQ677" s="27" t="s">
        <v>8</v>
      </c>
      <c r="BR677" s="27" t="s">
        <v>7</v>
      </c>
      <c r="BT677" s="27" t="s">
        <v>7</v>
      </c>
      <c r="BU677" s="27" t="s">
        <v>8</v>
      </c>
      <c r="BV677" s="27" t="s">
        <v>7</v>
      </c>
      <c r="CA677" s="27" t="s">
        <v>8</v>
      </c>
      <c r="CR677" s="27" t="s">
        <v>7</v>
      </c>
      <c r="CV677" s="27" t="s">
        <v>7</v>
      </c>
      <c r="CX677" s="27" t="s">
        <v>7</v>
      </c>
      <c r="DA677" s="27" t="s">
        <v>8</v>
      </c>
      <c r="DB677" s="27" t="s">
        <v>7</v>
      </c>
      <c r="DD677" s="27" t="s">
        <v>7</v>
      </c>
    </row>
    <row r="678" spans="1:199" x14ac:dyDescent="0.25">
      <c r="A678" s="7">
        <v>0.16496217332291319</v>
      </c>
      <c r="B678"/>
      <c r="C678"/>
      <c r="D678"/>
      <c r="E678"/>
      <c r="F678" s="27" t="s">
        <v>7</v>
      </c>
      <c r="S678" s="27" t="s">
        <v>8</v>
      </c>
      <c r="AK678" s="27" t="s">
        <v>8</v>
      </c>
      <c r="AN678" s="27" t="s">
        <v>7</v>
      </c>
      <c r="AO678" s="27" t="s">
        <v>8</v>
      </c>
      <c r="AP678" s="27" t="s">
        <v>7</v>
      </c>
      <c r="AQ678" s="27" t="s">
        <v>8</v>
      </c>
      <c r="AX678" s="27" t="s">
        <v>7</v>
      </c>
      <c r="AY678" s="27" t="s">
        <v>8</v>
      </c>
      <c r="BP678" s="27" t="s">
        <v>7</v>
      </c>
      <c r="BQ678" s="27" t="s">
        <v>8</v>
      </c>
      <c r="BT678" s="27" t="s">
        <v>7</v>
      </c>
      <c r="BU678" s="27" t="s">
        <v>8</v>
      </c>
      <c r="BV678" s="27" t="s">
        <v>7</v>
      </c>
      <c r="CA678" s="27" t="s">
        <v>8</v>
      </c>
      <c r="CX678" s="27" t="s">
        <v>7</v>
      </c>
      <c r="DA678" s="27" t="s">
        <v>8</v>
      </c>
    </row>
    <row r="679" spans="1:199" x14ac:dyDescent="0.25">
      <c r="A679" s="7">
        <v>0.16172762090481685</v>
      </c>
      <c r="B679"/>
      <c r="C679"/>
      <c r="D679"/>
      <c r="E679"/>
      <c r="F679" s="27" t="s">
        <v>7</v>
      </c>
      <c r="S679" s="27" t="s">
        <v>8</v>
      </c>
      <c r="T679" s="27" t="s">
        <v>7</v>
      </c>
      <c r="AK679" s="27" t="s">
        <v>8</v>
      </c>
      <c r="AN679" s="27" t="s">
        <v>7</v>
      </c>
      <c r="AO679" s="27" t="s">
        <v>8</v>
      </c>
      <c r="AP679" s="27" t="s">
        <v>7</v>
      </c>
      <c r="AX679" s="27" t="s">
        <v>7</v>
      </c>
      <c r="AY679" s="27" t="s">
        <v>8</v>
      </c>
      <c r="BP679" s="27" t="s">
        <v>7</v>
      </c>
      <c r="BQ679" s="27" t="s">
        <v>8</v>
      </c>
      <c r="BT679" s="27" t="s">
        <v>7</v>
      </c>
      <c r="BU679" s="27" t="s">
        <v>8</v>
      </c>
      <c r="BV679" s="27" t="s">
        <v>7</v>
      </c>
      <c r="CA679" s="27" t="s">
        <v>8</v>
      </c>
      <c r="CX679" s="27" t="s">
        <v>7</v>
      </c>
      <c r="DA679" s="27" t="s">
        <v>8</v>
      </c>
    </row>
    <row r="680" spans="1:199" x14ac:dyDescent="0.25">
      <c r="A680" s="7">
        <v>0.15855649108315376</v>
      </c>
      <c r="B680"/>
      <c r="C680"/>
      <c r="D680"/>
      <c r="E680"/>
      <c r="F680" s="27" t="s">
        <v>7</v>
      </c>
      <c r="S680" s="27" t="s">
        <v>8</v>
      </c>
      <c r="T680" s="27" t="s">
        <v>7</v>
      </c>
      <c r="AK680" s="27" t="s">
        <v>8</v>
      </c>
      <c r="AN680" s="27" t="s">
        <v>7</v>
      </c>
      <c r="AX680" s="27" t="s">
        <v>7</v>
      </c>
      <c r="AY680" s="27" t="s">
        <v>8</v>
      </c>
      <c r="BP680" s="27" t="s">
        <v>7</v>
      </c>
      <c r="BQ680" s="27" t="s">
        <v>8</v>
      </c>
      <c r="BT680" s="27" t="s">
        <v>7</v>
      </c>
      <c r="BV680" s="27" t="s">
        <v>7</v>
      </c>
      <c r="BY680" s="27" t="s">
        <v>8</v>
      </c>
      <c r="CA680" s="27" t="s">
        <v>8</v>
      </c>
      <c r="CX680" s="27" t="s">
        <v>7</v>
      </c>
      <c r="CY680" s="27" t="s">
        <v>8</v>
      </c>
      <c r="DA680" s="27" t="s">
        <v>8</v>
      </c>
    </row>
    <row r="681" spans="1:199" x14ac:dyDescent="0.25">
      <c r="A681" s="7">
        <v>0.15544754027760171</v>
      </c>
      <c r="B681"/>
      <c r="C681"/>
      <c r="D681"/>
      <c r="E681"/>
      <c r="F681" s="27" t="s">
        <v>7</v>
      </c>
      <c r="S681" s="27" t="s">
        <v>8</v>
      </c>
      <c r="T681" s="27" t="s">
        <v>7</v>
      </c>
      <c r="AK681" s="27" t="s">
        <v>8</v>
      </c>
      <c r="AX681" s="27" t="s">
        <v>7</v>
      </c>
      <c r="BP681" s="27" t="s">
        <v>7</v>
      </c>
      <c r="BV681" s="27" t="s">
        <v>7</v>
      </c>
      <c r="BY681" s="27" t="s">
        <v>8</v>
      </c>
      <c r="BZ681" s="27" t="s">
        <v>7</v>
      </c>
      <c r="CA681" s="27" t="s">
        <v>8</v>
      </c>
      <c r="CX681" s="27" t="s">
        <v>7</v>
      </c>
      <c r="CY681" s="27" t="s">
        <v>8</v>
      </c>
      <c r="CZ681" s="27" t="s">
        <v>7</v>
      </c>
      <c r="DA681" s="27" t="s">
        <v>8</v>
      </c>
    </row>
    <row r="682" spans="1:199" x14ac:dyDescent="0.25">
      <c r="A682" s="7">
        <v>0.15239954929176638</v>
      </c>
      <c r="B682"/>
      <c r="C682"/>
      <c r="D682"/>
      <c r="E682"/>
      <c r="F682" s="27" t="s">
        <v>7</v>
      </c>
      <c r="S682" s="27" t="s">
        <v>8</v>
      </c>
      <c r="T682" s="27" t="s">
        <v>7</v>
      </c>
      <c r="AK682" s="27" t="s">
        <v>8</v>
      </c>
      <c r="BV682" s="27" t="s">
        <v>7</v>
      </c>
      <c r="BW682" s="27" t="s">
        <v>8</v>
      </c>
      <c r="BY682" s="27" t="s">
        <v>8</v>
      </c>
      <c r="BZ682" s="27" t="s">
        <v>7</v>
      </c>
      <c r="CA682" s="27" t="s">
        <v>8</v>
      </c>
      <c r="CX682" s="27" t="s">
        <v>7</v>
      </c>
      <c r="CY682" s="27" t="s">
        <v>8</v>
      </c>
      <c r="CZ682" s="27" t="s">
        <v>7</v>
      </c>
      <c r="DA682" s="27" t="s">
        <v>8</v>
      </c>
    </row>
    <row r="683" spans="1:199" x14ac:dyDescent="0.25">
      <c r="A683" s="7">
        <v>0.14941132283506509</v>
      </c>
      <c r="B683"/>
      <c r="C683"/>
      <c r="D683"/>
      <c r="E683"/>
      <c r="F683" s="27" t="s">
        <v>7</v>
      </c>
      <c r="S683" s="27" t="s">
        <v>8</v>
      </c>
      <c r="T683" s="27" t="s">
        <v>7</v>
      </c>
      <c r="AI683" s="27" t="s">
        <v>8</v>
      </c>
      <c r="AK683" s="27" t="s">
        <v>8</v>
      </c>
      <c r="BV683" s="27" t="s">
        <v>7</v>
      </c>
      <c r="BW683" s="27" t="s">
        <v>8</v>
      </c>
      <c r="BX683" s="27" t="s">
        <v>7</v>
      </c>
      <c r="BY683" s="27" t="s">
        <v>8</v>
      </c>
      <c r="BZ683" s="27" t="s">
        <v>7</v>
      </c>
      <c r="CA683" s="27" t="s">
        <v>8</v>
      </c>
      <c r="CX683" s="27" t="s">
        <v>7</v>
      </c>
      <c r="CY683" s="27" t="s">
        <v>8</v>
      </c>
      <c r="CZ683" s="27" t="s">
        <v>7</v>
      </c>
      <c r="DA683" s="27" t="s">
        <v>8</v>
      </c>
    </row>
    <row r="684" spans="1:199" x14ac:dyDescent="0.25">
      <c r="A684" s="7">
        <v>0.14648168905398537</v>
      </c>
      <c r="B684"/>
      <c r="C684"/>
      <c r="D684"/>
      <c r="E684"/>
      <c r="F684" s="27" t="s">
        <v>7</v>
      </c>
      <c r="S684" s="27" t="s">
        <v>8</v>
      </c>
      <c r="T684" s="27" t="s">
        <v>7</v>
      </c>
      <c r="AI684" s="27" t="s">
        <v>8</v>
      </c>
      <c r="AJ684" s="27" t="s">
        <v>7</v>
      </c>
      <c r="AK684" s="27" t="s">
        <v>8</v>
      </c>
      <c r="BV684" s="27" t="s">
        <v>7</v>
      </c>
      <c r="BW684" s="27" t="s">
        <v>8</v>
      </c>
      <c r="BX684" s="27" t="s">
        <v>7</v>
      </c>
      <c r="BY684" s="27" t="s">
        <v>8</v>
      </c>
      <c r="BZ684" s="27" t="s">
        <v>7</v>
      </c>
      <c r="CA684" s="27" t="s">
        <v>8</v>
      </c>
      <c r="CX684" s="27" t="s">
        <v>7</v>
      </c>
      <c r="CY684" s="27" t="s">
        <v>8</v>
      </c>
      <c r="CZ684" s="27" t="s">
        <v>7</v>
      </c>
    </row>
    <row r="685" spans="1:199" x14ac:dyDescent="0.25">
      <c r="A685" s="7">
        <v>0.14360949907253467</v>
      </c>
      <c r="B685"/>
      <c r="C685"/>
      <c r="D685"/>
      <c r="E685"/>
      <c r="F685" s="27" t="s">
        <v>7</v>
      </c>
      <c r="S685" s="27" t="s">
        <v>8</v>
      </c>
      <c r="T685" s="27" t="s">
        <v>7</v>
      </c>
      <c r="AI685" s="27" t="s">
        <v>8</v>
      </c>
      <c r="AJ685" s="27" t="s">
        <v>7</v>
      </c>
      <c r="AK685" s="27" t="s">
        <v>8</v>
      </c>
      <c r="BV685" s="27" t="s">
        <v>7</v>
      </c>
      <c r="BW685" s="27" t="s">
        <v>8</v>
      </c>
      <c r="BX685" s="27" t="s">
        <v>7</v>
      </c>
      <c r="BY685" s="27" t="s">
        <v>8</v>
      </c>
      <c r="BZ685" s="27" t="s">
        <v>7</v>
      </c>
      <c r="CA685" s="27" t="s">
        <v>8</v>
      </c>
      <c r="CX685" s="27" t="s">
        <v>7</v>
      </c>
      <c r="CY685" s="27" t="s">
        <v>8</v>
      </c>
    </row>
    <row r="686" spans="1:199" x14ac:dyDescent="0.25">
      <c r="A686" s="7">
        <v>0.14079362654170066</v>
      </c>
      <c r="B686"/>
      <c r="C686"/>
      <c r="D686"/>
      <c r="E686"/>
      <c r="F686" s="27" t="s">
        <v>7</v>
      </c>
      <c r="S686" s="27" t="s">
        <v>8</v>
      </c>
      <c r="T686" s="27" t="s">
        <v>7</v>
      </c>
      <c r="W686" s="27" t="s">
        <v>8</v>
      </c>
      <c r="AI686" s="27" t="s">
        <v>8</v>
      </c>
      <c r="AJ686" s="27" t="s">
        <v>7</v>
      </c>
      <c r="AK686" s="27" t="s">
        <v>8</v>
      </c>
      <c r="BV686" s="27" t="s">
        <v>7</v>
      </c>
      <c r="BW686" s="27" t="s">
        <v>8</v>
      </c>
      <c r="BX686" s="27" t="s">
        <v>7</v>
      </c>
      <c r="BY686" s="27" t="s">
        <v>8</v>
      </c>
      <c r="BZ686" s="27" t="s">
        <v>7</v>
      </c>
      <c r="CX686" s="27" t="s">
        <v>7</v>
      </c>
      <c r="CY686" s="27" t="s">
        <v>8</v>
      </c>
    </row>
    <row r="687" spans="1:199" x14ac:dyDescent="0.25">
      <c r="A687" s="7">
        <v>0.13803296719774574</v>
      </c>
      <c r="B687"/>
      <c r="C687"/>
      <c r="D687"/>
      <c r="E687"/>
      <c r="F687" s="27" t="s">
        <v>7</v>
      </c>
      <c r="S687" s="27" t="s">
        <v>8</v>
      </c>
      <c r="T687" s="27" t="s">
        <v>7</v>
      </c>
      <c r="W687" s="27" t="s">
        <v>8</v>
      </c>
      <c r="X687" s="27" t="s">
        <v>7</v>
      </c>
      <c r="AE687" s="27" t="s">
        <v>8</v>
      </c>
      <c r="AI687" s="27" t="s">
        <v>8</v>
      </c>
      <c r="AJ687" s="27" t="s">
        <v>7</v>
      </c>
      <c r="AK687" s="27" t="s">
        <v>8</v>
      </c>
      <c r="BV687" s="27" t="s">
        <v>7</v>
      </c>
      <c r="BW687" s="27" t="s">
        <v>8</v>
      </c>
      <c r="BX687" s="27" t="s">
        <v>7</v>
      </c>
      <c r="BY687" s="27" t="s">
        <v>8</v>
      </c>
      <c r="CX687" s="27" t="s">
        <v>7</v>
      </c>
      <c r="CY687" s="27" t="s">
        <v>8</v>
      </c>
    </row>
    <row r="688" spans="1:199" x14ac:dyDescent="0.25">
      <c r="A688" s="7">
        <v>0.1353264384291625</v>
      </c>
      <c r="B688"/>
      <c r="C688"/>
      <c r="D688"/>
      <c r="E688"/>
      <c r="F688" s="27" t="s">
        <v>7</v>
      </c>
      <c r="S688" s="27" t="s">
        <v>8</v>
      </c>
      <c r="T688" s="27" t="s">
        <v>7</v>
      </c>
      <c r="U688" s="27" t="s">
        <v>8</v>
      </c>
      <c r="W688" s="27" t="s">
        <v>8</v>
      </c>
      <c r="X688" s="27" t="s">
        <v>7</v>
      </c>
      <c r="AE688" s="27" t="s">
        <v>8</v>
      </c>
      <c r="AF688" s="27" t="s">
        <v>7</v>
      </c>
      <c r="AG688" s="27" t="s">
        <v>8</v>
      </c>
      <c r="AI688" s="27" t="s">
        <v>8</v>
      </c>
      <c r="AJ688" s="27" t="s">
        <v>7</v>
      </c>
      <c r="AK688" s="27" t="s">
        <v>8</v>
      </c>
      <c r="BV688" s="27" t="s">
        <v>7</v>
      </c>
      <c r="BW688" s="27" t="s">
        <v>8</v>
      </c>
      <c r="BX688" s="27" t="s">
        <v>7</v>
      </c>
      <c r="BY688" s="27" t="s">
        <v>8</v>
      </c>
      <c r="CX688" s="27" t="s">
        <v>7</v>
      </c>
      <c r="CY688" s="27" t="s">
        <v>8</v>
      </c>
    </row>
    <row r="689" spans="1:102" x14ac:dyDescent="0.25">
      <c r="A689" s="7">
        <v>0.13267297885212009</v>
      </c>
      <c r="B689"/>
      <c r="C689"/>
      <c r="D689"/>
      <c r="E689"/>
      <c r="F689" s="27" t="s">
        <v>7</v>
      </c>
      <c r="S689" s="27" t="s">
        <v>8</v>
      </c>
      <c r="T689" s="27" t="s">
        <v>7</v>
      </c>
      <c r="U689" s="27" t="s">
        <v>8</v>
      </c>
      <c r="V689" s="27" t="s">
        <v>7</v>
      </c>
      <c r="W689" s="27" t="s">
        <v>8</v>
      </c>
      <c r="X689" s="27" t="s">
        <v>7</v>
      </c>
      <c r="AC689" s="27" t="s">
        <v>8</v>
      </c>
      <c r="AE689" s="27" t="s">
        <v>8</v>
      </c>
      <c r="AF689" s="27" t="s">
        <v>7</v>
      </c>
      <c r="AG689" s="27" t="s">
        <v>8</v>
      </c>
      <c r="AH689" s="27" t="s">
        <v>7</v>
      </c>
      <c r="AI689" s="27" t="s">
        <v>8</v>
      </c>
      <c r="AJ689" s="27" t="s">
        <v>7</v>
      </c>
      <c r="AK689" s="27" t="s">
        <v>8</v>
      </c>
      <c r="BV689" s="27" t="s">
        <v>7</v>
      </c>
      <c r="BW689" s="27" t="s">
        <v>8</v>
      </c>
      <c r="BX689" s="27" t="s">
        <v>7</v>
      </c>
      <c r="BY689" s="27" t="s">
        <v>8</v>
      </c>
      <c r="CX689" s="27" t="s">
        <v>7</v>
      </c>
    </row>
    <row r="690" spans="1:102" x14ac:dyDescent="0.25">
      <c r="A690" s="7">
        <v>0.13007154789423539</v>
      </c>
      <c r="B690"/>
      <c r="C690"/>
      <c r="D690"/>
      <c r="E690"/>
      <c r="F690" s="27" t="s">
        <v>7</v>
      </c>
      <c r="S690" s="27" t="s">
        <v>8</v>
      </c>
      <c r="T690" s="27" t="s">
        <v>7</v>
      </c>
      <c r="U690" s="27" t="s">
        <v>8</v>
      </c>
      <c r="V690" s="27" t="s">
        <v>7</v>
      </c>
      <c r="W690" s="27" t="s">
        <v>8</v>
      </c>
      <c r="X690" s="27" t="s">
        <v>7</v>
      </c>
      <c r="AC690" s="27" t="s">
        <v>8</v>
      </c>
      <c r="AD690" s="27" t="s">
        <v>7</v>
      </c>
      <c r="AE690" s="27" t="s">
        <v>8</v>
      </c>
      <c r="AF690" s="27" t="s">
        <v>7</v>
      </c>
      <c r="AG690" s="27" t="s">
        <v>8</v>
      </c>
      <c r="AH690" s="27" t="s">
        <v>7</v>
      </c>
      <c r="AI690" s="27" t="s">
        <v>8</v>
      </c>
      <c r="AJ690" s="27" t="s">
        <v>7</v>
      </c>
      <c r="AK690" s="27" t="s">
        <v>8</v>
      </c>
      <c r="BV690" s="27" t="s">
        <v>7</v>
      </c>
      <c r="BW690" s="27" t="s">
        <v>8</v>
      </c>
      <c r="BX690" s="27" t="s">
        <v>7</v>
      </c>
      <c r="BY690" s="27" t="s">
        <v>8</v>
      </c>
    </row>
    <row r="691" spans="1:102" x14ac:dyDescent="0.25">
      <c r="A691" s="7">
        <v>0.12752112538650529</v>
      </c>
      <c r="B691"/>
      <c r="C691"/>
      <c r="D691"/>
      <c r="E691"/>
      <c r="F691" s="27" t="s">
        <v>7</v>
      </c>
      <c r="S691" s="27" t="s">
        <v>8</v>
      </c>
      <c r="T691" s="27" t="s">
        <v>7</v>
      </c>
      <c r="U691" s="27" t="s">
        <v>8</v>
      </c>
      <c r="V691" s="27" t="s">
        <v>7</v>
      </c>
      <c r="W691" s="27" t="s">
        <v>8</v>
      </c>
      <c r="X691" s="27" t="s">
        <v>7</v>
      </c>
      <c r="Y691" s="27" t="s">
        <v>8</v>
      </c>
      <c r="AC691" s="27" t="s">
        <v>8</v>
      </c>
      <c r="AD691" s="27" t="s">
        <v>7</v>
      </c>
      <c r="AE691" s="27" t="s">
        <v>8</v>
      </c>
      <c r="AF691" s="27" t="s">
        <v>7</v>
      </c>
      <c r="AH691" s="27" t="s">
        <v>7</v>
      </c>
      <c r="AI691" s="27" t="s">
        <v>8</v>
      </c>
      <c r="AJ691" s="27" t="s">
        <v>7</v>
      </c>
      <c r="BV691" s="27" t="s">
        <v>7</v>
      </c>
      <c r="BW691" s="27" t="s">
        <v>8</v>
      </c>
      <c r="BX691" s="27" t="s">
        <v>7</v>
      </c>
      <c r="BY691" s="27" t="s">
        <v>8</v>
      </c>
    </row>
    <row r="692" spans="1:102" x14ac:dyDescent="0.25">
      <c r="A692" s="7">
        <v>0.12502071116324048</v>
      </c>
      <c r="B692"/>
      <c r="C692"/>
      <c r="D692"/>
      <c r="E692"/>
      <c r="F692" s="27" t="s">
        <v>7</v>
      </c>
      <c r="S692" s="27" t="s">
        <v>8</v>
      </c>
      <c r="T692" s="27" t="s">
        <v>7</v>
      </c>
      <c r="U692" s="27" t="s">
        <v>8</v>
      </c>
      <c r="V692" s="27" t="s">
        <v>7</v>
      </c>
      <c r="W692" s="27" t="s">
        <v>8</v>
      </c>
      <c r="X692" s="27" t="s">
        <v>7</v>
      </c>
      <c r="Y692" s="27" t="s">
        <v>8</v>
      </c>
      <c r="Z692" s="27" t="s">
        <v>7</v>
      </c>
      <c r="AC692" s="27" t="s">
        <v>8</v>
      </c>
      <c r="AD692" s="27" t="s">
        <v>7</v>
      </c>
      <c r="AE692" s="27" t="s">
        <v>8</v>
      </c>
      <c r="AH692" s="27" t="s">
        <v>7</v>
      </c>
      <c r="AI692" s="27" t="s">
        <v>8</v>
      </c>
      <c r="BV692" s="27" t="s">
        <v>7</v>
      </c>
      <c r="BW692" s="27" t="s">
        <v>8</v>
      </c>
      <c r="BX692" s="27" t="s">
        <v>7</v>
      </c>
      <c r="BY692" s="27" t="s">
        <v>8</v>
      </c>
    </row>
    <row r="693" spans="1:102" x14ac:dyDescent="0.25">
      <c r="A693" s="7">
        <v>0.1225693246698436</v>
      </c>
      <c r="B693"/>
      <c r="C693"/>
      <c r="D693"/>
      <c r="E693"/>
      <c r="F693" s="27" t="s">
        <v>7</v>
      </c>
      <c r="S693" s="27" t="s">
        <v>8</v>
      </c>
      <c r="T693" s="27" t="s">
        <v>7</v>
      </c>
      <c r="U693" s="27" t="s">
        <v>8</v>
      </c>
      <c r="V693" s="27" t="s">
        <v>7</v>
      </c>
      <c r="W693" s="27" t="s">
        <v>8</v>
      </c>
      <c r="X693" s="27" t="s">
        <v>7</v>
      </c>
      <c r="Y693" s="27" t="s">
        <v>8</v>
      </c>
      <c r="Z693" s="27" t="s">
        <v>7</v>
      </c>
      <c r="AC693" s="27" t="s">
        <v>8</v>
      </c>
      <c r="AD693" s="27" t="s">
        <v>7</v>
      </c>
      <c r="AE693" s="27" t="s">
        <v>8</v>
      </c>
      <c r="AH693" s="27" t="s">
        <v>7</v>
      </c>
      <c r="AI693" s="27" t="s">
        <v>8</v>
      </c>
      <c r="BV693" s="27" t="s">
        <v>7</v>
      </c>
      <c r="BW693" s="27" t="s">
        <v>8</v>
      </c>
      <c r="BX693" s="27" t="s">
        <v>7</v>
      </c>
      <c r="BY693" s="27" t="s">
        <v>8</v>
      </c>
    </row>
    <row r="694" spans="1:102" x14ac:dyDescent="0.25">
      <c r="A694" s="7">
        <v>0.12016600457827803</v>
      </c>
      <c r="B694"/>
      <c r="C694"/>
      <c r="D694"/>
      <c r="E694"/>
      <c r="F694" s="27" t="s">
        <v>7</v>
      </c>
      <c r="S694" s="27" t="s">
        <v>8</v>
      </c>
      <c r="T694" s="27" t="s">
        <v>7</v>
      </c>
      <c r="V694" s="27" t="s">
        <v>7</v>
      </c>
      <c r="W694" s="27" t="s">
        <v>8</v>
      </c>
      <c r="X694" s="27" t="s">
        <v>7</v>
      </c>
      <c r="Z694" s="27" t="s">
        <v>7</v>
      </c>
      <c r="AC694" s="27" t="s">
        <v>8</v>
      </c>
      <c r="AD694" s="27" t="s">
        <v>7</v>
      </c>
      <c r="AH694" s="27" t="s">
        <v>7</v>
      </c>
      <c r="BV694" s="27" t="s">
        <v>7</v>
      </c>
      <c r="BX694" s="27" t="s">
        <v>7</v>
      </c>
      <c r="BY694" s="27" t="s">
        <v>8</v>
      </c>
    </row>
    <row r="695" spans="1:102" x14ac:dyDescent="0.25">
      <c r="A695" s="7">
        <v>0.1178098084100765</v>
      </c>
      <c r="B695"/>
      <c r="C695"/>
      <c r="D695"/>
      <c r="E695"/>
      <c r="F695" s="27" t="s">
        <v>7</v>
      </c>
      <c r="S695" s="27" t="s">
        <v>8</v>
      </c>
      <c r="V695" s="27" t="s">
        <v>7</v>
      </c>
      <c r="W695" s="27" t="s">
        <v>8</v>
      </c>
      <c r="Z695" s="27" t="s">
        <v>7</v>
      </c>
      <c r="AC695" s="27" t="s">
        <v>8</v>
      </c>
      <c r="BX695" s="27" t="s">
        <v>7</v>
      </c>
      <c r="BY695" s="27" t="s">
        <v>8</v>
      </c>
    </row>
    <row r="696" spans="1:102" x14ac:dyDescent="0.25">
      <c r="A696" s="7">
        <v>0.11549981216674166</v>
      </c>
      <c r="B696"/>
      <c r="C696"/>
      <c r="D696"/>
      <c r="E696"/>
      <c r="F696" s="27" t="s">
        <v>7</v>
      </c>
      <c r="S696" s="27" t="s">
        <v>8</v>
      </c>
      <c r="V696" s="27" t="s">
        <v>7</v>
      </c>
      <c r="W696" s="27" t="s">
        <v>8</v>
      </c>
      <c r="Z696" s="27" t="s">
        <v>7</v>
      </c>
      <c r="AA696" s="27" t="s">
        <v>8</v>
      </c>
      <c r="AC696" s="27" t="s">
        <v>8</v>
      </c>
      <c r="BX696" s="27" t="s">
        <v>7</v>
      </c>
    </row>
    <row r="697" spans="1:102" x14ac:dyDescent="0.25">
      <c r="A697" s="7">
        <v>0.11323510996739378</v>
      </c>
      <c r="B697"/>
      <c r="C697"/>
      <c r="D697"/>
      <c r="E697"/>
      <c r="F697" s="27" t="s">
        <v>7</v>
      </c>
      <c r="O697" s="27" t="s">
        <v>8</v>
      </c>
      <c r="S697" s="27" t="s">
        <v>8</v>
      </c>
      <c r="V697" s="27" t="s">
        <v>7</v>
      </c>
      <c r="W697" s="27" t="s">
        <v>8</v>
      </c>
      <c r="Z697" s="27" t="s">
        <v>7</v>
      </c>
      <c r="AA697" s="27" t="s">
        <v>8</v>
      </c>
      <c r="AB697" s="27" t="s">
        <v>7</v>
      </c>
      <c r="AC697" s="27" t="s">
        <v>8</v>
      </c>
    </row>
    <row r="698" spans="1:102" x14ac:dyDescent="0.25">
      <c r="A698" s="7">
        <v>0.11101481369352331</v>
      </c>
      <c r="B698"/>
      <c r="C698"/>
      <c r="D698"/>
      <c r="E698"/>
      <c r="F698" s="27" t="s">
        <v>7</v>
      </c>
      <c r="O698" s="27" t="s">
        <v>8</v>
      </c>
      <c r="P698" s="27" t="s">
        <v>7</v>
      </c>
      <c r="S698" s="27" t="s">
        <v>8</v>
      </c>
      <c r="V698" s="27" t="s">
        <v>7</v>
      </c>
      <c r="Z698" s="27" t="s">
        <v>7</v>
      </c>
      <c r="AA698" s="27" t="s">
        <v>8</v>
      </c>
      <c r="AB698" s="27" t="s">
        <v>7</v>
      </c>
      <c r="AC698" s="27" t="s">
        <v>8</v>
      </c>
    </row>
    <row r="699" spans="1:102" x14ac:dyDescent="0.25">
      <c r="A699" s="7">
        <v>0.10883805264070913</v>
      </c>
      <c r="B699"/>
      <c r="C699"/>
      <c r="D699"/>
      <c r="E699"/>
      <c r="F699" s="27" t="s">
        <v>7</v>
      </c>
      <c r="O699" s="27" t="s">
        <v>8</v>
      </c>
      <c r="P699" s="27" t="s">
        <v>7</v>
      </c>
      <c r="S699" s="27" t="s">
        <v>8</v>
      </c>
      <c r="Z699" s="27" t="s">
        <v>7</v>
      </c>
      <c r="AA699" s="27" t="s">
        <v>8</v>
      </c>
      <c r="AB699" s="27" t="s">
        <v>7</v>
      </c>
      <c r="AC699" s="27" t="s">
        <v>8</v>
      </c>
    </row>
    <row r="700" spans="1:102" x14ac:dyDescent="0.25">
      <c r="A700" s="7">
        <v>0.10670397317716582</v>
      </c>
      <c r="B700"/>
      <c r="C700"/>
      <c r="D700"/>
      <c r="E700"/>
      <c r="F700" s="27" t="s">
        <v>7</v>
      </c>
      <c r="O700" s="27" t="s">
        <v>8</v>
      </c>
      <c r="P700" s="27" t="s">
        <v>7</v>
      </c>
      <c r="S700" s="27" t="s">
        <v>8</v>
      </c>
      <c r="Z700" s="27" t="s">
        <v>7</v>
      </c>
      <c r="AA700" s="27" t="s">
        <v>8</v>
      </c>
      <c r="AB700" s="27" t="s">
        <v>7</v>
      </c>
      <c r="AC700" s="27" t="s">
        <v>8</v>
      </c>
    </row>
    <row r="701" spans="1:102" x14ac:dyDescent="0.25">
      <c r="A701" s="7">
        <v>0.1046117384089861</v>
      </c>
      <c r="B701"/>
      <c r="C701"/>
      <c r="D701"/>
      <c r="E701"/>
      <c r="F701" s="27" t="s">
        <v>7</v>
      </c>
      <c r="O701" s="27" t="s">
        <v>8</v>
      </c>
      <c r="P701" s="27" t="s">
        <v>7</v>
      </c>
      <c r="Q701" s="27" t="s">
        <v>8</v>
      </c>
      <c r="S701" s="27" t="s">
        <v>8</v>
      </c>
      <c r="Z701" s="27" t="s">
        <v>7</v>
      </c>
      <c r="AA701" s="27" t="s">
        <v>8</v>
      </c>
      <c r="AB701" s="27" t="s">
        <v>7</v>
      </c>
      <c r="AC701" s="27" t="s">
        <v>8</v>
      </c>
    </row>
    <row r="702" spans="1:102" x14ac:dyDescent="0.25">
      <c r="A702" s="7">
        <v>0.10256052785194716</v>
      </c>
      <c r="B702"/>
      <c r="C702"/>
      <c r="D702"/>
      <c r="E702"/>
      <c r="F702" s="27" t="s">
        <v>7</v>
      </c>
      <c r="O702" s="27" t="s">
        <v>8</v>
      </c>
      <c r="P702" s="27" t="s">
        <v>7</v>
      </c>
      <c r="Q702" s="27" t="s">
        <v>8</v>
      </c>
      <c r="R702" s="27" t="s">
        <v>7</v>
      </c>
      <c r="S702" s="27" t="s">
        <v>8</v>
      </c>
      <c r="Z702" s="27" t="s">
        <v>7</v>
      </c>
      <c r="AA702" s="27" t="s">
        <v>8</v>
      </c>
      <c r="AB702" s="27" t="s">
        <v>7</v>
      </c>
      <c r="AC702" s="27" t="s">
        <v>8</v>
      </c>
    </row>
    <row r="703" spans="1:102" x14ac:dyDescent="0.25">
      <c r="A703" s="7">
        <v>0.10054953710975212</v>
      </c>
      <c r="B703"/>
      <c r="C703"/>
      <c r="D703"/>
      <c r="E703"/>
      <c r="F703" s="27" t="s">
        <v>7</v>
      </c>
      <c r="O703" s="27" t="s">
        <v>8</v>
      </c>
      <c r="P703" s="27" t="s">
        <v>7</v>
      </c>
      <c r="Q703" s="27" t="s">
        <v>8</v>
      </c>
      <c r="R703" s="27" t="s">
        <v>7</v>
      </c>
      <c r="S703" s="27" t="s">
        <v>8</v>
      </c>
      <c r="Z703" s="27" t="s">
        <v>7</v>
      </c>
      <c r="AA703" s="27" t="s">
        <v>8</v>
      </c>
      <c r="AB703" s="27" t="s">
        <v>7</v>
      </c>
    </row>
    <row r="704" spans="1:102" x14ac:dyDescent="0.25">
      <c r="A704" s="7">
        <v>9.8577977558580512E-2</v>
      </c>
      <c r="B704"/>
      <c r="C704"/>
      <c r="D704"/>
      <c r="E704"/>
      <c r="F704" s="27" t="s">
        <v>7</v>
      </c>
      <c r="O704" s="27" t="s">
        <v>8</v>
      </c>
      <c r="P704" s="27" t="s">
        <v>7</v>
      </c>
      <c r="Q704" s="27" t="s">
        <v>8</v>
      </c>
      <c r="R704" s="27" t="s">
        <v>7</v>
      </c>
      <c r="Z704" s="27" t="s">
        <v>7</v>
      </c>
      <c r="AA704" s="27" t="s">
        <v>8</v>
      </c>
    </row>
    <row r="705" spans="1:27" x14ac:dyDescent="0.25">
      <c r="A705" s="7">
        <v>9.6645076037824032E-2</v>
      </c>
      <c r="B705"/>
      <c r="C705"/>
      <c r="D705"/>
      <c r="E705"/>
      <c r="F705" s="27" t="s">
        <v>7</v>
      </c>
      <c r="O705" s="27" t="s">
        <v>8</v>
      </c>
      <c r="P705" s="27" t="s">
        <v>7</v>
      </c>
      <c r="Q705" s="27" t="s">
        <v>8</v>
      </c>
      <c r="Z705" s="27" t="s">
        <v>7</v>
      </c>
      <c r="AA705" s="27" t="s">
        <v>8</v>
      </c>
    </row>
    <row r="706" spans="1:27" x14ac:dyDescent="0.25">
      <c r="A706" s="7">
        <v>9.4750074546886304E-2</v>
      </c>
      <c r="B706"/>
      <c r="C706"/>
      <c r="D706"/>
      <c r="E706"/>
      <c r="F706" s="27" t="s">
        <v>7</v>
      </c>
      <c r="G706" s="27" t="s">
        <v>8</v>
      </c>
      <c r="I706" s="27" t="s">
        <v>8</v>
      </c>
      <c r="O706" s="27" t="s">
        <v>8</v>
      </c>
      <c r="P706" s="27" t="s">
        <v>7</v>
      </c>
      <c r="Q706" s="27" t="s">
        <v>8</v>
      </c>
      <c r="Z706" s="27" t="s">
        <v>7</v>
      </c>
      <c r="AA706" s="27" t="s">
        <v>8</v>
      </c>
    </row>
    <row r="707" spans="1:27" x14ac:dyDescent="0.25">
      <c r="A707" s="7">
        <v>9.2892229947927743E-2</v>
      </c>
      <c r="B707"/>
      <c r="C707"/>
      <c r="D707"/>
      <c r="E707"/>
      <c r="F707" s="27" t="s">
        <v>7</v>
      </c>
      <c r="G707" s="27" t="s">
        <v>8</v>
      </c>
      <c r="H707" s="27" t="s">
        <v>7</v>
      </c>
      <c r="I707" s="27" t="s">
        <v>8</v>
      </c>
      <c r="J707" s="27" t="s">
        <v>7</v>
      </c>
      <c r="O707" s="27" t="s">
        <v>8</v>
      </c>
      <c r="P707" s="27" t="s">
        <v>7</v>
      </c>
      <c r="Q707" s="27" t="s">
        <v>8</v>
      </c>
      <c r="Z707" s="27" t="s">
        <v>7</v>
      </c>
      <c r="AA707" s="27" t="s">
        <v>8</v>
      </c>
    </row>
    <row r="708" spans="1:27" x14ac:dyDescent="0.25">
      <c r="A708" s="7">
        <v>9.1070813674438963E-2</v>
      </c>
      <c r="B708"/>
      <c r="C708"/>
      <c r="D708"/>
      <c r="E708"/>
      <c r="F708" s="27" t="s">
        <v>7</v>
      </c>
      <c r="G708" s="27" t="s">
        <v>8</v>
      </c>
      <c r="H708" s="27" t="s">
        <v>7</v>
      </c>
      <c r="I708" s="27" t="s">
        <v>8</v>
      </c>
      <c r="J708" s="27" t="s">
        <v>7</v>
      </c>
      <c r="O708" s="27" t="s">
        <v>8</v>
      </c>
      <c r="P708" s="27" t="s">
        <v>7</v>
      </c>
      <c r="Z708" s="27" t="s">
        <v>7</v>
      </c>
    </row>
    <row r="709" spans="1:27" x14ac:dyDescent="0.25">
      <c r="A709" s="7">
        <v>8.9285111445528392E-2</v>
      </c>
      <c r="B709"/>
      <c r="C709"/>
      <c r="D709"/>
      <c r="E709"/>
      <c r="F709" s="27" t="s">
        <v>7</v>
      </c>
      <c r="G709" s="27" t="s">
        <v>8</v>
      </c>
      <c r="H709" s="27" t="s">
        <v>7</v>
      </c>
      <c r="J709" s="27" t="s">
        <v>7</v>
      </c>
      <c r="O709" s="27" t="s">
        <v>8</v>
      </c>
    </row>
    <row r="710" spans="1:27" x14ac:dyDescent="0.25">
      <c r="A710" s="7">
        <v>8.7534422985812155E-2</v>
      </c>
      <c r="B710"/>
      <c r="C710"/>
      <c r="D710"/>
      <c r="E710"/>
      <c r="F710" s="27" t="s">
        <v>7</v>
      </c>
      <c r="G710" s="27" t="s">
        <v>8</v>
      </c>
      <c r="J710" s="27" t="s">
        <v>7</v>
      </c>
      <c r="K710" s="27" t="s">
        <v>8</v>
      </c>
      <c r="O710" s="27" t="s">
        <v>8</v>
      </c>
    </row>
    <row r="711" spans="1:27" x14ac:dyDescent="0.25">
      <c r="A711" s="7">
        <v>8.5818061750796232E-2</v>
      </c>
      <c r="B711"/>
      <c r="C711"/>
      <c r="D711"/>
      <c r="E711"/>
      <c r="F711" s="27" t="s">
        <v>7</v>
      </c>
      <c r="G711" s="27" t="s">
        <v>8</v>
      </c>
      <c r="J711" s="27" t="s">
        <v>7</v>
      </c>
      <c r="K711" s="27" t="s">
        <v>8</v>
      </c>
      <c r="L711" s="27" t="s">
        <v>7</v>
      </c>
      <c r="O711" s="27" t="s">
        <v>8</v>
      </c>
    </row>
    <row r="712" spans="1:27" x14ac:dyDescent="0.25">
      <c r="A712" s="7">
        <v>8.4135354657643366E-2</v>
      </c>
      <c r="B712"/>
      <c r="C712"/>
      <c r="D712"/>
      <c r="E712"/>
      <c r="F712" s="27" t="s">
        <v>7</v>
      </c>
      <c r="G712" s="27" t="s">
        <v>8</v>
      </c>
      <c r="J712" s="27" t="s">
        <v>7</v>
      </c>
      <c r="K712" s="27" t="s">
        <v>8</v>
      </c>
      <c r="L712" s="27" t="s">
        <v>7</v>
      </c>
      <c r="O712" s="27" t="s">
        <v>8</v>
      </c>
    </row>
    <row r="713" spans="1:27" x14ac:dyDescent="0.25">
      <c r="A713" s="7">
        <v>8.248564182121898E-2</v>
      </c>
      <c r="B713"/>
      <c r="C713"/>
      <c r="D713"/>
      <c r="E713"/>
      <c r="F713" s="27" t="s">
        <v>7</v>
      </c>
      <c r="J713" s="27" t="s">
        <v>7</v>
      </c>
      <c r="K713" s="27" t="s">
        <v>8</v>
      </c>
      <c r="L713" s="27" t="s">
        <v>7</v>
      </c>
      <c r="O713" s="27" t="s">
        <v>8</v>
      </c>
    </row>
    <row r="714" spans="1:27" x14ac:dyDescent="0.25">
      <c r="A714" s="7">
        <v>8.0868276295312735E-2</v>
      </c>
      <c r="B714"/>
      <c r="C714"/>
      <c r="D714"/>
      <c r="E714"/>
      <c r="J714" s="27" t="s">
        <v>7</v>
      </c>
      <c r="K714" s="27" t="s">
        <v>8</v>
      </c>
      <c r="L714" s="27" t="s">
        <v>7</v>
      </c>
      <c r="O714" s="27" t="s">
        <v>8</v>
      </c>
    </row>
    <row r="715" spans="1:27" x14ac:dyDescent="0.25">
      <c r="A715" s="7">
        <v>7.9282623818934056E-2</v>
      </c>
      <c r="B715"/>
      <c r="C715"/>
      <c r="D715"/>
      <c r="E715"/>
      <c r="J715" s="27" t="s">
        <v>7</v>
      </c>
      <c r="K715" s="27" t="s">
        <v>8</v>
      </c>
      <c r="L715" s="27" t="s">
        <v>7</v>
      </c>
      <c r="O715" s="27" t="s">
        <v>8</v>
      </c>
    </row>
    <row r="716" spans="1:27" x14ac:dyDescent="0.25">
      <c r="A716" s="7">
        <v>7.7728062567582412E-2</v>
      </c>
      <c r="B716"/>
      <c r="C716"/>
      <c r="D716"/>
      <c r="E716"/>
      <c r="J716" s="27" t="s">
        <v>7</v>
      </c>
      <c r="K716" s="27" t="s">
        <v>8</v>
      </c>
      <c r="L716" s="27" t="s">
        <v>7</v>
      </c>
      <c r="M716" s="27" t="s">
        <v>8</v>
      </c>
      <c r="O716" s="27" t="s">
        <v>8</v>
      </c>
    </row>
    <row r="717" spans="1:27" x14ac:dyDescent="0.25">
      <c r="A717" s="7">
        <v>7.6203982909394521E-2</v>
      </c>
      <c r="B717"/>
      <c r="C717"/>
      <c r="D717"/>
      <c r="E717"/>
      <c r="J717" s="27" t="s">
        <v>7</v>
      </c>
      <c r="L717" s="27" t="s">
        <v>7</v>
      </c>
      <c r="M717" s="27" t="s">
        <v>8</v>
      </c>
      <c r="N717" s="27" t="s">
        <v>7</v>
      </c>
      <c r="O717" s="27" t="s">
        <v>8</v>
      </c>
    </row>
    <row r="718" spans="1:27" x14ac:dyDescent="0.25">
      <c r="A718" s="7">
        <v>7.4709787166073058E-2</v>
      </c>
      <c r="B718"/>
      <c r="C718"/>
      <c r="D718"/>
      <c r="E718"/>
      <c r="L718" s="27" t="s">
        <v>7</v>
      </c>
      <c r="M718" s="27" t="s">
        <v>8</v>
      </c>
      <c r="N718" s="27" t="s">
        <v>7</v>
      </c>
      <c r="O718" s="27" t="s">
        <v>8</v>
      </c>
    </row>
    <row r="719" spans="1:27" x14ac:dyDescent="0.25">
      <c r="A719" s="7">
        <v>7.3244889378503E-2</v>
      </c>
      <c r="B719"/>
      <c r="C719"/>
      <c r="D719"/>
      <c r="E719"/>
      <c r="L719" s="27" t="s">
        <v>7</v>
      </c>
      <c r="N719" s="27" t="s">
        <v>7</v>
      </c>
      <c r="O719" s="27" t="s">
        <v>8</v>
      </c>
    </row>
    <row r="720" spans="1:27" x14ac:dyDescent="0.25">
      <c r="A720" s="7">
        <v>7.1808715076963722E-2</v>
      </c>
      <c r="B720"/>
      <c r="C720"/>
      <c r="D720"/>
      <c r="E720"/>
      <c r="N720" s="27" t="s">
        <v>7</v>
      </c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000" operator="equal">
      <formula>$U$1</formula>
    </cfRule>
    <cfRule type="cellIs" dxfId="89" priority="1001" operator="equal">
      <formula>$S$1</formula>
    </cfRule>
  </conditionalFormatting>
  <conditionalFormatting sqref="D27">
    <cfRule type="cellIs" dxfId="88" priority="998" operator="equal">
      <formula>$S$1</formula>
    </cfRule>
    <cfRule type="cellIs" dxfId="87" priority="999" operator="equal">
      <formula>$U$1</formula>
    </cfRule>
  </conditionalFormatting>
  <conditionalFormatting sqref="C164">
    <cfRule type="cellIs" dxfId="86" priority="996" operator="equal">
      <formula>$U$1</formula>
    </cfRule>
    <cfRule type="cellIs" dxfId="85" priority="997" operator="equal">
      <formula>$S$1</formula>
    </cfRule>
  </conditionalFormatting>
  <conditionalFormatting sqref="D164">
    <cfRule type="cellIs" dxfId="84" priority="994" operator="equal">
      <formula>$S$1</formula>
    </cfRule>
    <cfRule type="cellIs" dxfId="83" priority="995" operator="equal">
      <formula>$U$1</formula>
    </cfRule>
  </conditionalFormatting>
  <conditionalFormatting sqref="C55">
    <cfRule type="cellIs" dxfId="82" priority="992" operator="equal">
      <formula>$U$1</formula>
    </cfRule>
    <cfRule type="cellIs" dxfId="81" priority="993" operator="equal">
      <formula>$S$1</formula>
    </cfRule>
  </conditionalFormatting>
  <conditionalFormatting sqref="D55">
    <cfRule type="cellIs" dxfId="80" priority="990" operator="equal">
      <formula>$S$1</formula>
    </cfRule>
    <cfRule type="cellIs" dxfId="79" priority="991" operator="equal">
      <formula>$U$1</formula>
    </cfRule>
  </conditionalFormatting>
  <conditionalFormatting sqref="C89">
    <cfRule type="cellIs" dxfId="78" priority="988" operator="equal">
      <formula>$U$1</formula>
    </cfRule>
    <cfRule type="cellIs" dxfId="77" priority="989" operator="equal">
      <formula>$S$1</formula>
    </cfRule>
  </conditionalFormatting>
  <conditionalFormatting sqref="D89">
    <cfRule type="cellIs" dxfId="76" priority="986" operator="equal">
      <formula>$S$1</formula>
    </cfRule>
    <cfRule type="cellIs" dxfId="75" priority="987" operator="equal">
      <formula>$U$1</formula>
    </cfRule>
  </conditionalFormatting>
  <conditionalFormatting sqref="C136">
    <cfRule type="cellIs" dxfId="74" priority="984" operator="equal">
      <formula>$U$1</formula>
    </cfRule>
    <cfRule type="cellIs" dxfId="73" priority="985" operator="equal">
      <formula>$S$1</formula>
    </cfRule>
  </conditionalFormatting>
  <conditionalFormatting sqref="D136">
    <cfRule type="cellIs" dxfId="72" priority="982" operator="equal">
      <formula>$S$1</formula>
    </cfRule>
    <cfRule type="cellIs" dxfId="71" priority="983" operator="equal">
      <formula>$U$1</formula>
    </cfRule>
  </conditionalFormatting>
  <conditionalFormatting sqref="C1">
    <cfRule type="cellIs" dxfId="70" priority="98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20" zoomScale="90" zoomScaleNormal="90" workbookViewId="0">
      <pane xSplit="4" topLeftCell="BV1" activePane="topRight" state="frozen"/>
      <selection activeCell="A109" sqref="A109"/>
      <selection pane="topRight" activeCell="EU237" sqref="EU237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$A$236</v>
      </c>
      <c r="D111" s="1" t="str">
        <f>ADDRESS(C121-1,D121,1,1)</f>
        <v>$EU$236</v>
      </c>
      <c r="E111"/>
    </row>
    <row r="112" spans="1:5" x14ac:dyDescent="0.25">
      <c r="A112" s="30">
        <v>515.50191262726139</v>
      </c>
      <c r="C112" s="1" t="str">
        <f>ADDRESS(C121,1,1,1)</f>
        <v>$A$237</v>
      </c>
      <c r="D112" s="1" t="str">
        <f>ADDRESS(C121,D121-1,1,1)</f>
        <v>$ET$237</v>
      </c>
      <c r="E112"/>
    </row>
    <row r="113" spans="1:5" x14ac:dyDescent="0.25">
      <c r="A113" s="30">
        <v>490.95420250215363</v>
      </c>
      <c r="C113" s="1" t="str">
        <f>ADDRESS(C121+1,1,1,1)</f>
        <v>$A$238</v>
      </c>
      <c r="D113" s="1" t="str">
        <f>ADDRESS(C121-1,D121+1,1,1)</f>
        <v>$EV$236</v>
      </c>
    </row>
    <row r="114" spans="1:5" x14ac:dyDescent="0.25">
      <c r="A114" s="30">
        <v>467.57543095443202</v>
      </c>
      <c r="C114" s="1" t="str">
        <f>ADDRESS(C121,D121,1,1)</f>
        <v>$EU$237</v>
      </c>
      <c r="D114" s="1" t="str">
        <f>ADDRESS(C121+1,D121+1,1,1)</f>
        <v>$EV$238</v>
      </c>
    </row>
    <row r="115" spans="1:5" x14ac:dyDescent="0.25">
      <c r="A115" s="30">
        <v>445.30993424231622</v>
      </c>
      <c r="C115" s="1" t="str">
        <f>ADDRESS(C121+1,D121,1,1)</f>
        <v>$EU$238</v>
      </c>
    </row>
    <row r="116" spans="1:5" x14ac:dyDescent="0.25">
      <c r="A116" s="30">
        <v>424.10469927839637</v>
      </c>
      <c r="C116" s="1">
        <f>C117-1</f>
        <v>236</v>
      </c>
    </row>
    <row r="117" spans="1:5" x14ac:dyDescent="0.25">
      <c r="A117" s="30">
        <v>403.9092374079965</v>
      </c>
      <c r="C117" s="1">
        <f>C121</f>
        <v>237</v>
      </c>
      <c r="D117" s="1">
        <f>D121</f>
        <v>151</v>
      </c>
    </row>
    <row r="118" spans="1:5" x14ac:dyDescent="0.25">
      <c r="A118" s="30">
        <v>384.6754641980919</v>
      </c>
      <c r="C118" s="1">
        <f>C117+1</f>
        <v>238</v>
      </c>
      <c r="D118" s="1">
        <f>D117+1</f>
        <v>152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237</v>
      </c>
      <c r="D121" s="19">
        <v>151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R237</v>
      </c>
      <c r="D123" s="1" t="str">
        <f>"C"&amp;D121</f>
        <v>C151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1.1576249999999999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144" x14ac:dyDescent="0.25">
      <c r="A209" s="30">
        <v>4.5380394939082018</v>
      </c>
      <c r="E209"/>
    </row>
    <row r="210" spans="1:144" x14ac:dyDescent="0.25">
      <c r="A210" s="30">
        <v>4.3219423751506678</v>
      </c>
      <c r="C210"/>
      <c r="E210"/>
    </row>
    <row r="211" spans="1:144" x14ac:dyDescent="0.25">
      <c r="A211" s="30">
        <v>4.1161355953815884</v>
      </c>
      <c r="E211"/>
    </row>
    <row r="212" spans="1:144" x14ac:dyDescent="0.25">
      <c r="A212" s="30">
        <v>3.9201291384586554</v>
      </c>
      <c r="E212"/>
    </row>
    <row r="213" spans="1:144" x14ac:dyDescent="0.25">
      <c r="A213" s="30">
        <v>3.7334563223415764</v>
      </c>
      <c r="E213"/>
      <c r="DW213" s="27" t="s">
        <v>8</v>
      </c>
      <c r="EE213" s="27" t="s">
        <v>8</v>
      </c>
    </row>
    <row r="214" spans="1:144" x14ac:dyDescent="0.25">
      <c r="A214" s="30">
        <v>3.5556726879443583</v>
      </c>
      <c r="E214"/>
      <c r="DW214" s="27" t="s">
        <v>8</v>
      </c>
      <c r="DX214" s="27" t="s">
        <v>7</v>
      </c>
      <c r="EE214" s="27" t="s">
        <v>8</v>
      </c>
      <c r="EF214" s="27" t="s">
        <v>7</v>
      </c>
    </row>
    <row r="215" spans="1:144" x14ac:dyDescent="0.25">
      <c r="A215" s="30">
        <v>3.3863549408993889</v>
      </c>
      <c r="E215"/>
      <c r="DW215" s="27" t="s">
        <v>8</v>
      </c>
      <c r="DX215" s="27" t="s">
        <v>7</v>
      </c>
      <c r="EE215" s="27" t="s">
        <v>8</v>
      </c>
      <c r="EF215" s="27" t="s">
        <v>7</v>
      </c>
    </row>
    <row r="216" spans="1:144" x14ac:dyDescent="0.25">
      <c r="A216" s="30">
        <v>3.2250999437137038</v>
      </c>
      <c r="E216"/>
      <c r="DW216" s="27" t="s">
        <v>8</v>
      </c>
      <c r="DX216" s="27" t="s">
        <v>7</v>
      </c>
      <c r="DY216" s="27" t="s">
        <v>8</v>
      </c>
      <c r="EE216" s="27" t="s">
        <v>8</v>
      </c>
      <c r="EF216" s="27" t="s">
        <v>7</v>
      </c>
    </row>
    <row r="217" spans="1:144" x14ac:dyDescent="0.25">
      <c r="A217" s="30">
        <v>3.0715237559178128</v>
      </c>
      <c r="E217"/>
      <c r="DW217" s="27" t="s">
        <v>8</v>
      </c>
      <c r="DX217" s="27" t="s">
        <v>7</v>
      </c>
      <c r="DY217" s="27" t="s">
        <v>8</v>
      </c>
      <c r="DZ217" s="27" t="s">
        <v>7</v>
      </c>
      <c r="EE217" s="27" t="s">
        <v>8</v>
      </c>
      <c r="EF217" s="27" t="s">
        <v>7</v>
      </c>
      <c r="EG217" s="27" t="s">
        <v>8</v>
      </c>
      <c r="EI217" s="27" t="s">
        <v>8</v>
      </c>
    </row>
    <row r="218" spans="1:144" x14ac:dyDescent="0.25">
      <c r="A218" s="30">
        <v>2.9252607199217264</v>
      </c>
      <c r="E218"/>
      <c r="DW218" s="27" t="s">
        <v>8</v>
      </c>
      <c r="DX218" s="27" t="s">
        <v>7</v>
      </c>
      <c r="DY218" s="27" t="s">
        <v>8</v>
      </c>
      <c r="DZ218" s="27" t="s">
        <v>7</v>
      </c>
      <c r="EE218" s="27" t="s">
        <v>8</v>
      </c>
      <c r="EF218" s="27" t="s">
        <v>7</v>
      </c>
      <c r="EG218" s="27" t="s">
        <v>8</v>
      </c>
      <c r="EH218" s="27" t="s">
        <v>7</v>
      </c>
      <c r="EI218" s="27" t="s">
        <v>8</v>
      </c>
      <c r="EJ218" s="27" t="s">
        <v>7</v>
      </c>
      <c r="EK218" s="27" t="s">
        <v>8</v>
      </c>
    </row>
    <row r="219" spans="1:144" x14ac:dyDescent="0.25">
      <c r="A219" s="30">
        <v>2.7859625904016441</v>
      </c>
      <c r="E219"/>
      <c r="DW219" s="27" t="s">
        <v>8</v>
      </c>
      <c r="DX219" s="27" t="s">
        <v>7</v>
      </c>
      <c r="DY219" s="27" t="s">
        <v>8</v>
      </c>
      <c r="DZ219" s="27" t="s">
        <v>7</v>
      </c>
      <c r="EA219" s="27" t="s">
        <v>8</v>
      </c>
      <c r="EC219" s="27" t="s">
        <v>8</v>
      </c>
      <c r="EE219" s="27" t="s">
        <v>8</v>
      </c>
      <c r="EF219" s="27" t="s">
        <v>7</v>
      </c>
      <c r="EG219" s="27" t="s">
        <v>8</v>
      </c>
      <c r="EH219" s="27" t="s">
        <v>7</v>
      </c>
      <c r="EI219" s="27" t="s">
        <v>8</v>
      </c>
      <c r="EJ219" s="27" t="s">
        <v>7</v>
      </c>
      <c r="EK219" s="27" t="s">
        <v>8</v>
      </c>
      <c r="EL219" s="27" t="s">
        <v>7</v>
      </c>
    </row>
    <row r="220" spans="1:144" x14ac:dyDescent="0.25">
      <c r="A220" s="30">
        <v>2.6532977051444226</v>
      </c>
      <c r="E220"/>
      <c r="DW220" s="27" t="s">
        <v>8</v>
      </c>
      <c r="DX220" s="27" t="s">
        <v>7</v>
      </c>
      <c r="DZ220" s="27" t="s">
        <v>7</v>
      </c>
      <c r="EA220" s="27" t="s">
        <v>8</v>
      </c>
      <c r="EB220" s="27" t="s">
        <v>7</v>
      </c>
      <c r="EC220" s="27" t="s">
        <v>8</v>
      </c>
      <c r="ED220" s="27" t="s">
        <v>7</v>
      </c>
      <c r="EE220" s="27" t="s">
        <v>8</v>
      </c>
      <c r="EF220" s="27" t="s">
        <v>7</v>
      </c>
      <c r="EH220" s="27" t="s">
        <v>7</v>
      </c>
      <c r="EJ220" s="27" t="s">
        <v>7</v>
      </c>
      <c r="EK220" s="27" t="s">
        <v>8</v>
      </c>
      <c r="EL220" s="27" t="s">
        <v>7</v>
      </c>
    </row>
    <row r="221" spans="1:144" x14ac:dyDescent="0.25">
      <c r="A221" s="30">
        <v>2.5269501953756404</v>
      </c>
      <c r="E221"/>
      <c r="DW221" s="27" t="s">
        <v>8</v>
      </c>
      <c r="DZ221" s="27" t="s">
        <v>7</v>
      </c>
      <c r="EA221" s="27" t="s">
        <v>8</v>
      </c>
      <c r="EB221" s="27" t="s">
        <v>7</v>
      </c>
      <c r="EC221" s="27" t="s">
        <v>8</v>
      </c>
      <c r="ED221" s="27" t="s">
        <v>7</v>
      </c>
      <c r="EE221" s="27" t="s">
        <v>8</v>
      </c>
      <c r="EJ221" s="27" t="s">
        <v>7</v>
      </c>
      <c r="EK221" s="27" t="s">
        <v>8</v>
      </c>
      <c r="EL221" s="27" t="s">
        <v>7</v>
      </c>
    </row>
    <row r="222" spans="1:144" x14ac:dyDescent="0.25">
      <c r="A222" s="30">
        <v>2.4066192336910861</v>
      </c>
      <c r="E222"/>
      <c r="DW222" s="27" t="s">
        <v>8</v>
      </c>
      <c r="DZ222" s="27" t="s">
        <v>7</v>
      </c>
      <c r="EB222" s="27" t="s">
        <v>7</v>
      </c>
      <c r="EC222" s="27" t="s">
        <v>8</v>
      </c>
      <c r="ED222" s="27" t="s">
        <v>7</v>
      </c>
      <c r="EJ222" s="27" t="s">
        <v>7</v>
      </c>
      <c r="EK222" s="27" t="s">
        <v>8</v>
      </c>
      <c r="EL222" s="27" t="s">
        <v>7</v>
      </c>
      <c r="EM222" s="27" t="s">
        <v>8</v>
      </c>
    </row>
    <row r="223" spans="1:144" x14ac:dyDescent="0.25">
      <c r="A223" s="30">
        <v>2.2920183178010345</v>
      </c>
      <c r="E223"/>
      <c r="DW223" s="27" t="s">
        <v>8</v>
      </c>
      <c r="EB223" s="27" t="s">
        <v>7</v>
      </c>
      <c r="EC223" s="27" t="s">
        <v>8</v>
      </c>
      <c r="EJ223" s="27" t="s">
        <v>7</v>
      </c>
      <c r="EK223" s="27" t="s">
        <v>8</v>
      </c>
      <c r="EL223" s="27" t="s">
        <v>7</v>
      </c>
      <c r="EM223" s="27" t="s">
        <v>8</v>
      </c>
      <c r="EN223" s="27" t="s">
        <v>7</v>
      </c>
    </row>
    <row r="224" spans="1:144" x14ac:dyDescent="0.25">
      <c r="A224" s="30">
        <v>2.1828745883819374</v>
      </c>
      <c r="E224"/>
      <c r="DW224" s="27" t="s">
        <v>8</v>
      </c>
      <c r="EB224" s="27" t="s">
        <v>7</v>
      </c>
      <c r="EJ224" s="27" t="s">
        <v>7</v>
      </c>
      <c r="EK224" s="27" t="s">
        <v>8</v>
      </c>
      <c r="EL224" s="27" t="s">
        <v>7</v>
      </c>
      <c r="EM224" s="27" t="s">
        <v>8</v>
      </c>
      <c r="EN224" s="27" t="s">
        <v>7</v>
      </c>
    </row>
    <row r="225" spans="1:151" x14ac:dyDescent="0.25">
      <c r="A225" s="30">
        <v>2.0789281794113688</v>
      </c>
      <c r="E225"/>
      <c r="DW225" s="27" t="s">
        <v>8</v>
      </c>
      <c r="EJ225" s="27" t="s">
        <v>7</v>
      </c>
      <c r="EK225" s="27" t="s">
        <v>8</v>
      </c>
      <c r="EL225" s="27" t="s">
        <v>7</v>
      </c>
      <c r="EM225" s="27" t="s">
        <v>8</v>
      </c>
      <c r="EN225" s="27" t="s">
        <v>7</v>
      </c>
    </row>
    <row r="226" spans="1:151" x14ac:dyDescent="0.25">
      <c r="A226" s="30">
        <v>1.9799315994393987</v>
      </c>
      <c r="E226"/>
      <c r="DW226" s="27" t="s">
        <v>8</v>
      </c>
      <c r="EJ226" s="27" t="s">
        <v>7</v>
      </c>
      <c r="EK226" s="27" t="s">
        <v>8</v>
      </c>
      <c r="EL226" s="27" t="s">
        <v>7</v>
      </c>
      <c r="EM226" s="27" t="s">
        <v>8</v>
      </c>
      <c r="EN226" s="27" t="s">
        <v>7</v>
      </c>
      <c r="EO226" s="27" t="s">
        <v>8</v>
      </c>
    </row>
    <row r="227" spans="1:151" x14ac:dyDescent="0.25">
      <c r="A227" s="30">
        <v>1.8856491423232367</v>
      </c>
      <c r="E227"/>
      <c r="DW227" s="27" t="s">
        <v>8</v>
      </c>
      <c r="EJ227" s="27" t="s">
        <v>7</v>
      </c>
      <c r="EK227" s="27" t="s">
        <v>8</v>
      </c>
      <c r="EL227" s="27" t="s">
        <v>7</v>
      </c>
      <c r="EN227" s="27" t="s">
        <v>7</v>
      </c>
      <c r="EO227" s="27" t="s">
        <v>8</v>
      </c>
      <c r="EP227" s="27" t="s">
        <v>7</v>
      </c>
    </row>
    <row r="228" spans="1:151" x14ac:dyDescent="0.25">
      <c r="A228" s="30">
        <v>1.7958563260221301</v>
      </c>
      <c r="C228" s="7"/>
      <c r="D228"/>
      <c r="E228"/>
      <c r="DW228" s="27" t="s">
        <v>8</v>
      </c>
      <c r="EJ228" s="27" t="s">
        <v>7</v>
      </c>
      <c r="EK228" s="27" t="s">
        <v>8</v>
      </c>
      <c r="EN228" s="27" t="s">
        <v>7</v>
      </c>
      <c r="EO228" s="27" t="s">
        <v>8</v>
      </c>
      <c r="EP228" s="27" t="s">
        <v>7</v>
      </c>
    </row>
    <row r="229" spans="1:151" x14ac:dyDescent="0.25">
      <c r="A229" s="30">
        <v>1.7103393581163142</v>
      </c>
      <c r="E229"/>
      <c r="DW229" s="27" t="s">
        <v>8</v>
      </c>
      <c r="EJ229" s="27" t="s">
        <v>7</v>
      </c>
      <c r="EK229" s="27" t="s">
        <v>8</v>
      </c>
      <c r="EN229" s="27" t="s">
        <v>7</v>
      </c>
      <c r="EP229" s="27" t="s">
        <v>7</v>
      </c>
    </row>
    <row r="230" spans="1:151" x14ac:dyDescent="0.25">
      <c r="A230" s="30">
        <v>1.628894626777442</v>
      </c>
      <c r="E230"/>
      <c r="DS230" s="27" t="s">
        <v>8</v>
      </c>
      <c r="DW230" s="27" t="s">
        <v>8</v>
      </c>
      <c r="EJ230" s="27" t="s">
        <v>7</v>
      </c>
      <c r="EP230" s="27" t="s">
        <v>7</v>
      </c>
      <c r="EQ230" s="27" t="s">
        <v>8</v>
      </c>
    </row>
    <row r="231" spans="1:151" x14ac:dyDescent="0.25">
      <c r="A231" s="30">
        <v>1.5513282159785162</v>
      </c>
      <c r="C231"/>
      <c r="D231"/>
      <c r="E231"/>
      <c r="DS231" s="27" t="s">
        <v>8</v>
      </c>
      <c r="DT231" s="27" t="s">
        <v>7</v>
      </c>
      <c r="DW231" s="27" t="s">
        <v>8</v>
      </c>
      <c r="EP231" s="27" t="s">
        <v>7</v>
      </c>
      <c r="EQ231" s="27" t="s">
        <v>8</v>
      </c>
      <c r="ER231" s="27" t="s">
        <v>7</v>
      </c>
    </row>
    <row r="232" spans="1:151" x14ac:dyDescent="0.25">
      <c r="A232" s="30">
        <v>1.477455443789063</v>
      </c>
      <c r="E232"/>
      <c r="DS232" s="27" t="s">
        <v>8</v>
      </c>
      <c r="DT232" s="27" t="s">
        <v>7</v>
      </c>
      <c r="DU232" s="27" t="s">
        <v>8</v>
      </c>
      <c r="DW232" s="27" t="s">
        <v>8</v>
      </c>
      <c r="EP232" s="27" t="s">
        <v>7</v>
      </c>
      <c r="EQ232" s="27" t="s">
        <v>8</v>
      </c>
      <c r="ER232" s="27" t="s">
        <v>7</v>
      </c>
    </row>
    <row r="233" spans="1:151" x14ac:dyDescent="0.25">
      <c r="A233" s="30">
        <v>1.4071004226562505</v>
      </c>
      <c r="E233"/>
      <c r="DS233" s="27" t="s">
        <v>8</v>
      </c>
      <c r="DT233" s="27" t="s">
        <v>7</v>
      </c>
      <c r="DU233" s="27" t="s">
        <v>8</v>
      </c>
      <c r="DV233" s="27" t="s">
        <v>7</v>
      </c>
      <c r="DW233" s="27" t="s">
        <v>8</v>
      </c>
      <c r="EP233" s="27" t="s">
        <v>7</v>
      </c>
      <c r="ER233" s="27" t="s">
        <v>7</v>
      </c>
    </row>
    <row r="234" spans="1:151" x14ac:dyDescent="0.25">
      <c r="A234" s="30">
        <v>1.3400956406250004</v>
      </c>
      <c r="E234"/>
      <c r="DS234" s="27" t="s">
        <v>8</v>
      </c>
      <c r="DT234" s="27" t="s">
        <v>7</v>
      </c>
      <c r="DU234" s="27" t="s">
        <v>8</v>
      </c>
      <c r="DV234" s="27" t="s">
        <v>7</v>
      </c>
      <c r="DW234" s="27" t="s">
        <v>8</v>
      </c>
      <c r="ER234" s="27" t="s">
        <v>7</v>
      </c>
    </row>
    <row r="235" spans="1:151" x14ac:dyDescent="0.25">
      <c r="A235" s="30">
        <v>1.2762815625000004</v>
      </c>
      <c r="C235"/>
      <c r="E235"/>
      <c r="DS235" s="27" t="s">
        <v>8</v>
      </c>
      <c r="DT235" s="27" t="s">
        <v>7</v>
      </c>
      <c r="DU235" s="27" t="s">
        <v>8</v>
      </c>
      <c r="DV235" s="27" t="s">
        <v>7</v>
      </c>
      <c r="DW235" s="27" t="s">
        <v>8</v>
      </c>
      <c r="ER235" s="27" t="s">
        <v>7</v>
      </c>
    </row>
    <row r="236" spans="1:151" x14ac:dyDescent="0.25">
      <c r="A236" s="30">
        <v>1.2155062500000002</v>
      </c>
      <c r="E236"/>
      <c r="DS236" s="27" t="s">
        <v>8</v>
      </c>
      <c r="DT236" s="27" t="s">
        <v>7</v>
      </c>
      <c r="DU236" s="27" t="s">
        <v>8</v>
      </c>
      <c r="DV236" s="27" t="s">
        <v>7</v>
      </c>
      <c r="ER236" s="27" t="s">
        <v>7</v>
      </c>
    </row>
    <row r="237" spans="1:151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DS237" s="27" t="s">
        <v>8</v>
      </c>
      <c r="DT237" s="27" t="s">
        <v>7</v>
      </c>
      <c r="DU237" s="27" t="s">
        <v>8</v>
      </c>
      <c r="ER237" s="27" t="s">
        <v>7</v>
      </c>
      <c r="EU237" s="27" t="s">
        <v>8</v>
      </c>
    </row>
    <row r="238" spans="1:151" x14ac:dyDescent="0.25">
      <c r="A238" s="30">
        <v>1.1025</v>
      </c>
      <c r="E238"/>
      <c r="DS238" s="27" t="s">
        <v>8</v>
      </c>
      <c r="DT238" s="27" t="s">
        <v>7</v>
      </c>
      <c r="ER238" s="27" t="s">
        <v>7</v>
      </c>
      <c r="EU238" s="27" t="s">
        <v>8</v>
      </c>
    </row>
    <row r="239" spans="1:151" x14ac:dyDescent="0.25">
      <c r="A239" s="30">
        <v>1.05</v>
      </c>
      <c r="E239"/>
      <c r="DS239" s="27" t="s">
        <v>8</v>
      </c>
      <c r="ER239" s="27" t="s">
        <v>7</v>
      </c>
      <c r="EU239" s="27" t="s">
        <v>8</v>
      </c>
    </row>
    <row r="240" spans="1:151" x14ac:dyDescent="0.25">
      <c r="A240" s="30">
        <v>1</v>
      </c>
      <c r="E240" s="29" t="s">
        <v>8</v>
      </c>
      <c r="DS240" s="27" t="s">
        <v>8</v>
      </c>
      <c r="ER240" s="27" t="s">
        <v>7</v>
      </c>
      <c r="EU240" s="27" t="s">
        <v>8</v>
      </c>
    </row>
    <row r="241" spans="1:151" x14ac:dyDescent="0.25">
      <c r="A241" s="30">
        <v>0.952380952380952</v>
      </c>
      <c r="B241"/>
      <c r="C241"/>
      <c r="D241"/>
      <c r="E241"/>
      <c r="F241" s="27" t="s">
        <v>7</v>
      </c>
      <c r="DS241" s="27" t="s">
        <v>8</v>
      </c>
      <c r="ER241" s="27" t="s">
        <v>7</v>
      </c>
      <c r="EU241" s="27" t="s">
        <v>8</v>
      </c>
    </row>
    <row r="242" spans="1:151" x14ac:dyDescent="0.25">
      <c r="A242" s="30">
        <v>0.90702947845804915</v>
      </c>
      <c r="B242"/>
      <c r="C242"/>
      <c r="D242"/>
      <c r="E242"/>
      <c r="F242" s="27" t="s">
        <v>7</v>
      </c>
      <c r="CI242" s="33" t="s">
        <v>8</v>
      </c>
      <c r="DS242" s="27" t="s">
        <v>8</v>
      </c>
      <c r="ER242" s="27" t="s">
        <v>7</v>
      </c>
      <c r="EU242" s="27" t="s">
        <v>8</v>
      </c>
    </row>
    <row r="243" spans="1:151" x14ac:dyDescent="0.25">
      <c r="A243" s="30">
        <v>0.86383759853147501</v>
      </c>
      <c r="B243"/>
      <c r="C243"/>
      <c r="D243"/>
      <c r="E243"/>
      <c r="F243" s="27" t="s">
        <v>7</v>
      </c>
      <c r="BI243" s="27" t="s">
        <v>8</v>
      </c>
      <c r="CI243" s="27" t="s">
        <v>8</v>
      </c>
      <c r="CJ243" s="33" t="s">
        <v>7</v>
      </c>
      <c r="DS243" s="27" t="s">
        <v>8</v>
      </c>
      <c r="ER243" s="27" t="s">
        <v>7</v>
      </c>
      <c r="ES243" s="27" t="s">
        <v>8</v>
      </c>
      <c r="EU243" s="27" t="s">
        <v>8</v>
      </c>
    </row>
    <row r="244" spans="1:151" x14ac:dyDescent="0.25">
      <c r="A244" s="30">
        <v>0.82270247479188063</v>
      </c>
      <c r="B244"/>
      <c r="C244"/>
      <c r="D244"/>
      <c r="E244"/>
      <c r="F244" s="27" t="s">
        <v>7</v>
      </c>
      <c r="BI244" s="27" t="s">
        <v>8</v>
      </c>
      <c r="BJ244" s="27" t="s">
        <v>7</v>
      </c>
      <c r="CI244" s="27" t="s">
        <v>8</v>
      </c>
      <c r="CJ244" s="27" t="s">
        <v>7</v>
      </c>
      <c r="CK244" s="33"/>
      <c r="DS244" s="27" t="s">
        <v>8</v>
      </c>
      <c r="ER244" s="27" t="s">
        <v>7</v>
      </c>
      <c r="ES244" s="27" t="s">
        <v>8</v>
      </c>
      <c r="ET244" s="27" t="s">
        <v>7</v>
      </c>
      <c r="EU244" s="27" t="s">
        <v>8</v>
      </c>
    </row>
    <row r="245" spans="1:151" x14ac:dyDescent="0.25">
      <c r="A245" s="30">
        <v>0.78352616646845741</v>
      </c>
      <c r="B245"/>
      <c r="C245"/>
      <c r="D245"/>
      <c r="E245"/>
      <c r="F245" s="27" t="s">
        <v>7</v>
      </c>
      <c r="BG245" s="27" t="s">
        <v>8</v>
      </c>
      <c r="BI245" s="27" t="s">
        <v>8</v>
      </c>
      <c r="BJ245" s="27" t="s">
        <v>7</v>
      </c>
      <c r="BK245" s="27" t="s">
        <v>8</v>
      </c>
      <c r="CI245" s="27" t="s">
        <v>8</v>
      </c>
      <c r="CJ245" s="27" t="s">
        <v>7</v>
      </c>
      <c r="CL245" s="33"/>
      <c r="DS245" s="27" t="s">
        <v>8</v>
      </c>
      <c r="ER245" s="27" t="s">
        <v>7</v>
      </c>
      <c r="ES245" s="27" t="s">
        <v>8</v>
      </c>
      <c r="ET245" s="27" t="s">
        <v>7</v>
      </c>
      <c r="EU245" s="27" t="s">
        <v>8</v>
      </c>
    </row>
    <row r="246" spans="1:151" x14ac:dyDescent="0.25">
      <c r="A246" s="30">
        <v>0.74621539663662584</v>
      </c>
      <c r="B246"/>
      <c r="C246"/>
      <c r="D246"/>
      <c r="E246"/>
      <c r="F246" s="27" t="s">
        <v>7</v>
      </c>
      <c r="BG246" s="27" t="s">
        <v>8</v>
      </c>
      <c r="BH246" s="27" t="s">
        <v>7</v>
      </c>
      <c r="BI246" s="27" t="s">
        <v>8</v>
      </c>
      <c r="BJ246" s="27" t="s">
        <v>7</v>
      </c>
      <c r="BK246" s="27" t="s">
        <v>8</v>
      </c>
      <c r="BL246" s="27" t="s">
        <v>7</v>
      </c>
      <c r="BY246" s="27" t="s">
        <v>8</v>
      </c>
      <c r="CI246" s="27" t="s">
        <v>8</v>
      </c>
      <c r="CJ246" s="27" t="s">
        <v>7</v>
      </c>
      <c r="CM246" s="33"/>
      <c r="DA246" s="27" t="s">
        <v>8</v>
      </c>
      <c r="DS246" s="27" t="s">
        <v>8</v>
      </c>
      <c r="ER246" s="27" t="s">
        <v>7</v>
      </c>
      <c r="ES246" s="27" t="s">
        <v>8</v>
      </c>
      <c r="ET246" s="27" t="s">
        <v>7</v>
      </c>
      <c r="EU246" s="27" t="s">
        <v>8</v>
      </c>
    </row>
    <row r="247" spans="1:151" x14ac:dyDescent="0.25">
      <c r="A247" s="30">
        <v>0.71068133013011958</v>
      </c>
      <c r="B247"/>
      <c r="C247"/>
      <c r="D247"/>
      <c r="E247"/>
      <c r="F247" s="27" t="s">
        <v>7</v>
      </c>
      <c r="BG247" s="27" t="s">
        <v>8</v>
      </c>
      <c r="BH247" s="27" t="s">
        <v>7</v>
      </c>
      <c r="BI247" s="27" t="s">
        <v>8</v>
      </c>
      <c r="BJ247" s="27" t="s">
        <v>7</v>
      </c>
      <c r="BK247" s="27" t="s">
        <v>8</v>
      </c>
      <c r="BL247" s="27" t="s">
        <v>7</v>
      </c>
      <c r="BY247" s="27" t="s">
        <v>8</v>
      </c>
      <c r="BZ247" s="27" t="s">
        <v>7</v>
      </c>
      <c r="CI247" s="27" t="s">
        <v>8</v>
      </c>
      <c r="CJ247" s="27" t="s">
        <v>7</v>
      </c>
      <c r="CN247" s="33"/>
      <c r="DA247" s="27" t="s">
        <v>8</v>
      </c>
      <c r="DB247" s="27" t="s">
        <v>7</v>
      </c>
      <c r="DS247" s="27" t="s">
        <v>8</v>
      </c>
      <c r="ER247" s="27" t="s">
        <v>7</v>
      </c>
      <c r="ES247" s="27" t="s">
        <v>8</v>
      </c>
      <c r="ET247" s="27" t="s">
        <v>7</v>
      </c>
    </row>
    <row r="248" spans="1:151" x14ac:dyDescent="0.25">
      <c r="A248" s="30">
        <v>0.676839362028685</v>
      </c>
      <c r="B248"/>
      <c r="C248"/>
      <c r="D248"/>
      <c r="E248"/>
      <c r="F248" s="27" t="s">
        <v>7</v>
      </c>
      <c r="BG248" s="27" t="s">
        <v>8</v>
      </c>
      <c r="BH248" s="27" t="s">
        <v>7</v>
      </c>
      <c r="BI248" s="27" t="s">
        <v>8</v>
      </c>
      <c r="BJ248" s="27" t="s">
        <v>7</v>
      </c>
      <c r="BK248" s="27" t="s">
        <v>8</v>
      </c>
      <c r="BL248" s="27" t="s">
        <v>7</v>
      </c>
      <c r="BY248" s="27" t="s">
        <v>8</v>
      </c>
      <c r="BZ248" s="27" t="s">
        <v>7</v>
      </c>
      <c r="CI248" s="27" t="s">
        <v>8</v>
      </c>
      <c r="CJ248" s="27" t="s">
        <v>7</v>
      </c>
      <c r="CO248" s="33"/>
      <c r="DA248" s="27" t="s">
        <v>8</v>
      </c>
      <c r="DB248" s="27" t="s">
        <v>7</v>
      </c>
      <c r="DS248" s="27" t="s">
        <v>8</v>
      </c>
      <c r="ER248" s="27" t="s">
        <v>7</v>
      </c>
    </row>
    <row r="249" spans="1:151" x14ac:dyDescent="0.25">
      <c r="A249" s="30">
        <v>0.64460891621779492</v>
      </c>
      <c r="B249"/>
      <c r="C249"/>
      <c r="D249"/>
      <c r="E249"/>
      <c r="F249" s="27" t="s">
        <v>7</v>
      </c>
      <c r="BG249" s="27" t="s">
        <v>8</v>
      </c>
      <c r="BH249" s="27" t="s">
        <v>7</v>
      </c>
      <c r="BI249" s="27" t="s">
        <v>8</v>
      </c>
      <c r="BJ249" s="27" t="s">
        <v>7</v>
      </c>
      <c r="BL249" s="27" t="s">
        <v>7</v>
      </c>
      <c r="BU249" s="27" t="s">
        <v>8</v>
      </c>
      <c r="BY249" s="27" t="s">
        <v>8</v>
      </c>
      <c r="BZ249" s="27" t="s">
        <v>7</v>
      </c>
      <c r="CI249" s="27" t="s">
        <v>8</v>
      </c>
      <c r="CJ249" s="27" t="s">
        <v>7</v>
      </c>
      <c r="CP249" s="33"/>
      <c r="DA249" s="27" t="s">
        <v>8</v>
      </c>
      <c r="DB249" s="27" t="s">
        <v>7</v>
      </c>
      <c r="DQ249" s="27" t="s">
        <v>8</v>
      </c>
      <c r="DS249" s="27" t="s">
        <v>8</v>
      </c>
    </row>
    <row r="250" spans="1:151" x14ac:dyDescent="0.25">
      <c r="A250" s="30">
        <v>0.61391325354075688</v>
      </c>
      <c r="B250"/>
      <c r="C250"/>
      <c r="D250"/>
      <c r="E250"/>
      <c r="F250" s="27" t="s">
        <v>7</v>
      </c>
      <c r="AS250" s="27" t="s">
        <v>8</v>
      </c>
      <c r="BG250" s="27" t="s">
        <v>8</v>
      </c>
      <c r="BH250" s="27" t="s">
        <v>7</v>
      </c>
      <c r="BI250" s="27" t="s">
        <v>8</v>
      </c>
      <c r="BL250" s="27" t="s">
        <v>7</v>
      </c>
      <c r="BM250" s="27" t="s">
        <v>8</v>
      </c>
      <c r="BQ250" s="27" t="s">
        <v>8</v>
      </c>
      <c r="BS250" s="27" t="s">
        <v>8</v>
      </c>
      <c r="BU250" s="27" t="s">
        <v>8</v>
      </c>
      <c r="BV250" s="27" t="s">
        <v>7</v>
      </c>
      <c r="BY250" s="27" t="s">
        <v>8</v>
      </c>
      <c r="BZ250" s="27" t="s">
        <v>7</v>
      </c>
      <c r="CA250" s="27" t="s">
        <v>8</v>
      </c>
      <c r="CG250" s="27" t="s">
        <v>8</v>
      </c>
      <c r="CI250" s="27" t="s">
        <v>8</v>
      </c>
      <c r="CJ250" s="27" t="s">
        <v>7</v>
      </c>
      <c r="CQ250" s="33"/>
      <c r="DA250" s="27" t="s">
        <v>8</v>
      </c>
      <c r="DB250" s="27" t="s">
        <v>7</v>
      </c>
      <c r="DQ250" s="27" t="s">
        <v>8</v>
      </c>
      <c r="DR250" s="27" t="s">
        <v>7</v>
      </c>
      <c r="DS250" s="27" t="s">
        <v>8</v>
      </c>
    </row>
    <row r="251" spans="1:151" x14ac:dyDescent="0.25">
      <c r="A251" s="30">
        <v>0.58467928908643485</v>
      </c>
      <c r="B251"/>
      <c r="C251"/>
      <c r="D251"/>
      <c r="E251"/>
      <c r="F251" s="27" t="s">
        <v>7</v>
      </c>
      <c r="AS251" s="27" t="s">
        <v>8</v>
      </c>
      <c r="AT251" s="27" t="s">
        <v>7</v>
      </c>
      <c r="BG251" s="27" t="s">
        <v>8</v>
      </c>
      <c r="BH251" s="27" t="s">
        <v>7</v>
      </c>
      <c r="BL251" s="27" t="s">
        <v>7</v>
      </c>
      <c r="BM251" s="27" t="s">
        <v>8</v>
      </c>
      <c r="BN251" s="27" t="s">
        <v>7</v>
      </c>
      <c r="BQ251" s="27" t="s">
        <v>8</v>
      </c>
      <c r="BR251" s="27" t="s">
        <v>7</v>
      </c>
      <c r="BS251" s="27" t="s">
        <v>8</v>
      </c>
      <c r="BT251" s="27" t="s">
        <v>7</v>
      </c>
      <c r="BU251" s="27" t="s">
        <v>8</v>
      </c>
      <c r="BV251" s="27" t="s">
        <v>7</v>
      </c>
      <c r="BW251" s="27" t="s">
        <v>8</v>
      </c>
      <c r="BY251" s="27" t="s">
        <v>8</v>
      </c>
      <c r="BZ251" s="27" t="s">
        <v>7</v>
      </c>
      <c r="CA251" s="27" t="s">
        <v>8</v>
      </c>
      <c r="CB251" s="27" t="s">
        <v>7</v>
      </c>
      <c r="CE251" s="27" t="s">
        <v>8</v>
      </c>
      <c r="CG251" s="27" t="s">
        <v>8</v>
      </c>
      <c r="CH251" s="27" t="s">
        <v>7</v>
      </c>
      <c r="CI251" s="27" t="s">
        <v>8</v>
      </c>
      <c r="CJ251" s="27" t="s">
        <v>7</v>
      </c>
      <c r="CR251" s="33"/>
      <c r="DA251" s="27" t="s">
        <v>8</v>
      </c>
      <c r="DB251" s="27" t="s">
        <v>7</v>
      </c>
      <c r="DO251" s="27" t="s">
        <v>8</v>
      </c>
      <c r="DQ251" s="27" t="s">
        <v>8</v>
      </c>
      <c r="DR251" s="27" t="s">
        <v>7</v>
      </c>
      <c r="DS251" s="27" t="s">
        <v>8</v>
      </c>
    </row>
    <row r="252" spans="1:151" x14ac:dyDescent="0.25">
      <c r="A252" s="30">
        <v>0.55683741817755672</v>
      </c>
      <c r="B252"/>
      <c r="C252"/>
      <c r="D252"/>
      <c r="E252"/>
      <c r="F252" s="27" t="s">
        <v>7</v>
      </c>
      <c r="AS252" s="27" t="s">
        <v>8</v>
      </c>
      <c r="AT252" s="27" t="s">
        <v>7</v>
      </c>
      <c r="BE252" s="27" t="s">
        <v>8</v>
      </c>
      <c r="BG252" s="27" t="s">
        <v>8</v>
      </c>
      <c r="BL252" s="27" t="s">
        <v>7</v>
      </c>
      <c r="BM252" s="27" t="s">
        <v>8</v>
      </c>
      <c r="BN252" s="27" t="s">
        <v>7</v>
      </c>
      <c r="BO252" s="27" t="s">
        <v>8</v>
      </c>
      <c r="BQ252" s="27" t="s">
        <v>8</v>
      </c>
      <c r="BR252" s="27" t="s">
        <v>7</v>
      </c>
      <c r="BS252" s="27" t="s">
        <v>8</v>
      </c>
      <c r="BT252" s="27" t="s">
        <v>7</v>
      </c>
      <c r="BU252" s="27" t="s">
        <v>8</v>
      </c>
      <c r="BV252" s="27" t="s">
        <v>7</v>
      </c>
      <c r="BW252" s="27" t="s">
        <v>8</v>
      </c>
      <c r="BX252" s="27" t="s">
        <v>7</v>
      </c>
      <c r="BY252" s="27" t="s">
        <v>8</v>
      </c>
      <c r="BZ252" s="27" t="s">
        <v>7</v>
      </c>
      <c r="CA252" s="27" t="s">
        <v>8</v>
      </c>
      <c r="CB252" s="27" t="s">
        <v>7</v>
      </c>
      <c r="CE252" s="27" t="s">
        <v>8</v>
      </c>
      <c r="CF252" s="27" t="s">
        <v>7</v>
      </c>
      <c r="CG252" s="27" t="s">
        <v>8</v>
      </c>
      <c r="CH252" s="27" t="s">
        <v>7</v>
      </c>
      <c r="CI252" s="27" t="s">
        <v>8</v>
      </c>
      <c r="CJ252" s="27" t="s">
        <v>7</v>
      </c>
      <c r="CS252" s="33"/>
      <c r="CY252" s="27" t="s">
        <v>8</v>
      </c>
      <c r="DA252" s="27" t="s">
        <v>8</v>
      </c>
      <c r="DB252" s="27" t="s">
        <v>7</v>
      </c>
      <c r="DO252" s="27" t="s">
        <v>8</v>
      </c>
      <c r="DP252" s="27" t="s">
        <v>7</v>
      </c>
      <c r="DQ252" s="27" t="s">
        <v>8</v>
      </c>
      <c r="DR252" s="27" t="s">
        <v>7</v>
      </c>
    </row>
    <row r="253" spans="1:151" x14ac:dyDescent="0.25">
      <c r="A253" s="30">
        <v>0.53032135064529184</v>
      </c>
      <c r="B253"/>
      <c r="C253"/>
      <c r="D253"/>
      <c r="E253"/>
      <c r="F253" s="27" t="s">
        <v>7</v>
      </c>
      <c r="AS253" s="27" t="s">
        <v>8</v>
      </c>
      <c r="AT253" s="27" t="s">
        <v>7</v>
      </c>
      <c r="BE253" s="27" t="s">
        <v>8</v>
      </c>
      <c r="BF253" s="27" t="s">
        <v>7</v>
      </c>
      <c r="BG253" s="27" t="s">
        <v>8</v>
      </c>
      <c r="BL253" s="27" t="s">
        <v>7</v>
      </c>
      <c r="BM253" s="27" t="s">
        <v>8</v>
      </c>
      <c r="BN253" s="27" t="s">
        <v>7</v>
      </c>
      <c r="BO253" s="27" t="s">
        <v>8</v>
      </c>
      <c r="BP253" s="27" t="s">
        <v>7</v>
      </c>
      <c r="BQ253" s="27" t="s">
        <v>8</v>
      </c>
      <c r="BR253" s="27" t="s">
        <v>7</v>
      </c>
      <c r="BT253" s="27" t="s">
        <v>7</v>
      </c>
      <c r="BV253" s="27" t="s">
        <v>7</v>
      </c>
      <c r="BW253" s="27" t="s">
        <v>8</v>
      </c>
      <c r="BX253" s="27" t="s">
        <v>7</v>
      </c>
      <c r="BY253" s="27" t="s">
        <v>8</v>
      </c>
      <c r="BZ253" s="27" t="s">
        <v>7</v>
      </c>
      <c r="CB253" s="27" t="s">
        <v>7</v>
      </c>
      <c r="CE253" s="27" t="s">
        <v>8</v>
      </c>
      <c r="CF253" s="27" t="s">
        <v>7</v>
      </c>
      <c r="CG253" s="27" t="s">
        <v>8</v>
      </c>
      <c r="CH253" s="27" t="s">
        <v>7</v>
      </c>
      <c r="CI253" s="27" t="s">
        <v>8</v>
      </c>
      <c r="CJ253" s="27" t="s">
        <v>7</v>
      </c>
      <c r="CT253" s="33"/>
      <c r="CY253" s="27" t="s">
        <v>8</v>
      </c>
      <c r="CZ253" s="27" t="s">
        <v>7</v>
      </c>
      <c r="DA253" s="27" t="s">
        <v>8</v>
      </c>
      <c r="DB253" s="27" t="s">
        <v>7</v>
      </c>
      <c r="DO253" s="27" t="s">
        <v>8</v>
      </c>
      <c r="DP253" s="27" t="s">
        <v>7</v>
      </c>
      <c r="DQ253" s="27" t="s">
        <v>8</v>
      </c>
    </row>
    <row r="254" spans="1:151" x14ac:dyDescent="0.25">
      <c r="A254" s="30">
        <v>0.50506795299551588</v>
      </c>
      <c r="B254"/>
      <c r="C254"/>
      <c r="D254"/>
      <c r="E254"/>
      <c r="F254" s="27" t="s">
        <v>7</v>
      </c>
      <c r="AS254" s="27" t="s">
        <v>8</v>
      </c>
      <c r="AT254" s="27" t="s">
        <v>7</v>
      </c>
      <c r="AY254" s="27" t="s">
        <v>8</v>
      </c>
      <c r="BE254" s="27" t="s">
        <v>8</v>
      </c>
      <c r="BF254" s="27" t="s">
        <v>7</v>
      </c>
      <c r="BG254" s="27" t="s">
        <v>8</v>
      </c>
      <c r="BL254" s="27" t="s">
        <v>7</v>
      </c>
      <c r="BM254" s="27" t="s">
        <v>8</v>
      </c>
      <c r="BN254" s="27" t="s">
        <v>7</v>
      </c>
      <c r="BO254" s="27" t="s">
        <v>8</v>
      </c>
      <c r="BP254" s="27" t="s">
        <v>7</v>
      </c>
      <c r="BQ254" s="27" t="s">
        <v>8</v>
      </c>
      <c r="BV254" s="27" t="s">
        <v>7</v>
      </c>
      <c r="BW254" s="27" t="s">
        <v>8</v>
      </c>
      <c r="BX254" s="27" t="s">
        <v>7</v>
      </c>
      <c r="CB254" s="27" t="s">
        <v>7</v>
      </c>
      <c r="CE254" s="27" t="s">
        <v>8</v>
      </c>
      <c r="CF254" s="27" t="s">
        <v>7</v>
      </c>
      <c r="CH254" s="27" t="s">
        <v>7</v>
      </c>
      <c r="CJ254" s="27" t="s">
        <v>7</v>
      </c>
      <c r="CU254" s="33"/>
      <c r="CY254" s="27" t="s">
        <v>8</v>
      </c>
      <c r="CZ254" s="27" t="s">
        <v>7</v>
      </c>
      <c r="DA254" s="27" t="s">
        <v>8</v>
      </c>
      <c r="DB254" s="27" t="s">
        <v>7</v>
      </c>
      <c r="DE254" s="27" t="s">
        <v>8</v>
      </c>
      <c r="DG254" s="27" t="s">
        <v>8</v>
      </c>
      <c r="DM254" s="27" t="s">
        <v>8</v>
      </c>
      <c r="DO254" s="27" t="s">
        <v>8</v>
      </c>
      <c r="DP254" s="27" t="s">
        <v>7</v>
      </c>
    </row>
    <row r="255" spans="1:151" x14ac:dyDescent="0.25">
      <c r="A255" s="30">
        <v>0.48101709809096732</v>
      </c>
      <c r="E255"/>
      <c r="F255" s="27" t="s">
        <v>7</v>
      </c>
      <c r="AS255" s="27" t="s">
        <v>8</v>
      </c>
      <c r="AT255" s="27" t="s">
        <v>7</v>
      </c>
      <c r="AY255" s="27" t="s">
        <v>8</v>
      </c>
      <c r="AZ255" s="27" t="s">
        <v>7</v>
      </c>
      <c r="BE255" s="27" t="s">
        <v>8</v>
      </c>
      <c r="BF255" s="27" t="s">
        <v>7</v>
      </c>
      <c r="BL255" s="27" t="s">
        <v>7</v>
      </c>
      <c r="BM255" s="27" t="s">
        <v>8</v>
      </c>
      <c r="BN255" s="27" t="s">
        <v>7</v>
      </c>
      <c r="BP255" s="27" t="s">
        <v>7</v>
      </c>
      <c r="BV255" s="27" t="s">
        <v>7</v>
      </c>
      <c r="BW255" s="27" t="s">
        <v>8</v>
      </c>
      <c r="CB255" s="27" t="s">
        <v>7</v>
      </c>
      <c r="CC255" s="27" t="s">
        <v>8</v>
      </c>
      <c r="CE255" s="27" t="s">
        <v>8</v>
      </c>
      <c r="CJ255" s="32" t="s">
        <v>7</v>
      </c>
      <c r="CV255" s="33"/>
      <c r="CY255" s="27" t="s">
        <v>8</v>
      </c>
      <c r="CZ255" s="27" t="s">
        <v>7</v>
      </c>
      <c r="DA255" s="27" t="s">
        <v>8</v>
      </c>
      <c r="DB255" s="27" t="s">
        <v>7</v>
      </c>
      <c r="DC255" s="27" t="s">
        <v>8</v>
      </c>
      <c r="DE255" s="27" t="s">
        <v>8</v>
      </c>
      <c r="DF255" s="27" t="s">
        <v>7</v>
      </c>
      <c r="DG255" s="27" t="s">
        <v>8</v>
      </c>
      <c r="DH255" s="27" t="s">
        <v>7</v>
      </c>
      <c r="DK255" s="27" t="s">
        <v>8</v>
      </c>
      <c r="DM255" s="27" t="s">
        <v>8</v>
      </c>
      <c r="DN255" s="27" t="s">
        <v>7</v>
      </c>
      <c r="DO255" s="27" t="s">
        <v>8</v>
      </c>
    </row>
    <row r="256" spans="1:151" x14ac:dyDescent="0.25">
      <c r="A256" s="30">
        <v>0.45811152199139726</v>
      </c>
      <c r="E256"/>
      <c r="F256" s="27" t="s">
        <v>7</v>
      </c>
      <c r="AS256" s="27" t="s">
        <v>8</v>
      </c>
      <c r="AT256" s="27" t="s">
        <v>7</v>
      </c>
      <c r="AY256" s="27" t="s">
        <v>8</v>
      </c>
      <c r="AZ256" s="27" t="s">
        <v>7</v>
      </c>
      <c r="BA256" s="27" t="s">
        <v>8</v>
      </c>
      <c r="BC256" s="27" t="s">
        <v>8</v>
      </c>
      <c r="BE256" s="27" t="s">
        <v>8</v>
      </c>
      <c r="BL256" s="27" t="s">
        <v>7</v>
      </c>
      <c r="BV256" s="27" t="s">
        <v>7</v>
      </c>
      <c r="BW256" s="27" t="s">
        <v>8</v>
      </c>
      <c r="CB256" s="27" t="s">
        <v>7</v>
      </c>
      <c r="CC256" s="27" t="s">
        <v>8</v>
      </c>
      <c r="CD256" s="27" t="s">
        <v>7</v>
      </c>
      <c r="CE256" s="27" t="s">
        <v>8</v>
      </c>
      <c r="CJ256" s="27" t="s">
        <v>7</v>
      </c>
      <c r="CM256" s="27" t="s">
        <v>8</v>
      </c>
      <c r="CW256" s="33"/>
      <c r="CY256" s="27" t="s">
        <v>8</v>
      </c>
      <c r="CZ256" s="27" t="s">
        <v>7</v>
      </c>
      <c r="DB256" s="27" t="s">
        <v>7</v>
      </c>
      <c r="DC256" s="27" t="s">
        <v>8</v>
      </c>
      <c r="DD256" s="27" t="s">
        <v>7</v>
      </c>
      <c r="DE256" s="27" t="s">
        <v>8</v>
      </c>
      <c r="DF256" s="27" t="s">
        <v>7</v>
      </c>
      <c r="DG256" s="27" t="s">
        <v>8</v>
      </c>
      <c r="DH256" s="27" t="s">
        <v>7</v>
      </c>
      <c r="DK256" s="27" t="s">
        <v>8</v>
      </c>
      <c r="DL256" s="27" t="s">
        <v>7</v>
      </c>
      <c r="DM256" s="27" t="s">
        <v>8</v>
      </c>
      <c r="DN256" s="27" t="s">
        <v>7</v>
      </c>
      <c r="DO256" s="27" t="s">
        <v>8</v>
      </c>
    </row>
    <row r="257" spans="1:119" x14ac:dyDescent="0.25">
      <c r="A257" s="30">
        <v>0.43629668761085438</v>
      </c>
      <c r="B257"/>
      <c r="C257"/>
      <c r="D257"/>
      <c r="E257"/>
      <c r="F257" s="27" t="s">
        <v>7</v>
      </c>
      <c r="AS257" s="27" t="s">
        <v>8</v>
      </c>
      <c r="AT257" s="27" t="s">
        <v>7</v>
      </c>
      <c r="AW257" s="27" t="s">
        <v>8</v>
      </c>
      <c r="AY257" s="27" t="s">
        <v>8</v>
      </c>
      <c r="AZ257" s="27" t="s">
        <v>7</v>
      </c>
      <c r="BA257" s="27" t="s">
        <v>8</v>
      </c>
      <c r="BB257" s="27" t="s">
        <v>7</v>
      </c>
      <c r="BC257" s="27" t="s">
        <v>8</v>
      </c>
      <c r="BD257" s="27" t="s">
        <v>7</v>
      </c>
      <c r="BE257" s="27" t="s">
        <v>8</v>
      </c>
      <c r="BV257" s="27" t="s">
        <v>7</v>
      </c>
      <c r="CB257" s="27" t="s">
        <v>7</v>
      </c>
      <c r="CC257" s="27" t="s">
        <v>8</v>
      </c>
      <c r="CD257" s="27" t="s">
        <v>7</v>
      </c>
      <c r="CE257" s="27" t="s">
        <v>8</v>
      </c>
      <c r="CJ257" s="27" t="s">
        <v>7</v>
      </c>
      <c r="CM257" s="31" t="s">
        <v>8</v>
      </c>
      <c r="CN257" s="27" t="s">
        <v>7</v>
      </c>
      <c r="CX257" s="33"/>
      <c r="CY257" s="27" t="s">
        <v>8</v>
      </c>
      <c r="DB257" s="27" t="s">
        <v>7</v>
      </c>
      <c r="DC257" s="27" t="s">
        <v>8</v>
      </c>
      <c r="DD257" s="27" t="s">
        <v>7</v>
      </c>
      <c r="DE257" s="27" t="s">
        <v>8</v>
      </c>
      <c r="DF257" s="27" t="s">
        <v>7</v>
      </c>
      <c r="DG257" s="27" t="s">
        <v>8</v>
      </c>
      <c r="DH257" s="27" t="s">
        <v>7</v>
      </c>
      <c r="DK257" s="27" t="s">
        <v>8</v>
      </c>
      <c r="DL257" s="27" t="s">
        <v>7</v>
      </c>
      <c r="DM257" s="27" t="s">
        <v>8</v>
      </c>
      <c r="DN257" s="27" t="s">
        <v>7</v>
      </c>
      <c r="DO257" s="27" t="s">
        <v>8</v>
      </c>
    </row>
    <row r="258" spans="1:119" x14ac:dyDescent="0.25">
      <c r="A258" s="30">
        <v>0.41552065486748019</v>
      </c>
      <c r="B258"/>
      <c r="C258"/>
      <c r="D258"/>
      <c r="E258"/>
      <c r="F258" s="27" t="s">
        <v>7</v>
      </c>
      <c r="AS258" s="27" t="s">
        <v>8</v>
      </c>
      <c r="AT258" s="27" t="s">
        <v>7</v>
      </c>
      <c r="AU258" s="27" t="s">
        <v>8</v>
      </c>
      <c r="AW258" s="27" t="s">
        <v>8</v>
      </c>
      <c r="AX258" s="27" t="s">
        <v>7</v>
      </c>
      <c r="AY258" s="27" t="s">
        <v>8</v>
      </c>
      <c r="AZ258" s="27" t="s">
        <v>7</v>
      </c>
      <c r="BA258" s="27" t="s">
        <v>8</v>
      </c>
      <c r="BB258" s="27" t="s">
        <v>7</v>
      </c>
      <c r="BC258" s="27" t="s">
        <v>8</v>
      </c>
      <c r="BD258" s="27" t="s">
        <v>7</v>
      </c>
      <c r="BE258" s="27" t="s">
        <v>8</v>
      </c>
      <c r="CB258" s="27" t="s">
        <v>7</v>
      </c>
      <c r="CD258" s="27" t="s">
        <v>7</v>
      </c>
      <c r="CJ258" s="27" t="s">
        <v>7</v>
      </c>
      <c r="CK258" s="27" t="s">
        <v>8</v>
      </c>
      <c r="CM258" s="27" t="s">
        <v>8</v>
      </c>
      <c r="CN258" s="27" t="s">
        <v>7</v>
      </c>
      <c r="CY258" s="33" t="s">
        <v>8</v>
      </c>
      <c r="DB258" s="27" t="s">
        <v>7</v>
      </c>
      <c r="DC258" s="27" t="s">
        <v>8</v>
      </c>
      <c r="DD258" s="27" t="s">
        <v>7</v>
      </c>
      <c r="DF258" s="27" t="s">
        <v>7</v>
      </c>
      <c r="DH258" s="27" t="s">
        <v>7</v>
      </c>
      <c r="DI258" s="27" t="s">
        <v>8</v>
      </c>
      <c r="DK258" s="27" t="s">
        <v>8</v>
      </c>
      <c r="DL258" s="27" t="s">
        <v>7</v>
      </c>
      <c r="DN258" s="27" t="s">
        <v>7</v>
      </c>
      <c r="DO258" s="27" t="s">
        <v>8</v>
      </c>
    </row>
    <row r="259" spans="1:119" x14ac:dyDescent="0.25">
      <c r="A259" s="30">
        <v>0.39573395701664765</v>
      </c>
      <c r="B259"/>
      <c r="C259"/>
      <c r="D259"/>
      <c r="E259"/>
      <c r="F259" s="27" t="s">
        <v>7</v>
      </c>
      <c r="AS259" s="27" t="s">
        <v>8</v>
      </c>
      <c r="AT259" s="27" t="s">
        <v>7</v>
      </c>
      <c r="AU259" s="27" t="s">
        <v>8</v>
      </c>
      <c r="AV259" s="27" t="s">
        <v>7</v>
      </c>
      <c r="AW259" s="27" t="s">
        <v>8</v>
      </c>
      <c r="AX259" s="27" t="s">
        <v>7</v>
      </c>
      <c r="AY259" s="27" t="s">
        <v>8</v>
      </c>
      <c r="AZ259" s="27" t="s">
        <v>7</v>
      </c>
      <c r="BA259" s="27" t="s">
        <v>8</v>
      </c>
      <c r="BB259" s="27" t="s">
        <v>7</v>
      </c>
      <c r="BD259" s="27" t="s">
        <v>7</v>
      </c>
      <c r="CJ259" s="27" t="s">
        <v>7</v>
      </c>
      <c r="CK259" s="27" t="s">
        <v>8</v>
      </c>
      <c r="CL259" s="27" t="s">
        <v>7</v>
      </c>
      <c r="CM259" s="27" t="s">
        <v>8</v>
      </c>
      <c r="CN259" s="27" t="s">
        <v>7</v>
      </c>
      <c r="CO259" s="27" t="s">
        <v>8</v>
      </c>
      <c r="CY259" s="27" t="s">
        <v>8</v>
      </c>
      <c r="CZ259" s="33"/>
      <c r="DB259" s="27" t="s">
        <v>7</v>
      </c>
      <c r="DH259" s="27" t="s">
        <v>7</v>
      </c>
      <c r="DI259" s="27" t="s">
        <v>8</v>
      </c>
      <c r="DJ259" s="27" t="s">
        <v>7</v>
      </c>
      <c r="DK259" s="27" t="s">
        <v>8</v>
      </c>
      <c r="DN259" s="27" t="s">
        <v>7</v>
      </c>
      <c r="DO259" s="27" t="s">
        <v>8</v>
      </c>
    </row>
    <row r="260" spans="1:119" x14ac:dyDescent="0.25">
      <c r="A260" s="30">
        <v>0.37688948287299762</v>
      </c>
      <c r="B260"/>
      <c r="C260"/>
      <c r="D260"/>
      <c r="E260"/>
      <c r="F260" s="27" t="s">
        <v>7</v>
      </c>
      <c r="AS260" s="27" t="s">
        <v>8</v>
      </c>
      <c r="AT260" s="27" t="s">
        <v>7</v>
      </c>
      <c r="AU260" s="27" t="s">
        <v>8</v>
      </c>
      <c r="AV260" s="27" t="s">
        <v>7</v>
      </c>
      <c r="AW260" s="27" t="s">
        <v>8</v>
      </c>
      <c r="AX260" s="27" t="s">
        <v>7</v>
      </c>
      <c r="AY260" s="27" t="s">
        <v>8</v>
      </c>
      <c r="AZ260" s="27" t="s">
        <v>7</v>
      </c>
      <c r="BA260" s="27" t="s">
        <v>8</v>
      </c>
      <c r="CJ260" s="27" t="s">
        <v>7</v>
      </c>
      <c r="CK260" s="27" t="s">
        <v>8</v>
      </c>
      <c r="CL260" s="27" t="s">
        <v>7</v>
      </c>
      <c r="CM260" s="27" t="s">
        <v>8</v>
      </c>
      <c r="CN260" s="27" t="s">
        <v>7</v>
      </c>
      <c r="CO260" s="27" t="s">
        <v>8</v>
      </c>
      <c r="CP260" s="27" t="s">
        <v>7</v>
      </c>
      <c r="CY260" s="27" t="s">
        <v>8</v>
      </c>
      <c r="DA260" s="33"/>
      <c r="DH260" s="27" t="s">
        <v>7</v>
      </c>
      <c r="DI260" s="27" t="s">
        <v>8</v>
      </c>
      <c r="DJ260" s="34" t="s">
        <v>7</v>
      </c>
      <c r="DK260" s="27" t="s">
        <v>8</v>
      </c>
      <c r="DN260" s="27" t="s">
        <v>7</v>
      </c>
    </row>
    <row r="261" spans="1:119" x14ac:dyDescent="0.25">
      <c r="A261" s="30">
        <v>0.35894236464094997</v>
      </c>
      <c r="B261"/>
      <c r="C261"/>
      <c r="D261"/>
      <c r="E261"/>
      <c r="F261" s="27" t="s">
        <v>7</v>
      </c>
      <c r="AS261" s="27" t="s">
        <v>8</v>
      </c>
      <c r="AT261" s="27" t="s">
        <v>7</v>
      </c>
      <c r="AU261" s="27" t="s">
        <v>8</v>
      </c>
      <c r="AV261" s="27" t="s">
        <v>7</v>
      </c>
      <c r="AW261" s="27" t="s">
        <v>8</v>
      </c>
      <c r="AX261" s="27" t="s">
        <v>7</v>
      </c>
      <c r="AZ261" s="27" t="s">
        <v>7</v>
      </c>
      <c r="BA261" s="27" t="s">
        <v>8</v>
      </c>
      <c r="CJ261" s="27" t="s">
        <v>7</v>
      </c>
      <c r="CK261" s="27" t="s">
        <v>8</v>
      </c>
      <c r="CL261" s="27" t="s">
        <v>7</v>
      </c>
      <c r="CM261" s="27" t="s">
        <v>8</v>
      </c>
      <c r="CN261" s="27" t="s">
        <v>7</v>
      </c>
      <c r="CO261" s="27" t="s">
        <v>8</v>
      </c>
      <c r="CP261" s="27" t="s">
        <v>7</v>
      </c>
      <c r="CW261" s="27" t="s">
        <v>8</v>
      </c>
      <c r="CY261" s="27" t="s">
        <v>8</v>
      </c>
      <c r="DH261" s="27" t="s">
        <v>7</v>
      </c>
      <c r="DI261" s="34"/>
      <c r="DJ261" s="27" t="s">
        <v>7</v>
      </c>
    </row>
    <row r="262" spans="1:119" x14ac:dyDescent="0.25">
      <c r="A262" s="30">
        <v>0.34184987108661891</v>
      </c>
      <c r="B262"/>
      <c r="C262"/>
      <c r="D262"/>
      <c r="E262"/>
      <c r="F262" s="27" t="s">
        <v>7</v>
      </c>
      <c r="AS262" s="27" t="s">
        <v>8</v>
      </c>
      <c r="AT262" s="27" t="s">
        <v>7</v>
      </c>
      <c r="AU262" s="27" t="s">
        <v>8</v>
      </c>
      <c r="AV262" s="27" t="s">
        <v>7</v>
      </c>
      <c r="AW262" s="27" t="s">
        <v>8</v>
      </c>
      <c r="AZ262" s="27" t="s">
        <v>7</v>
      </c>
      <c r="CJ262" s="27" t="s">
        <v>7</v>
      </c>
      <c r="CK262" s="27" t="s">
        <v>8</v>
      </c>
      <c r="CL262" s="27" t="s">
        <v>7</v>
      </c>
      <c r="CM262" s="27" t="s">
        <v>8</v>
      </c>
      <c r="CN262" s="27" t="s">
        <v>7</v>
      </c>
      <c r="CO262" s="27" t="s">
        <v>8</v>
      </c>
      <c r="CP262" s="27" t="s">
        <v>7</v>
      </c>
      <c r="CQ262" s="27" t="s">
        <v>8</v>
      </c>
      <c r="CW262" s="31" t="s">
        <v>8</v>
      </c>
      <c r="CX262" s="27" t="s">
        <v>7</v>
      </c>
      <c r="CY262" s="27" t="s">
        <v>8</v>
      </c>
      <c r="DH262" s="34"/>
    </row>
    <row r="263" spans="1:119" x14ac:dyDescent="0.25">
      <c r="A263" s="30">
        <v>0.32557130579677979</v>
      </c>
      <c r="B263"/>
      <c r="C263"/>
      <c r="D263"/>
      <c r="E263"/>
      <c r="F263" s="27" t="s">
        <v>7</v>
      </c>
      <c r="AS263" s="27" t="s">
        <v>8</v>
      </c>
      <c r="AT263" s="27" t="s">
        <v>7</v>
      </c>
      <c r="AV263" s="27" t="s">
        <v>7</v>
      </c>
      <c r="AW263" s="27" t="s">
        <v>8</v>
      </c>
      <c r="CJ263" s="27" t="s">
        <v>7</v>
      </c>
      <c r="CK263" s="27" t="s">
        <v>8</v>
      </c>
      <c r="CL263" s="27" t="s">
        <v>7</v>
      </c>
      <c r="CM263" s="27" t="s">
        <v>8</v>
      </c>
      <c r="CN263" s="27" t="s">
        <v>7</v>
      </c>
      <c r="CO263" s="27" t="s">
        <v>8</v>
      </c>
      <c r="CP263" s="27" t="s">
        <v>7</v>
      </c>
      <c r="CQ263" s="27" t="s">
        <v>8</v>
      </c>
      <c r="CR263" s="27" t="s">
        <v>7</v>
      </c>
      <c r="CU263" s="27" t="s">
        <v>8</v>
      </c>
      <c r="CW263" s="27" t="s">
        <v>8</v>
      </c>
      <c r="CX263" s="27" t="s">
        <v>7</v>
      </c>
      <c r="CY263" s="27" t="s">
        <v>8</v>
      </c>
      <c r="DG263" s="34"/>
    </row>
    <row r="264" spans="1:119" x14ac:dyDescent="0.25">
      <c r="A264" s="30">
        <v>0.3100679102826473</v>
      </c>
      <c r="B264"/>
      <c r="C264"/>
      <c r="D264"/>
      <c r="E264"/>
      <c r="F264" s="27" t="s">
        <v>7</v>
      </c>
      <c r="AS264" s="27" t="s">
        <v>8</v>
      </c>
      <c r="AV264" s="27" t="s">
        <v>7</v>
      </c>
      <c r="AW264" s="27" t="s">
        <v>8</v>
      </c>
      <c r="CJ264" s="27" t="s">
        <v>7</v>
      </c>
      <c r="CK264" s="27" t="s">
        <v>8</v>
      </c>
      <c r="CL264" s="27" t="s">
        <v>7</v>
      </c>
      <c r="CM264" s="27" t="s">
        <v>8</v>
      </c>
      <c r="CN264" s="27" t="s">
        <v>7</v>
      </c>
      <c r="CP264" s="27" t="s">
        <v>7</v>
      </c>
      <c r="CQ264" s="27" t="s">
        <v>8</v>
      </c>
      <c r="CR264" s="27" t="s">
        <v>7</v>
      </c>
      <c r="CU264" s="27" t="s">
        <v>8</v>
      </c>
      <c r="CV264" s="27" t="s">
        <v>7</v>
      </c>
      <c r="CW264" s="27" t="s">
        <v>8</v>
      </c>
      <c r="CX264" s="27" t="s">
        <v>7</v>
      </c>
      <c r="DF264" s="34"/>
    </row>
    <row r="265" spans="1:119" x14ac:dyDescent="0.25">
      <c r="A265" s="30">
        <v>0.2953027716977592</v>
      </c>
      <c r="B265"/>
      <c r="C265"/>
      <c r="D265"/>
      <c r="E265"/>
      <c r="F265" s="27" t="s">
        <v>7</v>
      </c>
      <c r="AA265" s="27" t="s">
        <v>8</v>
      </c>
      <c r="AC265" s="27" t="s">
        <v>8</v>
      </c>
      <c r="AS265" s="27" t="s">
        <v>8</v>
      </c>
      <c r="AV265" s="27" t="s">
        <v>7</v>
      </c>
      <c r="AW265" s="27" t="s">
        <v>8</v>
      </c>
      <c r="CJ265" s="27" t="s">
        <v>7</v>
      </c>
      <c r="CK265" s="27" t="s">
        <v>8</v>
      </c>
      <c r="CL265" s="27" t="s">
        <v>7</v>
      </c>
      <c r="CM265" s="27" t="s">
        <v>8</v>
      </c>
      <c r="CP265" s="27" t="s">
        <v>7</v>
      </c>
      <c r="CR265" s="27" t="s">
        <v>7</v>
      </c>
      <c r="CU265" s="27" t="s">
        <v>8</v>
      </c>
      <c r="CV265" s="27" t="s">
        <v>7</v>
      </c>
      <c r="CW265" s="27" t="s">
        <v>8</v>
      </c>
      <c r="DE265" s="34"/>
    </row>
    <row r="266" spans="1:119" x14ac:dyDescent="0.25">
      <c r="A266" s="30">
        <v>0.28124073495024676</v>
      </c>
      <c r="B266"/>
      <c r="C266"/>
      <c r="D266"/>
      <c r="E266"/>
      <c r="F266" s="27" t="s">
        <v>7</v>
      </c>
      <c r="AA266" s="27" t="s">
        <v>8</v>
      </c>
      <c r="AB266" s="27" t="s">
        <v>7</v>
      </c>
      <c r="AC266" s="27" t="s">
        <v>8</v>
      </c>
      <c r="AD266" s="27" t="s">
        <v>7</v>
      </c>
      <c r="AE266" s="27" t="s">
        <v>8</v>
      </c>
      <c r="AS266" s="27" t="s">
        <v>8</v>
      </c>
      <c r="AV266" s="27" t="s">
        <v>7</v>
      </c>
      <c r="AW266" s="27" t="s">
        <v>8</v>
      </c>
      <c r="CJ266" s="27" t="s">
        <v>7</v>
      </c>
      <c r="CL266" s="27" t="s">
        <v>7</v>
      </c>
      <c r="CM266" s="27" t="s">
        <v>8</v>
      </c>
      <c r="CR266" s="32" t="s">
        <v>7</v>
      </c>
      <c r="CU266" s="27" t="s">
        <v>8</v>
      </c>
      <c r="CV266" s="27" t="s">
        <v>7</v>
      </c>
      <c r="CW266" s="27" t="s">
        <v>8</v>
      </c>
      <c r="DD266" s="34"/>
    </row>
    <row r="267" spans="1:119" x14ac:dyDescent="0.25">
      <c r="A267" s="30">
        <v>0.26784831900023492</v>
      </c>
      <c r="B267"/>
      <c r="C267"/>
      <c r="D267"/>
      <c r="E267"/>
      <c r="F267" s="27" t="s">
        <v>7</v>
      </c>
      <c r="AA267" s="27" t="s">
        <v>8</v>
      </c>
      <c r="AB267" s="27" t="s">
        <v>7</v>
      </c>
      <c r="AC267" s="27" t="s">
        <v>8</v>
      </c>
      <c r="AD267" s="27" t="s">
        <v>7</v>
      </c>
      <c r="AE267" s="27" t="s">
        <v>8</v>
      </c>
      <c r="AF267" s="27" t="s">
        <v>7</v>
      </c>
      <c r="AS267" s="27" t="s">
        <v>8</v>
      </c>
      <c r="AV267" s="27" t="s">
        <v>7</v>
      </c>
      <c r="CL267" s="27" t="s">
        <v>7</v>
      </c>
      <c r="CM267" s="27" t="s">
        <v>8</v>
      </c>
      <c r="CR267" s="27" t="s">
        <v>7</v>
      </c>
      <c r="CU267" s="27" t="s">
        <v>8</v>
      </c>
      <c r="CV267" s="27" t="s">
        <v>7</v>
      </c>
      <c r="CW267" s="27" t="s">
        <v>8</v>
      </c>
      <c r="DC267" s="34"/>
    </row>
    <row r="268" spans="1:119" x14ac:dyDescent="0.25">
      <c r="A268" s="30">
        <v>0.25509363714308075</v>
      </c>
      <c r="B268"/>
      <c r="C268"/>
      <c r="D268"/>
      <c r="E268"/>
      <c r="F268" s="27" t="s">
        <v>7</v>
      </c>
      <c r="Y268" s="27" t="s">
        <v>8</v>
      </c>
      <c r="AA268" s="27" t="s">
        <v>8</v>
      </c>
      <c r="AB268" s="27" t="s">
        <v>7</v>
      </c>
      <c r="AC268" s="27" t="s">
        <v>8</v>
      </c>
      <c r="AD268" s="27" t="s">
        <v>7</v>
      </c>
      <c r="AE268" s="27" t="s">
        <v>8</v>
      </c>
      <c r="AF268" s="27" t="s">
        <v>7</v>
      </c>
      <c r="AS268" s="27" t="s">
        <v>8</v>
      </c>
      <c r="CL268" s="27" t="s">
        <v>7</v>
      </c>
      <c r="CM268" s="27" t="s">
        <v>8</v>
      </c>
      <c r="CR268" s="27" t="s">
        <v>7</v>
      </c>
      <c r="CU268" s="27" t="s">
        <v>8</v>
      </c>
      <c r="CV268" s="27" t="s">
        <v>7</v>
      </c>
      <c r="CW268" s="27" t="s">
        <v>8</v>
      </c>
      <c r="DB268" s="34"/>
    </row>
    <row r="269" spans="1:119" x14ac:dyDescent="0.25">
      <c r="A269" s="30">
        <v>0.24294632108864825</v>
      </c>
      <c r="B269"/>
      <c r="C269"/>
      <c r="D269"/>
      <c r="E269"/>
      <c r="F269" s="27" t="s">
        <v>7</v>
      </c>
      <c r="W269" s="27" t="s">
        <v>8</v>
      </c>
      <c r="Y269" s="27" t="s">
        <v>8</v>
      </c>
      <c r="Z269" s="27" t="s">
        <v>7</v>
      </c>
      <c r="AA269" s="27" t="s">
        <v>8</v>
      </c>
      <c r="AB269" s="27" t="s">
        <v>7</v>
      </c>
      <c r="AC269" s="27" t="s">
        <v>8</v>
      </c>
      <c r="AD269" s="27" t="s">
        <v>7</v>
      </c>
      <c r="AE269" s="27" t="s">
        <v>8</v>
      </c>
      <c r="AF269" s="27" t="s">
        <v>7</v>
      </c>
      <c r="AK269" s="27" t="s">
        <v>8</v>
      </c>
      <c r="AS269" s="27" t="s">
        <v>8</v>
      </c>
      <c r="CL269" s="27" t="s">
        <v>7</v>
      </c>
      <c r="CM269" s="27" t="s">
        <v>8</v>
      </c>
      <c r="CR269" s="27" t="s">
        <v>7</v>
      </c>
      <c r="CU269" s="31" t="s">
        <v>8</v>
      </c>
      <c r="CV269" s="27" t="s">
        <v>7</v>
      </c>
      <c r="CW269" s="27" t="s">
        <v>8</v>
      </c>
      <c r="DA269" s="33"/>
    </row>
    <row r="270" spans="1:119" x14ac:dyDescent="0.25">
      <c r="A270" s="30">
        <v>0.23137744865585538</v>
      </c>
      <c r="B270"/>
      <c r="C270"/>
      <c r="D270"/>
      <c r="E270"/>
      <c r="F270" s="27" t="s">
        <v>7</v>
      </c>
      <c r="W270" s="27" t="s">
        <v>8</v>
      </c>
      <c r="X270" s="27" t="s">
        <v>7</v>
      </c>
      <c r="Y270" s="27" t="s">
        <v>8</v>
      </c>
      <c r="Z270" s="27" t="s">
        <v>7</v>
      </c>
      <c r="AA270" s="27" t="s">
        <v>8</v>
      </c>
      <c r="AB270" s="27" t="s">
        <v>7</v>
      </c>
      <c r="AD270" s="27" t="s">
        <v>7</v>
      </c>
      <c r="AE270" s="27" t="s">
        <v>8</v>
      </c>
      <c r="AF270" s="27" t="s">
        <v>7</v>
      </c>
      <c r="AK270" s="27" t="s">
        <v>8</v>
      </c>
      <c r="AL270" s="27" t="s">
        <v>7</v>
      </c>
      <c r="AM270" s="27" t="s">
        <v>8</v>
      </c>
      <c r="AS270" s="27" t="s">
        <v>8</v>
      </c>
      <c r="CL270" s="27" t="s">
        <v>7</v>
      </c>
      <c r="CR270" s="27" t="s">
        <v>7</v>
      </c>
      <c r="CS270" s="27" t="s">
        <v>8</v>
      </c>
      <c r="CU270" s="27" t="s">
        <v>8</v>
      </c>
      <c r="CV270" s="27" t="s">
        <v>7</v>
      </c>
      <c r="CW270" s="27" t="s">
        <v>8</v>
      </c>
      <c r="CZ270" s="33"/>
    </row>
    <row r="271" spans="1:119" x14ac:dyDescent="0.25">
      <c r="A271" s="30">
        <v>0.22035947491033836</v>
      </c>
      <c r="B271"/>
      <c r="C271"/>
      <c r="D271"/>
      <c r="E271"/>
      <c r="F271" s="27" t="s">
        <v>7</v>
      </c>
      <c r="Q271" s="27" t="s">
        <v>8</v>
      </c>
      <c r="U271" s="27" t="s">
        <v>8</v>
      </c>
      <c r="W271" s="27" t="s">
        <v>8</v>
      </c>
      <c r="X271" s="27" t="s">
        <v>7</v>
      </c>
      <c r="Y271" s="27" t="s">
        <v>8</v>
      </c>
      <c r="Z271" s="27" t="s">
        <v>7</v>
      </c>
      <c r="AA271" s="27" t="s">
        <v>8</v>
      </c>
      <c r="AD271" s="27" t="s">
        <v>7</v>
      </c>
      <c r="AF271" s="27" t="s">
        <v>7</v>
      </c>
      <c r="AK271" s="27" t="s">
        <v>8</v>
      </c>
      <c r="AL271" s="27" t="s">
        <v>7</v>
      </c>
      <c r="AM271" s="27" t="s">
        <v>8</v>
      </c>
      <c r="AN271" s="27" t="s">
        <v>7</v>
      </c>
      <c r="AS271" s="27" t="s">
        <v>8</v>
      </c>
      <c r="CR271" s="27" t="s">
        <v>7</v>
      </c>
      <c r="CS271" s="27" t="s">
        <v>8</v>
      </c>
      <c r="CT271" s="27" t="s">
        <v>7</v>
      </c>
      <c r="CU271" s="27" t="s">
        <v>8</v>
      </c>
      <c r="CV271" s="27" t="s">
        <v>7</v>
      </c>
      <c r="CW271" s="27" t="s">
        <v>8</v>
      </c>
      <c r="CY271" s="33"/>
    </row>
    <row r="272" spans="1:119" x14ac:dyDescent="0.25">
      <c r="A272" s="30">
        <v>0.20986616658127455</v>
      </c>
      <c r="B272"/>
      <c r="C272"/>
      <c r="D272"/>
      <c r="E272"/>
      <c r="F272" s="27" t="s">
        <v>7</v>
      </c>
      <c r="Q272" s="27" t="s">
        <v>8</v>
      </c>
      <c r="R272" s="27" t="s">
        <v>7</v>
      </c>
      <c r="U272" s="27" t="s">
        <v>8</v>
      </c>
      <c r="V272" s="27" t="s">
        <v>7</v>
      </c>
      <c r="W272" s="27" t="s">
        <v>8</v>
      </c>
      <c r="X272" s="27" t="s">
        <v>7</v>
      </c>
      <c r="Y272" s="27" t="s">
        <v>8</v>
      </c>
      <c r="Z272" s="27" t="s">
        <v>7</v>
      </c>
      <c r="AA272" s="27" t="s">
        <v>8</v>
      </c>
      <c r="AF272" s="27" t="s">
        <v>7</v>
      </c>
      <c r="AG272" s="27" t="s">
        <v>8</v>
      </c>
      <c r="AK272" s="27" t="s">
        <v>8</v>
      </c>
      <c r="AL272" s="27" t="s">
        <v>7</v>
      </c>
      <c r="AM272" s="27" t="s">
        <v>8</v>
      </c>
      <c r="AN272" s="27" t="s">
        <v>7</v>
      </c>
      <c r="AS272" s="27" t="s">
        <v>8</v>
      </c>
      <c r="CR272" s="27" t="s">
        <v>7</v>
      </c>
      <c r="CS272" s="27" t="s">
        <v>8</v>
      </c>
      <c r="CT272" s="27" t="s">
        <v>7</v>
      </c>
      <c r="CU272" s="27" t="s">
        <v>8</v>
      </c>
      <c r="CV272" s="27" t="s">
        <v>7</v>
      </c>
      <c r="CW272" s="27" t="s">
        <v>8</v>
      </c>
      <c r="CX272" s="33"/>
    </row>
    <row r="273" spans="1:101" x14ac:dyDescent="0.25">
      <c r="A273" s="30">
        <v>0.19987253960121379</v>
      </c>
      <c r="B273"/>
      <c r="C273"/>
      <c r="D273"/>
      <c r="E273"/>
      <c r="F273" s="27" t="s">
        <v>7</v>
      </c>
      <c r="Q273" s="27" t="s">
        <v>8</v>
      </c>
      <c r="R273" s="27" t="s">
        <v>7</v>
      </c>
      <c r="S273" s="27" t="s">
        <v>8</v>
      </c>
      <c r="U273" s="27" t="s">
        <v>8</v>
      </c>
      <c r="V273" s="27" t="s">
        <v>7</v>
      </c>
      <c r="W273" s="27" t="s">
        <v>8</v>
      </c>
      <c r="X273" s="27" t="s">
        <v>7</v>
      </c>
      <c r="Z273" s="27" t="s">
        <v>7</v>
      </c>
      <c r="AA273" s="27" t="s">
        <v>8</v>
      </c>
      <c r="AF273" s="27" t="s">
        <v>7</v>
      </c>
      <c r="AG273" s="27" t="s">
        <v>8</v>
      </c>
      <c r="AH273" s="27" t="s">
        <v>7</v>
      </c>
      <c r="AK273" s="27" t="s">
        <v>8</v>
      </c>
      <c r="AL273" s="27" t="s">
        <v>7</v>
      </c>
      <c r="AM273" s="27" t="s">
        <v>8</v>
      </c>
      <c r="AN273" s="27" t="s">
        <v>7</v>
      </c>
      <c r="AO273" s="27" t="s">
        <v>8</v>
      </c>
      <c r="AQ273" s="27" t="s">
        <v>8</v>
      </c>
      <c r="AS273" s="27" t="s">
        <v>8</v>
      </c>
      <c r="CR273" s="27" t="s">
        <v>7</v>
      </c>
      <c r="CS273" s="27" t="s">
        <v>8</v>
      </c>
      <c r="CT273" s="27" t="s">
        <v>7</v>
      </c>
      <c r="CV273" s="18" t="s">
        <v>7</v>
      </c>
      <c r="CW273" s="33" t="s">
        <v>8</v>
      </c>
    </row>
    <row r="274" spans="1:101" x14ac:dyDescent="0.25">
      <c r="A274" s="30">
        <v>0.19035479962020352</v>
      </c>
      <c r="B274"/>
      <c r="C274"/>
      <c r="D274"/>
      <c r="E274"/>
      <c r="F274" s="27" t="s">
        <v>7</v>
      </c>
      <c r="Q274" s="27" t="s">
        <v>8</v>
      </c>
      <c r="R274" s="27" t="s">
        <v>7</v>
      </c>
      <c r="S274" s="27" t="s">
        <v>8</v>
      </c>
      <c r="T274" s="27" t="s">
        <v>7</v>
      </c>
      <c r="U274" s="27" t="s">
        <v>8</v>
      </c>
      <c r="V274" s="27" t="s">
        <v>7</v>
      </c>
      <c r="W274" s="27" t="s">
        <v>8</v>
      </c>
      <c r="Z274" s="27" t="s">
        <v>7</v>
      </c>
      <c r="AA274" s="27" t="s">
        <v>8</v>
      </c>
      <c r="AF274" s="27" t="s">
        <v>7</v>
      </c>
      <c r="AG274" s="27" t="s">
        <v>8</v>
      </c>
      <c r="AH274" s="27" t="s">
        <v>7</v>
      </c>
      <c r="AK274" s="27" t="s">
        <v>8</v>
      </c>
      <c r="AL274" s="27" t="s">
        <v>7</v>
      </c>
      <c r="AM274" s="27" t="s">
        <v>8</v>
      </c>
      <c r="AN274" s="27" t="s">
        <v>7</v>
      </c>
      <c r="AO274" s="27" t="s">
        <v>8</v>
      </c>
      <c r="AP274" s="27" t="s">
        <v>7</v>
      </c>
      <c r="AQ274" s="27" t="s">
        <v>8</v>
      </c>
      <c r="AR274" s="27" t="s">
        <v>7</v>
      </c>
      <c r="AS274" s="27" t="s">
        <v>8</v>
      </c>
      <c r="CR274" s="27" t="s">
        <v>7</v>
      </c>
      <c r="CS274" s="27" t="s">
        <v>8</v>
      </c>
      <c r="CV274" s="32" t="s">
        <v>7</v>
      </c>
    </row>
    <row r="275" spans="1:101" x14ac:dyDescent="0.25">
      <c r="A275" s="30">
        <v>0.18129028535257471</v>
      </c>
      <c r="B275"/>
      <c r="C275"/>
      <c r="D275"/>
      <c r="E275"/>
      <c r="F275" s="27" t="s">
        <v>7</v>
      </c>
      <c r="Q275" s="27" t="s">
        <v>8</v>
      </c>
      <c r="R275" s="27" t="s">
        <v>7</v>
      </c>
      <c r="S275" s="27" t="s">
        <v>8</v>
      </c>
      <c r="T275" s="27" t="s">
        <v>7</v>
      </c>
      <c r="U275" s="27" t="s">
        <v>8</v>
      </c>
      <c r="V275" s="27" t="s">
        <v>7</v>
      </c>
      <c r="W275" s="27" t="s">
        <v>8</v>
      </c>
      <c r="Z275" s="27" t="s">
        <v>7</v>
      </c>
      <c r="AA275" s="27" t="s">
        <v>8</v>
      </c>
      <c r="AF275" s="27" t="s">
        <v>7</v>
      </c>
      <c r="AG275" s="27" t="s">
        <v>8</v>
      </c>
      <c r="AH275" s="27" t="s">
        <v>7</v>
      </c>
      <c r="AK275" s="27" t="s">
        <v>8</v>
      </c>
      <c r="AL275" s="27" t="s">
        <v>7</v>
      </c>
      <c r="AM275" s="27" t="s">
        <v>8</v>
      </c>
      <c r="AN275" s="27" t="s">
        <v>7</v>
      </c>
      <c r="AO275" s="27" t="s">
        <v>8</v>
      </c>
      <c r="AP275" s="27" t="s">
        <v>7</v>
      </c>
      <c r="AQ275" s="27" t="s">
        <v>8</v>
      </c>
      <c r="AR275" s="27" t="s">
        <v>7</v>
      </c>
      <c r="AS275" s="27" t="s">
        <v>8</v>
      </c>
      <c r="CR275" s="27" t="s">
        <v>7</v>
      </c>
    </row>
    <row r="276" spans="1:101" x14ac:dyDescent="0.25">
      <c r="A276" s="30">
        <v>0.17265741462149967</v>
      </c>
      <c r="B276"/>
      <c r="C276"/>
      <c r="D276"/>
      <c r="E276"/>
      <c r="F276" s="27" t="s">
        <v>7</v>
      </c>
      <c r="Q276" s="27" t="s">
        <v>8</v>
      </c>
      <c r="R276" s="27" t="s">
        <v>7</v>
      </c>
      <c r="T276" s="27" t="s">
        <v>7</v>
      </c>
      <c r="U276" s="27" t="s">
        <v>8</v>
      </c>
      <c r="V276" s="27" t="s">
        <v>7</v>
      </c>
      <c r="W276" s="27" t="s">
        <v>8</v>
      </c>
      <c r="Z276" s="27" t="s">
        <v>7</v>
      </c>
      <c r="AA276" s="27" t="s">
        <v>8</v>
      </c>
      <c r="AF276" s="27" t="s">
        <v>7</v>
      </c>
      <c r="AG276" s="27" t="s">
        <v>8</v>
      </c>
      <c r="AH276" s="27" t="s">
        <v>7</v>
      </c>
      <c r="AK276" s="27" t="s">
        <v>8</v>
      </c>
      <c r="AL276" s="27" t="s">
        <v>7</v>
      </c>
      <c r="AN276" s="27" t="s">
        <v>7</v>
      </c>
      <c r="AP276" s="27" t="s">
        <v>7</v>
      </c>
      <c r="AQ276" s="27" t="s">
        <v>8</v>
      </c>
      <c r="AR276" s="27" t="s">
        <v>7</v>
      </c>
    </row>
    <row r="277" spans="1:101" x14ac:dyDescent="0.25">
      <c r="A277" s="30">
        <v>0.16443563297285677</v>
      </c>
      <c r="B277"/>
      <c r="C277"/>
      <c r="D277"/>
      <c r="E277"/>
      <c r="F277" s="27" t="s">
        <v>7</v>
      </c>
      <c r="I277" s="27" t="s">
        <v>8</v>
      </c>
      <c r="Q277" s="27" t="s">
        <v>8</v>
      </c>
      <c r="T277" s="27" t="s">
        <v>7</v>
      </c>
      <c r="V277" s="27" t="s">
        <v>7</v>
      </c>
      <c r="Z277" s="27" t="s">
        <v>7</v>
      </c>
      <c r="AA277" s="27" t="s">
        <v>8</v>
      </c>
      <c r="AF277" s="27" t="s">
        <v>7</v>
      </c>
      <c r="AG277" s="27" t="s">
        <v>8</v>
      </c>
      <c r="AH277" s="27" t="s">
        <v>7</v>
      </c>
      <c r="AK277" s="27" t="s">
        <v>8</v>
      </c>
      <c r="AP277" s="27" t="s">
        <v>7</v>
      </c>
      <c r="AQ277" s="27" t="s">
        <v>8</v>
      </c>
    </row>
    <row r="278" spans="1:101" x14ac:dyDescent="0.25">
      <c r="A278" s="30">
        <v>0.15660536473605399</v>
      </c>
      <c r="B278"/>
      <c r="C278"/>
      <c r="D278"/>
      <c r="E278"/>
      <c r="F278" s="27" t="s">
        <v>7</v>
      </c>
      <c r="I278" s="27" t="s">
        <v>8</v>
      </c>
      <c r="J278" s="27" t="s">
        <v>7</v>
      </c>
      <c r="Q278" s="27" t="s">
        <v>8</v>
      </c>
      <c r="Z278" s="27" t="s">
        <v>7</v>
      </c>
      <c r="AF278" s="27" t="s">
        <v>7</v>
      </c>
      <c r="AH278" s="27" t="s">
        <v>7</v>
      </c>
      <c r="AK278" s="27" t="s">
        <v>8</v>
      </c>
      <c r="AP278" s="27" t="s">
        <v>7</v>
      </c>
      <c r="AQ278" s="27" t="s">
        <v>8</v>
      </c>
    </row>
    <row r="279" spans="1:101" x14ac:dyDescent="0.25">
      <c r="A279" s="30">
        <v>0.14914796641528946</v>
      </c>
      <c r="B279"/>
      <c r="C279"/>
      <c r="D279"/>
      <c r="E279"/>
      <c r="F279" s="27" t="s">
        <v>7</v>
      </c>
      <c r="I279" s="27" t="s">
        <v>8</v>
      </c>
      <c r="J279" s="27" t="s">
        <v>7</v>
      </c>
      <c r="O279" s="27" t="s">
        <v>8</v>
      </c>
      <c r="Q279" s="27" t="s">
        <v>8</v>
      </c>
      <c r="AH279" s="27" t="s">
        <v>7</v>
      </c>
      <c r="AI279" s="27" t="s">
        <v>8</v>
      </c>
      <c r="AK279" s="27" t="s">
        <v>8</v>
      </c>
      <c r="AP279" s="27" t="s">
        <v>7</v>
      </c>
      <c r="AQ279" s="27" t="s">
        <v>8</v>
      </c>
    </row>
    <row r="280" spans="1:101" x14ac:dyDescent="0.25">
      <c r="A280" s="30">
        <v>0.14204568230027562</v>
      </c>
      <c r="B280"/>
      <c r="C280"/>
      <c r="D280"/>
      <c r="E280"/>
      <c r="F280" s="27" t="s">
        <v>7</v>
      </c>
      <c r="I280" s="27" t="s">
        <v>8</v>
      </c>
      <c r="J280" s="27" t="s">
        <v>7</v>
      </c>
      <c r="K280" s="27" t="s">
        <v>8</v>
      </c>
      <c r="O280" s="27" t="s">
        <v>8</v>
      </c>
      <c r="P280" s="27" t="s">
        <v>7</v>
      </c>
      <c r="Q280" s="27" t="s">
        <v>8</v>
      </c>
      <c r="AH280" s="27" t="s">
        <v>7</v>
      </c>
      <c r="AI280" s="27" t="s">
        <v>8</v>
      </c>
      <c r="AJ280" s="27" t="s">
        <v>7</v>
      </c>
      <c r="AK280" s="27" t="s">
        <v>8</v>
      </c>
      <c r="AP280" s="27" t="s">
        <v>7</v>
      </c>
      <c r="AQ280" s="27" t="s">
        <v>8</v>
      </c>
    </row>
    <row r="281" spans="1:101" x14ac:dyDescent="0.25">
      <c r="A281" s="30">
        <v>0.13528160219073862</v>
      </c>
      <c r="B281"/>
      <c r="C281"/>
      <c r="D281"/>
      <c r="E281"/>
      <c r="F281" s="27" t="s">
        <v>7</v>
      </c>
      <c r="I281" s="27" t="s">
        <v>8</v>
      </c>
      <c r="J281" s="27" t="s">
        <v>7</v>
      </c>
      <c r="K281" s="27" t="s">
        <v>8</v>
      </c>
      <c r="L281" s="27" t="s">
        <v>7</v>
      </c>
      <c r="O281" s="27" t="s">
        <v>8</v>
      </c>
      <c r="P281" s="27" t="s">
        <v>7</v>
      </c>
      <c r="Q281" s="27" t="s">
        <v>8</v>
      </c>
      <c r="AH281" s="27" t="s">
        <v>7</v>
      </c>
      <c r="AI281" s="27" t="s">
        <v>8</v>
      </c>
      <c r="AJ281" s="27" t="s">
        <v>7</v>
      </c>
      <c r="AK281" s="27" t="s">
        <v>8</v>
      </c>
      <c r="AP281" s="27" t="s">
        <v>7</v>
      </c>
    </row>
    <row r="282" spans="1:101" x14ac:dyDescent="0.25">
      <c r="A282" s="30">
        <v>0.12883962113403674</v>
      </c>
      <c r="B282"/>
      <c r="C282"/>
      <c r="D282"/>
      <c r="E282"/>
      <c r="F282" s="27" t="s">
        <v>7</v>
      </c>
      <c r="I282" s="27" t="s">
        <v>8</v>
      </c>
      <c r="J282" s="27" t="s">
        <v>7</v>
      </c>
      <c r="K282" s="27" t="s">
        <v>8</v>
      </c>
      <c r="L282" s="27" t="s">
        <v>7</v>
      </c>
      <c r="O282" s="27" t="s">
        <v>8</v>
      </c>
      <c r="P282" s="27" t="s">
        <v>7</v>
      </c>
      <c r="AH282" s="27" t="s">
        <v>7</v>
      </c>
      <c r="AI282" s="27" t="s">
        <v>8</v>
      </c>
      <c r="AJ282" s="27" t="s">
        <v>7</v>
      </c>
      <c r="AK282" s="27" t="s">
        <v>8</v>
      </c>
    </row>
    <row r="283" spans="1:101" x14ac:dyDescent="0.25">
      <c r="A283" s="30">
        <v>0.12270440108003494</v>
      </c>
      <c r="B283"/>
      <c r="C283"/>
      <c r="D283"/>
      <c r="E283"/>
      <c r="F283" s="27" t="s">
        <v>7</v>
      </c>
      <c r="I283" s="27" t="s">
        <v>8</v>
      </c>
      <c r="J283" s="27" t="s">
        <v>7</v>
      </c>
      <c r="K283" s="27" t="s">
        <v>8</v>
      </c>
      <c r="L283" s="27" t="s">
        <v>7</v>
      </c>
      <c r="O283" s="27" t="s">
        <v>8</v>
      </c>
      <c r="AH283" s="27" t="s">
        <v>7</v>
      </c>
      <c r="AJ283" s="27" t="s">
        <v>7</v>
      </c>
      <c r="AK283" s="27" t="s">
        <v>8</v>
      </c>
    </row>
    <row r="284" spans="1:101" x14ac:dyDescent="0.25">
      <c r="A284" s="30">
        <v>0.11686133436193799</v>
      </c>
      <c r="B284"/>
      <c r="C284"/>
      <c r="D284"/>
      <c r="E284"/>
      <c r="F284" s="27" t="s">
        <v>7</v>
      </c>
      <c r="I284" s="27" t="s">
        <v>8</v>
      </c>
      <c r="J284" s="27" t="s">
        <v>7</v>
      </c>
      <c r="K284" s="27" t="s">
        <v>8</v>
      </c>
      <c r="L284" s="27" t="s">
        <v>7</v>
      </c>
      <c r="M284" s="27" t="s">
        <v>8</v>
      </c>
      <c r="O284" s="27" t="s">
        <v>8</v>
      </c>
      <c r="AJ284" s="27" t="s">
        <v>7</v>
      </c>
    </row>
    <row r="285" spans="1:101" x14ac:dyDescent="0.25">
      <c r="A285" s="30">
        <v>0.11129650891613138</v>
      </c>
      <c r="B285"/>
      <c r="C285"/>
      <c r="D285"/>
      <c r="E285"/>
      <c r="F285" s="27" t="s">
        <v>7</v>
      </c>
      <c r="G285" s="27" t="s">
        <v>8</v>
      </c>
      <c r="I285" s="27" t="s">
        <v>8</v>
      </c>
      <c r="J285" s="27" t="s">
        <v>7</v>
      </c>
      <c r="L285" s="27" t="s">
        <v>7</v>
      </c>
      <c r="M285" s="27" t="s">
        <v>8</v>
      </c>
      <c r="N285" s="27" t="s">
        <v>7</v>
      </c>
      <c r="O285" s="27" t="s">
        <v>8</v>
      </c>
    </row>
    <row r="286" spans="1:101" x14ac:dyDescent="0.25">
      <c r="A286" s="30">
        <v>0.10599667515822032</v>
      </c>
      <c r="B286"/>
      <c r="C286"/>
      <c r="D286"/>
      <c r="E286"/>
      <c r="F286" s="27" t="s">
        <v>7</v>
      </c>
      <c r="G286" s="27" t="s">
        <v>8</v>
      </c>
      <c r="H286" s="27" t="s">
        <v>7</v>
      </c>
      <c r="I286" s="27" t="s">
        <v>8</v>
      </c>
      <c r="L286" s="27" t="s">
        <v>7</v>
      </c>
      <c r="M286" s="27" t="s">
        <v>8</v>
      </c>
      <c r="N286" s="27" t="s">
        <v>7</v>
      </c>
      <c r="O286" s="27" t="s">
        <v>8</v>
      </c>
    </row>
    <row r="287" spans="1:101" x14ac:dyDescent="0.25">
      <c r="A287" s="30">
        <v>0.10094921443640027</v>
      </c>
      <c r="B287"/>
      <c r="C287"/>
      <c r="D287"/>
      <c r="E287"/>
      <c r="F287" s="27" t="s">
        <v>7</v>
      </c>
      <c r="G287" s="27" t="s">
        <v>8</v>
      </c>
      <c r="H287" s="27" t="s">
        <v>7</v>
      </c>
      <c r="I287" s="27" t="s">
        <v>8</v>
      </c>
      <c r="L287" s="27" t="s">
        <v>7</v>
      </c>
      <c r="M287" s="27" t="s">
        <v>8</v>
      </c>
      <c r="N287" s="27" t="s">
        <v>7</v>
      </c>
    </row>
    <row r="288" spans="1:101" x14ac:dyDescent="0.25">
      <c r="A288" s="30">
        <v>9.6142108987047836E-2</v>
      </c>
      <c r="B288"/>
      <c r="C288"/>
      <c r="D288"/>
      <c r="E288"/>
      <c r="F288" s="27" t="s">
        <v>7</v>
      </c>
      <c r="G288" s="27" t="s">
        <v>8</v>
      </c>
      <c r="H288" s="27" t="s">
        <v>7</v>
      </c>
      <c r="I288" s="27" t="s">
        <v>8</v>
      </c>
      <c r="L288" s="27" t="s">
        <v>7</v>
      </c>
      <c r="M288" s="27" t="s">
        <v>8</v>
      </c>
    </row>
    <row r="289" spans="1:12" x14ac:dyDescent="0.25">
      <c r="A289" s="30">
        <v>9.1563913320997906E-2</v>
      </c>
      <c r="B289"/>
      <c r="C289"/>
      <c r="D289"/>
      <c r="E289"/>
      <c r="F289" s="27" t="s">
        <v>7</v>
      </c>
      <c r="G289" s="27" t="s">
        <v>8</v>
      </c>
      <c r="H289" s="27" t="s">
        <v>7</v>
      </c>
      <c r="L289" s="27" t="s">
        <v>7</v>
      </c>
    </row>
    <row r="290" spans="1:12" x14ac:dyDescent="0.25">
      <c r="A290" s="30">
        <v>8.7203726972378923E-2</v>
      </c>
      <c r="B290"/>
      <c r="C290"/>
      <c r="D290"/>
      <c r="E290"/>
      <c r="F290" s="27" t="s">
        <v>7</v>
      </c>
      <c r="G290" s="27" t="s">
        <v>8</v>
      </c>
    </row>
    <row r="291" spans="1:12" x14ac:dyDescent="0.25">
      <c r="A291" s="30">
        <v>8.3051168545122747E-2</v>
      </c>
      <c r="B291"/>
      <c r="C291"/>
      <c r="D291"/>
      <c r="E291"/>
      <c r="F291" s="27" t="s">
        <v>7</v>
      </c>
      <c r="G291" s="27" t="s">
        <v>8</v>
      </c>
    </row>
    <row r="292" spans="1:12" x14ac:dyDescent="0.25">
      <c r="A292" s="30">
        <v>7.9096350995354961E-2</v>
      </c>
      <c r="B292"/>
      <c r="C292"/>
      <c r="D292"/>
      <c r="E292"/>
      <c r="F292" s="27" t="s">
        <v>7</v>
      </c>
      <c r="G292" s="27" t="s">
        <v>8</v>
      </c>
    </row>
    <row r="293" spans="1:12" x14ac:dyDescent="0.25">
      <c r="A293" s="30">
        <v>7.5329858090814217E-2</v>
      </c>
      <c r="B293"/>
      <c r="C293"/>
      <c r="D293"/>
      <c r="E293"/>
      <c r="F293" s="27" t="s">
        <v>7</v>
      </c>
      <c r="G293" s="27" t="s">
        <v>8</v>
      </c>
    </row>
    <row r="294" spans="1:12" x14ac:dyDescent="0.25">
      <c r="A294" s="30">
        <v>7.1742721991251604E-2</v>
      </c>
      <c r="B294"/>
      <c r="C294"/>
      <c r="D294"/>
      <c r="E294"/>
      <c r="F294" s="27" t="s">
        <v>7</v>
      </c>
    </row>
    <row r="295" spans="1:12" x14ac:dyDescent="0.25">
      <c r="A295" s="30">
        <v>6.8326401896430078E-2</v>
      </c>
      <c r="B295"/>
      <c r="C295"/>
      <c r="D295"/>
      <c r="E295"/>
    </row>
    <row r="296" spans="1:12" x14ac:dyDescent="0.25">
      <c r="A296" s="30">
        <v>6.5072763710885759E-2</v>
      </c>
      <c r="B296"/>
      <c r="C296"/>
      <c r="D296"/>
      <c r="E296"/>
    </row>
    <row r="297" spans="1:12" x14ac:dyDescent="0.25">
      <c r="A297" s="30">
        <v>6.197406067703403E-2</v>
      </c>
      <c r="B297"/>
      <c r="C297"/>
      <c r="D297"/>
      <c r="E297"/>
    </row>
    <row r="298" spans="1:12" x14ac:dyDescent="0.25">
      <c r="A298" s="30">
        <v>5.9022914930508576E-2</v>
      </c>
      <c r="B298"/>
      <c r="C298"/>
      <c r="D298"/>
      <c r="E298"/>
    </row>
    <row r="299" spans="1:12" x14ac:dyDescent="0.25">
      <c r="A299" s="30">
        <v>5.6212299933817669E-2</v>
      </c>
      <c r="B299"/>
      <c r="C299"/>
      <c r="D299"/>
      <c r="E299"/>
    </row>
    <row r="300" spans="1:12" x14ac:dyDescent="0.25">
      <c r="A300" s="30">
        <v>5.3535523746492994E-2</v>
      </c>
      <c r="B300"/>
      <c r="C300"/>
      <c r="D300"/>
      <c r="E300"/>
    </row>
    <row r="301" spans="1:12" x14ac:dyDescent="0.25">
      <c r="A301" s="30">
        <v>5.0986213091898068E-2</v>
      </c>
      <c r="B301"/>
      <c r="C301"/>
      <c r="D301"/>
      <c r="E301"/>
    </row>
    <row r="302" spans="1:12" x14ac:dyDescent="0.25">
      <c r="A302" s="30">
        <v>4.8558298182760043E-2</v>
      </c>
      <c r="B302"/>
      <c r="C302"/>
      <c r="D302"/>
      <c r="E302"/>
    </row>
    <row r="303" spans="1:12" x14ac:dyDescent="0.25">
      <c r="A303" s="30">
        <v>4.6245998269295263E-2</v>
      </c>
      <c r="B303"/>
      <c r="C303"/>
      <c r="D303"/>
      <c r="E303"/>
    </row>
    <row r="304" spans="1:12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015" operator="equal">
      <formula>$U$1</formula>
    </cfRule>
    <cfRule type="cellIs" dxfId="67" priority="1016" operator="equal">
      <formula>$S$1</formula>
    </cfRule>
  </conditionalFormatting>
  <conditionalFormatting sqref="D136">
    <cfRule type="cellIs" dxfId="66" priority="1013" operator="equal">
      <formula>$S$1</formula>
    </cfRule>
    <cfRule type="cellIs" dxfId="65" priority="1014" operator="equal">
      <formula>$U$1</formula>
    </cfRule>
  </conditionalFormatting>
  <conditionalFormatting sqref="C162">
    <cfRule type="cellIs" dxfId="64" priority="1011" operator="equal">
      <formula>$U$1</formula>
    </cfRule>
    <cfRule type="cellIs" dxfId="63" priority="1012" operator="equal">
      <formula>$S$1</formula>
    </cfRule>
  </conditionalFormatting>
  <conditionalFormatting sqref="D162">
    <cfRule type="cellIs" dxfId="62" priority="1009" operator="equal">
      <formula>$S$1</formula>
    </cfRule>
    <cfRule type="cellIs" dxfId="61" priority="1010" operator="equal">
      <formula>$U$1</formula>
    </cfRule>
  </conditionalFormatting>
  <conditionalFormatting sqref="C187">
    <cfRule type="cellIs" dxfId="60" priority="1007" operator="equal">
      <formula>$U$1</formula>
    </cfRule>
    <cfRule type="cellIs" dxfId="59" priority="1008" operator="equal">
      <formula>$S$1</formula>
    </cfRule>
  </conditionalFormatting>
  <conditionalFormatting sqref="D187">
    <cfRule type="cellIs" dxfId="58" priority="1005" operator="equal">
      <formula>$S$1</formula>
    </cfRule>
    <cfRule type="cellIs" dxfId="57" priority="1006" operator="equal">
      <formula>$U$1</formula>
    </cfRule>
  </conditionalFormatting>
  <conditionalFormatting sqref="C212">
    <cfRule type="cellIs" dxfId="56" priority="1003" operator="equal">
      <formula>$U$1</formula>
    </cfRule>
    <cfRule type="cellIs" dxfId="55" priority="1004" operator="equal">
      <formula>$S$1</formula>
    </cfRule>
  </conditionalFormatting>
  <conditionalFormatting sqref="D212">
    <cfRule type="cellIs" dxfId="54" priority="1001" operator="equal">
      <formula>$S$1</formula>
    </cfRule>
    <cfRule type="cellIs" dxfId="53" priority="1002" operator="equal">
      <formula>$U$1</formula>
    </cfRule>
  </conditionalFormatting>
  <conditionalFormatting sqref="C237">
    <cfRule type="cellIs" dxfId="52" priority="999" operator="equal">
      <formula>$U$1</formula>
    </cfRule>
    <cfRule type="cellIs" dxfId="51" priority="1000" operator="equal">
      <formula>$S$1</formula>
    </cfRule>
  </conditionalFormatting>
  <conditionalFormatting sqref="D237">
    <cfRule type="cellIs" dxfId="50" priority="997" operator="equal">
      <formula>$S$1</formula>
    </cfRule>
    <cfRule type="cellIs" dxfId="49" priority="998" operator="equal">
      <formula>$U$1</formula>
    </cfRule>
  </conditionalFormatting>
  <conditionalFormatting sqref="C106">
    <cfRule type="cellIs" dxfId="48" priority="995" operator="equal">
      <formula>$U$1</formula>
    </cfRule>
    <cfRule type="cellIs" dxfId="47" priority="996" operator="equal">
      <formula>$S$1</formula>
    </cfRule>
  </conditionalFormatting>
  <conditionalFormatting sqref="D106">
    <cfRule type="cellIs" dxfId="46" priority="993" operator="equal">
      <formula>$S$1</formula>
    </cfRule>
    <cfRule type="cellIs" dxfId="45" priority="994" operator="equal">
      <formula>$U$1</formula>
    </cfRule>
  </conditionalFormatting>
  <conditionalFormatting sqref="C81">
    <cfRule type="cellIs" dxfId="44" priority="991" operator="equal">
      <formula>$U$1</formula>
    </cfRule>
    <cfRule type="cellIs" dxfId="43" priority="992" operator="equal">
      <formula>$S$1</formula>
    </cfRule>
  </conditionalFormatting>
  <conditionalFormatting sqref="D81">
    <cfRule type="cellIs" dxfId="42" priority="989" operator="equal">
      <formula>$S$1</formula>
    </cfRule>
    <cfRule type="cellIs" dxfId="41" priority="990" operator="equal">
      <formula>$U$1</formula>
    </cfRule>
  </conditionalFormatting>
  <conditionalFormatting sqref="C56">
    <cfRule type="cellIs" dxfId="40" priority="987" operator="equal">
      <formula>$U$1</formula>
    </cfRule>
    <cfRule type="cellIs" dxfId="39" priority="988" operator="equal">
      <formula>$S$1</formula>
    </cfRule>
  </conditionalFormatting>
  <conditionalFormatting sqref="D56">
    <cfRule type="cellIs" dxfId="38" priority="985" operator="equal">
      <formula>$S$1</formula>
    </cfRule>
    <cfRule type="cellIs" dxfId="37" priority="986" operator="equal">
      <formula>$U$1</formula>
    </cfRule>
  </conditionalFormatting>
  <conditionalFormatting sqref="C31">
    <cfRule type="cellIs" dxfId="36" priority="983" operator="equal">
      <formula>$U$1</formula>
    </cfRule>
    <cfRule type="cellIs" dxfId="35" priority="984" operator="equal">
      <formula>$S$1</formula>
    </cfRule>
  </conditionalFormatting>
  <conditionalFormatting sqref="D31">
    <cfRule type="cellIs" dxfId="34" priority="981" operator="equal">
      <formula>$S$1</formula>
    </cfRule>
    <cfRule type="cellIs" dxfId="33" priority="98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03" zoomScale="90" zoomScaleNormal="90" workbookViewId="0">
      <pane xSplit="4" topLeftCell="G1" activePane="topRight" state="frozen"/>
      <selection activeCell="A109" sqref="A109"/>
      <selection pane="topRight" activeCell="BC120" sqref="BC120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4" x14ac:dyDescent="0.25">
      <c r="A97" s="30">
        <v>9.849732675807628</v>
      </c>
      <c r="E97"/>
    </row>
    <row r="98" spans="1:54" x14ac:dyDescent="0.25">
      <c r="A98" s="30">
        <v>8.9543024325523888</v>
      </c>
      <c r="C98" s="1" t="s">
        <v>13</v>
      </c>
      <c r="E98"/>
    </row>
    <row r="99" spans="1:54" x14ac:dyDescent="0.25">
      <c r="A99" s="30">
        <v>8.140274938683989</v>
      </c>
      <c r="C99" s="1">
        <f>C88</f>
        <v>0</v>
      </c>
      <c r="E99"/>
    </row>
    <row r="100" spans="1:54" x14ac:dyDescent="0.25">
      <c r="A100" s="30">
        <v>7.4002499442581717</v>
      </c>
      <c r="C100"/>
      <c r="D100"/>
      <c r="E100"/>
    </row>
    <row r="101" spans="1:54" x14ac:dyDescent="0.25">
      <c r="A101" s="30">
        <v>6.72749994932561</v>
      </c>
      <c r="C101" s="1" t="s">
        <v>14</v>
      </c>
      <c r="E101"/>
    </row>
    <row r="102" spans="1:54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4" x14ac:dyDescent="0.25">
      <c r="A103" s="30">
        <v>5.5599173134922388</v>
      </c>
      <c r="E103"/>
    </row>
    <row r="104" spans="1:54" x14ac:dyDescent="0.25">
      <c r="A104" s="30">
        <v>5.0544702849929442</v>
      </c>
      <c r="E104"/>
    </row>
    <row r="105" spans="1:54" x14ac:dyDescent="0.25">
      <c r="A105" s="30">
        <v>4.594972986357222</v>
      </c>
      <c r="E105"/>
    </row>
    <row r="106" spans="1:54" x14ac:dyDescent="0.25">
      <c r="A106" s="30">
        <v>4.1772481694156562</v>
      </c>
      <c r="E106"/>
    </row>
    <row r="107" spans="1:54" x14ac:dyDescent="0.25">
      <c r="A107" s="30">
        <v>3.7974983358324148</v>
      </c>
      <c r="E107"/>
      <c r="AW107" s="27" t="s">
        <v>8</v>
      </c>
    </row>
    <row r="108" spans="1:54" x14ac:dyDescent="0.25">
      <c r="A108" s="30">
        <v>3.4522712143931042</v>
      </c>
      <c r="E108"/>
      <c r="AW108" s="27" t="s">
        <v>8</v>
      </c>
      <c r="AX108" s="27" t="s">
        <v>7</v>
      </c>
      <c r="AY108" s="27" t="s">
        <v>8</v>
      </c>
    </row>
    <row r="109" spans="1:54" x14ac:dyDescent="0.25">
      <c r="A109" s="30">
        <v>3.1384283767210035</v>
      </c>
      <c r="E109"/>
      <c r="AW109" s="27" t="s">
        <v>8</v>
      </c>
      <c r="AX109" s="27" t="s">
        <v>7</v>
      </c>
      <c r="AY109" s="27" t="s">
        <v>8</v>
      </c>
      <c r="AZ109" s="27" t="s">
        <v>7</v>
      </c>
    </row>
    <row r="110" spans="1:54" x14ac:dyDescent="0.25">
      <c r="A110" s="30">
        <v>2.8531167061100029</v>
      </c>
      <c r="E110"/>
      <c r="AW110" s="27" t="s">
        <v>8</v>
      </c>
      <c r="AX110" s="27" t="s">
        <v>7</v>
      </c>
      <c r="AY110" s="27" t="s">
        <v>8</v>
      </c>
      <c r="AZ110" s="27" t="s">
        <v>7</v>
      </c>
      <c r="BA110" s="27" t="s">
        <v>8</v>
      </c>
    </row>
    <row r="111" spans="1:54" x14ac:dyDescent="0.25">
      <c r="A111" s="30">
        <v>2.5937424601000023</v>
      </c>
      <c r="C111" s="1" t="str">
        <f>ADDRESS(C121-1,1,1,1)</f>
        <v>$A$119</v>
      </c>
      <c r="D111" s="1" t="str">
        <f>ADDRESS(C121-1,D121,1,1)</f>
        <v>$BC$119</v>
      </c>
      <c r="E111"/>
      <c r="AW111" s="27" t="s">
        <v>8</v>
      </c>
      <c r="AX111" s="27" t="s">
        <v>7</v>
      </c>
      <c r="AY111" s="27" t="s">
        <v>8</v>
      </c>
      <c r="AZ111" s="27" t="s">
        <v>7</v>
      </c>
      <c r="BA111" s="27" t="s">
        <v>8</v>
      </c>
      <c r="BB111" s="27" t="s">
        <v>7</v>
      </c>
    </row>
    <row r="112" spans="1:54" x14ac:dyDescent="0.25">
      <c r="A112" s="30">
        <v>2.3579476910000019</v>
      </c>
      <c r="C112" s="1" t="str">
        <f>ADDRESS(C121,1,1,1)</f>
        <v>$A$120</v>
      </c>
      <c r="D112" s="1" t="str">
        <f>ADDRESS(C121,D121-1,1,1)</f>
        <v>$BB$120</v>
      </c>
      <c r="E112"/>
      <c r="AW112" s="27" t="s">
        <v>8</v>
      </c>
      <c r="AX112" s="27" t="s">
        <v>7</v>
      </c>
      <c r="AZ112" s="27" t="s">
        <v>7</v>
      </c>
      <c r="BA112" s="27" t="s">
        <v>8</v>
      </c>
      <c r="BB112" s="27" t="s">
        <v>7</v>
      </c>
    </row>
    <row r="113" spans="1:55" x14ac:dyDescent="0.25">
      <c r="A113" s="30">
        <v>2.1435888100000016</v>
      </c>
      <c r="C113" s="1" t="str">
        <f>ADDRESS(C121+1,1,1,1)</f>
        <v>$A$121</v>
      </c>
      <c r="D113" s="1" t="str">
        <f>ADDRESS(C121-1,D121+1,1,1)</f>
        <v>$BD$119</v>
      </c>
      <c r="AW113" s="27" t="s">
        <v>8</v>
      </c>
      <c r="AZ113" s="27" t="s">
        <v>7</v>
      </c>
      <c r="BA113" s="27" t="s">
        <v>8</v>
      </c>
      <c r="BB113" s="27" t="s">
        <v>7</v>
      </c>
    </row>
    <row r="114" spans="1:55" x14ac:dyDescent="0.25">
      <c r="A114" s="30">
        <v>1.9487171000000014</v>
      </c>
      <c r="C114" s="1" t="str">
        <f>ADDRESS(C121,D121,1,1)</f>
        <v>$BC$120</v>
      </c>
      <c r="D114" s="1" t="str">
        <f>ADDRESS(C121+1,D121+1,1,1)</f>
        <v>$BD$121</v>
      </c>
      <c r="AW114" s="27" t="s">
        <v>8</v>
      </c>
      <c r="AZ114" s="27" t="s">
        <v>7</v>
      </c>
      <c r="BA114" s="27" t="s">
        <v>8</v>
      </c>
      <c r="BB114" s="27" t="s">
        <v>7</v>
      </c>
    </row>
    <row r="115" spans="1:55" x14ac:dyDescent="0.25">
      <c r="A115" s="30">
        <v>1.7715610000000011</v>
      </c>
      <c r="C115" s="1" t="str">
        <f>ADDRESS(C121+1,D121,1,1)</f>
        <v>$BC$121</v>
      </c>
      <c r="AW115" s="27" t="s">
        <v>8</v>
      </c>
      <c r="AZ115" s="27" t="s">
        <v>7</v>
      </c>
      <c r="BA115" s="27" t="s">
        <v>8</v>
      </c>
      <c r="BB115" s="27" t="s">
        <v>7</v>
      </c>
    </row>
    <row r="116" spans="1:55" x14ac:dyDescent="0.25">
      <c r="A116" s="30">
        <v>1.6105100000000008</v>
      </c>
      <c r="C116" s="1">
        <f>C117-1</f>
        <v>119</v>
      </c>
      <c r="AU116" s="27" t="s">
        <v>8</v>
      </c>
      <c r="AW116" s="27" t="s">
        <v>8</v>
      </c>
      <c r="AZ116" s="27" t="s">
        <v>7</v>
      </c>
      <c r="BB116" s="27" t="s">
        <v>7</v>
      </c>
    </row>
    <row r="117" spans="1:55" x14ac:dyDescent="0.25">
      <c r="A117" s="30">
        <v>1.4641000000000006</v>
      </c>
      <c r="C117" s="1">
        <f>C121</f>
        <v>120</v>
      </c>
      <c r="D117" s="1">
        <f>D121</f>
        <v>55</v>
      </c>
      <c r="AU117" s="27" t="s">
        <v>8</v>
      </c>
      <c r="AV117" s="27" t="s">
        <v>7</v>
      </c>
      <c r="AW117" s="27" t="s">
        <v>8</v>
      </c>
      <c r="BB117" s="27" t="s">
        <v>7</v>
      </c>
    </row>
    <row r="118" spans="1:55" x14ac:dyDescent="0.25">
      <c r="A118" s="30">
        <v>1.3310000000000004</v>
      </c>
      <c r="C118" s="1">
        <f>C117+1</f>
        <v>121</v>
      </c>
      <c r="D118" s="1">
        <f>D117+1</f>
        <v>56</v>
      </c>
      <c r="AU118" s="27" t="s">
        <v>8</v>
      </c>
      <c r="AV118" s="27" t="s">
        <v>7</v>
      </c>
      <c r="AW118" s="27" t="s">
        <v>8</v>
      </c>
      <c r="BB118" s="27" t="s">
        <v>7</v>
      </c>
    </row>
    <row r="119" spans="1:55" x14ac:dyDescent="0.25">
      <c r="A119" s="30">
        <v>1.2100000000000002</v>
      </c>
      <c r="AU119" s="27" t="s">
        <v>8</v>
      </c>
      <c r="AV119" s="27" t="s">
        <v>7</v>
      </c>
      <c r="AW119" s="27" t="s">
        <v>8</v>
      </c>
      <c r="BB119" s="27" t="s">
        <v>7</v>
      </c>
    </row>
    <row r="120" spans="1:55" x14ac:dyDescent="0.25">
      <c r="A120" s="30">
        <v>1.1000000000000001</v>
      </c>
      <c r="C120" s="1" t="s">
        <v>9</v>
      </c>
      <c r="AU120" s="27" t="s">
        <v>8</v>
      </c>
      <c r="AV120" s="27" t="s">
        <v>7</v>
      </c>
      <c r="BB120" s="27" t="s">
        <v>7</v>
      </c>
      <c r="BC120" s="27" t="s">
        <v>8</v>
      </c>
    </row>
    <row r="121" spans="1:55" x14ac:dyDescent="0.25">
      <c r="A121" s="30">
        <v>1</v>
      </c>
      <c r="C121" s="18">
        <v>120</v>
      </c>
      <c r="D121" s="19">
        <v>55</v>
      </c>
      <c r="E121" s="18" t="s">
        <v>8</v>
      </c>
      <c r="AU121" s="27" t="s">
        <v>8</v>
      </c>
      <c r="BB121" s="27" t="s">
        <v>7</v>
      </c>
      <c r="BC121" s="27" t="s">
        <v>8</v>
      </c>
    </row>
    <row r="122" spans="1:55" x14ac:dyDescent="0.25">
      <c r="A122" s="30">
        <v>0.90909090909090895</v>
      </c>
      <c r="C122" s="1" t="str">
        <f>INDEX(1:1048576,C117,D117)</f>
        <v>X</v>
      </c>
      <c r="F122" s="27" t="s">
        <v>7</v>
      </c>
      <c r="AG122" s="33" t="s">
        <v>8</v>
      </c>
      <c r="AU122" s="27" t="s">
        <v>8</v>
      </c>
      <c r="BB122" s="27" t="s">
        <v>7</v>
      </c>
      <c r="BC122" s="27" t="s">
        <v>8</v>
      </c>
    </row>
    <row r="123" spans="1:55" x14ac:dyDescent="0.25">
      <c r="A123" s="30">
        <v>0.82644628099173523</v>
      </c>
      <c r="C123" s="1" t="str">
        <f>"R"&amp;C121</f>
        <v>R120</v>
      </c>
      <c r="D123" s="1" t="str">
        <f>"C"&amp;D121</f>
        <v>C55</v>
      </c>
      <c r="F123" s="27" t="s">
        <v>7</v>
      </c>
      <c r="Y123" s="27" t="s">
        <v>8</v>
      </c>
      <c r="AG123" s="27" t="s">
        <v>8</v>
      </c>
      <c r="AH123" s="33" t="s">
        <v>7</v>
      </c>
      <c r="AU123" s="27" t="s">
        <v>8</v>
      </c>
      <c r="BB123" s="27" t="s">
        <v>7</v>
      </c>
      <c r="BC123" s="27" t="s">
        <v>8</v>
      </c>
    </row>
    <row r="124" spans="1:55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Y124" s="27" t="s">
        <v>8</v>
      </c>
      <c r="Z124" s="27" t="s">
        <v>7</v>
      </c>
      <c r="AE124" s="27" t="s">
        <v>8</v>
      </c>
      <c r="AG124" s="27" t="s">
        <v>8</v>
      </c>
      <c r="AH124" s="27" t="s">
        <v>7</v>
      </c>
      <c r="AI124" s="33"/>
      <c r="AO124" s="34" t="s">
        <v>8</v>
      </c>
      <c r="AU124" s="27" t="s">
        <v>8</v>
      </c>
      <c r="BB124" s="27" t="s">
        <v>7</v>
      </c>
      <c r="BC124" s="27" t="s">
        <v>8</v>
      </c>
    </row>
    <row r="125" spans="1:55" x14ac:dyDescent="0.25">
      <c r="A125" s="30">
        <v>0.68301345536507019</v>
      </c>
      <c r="F125" s="27" t="s">
        <v>7</v>
      </c>
      <c r="Y125" s="27" t="s">
        <v>8</v>
      </c>
      <c r="Z125" s="27" t="s">
        <v>7</v>
      </c>
      <c r="AE125" s="27" t="s">
        <v>8</v>
      </c>
      <c r="AF125" s="27" t="s">
        <v>7</v>
      </c>
      <c r="AG125" s="27" t="s">
        <v>8</v>
      </c>
      <c r="AH125" s="27" t="s">
        <v>7</v>
      </c>
      <c r="AJ125" s="33"/>
      <c r="AO125" s="27" t="s">
        <v>8</v>
      </c>
      <c r="AP125" s="34" t="s">
        <v>7</v>
      </c>
      <c r="AU125" s="27" t="s">
        <v>8</v>
      </c>
      <c r="BB125" s="27" t="s">
        <v>7</v>
      </c>
    </row>
    <row r="126" spans="1:55" x14ac:dyDescent="0.25">
      <c r="A126" s="30">
        <v>0.6209213230591546</v>
      </c>
      <c r="C126" s="1" t="s">
        <v>10</v>
      </c>
      <c r="F126" s="27" t="s">
        <v>7</v>
      </c>
      <c r="S126" s="27" t="s">
        <v>8</v>
      </c>
      <c r="Y126" s="27" t="s">
        <v>8</v>
      </c>
      <c r="Z126" s="27" t="s">
        <v>7</v>
      </c>
      <c r="AA126" s="27" t="s">
        <v>8</v>
      </c>
      <c r="AC126" s="27" t="s">
        <v>8</v>
      </c>
      <c r="AE126" s="27" t="s">
        <v>8</v>
      </c>
      <c r="AF126" s="27" t="s">
        <v>7</v>
      </c>
      <c r="AG126" s="27" t="s">
        <v>8</v>
      </c>
      <c r="AH126" s="27" t="s">
        <v>7</v>
      </c>
      <c r="AK126" s="33"/>
      <c r="AO126" s="27" t="s">
        <v>8</v>
      </c>
      <c r="AP126" s="27" t="s">
        <v>7</v>
      </c>
      <c r="AQ126" s="34"/>
      <c r="AU126" s="27" t="s">
        <v>8</v>
      </c>
    </row>
    <row r="127" spans="1:55" x14ac:dyDescent="0.25">
      <c r="A127" s="30">
        <v>0.56447393005377677</v>
      </c>
      <c r="C127" s="30">
        <v>1.1000000000000001</v>
      </c>
      <c r="D127"/>
      <c r="F127" s="27" t="s">
        <v>7</v>
      </c>
      <c r="S127" s="27" t="s">
        <v>8</v>
      </c>
      <c r="T127" s="27" t="s">
        <v>7</v>
      </c>
      <c r="Y127" s="27" t="s">
        <v>8</v>
      </c>
      <c r="Z127" s="27" t="s">
        <v>7</v>
      </c>
      <c r="AA127" s="27" t="s">
        <v>8</v>
      </c>
      <c r="AB127" s="27" t="s">
        <v>7</v>
      </c>
      <c r="AC127" s="27" t="s">
        <v>8</v>
      </c>
      <c r="AD127" s="27" t="s">
        <v>7</v>
      </c>
      <c r="AE127" s="27" t="s">
        <v>8</v>
      </c>
      <c r="AF127" s="27" t="s">
        <v>7</v>
      </c>
      <c r="AG127" s="27" t="s">
        <v>8</v>
      </c>
      <c r="AH127" s="27" t="s">
        <v>7</v>
      </c>
      <c r="AL127" s="33"/>
      <c r="AO127" s="27" t="s">
        <v>8</v>
      </c>
      <c r="AP127" s="27" t="s">
        <v>7</v>
      </c>
      <c r="AR127" s="34"/>
      <c r="AU127" s="27" t="s">
        <v>8</v>
      </c>
    </row>
    <row r="128" spans="1:55" x14ac:dyDescent="0.25">
      <c r="A128" s="30">
        <v>0.51315811823070612</v>
      </c>
      <c r="F128" s="27" t="s">
        <v>7</v>
      </c>
      <c r="S128" s="27" t="s">
        <v>8</v>
      </c>
      <c r="T128" s="27" t="s">
        <v>7</v>
      </c>
      <c r="W128" s="27" t="s">
        <v>8</v>
      </c>
      <c r="Y128" s="27" t="s">
        <v>8</v>
      </c>
      <c r="Z128" s="27" t="s">
        <v>7</v>
      </c>
      <c r="AA128" s="27" t="s">
        <v>8</v>
      </c>
      <c r="AB128" s="27" t="s">
        <v>7</v>
      </c>
      <c r="AC128" s="27" t="s">
        <v>8</v>
      </c>
      <c r="AD128" s="27" t="s">
        <v>7</v>
      </c>
      <c r="AE128" s="27" t="s">
        <v>8</v>
      </c>
      <c r="AF128" s="27" t="s">
        <v>7</v>
      </c>
      <c r="AG128" s="27" t="s">
        <v>8</v>
      </c>
      <c r="AH128" s="27" t="s">
        <v>7</v>
      </c>
      <c r="AM128" s="33"/>
      <c r="AO128" s="27" t="s">
        <v>8</v>
      </c>
      <c r="AP128" s="27" t="s">
        <v>7</v>
      </c>
      <c r="AQ128" s="27" t="s">
        <v>8</v>
      </c>
      <c r="AS128" s="34" t="s">
        <v>8</v>
      </c>
      <c r="AU128" s="27" t="s">
        <v>8</v>
      </c>
    </row>
    <row r="129" spans="1:49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S129" s="27" t="s">
        <v>8</v>
      </c>
      <c r="T129" s="27" t="s">
        <v>7</v>
      </c>
      <c r="W129" s="27" t="s">
        <v>8</v>
      </c>
      <c r="X129" s="27" t="s">
        <v>7</v>
      </c>
      <c r="Y129" s="27" t="s">
        <v>8</v>
      </c>
      <c r="Z129" s="27" t="s">
        <v>7</v>
      </c>
      <c r="AB129" s="27" t="s">
        <v>7</v>
      </c>
      <c r="AD129" s="27" t="s">
        <v>7</v>
      </c>
      <c r="AF129" s="27" t="s">
        <v>7</v>
      </c>
      <c r="AG129" s="27" t="s">
        <v>8</v>
      </c>
      <c r="AH129" s="27" t="s">
        <v>7</v>
      </c>
      <c r="AK129" s="27" t="s">
        <v>8</v>
      </c>
      <c r="AN129" s="33"/>
      <c r="AO129" s="27" t="s">
        <v>8</v>
      </c>
      <c r="AP129" s="27" t="s">
        <v>7</v>
      </c>
      <c r="AQ129" s="27" t="s">
        <v>8</v>
      </c>
      <c r="AR129" s="27" t="s">
        <v>7</v>
      </c>
      <c r="AS129" s="27" t="s">
        <v>8</v>
      </c>
      <c r="AT129" s="34" t="s">
        <v>7</v>
      </c>
      <c r="AU129" s="27" t="s">
        <v>8</v>
      </c>
      <c r="AW129" s="34"/>
    </row>
    <row r="130" spans="1:49" x14ac:dyDescent="0.25">
      <c r="A130" s="30">
        <v>0.42409761837248428</v>
      </c>
      <c r="C130" s="6"/>
      <c r="D130" s="6"/>
      <c r="E130"/>
      <c r="F130" s="27" t="s">
        <v>7</v>
      </c>
      <c r="S130" s="27" t="s">
        <v>8</v>
      </c>
      <c r="T130" s="27" t="s">
        <v>7</v>
      </c>
      <c r="U130" s="27" t="s">
        <v>8</v>
      </c>
      <c r="W130" s="27" t="s">
        <v>8</v>
      </c>
      <c r="X130" s="27" t="s">
        <v>7</v>
      </c>
      <c r="Y130" s="27" t="s">
        <v>8</v>
      </c>
      <c r="AF130" s="27" t="s">
        <v>7</v>
      </c>
      <c r="AH130" s="27" t="s">
        <v>7</v>
      </c>
      <c r="AI130" s="27" t="s">
        <v>8</v>
      </c>
      <c r="AK130" s="27" t="s">
        <v>8</v>
      </c>
      <c r="AL130" s="27" t="s">
        <v>7</v>
      </c>
      <c r="AO130" s="33" t="s">
        <v>8</v>
      </c>
      <c r="AP130" s="27" t="s">
        <v>7</v>
      </c>
      <c r="AQ130" s="27" t="s">
        <v>8</v>
      </c>
      <c r="AR130" s="27" t="s">
        <v>7</v>
      </c>
      <c r="AS130" s="27" t="s">
        <v>8</v>
      </c>
      <c r="AT130" s="27" t="s">
        <v>7</v>
      </c>
      <c r="AU130" s="27" t="s">
        <v>8</v>
      </c>
      <c r="AV130" s="34"/>
    </row>
    <row r="131" spans="1:49" x14ac:dyDescent="0.25">
      <c r="A131" s="30">
        <v>0.38554328942953109</v>
      </c>
      <c r="E131"/>
      <c r="F131" s="27" t="s">
        <v>7</v>
      </c>
      <c r="S131" s="27" t="s">
        <v>8</v>
      </c>
      <c r="T131" s="27" t="s">
        <v>7</v>
      </c>
      <c r="U131" s="27" t="s">
        <v>8</v>
      </c>
      <c r="V131" s="27" t="s">
        <v>7</v>
      </c>
      <c r="W131" s="27" t="s">
        <v>8</v>
      </c>
      <c r="X131" s="27" t="s">
        <v>7</v>
      </c>
      <c r="Y131" s="27" t="s">
        <v>8</v>
      </c>
      <c r="AH131" s="27" t="s">
        <v>7</v>
      </c>
      <c r="AI131" s="27" t="s">
        <v>8</v>
      </c>
      <c r="AJ131" s="27" t="s">
        <v>7</v>
      </c>
      <c r="AK131" s="27" t="s">
        <v>8</v>
      </c>
      <c r="AL131" s="27" t="s">
        <v>7</v>
      </c>
      <c r="AO131" s="27" t="s">
        <v>8</v>
      </c>
      <c r="AP131" s="27" t="s">
        <v>7</v>
      </c>
      <c r="AR131" s="27" t="s">
        <v>7</v>
      </c>
      <c r="AS131" s="27" t="s">
        <v>8</v>
      </c>
      <c r="AT131" s="27" t="s">
        <v>7</v>
      </c>
      <c r="AU131" s="34"/>
    </row>
    <row r="132" spans="1:49" x14ac:dyDescent="0.25">
      <c r="A132" s="30">
        <v>0.35049389948139187</v>
      </c>
      <c r="C132" s="1" t="s">
        <v>13</v>
      </c>
      <c r="E132"/>
      <c r="F132" s="27" t="s">
        <v>7</v>
      </c>
      <c r="S132" s="27" t="s">
        <v>8</v>
      </c>
      <c r="T132" s="27" t="s">
        <v>7</v>
      </c>
      <c r="U132" s="27" t="s">
        <v>8</v>
      </c>
      <c r="V132" s="27" t="s">
        <v>7</v>
      </c>
      <c r="W132" s="27" t="s">
        <v>8</v>
      </c>
      <c r="X132" s="27" t="s">
        <v>7</v>
      </c>
      <c r="AH132" s="27" t="s">
        <v>7</v>
      </c>
      <c r="AI132" s="27" t="s">
        <v>8</v>
      </c>
      <c r="AJ132" s="27" t="s">
        <v>7</v>
      </c>
      <c r="AK132" s="27" t="s">
        <v>8</v>
      </c>
      <c r="AL132" s="27" t="s">
        <v>7</v>
      </c>
      <c r="AO132" s="27" t="s">
        <v>8</v>
      </c>
      <c r="AR132" s="27" t="s">
        <v>7</v>
      </c>
      <c r="AT132" s="34"/>
    </row>
    <row r="133" spans="1:49" x14ac:dyDescent="0.25">
      <c r="A133" s="30">
        <v>0.31863081771035617</v>
      </c>
      <c r="C133" s="1" t="str">
        <f>C122</f>
        <v>X</v>
      </c>
      <c r="E133"/>
      <c r="F133" s="27" t="s">
        <v>7</v>
      </c>
      <c r="S133" s="27" t="s">
        <v>8</v>
      </c>
      <c r="T133" s="27" t="s">
        <v>7</v>
      </c>
      <c r="V133" s="27" t="s">
        <v>7</v>
      </c>
      <c r="W133" s="27" t="s">
        <v>8</v>
      </c>
      <c r="AH133" s="27" t="s">
        <v>7</v>
      </c>
      <c r="AI133" s="27" t="s">
        <v>8</v>
      </c>
      <c r="AJ133" s="27" t="s">
        <v>7</v>
      </c>
      <c r="AK133" s="27" t="s">
        <v>8</v>
      </c>
      <c r="AL133" s="27" t="s">
        <v>7</v>
      </c>
      <c r="AM133" s="27" t="s">
        <v>8</v>
      </c>
      <c r="AO133" s="27" t="s">
        <v>8</v>
      </c>
      <c r="AS133" s="34"/>
    </row>
    <row r="134" spans="1:49" x14ac:dyDescent="0.25">
      <c r="A134" s="30">
        <v>0.28966437973668741</v>
      </c>
      <c r="C134"/>
      <c r="D134"/>
      <c r="E134"/>
      <c r="F134" s="27" t="s">
        <v>7</v>
      </c>
      <c r="O134" s="27" t="s">
        <v>8</v>
      </c>
      <c r="S134" s="27" t="s">
        <v>8</v>
      </c>
      <c r="V134" s="27" t="s">
        <v>7</v>
      </c>
      <c r="W134" s="27" t="s">
        <v>8</v>
      </c>
      <c r="AH134" s="27" t="s">
        <v>7</v>
      </c>
      <c r="AJ134" s="27" t="s">
        <v>7</v>
      </c>
      <c r="AK134" s="27" t="s">
        <v>8</v>
      </c>
      <c r="AL134" s="27" t="s">
        <v>7</v>
      </c>
      <c r="AM134" s="27" t="s">
        <v>8</v>
      </c>
      <c r="AN134" s="27" t="s">
        <v>7</v>
      </c>
      <c r="AO134" s="27" t="s">
        <v>8</v>
      </c>
      <c r="AR134" s="34"/>
    </row>
    <row r="135" spans="1:49" x14ac:dyDescent="0.25">
      <c r="A135" s="30">
        <v>0.2633312543060794</v>
      </c>
      <c r="C135" s="1" t="s">
        <v>14</v>
      </c>
      <c r="E135"/>
      <c r="F135" s="27" t="s">
        <v>7</v>
      </c>
      <c r="M135" s="27" t="s">
        <v>8</v>
      </c>
      <c r="O135" s="27" t="s">
        <v>8</v>
      </c>
      <c r="P135" s="27" t="s">
        <v>7</v>
      </c>
      <c r="S135" s="27" t="s">
        <v>8</v>
      </c>
      <c r="V135" s="27" t="s">
        <v>7</v>
      </c>
      <c r="AJ135" s="27" t="s">
        <v>7</v>
      </c>
      <c r="AK135" s="27" t="s">
        <v>8</v>
      </c>
      <c r="AL135" s="27" t="s">
        <v>7</v>
      </c>
      <c r="AM135" s="27" t="s">
        <v>8</v>
      </c>
      <c r="AN135" s="27" t="s">
        <v>7</v>
      </c>
      <c r="AO135" s="27" t="s">
        <v>8</v>
      </c>
      <c r="AQ135" s="33"/>
    </row>
    <row r="136" spans="1:49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  <c r="F136" s="27" t="s">
        <v>7</v>
      </c>
      <c r="M136" s="27" t="s">
        <v>8</v>
      </c>
      <c r="N136" s="27" t="s">
        <v>7</v>
      </c>
      <c r="O136" s="27" t="s">
        <v>8</v>
      </c>
      <c r="P136" s="27" t="s">
        <v>7</v>
      </c>
      <c r="Q136" s="27" t="s">
        <v>8</v>
      </c>
      <c r="S136" s="27" t="s">
        <v>8</v>
      </c>
      <c r="AJ136" s="27" t="s">
        <v>7</v>
      </c>
      <c r="AL136" s="27" t="s">
        <v>7</v>
      </c>
      <c r="AM136" s="27" t="s">
        <v>8</v>
      </c>
      <c r="AN136" s="27" t="s">
        <v>7</v>
      </c>
      <c r="AO136" s="27" t="s">
        <v>8</v>
      </c>
      <c r="AP136" s="33"/>
    </row>
    <row r="137" spans="1:49" x14ac:dyDescent="0.25">
      <c r="A137" s="30">
        <v>0.2176291357901482</v>
      </c>
      <c r="E137"/>
      <c r="F137" s="27" t="s">
        <v>7</v>
      </c>
      <c r="I137" s="27" t="s">
        <v>8</v>
      </c>
      <c r="K137" s="27" t="s">
        <v>8</v>
      </c>
      <c r="M137" s="27" t="s">
        <v>8</v>
      </c>
      <c r="N137" s="27" t="s">
        <v>7</v>
      </c>
      <c r="O137" s="27" t="s">
        <v>8</v>
      </c>
      <c r="P137" s="27" t="s">
        <v>7</v>
      </c>
      <c r="Q137" s="27" t="s">
        <v>8</v>
      </c>
      <c r="R137" s="27" t="s">
        <v>7</v>
      </c>
      <c r="S137" s="27" t="s">
        <v>8</v>
      </c>
      <c r="AL137" s="27" t="s">
        <v>7</v>
      </c>
      <c r="AM137" s="27" t="s">
        <v>8</v>
      </c>
      <c r="AN137" s="18" t="s">
        <v>7</v>
      </c>
      <c r="AO137" s="33" t="s">
        <v>8</v>
      </c>
    </row>
    <row r="138" spans="1:49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  <c r="F138" s="27" t="s">
        <v>7</v>
      </c>
      <c r="I138" s="27" t="s">
        <v>8</v>
      </c>
      <c r="J138" s="27" t="s">
        <v>7</v>
      </c>
      <c r="K138" s="27" t="s">
        <v>8</v>
      </c>
      <c r="L138" s="27" t="s">
        <v>7</v>
      </c>
      <c r="M138" s="27" t="s">
        <v>8</v>
      </c>
      <c r="N138" s="27" t="s">
        <v>7</v>
      </c>
      <c r="O138" s="27" t="s">
        <v>8</v>
      </c>
      <c r="P138" s="27" t="s">
        <v>7</v>
      </c>
      <c r="Q138" s="27" t="s">
        <v>8</v>
      </c>
      <c r="R138" s="27" t="s">
        <v>7</v>
      </c>
      <c r="S138" s="27" t="s">
        <v>8</v>
      </c>
      <c r="AL138" s="27" t="s">
        <v>7</v>
      </c>
      <c r="AM138" s="27" t="s">
        <v>8</v>
      </c>
      <c r="AN138" s="33" t="s">
        <v>7</v>
      </c>
    </row>
    <row r="139" spans="1:49" x14ac:dyDescent="0.25">
      <c r="A139" s="30">
        <v>0.17985878990921333</v>
      </c>
      <c r="E139"/>
      <c r="F139" s="27" t="s">
        <v>7</v>
      </c>
      <c r="I139" s="27" t="s">
        <v>8</v>
      </c>
      <c r="J139" s="27" t="s">
        <v>7</v>
      </c>
      <c r="K139" s="27" t="s">
        <v>8</v>
      </c>
      <c r="L139" s="27" t="s">
        <v>7</v>
      </c>
      <c r="M139" s="27" t="s">
        <v>8</v>
      </c>
      <c r="N139" s="27" t="s">
        <v>7</v>
      </c>
      <c r="O139" s="27" t="s">
        <v>8</v>
      </c>
      <c r="P139" s="27" t="s">
        <v>7</v>
      </c>
      <c r="Q139" s="27" t="s">
        <v>8</v>
      </c>
      <c r="R139" s="27" t="s">
        <v>7</v>
      </c>
      <c r="S139" s="27" t="s">
        <v>8</v>
      </c>
      <c r="AL139" s="27" t="s">
        <v>7</v>
      </c>
    </row>
    <row r="140" spans="1:49" x14ac:dyDescent="0.25">
      <c r="A140" s="30">
        <v>0.16350799082655756</v>
      </c>
      <c r="C140" s="1">
        <v>0</v>
      </c>
      <c r="E140"/>
      <c r="F140" s="27" t="s">
        <v>7</v>
      </c>
      <c r="G140" s="27" t="s">
        <v>8</v>
      </c>
      <c r="I140" s="27" t="s">
        <v>8</v>
      </c>
      <c r="J140" s="27" t="s">
        <v>7</v>
      </c>
      <c r="L140" s="27" t="s">
        <v>7</v>
      </c>
      <c r="N140" s="27" t="s">
        <v>7</v>
      </c>
      <c r="P140" s="27" t="s">
        <v>7</v>
      </c>
      <c r="Q140" s="27" t="s">
        <v>8</v>
      </c>
      <c r="R140" s="27" t="s">
        <v>7</v>
      </c>
      <c r="S140" s="27" t="s">
        <v>8</v>
      </c>
    </row>
    <row r="141" spans="1:49" x14ac:dyDescent="0.25">
      <c r="A141" s="30">
        <v>0.14864362802414322</v>
      </c>
      <c r="C141" s="1">
        <v>1</v>
      </c>
      <c r="E141"/>
      <c r="F141" s="27" t="s">
        <v>7</v>
      </c>
      <c r="G141" s="27" t="s">
        <v>8</v>
      </c>
      <c r="H141" s="27" t="s">
        <v>7</v>
      </c>
      <c r="I141" s="27" t="s">
        <v>8</v>
      </c>
      <c r="P141" s="27" t="s">
        <v>7</v>
      </c>
      <c r="Q141" s="27" t="s">
        <v>8</v>
      </c>
      <c r="R141" s="27" t="s">
        <v>7</v>
      </c>
      <c r="S141" s="27" t="s">
        <v>8</v>
      </c>
    </row>
    <row r="142" spans="1:49" x14ac:dyDescent="0.25">
      <c r="A142" s="30">
        <v>0.13513057093103928</v>
      </c>
      <c r="C142" s="1">
        <v>2</v>
      </c>
      <c r="E142"/>
      <c r="F142" s="27" t="s">
        <v>7</v>
      </c>
      <c r="G142" s="27" t="s">
        <v>8</v>
      </c>
      <c r="H142" s="27" t="s">
        <v>7</v>
      </c>
      <c r="I142" s="27" t="s">
        <v>8</v>
      </c>
      <c r="P142" s="27" t="s">
        <v>7</v>
      </c>
      <c r="Q142" s="27" t="s">
        <v>8</v>
      </c>
      <c r="R142" s="27" t="s">
        <v>7</v>
      </c>
    </row>
    <row r="143" spans="1:49" x14ac:dyDescent="0.25">
      <c r="A143" s="30">
        <v>0.12284597357367205</v>
      </c>
      <c r="C143" s="1">
        <v>3</v>
      </c>
      <c r="E143"/>
      <c r="F143" s="27" t="s">
        <v>7</v>
      </c>
      <c r="G143" s="27" t="s">
        <v>8</v>
      </c>
      <c r="H143" s="27" t="s">
        <v>7</v>
      </c>
      <c r="I143" s="27" t="s">
        <v>8</v>
      </c>
      <c r="P143" s="27" t="s">
        <v>7</v>
      </c>
    </row>
    <row r="144" spans="1:49" x14ac:dyDescent="0.25">
      <c r="A144" s="30">
        <v>0.11167815779424731</v>
      </c>
      <c r="C144" s="1">
        <v>4</v>
      </c>
      <c r="E144"/>
      <c r="F144" s="27" t="s">
        <v>7</v>
      </c>
      <c r="G144" s="27" t="s">
        <v>8</v>
      </c>
      <c r="H144" s="27" t="s">
        <v>7</v>
      </c>
      <c r="I144" s="27" t="s">
        <v>8</v>
      </c>
    </row>
    <row r="145" spans="1:9" x14ac:dyDescent="0.25">
      <c r="A145" s="30">
        <v>0.10152559799477026</v>
      </c>
      <c r="B145"/>
      <c r="C145"/>
      <c r="D145"/>
      <c r="E145"/>
      <c r="F145" s="27" t="s">
        <v>7</v>
      </c>
      <c r="G145" s="27" t="s">
        <v>8</v>
      </c>
      <c r="H145" s="27" t="s">
        <v>7</v>
      </c>
      <c r="I145" s="27" t="s">
        <v>8</v>
      </c>
    </row>
    <row r="146" spans="1:9" x14ac:dyDescent="0.25">
      <c r="A146" s="30">
        <v>9.2295998177063854E-2</v>
      </c>
      <c r="B146"/>
      <c r="C146"/>
      <c r="D146"/>
      <c r="E146"/>
      <c r="F146" s="27" t="s">
        <v>7</v>
      </c>
      <c r="G146" s="27" t="s">
        <v>8</v>
      </c>
      <c r="H146" s="27" t="s">
        <v>7</v>
      </c>
    </row>
    <row r="147" spans="1:9" x14ac:dyDescent="0.25">
      <c r="A147" s="30">
        <v>8.3905452888239848E-2</v>
      </c>
      <c r="B147"/>
      <c r="C147"/>
      <c r="D147"/>
      <c r="E147"/>
      <c r="F147" s="27" t="s">
        <v>7</v>
      </c>
      <c r="G147" s="27" t="s">
        <v>8</v>
      </c>
    </row>
    <row r="148" spans="1:9" x14ac:dyDescent="0.25">
      <c r="A148" s="30">
        <v>7.6277684443854396E-2</v>
      </c>
      <c r="B148"/>
      <c r="C148"/>
      <c r="D148"/>
      <c r="E148"/>
      <c r="F148" s="27" t="s">
        <v>7</v>
      </c>
    </row>
    <row r="149" spans="1:9" x14ac:dyDescent="0.25">
      <c r="A149" s="30">
        <v>6.9343349494413078E-2</v>
      </c>
      <c r="B149"/>
      <c r="C149"/>
      <c r="D149"/>
      <c r="E149"/>
    </row>
    <row r="150" spans="1:9" x14ac:dyDescent="0.25">
      <c r="A150" s="30">
        <v>6.3039408631284613E-2</v>
      </c>
      <c r="B150"/>
      <c r="C150"/>
      <c r="D150"/>
      <c r="E150"/>
    </row>
    <row r="151" spans="1:9" x14ac:dyDescent="0.25">
      <c r="A151" s="30">
        <v>5.7308553301167818E-2</v>
      </c>
      <c r="B151"/>
      <c r="C151"/>
      <c r="D151"/>
      <c r="E151"/>
    </row>
    <row r="152" spans="1:9" x14ac:dyDescent="0.25">
      <c r="A152" s="30">
        <v>5.2098684819243464E-2</v>
      </c>
      <c r="B152"/>
      <c r="C152"/>
      <c r="D152"/>
      <c r="E152"/>
    </row>
    <row r="153" spans="1:9" x14ac:dyDescent="0.25">
      <c r="A153" s="30">
        <v>4.7362440744766775E-2</v>
      </c>
      <c r="B153"/>
      <c r="C153"/>
      <c r="D153"/>
      <c r="E153"/>
    </row>
    <row r="154" spans="1:9" x14ac:dyDescent="0.25">
      <c r="A154" s="30">
        <v>4.3056764313424332E-2</v>
      </c>
      <c r="B154"/>
      <c r="C154"/>
      <c r="D154"/>
      <c r="E154"/>
    </row>
    <row r="155" spans="1:9" x14ac:dyDescent="0.25">
      <c r="A155" s="30">
        <v>3.9142513012203929E-2</v>
      </c>
      <c r="B155"/>
      <c r="C155"/>
      <c r="D155"/>
      <c r="E155"/>
    </row>
    <row r="156" spans="1:9" x14ac:dyDescent="0.25">
      <c r="A156" s="30">
        <v>3.55841027383672E-2</v>
      </c>
      <c r="B156"/>
      <c r="C156"/>
      <c r="D156"/>
      <c r="E156"/>
    </row>
    <row r="157" spans="1:9" x14ac:dyDescent="0.25">
      <c r="A157" s="30">
        <v>3.2349184307606541E-2</v>
      </c>
      <c r="B157"/>
      <c r="C157"/>
      <c r="D157"/>
      <c r="E157"/>
    </row>
    <row r="158" spans="1:9" x14ac:dyDescent="0.25">
      <c r="A158" s="30">
        <v>2.9408349370551395E-2</v>
      </c>
      <c r="B158"/>
      <c r="C158"/>
      <c r="D158"/>
      <c r="E158"/>
    </row>
    <row r="159" spans="1:9" x14ac:dyDescent="0.25">
      <c r="A159" s="30">
        <v>2.6734863064137627E-2</v>
      </c>
      <c r="B159"/>
      <c r="C159"/>
      <c r="D159"/>
      <c r="E159"/>
    </row>
    <row r="160" spans="1:9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99" operator="equal">
      <formula>$U$1</formula>
    </cfRule>
    <cfRule type="cellIs" dxfId="30" priority="1000" operator="equal">
      <formula>$S$1</formula>
    </cfRule>
  </conditionalFormatting>
  <conditionalFormatting sqref="D136">
    <cfRule type="cellIs" dxfId="29" priority="997" operator="equal">
      <formula>$S$1</formula>
    </cfRule>
    <cfRule type="cellIs" dxfId="28" priority="998" operator="equal">
      <formula>$U$1</formula>
    </cfRule>
  </conditionalFormatting>
  <conditionalFormatting sqref="C102">
    <cfRule type="cellIs" dxfId="27" priority="995" operator="equal">
      <formula>$U$1</formula>
    </cfRule>
    <cfRule type="cellIs" dxfId="26" priority="996" operator="equal">
      <formula>$S$1</formula>
    </cfRule>
  </conditionalFormatting>
  <conditionalFormatting sqref="D102">
    <cfRule type="cellIs" dxfId="25" priority="993" operator="equal">
      <formula>$S$1</formula>
    </cfRule>
    <cfRule type="cellIs" dxfId="24" priority="994" operator="equal">
      <formula>$U$1</formula>
    </cfRule>
  </conditionalFormatting>
  <conditionalFormatting sqref="C77">
    <cfRule type="cellIs" dxfId="23" priority="991" operator="equal">
      <formula>$U$1</formula>
    </cfRule>
    <cfRule type="cellIs" dxfId="22" priority="992" operator="equal">
      <formula>$S$1</formula>
    </cfRule>
  </conditionalFormatting>
  <conditionalFormatting sqref="D77">
    <cfRule type="cellIs" dxfId="21" priority="989" operator="equal">
      <formula>$S$1</formula>
    </cfRule>
    <cfRule type="cellIs" dxfId="20" priority="990" operator="equal">
      <formula>$U$1</formula>
    </cfRule>
  </conditionalFormatting>
  <conditionalFormatting sqref="C52">
    <cfRule type="cellIs" dxfId="19" priority="987" operator="equal">
      <formula>$U$1</formula>
    </cfRule>
    <cfRule type="cellIs" dxfId="18" priority="988" operator="equal">
      <formula>$S$1</formula>
    </cfRule>
  </conditionalFormatting>
  <conditionalFormatting sqref="D52">
    <cfRule type="cellIs" dxfId="17" priority="985" operator="equal">
      <formula>$S$1</formula>
    </cfRule>
    <cfRule type="cellIs" dxfId="16" priority="986" operator="equal">
      <formula>$U$1</formula>
    </cfRule>
  </conditionalFormatting>
  <conditionalFormatting sqref="C26">
    <cfRule type="cellIs" dxfId="15" priority="983" operator="equal">
      <formula>$U$1</formula>
    </cfRule>
    <cfRule type="cellIs" dxfId="14" priority="984" operator="equal">
      <formula>$S$1</formula>
    </cfRule>
  </conditionalFormatting>
  <conditionalFormatting sqref="D26">
    <cfRule type="cellIs" dxfId="13" priority="981" operator="equal">
      <formula>$S$1</formula>
    </cfRule>
    <cfRule type="cellIs" dxfId="12" priority="98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4" sqref="G4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0.18129028535257471</v>
      </c>
      <c r="F3" s="30">
        <v>0.20986616658127455</v>
      </c>
      <c r="G3" s="30">
        <v>0.32557130579677979</v>
      </c>
      <c r="H3" s="25">
        <f>IF(G3="","",(3*(G3-F3))+E3)</f>
        <v>0.5284057029990904</v>
      </c>
      <c r="I3" s="7"/>
      <c r="J3" s="7">
        <f>(E3+G3)/2</f>
        <v>0.25343079557467724</v>
      </c>
      <c r="K3" s="7">
        <f>H3/2</f>
        <v>0.2642028514995452</v>
      </c>
      <c r="M3" s="26">
        <f>IF(OR(J3="",H3=""),"",H3/J3)</f>
        <v>2.0850098418421594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0.19035479962020352</v>
      </c>
      <c r="F4" s="30">
        <v>0.19987253960121379</v>
      </c>
      <c r="G4" s="30">
        <v>0.35894236464094997</v>
      </c>
      <c r="H4" s="25">
        <f t="shared" ref="H4:H25" si="0">IF(G4="","",(3*(G4-F4))+E4)</f>
        <v>0.66756427473941204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2022-01-28T01:18:31Z</dcterms:modified>
</cp:coreProperties>
</file>