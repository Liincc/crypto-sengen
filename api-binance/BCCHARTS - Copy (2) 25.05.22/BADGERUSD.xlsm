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F437A0C-6CC7-48FB-A09A-2EF3DB8B326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D136" i="4" s="1"/>
  <c r="C116" i="4"/>
  <c r="C122" i="3"/>
  <c r="C133" i="3" s="1"/>
  <c r="D136" i="3" s="1"/>
  <c r="C116" i="3"/>
  <c r="R765" i="1"/>
  <c r="D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S125" i="1" l="1"/>
  <c r="T125" i="1" s="1"/>
  <c r="R124" i="1"/>
  <c r="S124" i="1" l="1"/>
  <c r="T124" i="1" s="1"/>
  <c r="R123" i="1"/>
  <c r="S123" i="1" l="1"/>
  <c r="T123" i="1" s="1"/>
  <c r="R122" i="1"/>
  <c r="S122" i="1" l="1"/>
  <c r="T122" i="1" s="1"/>
  <c r="R121" i="1"/>
  <c r="S121" i="1" l="1"/>
  <c r="T121" i="1" s="1"/>
  <c r="R120" i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<sst xmlns="http://schemas.openxmlformats.org/spreadsheetml/2006/main" count="4531" uniqueCount="34">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</sst>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8.99</c:v>
                </c:pt>
                <c:pt idx="1">
                  <c:v>9.19</c:v>
                </c:pt>
                <c:pt idx="2">
                  <c:v>9.44</c:v>
                </c:pt>
                <c:pt idx="3">
                  <c:v>9.34</c:v>
                </c:pt>
                <c:pt idx="4">
                  <c:v>10.77</c:v>
                </c:pt>
                <c:pt idx="5">
                  <c:v>10.48</c:v>
                </c:pt>
                <c:pt idx="6">
                  <c:v>12.27</c:v>
                </c:pt>
                <c:pt idx="7">
                  <c:v>15.66</c:v>
                </c:pt>
                <c:pt idx="8">
                  <c:v>15.95</c:v>
                </c:pt>
                <c:pt idx="9">
                  <c:v>14.62</c:v>
                </c:pt>
                <c:pt idx="10">
                  <c:v>13.13</c:v>
                </c:pt>
                <c:pt idx="11">
                  <c:v>14.4</c:v>
                </c:pt>
                <c:pt idx="12">
                  <c:v>12.6</c:v>
                </c:pt>
                <c:pt idx="13">
                  <c:v>12.54</c:v>
                </c:pt>
                <c:pt idx="14">
                  <c:v>12.11</c:v>
                </c:pt>
                <c:pt idx="15">
                  <c:v>12.69</c:v>
                </c:pt>
                <c:pt idx="16">
                  <c:v>12.05</c:v>
                </c:pt>
                <c:pt idx="17">
                  <c:v>11.84</c:v>
                </c:pt>
                <c:pt idx="18">
                  <c:v>12.22</c:v>
                </c:pt>
                <c:pt idx="19">
                  <c:v>12.31</c:v>
                </c:pt>
                <c:pt idx="20">
                  <c:v>12.31</c:v>
                </c:pt>
                <c:pt idx="21">
                  <c:v>13.33</c:v>
                </c:pt>
                <c:pt idx="22">
                  <c:v>14.08</c:v>
                </c:pt>
                <c:pt idx="23">
                  <c:v>15.29</c:v>
                </c:pt>
                <c:pt idx="24">
                  <c:v>15.25</c:v>
                </c:pt>
                <c:pt idx="25">
                  <c:v>15.42</c:v>
                </c:pt>
                <c:pt idx="26">
                  <c:v>15.82</c:v>
                </c:pt>
                <c:pt idx="27">
                  <c:v>14.46</c:v>
                </c:pt>
                <c:pt idx="28">
                  <c:v>14.71</c:v>
                </c:pt>
                <c:pt idx="29">
                  <c:v>14.83</c:v>
                </c:pt>
                <c:pt idx="30">
                  <c:v>15.55</c:v>
                </c:pt>
                <c:pt idx="31">
                  <c:v>17.600000000000001</c:v>
                </c:pt>
                <c:pt idx="32">
                  <c:v>17.34</c:v>
                </c:pt>
                <c:pt idx="33">
                  <c:v>16.920000000000002</c:v>
                </c:pt>
                <c:pt idx="34">
                  <c:v>16.71</c:v>
                </c:pt>
                <c:pt idx="35">
                  <c:v>16.97</c:v>
                </c:pt>
                <c:pt idx="36">
                  <c:v>15.82</c:v>
                </c:pt>
                <c:pt idx="37">
                  <c:v>15.32</c:v>
                </c:pt>
                <c:pt idx="38">
                  <c:v>14.61</c:v>
                </c:pt>
                <c:pt idx="39">
                  <c:v>14.88</c:v>
                </c:pt>
                <c:pt idx="40">
                  <c:v>15.42</c:v>
                </c:pt>
                <c:pt idx="41">
                  <c:v>15.63</c:v>
                </c:pt>
                <c:pt idx="42">
                  <c:v>14.09</c:v>
                </c:pt>
                <c:pt idx="43">
                  <c:v>14.57</c:v>
                </c:pt>
                <c:pt idx="44">
                  <c:v>14.25</c:v>
                </c:pt>
                <c:pt idx="45">
                  <c:v>13.94</c:v>
                </c:pt>
                <c:pt idx="46">
                  <c:v>15.52</c:v>
                </c:pt>
                <c:pt idx="47">
                  <c:v>16</c:v>
                </c:pt>
                <c:pt idx="48">
                  <c:v>15.99</c:v>
                </c:pt>
                <c:pt idx="49">
                  <c:v>13.84</c:v>
                </c:pt>
                <c:pt idx="50">
                  <c:v>15.62</c:v>
                </c:pt>
                <c:pt idx="51">
                  <c:v>15.04</c:v>
                </c:pt>
                <c:pt idx="52">
                  <c:v>15.45</c:v>
                </c:pt>
                <c:pt idx="53">
                  <c:v>15.29</c:v>
                </c:pt>
                <c:pt idx="54">
                  <c:v>16.14</c:v>
                </c:pt>
                <c:pt idx="55">
                  <c:v>18.53</c:v>
                </c:pt>
                <c:pt idx="56">
                  <c:v>21.62</c:v>
                </c:pt>
                <c:pt idx="57">
                  <c:v>27.02</c:v>
                </c:pt>
                <c:pt idx="58">
                  <c:v>26.37</c:v>
                </c:pt>
                <c:pt idx="59">
                  <c:v>26.32</c:v>
                </c:pt>
                <c:pt idx="60">
                  <c:v>25.87</c:v>
                </c:pt>
                <c:pt idx="61">
                  <c:v>25.59</c:v>
                </c:pt>
                <c:pt idx="62">
                  <c:v>24.85</c:v>
                </c:pt>
                <c:pt idx="63">
                  <c:v>28.75</c:v>
                </c:pt>
                <c:pt idx="64">
                  <c:v>26.72</c:v>
                </c:pt>
                <c:pt idx="65">
                  <c:v>26.92</c:v>
                </c:pt>
                <c:pt idx="66">
                  <c:v>25.51</c:v>
                </c:pt>
                <c:pt idx="67">
                  <c:v>26.85</c:v>
                </c:pt>
                <c:pt idx="68">
                  <c:v>28.24</c:v>
                </c:pt>
                <c:pt idx="69">
                  <c:v>27.62</c:v>
                </c:pt>
                <c:pt idx="70">
                  <c:v>25.93</c:v>
                </c:pt>
                <c:pt idx="71">
                  <c:v>29.47</c:v>
                </c:pt>
                <c:pt idx="72">
                  <c:v>28.11</c:v>
                </c:pt>
                <c:pt idx="73">
                  <c:v>32.130000000000003</c:v>
                </c:pt>
                <c:pt idx="74">
                  <c:v>33.130000000000003</c:v>
                </c:pt>
                <c:pt idx="75">
                  <c:v>33.49</c:v>
                </c:pt>
                <c:pt idx="76">
                  <c:v>30.97</c:v>
                </c:pt>
                <c:pt idx="77">
                  <c:v>32.229999999999997</c:v>
                </c:pt>
                <c:pt idx="78">
                  <c:v>31.84</c:v>
                </c:pt>
                <c:pt idx="79">
                  <c:v>34.5</c:v>
                </c:pt>
                <c:pt idx="80">
                  <c:v>37.9</c:v>
                </c:pt>
                <c:pt idx="81">
                  <c:v>32.380000000000003</c:v>
                </c:pt>
                <c:pt idx="82">
                  <c:v>32.46</c:v>
                </c:pt>
                <c:pt idx="83">
                  <c:v>31.03</c:v>
                </c:pt>
                <c:pt idx="84">
                  <c:v>34.01</c:v>
                </c:pt>
                <c:pt idx="85">
                  <c:v>39.119999999999997</c:v>
                </c:pt>
                <c:pt idx="86">
                  <c:v>28.61</c:v>
                </c:pt>
                <c:pt idx="87">
                  <c:v>25.86</c:v>
                </c:pt>
                <c:pt idx="88">
                  <c:v>25.61</c:v>
                </c:pt>
                <c:pt idx="89">
                  <c:v>25.66</c:v>
                </c:pt>
                <c:pt idx="90">
                  <c:v>27.03</c:v>
                </c:pt>
                <c:pt idx="91">
                  <c:v>26.32</c:v>
                </c:pt>
                <c:pt idx="92">
                  <c:v>25.13</c:v>
                </c:pt>
                <c:pt idx="93">
                  <c:v>29.19</c:v>
                </c:pt>
                <c:pt idx="94">
                  <c:v>29.66</c:v>
                </c:pt>
                <c:pt idx="95">
                  <c:v>26.95</c:v>
                </c:pt>
                <c:pt idx="96">
                  <c:v>28.33</c:v>
                </c:pt>
                <c:pt idx="97">
                  <c:v>26.19</c:v>
                </c:pt>
                <c:pt idx="98">
                  <c:v>25.52</c:v>
                </c:pt>
                <c:pt idx="99">
                  <c:v>27.46</c:v>
                </c:pt>
                <c:pt idx="100">
                  <c:v>28.14</c:v>
                </c:pt>
                <c:pt idx="101">
                  <c:v>26.57</c:v>
                </c:pt>
                <c:pt idx="102">
                  <c:v>27.36</c:v>
                </c:pt>
                <c:pt idx="103">
                  <c:v>29.32</c:v>
                </c:pt>
                <c:pt idx="104">
                  <c:v>30.12</c:v>
                </c:pt>
                <c:pt idx="105">
                  <c:v>34.369999999999997</c:v>
                </c:pt>
                <c:pt idx="106">
                  <c:v>36.6</c:v>
                </c:pt>
                <c:pt idx="107">
                  <c:v>33.6</c:v>
                </c:pt>
                <c:pt idx="108">
                  <c:v>32.020000000000003</c:v>
                </c:pt>
                <c:pt idx="109">
                  <c:v>27.08</c:v>
                </c:pt>
                <c:pt idx="110">
                  <c:v>28.46</c:v>
                </c:pt>
                <c:pt idx="111">
                  <c:v>24.28</c:v>
                </c:pt>
                <c:pt idx="112">
                  <c:v>23.21</c:v>
                </c:pt>
                <c:pt idx="113">
                  <c:v>24.88</c:v>
                </c:pt>
                <c:pt idx="114">
                  <c:v>23.86</c:v>
                </c:pt>
                <c:pt idx="115">
                  <c:v>18.32</c:v>
                </c:pt>
                <c:pt idx="116">
                  <c:v>18.97</c:v>
                </c:pt>
                <c:pt idx="117">
                  <c:v>19.55</c:v>
                </c:pt>
                <c:pt idx="118">
                  <c:v>18.850000000000001</c:v>
                </c:pt>
                <c:pt idx="119">
                  <c:v>16.100000000000001</c:v>
                </c:pt>
                <c:pt idx="120">
                  <c:v>14.95</c:v>
                </c:pt>
                <c:pt idx="121">
                  <c:v>15.14</c:v>
                </c:pt>
                <c:pt idx="122">
                  <c:v>15.64</c:v>
                </c:pt>
                <c:pt idx="123">
                  <c:v>16.43</c:v>
                </c:pt>
                <c:pt idx="124">
                  <c:v>17.239999999999998</c:v>
                </c:pt>
                <c:pt idx="125">
                  <c:v>17.73</c:v>
                </c:pt>
                <c:pt idx="126">
                  <c:v>19.47</c:v>
                </c:pt>
                <c:pt idx="127">
                  <c:v>18.600000000000001</c:v>
                </c:pt>
                <c:pt idx="128">
                  <c:v>16.260000000000002</c:v>
                </c:pt>
                <c:pt idx="129">
                  <c:v>18.8</c:v>
                </c:pt>
                <c:pt idx="130">
                  <c:v>20.64</c:v>
                </c:pt>
                <c:pt idx="131">
                  <c:v>22.81</c:v>
                </c:pt>
                <c:pt idx="132">
                  <c:v>23.46</c:v>
                </c:pt>
                <c:pt idx="133">
                  <c:v>21.05</c:v>
                </c:pt>
                <c:pt idx="134">
                  <c:v>21.13</c:v>
                </c:pt>
                <c:pt idx="135">
                  <c:v>20.149999999999999</c:v>
                </c:pt>
                <c:pt idx="136">
                  <c:v>17.690000000000001</c:v>
                </c:pt>
                <c:pt idx="137">
                  <c:v>18.989999999999998</c:v>
                </c:pt>
                <c:pt idx="138">
                  <c:v>18.91</c:v>
                </c:pt>
                <c:pt idx="139">
                  <c:v>18.059999999999999</c:v>
                </c:pt>
                <c:pt idx="140">
                  <c:v>19</c:v>
                </c:pt>
                <c:pt idx="141">
                  <c:v>19.25</c:v>
                </c:pt>
                <c:pt idx="142">
                  <c:v>18.73</c:v>
                </c:pt>
                <c:pt idx="143">
                  <c:v>25.2</c:v>
                </c:pt>
                <c:pt idx="144">
                  <c:v>24.84</c:v>
                </c:pt>
                <c:pt idx="145">
                  <c:v>24.37</c:v>
                </c:pt>
                <c:pt idx="146">
                  <c:v>25.25</c:v>
                </c:pt>
                <c:pt idx="147">
                  <c:v>25.41</c:v>
                </c:pt>
                <c:pt idx="148">
                  <c:v>25.04</c:v>
                </c:pt>
                <c:pt idx="149">
                  <c:v>24.6</c:v>
                </c:pt>
                <c:pt idx="150">
                  <c:v>26.13</c:v>
                </c:pt>
                <c:pt idx="151">
                  <c:v>23.29</c:v>
                </c:pt>
                <c:pt idx="152">
                  <c:v>23.93</c:v>
                </c:pt>
                <c:pt idx="153">
                  <c:v>21.95</c:v>
                </c:pt>
                <c:pt idx="154">
                  <c:v>20.97</c:v>
                </c:pt>
                <c:pt idx="155">
                  <c:v>21.864000000000001</c:v>
                </c:pt>
                <c:pt idx="156">
                  <c:v>21.68</c:v>
                </c:pt>
                <c:pt idx="157">
                  <c:v>24.238</c:v>
                </c:pt>
                <c:pt idx="158">
                  <c:v>24.07</c:v>
                </c:pt>
                <c:pt idx="159">
                  <c:v>24.288</c:v>
                </c:pt>
                <c:pt idx="160">
                  <c:v>26.167999999999999</c:v>
                </c:pt>
                <c:pt idx="161">
                  <c:v>25.238</c:v>
                </c:pt>
                <c:pt idx="162">
                  <c:v>22.603000000000002</c:v>
                </c:pt>
                <c:pt idx="163">
                  <c:v>23.356000000000002</c:v>
                </c:pt>
                <c:pt idx="164">
                  <c:v>25.273</c:v>
                </c:pt>
                <c:pt idx="165">
                  <c:v>26.919</c:v>
                </c:pt>
                <c:pt idx="166">
                  <c:v>27.795000000000002</c:v>
                </c:pt>
                <c:pt idx="167">
                  <c:v>30.667000000000002</c:v>
                </c:pt>
                <c:pt idx="168">
                  <c:v>26.437000000000001</c:v>
                </c:pt>
                <c:pt idx="169">
                  <c:v>28.228999999999999</c:v>
                </c:pt>
                <c:pt idx="170">
                  <c:v>32.286000000000001</c:v>
                </c:pt>
                <c:pt idx="171">
                  <c:v>26.57</c:v>
                </c:pt>
                <c:pt idx="172">
                  <c:v>23.077999999999999</c:v>
                </c:pt>
                <c:pt idx="173">
                  <c:v>25.742999999999999</c:v>
                </c:pt>
                <c:pt idx="174">
                  <c:v>23</c:v>
                </c:pt>
                <c:pt idx="175">
                  <c:v>17.428999999999998</c:v>
                </c:pt>
                <c:pt idx="176">
                  <c:v>13.379</c:v>
                </c:pt>
                <c:pt idx="177">
                  <c:v>11.46</c:v>
                </c:pt>
                <c:pt idx="178">
                  <c:v>10.617000000000001</c:v>
                </c:pt>
                <c:pt idx="179">
                  <c:v>10.823</c:v>
                </c:pt>
                <c:pt idx="180">
                  <c:v>11.69</c:v>
                </c:pt>
                <c:pt idx="181">
                  <c:v>11.944000000000001</c:v>
                </c:pt>
                <c:pt idx="182">
                  <c:v>11.35</c:v>
                </c:pt>
                <c:pt idx="183">
                  <c:v>11.272</c:v>
                </c:pt>
                <c:pt idx="184">
                  <c:v>9.8719999999999999</c:v>
                </c:pt>
                <c:pt idx="185">
                  <c:v>9.5459999999999994</c:v>
                </c:pt>
                <c:pt idx="186">
                  <c:v>9.4320000000000004</c:v>
                </c:pt>
                <c:pt idx="187">
                  <c:v>8.6980000000000004</c:v>
                </c:pt>
                <c:pt idx="188">
                  <c:v>8.3460000000000001</c:v>
                </c:pt>
                <c:pt idx="189">
                  <c:v>7.7409999999999997</c:v>
                </c:pt>
                <c:pt idx="190">
                  <c:v>7.4720000000000004</c:v>
                </c:pt>
                <c:pt idx="191">
                  <c:v>6.7560000000000002</c:v>
                </c:pt>
                <c:pt idx="192">
                  <c:v>7.1390000000000002</c:v>
                </c:pt>
                <c:pt idx="193">
                  <c:v>7.9240000000000004</c:v>
                </c:pt>
                <c:pt idx="194">
                  <c:v>7.5629999999999997</c:v>
                </c:pt>
                <c:pt idx="195">
                  <c:v>7.7960000000000003</c:v>
                </c:pt>
                <c:pt idx="196">
                  <c:v>7.8319999999999999</c:v>
                </c:pt>
                <c:pt idx="197">
                  <c:v>8.0649999999999995</c:v>
                </c:pt>
                <c:pt idx="198">
                  <c:v>7.9729999999999999</c:v>
                </c:pt>
                <c:pt idx="199">
                  <c:v>8.7230000000000008</c:v>
                </c:pt>
                <c:pt idx="200">
                  <c:v>9.0500000000000007</c:v>
                </c:pt>
                <c:pt idx="201">
                  <c:v>8.8930000000000007</c:v>
                </c:pt>
                <c:pt idx="202">
                  <c:v>9.06</c:v>
                </c:pt>
                <c:pt idx="203">
                  <c:v>9.0009999999999994</c:v>
                </c:pt>
                <c:pt idx="204">
                  <c:v>10.003</c:v>
                </c:pt>
                <c:pt idx="205">
                  <c:v>10.154999999999999</c:v>
                </c:pt>
                <c:pt idx="206">
                  <c:v>9.3049999999999997</c:v>
                </c:pt>
                <c:pt idx="207">
                  <c:v>9.6280000000000001</c:v>
                </c:pt>
                <c:pt idx="208">
                  <c:v>9.327</c:v>
                </c:pt>
                <c:pt idx="209">
                  <c:v>8.9760000000000009</c:v>
                </c:pt>
                <c:pt idx="210">
                  <c:v>8.8970000000000002</c:v>
                </c:pt>
                <c:pt idx="211">
                  <c:v>9.4019999999999992</c:v>
                </c:pt>
                <c:pt idx="212">
                  <c:v>9.4410000000000007</c:v>
                </c:pt>
                <c:pt idx="213">
                  <c:v>8.3800000000000008</c:v>
                </c:pt>
                <c:pt idx="214">
                  <c:v>8.1349999999999998</c:v>
                </c:pt>
                <c:pt idx="215">
                  <c:v>7.7069999999999999</c:v>
                </c:pt>
                <c:pt idx="216">
                  <c:v>7.7430000000000003</c:v>
                </c:pt>
                <c:pt idx="217">
                  <c:v>9.64</c:v>
                </c:pt>
                <c:pt idx="218">
                  <c:v>8.5310000000000006</c:v>
                </c:pt>
                <c:pt idx="219">
                  <c:v>7.9489999999999998</c:v>
                </c:pt>
                <c:pt idx="220">
                  <c:v>9.1489999999999991</c:v>
                </c:pt>
                <c:pt idx="221">
                  <c:v>12.135999999999999</c:v>
                </c:pt>
                <c:pt idx="222">
                  <c:v>12.256</c:v>
                </c:pt>
                <c:pt idx="223">
                  <c:v>11.739000000000001</c:v>
                </c:pt>
                <c:pt idx="224">
                  <c:v>12.903</c:v>
                </c:pt>
                <c:pt idx="225">
                  <c:v>12.885</c:v>
                </c:pt>
                <c:pt idx="226">
                  <c:v>13.627000000000001</c:v>
                </c:pt>
                <c:pt idx="227">
                  <c:v>13.928000000000001</c:v>
                </c:pt>
                <c:pt idx="228">
                  <c:v>13.101000000000001</c:v>
                </c:pt>
                <c:pt idx="229">
                  <c:v>12.233000000000001</c:v>
                </c:pt>
                <c:pt idx="230">
                  <c:v>12.82</c:v>
                </c:pt>
                <c:pt idx="231">
                  <c:v>13.617000000000001</c:v>
                </c:pt>
                <c:pt idx="232">
                  <c:v>14.839</c:v>
                </c:pt>
                <c:pt idx="233">
                  <c:v>13</c:v>
                </c:pt>
                <c:pt idx="234">
                  <c:v>13.583</c:v>
                </c:pt>
                <c:pt idx="235">
                  <c:v>15.209</c:v>
                </c:pt>
                <c:pt idx="236">
                  <c:v>15.32</c:v>
                </c:pt>
                <c:pt idx="237">
                  <c:v>15.897</c:v>
                </c:pt>
                <c:pt idx="238">
                  <c:v>17.95</c:v>
                </c:pt>
                <c:pt idx="239">
                  <c:v>17.977</c:v>
                </c:pt>
                <c:pt idx="240">
                  <c:v>12.688000000000001</c:v>
                </c:pt>
                <c:pt idx="241">
                  <c:v>12.587999999999999</c:v>
                </c:pt>
                <c:pt idx="242">
                  <c:v>11.827999999999999</c:v>
                </c:pt>
                <c:pt idx="243">
                  <c:v>11.01</c:v>
                </c:pt>
                <c:pt idx="244">
                  <c:v>11.654999999999999</c:v>
                </c:pt>
                <c:pt idx="245">
                  <c:v>13.535</c:v>
                </c:pt>
                <c:pt idx="246">
                  <c:v>14.885</c:v>
                </c:pt>
                <c:pt idx="247">
                  <c:v>12.856999999999999</c:v>
                </c:pt>
                <c:pt idx="248">
                  <c:v>12.531000000000001</c:v>
                </c:pt>
                <c:pt idx="249">
                  <c:v>10.51</c:v>
                </c:pt>
                <c:pt idx="250">
                  <c:v>13.74</c:v>
                </c:pt>
                <c:pt idx="251">
                  <c:v>15.025</c:v>
                </c:pt>
                <c:pt idx="252">
                  <c:v>18.251000000000001</c:v>
                </c:pt>
                <c:pt idx="253">
                  <c:v>16.254000000000001</c:v>
                </c:pt>
                <c:pt idx="254">
                  <c:v>25.081</c:v>
                </c:pt>
                <c:pt idx="255">
                  <c:v>24.530999999999999</c:v>
                </c:pt>
                <c:pt idx="256">
                  <c:v>26.158000000000001</c:v>
                </c:pt>
                <c:pt idx="257">
                  <c:v>26.533999999999999</c:v>
                </c:pt>
                <c:pt idx="258">
                  <c:v>29.710999999999999</c:v>
                </c:pt>
                <c:pt idx="259">
                  <c:v>28.849</c:v>
                </c:pt>
                <c:pt idx="260">
                  <c:v>29.521000000000001</c:v>
                </c:pt>
                <c:pt idx="261">
                  <c:v>32.472999999999999</c:v>
                </c:pt>
                <c:pt idx="262">
                  <c:v>31.698</c:v>
                </c:pt>
                <c:pt idx="263">
                  <c:v>35.174999999999997</c:v>
                </c:pt>
                <c:pt idx="264">
                  <c:v>37.953000000000003</c:v>
                </c:pt>
                <c:pt idx="265">
                  <c:v>34.366</c:v>
                </c:pt>
                <c:pt idx="266">
                  <c:v>31.861000000000001</c:v>
                </c:pt>
                <c:pt idx="267">
                  <c:v>33.962000000000003</c:v>
                </c:pt>
                <c:pt idx="268">
                  <c:v>30.998999999999999</c:v>
                </c:pt>
                <c:pt idx="269">
                  <c:v>35.095999999999997</c:v>
                </c:pt>
                <c:pt idx="270">
                  <c:v>36.030999999999999</c:v>
                </c:pt>
                <c:pt idx="271">
                  <c:v>37.783999999999999</c:v>
                </c:pt>
                <c:pt idx="272">
                  <c:v>34.636000000000003</c:v>
                </c:pt>
                <c:pt idx="273">
                  <c:v>31.687999999999999</c:v>
                </c:pt>
                <c:pt idx="274">
                  <c:v>32.798999999999999</c:v>
                </c:pt>
                <c:pt idx="275">
                  <c:v>34.762999999999998</c:v>
                </c:pt>
                <c:pt idx="276">
                  <c:v>30.375</c:v>
                </c:pt>
                <c:pt idx="277">
                  <c:v>24.841999999999999</c:v>
                </c:pt>
                <c:pt idx="278">
                  <c:v>24.602</c:v>
                </c:pt>
                <c:pt idx="279">
                  <c:v>27.715</c:v>
                </c:pt>
                <c:pt idx="280">
                  <c:v>28.457000000000001</c:v>
                </c:pt>
                <c:pt idx="281">
                  <c:v>31.457000000000001</c:v>
                </c:pt>
                <c:pt idx="282">
                  <c:v>34.466999999999999</c:v>
                </c:pt>
                <c:pt idx="283">
                  <c:v>35.247999999999998</c:v>
                </c:pt>
                <c:pt idx="284">
                  <c:v>39.292999999999999</c:v>
                </c:pt>
                <c:pt idx="285">
                  <c:v>46.338999999999999</c:v>
                </c:pt>
                <c:pt idx="286">
                  <c:v>50.499000000000002</c:v>
                </c:pt>
                <c:pt idx="287">
                  <c:v>50.268000000000001</c:v>
                </c:pt>
                <c:pt idx="288">
                  <c:v>46.7</c:v>
                </c:pt>
                <c:pt idx="289">
                  <c:v>43.594000000000001</c:v>
                </c:pt>
                <c:pt idx="290">
                  <c:v>41.000999999999998</c:v>
                </c:pt>
                <c:pt idx="291">
                  <c:v>41.072000000000003</c:v>
                </c:pt>
                <c:pt idx="292">
                  <c:v>42.17</c:v>
                </c:pt>
                <c:pt idx="293">
                  <c:v>42.680999999999997</c:v>
                </c:pt>
                <c:pt idx="294">
                  <c:v>43.100999999999999</c:v>
                </c:pt>
                <c:pt idx="295">
                  <c:v>38.200000000000003</c:v>
                </c:pt>
                <c:pt idx="296">
                  <c:v>41.401000000000003</c:v>
                </c:pt>
                <c:pt idx="297">
                  <c:v>42.854999999999997</c:v>
                </c:pt>
                <c:pt idx="298">
                  <c:v>41.396000000000001</c:v>
                </c:pt>
                <c:pt idx="299">
                  <c:v>39.39</c:v>
                </c:pt>
                <c:pt idx="300">
                  <c:v>43.466000000000001</c:v>
                </c:pt>
                <c:pt idx="301">
                  <c:v>46.22</c:v>
                </c:pt>
                <c:pt idx="302">
                  <c:v>37.091000000000001</c:v>
                </c:pt>
                <c:pt idx="303">
                  <c:v>39.716999999999999</c:v>
                </c:pt>
                <c:pt idx="304">
                  <c:v>37.444000000000003</c:v>
                </c:pt>
                <c:pt idx="305">
                  <c:v>35.926000000000002</c:v>
                </c:pt>
                <c:pt idx="306">
                  <c:v>37.468000000000004</c:v>
                </c:pt>
                <c:pt idx="307">
                  <c:v>38.164000000000001</c:v>
                </c:pt>
                <c:pt idx="308">
                  <c:v>34.359000000000002</c:v>
                </c:pt>
                <c:pt idx="309">
                  <c:v>36.456000000000003</c:v>
                </c:pt>
                <c:pt idx="310">
                  <c:v>36.798999999999999</c:v>
                </c:pt>
                <c:pt idx="311">
                  <c:v>39.005000000000003</c:v>
                </c:pt>
                <c:pt idx="312">
                  <c:v>43.341000000000001</c:v>
                </c:pt>
                <c:pt idx="313">
                  <c:v>44.508000000000003</c:v>
                </c:pt>
                <c:pt idx="314">
                  <c:v>43.956000000000003</c:v>
                </c:pt>
                <c:pt idx="315">
                  <c:v>42.503999999999998</c:v>
                </c:pt>
                <c:pt idx="316">
                  <c:v>43.75</c:v>
                </c:pt>
                <c:pt idx="317">
                  <c:v>44.439</c:v>
                </c:pt>
                <c:pt idx="318">
                  <c:v>44.79</c:v>
                </c:pt>
                <c:pt idx="319">
                  <c:v>46.848999999999997</c:v>
                </c:pt>
                <c:pt idx="320">
                  <c:v>49.015000000000001</c:v>
                </c:pt>
                <c:pt idx="321">
                  <c:v>43.692</c:v>
                </c:pt>
                <c:pt idx="322">
                  <c:v>44.801000000000002</c:v>
                </c:pt>
                <c:pt idx="323">
                  <c:v>47.5</c:v>
                </c:pt>
                <c:pt idx="324">
                  <c:v>49.774999999999999</c:v>
                </c:pt>
                <c:pt idx="325">
                  <c:v>48.911999999999999</c:v>
                </c:pt>
                <c:pt idx="326">
                  <c:v>51.81</c:v>
                </c:pt>
                <c:pt idx="327">
                  <c:v>47.005000000000003</c:v>
                </c:pt>
                <c:pt idx="328">
                  <c:v>48.475000000000001</c:v>
                </c:pt>
                <c:pt idx="329">
                  <c:v>49.5</c:v>
                </c:pt>
                <c:pt idx="330">
                  <c:v>54.1</c:v>
                </c:pt>
                <c:pt idx="331">
                  <c:v>53.335000000000001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EB-4F79-B83C-AF3F03699FF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-0.10951167410027607</c:v>
                </c:pt>
                <c:pt idx="1">
                  <c:v>-0.10942647690027606</c:v>
                </c:pt>
                <c:pt idx="2">
                  <c:v>-0.10709569028340857</c:v>
                </c:pt>
                <c:pt idx="3">
                  <c:v>-0.10946062550594378</c:v>
                </c:pt>
                <c:pt idx="4">
                  <c:v>-0.10846178508441769</c:v>
                </c:pt>
                <c:pt idx="5">
                  <c:v>-0.10910655972672537</c:v>
                </c:pt>
                <c:pt idx="6">
                  <c:v>-0.10633021837062782</c:v>
                </c:pt>
                <c:pt idx="7">
                  <c:v>-0.1018279076286025</c:v>
                </c:pt>
                <c:pt idx="8">
                  <c:v>-9.4900351535514946E-2</c:v>
                </c:pt>
                <c:pt idx="9">
                  <c:v>-9.8950086343906563E-2</c:v>
                </c:pt>
                <c:pt idx="10">
                  <c:v>-0.10028937416498764</c:v>
                </c:pt>
                <c:pt idx="11">
                  <c:v>-9.7636838252641953E-2</c:v>
                </c:pt>
                <c:pt idx="12">
                  <c:v>-0.10017044328793608</c:v>
                </c:pt>
                <c:pt idx="13">
                  <c:v>-0.10008445528793607</c:v>
                </c:pt>
                <c:pt idx="14">
                  <c:v>-0.10013818837365035</c:v>
                </c:pt>
                <c:pt idx="15">
                  <c:v>-9.9287452467865217E-2</c:v>
                </c:pt>
                <c:pt idx="16">
                  <c:v>-9.9604731460636295E-2</c:v>
                </c:pt>
                <c:pt idx="17">
                  <c:v>-9.9173325414873587E-2</c:v>
                </c:pt>
                <c:pt idx="18">
                  <c:v>-9.9246117540246717E-2</c:v>
                </c:pt>
                <c:pt idx="19">
                  <c:v>-9.9313849242685728E-2</c:v>
                </c:pt>
                <c:pt idx="20">
                  <c:v>-9.8995049817398387E-2</c:v>
                </c:pt>
                <c:pt idx="21">
                  <c:v>-9.8311111370339557E-2</c:v>
                </c:pt>
                <c:pt idx="22">
                  <c:v>-9.7533396432078687E-2</c:v>
                </c:pt>
                <c:pt idx="23">
                  <c:v>-9.6383908403059076E-2</c:v>
                </c:pt>
                <c:pt idx="24">
                  <c:v>-9.5829245380123301E-2</c:v>
                </c:pt>
                <c:pt idx="25">
                  <c:v>-9.5001904615258426E-2</c:v>
                </c:pt>
                <c:pt idx="26">
                  <c:v>-9.4115239658115551E-2</c:v>
                </c:pt>
                <c:pt idx="27">
                  <c:v>-9.5272352493953702E-2</c:v>
                </c:pt>
                <c:pt idx="28">
                  <c:v>-9.4974037745410009E-2</c:v>
                </c:pt>
                <c:pt idx="29">
                  <c:v>-9.413536996618925E-2</c:v>
                </c:pt>
                <c:pt idx="30">
                  <c:v>-9.3523281453584198E-2</c:v>
                </c:pt>
                <c:pt idx="31">
                  <c:v>-9.1662198955250879E-2</c:v>
                </c:pt>
                <c:pt idx="32">
                  <c:v>-9.0396279079515585E-2</c:v>
                </c:pt>
                <c:pt idx="33">
                  <c:v>-9.1393489952592485E-2</c:v>
                </c:pt>
                <c:pt idx="34">
                  <c:v>-9.1412055224932912E-2</c:v>
                </c:pt>
                <c:pt idx="35">
                  <c:v>-9.0227196767038179E-2</c:v>
                </c:pt>
                <c:pt idx="36">
                  <c:v>-9.1284886642603799E-2</c:v>
                </c:pt>
                <c:pt idx="37">
                  <c:v>-9.1207456671872106E-2</c:v>
                </c:pt>
                <c:pt idx="38">
                  <c:v>-9.1795705796316546E-2</c:v>
                </c:pt>
                <c:pt idx="39">
                  <c:v>-9.133684699866948E-2</c:v>
                </c:pt>
                <c:pt idx="40">
                  <c:v>-9.0335640772863032E-2</c:v>
                </c:pt>
                <c:pt idx="41">
                  <c:v>-8.6062940866312818E-2</c:v>
                </c:pt>
                <c:pt idx="42">
                  <c:v>-8.7689680660822611E-2</c:v>
                </c:pt>
                <c:pt idx="43">
                  <c:v>-8.6879719527489283E-2</c:v>
                </c:pt>
                <c:pt idx="44">
                  <c:v>-8.7602303933788511E-2</c:v>
                </c:pt>
                <c:pt idx="45">
                  <c:v>-8.862100277967086E-2</c:v>
                </c:pt>
                <c:pt idx="46">
                  <c:v>-8.7013427695460333E-2</c:v>
                </c:pt>
                <c:pt idx="47">
                  <c:v>-8.5318926549118865E-2</c:v>
                </c:pt>
                <c:pt idx="48">
                  <c:v>-8.5362177232902653E-2</c:v>
                </c:pt>
                <c:pt idx="49">
                  <c:v>-8.0306643313625539E-2</c:v>
                </c:pt>
                <c:pt idx="50">
                  <c:v>-7.8502386113625547E-2</c:v>
                </c:pt>
                <c:pt idx="51">
                  <c:v>-7.9765529040179237E-2</c:v>
                </c:pt>
                <c:pt idx="52">
                  <c:v>-7.8909896340179211E-2</c:v>
                </c:pt>
                <c:pt idx="53">
                  <c:v>-8.0377441632771801E-2</c:v>
                </c:pt>
                <c:pt idx="54">
                  <c:v>-7.9475626854510942E-2</c:v>
                </c:pt>
                <c:pt idx="55">
                  <c:v>-7.8728261947747652E-2</c:v>
                </c:pt>
                <c:pt idx="56">
                  <c:v>-7.584610319774765E-2</c:v>
                </c:pt>
                <c:pt idx="57">
                  <c:v>-6.7018184785721302E-2</c:v>
                </c:pt>
                <c:pt idx="58">
                  <c:v>-6.6559941380548895E-2</c:v>
                </c:pt>
                <c:pt idx="59">
                  <c:v>-6.7110864757042907E-2</c:v>
                </c:pt>
                <c:pt idx="60">
                  <c:v>-6.7735789249122116E-2</c:v>
                </c:pt>
                <c:pt idx="61">
                  <c:v>-6.9353710878037794E-2</c:v>
                </c:pt>
                <c:pt idx="62">
                  <c:v>-6.9051998336658468E-2</c:v>
                </c:pt>
                <c:pt idx="63">
                  <c:v>-6.6685213287393769E-2</c:v>
                </c:pt>
                <c:pt idx="64">
                  <c:v>-6.8204005076282659E-2</c:v>
                </c:pt>
                <c:pt idx="65">
                  <c:v>-6.8041865753968603E-2</c:v>
                </c:pt>
                <c:pt idx="66">
                  <c:v>-6.9556969765908916E-2</c:v>
                </c:pt>
                <c:pt idx="67">
                  <c:v>-6.8752193331226841E-2</c:v>
                </c:pt>
                <c:pt idx="68">
                  <c:v>-6.7831937544883231E-2</c:v>
                </c:pt>
                <c:pt idx="69">
                  <c:v>-6.8285374065443979E-2</c:v>
                </c:pt>
                <c:pt idx="70">
                  <c:v>-6.911819422786436E-2</c:v>
                </c:pt>
                <c:pt idx="71">
                  <c:v>-6.779317644203102E-2</c:v>
                </c:pt>
                <c:pt idx="72">
                  <c:v>-6.8389497048453055E-2</c:v>
                </c:pt>
                <c:pt idx="73">
                  <c:v>-6.7407010508529083E-2</c:v>
                </c:pt>
                <c:pt idx="74">
                  <c:v>-6.6463758919205251E-2</c:v>
                </c:pt>
                <c:pt idx="75">
                  <c:v>-6.5804433439205251E-2</c:v>
                </c:pt>
                <c:pt idx="76">
                  <c:v>-6.6251145167133194E-2</c:v>
                </c:pt>
                <c:pt idx="77">
                  <c:v>-6.5940716979133188E-2</c:v>
                </c:pt>
                <c:pt idx="78">
                  <c:v>-6.564374571649581E-2</c:v>
                </c:pt>
                <c:pt idx="79">
                  <c:v>-6.4714464708474417E-2</c:v>
                </c:pt>
                <c:pt idx="80">
                  <c:v>-6.268664139504157E-2</c:v>
                </c:pt>
                <c:pt idx="81">
                  <c:v>-6.5097471467150433E-2</c:v>
                </c:pt>
                <c:pt idx="82">
                  <c:v>-6.4016109732799281E-2</c:v>
                </c:pt>
                <c:pt idx="83">
                  <c:v>-6.4537780452097515E-2</c:v>
                </c:pt>
                <c:pt idx="84">
                  <c:v>-6.2248584765776771E-2</c:v>
                </c:pt>
                <c:pt idx="85">
                  <c:v>-4.774389865184011E-2</c:v>
                </c:pt>
                <c:pt idx="86">
                  <c:v>-4.0163581887280149E-2</c:v>
                </c:pt>
                <c:pt idx="87">
                  <c:v>-4.1904527258913388E-2</c:v>
                </c:pt>
                <c:pt idx="88">
                  <c:v>-4.2171299146092876E-2</c:v>
                </c:pt>
                <c:pt idx="89">
                  <c:v>-4.2423163503235738E-2</c:v>
                </c:pt>
                <c:pt idx="90">
                  <c:v>-4.203115514169728E-2</c:v>
                </c:pt>
                <c:pt idx="91">
                  <c:v>-4.2919347901190945E-2</c:v>
                </c:pt>
                <c:pt idx="92">
                  <c:v>-4.3569278825493732E-2</c:v>
                </c:pt>
                <c:pt idx="93">
                  <c:v>-4.0289934237478758E-2</c:v>
                </c:pt>
                <c:pt idx="94">
                  <c:v>-3.3832649331215721E-2</c:v>
                </c:pt>
                <c:pt idx="95">
                  <c:v>-3.5641997056077603E-2</c:v>
                </c:pt>
                <c:pt idx="96">
                  <c:v>-3.4697548383519454E-2</c:v>
                </c:pt>
                <c:pt idx="97">
                  <c:v>-3.5682676303718949E-2</c:v>
                </c:pt>
                <c:pt idx="98">
                  <c:v>-3.6480892413845535E-2</c:v>
                </c:pt>
                <c:pt idx="99">
                  <c:v>-3.4042896349666438E-2</c:v>
                </c:pt>
                <c:pt idx="100">
                  <c:v>-3.3347896949666438E-2</c:v>
                </c:pt>
                <c:pt idx="101">
                  <c:v>-3.5112464041191865E-2</c:v>
                </c:pt>
                <c:pt idx="102">
                  <c:v>-3.1137257743648863E-2</c:v>
                </c:pt>
                <c:pt idx="103">
                  <c:v>-3.0387194027758451E-2</c:v>
                </c:pt>
                <c:pt idx="104">
                  <c:v>-2.8640518359576633E-2</c:v>
                </c:pt>
                <c:pt idx="105">
                  <c:v>-2.3624951913267911E-2</c:v>
                </c:pt>
                <c:pt idx="106">
                  <c:v>-1.9053088952102851E-2</c:v>
                </c:pt>
                <c:pt idx="107">
                  <c:v>-1.5710212266519093E-2</c:v>
                </c:pt>
                <c:pt idx="108">
                  <c:v>-1.6803810525315533E-2</c:v>
                </c:pt>
                <c:pt idx="109">
                  <c:v>-2.2025837974648872E-2</c:v>
                </c:pt>
                <c:pt idx="110">
                  <c:v>-2.0327130157982199E-2</c:v>
                </c:pt>
                <c:pt idx="111">
                  <c:v>-2.6190963261903771E-2</c:v>
                </c:pt>
                <c:pt idx="112">
                  <c:v>-2.7318625605447316E-2</c:v>
                </c:pt>
                <c:pt idx="113">
                  <c:v>-2.2883374657171451E-2</c:v>
                </c:pt>
                <c:pt idx="114">
                  <c:v>-1.5164937734586832E-2</c:v>
                </c:pt>
                <c:pt idx="115">
                  <c:v>-1.9037332266287118E-2</c:v>
                </c:pt>
                <c:pt idx="116">
                  <c:v>-1.8520781130251084E-2</c:v>
                </c:pt>
                <c:pt idx="117">
                  <c:v>-1.8356977343458626E-2</c:v>
                </c:pt>
                <c:pt idx="118">
                  <c:v>-1.870112467474068E-2</c:v>
                </c:pt>
                <c:pt idx="119">
                  <c:v>-2.0672486606927415E-2</c:v>
                </c:pt>
                <c:pt idx="120">
                  <c:v>-2.1383814287242377E-2</c:v>
                </c:pt>
                <c:pt idx="121">
                  <c:v>-2.0994491104689185E-2</c:v>
                </c:pt>
                <c:pt idx="122">
                  <c:v>-2.0536314073689187E-2</c:v>
                </c:pt>
                <c:pt idx="123">
                  <c:v>-1.9356462966932431E-2</c:v>
                </c:pt>
                <c:pt idx="124">
                  <c:v>-1.925941031093243E-2</c:v>
                </c:pt>
                <c:pt idx="125">
                  <c:v>-1.7661211385932421E-2</c:v>
                </c:pt>
                <c:pt idx="126">
                  <c:v>-1.7437773009276271E-2</c:v>
                </c:pt>
                <c:pt idx="127">
                  <c:v>-1.8067801936036829E-2</c:v>
                </c:pt>
                <c:pt idx="128">
                  <c:v>-1.9669845880222879E-2</c:v>
                </c:pt>
                <c:pt idx="129">
                  <c:v>-1.814871396994119E-2</c:v>
                </c:pt>
                <c:pt idx="130">
                  <c:v>-1.6917710154041612E-2</c:v>
                </c:pt>
                <c:pt idx="131">
                  <c:v>-1.5407539064769582E-2</c:v>
                </c:pt>
                <c:pt idx="132">
                  <c:v>-1.0075621264769583E-2</c:v>
                </c:pt>
                <c:pt idx="133">
                  <c:v>-1.1817203395767461E-2</c:v>
                </c:pt>
                <c:pt idx="134">
                  <c:v>-1.0738378612962032E-2</c:v>
                </c:pt>
                <c:pt idx="135">
                  <c:v>-1.0599772017850917E-2</c:v>
                </c:pt>
                <c:pt idx="136">
                  <c:v>-1.2081231471751625E-2</c:v>
                </c:pt>
                <c:pt idx="137">
                  <c:v>-1.1726391626980984E-2</c:v>
                </c:pt>
                <c:pt idx="138">
                  <c:v>-1.1810133563678231E-2</c:v>
                </c:pt>
                <c:pt idx="139">
                  <c:v>-1.2087722223926678E-2</c:v>
                </c:pt>
                <c:pt idx="140">
                  <c:v>-1.0843933619865758E-2</c:v>
                </c:pt>
                <c:pt idx="141">
                  <c:v>-9.3240565468320491E-3</c:v>
                </c:pt>
                <c:pt idx="142">
                  <c:v>-1.0215184713960077E-2</c:v>
                </c:pt>
                <c:pt idx="143">
                  <c:v>-7.5396393144491376E-3</c:v>
                </c:pt>
                <c:pt idx="144">
                  <c:v>-9.4623584416680725E-3</c:v>
                </c:pt>
                <c:pt idx="145">
                  <c:v>-9.8971528899439373E-3</c:v>
                </c:pt>
                <c:pt idx="146">
                  <c:v>-8.9091173083649944E-3</c:v>
                </c:pt>
                <c:pt idx="147">
                  <c:v>-7.9286854709818139E-3</c:v>
                </c:pt>
                <c:pt idx="148">
                  <c:v>-5.1088486396092614E-3</c:v>
                </c:pt>
                <c:pt idx="149">
                  <c:v>-6.0195751917831762E-3</c:v>
                </c:pt>
                <c:pt idx="150">
                  <c:v>-2.8326158221146716E-3</c:v>
                </c:pt>
                <c:pt idx="151">
                  <c:v>-6.8021470434198508E-3</c:v>
                </c:pt>
                <c:pt idx="152">
                  <c:v>-4.6588146210897472E-3</c:v>
                </c:pt>
                <c:pt idx="153">
                  <c:v>-4.4863246253415293E-3</c:v>
                </c:pt>
                <c:pt idx="154">
                  <c:v>-5.5527121886581113E-3</c:v>
                </c:pt>
                <c:pt idx="155">
                  <c:v>-5.2960605627807673E-3</c:v>
                </c:pt>
                <c:pt idx="156">
                  <c:v>-5.0840519000928692E-3</c:v>
                </c:pt>
                <c:pt idx="157">
                  <c:v>-3.0548131500928691E-3</c:v>
                </c:pt>
                <c:pt idx="158">
                  <c:v>-2.0930276802029676E-3</c:v>
                </c:pt>
                <c:pt idx="159">
                  <c:v>-1.9408334564721328E-3</c:v>
                </c:pt>
                <c:pt idx="160">
                  <c:v>-3.5815022744470327E-4</c:v>
                </c:pt>
                <c:pt idx="161">
                  <c:v>-3.405267429466247E-4</c:v>
                </c:pt>
                <c:pt idx="162">
                  <c:v>-1.2980316253991711E-3</c:v>
                </c:pt>
                <c:pt idx="163">
                  <c:v>5.3693295306335431E-4</c:v>
                </c:pt>
                <c:pt idx="164">
                  <c:v>2.6975501324876467E-3</c:v>
                </c:pt>
                <c:pt idx="165">
                  <c:v>4.7736821573246754E-3</c:v>
                </c:pt>
                <c:pt idx="166">
                  <c:v>4.4126972570943512E-3</c:v>
                </c:pt>
                <c:pt idx="167">
                  <c:v>5.4361597415124056E-3</c:v>
                </c:pt>
                <c:pt idx="168">
                  <c:v>3.2688208233089301E-3</c:v>
                </c:pt>
                <c:pt idx="169">
                  <c:v>5.1163368264793702E-3</c:v>
                </c:pt>
                <c:pt idx="170">
                  <c:v>1.1211334119348357E-2</c:v>
                </c:pt>
                <c:pt idx="171">
                  <c:v>3.7782459062257012E-3</c:v>
                </c:pt>
                <c:pt idx="172">
                  <c:v>1.6176495163605701E-3</c:v>
                </c:pt>
                <c:pt idx="173">
                  <c:v>9.1193363303926304E-3</c:v>
                </c:pt>
                <c:pt idx="174">
                  <c:v>1.4466022910243331E-2</c:v>
                </c:pt>
                <c:pt idx="175">
                  <c:v>1.7541008492078214E-3</c:v>
                </c:pt>
                <c:pt idx="176">
                  <c:v>-1.5755582689847586E-2</c:v>
                </c:pt>
                <c:pt idx="177">
                  <c:v>-1.7735520983685322E-2</c:v>
                </c:pt>
                <c:pt idx="178">
                  <c:v>-1.842956473914286E-2</c:v>
                </c:pt>
                <c:pt idx="179">
                  <c:v>-1.8252962867885379E-2</c:v>
                </c:pt>
                <c:pt idx="180">
                  <c:v>-1.6355649857317866E-2</c:v>
                </c:pt>
                <c:pt idx="181">
                  <c:v>-1.4477657691522407E-2</c:v>
                </c:pt>
                <c:pt idx="182">
                  <c:v>-1.6373378007565186E-2</c:v>
                </c:pt>
                <c:pt idx="183">
                  <c:v>-1.7884704038263487E-2</c:v>
                </c:pt>
                <c:pt idx="184">
                  <c:v>-2.1587088136129449E-2</c:v>
                </c:pt>
                <c:pt idx="185">
                  <c:v>-2.1884826967090491E-2</c:v>
                </c:pt>
                <c:pt idx="186">
                  <c:v>-2.0937255054056407E-2</c:v>
                </c:pt>
                <c:pt idx="187">
                  <c:v>-2.421081022686155E-2</c:v>
                </c:pt>
                <c:pt idx="188">
                  <c:v>-2.5530451286861551E-2</c:v>
                </c:pt>
                <c:pt idx="189">
                  <c:v>-2.4902894512116844E-2</c:v>
                </c:pt>
                <c:pt idx="190">
                  <c:v>-2.6355910002380432E-2</c:v>
                </c:pt>
                <c:pt idx="191">
                  <c:v>-2.7103472889168652E-2</c:v>
                </c:pt>
                <c:pt idx="192">
                  <c:v>-2.6276699257168655E-2</c:v>
                </c:pt>
                <c:pt idx="193">
                  <c:v>-2.5367686723547757E-2</c:v>
                </c:pt>
                <c:pt idx="194">
                  <c:v>-2.6084776888726666E-2</c:v>
                </c:pt>
                <c:pt idx="195">
                  <c:v>-2.5681332048226663E-2</c:v>
                </c:pt>
                <c:pt idx="196">
                  <c:v>-2.5744372727968524E-2</c:v>
                </c:pt>
                <c:pt idx="197">
                  <c:v>-2.5033018440157432E-2</c:v>
                </c:pt>
                <c:pt idx="198">
                  <c:v>-2.5702392232097273E-2</c:v>
                </c:pt>
                <c:pt idx="199">
                  <c:v>-2.458718394118271E-2</c:v>
                </c:pt>
                <c:pt idx="200">
                  <c:v>-2.4264835158498432E-2</c:v>
                </c:pt>
                <c:pt idx="201">
                  <c:v>-2.4471011537431767E-2</c:v>
                </c:pt>
                <c:pt idx="202">
                  <c:v>-2.4280364978731959E-2</c:v>
                </c:pt>
                <c:pt idx="203">
                  <c:v>-2.4937845810049455E-2</c:v>
                </c:pt>
                <c:pt idx="204">
                  <c:v>-2.3996495976833454E-2</c:v>
                </c:pt>
                <c:pt idx="205">
                  <c:v>-2.2689715463290742E-2</c:v>
                </c:pt>
                <c:pt idx="206">
                  <c:v>-2.3096273142877034E-2</c:v>
                </c:pt>
                <c:pt idx="207">
                  <c:v>-2.308413212237468E-2</c:v>
                </c:pt>
                <c:pt idx="208">
                  <c:v>-2.3145738319477957E-2</c:v>
                </c:pt>
                <c:pt idx="209">
                  <c:v>-2.356245517287053E-2</c:v>
                </c:pt>
                <c:pt idx="210">
                  <c:v>-2.3958234818882804E-2</c:v>
                </c:pt>
                <c:pt idx="211">
                  <c:v>-2.3514097147108157E-2</c:v>
                </c:pt>
                <c:pt idx="212">
                  <c:v>-2.4531831684387308E-2</c:v>
                </c:pt>
                <c:pt idx="213">
                  <c:v>-2.2638726471735777E-2</c:v>
                </c:pt>
                <c:pt idx="214">
                  <c:v>-2.3705896720639656E-2</c:v>
                </c:pt>
                <c:pt idx="215">
                  <c:v>-2.5492379500803145E-2</c:v>
                </c:pt>
                <c:pt idx="216">
                  <c:v>-2.6453686266692034E-2</c:v>
                </c:pt>
                <c:pt idx="217">
                  <c:v>-2.3991561636009209E-2</c:v>
                </c:pt>
                <c:pt idx="218">
                  <c:v>-2.7292167665013214E-2</c:v>
                </c:pt>
                <c:pt idx="219">
                  <c:v>-2.8775421577881048E-2</c:v>
                </c:pt>
                <c:pt idx="220">
                  <c:v>-2.6682741354120066E-2</c:v>
                </c:pt>
                <c:pt idx="221">
                  <c:v>-2.4141389224120065E-2</c:v>
                </c:pt>
                <c:pt idx="222">
                  <c:v>-2.4710600503736316E-2</c:v>
                </c:pt>
                <c:pt idx="223">
                  <c:v>-2.3752800506404433E-2</c:v>
                </c:pt>
                <c:pt idx="224">
                  <c:v>-2.3253423282716935E-2</c:v>
                </c:pt>
                <c:pt idx="225">
                  <c:v>-2.3003586723052506E-2</c:v>
                </c:pt>
                <c:pt idx="226">
                  <c:v>-2.2388354277284483E-2</c:v>
                </c:pt>
                <c:pt idx="227">
                  <c:v>-2.1425620013200482E-2</c:v>
                </c:pt>
                <c:pt idx="228">
                  <c:v>-2.1938044458770106E-2</c:v>
                </c:pt>
                <c:pt idx="229">
                  <c:v>-2.240593800726895E-2</c:v>
                </c:pt>
                <c:pt idx="230">
                  <c:v>-2.2294701528649982E-2</c:v>
                </c:pt>
                <c:pt idx="231">
                  <c:v>-2.0786238136717209E-2</c:v>
                </c:pt>
                <c:pt idx="232">
                  <c:v>-1.9661431563656746E-2</c:v>
                </c:pt>
                <c:pt idx="233">
                  <c:v>-2.1433585499930539E-2</c:v>
                </c:pt>
                <c:pt idx="234">
                  <c:v>-2.1756715045788532E-2</c:v>
                </c:pt>
                <c:pt idx="235">
                  <c:v>-1.9401011174466156E-2</c:v>
                </c:pt>
                <c:pt idx="236">
                  <c:v>-1.8205232810707614E-2</c:v>
                </c:pt>
                <c:pt idx="237">
                  <c:v>-1.6488373777306598E-2</c:v>
                </c:pt>
                <c:pt idx="238">
                  <c:v>-1.5443509910215694E-2</c:v>
                </c:pt>
                <c:pt idx="239">
                  <c:v>-1.209700421944261E-2</c:v>
                </c:pt>
                <c:pt idx="240">
                  <c:v>-2.0499823057565043E-2</c:v>
                </c:pt>
                <c:pt idx="241">
                  <c:v>-2.1215416842183223E-2</c:v>
                </c:pt>
                <c:pt idx="242">
                  <c:v>-2.2016158239647858E-2</c:v>
                </c:pt>
                <c:pt idx="243">
                  <c:v>-2.2372527015350478E-2</c:v>
                </c:pt>
                <c:pt idx="244">
                  <c:v>-2.1798659155555081E-2</c:v>
                </c:pt>
                <c:pt idx="245">
                  <c:v>-2.0997477783911041E-2</c:v>
                </c:pt>
                <c:pt idx="246">
                  <c:v>-1.999337665050363E-2</c:v>
                </c:pt>
                <c:pt idx="247">
                  <c:v>-2.2506725133269345E-2</c:v>
                </c:pt>
                <c:pt idx="248">
                  <c:v>-2.3857796216246816E-2</c:v>
                </c:pt>
                <c:pt idx="249">
                  <c:v>-2.5151770091208416E-2</c:v>
                </c:pt>
                <c:pt idx="250">
                  <c:v>-2.4666742300879195E-2</c:v>
                </c:pt>
                <c:pt idx="251">
                  <c:v>-2.3975055544419133E-2</c:v>
                </c:pt>
                <c:pt idx="252">
                  <c:v>-2.295303620165897E-2</c:v>
                </c:pt>
                <c:pt idx="253">
                  <c:v>-2.3851517510082711E-2</c:v>
                </c:pt>
                <c:pt idx="254">
                  <c:v>-2.4509434860051426E-2</c:v>
                </c:pt>
                <c:pt idx="255">
                  <c:v>-2.4179471623329514E-2</c:v>
                </c:pt>
                <c:pt idx="256">
                  <c:v>-2.3753422239275998E-2</c:v>
                </c:pt>
                <c:pt idx="257">
                  <c:v>-2.3285880217097349E-2</c:v>
                </c:pt>
                <c:pt idx="258">
                  <c:v>-2.2495940693719987E-2</c:v>
                </c:pt>
                <c:pt idx="259">
                  <c:v>-2.2114307474832687E-2</c:v>
                </c:pt>
                <c:pt idx="260">
                  <c:v>-2.104944718505438E-2</c:v>
                </c:pt>
                <c:pt idx="261">
                  <c:v>-1.8461285079515423E-2</c:v>
                </c:pt>
                <c:pt idx="262">
                  <c:v>-1.9456201840526662E-2</c:v>
                </c:pt>
                <c:pt idx="263">
                  <c:v>-1.8325679675995167E-2</c:v>
                </c:pt>
                <c:pt idx="264">
                  <c:v>-1.6275463560763252E-2</c:v>
                </c:pt>
                <c:pt idx="265">
                  <c:v>-1.3996001816390758E-2</c:v>
                </c:pt>
                <c:pt idx="266">
                  <c:v>-7.7065524899132664E-3</c:v>
                </c:pt>
                <c:pt idx="267">
                  <c:v>-6.8451716935986175E-3</c:v>
                </c:pt>
                <c:pt idx="268">
                  <c:v>-7.6004067619559693E-3</c:v>
                </c:pt>
                <c:pt idx="269">
                  <c:v>-5.8957690339342386E-3</c:v>
                </c:pt>
                <c:pt idx="270">
                  <c:v>-4.6150245717431655E-3</c:v>
                </c:pt>
                <c:pt idx="271">
                  <c:v>-4.2893922189096208E-3</c:v>
                </c:pt>
                <c:pt idx="272">
                  <c:v>-5.9612097325189226E-3</c:v>
                </c:pt>
                <c:pt idx="273">
                  <c:v>-7.5151861773468127E-3</c:v>
                </c:pt>
                <c:pt idx="274">
                  <c:v>-6.710420997430494E-3</c:v>
                </c:pt>
                <c:pt idx="275">
                  <c:v>-5.6070727484435192E-3</c:v>
                </c:pt>
                <c:pt idx="276">
                  <c:v>-6.874906144355139E-3</c:v>
                </c:pt>
                <c:pt idx="277">
                  <c:v>-8.513000650810008E-3</c:v>
                </c:pt>
                <c:pt idx="278">
                  <c:v>-8.1619679934656093E-3</c:v>
                </c:pt>
                <c:pt idx="279">
                  <c:v>-7.3621656989222963E-3</c:v>
                </c:pt>
                <c:pt idx="280">
                  <c:v>-8.08029561180767E-3</c:v>
                </c:pt>
                <c:pt idx="281">
                  <c:v>-6.4161619792275698E-3</c:v>
                </c:pt>
                <c:pt idx="282">
                  <c:v>-5.4875329828720336E-3</c:v>
                </c:pt>
                <c:pt idx="283">
                  <c:v>-6.3906180871694807E-3</c:v>
                </c:pt>
                <c:pt idx="284">
                  <c:v>-5.2374304310662534E-3</c:v>
                </c:pt>
                <c:pt idx="285">
                  <c:v>-4.598396372071982E-3</c:v>
                </c:pt>
                <c:pt idx="286">
                  <c:v>-3.8597860627418669E-3</c:v>
                </c:pt>
                <c:pt idx="287">
                  <c:v>-4.4151270141108779E-3</c:v>
                </c:pt>
                <c:pt idx="288">
                  <c:v>-4.6008607953704856E-3</c:v>
                </c:pt>
                <c:pt idx="289">
                  <c:v>-6.7159439493579649E-3</c:v>
                </c:pt>
                <c:pt idx="290">
                  <c:v>-6.9570488678626398E-3</c:v>
                </c:pt>
                <c:pt idx="291">
                  <c:v>-6.8491143781371474E-3</c:v>
                </c:pt>
                <c:pt idx="292">
                  <c:v>-6.6164792585364134E-3</c:v>
                </c:pt>
                <c:pt idx="293">
                  <c:v>-6.1030211841622125E-3</c:v>
                </c:pt>
                <c:pt idx="294">
                  <c:v>-6.1449533179782287E-3</c:v>
                </c:pt>
                <c:pt idx="295">
                  <c:v>-7.0354168276471887E-3</c:v>
                </c:pt>
                <c:pt idx="296">
                  <c:v>-6.4646104810143134E-3</c:v>
                </c:pt>
                <c:pt idx="297">
                  <c:v>-6.0147961681556788E-3</c:v>
                </c:pt>
                <c:pt idx="298">
                  <c:v>-6.3219077498747542E-3</c:v>
                </c:pt>
                <c:pt idx="299">
                  <c:v>-6.756181084579929E-3</c:v>
                </c:pt>
                <c:pt idx="300">
                  <c:v>-5.8629109136275484E-3</c:v>
                </c:pt>
                <c:pt idx="301">
                  <c:v>-4.8692183379374226E-3</c:v>
                </c:pt>
                <c:pt idx="302">
                  <c:v>-8.4325873647933414E-3</c:v>
                </c:pt>
                <c:pt idx="303">
                  <c:v>-7.918521568784323E-3</c:v>
                </c:pt>
                <c:pt idx="304">
                  <c:v>-8.4704936507721349E-3</c:v>
                </c:pt>
                <c:pt idx="305">
                  <c:v>-9.1370916897256637E-3</c:v>
                </c:pt>
                <c:pt idx="306">
                  <c:v>-8.6304785682560677E-3</c:v>
                </c:pt>
                <c:pt idx="307">
                  <c:v>-8.5422108427227975E-3</c:v>
                </c:pt>
                <c:pt idx="308">
                  <c:v>-9.2725921259755803E-3</c:v>
                </c:pt>
                <c:pt idx="309">
                  <c:v>-5.9015236070083773E-3</c:v>
                </c:pt>
                <c:pt idx="310">
                  <c:v>-5.4782637487559528E-3</c:v>
                </c:pt>
                <c:pt idx="311">
                  <c:v>-4.4278087858721903E-3</c:v>
                </c:pt>
                <c:pt idx="312">
                  <c:v>-3.913179976615634E-3</c:v>
                </c:pt>
                <c:pt idx="313">
                  <c:v>-3.4360542561492108E-3</c:v>
                </c:pt>
                <c:pt idx="314">
                  <c:v>-2.5661671081238266E-3</c:v>
                </c:pt>
                <c:pt idx="315">
                  <c:v>-2.5064235277759096E-3</c:v>
                </c:pt>
                <c:pt idx="316">
                  <c:v>-1.7824686698234397E-3</c:v>
                </c:pt>
                <c:pt idx="317">
                  <c:v>-2.3392300403788664E-3</c:v>
                </c:pt>
                <c:pt idx="318">
                  <c:v>-2.700851071532825E-3</c:v>
                </c:pt>
                <c:pt idx="319">
                  <c:v>-2.5260938940369865E-3</c:v>
                </c:pt>
                <c:pt idx="320">
                  <c:v>-2.4920666669916549E-3</c:v>
                </c:pt>
                <c:pt idx="321">
                  <c:v>-3.742807012796813E-3</c:v>
                </c:pt>
                <c:pt idx="322">
                  <c:v>-3.1764988725852213E-3</c:v>
                </c:pt>
                <c:pt idx="323">
                  <c:v>-3.1185780413208537E-3</c:v>
                </c:pt>
                <c:pt idx="324">
                  <c:v>-2.2983901336844888E-3</c:v>
                </c:pt>
                <c:pt idx="325">
                  <c:v>-2.7029398823309532E-3</c:v>
                </c:pt>
                <c:pt idx="326">
                  <c:v>-2.0390007433357007E-3</c:v>
                </c:pt>
                <c:pt idx="327">
                  <c:v>-3.6549919521239958E-3</c:v>
                </c:pt>
                <c:pt idx="328">
                  <c:v>-3.6530682167973628E-3</c:v>
                </c:pt>
                <c:pt idx="329">
                  <c:v>-4.0334858498141017E-3</c:v>
                </c:pt>
                <c:pt idx="330">
                  <c:v>-2.9879481599610512E-3</c:v>
                </c:pt>
                <c:pt idx="331">
                  <c:v>-1.7219868930177518E-3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EB-4F79-B83C-AF3F03699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922127"/>
        <c:axId val="938924623"/>
      </c:lineChart>
      <c:dateAx>
        <c:axId val="9389221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924623"/>
        <c:crosses val="autoZero"/>
        <c:auto val="1"/>
        <c:lblOffset val="100"/>
        <c:baseTimeUnit val="days"/>
      </c:dateAx>
      <c:valAx>
        <c:axId val="93892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92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36D4FA6-C4B8-4481-929C-4A5615126499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2A8103-4769-44DF-B3D7-58F767D950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64.900000000000006</v>
      </c>
      <c r="D2" s="4">
        <f>MIN(D3:D1912)</f>
        <v>3.0630000000000002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9.1999999999999993</v>
      </c>
      <c r="C5">
        <v>9.3000000000000007</v>
      </c>
      <c r="D5">
        <v>8.99</v>
      </c>
      <c r="E5">
        <v>8.99</v>
      </c>
      <c r="F5">
        <v>8519.7199999999993</v>
      </c>
      <c r="G5">
        <v>8.99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-8519.7199999999993</v>
      </c>
      <c r="R5">
        <f t="shared" ref="R5" si="2">R6+Q5</f>
        <v>-10951167.410027606</v>
      </c>
      <c r="S5">
        <f t="shared" ref="S5" si="3">R5/100000</f>
        <v>-109.51167410027607</v>
      </c>
      <c r="T5">
        <f t="shared" ref="T5" si="4">S5/1000</f>
        <v>-0.10951167410027607</v>
      </c>
    </row>
    <row r="6" spans="1:20" x14ac:dyDescent="0.25">
      <c r="A6" s="5">
        <v>44587</v>
      </c>
      <c r="B6">
        <v>9.44</v>
      </c>
      <c r="C6">
        <v>10.64</v>
      </c>
      <c r="D6">
        <v>8.98</v>
      </c>
      <c r="E6">
        <v>9.19</v>
      </c>
      <c r="F6">
        <v>312024.65999999997</v>
      </c>
      <c r="G6">
        <v>9.19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-0.7469879518072301</v>
      </c>
      <c r="Q6">
        <f t="shared" ref="Q6" si="6">F6*P6</f>
        <v>-233078.66168674733</v>
      </c>
      <c r="R6">
        <f t="shared" ref="R6" si="7">R7+Q6</f>
        <v>-10942647.690027606</v>
      </c>
      <c r="S6">
        <f t="shared" ref="S6" si="8">R6/100000</f>
        <v>-109.42647690027606</v>
      </c>
      <c r="T6">
        <f t="shared" ref="T6" si="9">S6/1000</f>
        <v>-0.10942647690027606</v>
      </c>
    </row>
    <row r="7" spans="1:20" x14ac:dyDescent="0.25">
      <c r="A7" s="5">
        <v>44586</v>
      </c>
      <c r="B7">
        <v>9.35</v>
      </c>
      <c r="C7">
        <v>9.5399999999999991</v>
      </c>
      <c r="D7">
        <v>8.83</v>
      </c>
      <c r="E7">
        <v>9.44</v>
      </c>
      <c r="F7">
        <v>329236.08</v>
      </c>
      <c r="G7">
        <v>9.44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0.71830985915493017</v>
      </c>
      <c r="Q7">
        <f t="shared" ref="Q7" si="11">F7*P7</f>
        <v>236493.52225352134</v>
      </c>
      <c r="R7">
        <f t="shared" ref="R7" si="12">R8+Q7</f>
        <v>-10709569.028340857</v>
      </c>
      <c r="S7">
        <f t="shared" ref="S7" si="13">R7/100000</f>
        <v>-107.09569028340857</v>
      </c>
      <c r="T7">
        <f t="shared" ref="T7" si="14">S7/1000</f>
        <v>-0.10709569028340857</v>
      </c>
    </row>
    <row r="8" spans="1:20" x14ac:dyDescent="0.25">
      <c r="A8" s="5">
        <v>44585</v>
      </c>
      <c r="B8">
        <v>10.77</v>
      </c>
      <c r="C8">
        <v>10.77</v>
      </c>
      <c r="D8">
        <v>8.2799999999999994</v>
      </c>
      <c r="E8">
        <v>9.34</v>
      </c>
      <c r="F8">
        <v>672192.60800000001</v>
      </c>
      <c r="G8">
        <v>9.34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-0.14859437751003984</v>
      </c>
      <c r="Q8">
        <f t="shared" ref="Q8" si="16">F8*P8</f>
        <v>-99884.042152610229</v>
      </c>
      <c r="R8">
        <f t="shared" ref="R8" si="17">R9+Q8</f>
        <v>-10946062.550594378</v>
      </c>
      <c r="S8">
        <f t="shared" ref="S8" si="18">R8/100000</f>
        <v>-109.46062550594378</v>
      </c>
      <c r="T8">
        <f t="shared" ref="T8" si="19">S8/1000</f>
        <v>-0.10946062550594378</v>
      </c>
    </row>
    <row r="9" spans="1:20" x14ac:dyDescent="0.25">
      <c r="A9" s="5">
        <v>44584</v>
      </c>
      <c r="B9">
        <v>10.49</v>
      </c>
      <c r="C9">
        <v>11.11</v>
      </c>
      <c r="D9">
        <v>10.07</v>
      </c>
      <c r="E9">
        <v>10.77</v>
      </c>
      <c r="F9">
        <v>186268.23</v>
      </c>
      <c r="G9">
        <v>10.77</v>
      </c>
      <c r="L9" t="s">
        <v>7</v>
      </c>
      <c r="M9" t="s">
        <v>7</v>
      </c>
      <c r="N9" t="s">
        <v>7</v>
      </c>
      <c r="P9">
        <f t="shared" ref="P9" si="20">IF(C9=D9,0,((E9-D9)-(C9-E9))/(C9-D9))</f>
        <v>0.34615384615384587</v>
      </c>
      <c r="Q9">
        <f t="shared" ref="Q9" si="21">F9*P9</f>
        <v>64477.464230769183</v>
      </c>
      <c r="R9">
        <f t="shared" ref="R9" si="22">R10+Q9</f>
        <v>-10846178.508441769</v>
      </c>
      <c r="S9">
        <f t="shared" ref="S9" si="23">R9/100000</f>
        <v>-108.46178508441768</v>
      </c>
      <c r="T9">
        <f t="shared" ref="T9" si="24">S9/1000</f>
        <v>-0.10846178508441769</v>
      </c>
    </row>
    <row r="10" spans="1:20" x14ac:dyDescent="0.25">
      <c r="A10" s="5">
        <v>44583</v>
      </c>
      <c r="B10">
        <v>12.27</v>
      </c>
      <c r="C10">
        <v>12.65</v>
      </c>
      <c r="D10">
        <v>10.19</v>
      </c>
      <c r="E10">
        <v>10.48</v>
      </c>
      <c r="F10">
        <v>363287.22</v>
      </c>
      <c r="G10">
        <v>10.48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-0.76422764227642215</v>
      </c>
      <c r="Q10">
        <f t="shared" ref="Q10" si="26">F10*P10</f>
        <v>-277634.13560975587</v>
      </c>
      <c r="R10">
        <f t="shared" ref="R10" si="27">R11+Q10</f>
        <v>-10910655.972672537</v>
      </c>
      <c r="S10">
        <f t="shared" ref="S10" si="28">R10/100000</f>
        <v>-109.10655972672537</v>
      </c>
      <c r="T10">
        <f t="shared" ref="T10" si="29">S10/1000</f>
        <v>-0.10910655972672537</v>
      </c>
    </row>
    <row r="11" spans="1:20" x14ac:dyDescent="0.25">
      <c r="A11" s="5">
        <v>44582</v>
      </c>
      <c r="B11">
        <v>15.7</v>
      </c>
      <c r="C11">
        <v>16.03</v>
      </c>
      <c r="D11">
        <v>12.08</v>
      </c>
      <c r="E11">
        <v>12.27</v>
      </c>
      <c r="F11">
        <v>498154.83</v>
      </c>
      <c r="G11">
        <v>12.27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-0.90379746835443064</v>
      </c>
      <c r="Q11">
        <f t="shared" ref="Q11" si="31">F11*P11</f>
        <v>-450231.07420253177</v>
      </c>
      <c r="R11">
        <f t="shared" ref="R11" si="32">R12+Q11</f>
        <v>-10633021.837062782</v>
      </c>
      <c r="S11">
        <f t="shared" ref="S11" si="33">R11/100000</f>
        <v>-106.33021837062782</v>
      </c>
      <c r="T11">
        <f t="shared" ref="T11" si="34">S11/1000</f>
        <v>-0.10633021837062782</v>
      </c>
    </row>
    <row r="12" spans="1:20" x14ac:dyDescent="0.25">
      <c r="A12" s="5">
        <v>44581</v>
      </c>
      <c r="B12">
        <v>15.95</v>
      </c>
      <c r="C12">
        <v>17.7</v>
      </c>
      <c r="D12">
        <v>15.53</v>
      </c>
      <c r="E12">
        <v>15.66</v>
      </c>
      <c r="F12">
        <v>787057.42</v>
      </c>
      <c r="G12">
        <v>15.66</v>
      </c>
      <c r="L12" t="s">
        <v>8</v>
      </c>
      <c r="M12" t="s">
        <v>8</v>
      </c>
      <c r="N12" t="s">
        <v>8</v>
      </c>
      <c r="P12">
        <f t="shared" ref="P12" si="35">IF(C12=D12,0,((E12-D12)-(C12-E12))/(C12-D12))</f>
        <v>-0.88018433179723432</v>
      </c>
      <c r="Q12">
        <f t="shared" ref="Q12" si="36">F12*P12</f>
        <v>-692755.60930875526</v>
      </c>
      <c r="R12">
        <f t="shared" ref="R12" si="37">R13+Q12</f>
        <v>-10182790.76286025</v>
      </c>
      <c r="S12">
        <f t="shared" ref="S12" si="38">R12/100000</f>
        <v>-101.8279076286025</v>
      </c>
      <c r="T12">
        <f t="shared" ref="T12" si="39">S12/1000</f>
        <v>-0.1018279076286025</v>
      </c>
    </row>
    <row r="13" spans="1:20" x14ac:dyDescent="0.25">
      <c r="A13" s="5">
        <v>44580</v>
      </c>
      <c r="B13">
        <v>14.61</v>
      </c>
      <c r="C13">
        <v>16.54</v>
      </c>
      <c r="D13">
        <v>13.68</v>
      </c>
      <c r="E13">
        <v>15.95</v>
      </c>
      <c r="F13">
        <v>689419.14</v>
      </c>
      <c r="G13">
        <v>15.95</v>
      </c>
      <c r="L13" t="s">
        <v>8</v>
      </c>
      <c r="M13" t="s">
        <v>8</v>
      </c>
      <c r="N13" t="s">
        <v>8</v>
      </c>
      <c r="P13">
        <f t="shared" ref="P13" si="40">IF(C13=D13,0,((E13-D13)-(C13-E13))/(C13-D13))</f>
        <v>0.58741258741258739</v>
      </c>
      <c r="Q13">
        <f t="shared" ref="Q13" si="41">F13*P13</f>
        <v>404973.48083916085</v>
      </c>
      <c r="R13">
        <f t="shared" ref="R13" si="42">R14+Q13</f>
        <v>-9490035.1535514947</v>
      </c>
      <c r="S13">
        <f t="shared" ref="S13" si="43">R13/100000</f>
        <v>-94.900351535514943</v>
      </c>
      <c r="T13">
        <f t="shared" ref="T13" si="44">S13/1000</f>
        <v>-9.4900351535514946E-2</v>
      </c>
    </row>
    <row r="14" spans="1:20" x14ac:dyDescent="0.25">
      <c r="A14" s="5">
        <v>44579</v>
      </c>
      <c r="B14">
        <v>13.12</v>
      </c>
      <c r="C14">
        <v>14.76</v>
      </c>
      <c r="D14">
        <v>12.91</v>
      </c>
      <c r="E14">
        <v>14.62</v>
      </c>
      <c r="F14">
        <v>157814.17000000001</v>
      </c>
      <c r="G14">
        <v>14.62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0.84864864864864797</v>
      </c>
      <c r="Q14">
        <f t="shared" ref="Q14" si="46">F14*P14</f>
        <v>133928.78210810802</v>
      </c>
      <c r="R14">
        <f t="shared" ref="R14" si="47">R15+Q14</f>
        <v>-9895008.6343906559</v>
      </c>
      <c r="S14">
        <f t="shared" ref="S14" si="48">R14/100000</f>
        <v>-98.950086343906563</v>
      </c>
      <c r="T14">
        <f t="shared" ref="T14" si="49">S14/1000</f>
        <v>-9.8950086343906563E-2</v>
      </c>
    </row>
    <row r="15" spans="1:20" x14ac:dyDescent="0.25">
      <c r="A15" s="5">
        <v>44578</v>
      </c>
      <c r="B15">
        <v>14.4</v>
      </c>
      <c r="C15">
        <v>15.23</v>
      </c>
      <c r="D15">
        <v>12.8</v>
      </c>
      <c r="E15">
        <v>13.13</v>
      </c>
      <c r="F15">
        <v>364161.71</v>
      </c>
      <c r="G15">
        <v>13.13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-0.72839506172839497</v>
      </c>
      <c r="Q15">
        <f t="shared" ref="Q15" si="51">F15*P15</f>
        <v>-265253.59123456787</v>
      </c>
      <c r="R15">
        <f t="shared" ref="R15" si="52">R16+Q15</f>
        <v>-10028937.416498763</v>
      </c>
      <c r="S15">
        <f t="shared" ref="S15" si="53">R15/100000</f>
        <v>-100.28937416498763</v>
      </c>
      <c r="T15">
        <f t="shared" ref="T15" si="54">S15/1000</f>
        <v>-0.10028937416498764</v>
      </c>
    </row>
    <row r="16" spans="1:20" x14ac:dyDescent="0.25">
      <c r="A16" s="5">
        <v>44577</v>
      </c>
      <c r="B16">
        <v>12.59</v>
      </c>
      <c r="C16">
        <v>15</v>
      </c>
      <c r="D16">
        <v>12.45</v>
      </c>
      <c r="E16">
        <v>14.4</v>
      </c>
      <c r="F16">
        <v>478569.84</v>
      </c>
      <c r="G16">
        <v>14.4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0.5294117647058828</v>
      </c>
      <c r="Q16">
        <f t="shared" ref="Q16" si="56">F16*P16</f>
        <v>253360.503529412</v>
      </c>
      <c r="R16">
        <f t="shared" ref="R16" si="57">R17+Q16</f>
        <v>-9763683.825264195</v>
      </c>
      <c r="S16">
        <f t="shared" ref="S16" si="58">R16/100000</f>
        <v>-97.636838252641951</v>
      </c>
      <c r="T16">
        <f t="shared" ref="T16" si="59">S16/1000</f>
        <v>-9.7636838252641953E-2</v>
      </c>
    </row>
    <row r="17" spans="1:20" x14ac:dyDescent="0.25">
      <c r="A17" s="5">
        <v>44576</v>
      </c>
      <c r="B17">
        <v>12.56</v>
      </c>
      <c r="C17">
        <v>12.91</v>
      </c>
      <c r="D17">
        <v>12.34</v>
      </c>
      <c r="E17">
        <v>12.6</v>
      </c>
      <c r="F17">
        <v>98026.32</v>
      </c>
      <c r="G17">
        <v>12.6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-8.7719298245615238E-2</v>
      </c>
      <c r="Q17">
        <f t="shared" ref="Q17" si="61">F17*P17</f>
        <v>-8598.8000000001193</v>
      </c>
      <c r="R17">
        <f t="shared" ref="R17" si="62">R18+Q17</f>
        <v>-10017044.328793608</v>
      </c>
      <c r="S17">
        <f t="shared" ref="S17" si="63">R17/100000</f>
        <v>-100.17044328793608</v>
      </c>
      <c r="T17">
        <f t="shared" ref="T17" si="64">S17/1000</f>
        <v>-0.10017044328793608</v>
      </c>
    </row>
    <row r="18" spans="1:20" x14ac:dyDescent="0.25">
      <c r="A18" s="5">
        <v>44575</v>
      </c>
      <c r="B18">
        <v>12.11</v>
      </c>
      <c r="C18">
        <v>13.22</v>
      </c>
      <c r="D18">
        <v>11.82</v>
      </c>
      <c r="E18">
        <v>12.54</v>
      </c>
      <c r="F18">
        <v>188065.8</v>
      </c>
      <c r="G18">
        <v>12.54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2.8571428571426687E-2</v>
      </c>
      <c r="Q18">
        <f t="shared" ref="Q18" si="66">F18*P18</f>
        <v>5373.308571428217</v>
      </c>
      <c r="R18">
        <f t="shared" ref="R18" si="67">R19+Q18</f>
        <v>-10008445.528793607</v>
      </c>
      <c r="S18">
        <f t="shared" ref="S18" si="68">R18/100000</f>
        <v>-100.08445528793607</v>
      </c>
      <c r="T18">
        <f t="shared" ref="T18" si="69">S18/1000</f>
        <v>-0.10008445528793607</v>
      </c>
    </row>
    <row r="19" spans="1:20" x14ac:dyDescent="0.25">
      <c r="A19" s="5">
        <v>44574</v>
      </c>
      <c r="B19">
        <v>12.71</v>
      </c>
      <c r="C19">
        <v>13.23</v>
      </c>
      <c r="D19">
        <v>12.02</v>
      </c>
      <c r="E19">
        <v>12.11</v>
      </c>
      <c r="F19">
        <v>99940.82</v>
      </c>
      <c r="G19">
        <v>12.11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-0.85123966942148799</v>
      </c>
      <c r="Q19">
        <f t="shared" ref="Q19" si="71">F19*P19</f>
        <v>-85073.590578512434</v>
      </c>
      <c r="R19">
        <f t="shared" ref="R19" si="72">R20+Q19</f>
        <v>-10013818.837365035</v>
      </c>
      <c r="S19">
        <f t="shared" ref="S19" si="73">R19/100000</f>
        <v>-100.13818837365035</v>
      </c>
      <c r="T19">
        <f t="shared" ref="T19" si="74">S19/1000</f>
        <v>-0.10013818837365035</v>
      </c>
    </row>
    <row r="20" spans="1:20" x14ac:dyDescent="0.25">
      <c r="A20" s="5">
        <v>44573</v>
      </c>
      <c r="B20">
        <v>12.06</v>
      </c>
      <c r="C20">
        <v>12.87</v>
      </c>
      <c r="D20">
        <v>12.04</v>
      </c>
      <c r="E20">
        <v>12.69</v>
      </c>
      <c r="F20">
        <v>56030.12</v>
      </c>
      <c r="G20">
        <v>12.69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0.56626506024096457</v>
      </c>
      <c r="Q20">
        <f t="shared" ref="Q20" si="76">F20*P20</f>
        <v>31727.899277108474</v>
      </c>
      <c r="R20">
        <f t="shared" ref="R20" si="77">R21+Q20</f>
        <v>-9928745.2467865217</v>
      </c>
      <c r="S20">
        <f t="shared" ref="S20" si="78">R20/100000</f>
        <v>-99.287452467865222</v>
      </c>
      <c r="T20">
        <f t="shared" ref="T20" si="79">S20/1000</f>
        <v>-9.9287452467865217E-2</v>
      </c>
    </row>
    <row r="21" spans="1:20" x14ac:dyDescent="0.25">
      <c r="A21" s="5">
        <v>44572</v>
      </c>
      <c r="B21">
        <v>11.83</v>
      </c>
      <c r="C21">
        <v>12.73</v>
      </c>
      <c r="D21">
        <v>11.55</v>
      </c>
      <c r="E21">
        <v>12.05</v>
      </c>
      <c r="F21">
        <v>282810.63</v>
      </c>
      <c r="G21">
        <v>12.05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-0.15254237288135572</v>
      </c>
      <c r="Q21">
        <f t="shared" ref="Q21" si="81">F21*P21</f>
        <v>-43140.604576271129</v>
      </c>
      <c r="R21">
        <f t="shared" ref="R21" si="82">R22+Q21</f>
        <v>-9960473.1460636295</v>
      </c>
      <c r="S21">
        <f t="shared" ref="S21" si="83">R21/100000</f>
        <v>-99.604731460636302</v>
      </c>
      <c r="T21">
        <f t="shared" ref="T21" si="84">S21/1000</f>
        <v>-9.9604731460636295E-2</v>
      </c>
    </row>
    <row r="22" spans="1:20" x14ac:dyDescent="0.25">
      <c r="A22" s="5">
        <v>44571</v>
      </c>
      <c r="B22">
        <v>12.22</v>
      </c>
      <c r="C22">
        <v>12.45</v>
      </c>
      <c r="D22">
        <v>11.11</v>
      </c>
      <c r="E22">
        <v>11.84</v>
      </c>
      <c r="F22">
        <v>81284.539999999994</v>
      </c>
      <c r="G22">
        <v>11.84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8.9552238805970907E-2</v>
      </c>
      <c r="Q22">
        <f t="shared" ref="Q22" si="86">F22*P22</f>
        <v>7279.2125373134941</v>
      </c>
      <c r="R22">
        <f t="shared" ref="R22" si="87">R23+Q22</f>
        <v>-9917332.5414873585</v>
      </c>
      <c r="S22">
        <f t="shared" ref="S22" si="88">R22/100000</f>
        <v>-99.173325414873588</v>
      </c>
      <c r="T22">
        <f t="shared" ref="T22" si="89">S22/1000</f>
        <v>-9.9173325414873587E-2</v>
      </c>
    </row>
    <row r="23" spans="1:20" x14ac:dyDescent="0.25">
      <c r="A23" s="5">
        <v>44570</v>
      </c>
      <c r="B23">
        <v>12.26</v>
      </c>
      <c r="C23">
        <v>12.6</v>
      </c>
      <c r="D23">
        <v>11.78</v>
      </c>
      <c r="E23">
        <v>12.22</v>
      </c>
      <c r="F23">
        <v>92566.66</v>
      </c>
      <c r="G23">
        <v>12.22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7.3170731707319817E-2</v>
      </c>
      <c r="Q23">
        <f t="shared" ref="Q23" si="91">F23*P23</f>
        <v>6773.1702439026931</v>
      </c>
      <c r="R23">
        <f t="shared" ref="R23" si="92">R24+Q23</f>
        <v>-9924611.7540246714</v>
      </c>
      <c r="S23">
        <f t="shared" ref="S23" si="93">R23/100000</f>
        <v>-99.246117540246715</v>
      </c>
      <c r="T23">
        <f t="shared" ref="T23" si="94">S23/1000</f>
        <v>-9.9246117540246717E-2</v>
      </c>
    </row>
    <row r="24" spans="1:20" x14ac:dyDescent="0.25">
      <c r="A24" s="5">
        <v>44569</v>
      </c>
      <c r="B24">
        <v>12.34</v>
      </c>
      <c r="C24">
        <v>13.43</v>
      </c>
      <c r="D24">
        <v>11.69</v>
      </c>
      <c r="E24">
        <v>12.31</v>
      </c>
      <c r="F24">
        <v>110942.2</v>
      </c>
      <c r="G24">
        <v>12.31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-0.28735632183907939</v>
      </c>
      <c r="Q24">
        <f t="shared" ref="Q24" si="96">F24*P24</f>
        <v>-31879.942528735512</v>
      </c>
      <c r="R24">
        <f t="shared" ref="R24" si="97">R25+Q24</f>
        <v>-9931384.9242685735</v>
      </c>
      <c r="S24">
        <f t="shared" ref="S24" si="98">R24/100000</f>
        <v>-99.313849242685734</v>
      </c>
      <c r="T24">
        <f t="shared" ref="T24" si="99">S24/1000</f>
        <v>-9.9313849242685728E-2</v>
      </c>
    </row>
    <row r="25" spans="1:20" x14ac:dyDescent="0.25">
      <c r="A25" s="5">
        <v>44568</v>
      </c>
      <c r="B25">
        <v>13.33</v>
      </c>
      <c r="C25">
        <v>13.39</v>
      </c>
      <c r="D25">
        <v>12.03</v>
      </c>
      <c r="E25">
        <v>12.31</v>
      </c>
      <c r="F25">
        <v>116269.53599999999</v>
      </c>
      <c r="G25">
        <v>12.31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-0.58823529411764575</v>
      </c>
      <c r="Q25">
        <f t="shared" ref="Q25" si="101">F25*P25</f>
        <v>-68393.844705882191</v>
      </c>
      <c r="R25">
        <f t="shared" ref="R25" si="102">R26+Q25</f>
        <v>-9899504.9817398377</v>
      </c>
      <c r="S25">
        <f t="shared" ref="S25" si="103">R25/100000</f>
        <v>-98.995049817398382</v>
      </c>
      <c r="T25">
        <f t="shared" ref="T25" si="104">S25/1000</f>
        <v>-9.8995049817398387E-2</v>
      </c>
    </row>
    <row r="26" spans="1:20" x14ac:dyDescent="0.25">
      <c r="A26" s="5">
        <v>44567</v>
      </c>
      <c r="B26">
        <v>14.09</v>
      </c>
      <c r="C26">
        <v>14.21</v>
      </c>
      <c r="D26">
        <v>13.06</v>
      </c>
      <c r="E26">
        <v>13.33</v>
      </c>
      <c r="F26">
        <v>146618.39000000001</v>
      </c>
      <c r="G26">
        <v>13.33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-0.53043478260869659</v>
      </c>
      <c r="Q26">
        <f t="shared" ref="Q26" si="106">F26*P26</f>
        <v>-77771.493826087099</v>
      </c>
      <c r="R26">
        <f t="shared" ref="R26" si="107">R27+Q26</f>
        <v>-9831111.1370339561</v>
      </c>
      <c r="S26">
        <f t="shared" ref="S26" si="108">R26/100000</f>
        <v>-98.31111137033956</v>
      </c>
      <c r="T26">
        <f t="shared" ref="T26" si="109">S26/1000</f>
        <v>-9.8311111370339557E-2</v>
      </c>
    </row>
    <row r="27" spans="1:20" x14ac:dyDescent="0.25">
      <c r="A27" s="5">
        <v>44566</v>
      </c>
      <c r="B27">
        <v>15.28</v>
      </c>
      <c r="C27">
        <v>16.2</v>
      </c>
      <c r="D27">
        <v>13.65</v>
      </c>
      <c r="E27">
        <v>14.08</v>
      </c>
      <c r="F27">
        <v>173443.46</v>
      </c>
      <c r="G27">
        <v>14.08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-0.66274509803921577</v>
      </c>
      <c r="Q27">
        <f t="shared" ref="Q27" si="111">F27*P27</f>
        <v>-114948.80290196079</v>
      </c>
      <c r="R27">
        <f t="shared" ref="R27" si="112">R28+Q27</f>
        <v>-9753339.6432078686</v>
      </c>
      <c r="S27">
        <f t="shared" ref="S27" si="113">R27/100000</f>
        <v>-97.533396432078689</v>
      </c>
      <c r="T27">
        <f t="shared" ref="T27" si="114">S27/1000</f>
        <v>-9.7533396432078687E-2</v>
      </c>
    </row>
    <row r="28" spans="1:20" x14ac:dyDescent="0.25">
      <c r="A28" s="5">
        <v>44565</v>
      </c>
      <c r="B28">
        <v>15.25</v>
      </c>
      <c r="C28">
        <v>16.059999999999999</v>
      </c>
      <c r="D28">
        <v>14.97</v>
      </c>
      <c r="E28">
        <v>15.29</v>
      </c>
      <c r="F28">
        <v>134351.71</v>
      </c>
      <c r="G28">
        <v>15.29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-0.41284403669724939</v>
      </c>
      <c r="Q28">
        <f t="shared" ref="Q28" si="116">F28*P28</f>
        <v>-55466.302293578206</v>
      </c>
      <c r="R28">
        <f t="shared" ref="R28" si="117">R29+Q28</f>
        <v>-9638390.8403059077</v>
      </c>
      <c r="S28">
        <f t="shared" ref="S28" si="118">R28/100000</f>
        <v>-96.383908403059081</v>
      </c>
      <c r="T28">
        <f t="shared" ref="T28" si="119">S28/1000</f>
        <v>-9.6383908403059076E-2</v>
      </c>
    </row>
    <row r="29" spans="1:20" x14ac:dyDescent="0.25">
      <c r="A29" s="5">
        <v>44564</v>
      </c>
      <c r="B29">
        <v>15.41</v>
      </c>
      <c r="C29">
        <v>16.170000000000002</v>
      </c>
      <c r="D29">
        <v>15.06</v>
      </c>
      <c r="E29">
        <v>15.25</v>
      </c>
      <c r="F29">
        <v>125801.13</v>
      </c>
      <c r="G29">
        <v>15.25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-0.65765765765765893</v>
      </c>
      <c r="Q29">
        <f t="shared" ref="Q29" si="121">F29*P29</f>
        <v>-82734.076486486651</v>
      </c>
      <c r="R29">
        <f t="shared" ref="R29" si="122">R30+Q29</f>
        <v>-9582924.5380123295</v>
      </c>
      <c r="S29">
        <f t="shared" ref="S29" si="123">R29/100000</f>
        <v>-95.829245380123297</v>
      </c>
      <c r="T29">
        <f t="shared" ref="T29" si="124">S29/1000</f>
        <v>-9.5829245380123301E-2</v>
      </c>
    </row>
    <row r="30" spans="1:20" x14ac:dyDescent="0.25">
      <c r="A30" s="5">
        <v>44563</v>
      </c>
      <c r="B30">
        <v>15.84</v>
      </c>
      <c r="C30">
        <v>16.66</v>
      </c>
      <c r="D30">
        <v>15.26</v>
      </c>
      <c r="E30">
        <v>15.42</v>
      </c>
      <c r="F30">
        <v>114938.05</v>
      </c>
      <c r="G30">
        <v>15.42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-0.77142857142857124</v>
      </c>
      <c r="Q30">
        <f t="shared" ref="Q30" si="126">F30*P30</f>
        <v>-88666.495714285702</v>
      </c>
      <c r="R30">
        <f t="shared" ref="R30" si="127">R31+Q30</f>
        <v>-9500190.4615258425</v>
      </c>
      <c r="S30">
        <f t="shared" ref="S30" si="128">R30/100000</f>
        <v>-95.001904615258425</v>
      </c>
      <c r="T30">
        <f t="shared" ref="T30" si="129">S30/1000</f>
        <v>-9.5001904615258426E-2</v>
      </c>
    </row>
    <row r="31" spans="1:20" x14ac:dyDescent="0.25">
      <c r="A31" s="5">
        <v>44562</v>
      </c>
      <c r="B31">
        <v>14.45</v>
      </c>
      <c r="C31">
        <v>16.170000000000002</v>
      </c>
      <c r="D31">
        <v>14.44</v>
      </c>
      <c r="E31">
        <v>15.82</v>
      </c>
      <c r="F31">
        <v>194350.02</v>
      </c>
      <c r="G31">
        <v>15.82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0.59537572254335147</v>
      </c>
      <c r="Q31">
        <f t="shared" ref="Q31" si="131">F31*P31</f>
        <v>115711.2835838148</v>
      </c>
      <c r="R31">
        <f t="shared" ref="R31" si="132">R32+Q31</f>
        <v>-9411523.9658115562</v>
      </c>
      <c r="S31">
        <f t="shared" ref="S31" si="133">R31/100000</f>
        <v>-94.115239658115556</v>
      </c>
      <c r="T31">
        <f t="shared" ref="T31" si="134">S31/1000</f>
        <v>-9.4115239658115551E-2</v>
      </c>
    </row>
    <row r="32" spans="1:20" x14ac:dyDescent="0.25">
      <c r="A32" s="5">
        <v>44561</v>
      </c>
      <c r="B32">
        <v>14.71</v>
      </c>
      <c r="C32">
        <v>15.17</v>
      </c>
      <c r="D32">
        <v>14.14</v>
      </c>
      <c r="E32">
        <v>14.46</v>
      </c>
      <c r="F32">
        <v>78785.69</v>
      </c>
      <c r="G32">
        <v>14.46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-0.37864077669902818</v>
      </c>
      <c r="Q32">
        <f t="shared" ref="Q32" si="136">F32*P32</f>
        <v>-29831.474854368858</v>
      </c>
      <c r="R32">
        <f t="shared" ref="R32" si="137">R33+Q32</f>
        <v>-9527235.2493953705</v>
      </c>
      <c r="S32">
        <f t="shared" ref="S32" si="138">R32/100000</f>
        <v>-95.272352493953704</v>
      </c>
      <c r="T32">
        <f t="shared" ref="T32" si="139">S32/1000</f>
        <v>-9.5272352493953702E-2</v>
      </c>
    </row>
    <row r="33" spans="1:20" x14ac:dyDescent="0.25">
      <c r="A33" s="5">
        <v>44560</v>
      </c>
      <c r="B33">
        <v>14.85</v>
      </c>
      <c r="C33">
        <v>15.3</v>
      </c>
      <c r="D33">
        <v>14.53</v>
      </c>
      <c r="E33">
        <v>14.71</v>
      </c>
      <c r="F33">
        <v>157505.9</v>
      </c>
      <c r="G33">
        <v>14.71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-0.53246753246752943</v>
      </c>
      <c r="Q33">
        <f t="shared" ref="Q33" si="141">F33*P33</f>
        <v>-83866.777922077439</v>
      </c>
      <c r="R33">
        <f t="shared" ref="R33" si="142">R34+Q33</f>
        <v>-9497403.7745410018</v>
      </c>
      <c r="S33">
        <f t="shared" ref="S33" si="143">R33/100000</f>
        <v>-94.974037745410016</v>
      </c>
      <c r="T33">
        <f t="shared" ref="T33" si="144">S33/1000</f>
        <v>-9.4974037745410009E-2</v>
      </c>
    </row>
    <row r="34" spans="1:20" x14ac:dyDescent="0.25">
      <c r="A34" s="5">
        <v>44559</v>
      </c>
      <c r="B34">
        <v>15.54</v>
      </c>
      <c r="C34">
        <v>15.9</v>
      </c>
      <c r="D34">
        <v>14.71</v>
      </c>
      <c r="E34">
        <v>14.83</v>
      </c>
      <c r="F34">
        <v>76672.14</v>
      </c>
      <c r="G34">
        <v>14.83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-0.79831932773109371</v>
      </c>
      <c r="Q34">
        <f t="shared" ref="Q34" si="146">F34*P34</f>
        <v>-61208.8512605043</v>
      </c>
      <c r="R34">
        <f t="shared" ref="R34" si="147">R35+Q34</f>
        <v>-9413536.9966189247</v>
      </c>
      <c r="S34">
        <f t="shared" ref="S34" si="148">R34/100000</f>
        <v>-94.135369966189245</v>
      </c>
      <c r="T34">
        <f t="shared" ref="T34" si="149">S34/1000</f>
        <v>-9.413536996618925E-2</v>
      </c>
    </row>
    <row r="35" spans="1:20" x14ac:dyDescent="0.25">
      <c r="A35" s="5">
        <v>44558</v>
      </c>
      <c r="B35">
        <v>17.59</v>
      </c>
      <c r="C35">
        <v>17.61</v>
      </c>
      <c r="D35">
        <v>15.21</v>
      </c>
      <c r="E35">
        <v>15.55</v>
      </c>
      <c r="F35">
        <v>259685.93</v>
      </c>
      <c r="G35">
        <v>15.55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-0.71666666666666656</v>
      </c>
      <c r="Q35">
        <f t="shared" ref="Q35" si="151">F35*P35</f>
        <v>-186108.24983333331</v>
      </c>
      <c r="R35">
        <f t="shared" ref="R35" si="152">R36+Q35</f>
        <v>-9352328.1453584209</v>
      </c>
      <c r="S35">
        <f t="shared" ref="S35" si="153">R35/100000</f>
        <v>-93.523281453584204</v>
      </c>
      <c r="T35">
        <f t="shared" ref="T35" si="154">S35/1000</f>
        <v>-9.3523281453584198E-2</v>
      </c>
    </row>
    <row r="36" spans="1:20" x14ac:dyDescent="0.25">
      <c r="A36" s="5">
        <v>44557</v>
      </c>
      <c r="B36">
        <v>17.309999999999999</v>
      </c>
      <c r="C36">
        <v>19.77</v>
      </c>
      <c r="D36">
        <v>17.05</v>
      </c>
      <c r="E36">
        <v>17.600000000000001</v>
      </c>
      <c r="F36">
        <v>212549.51</v>
      </c>
      <c r="G36">
        <v>17.600000000000001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-0.59558823529411697</v>
      </c>
      <c r="Q36">
        <f t="shared" ref="Q36" si="156">F36*P36</f>
        <v>-126591.98757352927</v>
      </c>
      <c r="R36">
        <f t="shared" ref="R36" si="157">R37+Q36</f>
        <v>-9166219.8955250867</v>
      </c>
      <c r="S36">
        <f t="shared" ref="S36" si="158">R36/100000</f>
        <v>-91.662198955250872</v>
      </c>
      <c r="T36">
        <f t="shared" ref="T36" si="159">S36/1000</f>
        <v>-9.1662198955250879E-2</v>
      </c>
    </row>
    <row r="37" spans="1:20" x14ac:dyDescent="0.25">
      <c r="A37" s="5">
        <v>44556</v>
      </c>
      <c r="B37">
        <v>16.91</v>
      </c>
      <c r="C37">
        <v>17.37</v>
      </c>
      <c r="D37">
        <v>16.329999999999998</v>
      </c>
      <c r="E37">
        <v>17.34</v>
      </c>
      <c r="F37">
        <v>105826.46</v>
      </c>
      <c r="G37">
        <v>17.34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0.94230769230769029</v>
      </c>
      <c r="Q37">
        <f t="shared" ref="Q37" si="161">F37*P37</f>
        <v>99721.087307692098</v>
      </c>
      <c r="R37">
        <f t="shared" ref="R37" si="162">R38+Q37</f>
        <v>-9039627.907951558</v>
      </c>
      <c r="S37">
        <f t="shared" ref="S37" si="163">R37/100000</f>
        <v>-90.39627907951558</v>
      </c>
      <c r="T37">
        <f t="shared" ref="T37" si="164">S37/1000</f>
        <v>-9.0396279079515585E-2</v>
      </c>
    </row>
    <row r="38" spans="1:20" x14ac:dyDescent="0.25">
      <c r="A38" s="5">
        <v>44555</v>
      </c>
      <c r="B38">
        <v>16.690000000000001</v>
      </c>
      <c r="C38">
        <v>17.38</v>
      </c>
      <c r="D38">
        <v>16.440000000000001</v>
      </c>
      <c r="E38">
        <v>16.920000000000002</v>
      </c>
      <c r="F38">
        <v>87256.78</v>
      </c>
      <c r="G38">
        <v>16.920000000000002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2.127659574468423E-2</v>
      </c>
      <c r="Q38">
        <f t="shared" ref="Q38" si="166">F38*P38</f>
        <v>1856.527234042848</v>
      </c>
      <c r="R38">
        <f t="shared" ref="R38" si="167">R39+Q38</f>
        <v>-9139348.9952592496</v>
      </c>
      <c r="S38">
        <f t="shared" ref="S38" si="168">R38/100000</f>
        <v>-91.393489952592489</v>
      </c>
      <c r="T38">
        <f t="shared" ref="T38" si="169">S38/1000</f>
        <v>-9.1393489952592485E-2</v>
      </c>
    </row>
    <row r="39" spans="1:20" x14ac:dyDescent="0.25">
      <c r="A39" s="5">
        <v>44554</v>
      </c>
      <c r="B39">
        <v>16.93</v>
      </c>
      <c r="C39">
        <v>17.760000000000002</v>
      </c>
      <c r="D39">
        <v>16.43</v>
      </c>
      <c r="E39">
        <v>16.71</v>
      </c>
      <c r="F39">
        <v>204657.37</v>
      </c>
      <c r="G39">
        <v>16.71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-0.57894736842105154</v>
      </c>
      <c r="Q39">
        <f t="shared" ref="Q39" si="171">F39*P39</f>
        <v>-118485.84578947346</v>
      </c>
      <c r="R39">
        <f t="shared" ref="R39" si="172">R40+Q39</f>
        <v>-9141205.5224932916</v>
      </c>
      <c r="S39">
        <f t="shared" ref="S39" si="173">R39/100000</f>
        <v>-91.412055224932914</v>
      </c>
      <c r="T39">
        <f t="shared" ref="T39" si="174">S39/1000</f>
        <v>-9.1412055224932912E-2</v>
      </c>
    </row>
    <row r="40" spans="1:20" x14ac:dyDescent="0.25">
      <c r="A40" s="5">
        <v>44553</v>
      </c>
      <c r="B40">
        <v>15.82</v>
      </c>
      <c r="C40">
        <v>17.399999999999999</v>
      </c>
      <c r="D40">
        <v>15.19</v>
      </c>
      <c r="E40">
        <v>16.97</v>
      </c>
      <c r="F40">
        <v>173147.75</v>
      </c>
      <c r="G40">
        <v>16.97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0.61085972850678738</v>
      </c>
      <c r="Q40">
        <f t="shared" ref="Q40" si="176">F40*P40</f>
        <v>105768.9875565611</v>
      </c>
      <c r="R40">
        <f t="shared" ref="R40" si="177">R41+Q40</f>
        <v>-9022719.6767038181</v>
      </c>
      <c r="S40">
        <f t="shared" ref="S40" si="178">R40/100000</f>
        <v>-90.22719676703818</v>
      </c>
      <c r="T40">
        <f t="shared" ref="T40" si="179">S40/1000</f>
        <v>-9.0227196767038179E-2</v>
      </c>
    </row>
    <row r="41" spans="1:20" x14ac:dyDescent="0.25">
      <c r="A41" s="5">
        <v>44552</v>
      </c>
      <c r="B41">
        <v>15.34</v>
      </c>
      <c r="C41">
        <v>16.48</v>
      </c>
      <c r="D41">
        <v>15.25</v>
      </c>
      <c r="E41">
        <v>15.82</v>
      </c>
      <c r="F41">
        <v>105820.96</v>
      </c>
      <c r="G41">
        <v>15.82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-7.317073170731693E-2</v>
      </c>
      <c r="Q41">
        <f t="shared" ref="Q41" si="181">F41*P41</f>
        <v>-7742.9970731707172</v>
      </c>
      <c r="R41">
        <f t="shared" ref="R41" si="182">R42+Q41</f>
        <v>-9128488.66426038</v>
      </c>
      <c r="S41">
        <f t="shared" ref="S41" si="183">R41/100000</f>
        <v>-91.284886642603794</v>
      </c>
      <c r="T41">
        <f t="shared" ref="T41" si="184">S41/1000</f>
        <v>-9.1284886642603799E-2</v>
      </c>
    </row>
    <row r="42" spans="1:20" x14ac:dyDescent="0.25">
      <c r="A42" s="5">
        <v>44551</v>
      </c>
      <c r="B42">
        <v>14.61</v>
      </c>
      <c r="C42">
        <v>15.65</v>
      </c>
      <c r="D42">
        <v>14.3</v>
      </c>
      <c r="E42">
        <v>15.32</v>
      </c>
      <c r="F42">
        <v>115092.22</v>
      </c>
      <c r="G42">
        <v>15.32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0.51111111111111085</v>
      </c>
      <c r="Q42">
        <f t="shared" ref="Q42" si="186">F42*P42</f>
        <v>58824.912444444417</v>
      </c>
      <c r="R42">
        <f t="shared" ref="R42" si="187">R43+Q42</f>
        <v>-9120745.6671872102</v>
      </c>
      <c r="S42">
        <f t="shared" ref="S42" si="188">R42/100000</f>
        <v>-91.207456671872109</v>
      </c>
      <c r="T42">
        <f t="shared" ref="T42" si="189">S42/1000</f>
        <v>-9.1207456671872106E-2</v>
      </c>
    </row>
    <row r="43" spans="1:20" x14ac:dyDescent="0.25">
      <c r="A43" s="5">
        <v>44550</v>
      </c>
      <c r="B43">
        <v>14.88</v>
      </c>
      <c r="C43">
        <v>15.72</v>
      </c>
      <c r="D43">
        <v>14.02</v>
      </c>
      <c r="E43">
        <v>14.61</v>
      </c>
      <c r="F43">
        <v>150011.53</v>
      </c>
      <c r="G43">
        <v>14.61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-0.30588235294117705</v>
      </c>
      <c r="Q43">
        <f t="shared" ref="Q43" si="191">F43*P43</f>
        <v>-45885.879764705969</v>
      </c>
      <c r="R43">
        <f t="shared" ref="R43" si="192">R44+Q43</f>
        <v>-9179570.5796316545</v>
      </c>
      <c r="S43">
        <f t="shared" ref="S43" si="193">R43/100000</f>
        <v>-91.79570579631654</v>
      </c>
      <c r="T43">
        <f t="shared" ref="T43" si="194">S43/1000</f>
        <v>-9.1795705796316546E-2</v>
      </c>
    </row>
    <row r="44" spans="1:20" x14ac:dyDescent="0.25">
      <c r="A44" s="5">
        <v>44549</v>
      </c>
      <c r="B44">
        <v>15.42</v>
      </c>
      <c r="C44">
        <v>15.77</v>
      </c>
      <c r="D44">
        <v>14.84</v>
      </c>
      <c r="E44">
        <v>14.88</v>
      </c>
      <c r="F44">
        <v>109543.74</v>
      </c>
      <c r="G44">
        <v>14.88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-0.91397849462365388</v>
      </c>
      <c r="Q44">
        <f t="shared" ref="Q44" si="196">F44*P44</f>
        <v>-100120.62258064494</v>
      </c>
      <c r="R44">
        <f t="shared" ref="R44" si="197">R45+Q44</f>
        <v>-9133684.6998669486</v>
      </c>
      <c r="S44">
        <f t="shared" ref="S44" si="198">R44/100000</f>
        <v>-91.336846998669486</v>
      </c>
      <c r="T44">
        <f t="shared" ref="T44" si="199">S44/1000</f>
        <v>-9.133684699866948E-2</v>
      </c>
    </row>
    <row r="45" spans="1:20" x14ac:dyDescent="0.25">
      <c r="A45" s="5">
        <v>44548</v>
      </c>
      <c r="B45">
        <v>15.68</v>
      </c>
      <c r="C45">
        <v>17.53</v>
      </c>
      <c r="D45">
        <v>15.24</v>
      </c>
      <c r="E45">
        <v>15.42</v>
      </c>
      <c r="F45">
        <v>506968.02</v>
      </c>
      <c r="G45">
        <v>15.42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-0.84279475982532781</v>
      </c>
      <c r="Q45">
        <f t="shared" ref="Q45" si="201">F45*P45</f>
        <v>-427269.99065502197</v>
      </c>
      <c r="R45">
        <f t="shared" ref="R45" si="202">R46+Q45</f>
        <v>-9033564.077286303</v>
      </c>
      <c r="S45">
        <f t="shared" ref="S45" si="203">R45/100000</f>
        <v>-90.33564077286303</v>
      </c>
      <c r="T45">
        <f t="shared" ref="T45" si="204">S45/1000</f>
        <v>-9.0335640772863032E-2</v>
      </c>
    </row>
    <row r="46" spans="1:20" x14ac:dyDescent="0.25">
      <c r="A46" s="5">
        <v>44547</v>
      </c>
      <c r="B46">
        <v>14.05</v>
      </c>
      <c r="C46">
        <v>16.239999999999998</v>
      </c>
      <c r="D46">
        <v>13.69</v>
      </c>
      <c r="E46">
        <v>15.63</v>
      </c>
      <c r="F46">
        <v>311893.71999999997</v>
      </c>
      <c r="G46">
        <v>15.63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0.52156862745098198</v>
      </c>
      <c r="Q46">
        <f t="shared" ref="Q46" si="206">F46*P46</f>
        <v>162673.97945098087</v>
      </c>
      <c r="R46">
        <f t="shared" ref="R46" si="207">R47+Q46</f>
        <v>-8606294.0866312813</v>
      </c>
      <c r="S46">
        <f t="shared" ref="S46" si="208">R46/100000</f>
        <v>-86.062940866312815</v>
      </c>
      <c r="T46">
        <f t="shared" ref="T46" si="209">S46/1000</f>
        <v>-8.6062940866312818E-2</v>
      </c>
    </row>
    <row r="47" spans="1:20" x14ac:dyDescent="0.25">
      <c r="A47" s="5">
        <v>44546</v>
      </c>
      <c r="B47">
        <v>14.56</v>
      </c>
      <c r="C47">
        <v>14.97</v>
      </c>
      <c r="D47">
        <v>13.98</v>
      </c>
      <c r="E47">
        <v>14.09</v>
      </c>
      <c r="F47">
        <v>104137.86</v>
      </c>
      <c r="G47">
        <v>14.09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-0.77777777777777901</v>
      </c>
      <c r="Q47">
        <f t="shared" ref="Q47" si="211">F47*P47</f>
        <v>-80996.113333333458</v>
      </c>
      <c r="R47">
        <f t="shared" ref="R47" si="212">R48+Q47</f>
        <v>-8768968.0660822615</v>
      </c>
      <c r="S47">
        <f t="shared" ref="S47" si="213">R47/100000</f>
        <v>-87.689680660822617</v>
      </c>
      <c r="T47">
        <f t="shared" ref="T47" si="214">S47/1000</f>
        <v>-8.7689680660822611E-2</v>
      </c>
    </row>
    <row r="48" spans="1:20" x14ac:dyDescent="0.25">
      <c r="A48" s="5">
        <v>44545</v>
      </c>
      <c r="B48">
        <v>14.23</v>
      </c>
      <c r="C48">
        <v>14.79</v>
      </c>
      <c r="D48">
        <v>13.52</v>
      </c>
      <c r="E48">
        <v>14.57</v>
      </c>
      <c r="F48">
        <v>110564.12</v>
      </c>
      <c r="G48">
        <v>14.57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0.6535433070866159</v>
      </c>
      <c r="Q48">
        <f t="shared" ref="Q48" si="216">F48*P48</f>
        <v>72258.440629921446</v>
      </c>
      <c r="R48">
        <f t="shared" ref="R48" si="217">R49+Q48</f>
        <v>-8687971.9527489282</v>
      </c>
      <c r="S48">
        <f t="shared" ref="S48" si="218">R48/100000</f>
        <v>-86.879719527489286</v>
      </c>
      <c r="T48">
        <f t="shared" ref="T48" si="219">S48/1000</f>
        <v>-8.6879719527489283E-2</v>
      </c>
    </row>
    <row r="49" spans="1:20" x14ac:dyDescent="0.25">
      <c r="A49" s="5">
        <v>44544</v>
      </c>
      <c r="B49">
        <v>13.93</v>
      </c>
      <c r="C49">
        <v>14.41</v>
      </c>
      <c r="D49">
        <v>13.56</v>
      </c>
      <c r="E49">
        <v>14.25</v>
      </c>
      <c r="F49">
        <v>163376.23000000001</v>
      </c>
      <c r="G49">
        <v>14.25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0.62352941176470544</v>
      </c>
      <c r="Q49">
        <f t="shared" ref="Q49" si="221">F49*P49</f>
        <v>101869.88458823523</v>
      </c>
      <c r="R49">
        <f t="shared" ref="R49" si="222">R50+Q49</f>
        <v>-8760230.3933788501</v>
      </c>
      <c r="S49">
        <f t="shared" ref="S49" si="223">R49/100000</f>
        <v>-87.602303933788505</v>
      </c>
      <c r="T49">
        <f t="shared" ref="T49" si="224">S49/1000</f>
        <v>-8.7602303933788511E-2</v>
      </c>
    </row>
    <row r="50" spans="1:20" x14ac:dyDescent="0.25">
      <c r="A50" s="5">
        <v>44543</v>
      </c>
      <c r="B50">
        <v>15.47</v>
      </c>
      <c r="C50">
        <v>15.59</v>
      </c>
      <c r="D50">
        <v>13.5</v>
      </c>
      <c r="E50">
        <v>13.94</v>
      </c>
      <c r="F50">
        <v>277672.06</v>
      </c>
      <c r="G50">
        <v>13.94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-0.5789473684210531</v>
      </c>
      <c r="Q50">
        <f t="shared" ref="Q50" si="226">F50*P50</f>
        <v>-160757.50842105277</v>
      </c>
      <c r="R50">
        <f t="shared" ref="R50" si="227">R51+Q50</f>
        <v>-8862100.2779670861</v>
      </c>
      <c r="S50">
        <f t="shared" ref="S50" si="228">R50/100000</f>
        <v>-88.62100277967086</v>
      </c>
      <c r="T50">
        <f t="shared" ref="T50" si="229">S50/1000</f>
        <v>-8.862100277967086E-2</v>
      </c>
    </row>
    <row r="51" spans="1:20" x14ac:dyDescent="0.25">
      <c r="A51" s="5">
        <v>44542</v>
      </c>
      <c r="B51">
        <v>16.02</v>
      </c>
      <c r="C51">
        <v>16.95</v>
      </c>
      <c r="D51">
        <v>15.31</v>
      </c>
      <c r="E51">
        <v>15.52</v>
      </c>
      <c r="F51">
        <v>227785.4</v>
      </c>
      <c r="G51">
        <v>15.52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-0.74390243902439113</v>
      </c>
      <c r="Q51">
        <f t="shared" ref="Q51" si="231">F51*P51</f>
        <v>-169450.11463414654</v>
      </c>
      <c r="R51">
        <f t="shared" ref="R51" si="232">R52+Q51</f>
        <v>-8701342.7695460338</v>
      </c>
      <c r="S51">
        <f t="shared" ref="S51" si="233">R51/100000</f>
        <v>-87.013427695460337</v>
      </c>
      <c r="T51">
        <f t="shared" ref="T51" si="234">S51/1000</f>
        <v>-8.7013427695460333E-2</v>
      </c>
    </row>
    <row r="52" spans="1:20" x14ac:dyDescent="0.25">
      <c r="A52" s="5">
        <v>44541</v>
      </c>
      <c r="B52">
        <v>15.98</v>
      </c>
      <c r="C52">
        <v>16.239999999999998</v>
      </c>
      <c r="D52">
        <v>15.5</v>
      </c>
      <c r="E52">
        <v>16</v>
      </c>
      <c r="F52">
        <v>12309.81</v>
      </c>
      <c r="G52">
        <v>16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0.3513513513513542</v>
      </c>
      <c r="Q52">
        <f t="shared" ref="Q52" si="236">F52*P52</f>
        <v>4325.0683783784134</v>
      </c>
      <c r="R52">
        <f t="shared" ref="R52" si="237">R53+Q52</f>
        <v>-8531892.6549118869</v>
      </c>
      <c r="S52">
        <f t="shared" ref="S52" si="238">R52/100000</f>
        <v>-85.318926549118871</v>
      </c>
      <c r="T52">
        <f t="shared" ref="T52" si="239">S52/1000</f>
        <v>-8.5318926549118865E-2</v>
      </c>
    </row>
    <row r="53" spans="1:20" x14ac:dyDescent="0.25">
      <c r="A53" s="5">
        <v>44540</v>
      </c>
      <c r="B53">
        <v>13.87</v>
      </c>
      <c r="C53">
        <v>20.5</v>
      </c>
      <c r="D53">
        <v>13.86</v>
      </c>
      <c r="E53">
        <v>15.99</v>
      </c>
      <c r="F53">
        <v>1410451.48</v>
      </c>
      <c r="G53">
        <v>15.99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-0.35843373493975883</v>
      </c>
      <c r="Q53">
        <f t="shared" ref="Q53" si="241">F53*P53</f>
        <v>-505553.39192771056</v>
      </c>
      <c r="R53">
        <f t="shared" ref="R53" si="242">R54+Q53</f>
        <v>-8536217.7232902646</v>
      </c>
      <c r="S53">
        <f t="shared" ref="S53" si="243">R53/100000</f>
        <v>-85.362177232902653</v>
      </c>
      <c r="T53">
        <f t="shared" ref="T53" si="244">S53/1000</f>
        <v>-8.5362177232902653E-2</v>
      </c>
    </row>
    <row r="54" spans="1:20" x14ac:dyDescent="0.25">
      <c r="A54" s="5">
        <v>44539</v>
      </c>
      <c r="B54">
        <v>15.65</v>
      </c>
      <c r="C54">
        <v>16.25</v>
      </c>
      <c r="D54">
        <v>13.84</v>
      </c>
      <c r="E54">
        <v>13.84</v>
      </c>
      <c r="F54">
        <v>180425.72</v>
      </c>
      <c r="G54">
        <v>13.84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-1</v>
      </c>
      <c r="Q54">
        <f t="shared" ref="Q54" si="246">F54*P54</f>
        <v>-180425.72</v>
      </c>
      <c r="R54">
        <f t="shared" ref="R54" si="247">R55+Q54</f>
        <v>-8030664.3313625548</v>
      </c>
      <c r="S54">
        <f t="shared" ref="S54" si="248">R54/100000</f>
        <v>-80.306643313625543</v>
      </c>
      <c r="T54">
        <f t="shared" ref="T54" si="249">S54/1000</f>
        <v>-8.0306643313625539E-2</v>
      </c>
    </row>
    <row r="55" spans="1:20" x14ac:dyDescent="0.25">
      <c r="A55" s="5">
        <v>44538</v>
      </c>
      <c r="B55">
        <v>15.06</v>
      </c>
      <c r="C55">
        <v>15.9</v>
      </c>
      <c r="D55">
        <v>14.13</v>
      </c>
      <c r="E55">
        <v>15.62</v>
      </c>
      <c r="F55">
        <v>184773.8</v>
      </c>
      <c r="G55">
        <v>15.62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0.68361581920903813</v>
      </c>
      <c r="Q55">
        <f t="shared" ref="Q55" si="251">F55*P55</f>
        <v>126314.29265536697</v>
      </c>
      <c r="R55">
        <f t="shared" ref="R55" si="252">R56+Q55</f>
        <v>-7850238.6113625551</v>
      </c>
      <c r="S55">
        <f t="shared" ref="S55" si="253">R55/100000</f>
        <v>-78.502386113625548</v>
      </c>
      <c r="T55">
        <f t="shared" ref="T55" si="254">S55/1000</f>
        <v>-7.8502386113625547E-2</v>
      </c>
    </row>
    <row r="56" spans="1:20" x14ac:dyDescent="0.25">
      <c r="A56" s="5">
        <v>44537</v>
      </c>
      <c r="B56">
        <v>15.51</v>
      </c>
      <c r="C56">
        <v>15.99</v>
      </c>
      <c r="D56">
        <v>14.74</v>
      </c>
      <c r="E56">
        <v>15.04</v>
      </c>
      <c r="F56">
        <v>164544.75</v>
      </c>
      <c r="G56">
        <v>15.04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-0.52000000000000168</v>
      </c>
      <c r="Q56">
        <f t="shared" ref="Q56" si="256">F56*P56</f>
        <v>-85563.270000000281</v>
      </c>
      <c r="R56">
        <f t="shared" ref="R56" si="257">R57+Q56</f>
        <v>-7976552.9040179225</v>
      </c>
      <c r="S56">
        <f t="shared" ref="S56" si="258">R56/100000</f>
        <v>-79.765529040179231</v>
      </c>
      <c r="T56">
        <f t="shared" ref="T56" si="259">S56/1000</f>
        <v>-7.9765529040179237E-2</v>
      </c>
    </row>
    <row r="57" spans="1:20" x14ac:dyDescent="0.25">
      <c r="A57" s="5">
        <v>44536</v>
      </c>
      <c r="B57">
        <v>15.35</v>
      </c>
      <c r="C57">
        <v>15.77</v>
      </c>
      <c r="D57">
        <v>13.61</v>
      </c>
      <c r="E57">
        <v>15.45</v>
      </c>
      <c r="F57">
        <v>208545.91</v>
      </c>
      <c r="G57">
        <v>15.45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0.7037037037037035</v>
      </c>
      <c r="Q57">
        <f t="shared" ref="Q57" si="261">F57*P57</f>
        <v>146754.52925925923</v>
      </c>
      <c r="R57">
        <f t="shared" ref="R57" si="262">R58+Q57</f>
        <v>-7890989.634017922</v>
      </c>
      <c r="S57">
        <f t="shared" ref="S57" si="263">R57/100000</f>
        <v>-78.909896340179216</v>
      </c>
      <c r="T57">
        <f t="shared" ref="T57" si="264">S57/1000</f>
        <v>-7.8909896340179211E-2</v>
      </c>
    </row>
    <row r="58" spans="1:20" x14ac:dyDescent="0.25">
      <c r="A58" s="5">
        <v>44535</v>
      </c>
      <c r="B58">
        <v>16.13</v>
      </c>
      <c r="C58">
        <v>16.63</v>
      </c>
      <c r="D58">
        <v>14.79</v>
      </c>
      <c r="E58">
        <v>15.29</v>
      </c>
      <c r="F58">
        <v>197540.38</v>
      </c>
      <c r="G58">
        <v>15.29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-0.45652173913043476</v>
      </c>
      <c r="Q58">
        <f t="shared" ref="Q58" si="266">F58*P58</f>
        <v>-90181.47782608695</v>
      </c>
      <c r="R58">
        <f t="shared" ref="R58" si="267">R59+Q58</f>
        <v>-8037744.1632771809</v>
      </c>
      <c r="S58">
        <f t="shared" ref="S58" si="268">R58/100000</f>
        <v>-80.377441632771806</v>
      </c>
      <c r="T58">
        <f t="shared" ref="T58" si="269">S58/1000</f>
        <v>-8.0377441632771801E-2</v>
      </c>
    </row>
    <row r="59" spans="1:20" x14ac:dyDescent="0.25">
      <c r="A59" s="5">
        <v>44534</v>
      </c>
      <c r="B59">
        <v>18.54</v>
      </c>
      <c r="C59">
        <v>18.64</v>
      </c>
      <c r="D59">
        <v>14.5</v>
      </c>
      <c r="E59">
        <v>16.14</v>
      </c>
      <c r="F59">
        <v>359777.99</v>
      </c>
      <c r="G59">
        <v>16.14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-0.20772946859903366</v>
      </c>
      <c r="Q59">
        <f t="shared" ref="Q59" si="271">F59*P59</f>
        <v>-74736.490676328438</v>
      </c>
      <c r="R59">
        <f t="shared" ref="R59" si="272">R60+Q59</f>
        <v>-7947562.6854510941</v>
      </c>
      <c r="S59">
        <f t="shared" ref="S59" si="273">R59/100000</f>
        <v>-79.475626854510935</v>
      </c>
      <c r="T59">
        <f t="shared" ref="T59" si="274">S59/1000</f>
        <v>-7.9475626854510942E-2</v>
      </c>
    </row>
    <row r="60" spans="1:20" x14ac:dyDescent="0.25">
      <c r="A60" s="5">
        <v>44533</v>
      </c>
      <c r="B60">
        <v>21.62</v>
      </c>
      <c r="C60">
        <v>21.74</v>
      </c>
      <c r="D60">
        <v>17.62</v>
      </c>
      <c r="E60">
        <v>18.53</v>
      </c>
      <c r="F60">
        <v>516282.35</v>
      </c>
      <c r="G60">
        <v>18.53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-0.55825242718446566</v>
      </c>
      <c r="Q60">
        <f t="shared" ref="Q60" si="276">F60*P60</f>
        <v>-288215.87499999983</v>
      </c>
      <c r="R60">
        <f t="shared" ref="R60" si="277">R61+Q60</f>
        <v>-7872826.1947747655</v>
      </c>
      <c r="S60">
        <f t="shared" ref="S60" si="278">R60/100000</f>
        <v>-78.728261947747654</v>
      </c>
      <c r="T60">
        <f t="shared" ref="T60" si="279">S60/1000</f>
        <v>-7.8728261947747652E-2</v>
      </c>
    </row>
    <row r="61" spans="1:20" x14ac:dyDescent="0.25">
      <c r="A61" s="5">
        <v>44532</v>
      </c>
      <c r="B61">
        <v>27</v>
      </c>
      <c r="C61">
        <v>27.22</v>
      </c>
      <c r="D61">
        <v>21.15</v>
      </c>
      <c r="E61">
        <v>21.62</v>
      </c>
      <c r="F61">
        <v>1044550.97</v>
      </c>
      <c r="G61">
        <v>21.62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-0.84514003294892837</v>
      </c>
      <c r="Q61">
        <f t="shared" ref="Q61" si="281">F61*P61</f>
        <v>-882791.84120263509</v>
      </c>
      <c r="R61">
        <f t="shared" ref="R61" si="282">R62+Q61</f>
        <v>-7584610.3197747655</v>
      </c>
      <c r="S61">
        <f t="shared" ref="S61" si="283">R61/100000</f>
        <v>-75.846103197747652</v>
      </c>
      <c r="T61">
        <f t="shared" ref="T61" si="284">S61/1000</f>
        <v>-7.584610319774765E-2</v>
      </c>
    </row>
    <row r="62" spans="1:20" x14ac:dyDescent="0.25">
      <c r="A62" s="5">
        <v>44531</v>
      </c>
      <c r="B62">
        <v>26.34</v>
      </c>
      <c r="C62">
        <v>28.48</v>
      </c>
      <c r="D62">
        <v>26.16</v>
      </c>
      <c r="E62">
        <v>27.02</v>
      </c>
      <c r="F62">
        <v>177187.45</v>
      </c>
      <c r="G62">
        <v>27.02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-0.25862068965517299</v>
      </c>
      <c r="Q62">
        <f t="shared" ref="Q62" si="286">F62*P62</f>
        <v>-45824.340517241486</v>
      </c>
      <c r="R62">
        <f t="shared" ref="R62" si="287">R63+Q62</f>
        <v>-6701818.4785721302</v>
      </c>
      <c r="S62">
        <f t="shared" ref="S62" si="288">R62/100000</f>
        <v>-67.018184785721303</v>
      </c>
      <c r="T62">
        <f t="shared" ref="T62" si="289">S62/1000</f>
        <v>-6.7018184785721302E-2</v>
      </c>
    </row>
    <row r="63" spans="1:20" x14ac:dyDescent="0.25">
      <c r="A63" s="5">
        <v>44530</v>
      </c>
      <c r="B63">
        <v>26.36</v>
      </c>
      <c r="C63">
        <v>27.25</v>
      </c>
      <c r="D63">
        <v>24.74</v>
      </c>
      <c r="E63">
        <v>26.37</v>
      </c>
      <c r="F63">
        <v>184375.69</v>
      </c>
      <c r="G63">
        <v>26.37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0.29880478087649526</v>
      </c>
      <c r="Q63">
        <f t="shared" ref="Q63" si="291">F63*P63</f>
        <v>55092.337649402616</v>
      </c>
      <c r="R63">
        <f t="shared" ref="R63" si="292">R64+Q63</f>
        <v>-6655994.1380548887</v>
      </c>
      <c r="S63">
        <f t="shared" ref="S63" si="293">R63/100000</f>
        <v>-66.559941380548892</v>
      </c>
      <c r="T63">
        <f t="shared" ref="T63" si="294">S63/1000</f>
        <v>-6.6559941380548895E-2</v>
      </c>
    </row>
    <row r="64" spans="1:20" x14ac:dyDescent="0.25">
      <c r="A64" s="5">
        <v>44529</v>
      </c>
      <c r="B64">
        <v>25.87</v>
      </c>
      <c r="C64">
        <v>26.9</v>
      </c>
      <c r="D64">
        <v>24.88</v>
      </c>
      <c r="E64">
        <v>26.32</v>
      </c>
      <c r="F64">
        <v>146784.59</v>
      </c>
      <c r="G64">
        <v>26.32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0.42574257425742729</v>
      </c>
      <c r="Q64">
        <f t="shared" ref="Q64" si="296">F64*P64</f>
        <v>62492.449207921018</v>
      </c>
      <c r="R64">
        <f t="shared" ref="R64" si="297">R65+Q64</f>
        <v>-6711086.4757042909</v>
      </c>
      <c r="S64">
        <f t="shared" ref="S64" si="298">R64/100000</f>
        <v>-67.110864757042904</v>
      </c>
      <c r="T64">
        <f t="shared" ref="T64" si="299">S64/1000</f>
        <v>-6.7110864757042907E-2</v>
      </c>
    </row>
    <row r="65" spans="1:20" x14ac:dyDescent="0.25">
      <c r="A65" s="5">
        <v>44528</v>
      </c>
      <c r="B65">
        <v>25.54</v>
      </c>
      <c r="C65">
        <v>26.09</v>
      </c>
      <c r="D65">
        <v>22.77</v>
      </c>
      <c r="E65">
        <v>25.87</v>
      </c>
      <c r="F65">
        <v>186510.41</v>
      </c>
      <c r="G65">
        <v>25.87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0.86746987951807297</v>
      </c>
      <c r="Q65">
        <f t="shared" ref="Q65" si="301">F65*P65</f>
        <v>161792.1628915664</v>
      </c>
      <c r="R65">
        <f t="shared" ref="R65" si="302">R66+Q65</f>
        <v>-6773578.9249122115</v>
      </c>
      <c r="S65">
        <f t="shared" ref="S65" si="303">R65/100000</f>
        <v>-67.735789249122121</v>
      </c>
      <c r="T65">
        <f t="shared" ref="T65" si="304">S65/1000</f>
        <v>-6.7735789249122116E-2</v>
      </c>
    </row>
    <row r="66" spans="1:20" x14ac:dyDescent="0.25">
      <c r="A66" s="5">
        <v>44527</v>
      </c>
      <c r="B66">
        <v>24.85</v>
      </c>
      <c r="C66">
        <v>26.92</v>
      </c>
      <c r="D66">
        <v>24.6</v>
      </c>
      <c r="E66">
        <v>25.59</v>
      </c>
      <c r="F66">
        <v>205874.44</v>
      </c>
      <c r="G66">
        <v>25.59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-0.14655172413793249</v>
      </c>
      <c r="Q66">
        <f t="shared" ref="Q66" si="306">F66*P66</f>
        <v>-30171.254137931333</v>
      </c>
      <c r="R66">
        <f t="shared" ref="R66" si="307">R67+Q66</f>
        <v>-6935371.0878037782</v>
      </c>
      <c r="S66">
        <f t="shared" ref="S66" si="308">R66/100000</f>
        <v>-69.353710878037788</v>
      </c>
      <c r="T66">
        <f t="shared" ref="T66" si="309">S66/1000</f>
        <v>-6.9353710878037794E-2</v>
      </c>
    </row>
    <row r="67" spans="1:20" x14ac:dyDescent="0.25">
      <c r="A67" s="5">
        <v>44526</v>
      </c>
      <c r="B67">
        <v>28.79</v>
      </c>
      <c r="C67">
        <v>30.1</v>
      </c>
      <c r="D67">
        <v>24.66</v>
      </c>
      <c r="E67">
        <v>24.85</v>
      </c>
      <c r="F67">
        <v>254452.78</v>
      </c>
      <c r="G67">
        <v>24.85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-0.93014705882352899</v>
      </c>
      <c r="Q67">
        <f t="shared" ref="Q67" si="311">F67*P67</f>
        <v>-236678.50492647049</v>
      </c>
      <c r="R67">
        <f t="shared" ref="R67" si="312">R68+Q67</f>
        <v>-6905199.8336658468</v>
      </c>
      <c r="S67">
        <f t="shared" ref="S67" si="313">R67/100000</f>
        <v>-69.051998336658471</v>
      </c>
      <c r="T67">
        <f t="shared" ref="T67" si="314">S67/1000</f>
        <v>-6.9051998336658468E-2</v>
      </c>
    </row>
    <row r="68" spans="1:20" x14ac:dyDescent="0.25">
      <c r="A68" s="5">
        <v>44525</v>
      </c>
      <c r="B68">
        <v>25.92</v>
      </c>
      <c r="C68">
        <v>30.07</v>
      </c>
      <c r="D68">
        <v>25.75</v>
      </c>
      <c r="E68">
        <v>28.75</v>
      </c>
      <c r="F68">
        <v>390546.46</v>
      </c>
      <c r="G68">
        <v>28.75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0.38888888888888878</v>
      </c>
      <c r="Q68">
        <f t="shared" ref="Q68" si="316">F68*P68</f>
        <v>151879.17888888885</v>
      </c>
      <c r="R68">
        <f t="shared" ref="R68" si="317">R69+Q68</f>
        <v>-6668521.3287393767</v>
      </c>
      <c r="S68">
        <f t="shared" ref="S68" si="318">R68/100000</f>
        <v>-66.685213287393765</v>
      </c>
      <c r="T68">
        <f t="shared" ref="T68" si="319">S68/1000</f>
        <v>-6.6685213287393769E-2</v>
      </c>
    </row>
    <row r="69" spans="1:20" x14ac:dyDescent="0.25">
      <c r="A69" s="5">
        <v>44524</v>
      </c>
      <c r="B69">
        <v>26.84</v>
      </c>
      <c r="C69">
        <v>27.5</v>
      </c>
      <c r="D69">
        <v>26.29</v>
      </c>
      <c r="E69">
        <v>26.72</v>
      </c>
      <c r="F69">
        <v>56053.88</v>
      </c>
      <c r="G69">
        <v>26.72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-0.28925619834710842</v>
      </c>
      <c r="Q69">
        <f t="shared" ref="Q69" si="321">F69*P69</f>
        <v>-16213.932231405013</v>
      </c>
      <c r="R69">
        <f t="shared" ref="R69" si="322">R70+Q69</f>
        <v>-6820400.5076282658</v>
      </c>
      <c r="S69">
        <f t="shared" ref="S69" si="323">R69/100000</f>
        <v>-68.204005076282655</v>
      </c>
      <c r="T69">
        <f t="shared" ref="T69" si="324">S69/1000</f>
        <v>-6.8204005076282659E-2</v>
      </c>
    </row>
    <row r="70" spans="1:20" x14ac:dyDescent="0.25">
      <c r="A70" s="5">
        <v>44523</v>
      </c>
      <c r="B70">
        <v>25.51</v>
      </c>
      <c r="C70">
        <v>27.5</v>
      </c>
      <c r="D70">
        <v>24.82</v>
      </c>
      <c r="E70">
        <v>26.92</v>
      </c>
      <c r="F70">
        <v>267136.76</v>
      </c>
      <c r="G70">
        <v>26.92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0.56716417910447881</v>
      </c>
      <c r="Q70">
        <f t="shared" ref="Q70" si="326">F70*P70</f>
        <v>151510.40119403019</v>
      </c>
      <c r="R70">
        <f t="shared" ref="R70" si="327">R71+Q70</f>
        <v>-6804186.5753968609</v>
      </c>
      <c r="S70">
        <f t="shared" ref="S70" si="328">R70/100000</f>
        <v>-68.041865753968608</v>
      </c>
      <c r="T70">
        <f t="shared" ref="T70" si="329">S70/1000</f>
        <v>-6.8041865753968603E-2</v>
      </c>
    </row>
    <row r="71" spans="1:20" x14ac:dyDescent="0.25">
      <c r="A71" s="5">
        <v>44522</v>
      </c>
      <c r="B71">
        <v>26.89</v>
      </c>
      <c r="C71">
        <v>26.93</v>
      </c>
      <c r="D71">
        <v>25.2</v>
      </c>
      <c r="E71">
        <v>25.51</v>
      </c>
      <c r="F71">
        <v>125429.12</v>
      </c>
      <c r="G71">
        <v>25.51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-0.6416184971098241</v>
      </c>
      <c r="Q71">
        <f t="shared" ref="Q71" si="331">F71*P71</f>
        <v>-80477.643468207782</v>
      </c>
      <c r="R71">
        <f t="shared" ref="R71" si="332">R72+Q71</f>
        <v>-6955696.9765908914</v>
      </c>
      <c r="S71">
        <f t="shared" ref="S71" si="333">R71/100000</f>
        <v>-69.556969765908917</v>
      </c>
      <c r="T71">
        <f t="shared" ref="T71" si="334">S71/1000</f>
        <v>-6.9556969765908916E-2</v>
      </c>
    </row>
    <row r="72" spans="1:20" x14ac:dyDescent="0.25">
      <c r="A72" s="5">
        <v>44521</v>
      </c>
      <c r="B72">
        <v>28.28</v>
      </c>
      <c r="C72">
        <v>28.79</v>
      </c>
      <c r="D72">
        <v>26.52</v>
      </c>
      <c r="E72">
        <v>26.85</v>
      </c>
      <c r="F72">
        <v>129750.35</v>
      </c>
      <c r="G72">
        <v>26.85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-0.7092511013215842</v>
      </c>
      <c r="Q72">
        <f t="shared" ref="Q72" si="336">F72*P72</f>
        <v>-92025.578634361023</v>
      </c>
      <c r="R72">
        <f t="shared" ref="R72" si="337">R73+Q72</f>
        <v>-6875219.3331226837</v>
      </c>
      <c r="S72">
        <f t="shared" ref="S72" si="338">R72/100000</f>
        <v>-68.752193331226835</v>
      </c>
      <c r="T72">
        <f t="shared" ref="T72" si="339">S72/1000</f>
        <v>-6.8752193331226841E-2</v>
      </c>
    </row>
    <row r="73" spans="1:20" x14ac:dyDescent="0.25">
      <c r="A73" s="5">
        <v>44520</v>
      </c>
      <c r="B73">
        <v>27.64</v>
      </c>
      <c r="C73">
        <v>29.6</v>
      </c>
      <c r="D73">
        <v>26.39</v>
      </c>
      <c r="E73">
        <v>28.24</v>
      </c>
      <c r="F73">
        <v>297047.19</v>
      </c>
      <c r="G73">
        <v>28.24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0.15264797507788</v>
      </c>
      <c r="Q73">
        <f t="shared" ref="Q73" si="341">F73*P73</f>
        <v>45343.652056074287</v>
      </c>
      <c r="R73">
        <f t="shared" ref="R73" si="342">R74+Q73</f>
        <v>-6783193.7544883229</v>
      </c>
      <c r="S73">
        <f t="shared" ref="S73" si="343">R73/100000</f>
        <v>-67.831937544883232</v>
      </c>
      <c r="T73">
        <f t="shared" ref="T73" si="344">S73/1000</f>
        <v>-6.7831937544883231E-2</v>
      </c>
    </row>
    <row r="74" spans="1:20" x14ac:dyDescent="0.25">
      <c r="A74" s="5">
        <v>44519</v>
      </c>
      <c r="B74">
        <v>25.83</v>
      </c>
      <c r="C74">
        <v>28.24</v>
      </c>
      <c r="D74">
        <v>25.1</v>
      </c>
      <c r="E74">
        <v>27.62</v>
      </c>
      <c r="F74">
        <v>137634.49</v>
      </c>
      <c r="G74">
        <v>27.62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0.60509554140127519</v>
      </c>
      <c r="Q74">
        <f t="shared" ref="Q74" si="346">F74*P74</f>
        <v>83282.016242038386</v>
      </c>
      <c r="R74">
        <f t="shared" ref="R74" si="347">R75+Q74</f>
        <v>-6828537.4065443976</v>
      </c>
      <c r="S74">
        <f t="shared" ref="S74" si="348">R74/100000</f>
        <v>-68.285374065443975</v>
      </c>
      <c r="T74">
        <f t="shared" ref="T74" si="349">S74/1000</f>
        <v>-6.8285374065443979E-2</v>
      </c>
    </row>
    <row r="75" spans="1:20" x14ac:dyDescent="0.25">
      <c r="A75" s="5">
        <v>44518</v>
      </c>
      <c r="B75">
        <v>29.48</v>
      </c>
      <c r="C75">
        <v>30.32</v>
      </c>
      <c r="D75">
        <v>25.52</v>
      </c>
      <c r="E75">
        <v>25.93</v>
      </c>
      <c r="F75">
        <v>159801.14000000001</v>
      </c>
      <c r="G75">
        <v>25.93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-0.82916666666666661</v>
      </c>
      <c r="Q75">
        <f t="shared" ref="Q75" si="351">F75*P75</f>
        <v>-132501.77858333333</v>
      </c>
      <c r="R75">
        <f t="shared" ref="R75" si="352">R76+Q75</f>
        <v>-6911819.422786436</v>
      </c>
      <c r="S75">
        <f t="shared" ref="S75" si="353">R75/100000</f>
        <v>-69.118194227864365</v>
      </c>
      <c r="T75">
        <f t="shared" ref="T75" si="354">S75/1000</f>
        <v>-6.911819422786436E-2</v>
      </c>
    </row>
    <row r="76" spans="1:20" x14ac:dyDescent="0.25">
      <c r="A76" s="5">
        <v>44517</v>
      </c>
      <c r="B76">
        <v>28.14</v>
      </c>
      <c r="C76">
        <v>30.4</v>
      </c>
      <c r="D76">
        <v>27.13</v>
      </c>
      <c r="E76">
        <v>29.47</v>
      </c>
      <c r="F76">
        <v>138295.63</v>
      </c>
      <c r="G76">
        <v>29.47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0.4311926605504588</v>
      </c>
      <c r="Q76">
        <f t="shared" ref="Q76" si="356">F76*P76</f>
        <v>59632.060642201846</v>
      </c>
      <c r="R76">
        <f t="shared" ref="R76" si="357">R77+Q76</f>
        <v>-6779317.6442031031</v>
      </c>
      <c r="S76">
        <f t="shared" ref="S76" si="358">R76/100000</f>
        <v>-67.793176442031026</v>
      </c>
      <c r="T76">
        <f t="shared" ref="T76" si="359">S76/1000</f>
        <v>-6.779317644203102E-2</v>
      </c>
    </row>
    <row r="77" spans="1:20" x14ac:dyDescent="0.25">
      <c r="A77" s="5">
        <v>44516</v>
      </c>
      <c r="B77">
        <v>32.159999999999997</v>
      </c>
      <c r="C77">
        <v>32.18</v>
      </c>
      <c r="D77">
        <v>26.92</v>
      </c>
      <c r="E77">
        <v>28.11</v>
      </c>
      <c r="F77">
        <v>179440.25</v>
      </c>
      <c r="G77">
        <v>28.11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-0.54752851711026684</v>
      </c>
      <c r="Q77">
        <f t="shared" ref="Q77" si="361">F77*P77</f>
        <v>-98248.653992395557</v>
      </c>
      <c r="R77">
        <f t="shared" ref="R77" si="362">R78+Q77</f>
        <v>-6838949.7048453046</v>
      </c>
      <c r="S77">
        <f t="shared" ref="S77" si="363">R77/100000</f>
        <v>-68.389497048453052</v>
      </c>
      <c r="T77">
        <f t="shared" ref="T77" si="364">S77/1000</f>
        <v>-6.8389497048453055E-2</v>
      </c>
    </row>
    <row r="78" spans="1:20" x14ac:dyDescent="0.25">
      <c r="A78" s="5">
        <v>44515</v>
      </c>
      <c r="B78">
        <v>33.200000000000003</v>
      </c>
      <c r="C78">
        <v>34.69</v>
      </c>
      <c r="D78">
        <v>31.88</v>
      </c>
      <c r="E78">
        <v>32.130000000000003</v>
      </c>
      <c r="F78">
        <v>114741.86</v>
      </c>
      <c r="G78">
        <v>32.130000000000003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-0.82206405693949913</v>
      </c>
      <c r="Q78">
        <f t="shared" ref="Q78" si="366">F78*P78</f>
        <v>-94325.158932384045</v>
      </c>
      <c r="R78">
        <f t="shared" ref="R78" si="367">R79+Q78</f>
        <v>-6740701.0508529088</v>
      </c>
      <c r="S78">
        <f t="shared" ref="S78" si="368">R78/100000</f>
        <v>-67.407010508529083</v>
      </c>
      <c r="T78">
        <f t="shared" ref="T78" si="369">S78/1000</f>
        <v>-6.7407010508529083E-2</v>
      </c>
    </row>
    <row r="79" spans="1:20" x14ac:dyDescent="0.25">
      <c r="A79" s="5">
        <v>44514</v>
      </c>
      <c r="B79">
        <v>33.49</v>
      </c>
      <c r="C79">
        <v>36.549999999999997</v>
      </c>
      <c r="D79">
        <v>31.8</v>
      </c>
      <c r="E79">
        <v>33.130000000000003</v>
      </c>
      <c r="F79">
        <v>149846.70000000001</v>
      </c>
      <c r="G79">
        <v>33.130000000000003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-0.43999999999999878</v>
      </c>
      <c r="Q79">
        <f t="shared" ref="Q79" si="371">F79*P79</f>
        <v>-65932.547999999821</v>
      </c>
      <c r="R79">
        <f t="shared" ref="R79" si="372">R80+Q79</f>
        <v>-6646375.8919205246</v>
      </c>
      <c r="S79">
        <f t="shared" ref="S79" si="373">R79/100000</f>
        <v>-66.463758919205247</v>
      </c>
      <c r="T79">
        <f t="shared" ref="T79" si="374">S79/1000</f>
        <v>-6.6463758919205251E-2</v>
      </c>
    </row>
    <row r="80" spans="1:20" x14ac:dyDescent="0.25">
      <c r="A80" s="5">
        <v>44513</v>
      </c>
      <c r="B80">
        <v>30.91</v>
      </c>
      <c r="C80">
        <v>34.979999999999997</v>
      </c>
      <c r="D80">
        <v>30.54</v>
      </c>
      <c r="E80">
        <v>33.49</v>
      </c>
      <c r="F80">
        <v>135849.32</v>
      </c>
      <c r="G80">
        <v>33.49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0.3288288288288308</v>
      </c>
      <c r="Q80">
        <f t="shared" ref="Q80" si="376">F80*P80</f>
        <v>44671.172792793062</v>
      </c>
      <c r="R80">
        <f t="shared" ref="R80" si="377">R81+Q80</f>
        <v>-6580443.3439205252</v>
      </c>
      <c r="S80">
        <f t="shared" ref="S80" si="378">R80/100000</f>
        <v>-65.804433439205255</v>
      </c>
      <c r="T80">
        <f t="shared" ref="T80" si="379">S80/1000</f>
        <v>-6.5804433439205251E-2</v>
      </c>
    </row>
    <row r="81" spans="1:20" x14ac:dyDescent="0.25">
      <c r="A81" s="5">
        <v>44512</v>
      </c>
      <c r="B81">
        <v>32.21</v>
      </c>
      <c r="C81">
        <v>32.450000000000003</v>
      </c>
      <c r="D81">
        <v>30.2</v>
      </c>
      <c r="E81">
        <v>30.97</v>
      </c>
      <c r="F81">
        <v>98375.13</v>
      </c>
      <c r="G81">
        <v>30.97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-0.31555555555555703</v>
      </c>
      <c r="Q81">
        <f t="shared" ref="Q81" si="381">F81*P81</f>
        <v>-31042.818800000146</v>
      </c>
      <c r="R81">
        <f t="shared" ref="R81" si="382">R82+Q81</f>
        <v>-6625114.5167133184</v>
      </c>
      <c r="S81">
        <f t="shared" ref="S81" si="383">R81/100000</f>
        <v>-66.251145167133188</v>
      </c>
      <c r="T81">
        <f t="shared" ref="T81" si="384">S81/1000</f>
        <v>-6.6251145167133194E-2</v>
      </c>
    </row>
    <row r="82" spans="1:20" x14ac:dyDescent="0.25">
      <c r="A82" s="5">
        <v>44511</v>
      </c>
      <c r="B82">
        <v>31.83</v>
      </c>
      <c r="C82">
        <v>33.85</v>
      </c>
      <c r="D82">
        <v>31.12</v>
      </c>
      <c r="E82">
        <v>32.229999999999997</v>
      </c>
      <c r="F82">
        <v>158966.97</v>
      </c>
      <c r="G82">
        <v>32.229999999999997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-0.18681318681318995</v>
      </c>
      <c r="Q82">
        <f t="shared" ref="Q82" si="386">F82*P82</f>
        <v>-29697.126263736762</v>
      </c>
      <c r="R82">
        <f t="shared" ref="R82" si="387">R83+Q82</f>
        <v>-6594071.6979133179</v>
      </c>
      <c r="S82">
        <f t="shared" ref="S82" si="388">R82/100000</f>
        <v>-65.940716979133185</v>
      </c>
      <c r="T82">
        <f t="shared" ref="T82" si="389">S82/1000</f>
        <v>-6.5940716979133188E-2</v>
      </c>
    </row>
    <row r="83" spans="1:20" x14ac:dyDescent="0.25">
      <c r="A83" s="5">
        <v>44510</v>
      </c>
      <c r="B83">
        <v>34.520000000000003</v>
      </c>
      <c r="C83">
        <v>36.1</v>
      </c>
      <c r="D83">
        <v>30.49</v>
      </c>
      <c r="E83">
        <v>31.84</v>
      </c>
      <c r="F83">
        <v>179150.05</v>
      </c>
      <c r="G83">
        <v>31.84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-0.51871657754010669</v>
      </c>
      <c r="Q83">
        <f t="shared" ref="Q83" si="391">F83*P83</f>
        <v>-92928.100802138986</v>
      </c>
      <c r="R83">
        <f t="shared" ref="R83" si="392">R84+Q83</f>
        <v>-6564374.5716495812</v>
      </c>
      <c r="S83">
        <f t="shared" ref="S83" si="393">R83/100000</f>
        <v>-65.643745716495815</v>
      </c>
      <c r="T83">
        <f t="shared" ref="T83" si="394">S83/1000</f>
        <v>-6.564374571649581E-2</v>
      </c>
    </row>
    <row r="84" spans="1:20" x14ac:dyDescent="0.25">
      <c r="A84" s="5">
        <v>44509</v>
      </c>
      <c r="B84">
        <v>37.880000000000003</v>
      </c>
      <c r="C84">
        <v>39.700000000000003</v>
      </c>
      <c r="D84">
        <v>34.340000000000003</v>
      </c>
      <c r="E84">
        <v>34.5</v>
      </c>
      <c r="F84">
        <v>215657.4</v>
      </c>
      <c r="G84">
        <v>34.5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-0.94029850746268784</v>
      </c>
      <c r="Q84">
        <f t="shared" ref="Q84" si="396">F84*P84</f>
        <v>-202782.33134328385</v>
      </c>
      <c r="R84">
        <f t="shared" ref="R84" si="397">R85+Q84</f>
        <v>-6471446.4708474418</v>
      </c>
      <c r="S84">
        <f t="shared" ref="S84" si="398">R84/100000</f>
        <v>-64.714464708474424</v>
      </c>
      <c r="T84">
        <f t="shared" ref="T84" si="399">S84/1000</f>
        <v>-6.4714464708474417E-2</v>
      </c>
    </row>
    <row r="85" spans="1:20" x14ac:dyDescent="0.25">
      <c r="A85" s="5">
        <v>44508</v>
      </c>
      <c r="B85">
        <v>32.369999999999997</v>
      </c>
      <c r="C85">
        <v>41</v>
      </c>
      <c r="D85">
        <v>32.18</v>
      </c>
      <c r="E85">
        <v>37.9</v>
      </c>
      <c r="F85">
        <v>811584.78</v>
      </c>
      <c r="G85">
        <v>37.9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0.29705215419501102</v>
      </c>
      <c r="Q85">
        <f t="shared" ref="Q85" si="401">F85*P85</f>
        <v>241083.0072108841</v>
      </c>
      <c r="R85">
        <f t="shared" ref="R85" si="402">R86+Q85</f>
        <v>-6268664.1395041579</v>
      </c>
      <c r="S85">
        <f t="shared" ref="S85" si="403">R85/100000</f>
        <v>-62.686641395041576</v>
      </c>
      <c r="T85">
        <f t="shared" ref="T85" si="404">S85/1000</f>
        <v>-6.268664139504157E-2</v>
      </c>
    </row>
    <row r="86" spans="1:20" x14ac:dyDescent="0.25">
      <c r="A86" s="5">
        <v>44507</v>
      </c>
      <c r="B86">
        <v>32.450000000000003</v>
      </c>
      <c r="C86">
        <v>34.35</v>
      </c>
      <c r="D86">
        <v>31.73</v>
      </c>
      <c r="E86">
        <v>32.380000000000003</v>
      </c>
      <c r="F86">
        <v>214633.92</v>
      </c>
      <c r="G86">
        <v>32.380000000000003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-0.50381679389312828</v>
      </c>
      <c r="Q86">
        <f t="shared" ref="Q86" si="406">F86*P86</f>
        <v>-108136.17343511419</v>
      </c>
      <c r="R86">
        <f t="shared" ref="R86" si="407">R87+Q86</f>
        <v>-6509747.1467150422</v>
      </c>
      <c r="S86">
        <f t="shared" ref="S86" si="408">R86/100000</f>
        <v>-65.097471467150427</v>
      </c>
      <c r="T86">
        <f t="shared" ref="T86" si="409">S86/1000</f>
        <v>-6.5097471467150433E-2</v>
      </c>
    </row>
    <row r="87" spans="1:20" x14ac:dyDescent="0.25">
      <c r="A87" s="5">
        <v>44506</v>
      </c>
      <c r="B87">
        <v>31.03</v>
      </c>
      <c r="C87">
        <v>35</v>
      </c>
      <c r="D87">
        <v>29.3</v>
      </c>
      <c r="E87">
        <v>32.46</v>
      </c>
      <c r="F87">
        <v>479600.5</v>
      </c>
      <c r="G87">
        <v>32.46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0.10877192982456159</v>
      </c>
      <c r="Q87">
        <f t="shared" ref="Q87" si="411">F87*P87</f>
        <v>52167.071929824648</v>
      </c>
      <c r="R87">
        <f t="shared" ref="R87" si="412">R88+Q87</f>
        <v>-6401610.9732799279</v>
      </c>
      <c r="S87">
        <f t="shared" ref="S87" si="413">R87/100000</f>
        <v>-64.016109732799279</v>
      </c>
      <c r="T87">
        <f t="shared" ref="T87" si="414">S87/1000</f>
        <v>-6.4016109732799281E-2</v>
      </c>
    </row>
    <row r="88" spans="1:20" x14ac:dyDescent="0.25">
      <c r="A88" s="5">
        <v>44505</v>
      </c>
      <c r="B88">
        <v>34.01</v>
      </c>
      <c r="C88">
        <v>34.92</v>
      </c>
      <c r="D88">
        <v>30.68</v>
      </c>
      <c r="E88">
        <v>31.03</v>
      </c>
      <c r="F88">
        <v>274186.15000000002</v>
      </c>
      <c r="G88">
        <v>31.03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-0.83490566037735792</v>
      </c>
      <c r="Q88">
        <f t="shared" ref="Q88" si="416">F88*P88</f>
        <v>-228919.56863207533</v>
      </c>
      <c r="R88">
        <f t="shared" ref="R88" si="417">R89+Q88</f>
        <v>-6453778.0452097524</v>
      </c>
      <c r="S88">
        <f t="shared" ref="S88" si="418">R88/100000</f>
        <v>-64.537780452097522</v>
      </c>
      <c r="T88">
        <f t="shared" ref="T88" si="419">S88/1000</f>
        <v>-6.4537780452097515E-2</v>
      </c>
    </row>
    <row r="89" spans="1:20" x14ac:dyDescent="0.25">
      <c r="A89" s="5">
        <v>44504</v>
      </c>
      <c r="B89">
        <v>39.07</v>
      </c>
      <c r="C89">
        <v>44.9</v>
      </c>
      <c r="D89">
        <v>33.85</v>
      </c>
      <c r="E89">
        <v>34.01</v>
      </c>
      <c r="F89">
        <v>1493725.83</v>
      </c>
      <c r="G89">
        <v>34.01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-0.97104072398190111</v>
      </c>
      <c r="Q89">
        <f t="shared" ref="Q89" si="421">F89*P89</f>
        <v>-1450468.6113936661</v>
      </c>
      <c r="R89">
        <f t="shared" ref="R89" si="422">R90+Q89</f>
        <v>-6224858.4765776768</v>
      </c>
      <c r="S89">
        <f t="shared" ref="S89" si="423">R89/100000</f>
        <v>-62.248584765776769</v>
      </c>
      <c r="T89">
        <f t="shared" ref="T89" si="424">S89/1000</f>
        <v>-6.2248584765776771E-2</v>
      </c>
    </row>
    <row r="90" spans="1:20" x14ac:dyDescent="0.25">
      <c r="A90" s="5">
        <v>44503</v>
      </c>
      <c r="B90">
        <v>28.59</v>
      </c>
      <c r="C90">
        <v>56.914999999999999</v>
      </c>
      <c r="D90">
        <v>27.43</v>
      </c>
      <c r="E90">
        <v>39.119999999999997</v>
      </c>
      <c r="F90">
        <v>3661026.0410000002</v>
      </c>
      <c r="G90">
        <v>39.119999999999997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-0.20705443445819921</v>
      </c>
      <c r="Q90">
        <f t="shared" ref="Q90" si="426">F90*P90</f>
        <v>-758031.67645599507</v>
      </c>
      <c r="R90">
        <f t="shared" ref="R90" si="427">R91+Q90</f>
        <v>-4774389.8651840109</v>
      </c>
      <c r="S90">
        <f t="shared" ref="S90" si="428">R90/100000</f>
        <v>-47.743898651840112</v>
      </c>
      <c r="T90">
        <f t="shared" ref="T90" si="429">S90/1000</f>
        <v>-4.774389865184011E-2</v>
      </c>
    </row>
    <row r="91" spans="1:20" x14ac:dyDescent="0.25">
      <c r="A91" s="5">
        <v>44502</v>
      </c>
      <c r="B91">
        <v>25.84</v>
      </c>
      <c r="C91">
        <v>28.79</v>
      </c>
      <c r="D91">
        <v>25.3</v>
      </c>
      <c r="E91">
        <v>28.61</v>
      </c>
      <c r="F91">
        <v>194118.19</v>
      </c>
      <c r="G91">
        <v>28.61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0.89684813753581671</v>
      </c>
      <c r="Q91">
        <f t="shared" ref="Q91" si="431">F91*P91</f>
        <v>174094.53716332381</v>
      </c>
      <c r="R91">
        <f t="shared" ref="R91" si="432">R92+Q91</f>
        <v>-4016358.1887280154</v>
      </c>
      <c r="S91">
        <f t="shared" ref="S91" si="433">R91/100000</f>
        <v>-40.163581887280152</v>
      </c>
      <c r="T91">
        <f t="shared" ref="T91" si="434">S91/1000</f>
        <v>-4.0163581887280149E-2</v>
      </c>
    </row>
    <row r="92" spans="1:20" x14ac:dyDescent="0.25">
      <c r="A92" s="5">
        <v>44501</v>
      </c>
      <c r="B92">
        <v>25.6</v>
      </c>
      <c r="C92">
        <v>26.45</v>
      </c>
      <c r="D92">
        <v>24.89</v>
      </c>
      <c r="E92">
        <v>25.86</v>
      </c>
      <c r="F92">
        <v>109516.88</v>
      </c>
      <c r="G92">
        <v>25.86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0.24358974358974314</v>
      </c>
      <c r="Q92">
        <f t="shared" ref="Q92" si="436">F92*P92</f>
        <v>26677.188717948669</v>
      </c>
      <c r="R92">
        <f t="shared" ref="R92" si="437">R93+Q92</f>
        <v>-4190452.7258913391</v>
      </c>
      <c r="S92">
        <f t="shared" ref="S92" si="438">R92/100000</f>
        <v>-41.90452725891339</v>
      </c>
      <c r="T92">
        <f t="shared" ref="T92" si="439">S92/1000</f>
        <v>-4.1904527258913388E-2</v>
      </c>
    </row>
    <row r="93" spans="1:20" x14ac:dyDescent="0.25">
      <c r="A93" s="5">
        <v>44500</v>
      </c>
      <c r="B93">
        <v>25.64</v>
      </c>
      <c r="C93">
        <v>26.25</v>
      </c>
      <c r="D93">
        <v>24.57</v>
      </c>
      <c r="E93">
        <v>25.61</v>
      </c>
      <c r="F93">
        <v>105783.03</v>
      </c>
      <c r="G93">
        <v>25.61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0.23809523809523728</v>
      </c>
      <c r="Q93">
        <f t="shared" ref="Q93" si="441">F93*P93</f>
        <v>25186.435714285628</v>
      </c>
      <c r="R93">
        <f t="shared" ref="R93" si="442">R94+Q93</f>
        <v>-4217129.9146092879</v>
      </c>
      <c r="S93">
        <f t="shared" ref="S93" si="443">R93/100000</f>
        <v>-42.171299146092878</v>
      </c>
      <c r="T93">
        <f t="shared" ref="T93" si="444">S93/1000</f>
        <v>-4.2171299146092876E-2</v>
      </c>
    </row>
    <row r="94" spans="1:20" x14ac:dyDescent="0.25">
      <c r="A94" s="5">
        <v>44499</v>
      </c>
      <c r="B94">
        <v>27.05</v>
      </c>
      <c r="C94">
        <v>27.08</v>
      </c>
      <c r="D94">
        <v>25.26</v>
      </c>
      <c r="E94">
        <v>25.66</v>
      </c>
      <c r="F94">
        <v>69946.59</v>
      </c>
      <c r="G94">
        <v>25.66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-0.56043956043956122</v>
      </c>
      <c r="Q94">
        <f t="shared" ref="Q94" si="446">F94*P94</f>
        <v>-39200.836153846205</v>
      </c>
      <c r="R94">
        <f t="shared" ref="R94" si="447">R95+Q94</f>
        <v>-4242316.3503235737</v>
      </c>
      <c r="S94">
        <f t="shared" ref="S94" si="448">R94/100000</f>
        <v>-42.423163503235735</v>
      </c>
      <c r="T94">
        <f t="shared" ref="T94" si="449">S94/1000</f>
        <v>-4.2423163503235738E-2</v>
      </c>
    </row>
    <row r="95" spans="1:20" x14ac:dyDescent="0.25">
      <c r="A95" s="5">
        <v>44498</v>
      </c>
      <c r="B95">
        <v>26.32</v>
      </c>
      <c r="C95">
        <v>27.39</v>
      </c>
      <c r="D95">
        <v>25.81</v>
      </c>
      <c r="E95">
        <v>27.03</v>
      </c>
      <c r="F95">
        <v>163179.6</v>
      </c>
      <c r="G95">
        <v>27.03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0.54430379746835567</v>
      </c>
      <c r="Q95">
        <f t="shared" ref="Q95" si="451">F95*P95</f>
        <v>88819.275949367293</v>
      </c>
      <c r="R95">
        <f t="shared" ref="R95" si="452">R96+Q95</f>
        <v>-4203115.5141697275</v>
      </c>
      <c r="S95">
        <f t="shared" ref="S95" si="453">R95/100000</f>
        <v>-42.031155141697276</v>
      </c>
      <c r="T95">
        <f t="shared" ref="T95" si="454">S95/1000</f>
        <v>-4.203115514169728E-2</v>
      </c>
    </row>
    <row r="96" spans="1:20" x14ac:dyDescent="0.25">
      <c r="A96" s="5">
        <v>44497</v>
      </c>
      <c r="B96">
        <v>25.12</v>
      </c>
      <c r="C96">
        <v>27.3</v>
      </c>
      <c r="D96">
        <v>24.79</v>
      </c>
      <c r="E96">
        <v>26.32</v>
      </c>
      <c r="F96">
        <v>296604.84000000003</v>
      </c>
      <c r="G96">
        <v>26.32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0.21912350597609576</v>
      </c>
      <c r="Q96">
        <f t="shared" ref="Q96" si="456">F96*P96</f>
        <v>64993.092430278928</v>
      </c>
      <c r="R96">
        <f t="shared" ref="R96" si="457">R97+Q96</f>
        <v>-4291934.7901190948</v>
      </c>
      <c r="S96">
        <f t="shared" ref="S96" si="458">R96/100000</f>
        <v>-42.919347901190946</v>
      </c>
      <c r="T96">
        <f t="shared" ref="T96" si="459">S96/1000</f>
        <v>-4.2919347901190945E-2</v>
      </c>
    </row>
    <row r="97" spans="1:20" x14ac:dyDescent="0.25">
      <c r="A97" s="5">
        <v>44496</v>
      </c>
      <c r="B97">
        <v>29.19</v>
      </c>
      <c r="C97">
        <v>30.42</v>
      </c>
      <c r="D97">
        <v>25.08</v>
      </c>
      <c r="E97">
        <v>25.13</v>
      </c>
      <c r="F97">
        <v>334192.75</v>
      </c>
      <c r="G97">
        <v>25.13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-0.98127340823970011</v>
      </c>
      <c r="Q97">
        <f t="shared" ref="Q97" si="461">F97*P97</f>
        <v>-327934.45880149805</v>
      </c>
      <c r="R97">
        <f t="shared" ref="R97" si="462">R98+Q97</f>
        <v>-4356927.8825493734</v>
      </c>
      <c r="S97">
        <f t="shared" ref="S97" si="463">R97/100000</f>
        <v>-43.569278825493733</v>
      </c>
      <c r="T97">
        <f t="shared" ref="T97" si="464">S97/1000</f>
        <v>-4.3569278825493732E-2</v>
      </c>
    </row>
    <row r="98" spans="1:20" x14ac:dyDescent="0.25">
      <c r="A98" s="5">
        <v>44495</v>
      </c>
      <c r="B98">
        <v>29.62</v>
      </c>
      <c r="C98">
        <v>33.85</v>
      </c>
      <c r="D98">
        <v>29.06</v>
      </c>
      <c r="E98">
        <v>29.19</v>
      </c>
      <c r="F98">
        <v>682790.17</v>
      </c>
      <c r="G98">
        <v>29.19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-0.94572025052191966</v>
      </c>
      <c r="Q98">
        <f t="shared" ref="Q98" si="466">F98*P98</f>
        <v>-645728.49062630418</v>
      </c>
      <c r="R98">
        <f t="shared" ref="R98" si="467">R99+Q98</f>
        <v>-4028993.4237478757</v>
      </c>
      <c r="S98">
        <f t="shared" ref="S98" si="468">R98/100000</f>
        <v>-40.289934237478761</v>
      </c>
      <c r="T98">
        <f t="shared" ref="T98" si="469">S98/1000</f>
        <v>-4.0289934237478758E-2</v>
      </c>
    </row>
    <row r="99" spans="1:20" x14ac:dyDescent="0.25">
      <c r="A99" s="5">
        <v>44494</v>
      </c>
      <c r="B99">
        <v>26.95</v>
      </c>
      <c r="C99">
        <v>30.33</v>
      </c>
      <c r="D99">
        <v>26.71</v>
      </c>
      <c r="E99">
        <v>29.66</v>
      </c>
      <c r="F99">
        <v>287273.63</v>
      </c>
      <c r="G99">
        <v>29.66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0.62983425414364713</v>
      </c>
      <c r="Q99">
        <f t="shared" ref="Q99" si="471">F99*P99</f>
        <v>180934.77248618804</v>
      </c>
      <c r="R99">
        <f t="shared" ref="R99" si="472">R100+Q99</f>
        <v>-3383264.9331215718</v>
      </c>
      <c r="S99">
        <f t="shared" ref="S99" si="473">R99/100000</f>
        <v>-33.83264933121572</v>
      </c>
      <c r="T99">
        <f t="shared" ref="T99" si="474">S99/1000</f>
        <v>-3.3832649331215721E-2</v>
      </c>
    </row>
    <row r="100" spans="1:20" x14ac:dyDescent="0.25">
      <c r="A100" s="5">
        <v>44493</v>
      </c>
      <c r="B100">
        <v>28.33</v>
      </c>
      <c r="C100">
        <v>28.66</v>
      </c>
      <c r="D100">
        <v>26.51</v>
      </c>
      <c r="E100">
        <v>26.95</v>
      </c>
      <c r="F100">
        <v>159886.98000000001</v>
      </c>
      <c r="G100">
        <v>26.95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-0.59069767441860654</v>
      </c>
      <c r="Q100">
        <f t="shared" ref="Q100" si="476">F100*P100</f>
        <v>-94444.867255814257</v>
      </c>
      <c r="R100">
        <f t="shared" ref="R100" si="477">R101+Q100</f>
        <v>-3564199.7056077598</v>
      </c>
      <c r="S100">
        <f t="shared" ref="S100" si="478">R100/100000</f>
        <v>-35.641997056077599</v>
      </c>
      <c r="T100">
        <f t="shared" ref="T100" si="479">S100/1000</f>
        <v>-3.5641997056077603E-2</v>
      </c>
    </row>
    <row r="101" spans="1:20" x14ac:dyDescent="0.25">
      <c r="A101" s="5">
        <v>44492</v>
      </c>
      <c r="B101">
        <v>26.18</v>
      </c>
      <c r="C101">
        <v>29.8</v>
      </c>
      <c r="D101">
        <v>25.79</v>
      </c>
      <c r="E101">
        <v>28.33</v>
      </c>
      <c r="F101">
        <v>369192.8</v>
      </c>
      <c r="G101">
        <v>28.33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0.26683291770573475</v>
      </c>
      <c r="Q101">
        <f t="shared" ref="Q101" si="481">F101*P101</f>
        <v>98512.792019949789</v>
      </c>
      <c r="R101">
        <f t="shared" ref="R101" si="482">R102+Q101</f>
        <v>-3469754.8383519454</v>
      </c>
      <c r="S101">
        <f t="shared" ref="S101" si="483">R101/100000</f>
        <v>-34.697548383519454</v>
      </c>
      <c r="T101">
        <f t="shared" ref="T101" si="484">S101/1000</f>
        <v>-3.4697548383519454E-2</v>
      </c>
    </row>
    <row r="102" spans="1:20" x14ac:dyDescent="0.25">
      <c r="A102" s="5">
        <v>44491</v>
      </c>
      <c r="B102">
        <v>25.51</v>
      </c>
      <c r="C102">
        <v>26.59</v>
      </c>
      <c r="D102">
        <v>25.01</v>
      </c>
      <c r="E102">
        <v>26.19</v>
      </c>
      <c r="F102">
        <v>161689.93</v>
      </c>
      <c r="G102">
        <v>26.19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0.49367088607595061</v>
      </c>
      <c r="Q102">
        <f t="shared" ref="Q102" si="486">F102*P102</f>
        <v>79821.611012658424</v>
      </c>
      <c r="R102">
        <f t="shared" ref="R102" si="487">R103+Q102</f>
        <v>-3568267.6303718952</v>
      </c>
      <c r="S102">
        <f t="shared" ref="S102" si="488">R102/100000</f>
        <v>-35.682676303718949</v>
      </c>
      <c r="T102">
        <f t="shared" ref="T102" si="489">S102/1000</f>
        <v>-3.5682676303718949E-2</v>
      </c>
    </row>
    <row r="103" spans="1:20" x14ac:dyDescent="0.25">
      <c r="A103" s="5">
        <v>44490</v>
      </c>
      <c r="B103">
        <v>27.46</v>
      </c>
      <c r="C103">
        <v>28.13</v>
      </c>
      <c r="D103">
        <v>25.45</v>
      </c>
      <c r="E103">
        <v>25.52</v>
      </c>
      <c r="F103">
        <v>257237.38</v>
      </c>
      <c r="G103">
        <v>25.52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-0.94776119402985048</v>
      </c>
      <c r="Q103">
        <f t="shared" ref="Q103" si="491">F103*P103</f>
        <v>-243799.60641791037</v>
      </c>
      <c r="R103">
        <f t="shared" ref="R103" si="492">R104+Q103</f>
        <v>-3648089.2413845537</v>
      </c>
      <c r="S103">
        <f t="shared" ref="S103" si="493">R103/100000</f>
        <v>-36.480892413845538</v>
      </c>
      <c r="T103">
        <f t="shared" ref="T103" si="494">S103/1000</f>
        <v>-3.6480892413845535E-2</v>
      </c>
    </row>
    <row r="104" spans="1:20" x14ac:dyDescent="0.25">
      <c r="A104" s="5">
        <v>44489</v>
      </c>
      <c r="B104">
        <v>28.19</v>
      </c>
      <c r="C104">
        <v>28.6</v>
      </c>
      <c r="D104">
        <v>26.89</v>
      </c>
      <c r="E104">
        <v>27.46</v>
      </c>
      <c r="F104">
        <v>208499.82</v>
      </c>
      <c r="G104">
        <v>27.46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-0.33333333333333331</v>
      </c>
      <c r="Q104">
        <f t="shared" ref="Q104" si="496">F104*P104</f>
        <v>-69499.94</v>
      </c>
      <c r="R104">
        <f t="shared" ref="R104" si="497">R105+Q104</f>
        <v>-3404289.6349666435</v>
      </c>
      <c r="S104">
        <f t="shared" ref="S104" si="498">R104/100000</f>
        <v>-34.042896349666435</v>
      </c>
      <c r="T104">
        <f t="shared" ref="T104" si="499">S104/1000</f>
        <v>-3.4042896349666438E-2</v>
      </c>
    </row>
    <row r="105" spans="1:20" x14ac:dyDescent="0.25">
      <c r="A105" s="5">
        <v>44488</v>
      </c>
      <c r="B105">
        <v>26.57</v>
      </c>
      <c r="C105">
        <v>28.6</v>
      </c>
      <c r="D105">
        <v>26.24</v>
      </c>
      <c r="E105">
        <v>28.14</v>
      </c>
      <c r="F105">
        <v>289192.94</v>
      </c>
      <c r="G105">
        <v>28.14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0.61016949152542355</v>
      </c>
      <c r="Q105">
        <f t="shared" ref="Q105" si="501">F105*P105</f>
        <v>176456.70915254232</v>
      </c>
      <c r="R105">
        <f t="shared" ref="R105" si="502">R106+Q105</f>
        <v>-3334789.6949666436</v>
      </c>
      <c r="S105">
        <f t="shared" ref="S105" si="503">R105/100000</f>
        <v>-33.347896949666435</v>
      </c>
      <c r="T105">
        <f t="shared" ref="T105" si="504">S105/1000</f>
        <v>-3.3347896949666438E-2</v>
      </c>
    </row>
    <row r="106" spans="1:20" x14ac:dyDescent="0.25">
      <c r="A106" s="5">
        <v>44487</v>
      </c>
      <c r="B106">
        <v>27.37</v>
      </c>
      <c r="C106">
        <v>30.57</v>
      </c>
      <c r="D106">
        <v>26.5</v>
      </c>
      <c r="E106">
        <v>26.57</v>
      </c>
      <c r="F106">
        <v>411681.67</v>
      </c>
      <c r="G106">
        <v>26.57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-0.96560196560196543</v>
      </c>
      <c r="Q106">
        <f t="shared" ref="Q106" si="506">F106*P106</f>
        <v>-397520.62975429965</v>
      </c>
      <c r="R106">
        <f t="shared" ref="R106" si="507">R107+Q106</f>
        <v>-3511246.4041191861</v>
      </c>
      <c r="S106">
        <f t="shared" ref="S106" si="508">R106/100000</f>
        <v>-35.112464041191863</v>
      </c>
      <c r="T106">
        <f t="shared" ref="T106" si="509">S106/1000</f>
        <v>-3.5112464041191865E-2</v>
      </c>
    </row>
    <row r="107" spans="1:20" x14ac:dyDescent="0.25">
      <c r="A107" s="5">
        <v>44486</v>
      </c>
      <c r="B107">
        <v>29.32</v>
      </c>
      <c r="C107">
        <v>29.69</v>
      </c>
      <c r="D107">
        <v>26.04</v>
      </c>
      <c r="E107">
        <v>27.36</v>
      </c>
      <c r="F107">
        <v>271062.63</v>
      </c>
      <c r="G107">
        <v>27.36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-0.27671232876712354</v>
      </c>
      <c r="Q107">
        <f t="shared" ref="Q107" si="511">F107*P107</f>
        <v>-75006.371589041169</v>
      </c>
      <c r="R107">
        <f t="shared" ref="R107" si="512">R108+Q107</f>
        <v>-3113725.7743648863</v>
      </c>
      <c r="S107">
        <f t="shared" ref="S107" si="513">R107/100000</f>
        <v>-31.137257743648863</v>
      </c>
      <c r="T107">
        <f t="shared" ref="T107" si="514">S107/1000</f>
        <v>-3.1137257743648863E-2</v>
      </c>
    </row>
    <row r="108" spans="1:20" x14ac:dyDescent="0.25">
      <c r="A108" s="5">
        <v>44485</v>
      </c>
      <c r="B108">
        <v>30.05</v>
      </c>
      <c r="C108">
        <v>31.29</v>
      </c>
      <c r="D108">
        <v>29.09</v>
      </c>
      <c r="E108">
        <v>29.32</v>
      </c>
      <c r="F108">
        <v>220844.05</v>
      </c>
      <c r="G108">
        <v>29.32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-0.79090909090909045</v>
      </c>
      <c r="Q108">
        <f t="shared" ref="Q108" si="516">F108*P108</f>
        <v>-174667.56681818172</v>
      </c>
      <c r="R108">
        <f t="shared" ref="R108" si="517">R109+Q108</f>
        <v>-3038719.402775845</v>
      </c>
      <c r="S108">
        <f t="shared" ref="S108" si="518">R108/100000</f>
        <v>-30.387194027758451</v>
      </c>
      <c r="T108">
        <f t="shared" ref="T108" si="519">S108/1000</f>
        <v>-3.0387194027758451E-2</v>
      </c>
    </row>
    <row r="109" spans="1:20" x14ac:dyDescent="0.25">
      <c r="A109" s="5">
        <v>44484</v>
      </c>
      <c r="B109">
        <v>34.369999999999997</v>
      </c>
      <c r="C109">
        <v>36</v>
      </c>
      <c r="D109">
        <v>30.04</v>
      </c>
      <c r="E109">
        <v>30.12</v>
      </c>
      <c r="F109">
        <v>515392.69</v>
      </c>
      <c r="G109">
        <v>30.12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-0.97315436241610676</v>
      </c>
      <c r="Q109">
        <f t="shared" ref="Q109" si="521">F109*P109</f>
        <v>-501556.64463087218</v>
      </c>
      <c r="R109">
        <f t="shared" ref="R109" si="522">R110+Q109</f>
        <v>-2864051.8359576631</v>
      </c>
      <c r="S109">
        <f t="shared" ref="S109" si="523">R109/100000</f>
        <v>-28.640518359576632</v>
      </c>
      <c r="T109">
        <f t="shared" ref="T109" si="524">S109/1000</f>
        <v>-2.8640518359576633E-2</v>
      </c>
    </row>
    <row r="110" spans="1:20" x14ac:dyDescent="0.25">
      <c r="A110" s="5">
        <v>44483</v>
      </c>
      <c r="B110">
        <v>36.53</v>
      </c>
      <c r="C110">
        <v>38.96</v>
      </c>
      <c r="D110">
        <v>32.78</v>
      </c>
      <c r="E110">
        <v>34.369999999999997</v>
      </c>
      <c r="F110">
        <v>941803.77</v>
      </c>
      <c r="G110">
        <v>34.369999999999997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-0.48543689320388467</v>
      </c>
      <c r="Q110">
        <f t="shared" ref="Q110" si="526">F110*P110</f>
        <v>-457186.29611650598</v>
      </c>
      <c r="R110">
        <f t="shared" ref="R110" si="527">R111+Q110</f>
        <v>-2362495.191326791</v>
      </c>
      <c r="S110">
        <f t="shared" ref="S110" si="528">R110/100000</f>
        <v>-23.62495191326791</v>
      </c>
      <c r="T110">
        <f t="shared" ref="T110" si="529">S110/1000</f>
        <v>-2.3624951913267911E-2</v>
      </c>
    </row>
    <row r="111" spans="1:20" x14ac:dyDescent="0.25">
      <c r="A111" s="5">
        <v>44482</v>
      </c>
      <c r="B111">
        <v>33.6</v>
      </c>
      <c r="C111">
        <v>45.09</v>
      </c>
      <c r="D111">
        <v>31.3</v>
      </c>
      <c r="E111">
        <v>36.6</v>
      </c>
      <c r="F111">
        <v>1445086.818</v>
      </c>
      <c r="G111">
        <v>36.6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-0.23132704858593189</v>
      </c>
      <c r="Q111">
        <f t="shared" ref="Q111" si="531">F111*P111</f>
        <v>-334287.66855837574</v>
      </c>
      <c r="R111">
        <f t="shared" ref="R111" si="532">R112+Q111</f>
        <v>-1905308.895210285</v>
      </c>
      <c r="S111">
        <f t="shared" ref="S111" si="533">R111/100000</f>
        <v>-19.053088952102851</v>
      </c>
      <c r="T111">
        <f t="shared" ref="T111" si="534">S111/1000</f>
        <v>-1.9053088952102851E-2</v>
      </c>
    </row>
    <row r="112" spans="1:20" x14ac:dyDescent="0.25">
      <c r="A112" s="5">
        <v>44481</v>
      </c>
      <c r="B112">
        <v>31.97</v>
      </c>
      <c r="C112">
        <v>36.61</v>
      </c>
      <c r="D112">
        <v>29.88</v>
      </c>
      <c r="E112">
        <v>33.6</v>
      </c>
      <c r="F112">
        <v>1036607.927</v>
      </c>
      <c r="G112">
        <v>33.6</v>
      </c>
      <c r="L112" t="s">
        <v>8</v>
      </c>
      <c r="M112" t="s">
        <v>8</v>
      </c>
      <c r="N112" t="s">
        <v>8</v>
      </c>
      <c r="P112">
        <f t="shared" ref="P112" si="535">IF(C112=D112,0,((E112-D112)-(C112-E112))/(C112-D112))</f>
        <v>0.10549777117384909</v>
      </c>
      <c r="Q112">
        <f t="shared" ref="Q112" si="536">F112*P112</f>
        <v>109359.82587964406</v>
      </c>
      <c r="R112">
        <f t="shared" ref="R112" si="537">R113+Q112</f>
        <v>-1571021.2266519093</v>
      </c>
      <c r="S112">
        <f t="shared" ref="S112" si="538">R112/100000</f>
        <v>-15.710212266519093</v>
      </c>
      <c r="T112">
        <f t="shared" ref="T112" si="539">S112/1000</f>
        <v>-1.5710212266519093E-2</v>
      </c>
    </row>
    <row r="113" spans="1:20" x14ac:dyDescent="0.25">
      <c r="A113" s="5">
        <v>44480</v>
      </c>
      <c r="B113">
        <v>27.06</v>
      </c>
      <c r="C113">
        <v>34.200000000000003</v>
      </c>
      <c r="D113">
        <v>26.7</v>
      </c>
      <c r="E113">
        <v>32.020000000000003</v>
      </c>
      <c r="F113">
        <v>1247299.55</v>
      </c>
      <c r="G113">
        <v>32.020000000000003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0.41866666666666702</v>
      </c>
      <c r="Q113">
        <f t="shared" ref="Q113" si="541">F113*P113</f>
        <v>522202.74493333377</v>
      </c>
      <c r="R113">
        <f t="shared" ref="R113" si="542">R114+Q113</f>
        <v>-1680381.0525315534</v>
      </c>
      <c r="S113">
        <f t="shared" ref="S113" si="543">R113/100000</f>
        <v>-16.803810525315534</v>
      </c>
      <c r="T113">
        <f t="shared" ref="T113" si="544">S113/1000</f>
        <v>-1.6803810525315533E-2</v>
      </c>
    </row>
    <row r="114" spans="1:20" x14ac:dyDescent="0.25">
      <c r="A114" s="5">
        <v>44479</v>
      </c>
      <c r="B114">
        <v>28.41</v>
      </c>
      <c r="C114">
        <v>29.13</v>
      </c>
      <c r="D114">
        <v>26.13</v>
      </c>
      <c r="E114">
        <v>27.08</v>
      </c>
      <c r="F114">
        <v>463283.95</v>
      </c>
      <c r="G114">
        <v>27.08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-0.36666666666666714</v>
      </c>
      <c r="Q114">
        <f t="shared" ref="Q114" si="546">F114*P114</f>
        <v>-169870.78166666688</v>
      </c>
      <c r="R114">
        <f t="shared" ref="R114" si="547">R115+Q114</f>
        <v>-2202583.7974648871</v>
      </c>
      <c r="S114">
        <f t="shared" ref="S114" si="548">R114/100000</f>
        <v>-22.025837974648873</v>
      </c>
      <c r="T114">
        <f t="shared" ref="T114" si="549">S114/1000</f>
        <v>-2.2025837974648872E-2</v>
      </c>
    </row>
    <row r="115" spans="1:20" x14ac:dyDescent="0.25">
      <c r="A115" s="5">
        <v>44478</v>
      </c>
      <c r="B115">
        <v>24.28</v>
      </c>
      <c r="C115">
        <v>28.96</v>
      </c>
      <c r="D115">
        <v>23.86</v>
      </c>
      <c r="E115">
        <v>28.46</v>
      </c>
      <c r="F115">
        <v>729403.63</v>
      </c>
      <c r="G115">
        <v>28.46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0.80392156862745101</v>
      </c>
      <c r="Q115">
        <f t="shared" ref="Q115" si="551">F115*P115</f>
        <v>586383.31039215694</v>
      </c>
      <c r="R115">
        <f t="shared" ref="R115" si="552">R116+Q115</f>
        <v>-2032713.0157982202</v>
      </c>
      <c r="S115">
        <f t="shared" ref="S115" si="553">R115/100000</f>
        <v>-20.3271301579822</v>
      </c>
      <c r="T115">
        <f t="shared" ref="T115" si="554">S115/1000</f>
        <v>-2.0327130157982199E-2</v>
      </c>
    </row>
    <row r="116" spans="1:20" x14ac:dyDescent="0.25">
      <c r="A116" s="5">
        <v>44477</v>
      </c>
      <c r="B116">
        <v>23.2</v>
      </c>
      <c r="C116">
        <v>25.46</v>
      </c>
      <c r="D116">
        <v>22.13</v>
      </c>
      <c r="E116">
        <v>24.28</v>
      </c>
      <c r="F116">
        <v>387125.32</v>
      </c>
      <c r="G116">
        <v>24.28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0.29129129129129183</v>
      </c>
      <c r="Q116">
        <f t="shared" ref="Q116" si="556">F116*P116</f>
        <v>112766.23435435457</v>
      </c>
      <c r="R116">
        <f t="shared" ref="R116" si="557">R117+Q116</f>
        <v>-2619096.3261903771</v>
      </c>
      <c r="S116">
        <f t="shared" ref="S116" si="558">R116/100000</f>
        <v>-26.190963261903772</v>
      </c>
      <c r="T116">
        <f t="shared" ref="T116" si="559">S116/1000</f>
        <v>-2.6190963261903771E-2</v>
      </c>
    </row>
    <row r="117" spans="1:20" x14ac:dyDescent="0.25">
      <c r="A117" s="5">
        <v>44476</v>
      </c>
      <c r="B117">
        <v>24.9</v>
      </c>
      <c r="C117">
        <v>25.37</v>
      </c>
      <c r="D117">
        <v>23.05</v>
      </c>
      <c r="E117">
        <v>23.21</v>
      </c>
      <c r="F117">
        <v>514489.11</v>
      </c>
      <c r="G117">
        <v>23.21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-0.86206896551724133</v>
      </c>
      <c r="Q117">
        <f t="shared" ref="Q117" si="561">F117*P117</f>
        <v>-443525.09482758614</v>
      </c>
      <c r="R117">
        <f t="shared" ref="R117" si="562">R118+Q117</f>
        <v>-2731862.5605447316</v>
      </c>
      <c r="S117">
        <f t="shared" ref="S117" si="563">R117/100000</f>
        <v>-27.318625605447316</v>
      </c>
      <c r="T117">
        <f t="shared" ref="T117" si="564">S117/1000</f>
        <v>-2.7318625605447316E-2</v>
      </c>
    </row>
    <row r="118" spans="1:20" x14ac:dyDescent="0.25">
      <c r="A118" s="5">
        <v>44475</v>
      </c>
      <c r="B118">
        <v>23.91</v>
      </c>
      <c r="C118">
        <v>31.5</v>
      </c>
      <c r="D118">
        <v>21.75</v>
      </c>
      <c r="E118">
        <v>24.88</v>
      </c>
      <c r="F118">
        <v>2156296.8480000002</v>
      </c>
      <c r="G118">
        <v>24.88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-0.35794871794871813</v>
      </c>
      <c r="Q118">
        <f t="shared" ref="Q118" si="566">F118*P118</f>
        <v>-771843.69225846196</v>
      </c>
      <c r="R118">
        <f t="shared" ref="R118" si="567">R119+Q118</f>
        <v>-2288337.4657171452</v>
      </c>
      <c r="S118">
        <f t="shared" ref="S118" si="568">R118/100000</f>
        <v>-22.883374657171451</v>
      </c>
      <c r="T118">
        <f t="shared" ref="T118" si="569">S118/1000</f>
        <v>-2.2883374657171451E-2</v>
      </c>
    </row>
    <row r="119" spans="1:20" x14ac:dyDescent="0.25">
      <c r="A119" s="5">
        <v>44474</v>
      </c>
      <c r="B119">
        <v>18.309999999999999</v>
      </c>
      <c r="C119">
        <v>25</v>
      </c>
      <c r="D119">
        <v>18.059999999999999</v>
      </c>
      <c r="E119">
        <v>23.86</v>
      </c>
      <c r="F119">
        <v>576704.25</v>
      </c>
      <c r="G119">
        <v>23.86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0.67146974063400566</v>
      </c>
      <c r="Q119">
        <f t="shared" ref="Q119" si="571">F119*P119</f>
        <v>387239.45317002875</v>
      </c>
      <c r="R119">
        <f t="shared" ref="R119" si="572">R120+Q119</f>
        <v>-1516493.7734586832</v>
      </c>
      <c r="S119">
        <f t="shared" ref="S119" si="573">R119/100000</f>
        <v>-15.164937734586832</v>
      </c>
      <c r="T119">
        <f t="shared" ref="T119" si="574">S119/1000</f>
        <v>-1.5164937734586832E-2</v>
      </c>
    </row>
    <row r="120" spans="1:20" x14ac:dyDescent="0.25">
      <c r="A120" s="5">
        <v>44473</v>
      </c>
      <c r="B120">
        <v>19.010000000000002</v>
      </c>
      <c r="C120">
        <v>19.09</v>
      </c>
      <c r="D120">
        <v>17.98</v>
      </c>
      <c r="E120">
        <v>18.32</v>
      </c>
      <c r="F120">
        <v>133342.26999999999</v>
      </c>
      <c r="G120">
        <v>18.32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-0.38738738738738732</v>
      </c>
      <c r="Q120">
        <f t="shared" ref="Q120" si="576">F120*P120</f>
        <v>-51655.11360360359</v>
      </c>
      <c r="R120">
        <f t="shared" ref="R120" si="577">R121+Q120</f>
        <v>-1903733.2266287119</v>
      </c>
      <c r="S120">
        <f t="shared" ref="S120" si="578">R120/100000</f>
        <v>-19.03733226628712</v>
      </c>
      <c r="T120">
        <f t="shared" ref="T120" si="579">S120/1000</f>
        <v>-1.9037332266287118E-2</v>
      </c>
    </row>
    <row r="121" spans="1:20" x14ac:dyDescent="0.25">
      <c r="A121" s="5">
        <v>44472</v>
      </c>
      <c r="B121">
        <v>19.55</v>
      </c>
      <c r="C121">
        <v>19.59</v>
      </c>
      <c r="D121">
        <v>18.53</v>
      </c>
      <c r="E121">
        <v>18.97</v>
      </c>
      <c r="F121">
        <v>96462.23</v>
      </c>
      <c r="G121">
        <v>18.97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-0.16981132075472027</v>
      </c>
      <c r="Q121">
        <f t="shared" ref="Q121" si="581">F121*P121</f>
        <v>-16380.378679245599</v>
      </c>
      <c r="R121">
        <f t="shared" ref="R121" si="582">R122+Q121</f>
        <v>-1852078.1130251084</v>
      </c>
      <c r="S121">
        <f t="shared" ref="S121" si="583">R121/100000</f>
        <v>-18.520781130251084</v>
      </c>
      <c r="T121">
        <f t="shared" ref="T121" si="584">S121/1000</f>
        <v>-1.8520781130251084E-2</v>
      </c>
    </row>
    <row r="122" spans="1:20" x14ac:dyDescent="0.25">
      <c r="A122" s="5">
        <v>44471</v>
      </c>
      <c r="B122">
        <v>18.86</v>
      </c>
      <c r="C122">
        <v>20.43</v>
      </c>
      <c r="D122">
        <v>18.48</v>
      </c>
      <c r="E122">
        <v>19.55</v>
      </c>
      <c r="F122">
        <v>353203.84</v>
      </c>
      <c r="G122">
        <v>19.55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9.7435897435898131E-2</v>
      </c>
      <c r="Q122">
        <f t="shared" ref="Q122" si="586">F122*P122</f>
        <v>34414.733128205378</v>
      </c>
      <c r="R122">
        <f t="shared" ref="R122" si="587">R123+Q122</f>
        <v>-1835697.7343458626</v>
      </c>
      <c r="S122">
        <f t="shared" ref="S122" si="588">R122/100000</f>
        <v>-18.356977343458627</v>
      </c>
      <c r="T122">
        <f t="shared" ref="T122" si="589">S122/1000</f>
        <v>-1.8356977343458626E-2</v>
      </c>
    </row>
    <row r="123" spans="1:20" x14ac:dyDescent="0.25">
      <c r="A123" s="5">
        <v>44470</v>
      </c>
      <c r="B123">
        <v>16.07</v>
      </c>
      <c r="C123">
        <v>19.8</v>
      </c>
      <c r="D123">
        <v>15.73</v>
      </c>
      <c r="E123">
        <v>18.850000000000001</v>
      </c>
      <c r="F123">
        <v>369743.92</v>
      </c>
      <c r="G123">
        <v>18.850000000000001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0.53316953316953353</v>
      </c>
      <c r="Q123">
        <f t="shared" ref="Q123" si="591">F123*P123</f>
        <v>197136.19321867335</v>
      </c>
      <c r="R123">
        <f t="shared" ref="R123" si="592">R124+Q123</f>
        <v>-1870112.467474068</v>
      </c>
      <c r="S123">
        <f t="shared" ref="S123" si="593">R123/100000</f>
        <v>-18.701124674740679</v>
      </c>
      <c r="T123">
        <f t="shared" ref="T123" si="594">S123/1000</f>
        <v>-1.870112467474068E-2</v>
      </c>
    </row>
    <row r="124" spans="1:20" x14ac:dyDescent="0.25">
      <c r="A124" s="5">
        <v>44469</v>
      </c>
      <c r="B124">
        <v>15</v>
      </c>
      <c r="C124">
        <v>16.18</v>
      </c>
      <c r="D124">
        <v>14.91</v>
      </c>
      <c r="E124">
        <v>16.100000000000001</v>
      </c>
      <c r="F124">
        <v>81386.14</v>
      </c>
      <c r="G124">
        <v>16.100000000000001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0.87401574803149873</v>
      </c>
      <c r="Q124">
        <f t="shared" ref="Q124" si="596">F124*P124</f>
        <v>71132.768031496278</v>
      </c>
      <c r="R124">
        <f t="shared" ref="R124" si="597">R125+Q124</f>
        <v>-2067248.6606927414</v>
      </c>
      <c r="S124">
        <f t="shared" ref="S124" si="598">R124/100000</f>
        <v>-20.672486606927414</v>
      </c>
      <c r="T124">
        <f t="shared" ref="T124" si="599">S124/1000</f>
        <v>-2.0672486606927415E-2</v>
      </c>
    </row>
    <row r="125" spans="1:20" x14ac:dyDescent="0.25">
      <c r="A125" s="5">
        <v>44468</v>
      </c>
      <c r="B125">
        <v>15.1</v>
      </c>
      <c r="C125">
        <v>16</v>
      </c>
      <c r="D125">
        <v>14.59</v>
      </c>
      <c r="E125">
        <v>14.95</v>
      </c>
      <c r="F125">
        <v>79557.346000000005</v>
      </c>
      <c r="G125">
        <v>14.95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-0.48936170212766045</v>
      </c>
      <c r="Q125">
        <f t="shared" ref="Q125" si="601">F125*P125</f>
        <v>-38932.318255319224</v>
      </c>
      <c r="R125">
        <f t="shared" ref="R125" si="602">R126+Q125</f>
        <v>-2138381.4287242377</v>
      </c>
      <c r="S125">
        <f t="shared" ref="S125" si="603">R125/100000</f>
        <v>-21.383814287242377</v>
      </c>
      <c r="T125">
        <f t="shared" ref="T125" si="604">S125/1000</f>
        <v>-2.1383814287242377E-2</v>
      </c>
    </row>
    <row r="126" spans="1:20" x14ac:dyDescent="0.25">
      <c r="A126" s="5">
        <v>44467</v>
      </c>
      <c r="B126">
        <v>15.63</v>
      </c>
      <c r="C126">
        <v>16.010000000000002</v>
      </c>
      <c r="D126">
        <v>14.81</v>
      </c>
      <c r="E126">
        <v>15.14</v>
      </c>
      <c r="F126">
        <v>101817.118</v>
      </c>
      <c r="G126">
        <v>15.14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-0.45000000000000034</v>
      </c>
      <c r="Q126">
        <f t="shared" ref="Q126" si="606">F126*P126</f>
        <v>-45817.703100000035</v>
      </c>
      <c r="R126">
        <f t="shared" ref="R126" si="607">R127+Q126</f>
        <v>-2099449.1104689185</v>
      </c>
      <c r="S126">
        <f t="shared" ref="S126" si="608">R126/100000</f>
        <v>-20.994491104689185</v>
      </c>
      <c r="T126">
        <f t="shared" ref="T126" si="609">S126/1000</f>
        <v>-2.0994491104689185E-2</v>
      </c>
    </row>
    <row r="127" spans="1:20" x14ac:dyDescent="0.25">
      <c r="A127" s="5">
        <v>44466</v>
      </c>
      <c r="B127">
        <v>16.45</v>
      </c>
      <c r="C127">
        <v>17.440000000000001</v>
      </c>
      <c r="D127">
        <v>15.59</v>
      </c>
      <c r="E127">
        <v>15.64</v>
      </c>
      <c r="F127">
        <v>124727.117</v>
      </c>
      <c r="G127">
        <v>15.64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-0.94594594594594517</v>
      </c>
      <c r="Q127">
        <f t="shared" ref="Q127" si="611">F127*P127</f>
        <v>-117985.11067567558</v>
      </c>
      <c r="R127">
        <f t="shared" ref="R127" si="612">R128+Q127</f>
        <v>-2053631.4073689186</v>
      </c>
      <c r="S127">
        <f t="shared" ref="S127" si="613">R127/100000</f>
        <v>-20.536314073689187</v>
      </c>
      <c r="T127">
        <f t="shared" ref="T127" si="614">S127/1000</f>
        <v>-2.0536314073689187E-2</v>
      </c>
    </row>
    <row r="128" spans="1:20" x14ac:dyDescent="0.25">
      <c r="A128" s="5">
        <v>44465</v>
      </c>
      <c r="B128">
        <v>17.22</v>
      </c>
      <c r="C128">
        <v>17.239999999999998</v>
      </c>
      <c r="D128">
        <v>15.74</v>
      </c>
      <c r="E128">
        <v>16.43</v>
      </c>
      <c r="F128">
        <v>121315.82</v>
      </c>
      <c r="G128">
        <v>16.43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-7.9999999999999571E-2</v>
      </c>
      <c r="Q128">
        <f t="shared" ref="Q128" si="616">F128*P128</f>
        <v>-9705.2655999999479</v>
      </c>
      <c r="R128">
        <f t="shared" ref="R128" si="617">R129+Q128</f>
        <v>-1935646.2966932431</v>
      </c>
      <c r="S128">
        <f t="shared" ref="S128" si="618">R128/100000</f>
        <v>-19.35646296693243</v>
      </c>
      <c r="T128">
        <f t="shared" ref="T128" si="619">S128/1000</f>
        <v>-1.9356462966932431E-2</v>
      </c>
    </row>
    <row r="129" spans="1:20" x14ac:dyDescent="0.25">
      <c r="A129" s="5">
        <v>44464</v>
      </c>
      <c r="B129">
        <v>17.7</v>
      </c>
      <c r="C129">
        <v>18.079999999999998</v>
      </c>
      <c r="D129">
        <v>17.12</v>
      </c>
      <c r="E129">
        <v>17.239999999999998</v>
      </c>
      <c r="F129">
        <v>213093.19</v>
      </c>
      <c r="G129">
        <v>17.239999999999998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-0.75000000000000466</v>
      </c>
      <c r="Q129">
        <f t="shared" ref="Q129" si="621">F129*P129</f>
        <v>-159819.89250000101</v>
      </c>
      <c r="R129">
        <f t="shared" ref="R129" si="622">R130+Q129</f>
        <v>-1925941.031093243</v>
      </c>
      <c r="S129">
        <f t="shared" ref="S129" si="623">R129/100000</f>
        <v>-19.259410310932431</v>
      </c>
      <c r="T129">
        <f t="shared" ref="T129" si="624">S129/1000</f>
        <v>-1.925941031093243E-2</v>
      </c>
    </row>
    <row r="130" spans="1:20" x14ac:dyDescent="0.25">
      <c r="A130" s="5">
        <v>44463</v>
      </c>
      <c r="B130">
        <v>19.45</v>
      </c>
      <c r="C130">
        <v>19.46</v>
      </c>
      <c r="D130">
        <v>16.29</v>
      </c>
      <c r="E130">
        <v>17.73</v>
      </c>
      <c r="F130">
        <v>244241.26</v>
      </c>
      <c r="G130">
        <v>17.73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-9.1482649842270974E-2</v>
      </c>
      <c r="Q130">
        <f t="shared" ref="Q130" si="626">F130*P130</f>
        <v>-22343.837665615065</v>
      </c>
      <c r="R130">
        <f t="shared" ref="R130" si="627">R131+Q130</f>
        <v>-1766121.138593242</v>
      </c>
      <c r="S130">
        <f t="shared" ref="S130" si="628">R130/100000</f>
        <v>-17.661211385932422</v>
      </c>
      <c r="T130">
        <f t="shared" ref="T130" si="629">S130/1000</f>
        <v>-1.7661211385932421E-2</v>
      </c>
    </row>
    <row r="131" spans="1:20" x14ac:dyDescent="0.25">
      <c r="A131" s="5">
        <v>44462</v>
      </c>
      <c r="B131">
        <v>18.57</v>
      </c>
      <c r="C131">
        <v>20.61</v>
      </c>
      <c r="D131">
        <v>17.77</v>
      </c>
      <c r="E131">
        <v>19.47</v>
      </c>
      <c r="F131">
        <v>319514.67</v>
      </c>
      <c r="G131">
        <v>19.47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0.19718309859154887</v>
      </c>
      <c r="Q131">
        <f t="shared" ref="Q131" si="631">F131*P131</f>
        <v>63002.892676056195</v>
      </c>
      <c r="R131">
        <f t="shared" ref="R131" si="632">R132+Q131</f>
        <v>-1743777.3009276269</v>
      </c>
      <c r="S131">
        <f t="shared" ref="S131" si="633">R131/100000</f>
        <v>-17.43777300927627</v>
      </c>
      <c r="T131">
        <f t="shared" ref="T131" si="634">S131/1000</f>
        <v>-1.7437773009276271E-2</v>
      </c>
    </row>
    <row r="132" spans="1:20" x14ac:dyDescent="0.25">
      <c r="A132" s="5">
        <v>44461</v>
      </c>
      <c r="B132">
        <v>16.25</v>
      </c>
      <c r="C132">
        <v>18.75</v>
      </c>
      <c r="D132">
        <v>16.170000000000002</v>
      </c>
      <c r="E132">
        <v>18.600000000000001</v>
      </c>
      <c r="F132">
        <v>181283.92</v>
      </c>
      <c r="G132">
        <v>18.600000000000001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0.88372093023255915</v>
      </c>
      <c r="Q132">
        <f t="shared" ref="Q132" si="636">F132*P132</f>
        <v>160204.39441860485</v>
      </c>
      <c r="R132">
        <f t="shared" ref="R132" si="637">R133+Q132</f>
        <v>-1806780.193603683</v>
      </c>
      <c r="S132">
        <f t="shared" ref="S132" si="638">R132/100000</f>
        <v>-18.06780193603683</v>
      </c>
      <c r="T132">
        <f t="shared" ref="T132" si="639">S132/1000</f>
        <v>-1.8067801936036829E-2</v>
      </c>
    </row>
    <row r="133" spans="1:20" x14ac:dyDescent="0.25">
      <c r="A133" s="5">
        <v>44460</v>
      </c>
      <c r="B133">
        <v>17.13</v>
      </c>
      <c r="C133">
        <v>18.54</v>
      </c>
      <c r="D133">
        <v>15.7</v>
      </c>
      <c r="E133">
        <v>16.260000000000002</v>
      </c>
      <c r="F133">
        <v>251163.641</v>
      </c>
      <c r="G133">
        <v>16.260000000000002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-0.60563380281689982</v>
      </c>
      <c r="Q133">
        <f t="shared" ref="Q133" si="641">F133*P133</f>
        <v>-152113.19102816863</v>
      </c>
      <c r="R133">
        <f t="shared" ref="R133" si="642">R134+Q133</f>
        <v>-1966984.5880222879</v>
      </c>
      <c r="S133">
        <f t="shared" ref="S133" si="643">R133/100000</f>
        <v>-19.66984588022288</v>
      </c>
      <c r="T133">
        <f t="shared" ref="T133" si="644">S133/1000</f>
        <v>-1.9669845880222879E-2</v>
      </c>
    </row>
    <row r="134" spans="1:20" x14ac:dyDescent="0.25">
      <c r="A134" s="5">
        <v>44459</v>
      </c>
      <c r="B134">
        <v>20.64</v>
      </c>
      <c r="C134">
        <v>20.83</v>
      </c>
      <c r="D134">
        <v>18.440000000000001</v>
      </c>
      <c r="E134">
        <v>18.8</v>
      </c>
      <c r="F134">
        <v>176173.6</v>
      </c>
      <c r="G134">
        <v>18.8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-0.69874476987447709</v>
      </c>
      <c r="Q134">
        <f t="shared" ref="Q134" si="646">F134*P134</f>
        <v>-123100.38158995818</v>
      </c>
      <c r="R134">
        <f t="shared" ref="R134" si="647">R135+Q134</f>
        <v>-1814871.3969941193</v>
      </c>
      <c r="S134">
        <f t="shared" ref="S134" si="648">R134/100000</f>
        <v>-18.148713969941191</v>
      </c>
      <c r="T134">
        <f t="shared" ref="T134" si="649">S134/1000</f>
        <v>-1.814871396994119E-2</v>
      </c>
    </row>
    <row r="135" spans="1:20" x14ac:dyDescent="0.25">
      <c r="A135" s="5">
        <v>44458</v>
      </c>
      <c r="B135">
        <v>22.86</v>
      </c>
      <c r="C135">
        <v>22.88</v>
      </c>
      <c r="D135">
        <v>20.27</v>
      </c>
      <c r="E135">
        <v>20.64</v>
      </c>
      <c r="F135">
        <v>210777.89</v>
      </c>
      <c r="G135">
        <v>20.64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-0.71647509578543978</v>
      </c>
      <c r="Q135">
        <f t="shared" ref="Q135" si="651">F135*P135</f>
        <v>-151017.10892720291</v>
      </c>
      <c r="R135">
        <f t="shared" ref="R135" si="652">R136+Q135</f>
        <v>-1691771.0154041611</v>
      </c>
      <c r="S135">
        <f t="shared" ref="S135" si="653">R135/100000</f>
        <v>-16.917710154041611</v>
      </c>
      <c r="T135">
        <f t="shared" ref="T135" si="654">S135/1000</f>
        <v>-1.6917710154041612E-2</v>
      </c>
    </row>
    <row r="136" spans="1:20" x14ac:dyDescent="0.25">
      <c r="A136" s="5">
        <v>44457</v>
      </c>
      <c r="B136">
        <v>23.46</v>
      </c>
      <c r="C136">
        <v>25.81</v>
      </c>
      <c r="D136">
        <v>22.45</v>
      </c>
      <c r="E136">
        <v>22.81</v>
      </c>
      <c r="F136">
        <v>678607.72</v>
      </c>
      <c r="G136">
        <v>22.81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-0.78571428571428603</v>
      </c>
      <c r="Q136">
        <f t="shared" ref="Q136" si="656">F136*P136</f>
        <v>-533191.78000000014</v>
      </c>
      <c r="R136">
        <f t="shared" ref="R136" si="657">R137+Q136</f>
        <v>-1540753.9064769582</v>
      </c>
      <c r="S136">
        <f t="shared" ref="S136" si="658">R136/100000</f>
        <v>-15.407539064769582</v>
      </c>
      <c r="T136">
        <f t="shared" ref="T136" si="659">S136/1000</f>
        <v>-1.5407539064769582E-2</v>
      </c>
    </row>
    <row r="137" spans="1:20" x14ac:dyDescent="0.25">
      <c r="A137" s="5">
        <v>44456</v>
      </c>
      <c r="B137">
        <v>21.05</v>
      </c>
      <c r="C137">
        <v>24.47</v>
      </c>
      <c r="D137">
        <v>19.760000000000002</v>
      </c>
      <c r="E137">
        <v>23.46</v>
      </c>
      <c r="F137">
        <v>304938.73</v>
      </c>
      <c r="G137">
        <v>23.46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0.57112526539278197</v>
      </c>
      <c r="Q137">
        <f t="shared" ref="Q137" si="661">F137*P137</f>
        <v>174158.21309978788</v>
      </c>
      <c r="R137">
        <f t="shared" ref="R137" si="662">R138+Q137</f>
        <v>-1007562.1264769582</v>
      </c>
      <c r="S137">
        <f t="shared" ref="S137" si="663">R137/100000</f>
        <v>-10.075621264769582</v>
      </c>
      <c r="T137">
        <f t="shared" ref="T137" si="664">S137/1000</f>
        <v>-1.0075621264769583E-2</v>
      </c>
    </row>
    <row r="138" spans="1:20" x14ac:dyDescent="0.25">
      <c r="A138" s="5">
        <v>44455</v>
      </c>
      <c r="B138">
        <v>21.12</v>
      </c>
      <c r="C138">
        <v>22.73</v>
      </c>
      <c r="D138">
        <v>20.52</v>
      </c>
      <c r="E138">
        <v>21.05</v>
      </c>
      <c r="F138">
        <v>207321.98</v>
      </c>
      <c r="G138">
        <v>21.05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-0.52036199095022539</v>
      </c>
      <c r="Q138">
        <f t="shared" ref="Q138" si="666">F138*P138</f>
        <v>-107882.47828054281</v>
      </c>
      <c r="R138">
        <f t="shared" ref="R138" si="667">R139+Q138</f>
        <v>-1181720.3395767461</v>
      </c>
      <c r="S138">
        <f t="shared" ref="S138" si="668">R138/100000</f>
        <v>-11.817203395767461</v>
      </c>
      <c r="T138">
        <f t="shared" ref="T138" si="669">S138/1000</f>
        <v>-1.1817203395767461E-2</v>
      </c>
    </row>
    <row r="139" spans="1:20" x14ac:dyDescent="0.25">
      <c r="A139" s="5">
        <v>44454</v>
      </c>
      <c r="B139">
        <v>20.170000000000002</v>
      </c>
      <c r="C139">
        <v>22.32</v>
      </c>
      <c r="D139">
        <v>20.07</v>
      </c>
      <c r="E139">
        <v>21.13</v>
      </c>
      <c r="F139">
        <v>239896.03</v>
      </c>
      <c r="G139">
        <v>21.13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-5.7777777777778913E-2</v>
      </c>
      <c r="Q139">
        <f t="shared" ref="Q139" si="671">F139*P139</f>
        <v>-13860.659511111384</v>
      </c>
      <c r="R139">
        <f t="shared" ref="R139" si="672">R140+Q139</f>
        <v>-1073837.8612962032</v>
      </c>
      <c r="S139">
        <f t="shared" ref="S139" si="673">R139/100000</f>
        <v>-10.738378612962032</v>
      </c>
      <c r="T139">
        <f t="shared" ref="T139" si="674">S139/1000</f>
        <v>-1.0738378612962032E-2</v>
      </c>
    </row>
    <row r="140" spans="1:20" x14ac:dyDescent="0.25">
      <c r="A140" s="5">
        <v>44453</v>
      </c>
      <c r="B140">
        <v>17.649999999999999</v>
      </c>
      <c r="C140">
        <v>20.38</v>
      </c>
      <c r="D140">
        <v>17.559999999999999</v>
      </c>
      <c r="E140">
        <v>20.149999999999999</v>
      </c>
      <c r="F140">
        <v>177021.85</v>
      </c>
      <c r="G140">
        <v>20.149999999999999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0.83687943262411324</v>
      </c>
      <c r="Q140">
        <f t="shared" ref="Q140" si="676">F140*P140</f>
        <v>148145.94539007088</v>
      </c>
      <c r="R140">
        <f t="shared" ref="R140" si="677">R141+Q140</f>
        <v>-1059977.2017850918</v>
      </c>
      <c r="S140">
        <f t="shared" ref="S140" si="678">R140/100000</f>
        <v>-10.599772017850917</v>
      </c>
      <c r="T140">
        <f t="shared" ref="T140" si="679">S140/1000</f>
        <v>-1.0599772017850917E-2</v>
      </c>
    </row>
    <row r="141" spans="1:20" x14ac:dyDescent="0.25">
      <c r="A141" s="5">
        <v>44452</v>
      </c>
      <c r="B141">
        <v>18.989999999999998</v>
      </c>
      <c r="C141">
        <v>19.09</v>
      </c>
      <c r="D141">
        <v>16.91</v>
      </c>
      <c r="E141">
        <v>17.690000000000001</v>
      </c>
      <c r="F141">
        <v>124766.268</v>
      </c>
      <c r="G141">
        <v>17.690000000000001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-0.28440366972476949</v>
      </c>
      <c r="Q141">
        <f t="shared" ref="Q141" si="681">F141*P141</f>
        <v>-35483.984477064078</v>
      </c>
      <c r="R141">
        <f t="shared" ref="R141" si="682">R142+Q141</f>
        <v>-1208123.1471751626</v>
      </c>
      <c r="S141">
        <f t="shared" ref="S141" si="683">R141/100000</f>
        <v>-12.081231471751625</v>
      </c>
      <c r="T141">
        <f t="shared" ref="T141" si="684">S141/1000</f>
        <v>-1.2081231471751625E-2</v>
      </c>
    </row>
    <row r="142" spans="1:20" x14ac:dyDescent="0.25">
      <c r="A142" s="5">
        <v>44451</v>
      </c>
      <c r="B142">
        <v>18.98</v>
      </c>
      <c r="C142">
        <v>19.489999999999998</v>
      </c>
      <c r="D142">
        <v>18.399999999999999</v>
      </c>
      <c r="E142">
        <v>18.989999999999998</v>
      </c>
      <c r="F142">
        <v>101420.79</v>
      </c>
      <c r="G142">
        <v>18.989999999999998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8.2568807339449421E-2</v>
      </c>
      <c r="Q142">
        <f t="shared" ref="Q142" si="686">F142*P142</f>
        <v>8374.1936697247584</v>
      </c>
      <c r="R142">
        <f t="shared" ref="R142" si="687">R143+Q142</f>
        <v>-1172639.1626980985</v>
      </c>
      <c r="S142">
        <f t="shared" ref="S142" si="688">R142/100000</f>
        <v>-11.726391626980984</v>
      </c>
      <c r="T142">
        <f t="shared" ref="T142" si="689">S142/1000</f>
        <v>-1.1726391626980984E-2</v>
      </c>
    </row>
    <row r="143" spans="1:20" x14ac:dyDescent="0.25">
      <c r="A143" s="5">
        <v>44450</v>
      </c>
      <c r="B143">
        <v>18.05</v>
      </c>
      <c r="C143">
        <v>19.46</v>
      </c>
      <c r="D143">
        <v>17.850000000000001</v>
      </c>
      <c r="E143">
        <v>18.91</v>
      </c>
      <c r="F143">
        <v>87630.93</v>
      </c>
      <c r="G143">
        <v>18.91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0.3167701863354026</v>
      </c>
      <c r="Q143">
        <f t="shared" ref="Q143" si="691">F143*P143</f>
        <v>27758.866024844621</v>
      </c>
      <c r="R143">
        <f t="shared" ref="R143" si="692">R144+Q143</f>
        <v>-1181013.3563678232</v>
      </c>
      <c r="S143">
        <f t="shared" ref="S143" si="693">R143/100000</f>
        <v>-11.810133563678232</v>
      </c>
      <c r="T143">
        <f t="shared" ref="T143" si="694">S143/1000</f>
        <v>-1.1810133563678231E-2</v>
      </c>
    </row>
    <row r="144" spans="1:20" x14ac:dyDescent="0.25">
      <c r="A144" s="5">
        <v>44449</v>
      </c>
      <c r="B144">
        <v>19</v>
      </c>
      <c r="C144">
        <v>19.64</v>
      </c>
      <c r="D144">
        <v>17.670000000000002</v>
      </c>
      <c r="E144">
        <v>18.059999999999999</v>
      </c>
      <c r="F144">
        <v>205904.5</v>
      </c>
      <c r="G144">
        <v>18.059999999999999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-0.60406091370558657</v>
      </c>
      <c r="Q144">
        <f t="shared" ref="Q144" si="696">F144*P144</f>
        <v>-124378.86040609195</v>
      </c>
      <c r="R144">
        <f t="shared" ref="R144" si="697">R145+Q144</f>
        <v>-1208772.2223926678</v>
      </c>
      <c r="S144">
        <f t="shared" ref="S144" si="698">R144/100000</f>
        <v>-12.087722223926678</v>
      </c>
      <c r="T144">
        <f t="shared" ref="T144" si="699">S144/1000</f>
        <v>-1.2087722223926678E-2</v>
      </c>
    </row>
    <row r="145" spans="1:20" x14ac:dyDescent="0.25">
      <c r="A145" s="5">
        <v>44448</v>
      </c>
      <c r="B145">
        <v>19.239999999999998</v>
      </c>
      <c r="C145">
        <v>20.399999999999999</v>
      </c>
      <c r="D145">
        <v>18.62</v>
      </c>
      <c r="E145">
        <v>19</v>
      </c>
      <c r="F145">
        <v>265233.45</v>
      </c>
      <c r="G145">
        <v>19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-0.57303370786516905</v>
      </c>
      <c r="Q145">
        <f t="shared" ref="Q145" si="701">F145*P145</f>
        <v>-151987.70730337093</v>
      </c>
      <c r="R145">
        <f t="shared" ref="R145" si="702">R146+Q145</f>
        <v>-1084393.3619865759</v>
      </c>
      <c r="S145">
        <f t="shared" ref="S145" si="703">R145/100000</f>
        <v>-10.843933619865759</v>
      </c>
      <c r="T145">
        <f t="shared" ref="T145" si="704">S145/1000</f>
        <v>-1.0843933619865758E-2</v>
      </c>
    </row>
    <row r="146" spans="1:20" x14ac:dyDescent="0.25">
      <c r="A146" s="5">
        <v>44447</v>
      </c>
      <c r="B146">
        <v>18.8</v>
      </c>
      <c r="C146">
        <v>20.309999999999999</v>
      </c>
      <c r="D146">
        <v>17.420000000000002</v>
      </c>
      <c r="E146">
        <v>19.25</v>
      </c>
      <c r="F146">
        <v>334462.39</v>
      </c>
      <c r="G146">
        <v>19.25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0.26643598615916969</v>
      </c>
      <c r="Q146">
        <f t="shared" ref="Q146" si="706">F146*P146</f>
        <v>89112.816712802814</v>
      </c>
      <c r="R146">
        <f t="shared" ref="R146" si="707">R147+Q146</f>
        <v>-932405.65468320495</v>
      </c>
      <c r="S146">
        <f t="shared" ref="S146" si="708">R146/100000</f>
        <v>-9.3240565468320487</v>
      </c>
      <c r="T146">
        <f t="shared" ref="T146" si="709">S146/1000</f>
        <v>-9.3240565468320491E-3</v>
      </c>
    </row>
    <row r="147" spans="1:20" x14ac:dyDescent="0.25">
      <c r="A147" s="5">
        <v>44446</v>
      </c>
      <c r="B147">
        <v>25.18</v>
      </c>
      <c r="C147">
        <v>25.25</v>
      </c>
      <c r="D147">
        <v>17.48</v>
      </c>
      <c r="E147">
        <v>18.73</v>
      </c>
      <c r="F147">
        <v>394477.946</v>
      </c>
      <c r="G147">
        <v>18.73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-0.67824967824967819</v>
      </c>
      <c r="Q147">
        <f t="shared" ref="Q147" si="711">F147*P147</f>
        <v>-267554.5399510939</v>
      </c>
      <c r="R147">
        <f t="shared" ref="R147" si="712">R148+Q147</f>
        <v>-1021518.4713960078</v>
      </c>
      <c r="S147">
        <f t="shared" ref="S147" si="713">R147/100000</f>
        <v>-10.215184713960078</v>
      </c>
      <c r="T147">
        <f t="shared" ref="T147" si="714">S147/1000</f>
        <v>-1.0215184713960077E-2</v>
      </c>
    </row>
    <row r="148" spans="1:20" x14ac:dyDescent="0.25">
      <c r="A148" s="5">
        <v>44445</v>
      </c>
      <c r="B148">
        <v>24.91</v>
      </c>
      <c r="C148">
        <v>25.22</v>
      </c>
      <c r="D148">
        <v>23.53</v>
      </c>
      <c r="E148">
        <v>25.2</v>
      </c>
      <c r="F148">
        <v>196933.05</v>
      </c>
      <c r="G148">
        <v>25.2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0.976331360946746</v>
      </c>
      <c r="Q148">
        <f t="shared" ref="Q148" si="716">F148*P148</f>
        <v>192271.91272189358</v>
      </c>
      <c r="R148">
        <f t="shared" ref="R148" si="717">R149+Q148</f>
        <v>-753963.93144491385</v>
      </c>
      <c r="S148">
        <f t="shared" ref="S148" si="718">R148/100000</f>
        <v>-7.539639314449138</v>
      </c>
      <c r="T148">
        <f t="shared" ref="T148" si="719">S148/1000</f>
        <v>-7.5396393144491376E-3</v>
      </c>
    </row>
    <row r="149" spans="1:20" x14ac:dyDescent="0.25">
      <c r="A149" s="5">
        <v>44444</v>
      </c>
      <c r="B149">
        <v>24.41</v>
      </c>
      <c r="C149">
        <v>25.22</v>
      </c>
      <c r="D149">
        <v>24.06</v>
      </c>
      <c r="E149">
        <v>24.84</v>
      </c>
      <c r="F149">
        <v>126090.39</v>
      </c>
      <c r="G149">
        <v>24.84</v>
      </c>
      <c r="L149" t="s">
        <v>7</v>
      </c>
      <c r="M149" t="s">
        <v>8</v>
      </c>
      <c r="N149" t="s">
        <v>7</v>
      </c>
      <c r="P149">
        <f t="shared" ref="P149" si="720">IF(C149=D149,0,((E149-D149)-(C149-E149))/(C149-D149))</f>
        <v>0.34482758620689835</v>
      </c>
      <c r="Q149">
        <f t="shared" ref="Q149" si="721">F149*P149</f>
        <v>43479.444827586434</v>
      </c>
      <c r="R149">
        <f t="shared" ref="R149" si="722">R150+Q149</f>
        <v>-946235.84416680736</v>
      </c>
      <c r="S149">
        <f t="shared" ref="S149" si="723">R149/100000</f>
        <v>-9.4623584416680728</v>
      </c>
      <c r="T149">
        <f t="shared" ref="T149" si="724">S149/1000</f>
        <v>-9.4623584416680725E-3</v>
      </c>
    </row>
    <row r="150" spans="1:20" x14ac:dyDescent="0.25">
      <c r="A150" s="5">
        <v>44443</v>
      </c>
      <c r="B150">
        <v>25.24</v>
      </c>
      <c r="C150">
        <v>25.72</v>
      </c>
      <c r="D150">
        <v>24.2</v>
      </c>
      <c r="E150">
        <v>24.37</v>
      </c>
      <c r="F150">
        <v>127272.38</v>
      </c>
      <c r="G150">
        <v>24.37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-0.77631578947368185</v>
      </c>
      <c r="Q150">
        <f t="shared" ref="Q150" si="726">F150*P150</f>
        <v>-98803.55815789444</v>
      </c>
      <c r="R150">
        <f t="shared" ref="R150" si="727">R151+Q150</f>
        <v>-989715.28899439378</v>
      </c>
      <c r="S150">
        <f t="shared" ref="S150" si="728">R150/100000</f>
        <v>-9.8971528899439374</v>
      </c>
      <c r="T150">
        <f t="shared" ref="T150" si="729">S150/1000</f>
        <v>-9.8971528899439373E-3</v>
      </c>
    </row>
    <row r="151" spans="1:20" x14ac:dyDescent="0.25">
      <c r="A151" s="5">
        <v>44442</v>
      </c>
      <c r="B151">
        <v>25.45</v>
      </c>
      <c r="C151">
        <v>26.9</v>
      </c>
      <c r="D151">
        <v>24.76</v>
      </c>
      <c r="E151">
        <v>25.25</v>
      </c>
      <c r="F151">
        <v>180872.77</v>
      </c>
      <c r="G151">
        <v>25.25</v>
      </c>
      <c r="L151" t="s">
        <v>7</v>
      </c>
      <c r="M151" t="s">
        <v>8</v>
      </c>
      <c r="N151" t="s">
        <v>7</v>
      </c>
      <c r="P151">
        <f t="shared" ref="P151" si="730">IF(C151=D151,0,((E151-D151)-(C151-E151))/(C151-D151))</f>
        <v>-0.54205607476635598</v>
      </c>
      <c r="Q151">
        <f t="shared" ref="Q151" si="731">F151*P151</f>
        <v>-98043.183738317908</v>
      </c>
      <c r="R151">
        <f t="shared" ref="R151" si="732">R152+Q151</f>
        <v>-890911.73083649937</v>
      </c>
      <c r="S151">
        <f t="shared" ref="S151" si="733">R151/100000</f>
        <v>-8.9091173083649942</v>
      </c>
      <c r="T151">
        <f t="shared" ref="T151" si="734">S151/1000</f>
        <v>-8.9091173083649944E-3</v>
      </c>
    </row>
    <row r="152" spans="1:20" x14ac:dyDescent="0.25">
      <c r="A152" s="5">
        <v>44441</v>
      </c>
      <c r="B152">
        <v>25.04</v>
      </c>
      <c r="C152">
        <v>27.98</v>
      </c>
      <c r="D152">
        <v>24.92</v>
      </c>
      <c r="E152">
        <v>25.41</v>
      </c>
      <c r="F152">
        <v>414841.38</v>
      </c>
      <c r="G152">
        <v>25.41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-0.67973856209150418</v>
      </c>
      <c r="Q152">
        <f t="shared" ref="Q152" si="736">F152*P152</f>
        <v>-281983.68313725531</v>
      </c>
      <c r="R152">
        <f t="shared" ref="R152" si="737">R153+Q152</f>
        <v>-792868.54709818144</v>
      </c>
      <c r="S152">
        <f t="shared" ref="S152" si="738">R152/100000</f>
        <v>-7.9286854709818142</v>
      </c>
      <c r="T152">
        <f t="shared" ref="T152" si="739">S152/1000</f>
        <v>-7.9286854709818139E-3</v>
      </c>
    </row>
    <row r="153" spans="1:20" x14ac:dyDescent="0.25">
      <c r="A153" s="5">
        <v>44440</v>
      </c>
      <c r="B153">
        <v>24.61</v>
      </c>
      <c r="C153">
        <v>25.4</v>
      </c>
      <c r="D153">
        <v>23.79</v>
      </c>
      <c r="E153">
        <v>25.04</v>
      </c>
      <c r="F153">
        <v>164749.41</v>
      </c>
      <c r="G153">
        <v>25.04</v>
      </c>
      <c r="L153" t="s">
        <v>7</v>
      </c>
      <c r="M153" t="s">
        <v>8</v>
      </c>
      <c r="N153" t="s">
        <v>7</v>
      </c>
      <c r="P153">
        <f t="shared" ref="P153" si="740">IF(C153=D153,0,((E153-D153)-(C153-E153))/(C153-D153))</f>
        <v>0.55279503105590122</v>
      </c>
      <c r="Q153">
        <f t="shared" ref="Q153" si="741">F153*P153</f>
        <v>91072.65521739141</v>
      </c>
      <c r="R153">
        <f t="shared" ref="R153" si="742">R154+Q153</f>
        <v>-510884.86396092619</v>
      </c>
      <c r="S153">
        <f t="shared" ref="S153" si="743">R153/100000</f>
        <v>-5.1088486396092616</v>
      </c>
      <c r="T153">
        <f t="shared" ref="T153" si="744">S153/1000</f>
        <v>-5.1088486396092614E-3</v>
      </c>
    </row>
    <row r="154" spans="1:20" x14ac:dyDescent="0.25">
      <c r="A154" s="5">
        <v>44439</v>
      </c>
      <c r="B154">
        <v>26.12</v>
      </c>
      <c r="C154">
        <v>27.4</v>
      </c>
      <c r="D154">
        <v>23.78</v>
      </c>
      <c r="E154">
        <v>24.6</v>
      </c>
      <c r="F154">
        <v>582666.30900000001</v>
      </c>
      <c r="G154">
        <v>24.6</v>
      </c>
      <c r="L154" t="s">
        <v>8</v>
      </c>
      <c r="M154" t="s">
        <v>8</v>
      </c>
      <c r="N154" t="s">
        <v>7</v>
      </c>
      <c r="P154">
        <f t="shared" ref="P154" si="745">IF(C154=D154,0,((E154-D154)-(C154-E154))/(C154-D154))</f>
        <v>-0.54696132596685032</v>
      </c>
      <c r="Q154">
        <f t="shared" ref="Q154" si="746">F154*P154</f>
        <v>-318695.93696685054</v>
      </c>
      <c r="R154">
        <f t="shared" ref="R154" si="747">R155+Q154</f>
        <v>-601957.51917831763</v>
      </c>
      <c r="S154">
        <f t="shared" ref="S154" si="748">R154/100000</f>
        <v>-6.0195751917831766</v>
      </c>
      <c r="T154">
        <f t="shared" ref="T154" si="749">S154/1000</f>
        <v>-6.0195751917831762E-3</v>
      </c>
    </row>
    <row r="155" spans="1:20" x14ac:dyDescent="0.25">
      <c r="A155" s="5">
        <v>44438</v>
      </c>
      <c r="B155">
        <v>23.31</v>
      </c>
      <c r="C155">
        <v>26.87</v>
      </c>
      <c r="D155">
        <v>21.66</v>
      </c>
      <c r="E155">
        <v>26.13</v>
      </c>
      <c r="F155">
        <v>554457.31000000006</v>
      </c>
      <c r="G155">
        <v>26.13</v>
      </c>
      <c r="L155" t="s">
        <v>7</v>
      </c>
      <c r="M155" t="s">
        <v>8</v>
      </c>
      <c r="N155" t="s">
        <v>7</v>
      </c>
      <c r="P155">
        <f t="shared" ref="P155" si="750">IF(C155=D155,0,((E155-D155)-(C155-E155))/(C155-D155))</f>
        <v>0.71593090211132371</v>
      </c>
      <c r="Q155">
        <f t="shared" ref="Q155" si="751">F155*P155</f>
        <v>396953.12213051791</v>
      </c>
      <c r="R155">
        <f t="shared" ref="R155" si="752">R156+Q155</f>
        <v>-283261.58221146715</v>
      </c>
      <c r="S155">
        <f t="shared" ref="S155" si="753">R155/100000</f>
        <v>-2.8326158221146716</v>
      </c>
      <c r="T155">
        <f t="shared" ref="T155" si="754">S155/1000</f>
        <v>-2.8326158221146716E-3</v>
      </c>
    </row>
    <row r="156" spans="1:20" x14ac:dyDescent="0.25">
      <c r="A156" s="5">
        <v>44437</v>
      </c>
      <c r="B156">
        <v>23.93</v>
      </c>
      <c r="C156">
        <v>24.93</v>
      </c>
      <c r="D156">
        <v>22.87</v>
      </c>
      <c r="E156">
        <v>23.29</v>
      </c>
      <c r="F156">
        <v>361906.95</v>
      </c>
      <c r="G156">
        <v>23.29</v>
      </c>
      <c r="L156" t="s">
        <v>7</v>
      </c>
      <c r="M156" t="s">
        <v>8</v>
      </c>
      <c r="N156" t="s">
        <v>7</v>
      </c>
      <c r="P156">
        <f t="shared" ref="P156" si="755">IF(C156=D156,0,((E156-D156)-(C156-E156))/(C156-D156))</f>
        <v>-0.59223300970873938</v>
      </c>
      <c r="Q156">
        <f t="shared" ref="Q156" si="756">F156*P156</f>
        <v>-214333.24223301027</v>
      </c>
      <c r="R156">
        <f t="shared" ref="R156" si="757">R157+Q156</f>
        <v>-680214.70434198505</v>
      </c>
      <c r="S156">
        <f t="shared" ref="S156" si="758">R156/100000</f>
        <v>-6.8021470434198505</v>
      </c>
      <c r="T156">
        <f t="shared" ref="T156" si="759">S156/1000</f>
        <v>-6.8021470434198508E-3</v>
      </c>
    </row>
    <row r="157" spans="1:20" x14ac:dyDescent="0.25">
      <c r="A157" s="5">
        <v>44436</v>
      </c>
      <c r="B157">
        <v>21.95</v>
      </c>
      <c r="C157">
        <v>26.08</v>
      </c>
      <c r="D157">
        <v>21.87</v>
      </c>
      <c r="E157">
        <v>23.93</v>
      </c>
      <c r="F157">
        <v>806869.86899999995</v>
      </c>
      <c r="G157">
        <v>23.93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-2.1377672209026109E-2</v>
      </c>
      <c r="Q157">
        <f t="shared" ref="Q157" si="761">F157*P157</f>
        <v>-17248.999574821835</v>
      </c>
      <c r="R157">
        <f t="shared" ref="R157" si="762">R158+Q157</f>
        <v>-465881.46210897475</v>
      </c>
      <c r="S157">
        <f t="shared" ref="S157" si="763">R157/100000</f>
        <v>-4.6588146210897472</v>
      </c>
      <c r="T157">
        <f t="shared" ref="T157" si="764">S157/1000</f>
        <v>-4.6588146210897472E-3</v>
      </c>
    </row>
    <row r="158" spans="1:20" x14ac:dyDescent="0.25">
      <c r="A158" s="5">
        <v>44435</v>
      </c>
      <c r="B158">
        <v>20.96</v>
      </c>
      <c r="C158">
        <v>22.11</v>
      </c>
      <c r="D158">
        <v>20.12</v>
      </c>
      <c r="E158">
        <v>21.95</v>
      </c>
      <c r="F158">
        <v>127072.53</v>
      </c>
      <c r="G158">
        <v>21.95</v>
      </c>
      <c r="L158" t="s">
        <v>8</v>
      </c>
      <c r="M158" t="s">
        <v>7</v>
      </c>
      <c r="N158" t="s">
        <v>7</v>
      </c>
      <c r="P158">
        <f t="shared" ref="P158" si="765">IF(C158=D158,0,((E158-D158)-(C158-E158))/(C158-D158))</f>
        <v>0.83919597989949724</v>
      </c>
      <c r="Q158">
        <f t="shared" ref="Q158" si="766">F158*P158</f>
        <v>106638.75633165825</v>
      </c>
      <c r="R158">
        <f t="shared" ref="R158" si="767">R159+Q158</f>
        <v>-448632.4625341529</v>
      </c>
      <c r="S158">
        <f t="shared" ref="S158" si="768">R158/100000</f>
        <v>-4.4863246253415294</v>
      </c>
      <c r="T158">
        <f t="shared" ref="T158" si="769">S158/1000</f>
        <v>-4.4863246253415293E-3</v>
      </c>
    </row>
    <row r="159" spans="1:20" x14ac:dyDescent="0.25">
      <c r="A159" s="5">
        <v>44434</v>
      </c>
      <c r="B159">
        <v>21.869</v>
      </c>
      <c r="C159">
        <v>22.318000000000001</v>
      </c>
      <c r="D159">
        <v>19.97</v>
      </c>
      <c r="E159">
        <v>20.97</v>
      </c>
      <c r="F159">
        <v>173166.09700000001</v>
      </c>
      <c r="G159">
        <v>20.97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-0.14821124361158525</v>
      </c>
      <c r="Q159">
        <f t="shared" ref="Q159" si="771">F159*P159</f>
        <v>-25665.162587734401</v>
      </c>
      <c r="R159">
        <f t="shared" ref="R159" si="772">R160+Q159</f>
        <v>-555271.21886581113</v>
      </c>
      <c r="S159">
        <f t="shared" ref="S159" si="773">R159/100000</f>
        <v>-5.552712188658111</v>
      </c>
      <c r="T159">
        <f t="shared" ref="T159" si="774">S159/1000</f>
        <v>-5.5527121886581113E-3</v>
      </c>
    </row>
    <row r="160" spans="1:20" x14ac:dyDescent="0.25">
      <c r="A160" s="5">
        <v>44433</v>
      </c>
      <c r="B160">
        <v>21.698</v>
      </c>
      <c r="C160">
        <v>23.19</v>
      </c>
      <c r="D160">
        <v>20.835000000000001</v>
      </c>
      <c r="E160">
        <v>21.864000000000001</v>
      </c>
      <c r="F160">
        <v>168107.87899999999</v>
      </c>
      <c r="G160">
        <v>21.864000000000001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-0.12611464968152888</v>
      </c>
      <c r="Q160">
        <f t="shared" ref="Q160" si="776">F160*P160</f>
        <v>-21200.866268789843</v>
      </c>
      <c r="R160">
        <f t="shared" ref="R160" si="777">R161+Q160</f>
        <v>-529606.05627807672</v>
      </c>
      <c r="S160">
        <f t="shared" ref="S160" si="778">R160/100000</f>
        <v>-5.2960605627807675</v>
      </c>
      <c r="T160">
        <f t="shared" ref="T160" si="779">S160/1000</f>
        <v>-5.2960605627807673E-3</v>
      </c>
    </row>
    <row r="161" spans="1:20" x14ac:dyDescent="0.25">
      <c r="A161" s="5">
        <v>44432</v>
      </c>
      <c r="B161">
        <v>24.271999999999998</v>
      </c>
      <c r="C161">
        <v>24.542999999999999</v>
      </c>
      <c r="D161">
        <v>21.68</v>
      </c>
      <c r="E161">
        <v>21.68</v>
      </c>
      <c r="F161">
        <v>202923.875</v>
      </c>
      <c r="G161">
        <v>21.68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-1</v>
      </c>
      <c r="Q161">
        <f t="shared" ref="Q161" si="781">F161*P161</f>
        <v>-202923.875</v>
      </c>
      <c r="R161">
        <f t="shared" ref="R161" si="782">R162+Q161</f>
        <v>-508405.19000928692</v>
      </c>
      <c r="S161">
        <f t="shared" ref="S161" si="783">R161/100000</f>
        <v>-5.0840519000928692</v>
      </c>
      <c r="T161">
        <f t="shared" ref="T161" si="784">S161/1000</f>
        <v>-5.0840519000928692E-3</v>
      </c>
    </row>
    <row r="162" spans="1:20" x14ac:dyDescent="0.25">
      <c r="A162" s="5">
        <v>44431</v>
      </c>
      <c r="B162">
        <v>24.442</v>
      </c>
      <c r="C162">
        <v>26</v>
      </c>
      <c r="D162">
        <v>23.911000000000001</v>
      </c>
      <c r="E162">
        <v>24.238</v>
      </c>
      <c r="F162">
        <v>140011.83600000001</v>
      </c>
      <c r="G162">
        <v>24.238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-0.68693154619435293</v>
      </c>
      <c r="Q162">
        <f t="shared" ref="Q162" si="786">F162*P162</f>
        <v>-96178.546988990172</v>
      </c>
      <c r="R162">
        <f t="shared" ref="R162" si="787">R163+Q162</f>
        <v>-305481.31500928692</v>
      </c>
      <c r="S162">
        <f t="shared" ref="S162" si="788">R162/100000</f>
        <v>-3.054813150092869</v>
      </c>
      <c r="T162">
        <f t="shared" ref="T162" si="789">S162/1000</f>
        <v>-3.0548131500928691E-3</v>
      </c>
    </row>
    <row r="163" spans="1:20" x14ac:dyDescent="0.25">
      <c r="A163" s="5">
        <v>44430</v>
      </c>
      <c r="B163">
        <v>24.28</v>
      </c>
      <c r="C163">
        <v>24.555</v>
      </c>
      <c r="D163">
        <v>23.968</v>
      </c>
      <c r="E163">
        <v>24.07</v>
      </c>
      <c r="F163">
        <v>23325.850999999999</v>
      </c>
      <c r="G163">
        <v>24.07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-0.65247018739352514</v>
      </c>
      <c r="Q163">
        <f t="shared" ref="Q163" si="791">F163*P163</f>
        <v>-15219.422373083446</v>
      </c>
      <c r="R163">
        <f t="shared" ref="R163" si="792">R164+Q163</f>
        <v>-209302.76802029673</v>
      </c>
      <c r="S163">
        <f t="shared" ref="S163" si="793">R163/100000</f>
        <v>-2.0930276802029675</v>
      </c>
      <c r="T163">
        <f t="shared" ref="T163" si="794">S163/1000</f>
        <v>-2.0930276802029676E-3</v>
      </c>
    </row>
    <row r="164" spans="1:20" x14ac:dyDescent="0.25">
      <c r="A164" s="5">
        <v>44429</v>
      </c>
      <c r="B164">
        <v>26.164000000000001</v>
      </c>
      <c r="C164">
        <v>26.172999999999998</v>
      </c>
      <c r="D164">
        <v>24.167999999999999</v>
      </c>
      <c r="E164">
        <v>24.288</v>
      </c>
      <c r="F164">
        <v>179789.228</v>
      </c>
      <c r="G164">
        <v>24.288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-0.8802992518703231</v>
      </c>
      <c r="Q164">
        <f t="shared" ref="Q164" si="796">F164*P164</f>
        <v>-158268.32290274295</v>
      </c>
      <c r="R164">
        <f t="shared" ref="R164" si="797">R165+Q164</f>
        <v>-194083.34564721328</v>
      </c>
      <c r="S164">
        <f t="shared" ref="S164" si="798">R164/100000</f>
        <v>-1.9408334564721328</v>
      </c>
      <c r="T164">
        <f t="shared" ref="T164" si="799">S164/1000</f>
        <v>-1.9408334564721328E-3</v>
      </c>
    </row>
    <row r="165" spans="1:20" x14ac:dyDescent="0.25">
      <c r="A165" s="5">
        <v>44428</v>
      </c>
      <c r="B165">
        <v>25.309000000000001</v>
      </c>
      <c r="C165">
        <v>27.088999999999999</v>
      </c>
      <c r="D165">
        <v>25.265999999999998</v>
      </c>
      <c r="E165">
        <v>26.167999999999999</v>
      </c>
      <c r="F165">
        <v>169092.696</v>
      </c>
      <c r="G165">
        <v>26.167999999999999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-1.0422380691167497E-2</v>
      </c>
      <c r="Q165">
        <f t="shared" ref="Q165" si="801">F165*P165</f>
        <v>-1762.3484498078553</v>
      </c>
      <c r="R165">
        <f t="shared" ref="R165" si="802">R166+Q165</f>
        <v>-35815.022744470327</v>
      </c>
      <c r="S165">
        <f t="shared" ref="S165" si="803">R165/100000</f>
        <v>-0.35815022744470326</v>
      </c>
      <c r="T165">
        <f t="shared" ref="T165" si="804">S165/1000</f>
        <v>-3.5815022744470327E-4</v>
      </c>
    </row>
    <row r="166" spans="1:20" x14ac:dyDescent="0.25">
      <c r="A166" s="5">
        <v>44427</v>
      </c>
      <c r="B166">
        <v>22.666</v>
      </c>
      <c r="C166">
        <v>26.277000000000001</v>
      </c>
      <c r="D166">
        <v>22.273</v>
      </c>
      <c r="E166">
        <v>25.238</v>
      </c>
      <c r="F166">
        <v>199057.609</v>
      </c>
      <c r="G166">
        <v>25.238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0.48101898101898044</v>
      </c>
      <c r="Q166">
        <f t="shared" ref="Q166" si="806">F166*P166</f>
        <v>95750.48824525463</v>
      </c>
      <c r="R166">
        <f t="shared" ref="R166" si="807">R167+Q166</f>
        <v>-34052.674294662473</v>
      </c>
      <c r="S166">
        <f t="shared" ref="S166" si="808">R166/100000</f>
        <v>-0.34052674294662472</v>
      </c>
      <c r="T166">
        <f t="shared" ref="T166" si="809">S166/1000</f>
        <v>-3.405267429466247E-4</v>
      </c>
    </row>
    <row r="167" spans="1:20" x14ac:dyDescent="0.25">
      <c r="A167" s="5">
        <v>44426</v>
      </c>
      <c r="B167">
        <v>23.349</v>
      </c>
      <c r="C167">
        <v>25.873000000000001</v>
      </c>
      <c r="D167">
        <v>21.99</v>
      </c>
      <c r="E167">
        <v>22.603000000000002</v>
      </c>
      <c r="F167">
        <v>268165.88099999999</v>
      </c>
      <c r="G167">
        <v>22.603000000000002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-0.68426474375482738</v>
      </c>
      <c r="Q167">
        <f t="shared" ref="Q167" si="811">F167*P167</f>
        <v>-183496.45784625254</v>
      </c>
      <c r="R167">
        <f t="shared" ref="R167" si="812">R168+Q167</f>
        <v>-129803.1625399171</v>
      </c>
      <c r="S167">
        <f t="shared" ref="S167" si="813">R167/100000</f>
        <v>-1.2980316253991711</v>
      </c>
      <c r="T167">
        <f t="shared" ref="T167" si="814">S167/1000</f>
        <v>-1.2980316253991711E-3</v>
      </c>
    </row>
    <row r="168" spans="1:20" x14ac:dyDescent="0.25">
      <c r="A168" s="5">
        <v>44425</v>
      </c>
      <c r="B168">
        <v>25.207000000000001</v>
      </c>
      <c r="C168">
        <v>26.14</v>
      </c>
      <c r="D168">
        <v>23.135000000000002</v>
      </c>
      <c r="E168">
        <v>23.356000000000002</v>
      </c>
      <c r="F168">
        <v>253322.459</v>
      </c>
      <c r="G168">
        <v>23.356000000000002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-0.85291181364392665</v>
      </c>
      <c r="Q168">
        <f t="shared" ref="Q168" si="816">F168*P168</f>
        <v>-216061.71794242924</v>
      </c>
      <c r="R168">
        <f t="shared" ref="R168" si="817">R169+Q168</f>
        <v>53693.295306335436</v>
      </c>
      <c r="S168">
        <f t="shared" ref="S168" si="818">R168/100000</f>
        <v>0.53693295306335431</v>
      </c>
      <c r="T168">
        <f t="shared" ref="T168" si="819">S168/1000</f>
        <v>5.3693295306335431E-4</v>
      </c>
    </row>
    <row r="169" spans="1:20" x14ac:dyDescent="0.25">
      <c r="A169" s="5">
        <v>44424</v>
      </c>
      <c r="B169">
        <v>26.875</v>
      </c>
      <c r="C169">
        <v>28.204999999999998</v>
      </c>
      <c r="D169">
        <v>25.137</v>
      </c>
      <c r="E169">
        <v>25.273</v>
      </c>
      <c r="F169">
        <v>227810.19500000001</v>
      </c>
      <c r="G169">
        <v>25.273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-0.91134289439374228</v>
      </c>
      <c r="Q169">
        <f t="shared" ref="Q169" si="821">F169*P169</f>
        <v>-207613.20248370283</v>
      </c>
      <c r="R169">
        <f t="shared" ref="R169" si="822">R170+Q169</f>
        <v>269755.01324876468</v>
      </c>
      <c r="S169">
        <f t="shared" ref="S169" si="823">R169/100000</f>
        <v>2.6975501324876467</v>
      </c>
      <c r="T169">
        <f t="shared" ref="T169" si="824">S169/1000</f>
        <v>2.6975501324876467E-3</v>
      </c>
    </row>
    <row r="170" spans="1:20" x14ac:dyDescent="0.25">
      <c r="A170" s="5">
        <v>44423</v>
      </c>
      <c r="B170">
        <v>27.754000000000001</v>
      </c>
      <c r="C170">
        <v>27.754000000000001</v>
      </c>
      <c r="D170">
        <v>25.67</v>
      </c>
      <c r="E170">
        <v>26.919</v>
      </c>
      <c r="F170">
        <v>181713.17199999999</v>
      </c>
      <c r="G170">
        <v>26.919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0.19865642994241747</v>
      </c>
      <c r="Q170">
        <f t="shared" ref="Q170" si="826">F170*P170</f>
        <v>36098.490023032457</v>
      </c>
      <c r="R170">
        <f t="shared" ref="R170" si="827">R171+Q170</f>
        <v>477368.21573246754</v>
      </c>
      <c r="S170">
        <f t="shared" ref="S170" si="828">R170/100000</f>
        <v>4.773682157324675</v>
      </c>
      <c r="T170">
        <f t="shared" ref="T170" si="829">S170/1000</f>
        <v>4.7736821573246754E-3</v>
      </c>
    </row>
    <row r="171" spans="1:20" x14ac:dyDescent="0.25">
      <c r="A171" s="5">
        <v>44422</v>
      </c>
      <c r="B171">
        <v>30.667000000000002</v>
      </c>
      <c r="C171">
        <v>30.677</v>
      </c>
      <c r="D171">
        <v>26.423999999999999</v>
      </c>
      <c r="E171">
        <v>27.795000000000002</v>
      </c>
      <c r="F171">
        <v>288073.19300000003</v>
      </c>
      <c r="G171">
        <v>27.795000000000002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-0.35527862685163314</v>
      </c>
      <c r="Q171">
        <f t="shared" ref="Q171" si="831">F171*P171</f>
        <v>-102346.24844180551</v>
      </c>
      <c r="R171">
        <f t="shared" ref="R171" si="832">R172+Q171</f>
        <v>441269.72570943506</v>
      </c>
      <c r="S171">
        <f t="shared" ref="S171" si="833">R171/100000</f>
        <v>4.4126972570943508</v>
      </c>
      <c r="T171">
        <f t="shared" ref="T171" si="834">S171/1000</f>
        <v>4.4126972570943512E-3</v>
      </c>
    </row>
    <row r="172" spans="1:20" x14ac:dyDescent="0.25">
      <c r="A172" s="5">
        <v>44421</v>
      </c>
      <c r="B172">
        <v>26.51</v>
      </c>
      <c r="C172">
        <v>31.332999999999998</v>
      </c>
      <c r="D172">
        <v>26.379000000000001</v>
      </c>
      <c r="E172">
        <v>30.667000000000002</v>
      </c>
      <c r="F172">
        <v>296438.34899999999</v>
      </c>
      <c r="G172">
        <v>30.667000000000002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0.73112636253532615</v>
      </c>
      <c r="Q172">
        <f t="shared" ref="Q172" si="836">F172*P172</f>
        <v>216733.89182034752</v>
      </c>
      <c r="R172">
        <f t="shared" ref="R172" si="837">R173+Q172</f>
        <v>543615.97415124055</v>
      </c>
      <c r="S172">
        <f t="shared" ref="S172" si="838">R172/100000</f>
        <v>5.4361597415124052</v>
      </c>
      <c r="T172">
        <f t="shared" ref="T172" si="839">S172/1000</f>
        <v>5.4361597415124056E-3</v>
      </c>
    </row>
    <row r="173" spans="1:20" x14ac:dyDescent="0.25">
      <c r="A173" s="5">
        <v>44420</v>
      </c>
      <c r="B173">
        <v>28.236000000000001</v>
      </c>
      <c r="C173">
        <v>29.155999999999999</v>
      </c>
      <c r="D173">
        <v>25.8</v>
      </c>
      <c r="E173">
        <v>26.437000000000001</v>
      </c>
      <c r="F173">
        <v>297803.25199999998</v>
      </c>
      <c r="G173">
        <v>26.437000000000001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-0.62038140643623307</v>
      </c>
      <c r="Q173">
        <f t="shared" ref="Q173" si="841">F173*P173</f>
        <v>-184751.60031704392</v>
      </c>
      <c r="R173">
        <f t="shared" ref="R173" si="842">R174+Q173</f>
        <v>326882.08233089303</v>
      </c>
      <c r="S173">
        <f t="shared" ref="S173" si="843">R173/100000</f>
        <v>3.2688208233089302</v>
      </c>
      <c r="T173">
        <f t="shared" ref="T173" si="844">S173/1000</f>
        <v>3.2688208233089301E-3</v>
      </c>
    </row>
    <row r="174" spans="1:20" x14ac:dyDescent="0.25">
      <c r="A174" s="5">
        <v>44419</v>
      </c>
      <c r="B174">
        <v>32.408999999999999</v>
      </c>
      <c r="C174">
        <v>34</v>
      </c>
      <c r="D174">
        <v>27.97</v>
      </c>
      <c r="E174">
        <v>28.228999999999999</v>
      </c>
      <c r="F174">
        <v>666778.55000000005</v>
      </c>
      <c r="G174">
        <v>28.228999999999999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-0.91409618573797669</v>
      </c>
      <c r="Q174">
        <f t="shared" ref="Q174" si="846">F174*P174</f>
        <v>-609499.72928689886</v>
      </c>
      <c r="R174">
        <f t="shared" ref="R174" si="847">R175+Q174</f>
        <v>511633.68264793698</v>
      </c>
      <c r="S174">
        <f t="shared" ref="S174" si="848">R174/100000</f>
        <v>5.1163368264793698</v>
      </c>
      <c r="T174">
        <f t="shared" ref="T174" si="849">S174/1000</f>
        <v>5.1163368264793702E-3</v>
      </c>
    </row>
    <row r="175" spans="1:20" x14ac:dyDescent="0.25">
      <c r="A175" s="5">
        <v>44418</v>
      </c>
      <c r="B175">
        <v>26.57</v>
      </c>
      <c r="C175">
        <v>34</v>
      </c>
      <c r="D175">
        <v>24.95</v>
      </c>
      <c r="E175">
        <v>32.286000000000001</v>
      </c>
      <c r="F175">
        <v>1196539.4580000001</v>
      </c>
      <c r="G175">
        <v>32.286000000000001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0.62121546961326002</v>
      </c>
      <c r="Q175">
        <f t="shared" ref="Q175" si="851">F175*P175</f>
        <v>743308.8213122657</v>
      </c>
      <c r="R175">
        <f t="shared" ref="R175" si="852">R176+Q175</f>
        <v>1121133.4119348358</v>
      </c>
      <c r="S175">
        <f t="shared" ref="S175" si="853">R175/100000</f>
        <v>11.211334119348358</v>
      </c>
      <c r="T175">
        <f t="shared" ref="T175" si="854">S175/1000</f>
        <v>1.1211334119348357E-2</v>
      </c>
    </row>
    <row r="176" spans="1:20" x14ac:dyDescent="0.25">
      <c r="A176" s="5">
        <v>44417</v>
      </c>
      <c r="B176">
        <v>23.05</v>
      </c>
      <c r="C176">
        <v>30</v>
      </c>
      <c r="D176">
        <v>21.399000000000001</v>
      </c>
      <c r="E176">
        <v>26.57</v>
      </c>
      <c r="F176">
        <v>1067391.703</v>
      </c>
      <c r="G176">
        <v>26.57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0.20241832345076152</v>
      </c>
      <c r="Q176">
        <f t="shared" ref="Q176" si="856">F176*P176</f>
        <v>216059.63898651316</v>
      </c>
      <c r="R176">
        <f t="shared" ref="R176" si="857">R177+Q176</f>
        <v>377824.59062257013</v>
      </c>
      <c r="S176">
        <f t="shared" ref="S176" si="858">R176/100000</f>
        <v>3.7782459062257012</v>
      </c>
      <c r="T176">
        <f t="shared" ref="T176" si="859">S176/1000</f>
        <v>3.7782459062257012E-3</v>
      </c>
    </row>
    <row r="177" spans="1:20" x14ac:dyDescent="0.25">
      <c r="A177" s="5">
        <v>44416</v>
      </c>
      <c r="B177">
        <v>25.690999999999999</v>
      </c>
      <c r="C177">
        <v>27.512</v>
      </c>
      <c r="D177">
        <v>22.521999999999998</v>
      </c>
      <c r="E177">
        <v>23.077999999999999</v>
      </c>
      <c r="F177">
        <v>965276.35900000005</v>
      </c>
      <c r="G177">
        <v>23.077999999999999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-0.77715430861723422</v>
      </c>
      <c r="Q177">
        <f t="shared" ref="Q177" si="861">F177*P177</f>
        <v>-750168.6814032062</v>
      </c>
      <c r="R177">
        <f t="shared" ref="R177" si="862">R178+Q177</f>
        <v>161764.951636057</v>
      </c>
      <c r="S177">
        <f t="shared" ref="S177" si="863">R177/100000</f>
        <v>1.61764951636057</v>
      </c>
      <c r="T177">
        <f t="shared" ref="T177" si="864">S177/1000</f>
        <v>1.6176495163605701E-3</v>
      </c>
    </row>
    <row r="178" spans="1:20" x14ac:dyDescent="0.25">
      <c r="A178" s="5">
        <v>44415</v>
      </c>
      <c r="B178">
        <v>22.981999999999999</v>
      </c>
      <c r="C178">
        <v>32.286999999999999</v>
      </c>
      <c r="D178">
        <v>20.632999999999999</v>
      </c>
      <c r="E178">
        <v>25.742999999999999</v>
      </c>
      <c r="F178">
        <v>4345208.1869999999</v>
      </c>
      <c r="G178">
        <v>25.742999999999999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-0.12304788055603236</v>
      </c>
      <c r="Q178">
        <f t="shared" ref="Q178" si="866">F178*P178</f>
        <v>-534668.65798506991</v>
      </c>
      <c r="R178">
        <f t="shared" ref="R178" si="867">R179+Q178</f>
        <v>911933.63303926319</v>
      </c>
      <c r="S178">
        <f t="shared" ref="S178" si="868">R178/100000</f>
        <v>9.1193363303926311</v>
      </c>
      <c r="T178">
        <f t="shared" ref="T178" si="869">S178/1000</f>
        <v>9.1193363303926304E-3</v>
      </c>
    </row>
    <row r="179" spans="1:20" x14ac:dyDescent="0.25">
      <c r="A179" s="5">
        <v>44414</v>
      </c>
      <c r="B179">
        <v>17.428999999999998</v>
      </c>
      <c r="C179">
        <v>23.283000000000001</v>
      </c>
      <c r="D179">
        <v>15.257999999999999</v>
      </c>
      <c r="E179">
        <v>23</v>
      </c>
      <c r="F179">
        <v>1367652.159</v>
      </c>
      <c r="G179">
        <v>23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0.92947040498442335</v>
      </c>
      <c r="Q179">
        <f t="shared" ref="Q179" si="871">F179*P179</f>
        <v>1271192.206103551</v>
      </c>
      <c r="R179">
        <f t="shared" ref="R179" si="872">R180+Q179</f>
        <v>1446602.2910243331</v>
      </c>
      <c r="S179">
        <f t="shared" ref="S179" si="873">R179/100000</f>
        <v>14.46602291024333</v>
      </c>
      <c r="T179">
        <f t="shared" ref="T179" si="874">S179/1000</f>
        <v>1.4466022910243331E-2</v>
      </c>
    </row>
    <row r="180" spans="1:20" x14ac:dyDescent="0.25">
      <c r="A180" s="5">
        <v>44413</v>
      </c>
      <c r="B180">
        <v>13.385</v>
      </c>
      <c r="C180">
        <v>17.95</v>
      </c>
      <c r="D180">
        <v>13.186</v>
      </c>
      <c r="E180">
        <v>17.428999999999998</v>
      </c>
      <c r="F180">
        <v>2241164.2230000002</v>
      </c>
      <c r="G180">
        <v>17.428999999999998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0.78127623845507943</v>
      </c>
      <c r="Q180">
        <f t="shared" ref="Q180" si="876">F180*P180</f>
        <v>1750968.3539055409</v>
      </c>
      <c r="R180">
        <f t="shared" ref="R180" si="877">R181+Q180</f>
        <v>175410.08492078213</v>
      </c>
      <c r="S180">
        <f t="shared" ref="S180" si="878">R180/100000</f>
        <v>1.7541008492078214</v>
      </c>
      <c r="T180">
        <f t="shared" ref="T180" si="879">S180/1000</f>
        <v>1.7541008492078214E-3</v>
      </c>
    </row>
    <row r="181" spans="1:20" x14ac:dyDescent="0.25">
      <c r="A181" s="5">
        <v>44412</v>
      </c>
      <c r="B181">
        <v>11.45</v>
      </c>
      <c r="C181">
        <v>14.132999999999999</v>
      </c>
      <c r="D181">
        <v>11.026999999999999</v>
      </c>
      <c r="E181">
        <v>13.379</v>
      </c>
      <c r="F181">
        <v>384836.56699999998</v>
      </c>
      <c r="G181">
        <v>13.379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0.51448808757244069</v>
      </c>
      <c r="Q181">
        <f t="shared" ref="Q181" si="881">F181*P181</f>
        <v>197993.82938377344</v>
      </c>
      <c r="R181">
        <f t="shared" ref="R181" si="882">R182+Q181</f>
        <v>-1575558.2689847588</v>
      </c>
      <c r="S181">
        <f t="shared" ref="S181" si="883">R181/100000</f>
        <v>-15.755582689847587</v>
      </c>
      <c r="T181">
        <f t="shared" ref="T181" si="884">S181/1000</f>
        <v>-1.5755582689847586E-2</v>
      </c>
    </row>
    <row r="182" spans="1:20" x14ac:dyDescent="0.25">
      <c r="A182" s="5">
        <v>44411</v>
      </c>
      <c r="B182">
        <v>10.622</v>
      </c>
      <c r="C182">
        <v>12.06</v>
      </c>
      <c r="D182">
        <v>10.541</v>
      </c>
      <c r="E182">
        <v>11.46</v>
      </c>
      <c r="F182">
        <v>330486.66600000003</v>
      </c>
      <c r="G182">
        <v>11.46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0.21000658327847321</v>
      </c>
      <c r="Q182">
        <f t="shared" ref="Q182" si="886">F182*P182</f>
        <v>69404.375545753966</v>
      </c>
      <c r="R182">
        <f t="shared" ref="R182" si="887">R183+Q182</f>
        <v>-1773552.0983685323</v>
      </c>
      <c r="S182">
        <f t="shared" ref="S182" si="888">R182/100000</f>
        <v>-17.735520983685323</v>
      </c>
      <c r="T182">
        <f t="shared" ref="T182" si="889">S182/1000</f>
        <v>-1.7735520983685322E-2</v>
      </c>
    </row>
    <row r="183" spans="1:20" x14ac:dyDescent="0.25">
      <c r="A183" s="5">
        <v>44410</v>
      </c>
      <c r="B183">
        <v>10.849</v>
      </c>
      <c r="C183">
        <v>10.984</v>
      </c>
      <c r="D183">
        <v>10.316000000000001</v>
      </c>
      <c r="E183">
        <v>10.617000000000001</v>
      </c>
      <c r="F183">
        <v>178742.5</v>
      </c>
      <c r="G183">
        <v>10.617000000000001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-9.8802395209579369E-2</v>
      </c>
      <c r="Q183">
        <f t="shared" ref="Q183" si="891">F183*P183</f>
        <v>-17660.187125748242</v>
      </c>
      <c r="R183">
        <f t="shared" ref="R183" si="892">R184+Q183</f>
        <v>-1842956.4739142861</v>
      </c>
      <c r="S183">
        <f t="shared" ref="S183" si="893">R183/100000</f>
        <v>-18.429564739142862</v>
      </c>
      <c r="T183">
        <f t="shared" ref="T183" si="894">S183/1000</f>
        <v>-1.842956473914286E-2</v>
      </c>
    </row>
    <row r="184" spans="1:20" x14ac:dyDescent="0.25">
      <c r="A184" s="5">
        <v>44409</v>
      </c>
      <c r="B184">
        <v>11.686</v>
      </c>
      <c r="C184">
        <v>11.821999999999999</v>
      </c>
      <c r="D184">
        <v>10.8</v>
      </c>
      <c r="E184">
        <v>10.823</v>
      </c>
      <c r="F184">
        <v>198673.55499999999</v>
      </c>
      <c r="G184">
        <v>10.823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-0.95499021526418837</v>
      </c>
      <c r="Q184">
        <f t="shared" ref="Q184" si="896">F184*P184</f>
        <v>-189731.30105675157</v>
      </c>
      <c r="R184">
        <f t="shared" ref="R184" si="897">R185+Q184</f>
        <v>-1825296.2867885379</v>
      </c>
      <c r="S184">
        <f t="shared" ref="S184" si="898">R184/100000</f>
        <v>-18.25296286788538</v>
      </c>
      <c r="T184">
        <f t="shared" ref="T184" si="899">S184/1000</f>
        <v>-1.8252962867885379E-2</v>
      </c>
    </row>
    <row r="185" spans="1:20" x14ac:dyDescent="0.25">
      <c r="A185" s="5">
        <v>44408</v>
      </c>
      <c r="B185">
        <v>11.945</v>
      </c>
      <c r="C185">
        <v>12.364000000000001</v>
      </c>
      <c r="D185">
        <v>11.66</v>
      </c>
      <c r="E185">
        <v>11.69</v>
      </c>
      <c r="F185">
        <v>205296.038</v>
      </c>
      <c r="G185">
        <v>11.69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-0.91477272727272918</v>
      </c>
      <c r="Q185">
        <f t="shared" ref="Q185" si="901">F185*P185</f>
        <v>-187799.21657954584</v>
      </c>
      <c r="R185">
        <f t="shared" ref="R185" si="902">R186+Q185</f>
        <v>-1635564.9857317863</v>
      </c>
      <c r="S185">
        <f t="shared" ref="S185" si="903">R185/100000</f>
        <v>-16.355649857317864</v>
      </c>
      <c r="T185">
        <f t="shared" ref="T185" si="904">S185/1000</f>
        <v>-1.6355649857317866E-2</v>
      </c>
    </row>
    <row r="186" spans="1:20" x14ac:dyDescent="0.25">
      <c r="A186" s="5">
        <v>44407</v>
      </c>
      <c r="B186">
        <v>11.35</v>
      </c>
      <c r="C186">
        <v>12.22</v>
      </c>
      <c r="D186">
        <v>11.098000000000001</v>
      </c>
      <c r="E186">
        <v>11.944000000000001</v>
      </c>
      <c r="F186">
        <v>373157.57799999998</v>
      </c>
      <c r="G186">
        <v>11.944000000000001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0.5080213903743318</v>
      </c>
      <c r="Q186">
        <f t="shared" ref="Q186" si="906">F186*P186</f>
        <v>189572.03160427816</v>
      </c>
      <c r="R186">
        <f t="shared" ref="R186" si="907">R187+Q186</f>
        <v>-1447765.7691522406</v>
      </c>
      <c r="S186">
        <f t="shared" ref="S186" si="908">R186/100000</f>
        <v>-14.477657691522406</v>
      </c>
      <c r="T186">
        <f t="shared" ref="T186" si="909">S186/1000</f>
        <v>-1.4477657691522407E-2</v>
      </c>
    </row>
    <row r="187" spans="1:20" x14ac:dyDescent="0.25">
      <c r="A187" s="5">
        <v>44406</v>
      </c>
      <c r="B187">
        <v>11.276</v>
      </c>
      <c r="C187">
        <v>11.69</v>
      </c>
      <c r="D187">
        <v>10.573</v>
      </c>
      <c r="E187">
        <v>11.35</v>
      </c>
      <c r="F187">
        <v>386304.61700000003</v>
      </c>
      <c r="G187">
        <v>11.35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0.39122649955237221</v>
      </c>
      <c r="Q187">
        <f t="shared" ref="Q187" si="911">F187*P187</f>
        <v>151132.60306982984</v>
      </c>
      <c r="R187">
        <f t="shared" ref="R187" si="912">R188+Q187</f>
        <v>-1637337.8007565187</v>
      </c>
      <c r="S187">
        <f t="shared" ref="S187" si="913">R187/100000</f>
        <v>-16.373378007565186</v>
      </c>
      <c r="T187">
        <f t="shared" ref="T187" si="914">S187/1000</f>
        <v>-1.6373378007565186E-2</v>
      </c>
    </row>
    <row r="188" spans="1:20" x14ac:dyDescent="0.25">
      <c r="A188" s="5">
        <v>44405</v>
      </c>
      <c r="B188">
        <v>9.8740000000000006</v>
      </c>
      <c r="C188">
        <v>11.975</v>
      </c>
      <c r="D188">
        <v>9.7070000000000007</v>
      </c>
      <c r="E188">
        <v>11.272</v>
      </c>
      <c r="F188">
        <v>974130.75800000003</v>
      </c>
      <c r="G188">
        <v>11.272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0.38007054673721363</v>
      </c>
      <c r="Q188">
        <f t="shared" ref="Q188" si="916">F188*P188</f>
        <v>370238.40978659637</v>
      </c>
      <c r="R188">
        <f t="shared" ref="R188" si="917">R189+Q188</f>
        <v>-1788470.4038263485</v>
      </c>
      <c r="S188">
        <f t="shared" ref="S188" si="918">R188/100000</f>
        <v>-17.884704038263486</v>
      </c>
      <c r="T188">
        <f t="shared" ref="T188" si="919">S188/1000</f>
        <v>-1.7884704038263487E-2</v>
      </c>
    </row>
    <row r="189" spans="1:20" x14ac:dyDescent="0.25">
      <c r="A189" s="5">
        <v>44404</v>
      </c>
      <c r="B189">
        <v>9.5980000000000008</v>
      </c>
      <c r="C189">
        <v>10.45</v>
      </c>
      <c r="D189">
        <v>8.91</v>
      </c>
      <c r="E189">
        <v>9.8719999999999999</v>
      </c>
      <c r="F189">
        <v>119405.677</v>
      </c>
      <c r="G189">
        <v>9.8719999999999999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0.24935064935064971</v>
      </c>
      <c r="Q189">
        <f t="shared" ref="Q189" si="921">F189*P189</f>
        <v>29773.883096103938</v>
      </c>
      <c r="R189">
        <f t="shared" ref="R189" si="922">R190+Q189</f>
        <v>-2158708.8136129449</v>
      </c>
      <c r="S189">
        <f t="shared" ref="S189" si="923">R189/100000</f>
        <v>-21.587088136129449</v>
      </c>
      <c r="T189">
        <f t="shared" ref="T189" si="924">S189/1000</f>
        <v>-2.1587088136129449E-2</v>
      </c>
    </row>
    <row r="190" spans="1:20" x14ac:dyDescent="0.25">
      <c r="A190" s="5">
        <v>44403</v>
      </c>
      <c r="B190">
        <v>9.4309999999999992</v>
      </c>
      <c r="C190">
        <v>10.398999999999999</v>
      </c>
      <c r="D190">
        <v>9.1959999999999997</v>
      </c>
      <c r="E190">
        <v>9.5459999999999994</v>
      </c>
      <c r="F190">
        <v>226626.046</v>
      </c>
      <c r="G190">
        <v>9.5459999999999994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-0.41812136325852067</v>
      </c>
      <c r="Q190">
        <f t="shared" ref="Q190" si="926">F190*P190</f>
        <v>-94757.19130340821</v>
      </c>
      <c r="R190">
        <f t="shared" ref="R190" si="927">R191+Q190</f>
        <v>-2188482.6967090489</v>
      </c>
      <c r="S190">
        <f t="shared" ref="S190" si="928">R190/100000</f>
        <v>-21.88482696709049</v>
      </c>
      <c r="T190">
        <f t="shared" ref="T190" si="929">S190/1000</f>
        <v>-2.1884826967090491E-2</v>
      </c>
    </row>
    <row r="191" spans="1:20" x14ac:dyDescent="0.25">
      <c r="A191" s="5">
        <v>44402</v>
      </c>
      <c r="B191">
        <v>8.6980000000000004</v>
      </c>
      <c r="C191">
        <v>9.5</v>
      </c>
      <c r="D191">
        <v>8.5660000000000007</v>
      </c>
      <c r="E191">
        <v>9.4320000000000004</v>
      </c>
      <c r="F191">
        <v>383145.43</v>
      </c>
      <c r="G191">
        <v>9.4320000000000004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0.85438972162740967</v>
      </c>
      <c r="Q191">
        <f t="shared" ref="Q191" si="931">F191*P191</f>
        <v>327355.51728051418</v>
      </c>
      <c r="R191">
        <f t="shared" ref="R191" si="932">R192+Q191</f>
        <v>-2093725.5054056409</v>
      </c>
      <c r="S191">
        <f t="shared" ref="S191" si="933">R191/100000</f>
        <v>-20.937255054056408</v>
      </c>
      <c r="T191">
        <f t="shared" ref="T191" si="934">S191/1000</f>
        <v>-2.0937255054056407E-2</v>
      </c>
    </row>
    <row r="192" spans="1:20" x14ac:dyDescent="0.25">
      <c r="A192" s="5">
        <v>44401</v>
      </c>
      <c r="B192">
        <v>8.3569999999999993</v>
      </c>
      <c r="C192">
        <v>8.6980000000000004</v>
      </c>
      <c r="D192">
        <v>8.1349999999999998</v>
      </c>
      <c r="E192">
        <v>8.6980000000000004</v>
      </c>
      <c r="F192">
        <v>131964.106</v>
      </c>
      <c r="G192">
        <v>8.6980000000000004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1</v>
      </c>
      <c r="Q192">
        <f t="shared" ref="Q192" si="936">F192*P192</f>
        <v>131964.106</v>
      </c>
      <c r="R192">
        <f t="shared" ref="R192" si="937">R193+Q192</f>
        <v>-2421081.022686155</v>
      </c>
      <c r="S192">
        <f t="shared" ref="S192" si="938">R192/100000</f>
        <v>-24.21081022686155</v>
      </c>
      <c r="T192">
        <f t="shared" ref="T192:T197" si="939">S192/1000</f>
        <v>-2.421081022686155E-2</v>
      </c>
    </row>
    <row r="193" spans="1:20" x14ac:dyDescent="0.25">
      <c r="A193" s="5">
        <v>44400</v>
      </c>
      <c r="B193">
        <v>7.7670000000000003</v>
      </c>
      <c r="C193">
        <v>9.3000000000000007</v>
      </c>
      <c r="D193">
        <v>7.694</v>
      </c>
      <c r="E193">
        <v>8.3460000000000001</v>
      </c>
      <c r="F193">
        <v>333727.212</v>
      </c>
      <c r="G193">
        <v>8.3460000000000001</v>
      </c>
      <c r="L193" t="s">
        <v>8</v>
      </c>
      <c r="M193" t="s">
        <v>8</v>
      </c>
      <c r="N193" t="s">
        <v>8</v>
      </c>
      <c r="P193">
        <f t="shared" ref="P193" si="940">IF(C193=D193,0,((E193-D193)-(C193-E193))/(C193-D193))</f>
        <v>-0.18804483188044854</v>
      </c>
      <c r="Q193">
        <f t="shared" ref="Q193" si="941">F193*P193</f>
        <v>-62755.677474470809</v>
      </c>
      <c r="R193">
        <f t="shared" ref="R193" si="942">R194+Q193</f>
        <v>-2553045.1286861552</v>
      </c>
      <c r="S193">
        <f t="shared" ref="S193" si="943">R193/100000</f>
        <v>-25.530451286861553</v>
      </c>
      <c r="T193">
        <f t="shared" si="939"/>
        <v>-2.5530451286861551E-2</v>
      </c>
    </row>
    <row r="194" spans="1:20" x14ac:dyDescent="0.25">
      <c r="A194" s="5">
        <v>44399</v>
      </c>
      <c r="B194">
        <v>7.5049999999999999</v>
      </c>
      <c r="C194">
        <v>7.89</v>
      </c>
      <c r="D194">
        <v>7.2830000000000004</v>
      </c>
      <c r="E194">
        <v>7.7409999999999997</v>
      </c>
      <c r="F194">
        <v>285430.55099999998</v>
      </c>
      <c r="G194">
        <v>7.7409999999999997</v>
      </c>
      <c r="L194" t="s">
        <v>7</v>
      </c>
      <c r="M194" t="s">
        <v>8</v>
      </c>
      <c r="N194" t="s">
        <v>7</v>
      </c>
      <c r="P194">
        <f t="shared" ref="P194" si="944">IF(C194=D194,0,((E194-D194)-(C194-E194))/(C194-D194))</f>
        <v>0.50906095551894504</v>
      </c>
      <c r="Q194">
        <f t="shared" ref="Q194" si="945">F194*P194</f>
        <v>145301.54902635896</v>
      </c>
      <c r="R194">
        <f t="shared" ref="R194" si="946">R195+Q194</f>
        <v>-2490289.4512116844</v>
      </c>
      <c r="S194">
        <f t="shared" ref="S194" si="947">R194/100000</f>
        <v>-24.902894512116845</v>
      </c>
      <c r="T194">
        <f t="shared" si="939"/>
        <v>-2.4902894512116844E-2</v>
      </c>
    </row>
    <row r="195" spans="1:20" x14ac:dyDescent="0.25">
      <c r="A195" s="5">
        <v>44398</v>
      </c>
      <c r="B195">
        <v>6.7530000000000001</v>
      </c>
      <c r="C195">
        <v>7.992</v>
      </c>
      <c r="D195">
        <v>6.5659999999999998</v>
      </c>
      <c r="E195">
        <v>7.4720000000000004</v>
      </c>
      <c r="F195">
        <v>276172.196</v>
      </c>
      <c r="G195">
        <v>7.4720000000000004</v>
      </c>
      <c r="L195" t="s">
        <v>8</v>
      </c>
      <c r="M195" t="s">
        <v>8</v>
      </c>
      <c r="N195" t="s">
        <v>7</v>
      </c>
      <c r="P195">
        <f t="shared" ref="P195" si="948">IF(C195=D195,0,((E195-D195)-(C195-E195))/(C195-D195))</f>
        <v>0.27068723702664865</v>
      </c>
      <c r="Q195">
        <f t="shared" ref="Q195" si="949">F195*P195</f>
        <v>74756.288678822064</v>
      </c>
      <c r="R195">
        <f t="shared" ref="R195" si="950">R196+Q195</f>
        <v>-2635591.0002380433</v>
      </c>
      <c r="S195">
        <f t="shared" ref="S195" si="951">R195/100000</f>
        <v>-26.355910002380433</v>
      </c>
      <c r="T195">
        <f t="shared" si="939"/>
        <v>-2.6355910002380432E-2</v>
      </c>
    </row>
    <row r="196" spans="1:20" x14ac:dyDescent="0.25">
      <c r="A196" s="5">
        <v>44397</v>
      </c>
      <c r="B196">
        <v>7.1390000000000002</v>
      </c>
      <c r="C196">
        <v>7.2949999999999999</v>
      </c>
      <c r="D196">
        <v>6.665</v>
      </c>
      <c r="E196">
        <v>6.7560000000000002</v>
      </c>
      <c r="F196">
        <v>116265.042</v>
      </c>
      <c r="G196">
        <v>6.7560000000000002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-0.71111111111111047</v>
      </c>
      <c r="Q196">
        <f t="shared" ref="Q196" si="953">F196*P196</f>
        <v>-82677.36319999992</v>
      </c>
      <c r="R196">
        <f t="shared" ref="R196" si="954">R197+Q196</f>
        <v>-2710347.2889168654</v>
      </c>
      <c r="S196">
        <f t="shared" ref="S196" si="955">R196/100000</f>
        <v>-27.103472889168653</v>
      </c>
      <c r="T196">
        <f t="shared" si="939"/>
        <v>-2.7103472889168652E-2</v>
      </c>
    </row>
    <row r="197" spans="1:20" x14ac:dyDescent="0.25">
      <c r="A197" s="5">
        <v>44396</v>
      </c>
      <c r="B197">
        <v>7.8819999999999997</v>
      </c>
      <c r="C197">
        <v>7.9509999999999996</v>
      </c>
      <c r="D197">
        <v>7.1280000000000001</v>
      </c>
      <c r="E197">
        <v>7.1390000000000002</v>
      </c>
      <c r="F197">
        <v>93397.917000000001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-0.97326852976913703</v>
      </c>
      <c r="Q197">
        <f t="shared" ref="Q197" si="957">F197*P197</f>
        <v>-90901.25336208989</v>
      </c>
      <c r="R197">
        <f t="shared" ref="R197" si="958">R198+Q197</f>
        <v>-2627669.9257168653</v>
      </c>
      <c r="S197">
        <f t="shared" ref="S197" si="959">R197/100000</f>
        <v>-26.276699257168655</v>
      </c>
      <c r="T197">
        <f t="shared" si="939"/>
        <v>-2.6276699257168655E-2</v>
      </c>
    </row>
    <row r="198" spans="1:20" x14ac:dyDescent="0.25">
      <c r="A198" s="5">
        <v>44395</v>
      </c>
      <c r="B198">
        <v>7.5629999999999997</v>
      </c>
      <c r="C198">
        <v>7.968</v>
      </c>
      <c r="D198">
        <v>7.4370000000000003</v>
      </c>
      <c r="E198">
        <v>7.9240000000000004</v>
      </c>
      <c r="F198">
        <v>85953.697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60">IF(C198=D198,0,((E198-D198)-(C198-E198))/(C198-D198))</f>
        <v>0.83427495291902209</v>
      </c>
      <c r="Q198">
        <f t="shared" ref="Q198:Q261" si="961">F198*P198</f>
        <v>71709.016517890894</v>
      </c>
      <c r="R198">
        <f t="shared" ref="R198:R261" si="962">R199+Q198</f>
        <v>-2536768.6723547755</v>
      </c>
      <c r="S198">
        <f t="shared" ref="S198:S261" si="963">R198/100000</f>
        <v>-25.367686723547756</v>
      </c>
      <c r="T198">
        <f t="shared" ref="T198:T261" si="964">S198/1000</f>
        <v>-2.5367686723547757E-2</v>
      </c>
    </row>
    <row r="199" spans="1:20" x14ac:dyDescent="0.25">
      <c r="A199" s="5">
        <v>44394</v>
      </c>
      <c r="B199">
        <v>7.7450000000000001</v>
      </c>
      <c r="C199">
        <v>7.86</v>
      </c>
      <c r="D199">
        <v>7.5</v>
      </c>
      <c r="E199">
        <v>7.5629999999999997</v>
      </c>
      <c r="F199">
        <v>62068.436999999998</v>
      </c>
      <c r="G199">
        <v>0</v>
      </c>
      <c r="L199" t="s">
        <v>8</v>
      </c>
      <c r="M199" t="s">
        <v>7</v>
      </c>
      <c r="N199" t="s">
        <v>7</v>
      </c>
      <c r="P199">
        <f t="shared" si="960"/>
        <v>-0.6500000000000018</v>
      </c>
      <c r="Q199">
        <f t="shared" si="961"/>
        <v>-40344.484050000108</v>
      </c>
      <c r="R199">
        <f t="shared" si="962"/>
        <v>-2608477.6888726666</v>
      </c>
      <c r="S199">
        <f t="shared" si="963"/>
        <v>-26.084776888726665</v>
      </c>
      <c r="T199">
        <f t="shared" si="964"/>
        <v>-2.6084776888726666E-2</v>
      </c>
    </row>
    <row r="200" spans="1:20" x14ac:dyDescent="0.25">
      <c r="A200" s="5">
        <v>44393</v>
      </c>
      <c r="B200">
        <v>7.8520000000000003</v>
      </c>
      <c r="C200">
        <v>8.2260000000000009</v>
      </c>
      <c r="D200">
        <v>7.335</v>
      </c>
      <c r="E200">
        <v>7.7960000000000003</v>
      </c>
      <c r="F200">
        <v>181191.11499999999</v>
      </c>
      <c r="G200">
        <v>0</v>
      </c>
      <c r="L200" t="s">
        <v>7</v>
      </c>
      <c r="M200" t="s">
        <v>7</v>
      </c>
      <c r="N200" t="s">
        <v>7</v>
      </c>
      <c r="P200">
        <f t="shared" si="960"/>
        <v>3.4792368125701079E-2</v>
      </c>
      <c r="Q200">
        <f t="shared" si="961"/>
        <v>6304.0679741862386</v>
      </c>
      <c r="R200">
        <f t="shared" si="962"/>
        <v>-2568133.2048226665</v>
      </c>
      <c r="S200">
        <f t="shared" si="963"/>
        <v>-25.681332048226665</v>
      </c>
      <c r="T200">
        <f t="shared" si="964"/>
        <v>-2.5681332048226663E-2</v>
      </c>
    </row>
    <row r="201" spans="1:20" x14ac:dyDescent="0.25">
      <c r="A201" s="5">
        <v>44392</v>
      </c>
      <c r="B201">
        <v>8.0640000000000001</v>
      </c>
      <c r="C201">
        <v>8.32</v>
      </c>
      <c r="D201">
        <v>7.6529999999999996</v>
      </c>
      <c r="E201">
        <v>7.8319999999999999</v>
      </c>
      <c r="F201">
        <v>153551.23300000001</v>
      </c>
      <c r="G201">
        <v>0</v>
      </c>
      <c r="L201" t="s">
        <v>8</v>
      </c>
      <c r="M201" t="s">
        <v>7</v>
      </c>
      <c r="N201" t="s">
        <v>7</v>
      </c>
      <c r="P201">
        <f t="shared" si="960"/>
        <v>-0.46326836581709119</v>
      </c>
      <c r="Q201">
        <f t="shared" si="961"/>
        <v>-71135.428781109411</v>
      </c>
      <c r="R201">
        <f t="shared" si="962"/>
        <v>-2574437.2727968525</v>
      </c>
      <c r="S201">
        <f t="shared" si="963"/>
        <v>-25.744372727968525</v>
      </c>
      <c r="T201">
        <f t="shared" si="964"/>
        <v>-2.5744372727968524E-2</v>
      </c>
    </row>
    <row r="202" spans="1:20" x14ac:dyDescent="0.25">
      <c r="A202" s="5">
        <v>44391</v>
      </c>
      <c r="B202">
        <v>8.0129999999999999</v>
      </c>
      <c r="C202">
        <v>8.2230000000000008</v>
      </c>
      <c r="D202">
        <v>7.5579999999999998</v>
      </c>
      <c r="E202">
        <v>8.0649999999999995</v>
      </c>
      <c r="F202">
        <v>127545.436</v>
      </c>
      <c r="G202">
        <v>0</v>
      </c>
      <c r="L202" t="s">
        <v>7</v>
      </c>
      <c r="M202" t="s">
        <v>7</v>
      </c>
      <c r="N202" t="s">
        <v>7</v>
      </c>
      <c r="P202">
        <f t="shared" si="960"/>
        <v>0.52481203007518484</v>
      </c>
      <c r="Q202">
        <f t="shared" si="961"/>
        <v>66937.379193984569</v>
      </c>
      <c r="R202">
        <f t="shared" si="962"/>
        <v>-2503301.8440157431</v>
      </c>
      <c r="S202">
        <f t="shared" si="963"/>
        <v>-25.033018440157431</v>
      </c>
      <c r="T202">
        <f t="shared" si="964"/>
        <v>-2.5033018440157432E-2</v>
      </c>
    </row>
    <row r="203" spans="1:20" x14ac:dyDescent="0.25">
      <c r="A203" s="5">
        <v>44390</v>
      </c>
      <c r="B203">
        <v>8.7110000000000003</v>
      </c>
      <c r="C203">
        <v>8.7149999999999999</v>
      </c>
      <c r="D203">
        <v>7.8840000000000003</v>
      </c>
      <c r="E203">
        <v>7.9729999999999999</v>
      </c>
      <c r="F203">
        <v>141920.07500000001</v>
      </c>
      <c r="G203">
        <v>0</v>
      </c>
      <c r="L203" t="s">
        <v>7</v>
      </c>
      <c r="M203" t="s">
        <v>7</v>
      </c>
      <c r="N203" t="s">
        <v>7</v>
      </c>
      <c r="P203">
        <f t="shared" si="960"/>
        <v>-0.78580024067388787</v>
      </c>
      <c r="Q203">
        <f t="shared" si="961"/>
        <v>-111520.82909145622</v>
      </c>
      <c r="R203">
        <f t="shared" si="962"/>
        <v>-2570239.2232097276</v>
      </c>
      <c r="S203">
        <f t="shared" si="963"/>
        <v>-25.702392232097274</v>
      </c>
      <c r="T203">
        <f t="shared" si="964"/>
        <v>-2.5702392232097273E-2</v>
      </c>
    </row>
    <row r="204" spans="1:20" x14ac:dyDescent="0.25">
      <c r="A204" s="5">
        <v>44389</v>
      </c>
      <c r="B204">
        <v>9.0510000000000002</v>
      </c>
      <c r="C204">
        <v>9.2550000000000008</v>
      </c>
      <c r="D204">
        <v>8.5359999999999996</v>
      </c>
      <c r="E204">
        <v>8.7230000000000008</v>
      </c>
      <c r="F204">
        <v>67179.354999999996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-0.47983310152990027</v>
      </c>
      <c r="Q204">
        <f t="shared" si="961"/>
        <v>-32234.878268428212</v>
      </c>
      <c r="R204">
        <f t="shared" si="962"/>
        <v>-2458718.3941182713</v>
      </c>
      <c r="S204">
        <f t="shared" si="963"/>
        <v>-24.587183941182712</v>
      </c>
      <c r="T204">
        <f t="shared" si="964"/>
        <v>-2.458718394118271E-2</v>
      </c>
    </row>
    <row r="205" spans="1:20" x14ac:dyDescent="0.25">
      <c r="A205" s="5">
        <v>44388</v>
      </c>
      <c r="B205">
        <v>8.89</v>
      </c>
      <c r="C205">
        <v>9.1809999999999992</v>
      </c>
      <c r="D205">
        <v>8.7309999999999999</v>
      </c>
      <c r="E205">
        <v>9.0500000000000007</v>
      </c>
      <c r="F205">
        <v>49350.728999999999</v>
      </c>
      <c r="G205">
        <v>0</v>
      </c>
      <c r="L205" t="s">
        <v>8</v>
      </c>
      <c r="M205" t="s">
        <v>7</v>
      </c>
      <c r="N205" t="s">
        <v>8</v>
      </c>
      <c r="P205">
        <f t="shared" si="960"/>
        <v>0.41777777777778374</v>
      </c>
      <c r="Q205">
        <f t="shared" si="961"/>
        <v>20617.637893333627</v>
      </c>
      <c r="R205">
        <f t="shared" si="962"/>
        <v>-2426483.5158498432</v>
      </c>
      <c r="S205">
        <f t="shared" si="963"/>
        <v>-24.264835158498432</v>
      </c>
      <c r="T205">
        <f t="shared" si="964"/>
        <v>-2.4264835158498432E-2</v>
      </c>
    </row>
    <row r="206" spans="1:20" x14ac:dyDescent="0.25">
      <c r="A206" s="5">
        <v>44387</v>
      </c>
      <c r="B206">
        <v>9.06</v>
      </c>
      <c r="C206">
        <v>9.25</v>
      </c>
      <c r="D206">
        <v>8.7270000000000003</v>
      </c>
      <c r="E206">
        <v>8.8930000000000007</v>
      </c>
      <c r="F206">
        <v>52203.22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-0.36520076481835384</v>
      </c>
      <c r="Q206">
        <f t="shared" si="961"/>
        <v>-19064.655869980787</v>
      </c>
      <c r="R206">
        <f t="shared" si="962"/>
        <v>-2447101.1537431767</v>
      </c>
      <c r="S206">
        <f t="shared" si="963"/>
        <v>-24.471011537431767</v>
      </c>
      <c r="T206">
        <f t="shared" si="964"/>
        <v>-2.4471011537431767E-2</v>
      </c>
    </row>
    <row r="207" spans="1:20" x14ac:dyDescent="0.25">
      <c r="A207" s="5">
        <v>44386</v>
      </c>
      <c r="B207">
        <v>8.9819999999999993</v>
      </c>
      <c r="C207">
        <v>9.0990000000000002</v>
      </c>
      <c r="D207">
        <v>8.6359999999999992</v>
      </c>
      <c r="E207">
        <v>9.06</v>
      </c>
      <c r="F207">
        <v>79068.474000000002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0.83153347732181593</v>
      </c>
      <c r="Q207">
        <f t="shared" si="961"/>
        <v>65748.08313174959</v>
      </c>
      <c r="R207">
        <f t="shared" si="962"/>
        <v>-2428036.4978731959</v>
      </c>
      <c r="S207">
        <f t="shared" si="963"/>
        <v>-24.28036497873196</v>
      </c>
      <c r="T207">
        <f t="shared" si="964"/>
        <v>-2.4280364978731959E-2</v>
      </c>
    </row>
    <row r="208" spans="1:20" x14ac:dyDescent="0.25">
      <c r="A208" s="5">
        <v>44385</v>
      </c>
      <c r="B208">
        <v>10.003</v>
      </c>
      <c r="C208">
        <v>10.042</v>
      </c>
      <c r="D208">
        <v>8.7919999999999998</v>
      </c>
      <c r="E208">
        <v>9.0009999999999994</v>
      </c>
      <c r="F208">
        <v>141428.761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-0.66560000000000064</v>
      </c>
      <c r="Q208">
        <f t="shared" si="961"/>
        <v>-94134.983321600084</v>
      </c>
      <c r="R208">
        <f t="shared" si="962"/>
        <v>-2493784.5810049456</v>
      </c>
      <c r="S208">
        <f t="shared" si="963"/>
        <v>-24.937845810049456</v>
      </c>
      <c r="T208">
        <f t="shared" si="964"/>
        <v>-2.4937845810049455E-2</v>
      </c>
    </row>
    <row r="209" spans="1:20" x14ac:dyDescent="0.25">
      <c r="A209" s="5">
        <v>44384</v>
      </c>
      <c r="B209">
        <v>10.154</v>
      </c>
      <c r="C209">
        <v>10.79</v>
      </c>
      <c r="D209">
        <v>9.9939999999999998</v>
      </c>
      <c r="E209">
        <v>10.003</v>
      </c>
      <c r="F209">
        <v>133701.451</v>
      </c>
      <c r="G209">
        <v>0</v>
      </c>
      <c r="L209" t="s">
        <v>7</v>
      </c>
      <c r="M209" t="s">
        <v>8</v>
      </c>
      <c r="N209" t="s">
        <v>8</v>
      </c>
      <c r="P209">
        <f t="shared" si="960"/>
        <v>-0.97738693467336601</v>
      </c>
      <c r="Q209">
        <f t="shared" si="961"/>
        <v>-130678.05135427124</v>
      </c>
      <c r="R209">
        <f t="shared" si="962"/>
        <v>-2399649.5976833454</v>
      </c>
      <c r="S209">
        <f t="shared" si="963"/>
        <v>-23.996495976833454</v>
      </c>
      <c r="T209">
        <f t="shared" si="964"/>
        <v>-2.3996495976833454E-2</v>
      </c>
    </row>
    <row r="210" spans="1:20" x14ac:dyDescent="0.25">
      <c r="A210" s="5">
        <v>44383</v>
      </c>
      <c r="B210">
        <v>9.298</v>
      </c>
      <c r="C210">
        <v>10.8</v>
      </c>
      <c r="D210">
        <v>9.2530000000000001</v>
      </c>
      <c r="E210">
        <v>10.154999999999999</v>
      </c>
      <c r="F210">
        <v>244725.576</v>
      </c>
      <c r="G210">
        <v>0</v>
      </c>
      <c r="L210" t="s">
        <v>8</v>
      </c>
      <c r="M210" t="s">
        <v>8</v>
      </c>
      <c r="N210" t="s">
        <v>8</v>
      </c>
      <c r="P210">
        <f t="shared" si="960"/>
        <v>0.1661279896574</v>
      </c>
      <c r="Q210">
        <f t="shared" si="961"/>
        <v>40655.767958629258</v>
      </c>
      <c r="R210">
        <f t="shared" si="962"/>
        <v>-2268971.5463290741</v>
      </c>
      <c r="S210">
        <f t="shared" si="963"/>
        <v>-22.689715463290742</v>
      </c>
      <c r="T210">
        <f t="shared" si="964"/>
        <v>-2.2689715463290742E-2</v>
      </c>
    </row>
    <row r="211" spans="1:20" x14ac:dyDescent="0.25">
      <c r="A211" s="5">
        <v>44382</v>
      </c>
      <c r="B211">
        <v>9.6289999999999996</v>
      </c>
      <c r="C211">
        <v>9.6289999999999996</v>
      </c>
      <c r="D211">
        <v>8.9920000000000009</v>
      </c>
      <c r="E211">
        <v>9.3049999999999997</v>
      </c>
      <c r="F211">
        <v>70307.546000000002</v>
      </c>
      <c r="G211">
        <v>0</v>
      </c>
      <c r="L211" t="s">
        <v>7</v>
      </c>
      <c r="M211" t="s">
        <v>8</v>
      </c>
      <c r="N211" t="s">
        <v>8</v>
      </c>
      <c r="P211">
        <f t="shared" si="960"/>
        <v>-1.726844583987603E-2</v>
      </c>
      <c r="Q211">
        <f t="shared" si="961"/>
        <v>-1214.1020502355927</v>
      </c>
      <c r="R211">
        <f t="shared" si="962"/>
        <v>-2309627.3142877035</v>
      </c>
      <c r="S211">
        <f t="shared" si="963"/>
        <v>-23.096273142877035</v>
      </c>
      <c r="T211">
        <f t="shared" si="964"/>
        <v>-2.3096273142877034E-2</v>
      </c>
    </row>
    <row r="212" spans="1:20" x14ac:dyDescent="0.25">
      <c r="A212" s="5">
        <v>44381</v>
      </c>
      <c r="B212">
        <v>9.3059999999999992</v>
      </c>
      <c r="C212">
        <v>10</v>
      </c>
      <c r="D212">
        <v>9.2059999999999995</v>
      </c>
      <c r="E212">
        <v>9.6280000000000001</v>
      </c>
      <c r="F212">
        <v>97830.641000000003</v>
      </c>
      <c r="G212">
        <v>0</v>
      </c>
      <c r="L212" t="s">
        <v>8</v>
      </c>
      <c r="M212" t="s">
        <v>8</v>
      </c>
      <c r="N212" t="s">
        <v>8</v>
      </c>
      <c r="P212">
        <f t="shared" si="960"/>
        <v>6.297229219143663E-2</v>
      </c>
      <c r="Q212">
        <f t="shared" si="961"/>
        <v>6160.6197103275408</v>
      </c>
      <c r="R212">
        <f t="shared" si="962"/>
        <v>-2308413.212237468</v>
      </c>
      <c r="S212">
        <f t="shared" si="963"/>
        <v>-23.08413212237468</v>
      </c>
      <c r="T212">
        <f t="shared" si="964"/>
        <v>-2.308413212237468E-2</v>
      </c>
    </row>
    <row r="213" spans="1:20" x14ac:dyDescent="0.25">
      <c r="A213" s="5">
        <v>44380</v>
      </c>
      <c r="B213">
        <v>8.9510000000000005</v>
      </c>
      <c r="C213">
        <v>9.4979999999999993</v>
      </c>
      <c r="D213">
        <v>8.8789999999999996</v>
      </c>
      <c r="E213">
        <v>9.327</v>
      </c>
      <c r="F213">
        <v>93121.925000000003</v>
      </c>
      <c r="G213">
        <v>0</v>
      </c>
      <c r="L213" t="s">
        <v>8</v>
      </c>
      <c r="M213" t="s">
        <v>7</v>
      </c>
      <c r="N213" t="s">
        <v>8</v>
      </c>
      <c r="P213">
        <f t="shared" si="960"/>
        <v>0.44749596122778856</v>
      </c>
      <c r="Q213">
        <f t="shared" si="961"/>
        <v>41671.685339257034</v>
      </c>
      <c r="R213">
        <f t="shared" si="962"/>
        <v>-2314573.8319477956</v>
      </c>
      <c r="S213">
        <f t="shared" si="963"/>
        <v>-23.145738319477957</v>
      </c>
      <c r="T213">
        <f t="shared" si="964"/>
        <v>-2.3145738319477957E-2</v>
      </c>
    </row>
    <row r="214" spans="1:20" x14ac:dyDescent="0.25">
      <c r="A214" s="5">
        <v>44379</v>
      </c>
      <c r="B214">
        <v>8.923</v>
      </c>
      <c r="C214">
        <v>9.1959999999999997</v>
      </c>
      <c r="D214">
        <v>8.5440000000000005</v>
      </c>
      <c r="E214">
        <v>8.9760000000000009</v>
      </c>
      <c r="F214">
        <v>121720.91</v>
      </c>
      <c r="G214">
        <v>0</v>
      </c>
      <c r="L214" t="s">
        <v>7</v>
      </c>
      <c r="M214" t="s">
        <v>7</v>
      </c>
      <c r="N214" t="s">
        <v>8</v>
      </c>
      <c r="P214">
        <f t="shared" si="960"/>
        <v>0.32515337423313156</v>
      </c>
      <c r="Q214">
        <f t="shared" si="961"/>
        <v>39577.96460122733</v>
      </c>
      <c r="R214">
        <f t="shared" si="962"/>
        <v>-2356245.5172870527</v>
      </c>
      <c r="S214">
        <f t="shared" si="963"/>
        <v>-23.562455172870528</v>
      </c>
      <c r="T214">
        <f t="shared" si="964"/>
        <v>-2.356245517287053E-2</v>
      </c>
    </row>
    <row r="215" spans="1:20" x14ac:dyDescent="0.25">
      <c r="A215" s="5">
        <v>44378</v>
      </c>
      <c r="B215">
        <v>9.3710000000000004</v>
      </c>
      <c r="C215">
        <v>9.4160000000000004</v>
      </c>
      <c r="D215">
        <v>8.7059999999999995</v>
      </c>
      <c r="E215">
        <v>8.8970000000000002</v>
      </c>
      <c r="F215">
        <v>96139.557000000001</v>
      </c>
      <c r="G215">
        <v>0</v>
      </c>
      <c r="L215" t="s">
        <v>8</v>
      </c>
      <c r="M215" t="s">
        <v>7</v>
      </c>
      <c r="N215" t="s">
        <v>8</v>
      </c>
      <c r="P215">
        <f t="shared" si="960"/>
        <v>-0.4619718309859141</v>
      </c>
      <c r="Q215">
        <f t="shared" si="961"/>
        <v>-44413.767177464659</v>
      </c>
      <c r="R215">
        <f t="shared" si="962"/>
        <v>-2395823.4818882803</v>
      </c>
      <c r="S215">
        <f t="shared" si="963"/>
        <v>-23.958234818882804</v>
      </c>
      <c r="T215">
        <f t="shared" si="964"/>
        <v>-2.3958234818882804E-2</v>
      </c>
    </row>
    <row r="216" spans="1:20" x14ac:dyDescent="0.25">
      <c r="A216" s="5">
        <v>44377</v>
      </c>
      <c r="B216">
        <v>9.4920000000000009</v>
      </c>
      <c r="C216">
        <v>9.6359999999999992</v>
      </c>
      <c r="D216">
        <v>8.7870000000000008</v>
      </c>
      <c r="E216">
        <v>9.4019999999999992</v>
      </c>
      <c r="F216">
        <v>226786.51500000001</v>
      </c>
      <c r="G216">
        <v>0</v>
      </c>
      <c r="L216" t="s">
        <v>7</v>
      </c>
      <c r="M216" t="s">
        <v>7</v>
      </c>
      <c r="N216" t="s">
        <v>8</v>
      </c>
      <c r="P216">
        <f t="shared" si="960"/>
        <v>0.44876325088339125</v>
      </c>
      <c r="Q216">
        <f t="shared" si="961"/>
        <v>101773.45372791498</v>
      </c>
      <c r="R216">
        <f t="shared" si="962"/>
        <v>-2351409.7147108158</v>
      </c>
      <c r="S216">
        <f t="shared" si="963"/>
        <v>-23.514097147108156</v>
      </c>
      <c r="T216">
        <f t="shared" si="964"/>
        <v>-2.3514097147108157E-2</v>
      </c>
    </row>
    <row r="217" spans="1:20" x14ac:dyDescent="0.25">
      <c r="A217" s="5">
        <v>44376</v>
      </c>
      <c r="B217">
        <v>8.4049999999999994</v>
      </c>
      <c r="C217">
        <v>11.2</v>
      </c>
      <c r="D217">
        <v>8.3789999999999996</v>
      </c>
      <c r="E217">
        <v>9.4410000000000007</v>
      </c>
      <c r="F217">
        <v>766205.13699999999</v>
      </c>
      <c r="G217">
        <v>0</v>
      </c>
      <c r="L217" t="s">
        <v>8</v>
      </c>
      <c r="M217" t="s">
        <v>8</v>
      </c>
      <c r="N217" t="s">
        <v>8</v>
      </c>
      <c r="P217">
        <f t="shared" si="960"/>
        <v>-0.24707550514002036</v>
      </c>
      <c r="Q217">
        <f t="shared" si="961"/>
        <v>-189310.52126515351</v>
      </c>
      <c r="R217">
        <f t="shared" si="962"/>
        <v>-2453183.1684387308</v>
      </c>
      <c r="S217">
        <f t="shared" si="963"/>
        <v>-24.531831684387306</v>
      </c>
      <c r="T217">
        <f t="shared" si="964"/>
        <v>-2.4531831684387308E-2</v>
      </c>
    </row>
    <row r="218" spans="1:20" x14ac:dyDescent="0.25">
      <c r="A218" s="5">
        <v>44375</v>
      </c>
      <c r="B218">
        <v>8.1379999999999999</v>
      </c>
      <c r="C218">
        <v>8.4719999999999995</v>
      </c>
      <c r="D218">
        <v>7.8789999999999996</v>
      </c>
      <c r="E218">
        <v>8.3800000000000008</v>
      </c>
      <c r="F218">
        <v>154726.64000000001</v>
      </c>
      <c r="G218">
        <v>0</v>
      </c>
      <c r="L218" t="s">
        <v>8</v>
      </c>
      <c r="M218" t="s">
        <v>8</v>
      </c>
      <c r="N218" t="s">
        <v>7</v>
      </c>
      <c r="P218">
        <f t="shared" si="960"/>
        <v>0.68971332209106662</v>
      </c>
      <c r="Q218">
        <f t="shared" si="961"/>
        <v>106717.02489038852</v>
      </c>
      <c r="R218">
        <f t="shared" si="962"/>
        <v>-2263872.6471735775</v>
      </c>
      <c r="S218">
        <f t="shared" si="963"/>
        <v>-22.638726471735776</v>
      </c>
      <c r="T218">
        <f t="shared" si="964"/>
        <v>-2.2638726471735777E-2</v>
      </c>
    </row>
    <row r="219" spans="1:20" x14ac:dyDescent="0.25">
      <c r="A219" s="5">
        <v>44374</v>
      </c>
      <c r="B219">
        <v>7.7</v>
      </c>
      <c r="C219">
        <v>8.1739999999999995</v>
      </c>
      <c r="D219">
        <v>7.44</v>
      </c>
      <c r="E219">
        <v>8.1349999999999998</v>
      </c>
      <c r="F219">
        <v>199889.99400000001</v>
      </c>
      <c r="G219">
        <v>0</v>
      </c>
      <c r="L219" t="s">
        <v>8</v>
      </c>
      <c r="M219" t="s">
        <v>8</v>
      </c>
      <c r="N219" t="s">
        <v>7</v>
      </c>
      <c r="P219">
        <f t="shared" si="960"/>
        <v>0.89373297002724861</v>
      </c>
      <c r="Q219">
        <f t="shared" si="961"/>
        <v>178648.27801634892</v>
      </c>
      <c r="R219">
        <f t="shared" si="962"/>
        <v>-2370589.6720639658</v>
      </c>
      <c r="S219">
        <f t="shared" si="963"/>
        <v>-23.705896720639657</v>
      </c>
      <c r="T219">
        <f t="shared" si="964"/>
        <v>-2.3705896720639656E-2</v>
      </c>
    </row>
    <row r="220" spans="1:20" x14ac:dyDescent="0.25">
      <c r="A220" s="5">
        <v>44373</v>
      </c>
      <c r="B220">
        <v>7.7430000000000003</v>
      </c>
      <c r="C220">
        <v>7.9240000000000004</v>
      </c>
      <c r="D220">
        <v>7.024</v>
      </c>
      <c r="E220">
        <v>7.7069999999999999</v>
      </c>
      <c r="F220">
        <v>185660.10500000001</v>
      </c>
      <c r="G220">
        <v>0</v>
      </c>
      <c r="L220" t="s">
        <v>7</v>
      </c>
      <c r="M220" t="s">
        <v>7</v>
      </c>
      <c r="N220" t="s">
        <v>7</v>
      </c>
      <c r="P220">
        <f t="shared" si="960"/>
        <v>0.51777777777777678</v>
      </c>
      <c r="Q220">
        <f t="shared" si="961"/>
        <v>96130.676588888717</v>
      </c>
      <c r="R220">
        <f t="shared" si="962"/>
        <v>-2549237.9500803147</v>
      </c>
      <c r="S220">
        <f t="shared" si="963"/>
        <v>-25.492379500803146</v>
      </c>
      <c r="T220">
        <f t="shared" si="964"/>
        <v>-2.5492379500803145E-2</v>
      </c>
    </row>
    <row r="221" spans="1:20" x14ac:dyDescent="0.25">
      <c r="A221" s="5">
        <v>44372</v>
      </c>
      <c r="B221">
        <v>9.64</v>
      </c>
      <c r="C221">
        <v>9.64</v>
      </c>
      <c r="D221">
        <v>7.6189999999999998</v>
      </c>
      <c r="E221">
        <v>7.7430000000000003</v>
      </c>
      <c r="F221">
        <v>280651.65700000001</v>
      </c>
      <c r="G221">
        <v>0</v>
      </c>
      <c r="L221" t="s">
        <v>7</v>
      </c>
      <c r="M221" t="s">
        <v>7</v>
      </c>
      <c r="N221" t="s">
        <v>7</v>
      </c>
      <c r="P221">
        <f t="shared" si="960"/>
        <v>-0.87728847105393315</v>
      </c>
      <c r="Q221">
        <f t="shared" si="961"/>
        <v>-246212.46306828287</v>
      </c>
      <c r="R221">
        <f t="shared" si="962"/>
        <v>-2645368.6266692034</v>
      </c>
      <c r="S221">
        <f t="shared" si="963"/>
        <v>-26.453686266692035</v>
      </c>
      <c r="T221">
        <f t="shared" si="964"/>
        <v>-2.6453686266692034E-2</v>
      </c>
    </row>
    <row r="222" spans="1:20" x14ac:dyDescent="0.25">
      <c r="A222" s="5">
        <v>44371</v>
      </c>
      <c r="B222">
        <v>8.5280000000000005</v>
      </c>
      <c r="C222">
        <v>9.7469999999999999</v>
      </c>
      <c r="D222">
        <v>8</v>
      </c>
      <c r="E222">
        <v>9.64</v>
      </c>
      <c r="F222">
        <v>376135.59899999999</v>
      </c>
      <c r="G222">
        <v>0</v>
      </c>
      <c r="L222" t="s">
        <v>8</v>
      </c>
      <c r="M222" t="s">
        <v>8</v>
      </c>
      <c r="N222" t="s">
        <v>7</v>
      </c>
      <c r="P222">
        <f t="shared" si="960"/>
        <v>0.87750429307384159</v>
      </c>
      <c r="Q222">
        <f t="shared" si="961"/>
        <v>330060.60290040093</v>
      </c>
      <c r="R222">
        <f t="shared" si="962"/>
        <v>-2399156.1636009207</v>
      </c>
      <c r="S222">
        <f t="shared" si="963"/>
        <v>-23.991561636009209</v>
      </c>
      <c r="T222">
        <f t="shared" si="964"/>
        <v>-2.3991561636009209E-2</v>
      </c>
    </row>
    <row r="223" spans="1:20" x14ac:dyDescent="0.25">
      <c r="A223" s="5">
        <v>44370</v>
      </c>
      <c r="B223">
        <v>7.9489999999999998</v>
      </c>
      <c r="C223">
        <v>8.8879999999999999</v>
      </c>
      <c r="D223">
        <v>7.6849999999999996</v>
      </c>
      <c r="E223">
        <v>8.5310000000000006</v>
      </c>
      <c r="F223">
        <v>364898.66200000001</v>
      </c>
      <c r="G223">
        <v>0</v>
      </c>
      <c r="L223" t="s">
        <v>8</v>
      </c>
      <c r="M223" t="s">
        <v>7</v>
      </c>
      <c r="N223" t="s">
        <v>7</v>
      </c>
      <c r="P223">
        <f t="shared" si="960"/>
        <v>0.40648379052369205</v>
      </c>
      <c r="Q223">
        <f t="shared" si="961"/>
        <v>148325.3912867835</v>
      </c>
      <c r="R223">
        <f t="shared" si="962"/>
        <v>-2729216.7665013215</v>
      </c>
      <c r="S223">
        <f t="shared" si="963"/>
        <v>-27.292167665013213</v>
      </c>
      <c r="T223">
        <f t="shared" si="964"/>
        <v>-2.7292167665013214E-2</v>
      </c>
    </row>
    <row r="224" spans="1:20" x14ac:dyDescent="0.25">
      <c r="A224" s="5">
        <v>44369</v>
      </c>
      <c r="B224">
        <v>9.1989999999999998</v>
      </c>
      <c r="C224">
        <v>9.9109999999999996</v>
      </c>
      <c r="D224">
        <v>7.6349999999999998</v>
      </c>
      <c r="E224">
        <v>7.9489999999999998</v>
      </c>
      <c r="F224">
        <v>289013.36099999998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-0.72407732864674856</v>
      </c>
      <c r="Q224">
        <f t="shared" si="961"/>
        <v>-209268.02237609838</v>
      </c>
      <c r="R224">
        <f t="shared" si="962"/>
        <v>-2877542.1577881048</v>
      </c>
      <c r="S224">
        <f t="shared" si="963"/>
        <v>-28.775421577881048</v>
      </c>
      <c r="T224">
        <f t="shared" si="964"/>
        <v>-2.8775421577881048E-2</v>
      </c>
    </row>
    <row r="225" spans="1:20" x14ac:dyDescent="0.25">
      <c r="A225" s="5">
        <v>44368</v>
      </c>
      <c r="B225">
        <v>12.147</v>
      </c>
      <c r="C225">
        <v>12.167999999999999</v>
      </c>
      <c r="D225">
        <v>9.1489999999999991</v>
      </c>
      <c r="E225">
        <v>9.1489999999999991</v>
      </c>
      <c r="F225">
        <v>254135.21299999999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-1</v>
      </c>
      <c r="Q225">
        <f t="shared" si="961"/>
        <v>-254135.21299999999</v>
      </c>
      <c r="R225">
        <f t="shared" si="962"/>
        <v>-2668274.1354120066</v>
      </c>
      <c r="S225">
        <f t="shared" si="963"/>
        <v>-26.682741354120065</v>
      </c>
      <c r="T225">
        <f t="shared" si="964"/>
        <v>-2.6682741354120066E-2</v>
      </c>
    </row>
    <row r="226" spans="1:20" x14ac:dyDescent="0.25">
      <c r="A226" s="5">
        <v>44367</v>
      </c>
      <c r="B226">
        <v>12.295</v>
      </c>
      <c r="C226">
        <v>12.629</v>
      </c>
      <c r="D226">
        <v>11.3</v>
      </c>
      <c r="E226">
        <v>12.135999999999999</v>
      </c>
      <c r="F226">
        <v>220548.62700000001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0.25808878856282808</v>
      </c>
      <c r="Q226">
        <f t="shared" si="961"/>
        <v>56921.127961625039</v>
      </c>
      <c r="R226">
        <f t="shared" si="962"/>
        <v>-2414138.9224120067</v>
      </c>
      <c r="S226">
        <f t="shared" si="963"/>
        <v>-24.141389224120065</v>
      </c>
      <c r="T226">
        <f t="shared" si="964"/>
        <v>-2.4141389224120065E-2</v>
      </c>
    </row>
    <row r="227" spans="1:20" x14ac:dyDescent="0.25">
      <c r="A227" s="5">
        <v>44366</v>
      </c>
      <c r="B227">
        <v>11.739000000000001</v>
      </c>
      <c r="C227">
        <v>14</v>
      </c>
      <c r="D227">
        <v>11.249000000000001</v>
      </c>
      <c r="E227">
        <v>12.256</v>
      </c>
      <c r="F227">
        <v>357518.01799999998</v>
      </c>
      <c r="G227">
        <v>0</v>
      </c>
      <c r="L227" t="s">
        <v>8</v>
      </c>
      <c r="M227" t="s">
        <v>8</v>
      </c>
      <c r="N227" t="s">
        <v>7</v>
      </c>
      <c r="P227">
        <f t="shared" si="960"/>
        <v>-0.26790258087968022</v>
      </c>
      <c r="Q227">
        <f t="shared" si="961"/>
        <v>-95779.999733187957</v>
      </c>
      <c r="R227">
        <f t="shared" si="962"/>
        <v>-2471060.0503736315</v>
      </c>
      <c r="S227">
        <f t="shared" si="963"/>
        <v>-24.710600503736316</v>
      </c>
      <c r="T227">
        <f t="shared" si="964"/>
        <v>-2.4710600503736316E-2</v>
      </c>
    </row>
    <row r="228" spans="1:20" x14ac:dyDescent="0.25">
      <c r="A228" s="5">
        <v>44365</v>
      </c>
      <c r="B228">
        <v>12.935</v>
      </c>
      <c r="C228">
        <v>12.962</v>
      </c>
      <c r="D228">
        <v>11.362</v>
      </c>
      <c r="E228">
        <v>11.739000000000001</v>
      </c>
      <c r="F228">
        <v>94444.865000000005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-0.52874999999999905</v>
      </c>
      <c r="Q228">
        <f t="shared" si="961"/>
        <v>-49937.722368749914</v>
      </c>
      <c r="R228">
        <f t="shared" si="962"/>
        <v>-2375280.0506404433</v>
      </c>
      <c r="S228">
        <f t="shared" si="963"/>
        <v>-23.752800506404434</v>
      </c>
      <c r="T228">
        <f t="shared" si="964"/>
        <v>-2.3752800506404433E-2</v>
      </c>
    </row>
    <row r="229" spans="1:20" x14ac:dyDescent="0.25">
      <c r="A229" s="5">
        <v>44364</v>
      </c>
      <c r="B229">
        <v>12.885</v>
      </c>
      <c r="C229">
        <v>13.574999999999999</v>
      </c>
      <c r="D229">
        <v>12.532</v>
      </c>
      <c r="E229">
        <v>12.903</v>
      </c>
      <c r="F229">
        <v>86571.273000000001</v>
      </c>
      <c r="G229">
        <v>0</v>
      </c>
      <c r="L229" t="s">
        <v>7</v>
      </c>
      <c r="M229" t="s">
        <v>7</v>
      </c>
      <c r="N229" t="s">
        <v>7</v>
      </c>
      <c r="P229">
        <f t="shared" si="960"/>
        <v>-0.28859060402684428</v>
      </c>
      <c r="Q229">
        <f t="shared" si="961"/>
        <v>-24983.655966442835</v>
      </c>
      <c r="R229">
        <f t="shared" si="962"/>
        <v>-2325342.3282716936</v>
      </c>
      <c r="S229">
        <f t="shared" si="963"/>
        <v>-23.253423282716934</v>
      </c>
      <c r="T229">
        <f t="shared" si="964"/>
        <v>-2.3253423282716935E-2</v>
      </c>
    </row>
    <row r="230" spans="1:20" x14ac:dyDescent="0.25">
      <c r="A230" s="5">
        <v>44363</v>
      </c>
      <c r="B230">
        <v>13.551</v>
      </c>
      <c r="C230">
        <v>13.993</v>
      </c>
      <c r="D230">
        <v>12.717000000000001</v>
      </c>
      <c r="E230">
        <v>12.885</v>
      </c>
      <c r="F230">
        <v>83514.532000000007</v>
      </c>
      <c r="G230">
        <v>0</v>
      </c>
      <c r="L230" t="s">
        <v>7</v>
      </c>
      <c r="M230" t="s">
        <v>8</v>
      </c>
      <c r="N230" t="s">
        <v>7</v>
      </c>
      <c r="P230">
        <f t="shared" si="960"/>
        <v>-0.73667711598746188</v>
      </c>
      <c r="Q230">
        <f t="shared" si="961"/>
        <v>-61523.244576802601</v>
      </c>
      <c r="R230">
        <f t="shared" si="962"/>
        <v>-2300358.6723052505</v>
      </c>
      <c r="S230">
        <f t="shared" si="963"/>
        <v>-23.003586723052507</v>
      </c>
      <c r="T230">
        <f t="shared" si="964"/>
        <v>-2.3003586723052506E-2</v>
      </c>
    </row>
    <row r="231" spans="1:20" x14ac:dyDescent="0.25">
      <c r="A231" s="5">
        <v>44362</v>
      </c>
      <c r="B231">
        <v>13.929</v>
      </c>
      <c r="C231">
        <v>14.7</v>
      </c>
      <c r="D231">
        <v>13.319000000000001</v>
      </c>
      <c r="E231">
        <v>13.627000000000001</v>
      </c>
      <c r="F231">
        <v>173795.55799999999</v>
      </c>
      <c r="G231">
        <v>0</v>
      </c>
      <c r="L231" t="s">
        <v>8</v>
      </c>
      <c r="M231" t="s">
        <v>8</v>
      </c>
      <c r="N231" t="s">
        <v>7</v>
      </c>
      <c r="P231">
        <f t="shared" si="960"/>
        <v>-0.55394641564083968</v>
      </c>
      <c r="Q231">
        <f t="shared" si="961"/>
        <v>-96273.426408399653</v>
      </c>
      <c r="R231">
        <f t="shared" si="962"/>
        <v>-2238835.4277284481</v>
      </c>
      <c r="S231">
        <f t="shared" si="963"/>
        <v>-22.388354277284481</v>
      </c>
      <c r="T231">
        <f t="shared" si="964"/>
        <v>-2.2388354277284483E-2</v>
      </c>
    </row>
    <row r="232" spans="1:20" x14ac:dyDescent="0.25">
      <c r="A232" s="5">
        <v>44361</v>
      </c>
      <c r="B232">
        <v>13.157</v>
      </c>
      <c r="C232">
        <v>14.287000000000001</v>
      </c>
      <c r="D232">
        <v>12.865</v>
      </c>
      <c r="E232">
        <v>13.928000000000001</v>
      </c>
      <c r="F232">
        <v>103503.91499999999</v>
      </c>
      <c r="G232">
        <v>0</v>
      </c>
      <c r="L232" t="s">
        <v>8</v>
      </c>
      <c r="M232" t="s">
        <v>8</v>
      </c>
      <c r="N232" t="s">
        <v>7</v>
      </c>
      <c r="P232">
        <f t="shared" si="960"/>
        <v>0.49507735583684975</v>
      </c>
      <c r="Q232">
        <f t="shared" si="961"/>
        <v>51242.444556962051</v>
      </c>
      <c r="R232">
        <f t="shared" si="962"/>
        <v>-2142562.0013200482</v>
      </c>
      <c r="S232">
        <f t="shared" si="963"/>
        <v>-21.425620013200483</v>
      </c>
      <c r="T232">
        <f t="shared" si="964"/>
        <v>-2.1425620013200482E-2</v>
      </c>
    </row>
    <row r="233" spans="1:20" x14ac:dyDescent="0.25">
      <c r="A233" s="5">
        <v>44360</v>
      </c>
      <c r="B233">
        <v>12.297000000000001</v>
      </c>
      <c r="C233">
        <v>13.472</v>
      </c>
      <c r="D233">
        <v>11.74</v>
      </c>
      <c r="E233">
        <v>13.101000000000001</v>
      </c>
      <c r="F233">
        <v>81857.740000000005</v>
      </c>
      <c r="G233">
        <v>0</v>
      </c>
      <c r="L233" t="s">
        <v>8</v>
      </c>
      <c r="M233" t="s">
        <v>7</v>
      </c>
      <c r="N233" t="s">
        <v>7</v>
      </c>
      <c r="P233">
        <f t="shared" si="960"/>
        <v>0.57159353348729924</v>
      </c>
      <c r="Q233">
        <f t="shared" si="961"/>
        <v>46789.354849884636</v>
      </c>
      <c r="R233">
        <f t="shared" si="962"/>
        <v>-2193804.4458770105</v>
      </c>
      <c r="S233">
        <f t="shared" si="963"/>
        <v>-21.938044458770104</v>
      </c>
      <c r="T233">
        <f t="shared" si="964"/>
        <v>-2.1938044458770106E-2</v>
      </c>
    </row>
    <row r="234" spans="1:20" x14ac:dyDescent="0.25">
      <c r="A234" s="5">
        <v>44359</v>
      </c>
      <c r="B234">
        <v>12.786</v>
      </c>
      <c r="C234">
        <v>12.903</v>
      </c>
      <c r="D234">
        <v>11.701000000000001</v>
      </c>
      <c r="E234">
        <v>12.233000000000001</v>
      </c>
      <c r="F234">
        <v>96888.585000000006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-0.11480865224625617</v>
      </c>
      <c r="Q234">
        <f t="shared" si="961"/>
        <v>-11123.647861896832</v>
      </c>
      <c r="R234">
        <f t="shared" si="962"/>
        <v>-2240593.8007268952</v>
      </c>
      <c r="S234">
        <f t="shared" si="963"/>
        <v>-22.405938007268951</v>
      </c>
      <c r="T234">
        <f t="shared" si="964"/>
        <v>-2.240593800726895E-2</v>
      </c>
    </row>
    <row r="235" spans="1:20" x14ac:dyDescent="0.25">
      <c r="A235" s="5">
        <v>44358</v>
      </c>
      <c r="B235">
        <v>13.538</v>
      </c>
      <c r="C235">
        <v>14.420999999999999</v>
      </c>
      <c r="D235">
        <v>12.516999999999999</v>
      </c>
      <c r="E235">
        <v>12.82</v>
      </c>
      <c r="F235">
        <v>221272.288</v>
      </c>
      <c r="G235">
        <v>0</v>
      </c>
      <c r="L235" t="s">
        <v>7</v>
      </c>
      <c r="M235" t="s">
        <v>7</v>
      </c>
      <c r="N235" t="s">
        <v>8</v>
      </c>
      <c r="P235">
        <f t="shared" si="960"/>
        <v>-0.68172268907562938</v>
      </c>
      <c r="Q235">
        <f t="shared" si="961"/>
        <v>-150846.33919327712</v>
      </c>
      <c r="R235">
        <f t="shared" si="962"/>
        <v>-2229470.1528649982</v>
      </c>
      <c r="S235">
        <f t="shared" si="963"/>
        <v>-22.294701528649981</v>
      </c>
      <c r="T235">
        <f t="shared" si="964"/>
        <v>-2.2294701528649982E-2</v>
      </c>
    </row>
    <row r="236" spans="1:20" x14ac:dyDescent="0.25">
      <c r="A236" s="5">
        <v>44357</v>
      </c>
      <c r="B236">
        <v>14.78</v>
      </c>
      <c r="C236">
        <v>15.2</v>
      </c>
      <c r="D236">
        <v>13.05</v>
      </c>
      <c r="E236">
        <v>13.617000000000001</v>
      </c>
      <c r="F236">
        <v>238025.01300000001</v>
      </c>
      <c r="G236">
        <v>0</v>
      </c>
      <c r="L236" t="s">
        <v>7</v>
      </c>
      <c r="M236" t="s">
        <v>7</v>
      </c>
      <c r="N236" t="s">
        <v>8</v>
      </c>
      <c r="P236">
        <f t="shared" si="960"/>
        <v>-0.47255813953488324</v>
      </c>
      <c r="Q236">
        <f t="shared" si="961"/>
        <v>-112480.6573060464</v>
      </c>
      <c r="R236">
        <f t="shared" si="962"/>
        <v>-2078623.8136717209</v>
      </c>
      <c r="S236">
        <f t="shared" si="963"/>
        <v>-20.786238136717209</v>
      </c>
      <c r="T236">
        <f t="shared" si="964"/>
        <v>-2.0786238136717209E-2</v>
      </c>
    </row>
    <row r="237" spans="1:20" x14ac:dyDescent="0.25">
      <c r="A237" s="5">
        <v>44356</v>
      </c>
      <c r="B237">
        <v>12.971</v>
      </c>
      <c r="C237">
        <v>16.015000000000001</v>
      </c>
      <c r="D237">
        <v>12.18</v>
      </c>
      <c r="E237">
        <v>14.839</v>
      </c>
      <c r="F237">
        <v>458274.467</v>
      </c>
      <c r="G237">
        <v>0</v>
      </c>
      <c r="L237" t="s">
        <v>8</v>
      </c>
      <c r="M237" t="s">
        <v>8</v>
      </c>
      <c r="N237" t="s">
        <v>8</v>
      </c>
      <c r="P237">
        <f t="shared" si="960"/>
        <v>0.38670143415906133</v>
      </c>
      <c r="Q237">
        <f t="shared" si="961"/>
        <v>177215.39362737944</v>
      </c>
      <c r="R237">
        <f t="shared" si="962"/>
        <v>-1966143.1563656745</v>
      </c>
      <c r="S237">
        <f t="shared" si="963"/>
        <v>-19.661431563656745</v>
      </c>
      <c r="T237">
        <f t="shared" si="964"/>
        <v>-1.9661431563656746E-2</v>
      </c>
    </row>
    <row r="238" spans="1:20" x14ac:dyDescent="0.25">
      <c r="A238" s="5">
        <v>44355</v>
      </c>
      <c r="B238">
        <v>13.667999999999999</v>
      </c>
      <c r="C238">
        <v>14.007999999999999</v>
      </c>
      <c r="D238">
        <v>11.641999999999999</v>
      </c>
      <c r="E238">
        <v>13</v>
      </c>
      <c r="F238">
        <v>218435.573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0.14792899408284085</v>
      </c>
      <c r="Q238">
        <f t="shared" si="961"/>
        <v>32312.954585798951</v>
      </c>
      <c r="R238">
        <f t="shared" si="962"/>
        <v>-2143358.549993054</v>
      </c>
      <c r="S238">
        <f t="shared" si="963"/>
        <v>-21.43358549993054</v>
      </c>
      <c r="T238">
        <f t="shared" si="964"/>
        <v>-2.1433585499930539E-2</v>
      </c>
    </row>
    <row r="239" spans="1:20" x14ac:dyDescent="0.25">
      <c r="A239" s="5">
        <v>44354</v>
      </c>
      <c r="B239">
        <v>15.209</v>
      </c>
      <c r="C239">
        <v>16.248000000000001</v>
      </c>
      <c r="D239">
        <v>13.45</v>
      </c>
      <c r="E239">
        <v>13.583</v>
      </c>
      <c r="F239">
        <v>260318.30300000001</v>
      </c>
      <c r="G239">
        <v>0</v>
      </c>
      <c r="L239" t="s">
        <v>7</v>
      </c>
      <c r="M239" t="s">
        <v>7</v>
      </c>
      <c r="N239" t="s">
        <v>7</v>
      </c>
      <c r="P239">
        <f t="shared" si="960"/>
        <v>-0.90493209435310884</v>
      </c>
      <c r="Q239">
        <f t="shared" si="961"/>
        <v>-235570.3871322372</v>
      </c>
      <c r="R239">
        <f t="shared" si="962"/>
        <v>-2175671.504578853</v>
      </c>
      <c r="S239">
        <f t="shared" si="963"/>
        <v>-21.756715045788532</v>
      </c>
      <c r="T239">
        <f t="shared" si="964"/>
        <v>-2.1756715045788532E-2</v>
      </c>
    </row>
    <row r="240" spans="1:20" x14ac:dyDescent="0.25">
      <c r="A240" s="5">
        <v>44353</v>
      </c>
      <c r="B240">
        <v>15.32</v>
      </c>
      <c r="C240">
        <v>16.253</v>
      </c>
      <c r="D240">
        <v>14.936</v>
      </c>
      <c r="E240">
        <v>15.209</v>
      </c>
      <c r="F240">
        <v>204259.41699999999</v>
      </c>
      <c r="G240">
        <v>0</v>
      </c>
      <c r="L240" t="s">
        <v>7</v>
      </c>
      <c r="M240" t="s">
        <v>7</v>
      </c>
      <c r="N240" t="s">
        <v>8</v>
      </c>
      <c r="P240">
        <f t="shared" si="960"/>
        <v>-0.5854214123006839</v>
      </c>
      <c r="Q240">
        <f t="shared" si="961"/>
        <v>-119577.83637585431</v>
      </c>
      <c r="R240">
        <f t="shared" si="962"/>
        <v>-1940101.1174466156</v>
      </c>
      <c r="S240">
        <f t="shared" si="963"/>
        <v>-19.401011174466156</v>
      </c>
      <c r="T240">
        <f t="shared" si="964"/>
        <v>-1.9401011174466156E-2</v>
      </c>
    </row>
    <row r="241" spans="1:20" x14ac:dyDescent="0.25">
      <c r="A241" s="5">
        <v>44352</v>
      </c>
      <c r="B241">
        <v>15.952999999999999</v>
      </c>
      <c r="C241">
        <v>17.204000000000001</v>
      </c>
      <c r="D241">
        <v>14.84</v>
      </c>
      <c r="E241">
        <v>15.32</v>
      </c>
      <c r="F241">
        <v>289077.97399999999</v>
      </c>
      <c r="G241">
        <v>0</v>
      </c>
      <c r="L241" t="s">
        <v>8</v>
      </c>
      <c r="M241" t="s">
        <v>7</v>
      </c>
      <c r="N241" t="s">
        <v>8</v>
      </c>
      <c r="P241">
        <f t="shared" si="960"/>
        <v>-0.59390862944162415</v>
      </c>
      <c r="Q241">
        <f t="shared" si="961"/>
        <v>-171685.90334010145</v>
      </c>
      <c r="R241">
        <f t="shared" si="962"/>
        <v>-1820523.2810707614</v>
      </c>
      <c r="S241">
        <f t="shared" si="963"/>
        <v>-18.205232810707614</v>
      </c>
      <c r="T241">
        <f t="shared" si="964"/>
        <v>-1.8205232810707614E-2</v>
      </c>
    </row>
    <row r="242" spans="1:20" x14ac:dyDescent="0.25">
      <c r="A242" s="5">
        <v>44351</v>
      </c>
      <c r="B242">
        <v>17.895</v>
      </c>
      <c r="C242">
        <v>18.015999999999998</v>
      </c>
      <c r="D242">
        <v>14.715999999999999</v>
      </c>
      <c r="E242">
        <v>15.897</v>
      </c>
      <c r="F242">
        <v>367596.03</v>
      </c>
      <c r="G242">
        <v>0</v>
      </c>
      <c r="L242" t="s">
        <v>7</v>
      </c>
      <c r="M242" t="s">
        <v>7</v>
      </c>
      <c r="N242" t="s">
        <v>8</v>
      </c>
      <c r="P242">
        <f t="shared" si="960"/>
        <v>-0.28424242424242346</v>
      </c>
      <c r="Q242">
        <f t="shared" si="961"/>
        <v>-104486.38670909063</v>
      </c>
      <c r="R242">
        <f t="shared" si="962"/>
        <v>-1648837.3777306599</v>
      </c>
      <c r="S242">
        <f t="shared" si="963"/>
        <v>-16.488373777306599</v>
      </c>
      <c r="T242">
        <f t="shared" si="964"/>
        <v>-1.6488373777306598E-2</v>
      </c>
    </row>
    <row r="243" spans="1:20" x14ac:dyDescent="0.25">
      <c r="A243" s="5">
        <v>44350</v>
      </c>
      <c r="B243">
        <v>17.975000000000001</v>
      </c>
      <c r="C243">
        <v>19.54</v>
      </c>
      <c r="D243">
        <v>17.146999999999998</v>
      </c>
      <c r="E243">
        <v>17.95</v>
      </c>
      <c r="F243">
        <v>1017558.846</v>
      </c>
      <c r="G243">
        <v>0</v>
      </c>
      <c r="L243" t="s">
        <v>7</v>
      </c>
      <c r="M243" t="s">
        <v>8</v>
      </c>
      <c r="N243" t="s">
        <v>8</v>
      </c>
      <c r="P243">
        <f t="shared" si="960"/>
        <v>-0.32887588800668566</v>
      </c>
      <c r="Q243">
        <f t="shared" si="961"/>
        <v>-334650.56907730829</v>
      </c>
      <c r="R243">
        <f t="shared" si="962"/>
        <v>-1544350.9910215694</v>
      </c>
      <c r="S243">
        <f t="shared" si="963"/>
        <v>-15.443509910215694</v>
      </c>
      <c r="T243">
        <f t="shared" si="964"/>
        <v>-1.5443509910215694E-2</v>
      </c>
    </row>
    <row r="244" spans="1:20" x14ac:dyDescent="0.25">
      <c r="A244" s="5">
        <v>44349</v>
      </c>
      <c r="B244">
        <v>12.762</v>
      </c>
      <c r="C244">
        <v>20.538</v>
      </c>
      <c r="D244">
        <v>12.272</v>
      </c>
      <c r="E244">
        <v>17.977</v>
      </c>
      <c r="F244">
        <v>2209214.3930000002</v>
      </c>
      <c r="G244">
        <v>0</v>
      </c>
      <c r="L244" t="s">
        <v>8</v>
      </c>
      <c r="M244" t="s">
        <v>8</v>
      </c>
      <c r="N244" t="s">
        <v>8</v>
      </c>
      <c r="P244">
        <f t="shared" si="960"/>
        <v>0.38035325429470118</v>
      </c>
      <c r="Q244">
        <f t="shared" si="961"/>
        <v>840281.883812243</v>
      </c>
      <c r="R244">
        <f t="shared" si="962"/>
        <v>-1209700.4219442611</v>
      </c>
      <c r="S244">
        <f t="shared" si="963"/>
        <v>-12.09700421944261</v>
      </c>
      <c r="T244">
        <f t="shared" si="964"/>
        <v>-1.209700421944261E-2</v>
      </c>
    </row>
    <row r="245" spans="1:20" x14ac:dyDescent="0.25">
      <c r="A245" s="5">
        <v>44348</v>
      </c>
      <c r="B245">
        <v>12.619</v>
      </c>
      <c r="C245">
        <v>12.88</v>
      </c>
      <c r="D245">
        <v>11.505000000000001</v>
      </c>
      <c r="E245">
        <v>12.688000000000001</v>
      </c>
      <c r="F245">
        <v>99287.735000000001</v>
      </c>
      <c r="G245">
        <v>0</v>
      </c>
      <c r="L245" t="s">
        <v>7</v>
      </c>
      <c r="M245" t="s">
        <v>8</v>
      </c>
      <c r="N245" t="s">
        <v>7</v>
      </c>
      <c r="P245">
        <f t="shared" si="960"/>
        <v>0.72072727272727244</v>
      </c>
      <c r="Q245">
        <f t="shared" si="961"/>
        <v>71559.378461818153</v>
      </c>
      <c r="R245">
        <f t="shared" si="962"/>
        <v>-2049982.3057565042</v>
      </c>
      <c r="S245">
        <f t="shared" si="963"/>
        <v>-20.499823057565042</v>
      </c>
      <c r="T245">
        <f t="shared" si="964"/>
        <v>-2.0499823057565043E-2</v>
      </c>
    </row>
    <row r="246" spans="1:20" x14ac:dyDescent="0.25">
      <c r="A246" s="5">
        <v>44347</v>
      </c>
      <c r="B246">
        <v>11.753</v>
      </c>
      <c r="C246">
        <v>12.938000000000001</v>
      </c>
      <c r="D246">
        <v>11.1</v>
      </c>
      <c r="E246">
        <v>12.587999999999999</v>
      </c>
      <c r="F246">
        <v>129328.883</v>
      </c>
      <c r="G246">
        <v>0</v>
      </c>
      <c r="L246" t="s">
        <v>8</v>
      </c>
      <c r="M246" t="s">
        <v>8</v>
      </c>
      <c r="N246" t="s">
        <v>7</v>
      </c>
      <c r="P246">
        <f t="shared" si="960"/>
        <v>0.61915125136017279</v>
      </c>
      <c r="Q246">
        <f t="shared" si="961"/>
        <v>80074.139746463377</v>
      </c>
      <c r="R246">
        <f t="shared" si="962"/>
        <v>-2121541.6842183224</v>
      </c>
      <c r="S246">
        <f t="shared" si="963"/>
        <v>-21.215416842183224</v>
      </c>
      <c r="T246">
        <f t="shared" si="964"/>
        <v>-2.1215416842183223E-2</v>
      </c>
    </row>
    <row r="247" spans="1:20" x14ac:dyDescent="0.25">
      <c r="A247" s="5">
        <v>44346</v>
      </c>
      <c r="B247">
        <v>11.000999999999999</v>
      </c>
      <c r="C247">
        <v>12.315</v>
      </c>
      <c r="D247">
        <v>10.6</v>
      </c>
      <c r="E247">
        <v>11.827999999999999</v>
      </c>
      <c r="F247">
        <v>82479.413</v>
      </c>
      <c r="G247">
        <v>0</v>
      </c>
      <c r="L247" t="s">
        <v>8</v>
      </c>
      <c r="M247" t="s">
        <v>7</v>
      </c>
      <c r="N247" t="s">
        <v>7</v>
      </c>
      <c r="P247">
        <f t="shared" si="960"/>
        <v>0.43206997084548088</v>
      </c>
      <c r="Q247">
        <f t="shared" si="961"/>
        <v>35636.877570262375</v>
      </c>
      <c r="R247">
        <f t="shared" si="962"/>
        <v>-2201615.8239647858</v>
      </c>
      <c r="S247">
        <f t="shared" si="963"/>
        <v>-22.016158239647858</v>
      </c>
      <c r="T247">
        <f t="shared" si="964"/>
        <v>-2.2016158239647858E-2</v>
      </c>
    </row>
    <row r="248" spans="1:20" x14ac:dyDescent="0.25">
      <c r="A248" s="5">
        <v>44345</v>
      </c>
      <c r="B248">
        <v>11.654999999999999</v>
      </c>
      <c r="C248">
        <v>12.164</v>
      </c>
      <c r="D248">
        <v>10.6</v>
      </c>
      <c r="E248">
        <v>11.01</v>
      </c>
      <c r="F248">
        <v>120635.663</v>
      </c>
      <c r="G248">
        <v>0</v>
      </c>
      <c r="L248" t="s">
        <v>7</v>
      </c>
      <c r="M248" t="s">
        <v>7</v>
      </c>
      <c r="N248" t="s">
        <v>7</v>
      </c>
      <c r="P248">
        <f t="shared" si="960"/>
        <v>-0.475703324808184</v>
      </c>
      <c r="Q248">
        <f t="shared" si="961"/>
        <v>-57386.785979539622</v>
      </c>
      <c r="R248">
        <f t="shared" si="962"/>
        <v>-2237252.701535048</v>
      </c>
      <c r="S248">
        <f t="shared" si="963"/>
        <v>-22.372527015350478</v>
      </c>
      <c r="T248">
        <f t="shared" si="964"/>
        <v>-2.2372527015350478E-2</v>
      </c>
    </row>
    <row r="249" spans="1:20" x14ac:dyDescent="0.25">
      <c r="A249" s="5">
        <v>44344</v>
      </c>
      <c r="B249">
        <v>13.516999999999999</v>
      </c>
      <c r="C249">
        <v>13.651</v>
      </c>
      <c r="D249">
        <v>10.999000000000001</v>
      </c>
      <c r="E249">
        <v>11.654999999999999</v>
      </c>
      <c r="F249">
        <v>158562.16399999999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-0.50527903469080016</v>
      </c>
      <c r="Q249">
        <f t="shared" si="961"/>
        <v>-80118.137164404339</v>
      </c>
      <c r="R249">
        <f t="shared" si="962"/>
        <v>-2179865.9155555083</v>
      </c>
      <c r="S249">
        <f t="shared" si="963"/>
        <v>-21.798659155555082</v>
      </c>
      <c r="T249">
        <f t="shared" si="964"/>
        <v>-2.1798659155555081E-2</v>
      </c>
    </row>
    <row r="250" spans="1:20" x14ac:dyDescent="0.25">
      <c r="A250" s="5">
        <v>44343</v>
      </c>
      <c r="B250">
        <v>14.885</v>
      </c>
      <c r="C250">
        <v>14.888</v>
      </c>
      <c r="D250">
        <v>13.268000000000001</v>
      </c>
      <c r="E250">
        <v>13.535</v>
      </c>
      <c r="F250">
        <v>149783.04199999999</v>
      </c>
      <c r="G250">
        <v>0</v>
      </c>
      <c r="L250" t="s">
        <v>7</v>
      </c>
      <c r="M250" t="s">
        <v>8</v>
      </c>
      <c r="N250" t="s">
        <v>8</v>
      </c>
      <c r="P250">
        <f t="shared" si="960"/>
        <v>-0.67037037037037084</v>
      </c>
      <c r="Q250">
        <f t="shared" si="961"/>
        <v>-100410.11334074081</v>
      </c>
      <c r="R250">
        <f t="shared" si="962"/>
        <v>-2099747.7783911042</v>
      </c>
      <c r="S250">
        <f t="shared" si="963"/>
        <v>-20.997477783911041</v>
      </c>
      <c r="T250">
        <f t="shared" si="964"/>
        <v>-2.0997477783911041E-2</v>
      </c>
    </row>
    <row r="251" spans="1:20" x14ac:dyDescent="0.25">
      <c r="A251" s="5">
        <v>44342</v>
      </c>
      <c r="B251">
        <v>12.821</v>
      </c>
      <c r="C251">
        <v>15.311</v>
      </c>
      <c r="D251">
        <v>12.686</v>
      </c>
      <c r="E251">
        <v>14.885</v>
      </c>
      <c r="F251">
        <v>372111.66200000001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0.67542857142857127</v>
      </c>
      <c r="Q251">
        <f t="shared" si="961"/>
        <v>251334.84827657137</v>
      </c>
      <c r="R251">
        <f t="shared" si="962"/>
        <v>-1999337.6650503632</v>
      </c>
      <c r="S251">
        <f t="shared" si="963"/>
        <v>-19.993376650503631</v>
      </c>
      <c r="T251">
        <f t="shared" si="964"/>
        <v>-1.999337665050363E-2</v>
      </c>
    </row>
    <row r="252" spans="1:20" x14ac:dyDescent="0.25">
      <c r="A252" s="5">
        <v>44341</v>
      </c>
      <c r="B252">
        <v>12.531000000000001</v>
      </c>
      <c r="C252">
        <v>13.234</v>
      </c>
      <c r="D252">
        <v>11.192</v>
      </c>
      <c r="E252">
        <v>12.856999999999999</v>
      </c>
      <c r="F252">
        <v>214199.31299999999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0.63075416258569961</v>
      </c>
      <c r="Q252">
        <f t="shared" si="961"/>
        <v>135107.10829774715</v>
      </c>
      <c r="R252">
        <f t="shared" si="962"/>
        <v>-2250672.5133269345</v>
      </c>
      <c r="S252">
        <f t="shared" si="963"/>
        <v>-22.506725133269345</v>
      </c>
      <c r="T252">
        <f t="shared" si="964"/>
        <v>-2.2506725133269345E-2</v>
      </c>
    </row>
    <row r="253" spans="1:20" x14ac:dyDescent="0.25">
      <c r="A253" s="5">
        <v>44340</v>
      </c>
      <c r="B253">
        <v>10.510999999999999</v>
      </c>
      <c r="C253">
        <v>12.949</v>
      </c>
      <c r="D253">
        <v>10.345000000000001</v>
      </c>
      <c r="E253">
        <v>12.531000000000001</v>
      </c>
      <c r="F253">
        <v>190583.03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0.67895545314900196</v>
      </c>
      <c r="Q253">
        <f t="shared" si="961"/>
        <v>129397.38749615983</v>
      </c>
      <c r="R253">
        <f t="shared" si="962"/>
        <v>-2385779.6216246816</v>
      </c>
      <c r="S253">
        <f t="shared" si="963"/>
        <v>-23.857796216246815</v>
      </c>
      <c r="T253">
        <f t="shared" si="964"/>
        <v>-2.3857796216246816E-2</v>
      </c>
    </row>
    <row r="254" spans="1:20" x14ac:dyDescent="0.25">
      <c r="A254" s="5">
        <v>44339</v>
      </c>
      <c r="B254">
        <v>13.74</v>
      </c>
      <c r="C254">
        <v>14.032</v>
      </c>
      <c r="D254">
        <v>8.1999999999999993</v>
      </c>
      <c r="E254">
        <v>10.51</v>
      </c>
      <c r="F254">
        <v>233389.61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-0.20781893004115221</v>
      </c>
      <c r="Q254">
        <f t="shared" si="961"/>
        <v>-48502.779032921797</v>
      </c>
      <c r="R254">
        <f t="shared" si="962"/>
        <v>-2515177.0091208415</v>
      </c>
      <c r="S254">
        <f t="shared" si="963"/>
        <v>-25.151770091208416</v>
      </c>
      <c r="T254">
        <f t="shared" si="964"/>
        <v>-2.5151770091208416E-2</v>
      </c>
    </row>
    <row r="255" spans="1:20" x14ac:dyDescent="0.25">
      <c r="A255" s="5">
        <v>44338</v>
      </c>
      <c r="B255">
        <v>15.077999999999999</v>
      </c>
      <c r="C255">
        <v>15.428000000000001</v>
      </c>
      <c r="D255">
        <v>13.137</v>
      </c>
      <c r="E255">
        <v>13.74</v>
      </c>
      <c r="F255">
        <v>146051.09299999999</v>
      </c>
      <c r="G255">
        <v>0</v>
      </c>
      <c r="L255" t="s">
        <v>8</v>
      </c>
      <c r="M255" t="s">
        <v>8</v>
      </c>
      <c r="N255" t="s">
        <v>7</v>
      </c>
      <c r="P255">
        <f t="shared" si="960"/>
        <v>-0.47359231776516836</v>
      </c>
      <c r="Q255">
        <f t="shared" si="961"/>
        <v>-69168.675646006159</v>
      </c>
      <c r="R255">
        <f t="shared" si="962"/>
        <v>-2466674.2300879196</v>
      </c>
      <c r="S255">
        <f t="shared" si="963"/>
        <v>-24.666742300879196</v>
      </c>
      <c r="T255">
        <f t="shared" si="964"/>
        <v>-2.4666742300879195E-2</v>
      </c>
    </row>
    <row r="256" spans="1:20" x14ac:dyDescent="0.25">
      <c r="A256" s="5">
        <v>44337</v>
      </c>
      <c r="B256">
        <v>18.263999999999999</v>
      </c>
      <c r="C256">
        <v>19.5</v>
      </c>
      <c r="D256">
        <v>13.254</v>
      </c>
      <c r="E256">
        <v>15.025</v>
      </c>
      <c r="F256">
        <v>236077.397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-0.43291706692283038</v>
      </c>
      <c r="Q256">
        <f t="shared" si="961"/>
        <v>-102201.93427601659</v>
      </c>
      <c r="R256">
        <f t="shared" si="962"/>
        <v>-2397505.5544419135</v>
      </c>
      <c r="S256">
        <f t="shared" si="963"/>
        <v>-23.975055544419135</v>
      </c>
      <c r="T256">
        <f t="shared" si="964"/>
        <v>-2.3975055544419133E-2</v>
      </c>
    </row>
    <row r="257" spans="1:20" x14ac:dyDescent="0.25">
      <c r="A257" s="5">
        <v>44336</v>
      </c>
      <c r="B257">
        <v>16.254000000000001</v>
      </c>
      <c r="C257">
        <v>19.794</v>
      </c>
      <c r="D257">
        <v>15.093</v>
      </c>
      <c r="E257">
        <v>18.251000000000001</v>
      </c>
      <c r="F257">
        <v>261533.166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0.34354392682408036</v>
      </c>
      <c r="Q257">
        <f t="shared" si="961"/>
        <v>89848.130842374056</v>
      </c>
      <c r="R257">
        <f t="shared" si="962"/>
        <v>-2295303.6201658971</v>
      </c>
      <c r="S257">
        <f t="shared" si="963"/>
        <v>-22.953036201658971</v>
      </c>
      <c r="T257">
        <f t="shared" si="964"/>
        <v>-2.295303620165897E-2</v>
      </c>
    </row>
    <row r="258" spans="1:20" x14ac:dyDescent="0.25">
      <c r="A258" s="5">
        <v>44335</v>
      </c>
      <c r="B258">
        <v>25.09</v>
      </c>
      <c r="C258">
        <v>25.434999999999999</v>
      </c>
      <c r="D258">
        <v>3.0630000000000002</v>
      </c>
      <c r="E258">
        <v>16.254000000000001</v>
      </c>
      <c r="F258">
        <v>367055.53499999997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0.17924190952976951</v>
      </c>
      <c r="Q258">
        <f t="shared" si="961"/>
        <v>65791.734996871135</v>
      </c>
      <c r="R258">
        <f t="shared" si="962"/>
        <v>-2385151.7510082712</v>
      </c>
      <c r="S258">
        <f t="shared" si="963"/>
        <v>-23.851517510082711</v>
      </c>
      <c r="T258">
        <f t="shared" si="964"/>
        <v>-2.3851517510082711E-2</v>
      </c>
    </row>
    <row r="259" spans="1:20" x14ac:dyDescent="0.25">
      <c r="A259" s="5">
        <v>44334</v>
      </c>
      <c r="B259">
        <v>24.616</v>
      </c>
      <c r="C259">
        <v>27</v>
      </c>
      <c r="D259">
        <v>23.681000000000001</v>
      </c>
      <c r="E259">
        <v>25.081</v>
      </c>
      <c r="F259">
        <v>211011.17199999999</v>
      </c>
      <c r="G259">
        <v>0</v>
      </c>
      <c r="L259" t="s">
        <v>8</v>
      </c>
      <c r="M259" t="s">
        <v>7</v>
      </c>
      <c r="N259" t="s">
        <v>7</v>
      </c>
      <c r="P259">
        <f t="shared" si="960"/>
        <v>-0.15637240132570113</v>
      </c>
      <c r="Q259">
        <f t="shared" si="961"/>
        <v>-32996.323672190549</v>
      </c>
      <c r="R259">
        <f t="shared" si="962"/>
        <v>-2450943.4860051423</v>
      </c>
      <c r="S259">
        <f t="shared" si="963"/>
        <v>-24.509434860051424</v>
      </c>
      <c r="T259">
        <f t="shared" si="964"/>
        <v>-2.4509434860051426E-2</v>
      </c>
    </row>
    <row r="260" spans="1:20" x14ac:dyDescent="0.25">
      <c r="A260" s="5">
        <v>44333</v>
      </c>
      <c r="B260">
        <v>26.222000000000001</v>
      </c>
      <c r="C260">
        <v>26.648</v>
      </c>
      <c r="D260">
        <v>23.620999999999999</v>
      </c>
      <c r="E260">
        <v>24.530999999999999</v>
      </c>
      <c r="F260">
        <v>106847.679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-0.39874463164849699</v>
      </c>
      <c r="Q260">
        <f t="shared" si="961"/>
        <v>-42604.938405351852</v>
      </c>
      <c r="R260">
        <f t="shared" si="962"/>
        <v>-2417947.1623329516</v>
      </c>
      <c r="S260">
        <f t="shared" si="963"/>
        <v>-24.179471623329515</v>
      </c>
      <c r="T260">
        <f t="shared" si="964"/>
        <v>-2.4179471623329514E-2</v>
      </c>
    </row>
    <row r="261" spans="1:20" x14ac:dyDescent="0.25">
      <c r="A261" s="5">
        <v>44332</v>
      </c>
      <c r="B261">
        <v>26.651</v>
      </c>
      <c r="C261">
        <v>29.463000000000001</v>
      </c>
      <c r="D261">
        <v>24.873000000000001</v>
      </c>
      <c r="E261">
        <v>26.158000000000001</v>
      </c>
      <c r="F261">
        <v>106238.50900000001</v>
      </c>
      <c r="G261">
        <v>0</v>
      </c>
      <c r="L261" t="s">
        <v>7</v>
      </c>
      <c r="M261" t="s">
        <v>7</v>
      </c>
      <c r="N261" t="s">
        <v>7</v>
      </c>
      <c r="P261">
        <f t="shared" si="960"/>
        <v>-0.44008714596949883</v>
      </c>
      <c r="Q261">
        <f t="shared" si="961"/>
        <v>-46754.20221786492</v>
      </c>
      <c r="R261">
        <f t="shared" si="962"/>
        <v>-2375342.2239275998</v>
      </c>
      <c r="S261">
        <f t="shared" si="963"/>
        <v>-23.753422239275999</v>
      </c>
      <c r="T261">
        <f t="shared" si="964"/>
        <v>-2.3753422239275998E-2</v>
      </c>
    </row>
    <row r="262" spans="1:20" x14ac:dyDescent="0.25">
      <c r="A262" s="5">
        <v>44331</v>
      </c>
      <c r="B262">
        <v>29.710999999999999</v>
      </c>
      <c r="C262">
        <v>30.797000000000001</v>
      </c>
      <c r="D262">
        <v>26.405999999999999</v>
      </c>
      <c r="E262">
        <v>26.533999999999999</v>
      </c>
      <c r="F262">
        <v>83884.509000000005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5">IF(C262=D262,0,((E262-D262)-(C262-E262))/(C262-D262))</f>
        <v>-0.9416989296287861</v>
      </c>
      <c r="Q262">
        <f t="shared" ref="Q262:Q325" si="966">F262*P262</f>
        <v>-78993.952337736278</v>
      </c>
      <c r="R262">
        <f t="shared" ref="R262:R325" si="967">R263+Q262</f>
        <v>-2328588.021709735</v>
      </c>
      <c r="S262">
        <f t="shared" ref="S262:S325" si="968">R262/100000</f>
        <v>-23.28588021709735</v>
      </c>
      <c r="T262">
        <f t="shared" ref="T262:T325" si="969">S262/1000</f>
        <v>-2.3285880217097349E-2</v>
      </c>
    </row>
    <row r="263" spans="1:20" x14ac:dyDescent="0.25">
      <c r="A263" s="5">
        <v>44330</v>
      </c>
      <c r="B263">
        <v>28.864999999999998</v>
      </c>
      <c r="C263">
        <v>31.501000000000001</v>
      </c>
      <c r="D263">
        <v>28.696999999999999</v>
      </c>
      <c r="E263">
        <v>29.710999999999999</v>
      </c>
      <c r="F263">
        <v>137899.42600000001</v>
      </c>
      <c r="G263">
        <v>0</v>
      </c>
      <c r="L263" t="s">
        <v>8</v>
      </c>
      <c r="M263" t="s">
        <v>7</v>
      </c>
      <c r="N263" t="s">
        <v>7</v>
      </c>
      <c r="P263">
        <f t="shared" si="965"/>
        <v>-0.27674750356633482</v>
      </c>
      <c r="Q263">
        <f t="shared" si="966"/>
        <v>-38163.321888730527</v>
      </c>
      <c r="R263">
        <f t="shared" si="967"/>
        <v>-2249594.0693719988</v>
      </c>
      <c r="S263">
        <f t="shared" si="968"/>
        <v>-22.495940693719987</v>
      </c>
      <c r="T263">
        <f t="shared" si="969"/>
        <v>-2.2495940693719987E-2</v>
      </c>
    </row>
    <row r="264" spans="1:20" x14ac:dyDescent="0.25">
      <c r="A264" s="5">
        <v>44329</v>
      </c>
      <c r="B264">
        <v>29.52</v>
      </c>
      <c r="C264">
        <v>33.799999999999997</v>
      </c>
      <c r="D264">
        <v>27.033999999999999</v>
      </c>
      <c r="E264">
        <v>28.849</v>
      </c>
      <c r="F264">
        <v>229746.32399999999</v>
      </c>
      <c r="G264">
        <v>0</v>
      </c>
      <c r="L264" t="s">
        <v>7</v>
      </c>
      <c r="M264" t="s">
        <v>7</v>
      </c>
      <c r="N264" t="s">
        <v>7</v>
      </c>
      <c r="P264">
        <f t="shared" si="965"/>
        <v>-0.46349394028968322</v>
      </c>
      <c r="Q264">
        <f t="shared" si="966"/>
        <v>-106486.02897783021</v>
      </c>
      <c r="R264">
        <f t="shared" si="967"/>
        <v>-2211430.7474832684</v>
      </c>
      <c r="S264">
        <f t="shared" si="968"/>
        <v>-22.114307474832685</v>
      </c>
      <c r="T264">
        <f t="shared" si="969"/>
        <v>-2.2114307474832687E-2</v>
      </c>
    </row>
    <row r="265" spans="1:20" x14ac:dyDescent="0.25">
      <c r="A265" s="5">
        <v>44328</v>
      </c>
      <c r="B265">
        <v>32.469000000000001</v>
      </c>
      <c r="C265">
        <v>37.491999999999997</v>
      </c>
      <c r="D265">
        <v>28.79</v>
      </c>
      <c r="E265">
        <v>29.521000000000001</v>
      </c>
      <c r="F265">
        <v>311079.92599999998</v>
      </c>
      <c r="G265">
        <v>0</v>
      </c>
      <c r="L265" t="s">
        <v>8</v>
      </c>
      <c r="M265" t="s">
        <v>7</v>
      </c>
      <c r="N265" t="s">
        <v>7</v>
      </c>
      <c r="P265">
        <f t="shared" si="965"/>
        <v>-0.83199264536888029</v>
      </c>
      <c r="Q265">
        <f t="shared" si="966"/>
        <v>-258816.21055389551</v>
      </c>
      <c r="R265">
        <f t="shared" si="967"/>
        <v>-2104944.718505438</v>
      </c>
      <c r="S265">
        <f t="shared" si="968"/>
        <v>-21.04944718505438</v>
      </c>
      <c r="T265">
        <f t="shared" si="969"/>
        <v>-2.104944718505438E-2</v>
      </c>
    </row>
    <row r="266" spans="1:20" x14ac:dyDescent="0.25">
      <c r="A266" s="5">
        <v>44327</v>
      </c>
      <c r="B266">
        <v>31.789000000000001</v>
      </c>
      <c r="C266">
        <v>32.744999999999997</v>
      </c>
      <c r="D266">
        <v>30.074999999999999</v>
      </c>
      <c r="E266">
        <v>32.472999999999999</v>
      </c>
      <c r="F266">
        <v>124949.565</v>
      </c>
      <c r="G266">
        <v>0</v>
      </c>
      <c r="L266" t="s">
        <v>8</v>
      </c>
      <c r="M266" t="s">
        <v>7</v>
      </c>
      <c r="N266" t="s">
        <v>7</v>
      </c>
      <c r="P266">
        <f t="shared" si="965"/>
        <v>0.79625468164794111</v>
      </c>
      <c r="Q266">
        <f t="shared" si="966"/>
        <v>99491.676101123725</v>
      </c>
      <c r="R266">
        <f t="shared" si="967"/>
        <v>-1846128.5079515423</v>
      </c>
      <c r="S266">
        <f t="shared" si="968"/>
        <v>-18.461285079515424</v>
      </c>
      <c r="T266">
        <f t="shared" si="969"/>
        <v>-1.8461285079515423E-2</v>
      </c>
    </row>
    <row r="267" spans="1:20" x14ac:dyDescent="0.25">
      <c r="A267" s="5">
        <v>44326</v>
      </c>
      <c r="B267">
        <v>35.174999999999997</v>
      </c>
      <c r="C267">
        <v>36.448</v>
      </c>
      <c r="D267">
        <v>29.937999999999999</v>
      </c>
      <c r="E267">
        <v>31.698</v>
      </c>
      <c r="F267">
        <v>246143.78899999999</v>
      </c>
      <c r="G267">
        <v>0</v>
      </c>
      <c r="L267" t="s">
        <v>7</v>
      </c>
      <c r="M267" t="s">
        <v>7</v>
      </c>
      <c r="N267" t="s">
        <v>7</v>
      </c>
      <c r="P267">
        <f t="shared" si="965"/>
        <v>-0.45929339477726538</v>
      </c>
      <c r="Q267">
        <f t="shared" si="966"/>
        <v>-113052.21645314891</v>
      </c>
      <c r="R267">
        <f t="shared" si="967"/>
        <v>-1945620.184052666</v>
      </c>
      <c r="S267">
        <f t="shared" si="968"/>
        <v>-19.45620184052666</v>
      </c>
      <c r="T267">
        <f t="shared" si="969"/>
        <v>-1.9456201840526662E-2</v>
      </c>
    </row>
    <row r="268" spans="1:20" x14ac:dyDescent="0.25">
      <c r="A268" s="5">
        <v>44325</v>
      </c>
      <c r="B268">
        <v>37.926000000000002</v>
      </c>
      <c r="C268">
        <v>38.26</v>
      </c>
      <c r="D268">
        <v>33.948</v>
      </c>
      <c r="E268">
        <v>35.174999999999997</v>
      </c>
      <c r="F268">
        <v>475809.03600000002</v>
      </c>
      <c r="G268">
        <v>0</v>
      </c>
      <c r="L268" t="s">
        <v>8</v>
      </c>
      <c r="M268" t="s">
        <v>7</v>
      </c>
      <c r="N268" t="s">
        <v>7</v>
      </c>
      <c r="P268">
        <f t="shared" si="965"/>
        <v>-0.43089053803339639</v>
      </c>
      <c r="Q268">
        <f t="shared" si="966"/>
        <v>-205021.61152319168</v>
      </c>
      <c r="R268">
        <f t="shared" si="967"/>
        <v>-1832567.967599517</v>
      </c>
      <c r="S268">
        <f t="shared" si="968"/>
        <v>-18.325679675995168</v>
      </c>
      <c r="T268">
        <f t="shared" si="969"/>
        <v>-1.8325679675995167E-2</v>
      </c>
    </row>
    <row r="269" spans="1:20" x14ac:dyDescent="0.25">
      <c r="A269" s="5">
        <v>44324</v>
      </c>
      <c r="B269">
        <v>34.305999999999997</v>
      </c>
      <c r="C269">
        <v>43.664999999999999</v>
      </c>
      <c r="D269">
        <v>33.887999999999998</v>
      </c>
      <c r="E269">
        <v>37.953000000000003</v>
      </c>
      <c r="F269">
        <v>1353144.959</v>
      </c>
      <c r="G269">
        <v>0</v>
      </c>
      <c r="L269" t="s">
        <v>7</v>
      </c>
      <c r="M269" t="s">
        <v>7</v>
      </c>
      <c r="N269" t="s">
        <v>7</v>
      </c>
      <c r="P269">
        <f t="shared" si="965"/>
        <v>-0.16845658177354927</v>
      </c>
      <c r="Q269">
        <f t="shared" si="966"/>
        <v>-227946.17443724949</v>
      </c>
      <c r="R269">
        <f t="shared" si="967"/>
        <v>-1627546.3560763253</v>
      </c>
      <c r="S269">
        <f t="shared" si="968"/>
        <v>-16.275463560763253</v>
      </c>
      <c r="T269">
        <f t="shared" si="969"/>
        <v>-1.6275463560763252E-2</v>
      </c>
    </row>
    <row r="270" spans="1:20" x14ac:dyDescent="0.25">
      <c r="A270" s="5">
        <v>44323</v>
      </c>
      <c r="B270">
        <v>31.739000000000001</v>
      </c>
      <c r="C270">
        <v>47.738999999999997</v>
      </c>
      <c r="D270">
        <v>31.035</v>
      </c>
      <c r="E270">
        <v>34.366</v>
      </c>
      <c r="F270">
        <v>1046195.594</v>
      </c>
      <c r="G270">
        <v>0</v>
      </c>
      <c r="L270" t="s">
        <v>8</v>
      </c>
      <c r="M270" t="s">
        <v>8</v>
      </c>
      <c r="N270" t="s">
        <v>8</v>
      </c>
      <c r="P270">
        <f t="shared" si="965"/>
        <v>-0.60117337164750961</v>
      </c>
      <c r="Q270">
        <f t="shared" si="966"/>
        <v>-628944.93264774908</v>
      </c>
      <c r="R270">
        <f t="shared" si="967"/>
        <v>-1399600.1816390757</v>
      </c>
      <c r="S270">
        <f t="shared" si="968"/>
        <v>-13.996001816390757</v>
      </c>
      <c r="T270">
        <f t="shared" si="969"/>
        <v>-1.3996001816390758E-2</v>
      </c>
    </row>
    <row r="271" spans="1:20" x14ac:dyDescent="0.25">
      <c r="A271" s="5">
        <v>44322</v>
      </c>
      <c r="B271">
        <v>33.970999999999997</v>
      </c>
      <c r="C271">
        <v>34.343000000000004</v>
      </c>
      <c r="D271">
        <v>31.114000000000001</v>
      </c>
      <c r="E271">
        <v>31.861000000000001</v>
      </c>
      <c r="F271">
        <v>160311.158</v>
      </c>
      <c r="G271">
        <v>0</v>
      </c>
      <c r="L271" t="s">
        <v>7</v>
      </c>
      <c r="M271" t="s">
        <v>7</v>
      </c>
      <c r="N271" t="s">
        <v>8</v>
      </c>
      <c r="P271">
        <f t="shared" si="965"/>
        <v>-0.5373180551254263</v>
      </c>
      <c r="Q271">
        <f t="shared" si="966"/>
        <v>-86138.07963146492</v>
      </c>
      <c r="R271">
        <f t="shared" si="967"/>
        <v>-770655.24899132666</v>
      </c>
      <c r="S271">
        <f t="shared" si="968"/>
        <v>-7.7065524899132667</v>
      </c>
      <c r="T271">
        <f t="shared" si="969"/>
        <v>-7.7065524899132664E-3</v>
      </c>
    </row>
    <row r="272" spans="1:20" x14ac:dyDescent="0.25">
      <c r="A272" s="5">
        <v>44321</v>
      </c>
      <c r="B272">
        <v>30.975999999999999</v>
      </c>
      <c r="C272">
        <v>34.94</v>
      </c>
      <c r="D272">
        <v>30.776</v>
      </c>
      <c r="E272">
        <v>33.962000000000003</v>
      </c>
      <c r="F272">
        <v>142427.48300000001</v>
      </c>
      <c r="G272">
        <v>0</v>
      </c>
      <c r="L272" t="s">
        <v>8</v>
      </c>
      <c r="M272" t="s">
        <v>7</v>
      </c>
      <c r="N272" t="s">
        <v>8</v>
      </c>
      <c r="P272">
        <f t="shared" si="965"/>
        <v>0.53025936599423873</v>
      </c>
      <c r="Q272">
        <f t="shared" si="966"/>
        <v>75523.506835735214</v>
      </c>
      <c r="R272">
        <f t="shared" si="967"/>
        <v>-684517.16935986176</v>
      </c>
      <c r="S272">
        <f t="shared" si="968"/>
        <v>-6.8451716935986173</v>
      </c>
      <c r="T272">
        <f t="shared" si="969"/>
        <v>-6.8451716935986175E-3</v>
      </c>
    </row>
    <row r="273" spans="1:20" x14ac:dyDescent="0.25">
      <c r="A273" s="5">
        <v>44320</v>
      </c>
      <c r="B273">
        <v>35.042000000000002</v>
      </c>
      <c r="C273">
        <v>35.244</v>
      </c>
      <c r="D273">
        <v>30.826000000000001</v>
      </c>
      <c r="E273">
        <v>30.998999999999999</v>
      </c>
      <c r="F273">
        <v>184948.17</v>
      </c>
      <c r="G273">
        <v>0</v>
      </c>
      <c r="L273" t="s">
        <v>7</v>
      </c>
      <c r="M273" t="s">
        <v>7</v>
      </c>
      <c r="N273" t="s">
        <v>8</v>
      </c>
      <c r="P273">
        <f t="shared" si="965"/>
        <v>-0.9216840199185159</v>
      </c>
      <c r="Q273">
        <f t="shared" si="966"/>
        <v>-170463.77280217307</v>
      </c>
      <c r="R273">
        <f t="shared" si="967"/>
        <v>-760040.67619559693</v>
      </c>
      <c r="S273">
        <f t="shared" si="968"/>
        <v>-7.600406761955969</v>
      </c>
      <c r="T273">
        <f t="shared" si="969"/>
        <v>-7.6004067619559693E-3</v>
      </c>
    </row>
    <row r="274" spans="1:20" x14ac:dyDescent="0.25">
      <c r="A274" s="5">
        <v>44319</v>
      </c>
      <c r="B274">
        <v>36.078000000000003</v>
      </c>
      <c r="C274">
        <v>37.918999999999997</v>
      </c>
      <c r="D274">
        <v>35.03</v>
      </c>
      <c r="E274">
        <v>35.095999999999997</v>
      </c>
      <c r="F274">
        <v>134206.41099999999</v>
      </c>
      <c r="G274">
        <v>0</v>
      </c>
      <c r="L274" t="s">
        <v>8</v>
      </c>
      <c r="M274" t="s">
        <v>8</v>
      </c>
      <c r="N274" t="s">
        <v>8</v>
      </c>
      <c r="P274">
        <f t="shared" si="965"/>
        <v>-0.95430944963655551</v>
      </c>
      <c r="Q274">
        <f t="shared" si="966"/>
        <v>-128074.44621910737</v>
      </c>
      <c r="R274">
        <f t="shared" si="967"/>
        <v>-589576.90339342388</v>
      </c>
      <c r="S274">
        <f t="shared" si="968"/>
        <v>-5.895769033934239</v>
      </c>
      <c r="T274">
        <f t="shared" si="969"/>
        <v>-5.8957690339342386E-3</v>
      </c>
    </row>
    <row r="275" spans="1:20" x14ac:dyDescent="0.25">
      <c r="A275" s="5">
        <v>44318</v>
      </c>
      <c r="B275">
        <v>37.783999999999999</v>
      </c>
      <c r="C275">
        <v>37.899000000000001</v>
      </c>
      <c r="D275">
        <v>34.750999999999998</v>
      </c>
      <c r="E275">
        <v>36.030999999999999</v>
      </c>
      <c r="F275">
        <v>174335.144</v>
      </c>
      <c r="G275">
        <v>0</v>
      </c>
      <c r="L275" t="s">
        <v>7</v>
      </c>
      <c r="M275" t="s">
        <v>8</v>
      </c>
      <c r="N275" t="s">
        <v>8</v>
      </c>
      <c r="P275">
        <f t="shared" si="965"/>
        <v>-0.18678526048284635</v>
      </c>
      <c r="Q275">
        <f t="shared" si="966"/>
        <v>-32563.23528335453</v>
      </c>
      <c r="R275">
        <f t="shared" si="967"/>
        <v>-461502.45717431657</v>
      </c>
      <c r="S275">
        <f t="shared" si="968"/>
        <v>-4.6150245717431657</v>
      </c>
      <c r="T275">
        <f t="shared" si="969"/>
        <v>-4.6150245717431655E-3</v>
      </c>
    </row>
    <row r="276" spans="1:20" x14ac:dyDescent="0.25">
      <c r="A276" s="5">
        <v>44317</v>
      </c>
      <c r="B276">
        <v>34.737000000000002</v>
      </c>
      <c r="C276">
        <v>38.700000000000003</v>
      </c>
      <c r="D276">
        <v>33.929000000000002</v>
      </c>
      <c r="E276">
        <v>37.783999999999999</v>
      </c>
      <c r="F276">
        <v>271393.03700000001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0.61601341437853541</v>
      </c>
      <c r="Q276">
        <f t="shared" si="966"/>
        <v>167181.75136093021</v>
      </c>
      <c r="R276">
        <f t="shared" si="967"/>
        <v>-428939.22189096204</v>
      </c>
      <c r="S276">
        <f t="shared" si="968"/>
        <v>-4.2893922189096205</v>
      </c>
      <c r="T276">
        <f t="shared" si="969"/>
        <v>-4.2893922189096208E-3</v>
      </c>
    </row>
    <row r="277" spans="1:20" x14ac:dyDescent="0.25">
      <c r="A277" s="5">
        <v>44316</v>
      </c>
      <c r="B277">
        <v>31.69</v>
      </c>
      <c r="C277">
        <v>36.095999999999997</v>
      </c>
      <c r="D277">
        <v>31.419</v>
      </c>
      <c r="E277">
        <v>34.636000000000003</v>
      </c>
      <c r="F277">
        <v>413656.67800000001</v>
      </c>
      <c r="G277">
        <v>0</v>
      </c>
      <c r="L277" t="s">
        <v>8</v>
      </c>
      <c r="M277" t="s">
        <v>8</v>
      </c>
      <c r="N277" t="s">
        <v>8</v>
      </c>
      <c r="P277">
        <f t="shared" si="965"/>
        <v>0.37566816335257858</v>
      </c>
      <c r="Q277">
        <f t="shared" si="966"/>
        <v>155397.64448278901</v>
      </c>
      <c r="R277">
        <f t="shared" si="967"/>
        <v>-596120.97325189225</v>
      </c>
      <c r="S277">
        <f t="shared" si="968"/>
        <v>-5.9612097325189222</v>
      </c>
      <c r="T277">
        <f t="shared" si="969"/>
        <v>-5.9612097325189226E-3</v>
      </c>
    </row>
    <row r="278" spans="1:20" x14ac:dyDescent="0.25">
      <c r="A278" s="5">
        <v>44315</v>
      </c>
      <c r="B278">
        <v>32.835999999999999</v>
      </c>
      <c r="C278">
        <v>34.4</v>
      </c>
      <c r="D278">
        <v>30.576000000000001</v>
      </c>
      <c r="E278">
        <v>31.687999999999999</v>
      </c>
      <c r="F278">
        <v>192338.878</v>
      </c>
      <c r="G278">
        <v>0</v>
      </c>
      <c r="L278" t="s">
        <v>7</v>
      </c>
      <c r="M278" t="s">
        <v>8</v>
      </c>
      <c r="N278" t="s">
        <v>8</v>
      </c>
      <c r="P278">
        <f t="shared" si="965"/>
        <v>-0.41841004184100478</v>
      </c>
      <c r="Q278">
        <f t="shared" si="966"/>
        <v>-80476.517991631918</v>
      </c>
      <c r="R278">
        <f t="shared" si="967"/>
        <v>-751518.61773468123</v>
      </c>
      <c r="S278">
        <f t="shared" si="968"/>
        <v>-7.5151861773468127</v>
      </c>
      <c r="T278">
        <f t="shared" si="969"/>
        <v>-7.5151861773468127E-3</v>
      </c>
    </row>
    <row r="279" spans="1:20" x14ac:dyDescent="0.25">
      <c r="A279" s="5">
        <v>44314</v>
      </c>
      <c r="B279">
        <v>34.762999999999998</v>
      </c>
      <c r="C279">
        <v>36.216999999999999</v>
      </c>
      <c r="D279">
        <v>32.070999999999998</v>
      </c>
      <c r="E279">
        <v>32.798999999999999</v>
      </c>
      <c r="F279">
        <v>170055.087</v>
      </c>
      <c r="G279">
        <v>0</v>
      </c>
      <c r="L279" t="s">
        <v>7</v>
      </c>
      <c r="M279" t="s">
        <v>8</v>
      </c>
      <c r="N279" t="s">
        <v>8</v>
      </c>
      <c r="P279">
        <f t="shared" si="965"/>
        <v>-0.64881813796430232</v>
      </c>
      <c r="Q279">
        <f t="shared" si="966"/>
        <v>-110334.82489869744</v>
      </c>
      <c r="R279">
        <f t="shared" si="967"/>
        <v>-671042.09974304936</v>
      </c>
      <c r="S279">
        <f t="shared" si="968"/>
        <v>-6.7104209974304938</v>
      </c>
      <c r="T279">
        <f t="shared" si="969"/>
        <v>-6.710420997430494E-3</v>
      </c>
    </row>
    <row r="280" spans="1:20" x14ac:dyDescent="0.25">
      <c r="A280" s="5">
        <v>44313</v>
      </c>
      <c r="B280">
        <v>30.376000000000001</v>
      </c>
      <c r="C280">
        <v>36.22</v>
      </c>
      <c r="D280">
        <v>29.928999999999998</v>
      </c>
      <c r="E280">
        <v>34.762999999999998</v>
      </c>
      <c r="F280">
        <v>236184.18400000001</v>
      </c>
      <c r="G280">
        <v>0</v>
      </c>
      <c r="L280" t="s">
        <v>8</v>
      </c>
      <c r="M280" t="s">
        <v>8</v>
      </c>
      <c r="N280" t="s">
        <v>8</v>
      </c>
      <c r="P280">
        <f t="shared" si="965"/>
        <v>0.53679860117628342</v>
      </c>
      <c r="Q280">
        <f t="shared" si="966"/>
        <v>126783.33959116194</v>
      </c>
      <c r="R280">
        <f t="shared" si="967"/>
        <v>-560707.27484435192</v>
      </c>
      <c r="S280">
        <f t="shared" si="968"/>
        <v>-5.6070727484435192</v>
      </c>
      <c r="T280">
        <f t="shared" si="969"/>
        <v>-5.6070727484435192E-3</v>
      </c>
    </row>
    <row r="281" spans="1:20" x14ac:dyDescent="0.25">
      <c r="A281" s="5">
        <v>44312</v>
      </c>
      <c r="B281">
        <v>24.954000000000001</v>
      </c>
      <c r="C281">
        <v>31.576000000000001</v>
      </c>
      <c r="D281">
        <v>24.84</v>
      </c>
      <c r="E281">
        <v>30.375</v>
      </c>
      <c r="F281">
        <v>254596.32199999999</v>
      </c>
      <c r="G281">
        <v>0</v>
      </c>
      <c r="L281" t="s">
        <v>8</v>
      </c>
      <c r="M281" t="s">
        <v>8</v>
      </c>
      <c r="N281" t="s">
        <v>7</v>
      </c>
      <c r="P281">
        <f t="shared" si="965"/>
        <v>0.64340855106888351</v>
      </c>
      <c r="Q281">
        <f t="shared" si="966"/>
        <v>163809.45064548691</v>
      </c>
      <c r="R281">
        <f t="shared" si="967"/>
        <v>-687490.61443551385</v>
      </c>
      <c r="S281">
        <f t="shared" si="968"/>
        <v>-6.8749061443551387</v>
      </c>
      <c r="T281">
        <f t="shared" si="969"/>
        <v>-6.874906144355139E-3</v>
      </c>
    </row>
    <row r="282" spans="1:20" x14ac:dyDescent="0.25">
      <c r="A282" s="5">
        <v>44311</v>
      </c>
      <c r="B282">
        <v>24.738</v>
      </c>
      <c r="C282">
        <v>26.891999999999999</v>
      </c>
      <c r="D282">
        <v>24</v>
      </c>
      <c r="E282">
        <v>24.841999999999999</v>
      </c>
      <c r="F282">
        <v>84038.612999999998</v>
      </c>
      <c r="G282">
        <v>0</v>
      </c>
      <c r="L282" t="s">
        <v>7</v>
      </c>
      <c r="M282" t="s">
        <v>8</v>
      </c>
      <c r="N282" t="s">
        <v>7</v>
      </c>
      <c r="P282">
        <f t="shared" si="965"/>
        <v>-0.41770401106500765</v>
      </c>
      <c r="Q282">
        <f t="shared" si="966"/>
        <v>-35103.265734439898</v>
      </c>
      <c r="R282">
        <f t="shared" si="967"/>
        <v>-851300.06508100079</v>
      </c>
      <c r="S282">
        <f t="shared" si="968"/>
        <v>-8.5130006508100085</v>
      </c>
      <c r="T282">
        <f t="shared" si="969"/>
        <v>-8.513000650810008E-3</v>
      </c>
    </row>
    <row r="283" spans="1:20" x14ac:dyDescent="0.25">
      <c r="A283" s="5">
        <v>44310</v>
      </c>
      <c r="B283">
        <v>27.687000000000001</v>
      </c>
      <c r="C283">
        <v>27.742999999999999</v>
      </c>
      <c r="D283">
        <v>24.349</v>
      </c>
      <c r="E283">
        <v>24.602</v>
      </c>
      <c r="F283">
        <v>93993.385999999999</v>
      </c>
      <c r="G283">
        <v>0</v>
      </c>
      <c r="L283" t="s">
        <v>8</v>
      </c>
      <c r="M283" t="s">
        <v>8</v>
      </c>
      <c r="N283" t="s">
        <v>7</v>
      </c>
      <c r="P283">
        <f t="shared" si="965"/>
        <v>-0.85091337654684729</v>
      </c>
      <c r="Q283">
        <f t="shared" si="966"/>
        <v>-79980.229454331158</v>
      </c>
      <c r="R283">
        <f t="shared" si="967"/>
        <v>-816196.79934656085</v>
      </c>
      <c r="S283">
        <f t="shared" si="968"/>
        <v>-8.1619679934656091</v>
      </c>
      <c r="T283">
        <f t="shared" si="969"/>
        <v>-8.1619679934656093E-3</v>
      </c>
    </row>
    <row r="284" spans="1:20" x14ac:dyDescent="0.25">
      <c r="A284" s="5">
        <v>44309</v>
      </c>
      <c r="B284">
        <v>28.457000000000001</v>
      </c>
      <c r="C284">
        <v>29.2</v>
      </c>
      <c r="D284">
        <v>23.634</v>
      </c>
      <c r="E284">
        <v>27.715</v>
      </c>
      <c r="F284">
        <v>153971.92199999999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0.46640316205533605</v>
      </c>
      <c r="Q284">
        <f t="shared" si="966"/>
        <v>71812.991288537552</v>
      </c>
      <c r="R284">
        <f t="shared" si="967"/>
        <v>-736216.56989222963</v>
      </c>
      <c r="S284">
        <f t="shared" si="968"/>
        <v>-7.3621656989222961</v>
      </c>
      <c r="T284">
        <f t="shared" si="969"/>
        <v>-7.3621656989222963E-3</v>
      </c>
    </row>
    <row r="285" spans="1:20" x14ac:dyDescent="0.25">
      <c r="A285" s="5">
        <v>44308</v>
      </c>
      <c r="B285">
        <v>31.454000000000001</v>
      </c>
      <c r="C285">
        <v>34.299999999999997</v>
      </c>
      <c r="D285">
        <v>27.777000000000001</v>
      </c>
      <c r="E285">
        <v>28.457000000000001</v>
      </c>
      <c r="F285">
        <v>210248.764</v>
      </c>
      <c r="G285">
        <v>0</v>
      </c>
      <c r="L285" t="s">
        <v>7</v>
      </c>
      <c r="M285" t="s">
        <v>7</v>
      </c>
      <c r="N285" t="s">
        <v>7</v>
      </c>
      <c r="P285">
        <f t="shared" si="965"/>
        <v>-0.7915069753181051</v>
      </c>
      <c r="Q285">
        <f t="shared" si="966"/>
        <v>-166413.3632580101</v>
      </c>
      <c r="R285">
        <f t="shared" si="967"/>
        <v>-808029.56118076714</v>
      </c>
      <c r="S285">
        <f t="shared" si="968"/>
        <v>-8.0802956118076708</v>
      </c>
      <c r="T285">
        <f t="shared" si="969"/>
        <v>-8.08029561180767E-3</v>
      </c>
    </row>
    <row r="286" spans="1:20" x14ac:dyDescent="0.25">
      <c r="A286" s="5">
        <v>44307</v>
      </c>
      <c r="B286">
        <v>34.417000000000002</v>
      </c>
      <c r="C286">
        <v>35.965000000000003</v>
      </c>
      <c r="D286">
        <v>31.026</v>
      </c>
      <c r="E286">
        <v>31.457000000000001</v>
      </c>
      <c r="F286">
        <v>112496.9</v>
      </c>
      <c r="G286">
        <v>0</v>
      </c>
      <c r="L286" t="s">
        <v>8</v>
      </c>
      <c r="M286" t="s">
        <v>8</v>
      </c>
      <c r="N286" t="s">
        <v>7</v>
      </c>
      <c r="P286">
        <f t="shared" si="965"/>
        <v>-0.82547074306539758</v>
      </c>
      <c r="Q286">
        <f t="shared" si="966"/>
        <v>-92862.899635553724</v>
      </c>
      <c r="R286">
        <f t="shared" si="967"/>
        <v>-641616.19792275701</v>
      </c>
      <c r="S286">
        <f t="shared" si="968"/>
        <v>-6.4161619792275699</v>
      </c>
      <c r="T286">
        <f t="shared" si="969"/>
        <v>-6.4161619792275698E-3</v>
      </c>
    </row>
    <row r="287" spans="1:20" x14ac:dyDescent="0.25">
      <c r="A287" s="5">
        <v>44306</v>
      </c>
      <c r="B287">
        <v>35.387</v>
      </c>
      <c r="C287">
        <v>36.531999999999996</v>
      </c>
      <c r="D287">
        <v>29.835000000000001</v>
      </c>
      <c r="E287">
        <v>34.466999999999999</v>
      </c>
      <c r="F287">
        <v>235604.24400000001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0.38330595789159355</v>
      </c>
      <c r="Q287">
        <f t="shared" si="966"/>
        <v>90308.51042974474</v>
      </c>
      <c r="R287">
        <f t="shared" si="967"/>
        <v>-548753.2982872033</v>
      </c>
      <c r="S287">
        <f t="shared" si="968"/>
        <v>-5.4875329828720334</v>
      </c>
      <c r="T287">
        <f t="shared" si="969"/>
        <v>-5.4875329828720336E-3</v>
      </c>
    </row>
    <row r="288" spans="1:20" x14ac:dyDescent="0.25">
      <c r="A288" s="5">
        <v>44305</v>
      </c>
      <c r="B288">
        <v>39.101999999999997</v>
      </c>
      <c r="C288">
        <v>40.700000000000003</v>
      </c>
      <c r="D288">
        <v>34.5</v>
      </c>
      <c r="E288">
        <v>35.247999999999998</v>
      </c>
      <c r="F288">
        <v>151993.27100000001</v>
      </c>
      <c r="G288">
        <v>0</v>
      </c>
      <c r="L288" t="s">
        <v>7</v>
      </c>
      <c r="M288" t="s">
        <v>7</v>
      </c>
      <c r="N288" t="s">
        <v>7</v>
      </c>
      <c r="P288">
        <f t="shared" si="965"/>
        <v>-0.75870967741935569</v>
      </c>
      <c r="Q288">
        <f t="shared" si="966"/>
        <v>-115318.76561032272</v>
      </c>
      <c r="R288">
        <f t="shared" si="967"/>
        <v>-639061.80871694803</v>
      </c>
      <c r="S288">
        <f t="shared" si="968"/>
        <v>-6.3906180871694804</v>
      </c>
      <c r="T288">
        <f t="shared" si="969"/>
        <v>-6.3906180871694807E-3</v>
      </c>
    </row>
    <row r="289" spans="1:20" x14ac:dyDescent="0.25">
      <c r="A289" s="5">
        <v>44304</v>
      </c>
      <c r="B289">
        <v>46.335999999999999</v>
      </c>
      <c r="C289">
        <v>46.341999999999999</v>
      </c>
      <c r="D289">
        <v>35.344999999999999</v>
      </c>
      <c r="E289">
        <v>39.292999999999999</v>
      </c>
      <c r="F289">
        <v>226619.076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-0.28198599618077652</v>
      </c>
      <c r="Q289">
        <f t="shared" si="966"/>
        <v>-63903.405899427104</v>
      </c>
      <c r="R289">
        <f t="shared" si="967"/>
        <v>-523743.04310662532</v>
      </c>
      <c r="S289">
        <f t="shared" si="968"/>
        <v>-5.2374304310662536</v>
      </c>
      <c r="T289">
        <f t="shared" si="969"/>
        <v>-5.2374304310662534E-3</v>
      </c>
    </row>
    <row r="290" spans="1:20" x14ac:dyDescent="0.25">
      <c r="A290" s="5">
        <v>44303</v>
      </c>
      <c r="B290">
        <v>50.432000000000002</v>
      </c>
      <c r="C290">
        <v>51.841999999999999</v>
      </c>
      <c r="D290">
        <v>45.423000000000002</v>
      </c>
      <c r="E290">
        <v>46.338999999999999</v>
      </c>
      <c r="F290">
        <v>103360.357</v>
      </c>
      <c r="G290">
        <v>0</v>
      </c>
      <c r="L290" t="s">
        <v>7</v>
      </c>
      <c r="M290" t="s">
        <v>8</v>
      </c>
      <c r="N290" t="s">
        <v>8</v>
      </c>
      <c r="P290">
        <f t="shared" si="965"/>
        <v>-0.71459728929739919</v>
      </c>
      <c r="Q290">
        <f t="shared" si="966"/>
        <v>-73861.030933011469</v>
      </c>
      <c r="R290">
        <f t="shared" si="967"/>
        <v>-459839.63720719819</v>
      </c>
      <c r="S290">
        <f t="shared" si="968"/>
        <v>-4.5983963720719823</v>
      </c>
      <c r="T290">
        <f t="shared" si="969"/>
        <v>-4.598396372071982E-3</v>
      </c>
    </row>
    <row r="291" spans="1:20" x14ac:dyDescent="0.25">
      <c r="A291" s="5">
        <v>44302</v>
      </c>
      <c r="B291">
        <v>50.256</v>
      </c>
      <c r="C291">
        <v>52.628</v>
      </c>
      <c r="D291">
        <v>46.2</v>
      </c>
      <c r="E291">
        <v>50.499000000000002</v>
      </c>
      <c r="F291">
        <v>164503.76199999999</v>
      </c>
      <c r="G291">
        <v>0</v>
      </c>
      <c r="L291" t="s">
        <v>7</v>
      </c>
      <c r="M291" t="s">
        <v>8</v>
      </c>
      <c r="N291" t="s">
        <v>8</v>
      </c>
      <c r="P291">
        <f t="shared" si="965"/>
        <v>0.33758556316117028</v>
      </c>
      <c r="Q291">
        <f t="shared" si="966"/>
        <v>55534.095136901116</v>
      </c>
      <c r="R291">
        <f t="shared" si="967"/>
        <v>-385978.60627418669</v>
      </c>
      <c r="S291">
        <f t="shared" si="968"/>
        <v>-3.859786062741867</v>
      </c>
      <c r="T291">
        <f t="shared" si="969"/>
        <v>-3.8597860627418669E-3</v>
      </c>
    </row>
    <row r="292" spans="1:20" x14ac:dyDescent="0.25">
      <c r="A292" s="5">
        <v>44301</v>
      </c>
      <c r="B292">
        <v>46.7</v>
      </c>
      <c r="C292">
        <v>53.792000000000002</v>
      </c>
      <c r="D292">
        <v>46.377000000000002</v>
      </c>
      <c r="E292">
        <v>50.268000000000001</v>
      </c>
      <c r="F292">
        <v>375263.212</v>
      </c>
      <c r="G292">
        <v>0</v>
      </c>
      <c r="L292" t="s">
        <v>8</v>
      </c>
      <c r="M292" t="s">
        <v>8</v>
      </c>
      <c r="N292" t="s">
        <v>8</v>
      </c>
      <c r="P292">
        <f t="shared" si="965"/>
        <v>4.9494268374915357E-2</v>
      </c>
      <c r="Q292">
        <f t="shared" si="966"/>
        <v>18573.378125960757</v>
      </c>
      <c r="R292">
        <f t="shared" si="967"/>
        <v>-441512.70141108782</v>
      </c>
      <c r="S292">
        <f t="shared" si="968"/>
        <v>-4.4151270141108778</v>
      </c>
      <c r="T292">
        <f t="shared" si="969"/>
        <v>-4.4151270141108779E-3</v>
      </c>
    </row>
    <row r="293" spans="1:20" x14ac:dyDescent="0.25">
      <c r="A293" s="5">
        <v>44300</v>
      </c>
      <c r="B293">
        <v>43.472999999999999</v>
      </c>
      <c r="C293">
        <v>46.8</v>
      </c>
      <c r="D293">
        <v>42.01</v>
      </c>
      <c r="E293">
        <v>46.7</v>
      </c>
      <c r="F293">
        <v>220724.364</v>
      </c>
      <c r="G293">
        <v>0</v>
      </c>
      <c r="L293" t="s">
        <v>8</v>
      </c>
      <c r="M293" t="s">
        <v>8</v>
      </c>
      <c r="N293" t="s">
        <v>7</v>
      </c>
      <c r="P293">
        <f t="shared" si="965"/>
        <v>0.95824634655532592</v>
      </c>
      <c r="Q293">
        <f t="shared" si="966"/>
        <v>211508.31539874792</v>
      </c>
      <c r="R293">
        <f t="shared" si="967"/>
        <v>-460086.07953704859</v>
      </c>
      <c r="S293">
        <f t="shared" si="968"/>
        <v>-4.6008607953704859</v>
      </c>
      <c r="T293">
        <f t="shared" si="969"/>
        <v>-4.6008607953704856E-3</v>
      </c>
    </row>
    <row r="294" spans="1:20" x14ac:dyDescent="0.25">
      <c r="A294" s="5">
        <v>44299</v>
      </c>
      <c r="B294">
        <v>41.000999999999998</v>
      </c>
      <c r="C294">
        <v>45.683999999999997</v>
      </c>
      <c r="D294">
        <v>40.869</v>
      </c>
      <c r="E294">
        <v>43.594000000000001</v>
      </c>
      <c r="F294">
        <v>182822.076</v>
      </c>
      <c r="G294">
        <v>0</v>
      </c>
      <c r="L294" t="s">
        <v>8</v>
      </c>
      <c r="M294" t="s">
        <v>8</v>
      </c>
      <c r="N294" t="s">
        <v>7</v>
      </c>
      <c r="P294">
        <f t="shared" si="965"/>
        <v>0.13187954309449748</v>
      </c>
      <c r="Q294">
        <f t="shared" si="966"/>
        <v>24110.491850467493</v>
      </c>
      <c r="R294">
        <f t="shared" si="967"/>
        <v>-671594.3949357965</v>
      </c>
      <c r="S294">
        <f t="shared" si="968"/>
        <v>-6.7159439493579649</v>
      </c>
      <c r="T294">
        <f t="shared" si="969"/>
        <v>-6.7159439493579649E-3</v>
      </c>
    </row>
    <row r="295" spans="1:20" x14ac:dyDescent="0.25">
      <c r="A295" s="5">
        <v>44298</v>
      </c>
      <c r="B295">
        <v>41.088999999999999</v>
      </c>
      <c r="C295">
        <v>42.295000000000002</v>
      </c>
      <c r="D295">
        <v>40</v>
      </c>
      <c r="E295">
        <v>41.000999999999998</v>
      </c>
      <c r="F295">
        <v>84542.543999999994</v>
      </c>
      <c r="G295">
        <v>0</v>
      </c>
      <c r="L295" t="s">
        <v>7</v>
      </c>
      <c r="M295" t="s">
        <v>8</v>
      </c>
      <c r="N295" t="s">
        <v>7</v>
      </c>
      <c r="P295">
        <f t="shared" si="965"/>
        <v>-0.12766884531590683</v>
      </c>
      <c r="Q295">
        <f t="shared" si="966"/>
        <v>-10793.448972549246</v>
      </c>
      <c r="R295">
        <f t="shared" si="967"/>
        <v>-695704.88678626402</v>
      </c>
      <c r="S295">
        <f t="shared" si="968"/>
        <v>-6.9570488678626399</v>
      </c>
      <c r="T295">
        <f t="shared" si="969"/>
        <v>-6.9570488678626398E-3</v>
      </c>
    </row>
    <row r="296" spans="1:20" x14ac:dyDescent="0.25">
      <c r="A296" s="5">
        <v>44297</v>
      </c>
      <c r="B296">
        <v>42.17</v>
      </c>
      <c r="C296">
        <v>42.744999999999997</v>
      </c>
      <c r="D296">
        <v>40.566000000000003</v>
      </c>
      <c r="E296">
        <v>41.072000000000003</v>
      </c>
      <c r="F296">
        <v>43437.182999999997</v>
      </c>
      <c r="G296">
        <v>0</v>
      </c>
      <c r="L296" t="s">
        <v>7</v>
      </c>
      <c r="M296" t="s">
        <v>8</v>
      </c>
      <c r="N296" t="s">
        <v>7</v>
      </c>
      <c r="P296">
        <f t="shared" si="965"/>
        <v>-0.53556677374942507</v>
      </c>
      <c r="Q296">
        <f t="shared" si="966"/>
        <v>-23263.511960073371</v>
      </c>
      <c r="R296">
        <f t="shared" si="967"/>
        <v>-684911.43781371473</v>
      </c>
      <c r="S296">
        <f t="shared" si="968"/>
        <v>-6.8491143781371475</v>
      </c>
      <c r="T296">
        <f t="shared" si="969"/>
        <v>-6.8491143781371474E-3</v>
      </c>
    </row>
    <row r="297" spans="1:20" x14ac:dyDescent="0.25">
      <c r="A297" s="5">
        <v>44296</v>
      </c>
      <c r="B297">
        <v>42.71</v>
      </c>
      <c r="C297">
        <v>45.15</v>
      </c>
      <c r="D297">
        <v>41.226999999999997</v>
      </c>
      <c r="E297">
        <v>42.17</v>
      </c>
      <c r="F297">
        <v>98885.421000000002</v>
      </c>
      <c r="G297">
        <v>0</v>
      </c>
      <c r="L297" t="s">
        <v>8</v>
      </c>
      <c r="M297" t="s">
        <v>8</v>
      </c>
      <c r="N297" t="s">
        <v>7</v>
      </c>
      <c r="P297">
        <f t="shared" si="965"/>
        <v>-0.51924547540147614</v>
      </c>
      <c r="Q297">
        <f t="shared" si="966"/>
        <v>-51345.807437420117</v>
      </c>
      <c r="R297">
        <f t="shared" si="967"/>
        <v>-661647.92585364135</v>
      </c>
      <c r="S297">
        <f t="shared" si="968"/>
        <v>-6.6164792585364136</v>
      </c>
      <c r="T297">
        <f t="shared" si="969"/>
        <v>-6.6164792585364134E-3</v>
      </c>
    </row>
    <row r="298" spans="1:20" x14ac:dyDescent="0.25">
      <c r="A298" s="5">
        <v>44295</v>
      </c>
      <c r="B298">
        <v>43.168999999999997</v>
      </c>
      <c r="C298">
        <v>44.057000000000002</v>
      </c>
      <c r="D298">
        <v>41.198</v>
      </c>
      <c r="E298">
        <v>42.680999999999997</v>
      </c>
      <c r="F298">
        <v>112041.094</v>
      </c>
      <c r="G298">
        <v>0</v>
      </c>
      <c r="L298" t="s">
        <v>8</v>
      </c>
      <c r="M298" t="s">
        <v>7</v>
      </c>
      <c r="N298" t="s">
        <v>7</v>
      </c>
      <c r="P298">
        <f t="shared" si="965"/>
        <v>3.7425673312344226E-2</v>
      </c>
      <c r="Q298">
        <f t="shared" si="966"/>
        <v>4193.2133816016503</v>
      </c>
      <c r="R298">
        <f t="shared" si="967"/>
        <v>-610302.11841622123</v>
      </c>
      <c r="S298">
        <f t="shared" si="968"/>
        <v>-6.1030211841622126</v>
      </c>
      <c r="T298">
        <f t="shared" si="969"/>
        <v>-6.1030211841622125E-3</v>
      </c>
    </row>
    <row r="299" spans="1:20" x14ac:dyDescent="0.25">
      <c r="A299" s="5">
        <v>44294</v>
      </c>
      <c r="B299">
        <v>38.154000000000003</v>
      </c>
      <c r="C299">
        <v>43.802</v>
      </c>
      <c r="D299">
        <v>37.700000000000003</v>
      </c>
      <c r="E299">
        <v>43.100999999999999</v>
      </c>
      <c r="F299">
        <v>115608.68799999999</v>
      </c>
      <c r="G299">
        <v>0</v>
      </c>
      <c r="L299" t="s">
        <v>8</v>
      </c>
      <c r="M299" t="s">
        <v>7</v>
      </c>
      <c r="N299" t="s">
        <v>7</v>
      </c>
      <c r="P299">
        <f t="shared" si="965"/>
        <v>0.77023926581448676</v>
      </c>
      <c r="Q299">
        <f t="shared" si="966"/>
        <v>89046.350966896061</v>
      </c>
      <c r="R299">
        <f t="shared" si="967"/>
        <v>-614495.33179782284</v>
      </c>
      <c r="S299">
        <f t="shared" si="968"/>
        <v>-6.1449533179782287</v>
      </c>
      <c r="T299">
        <f t="shared" si="969"/>
        <v>-6.1449533179782287E-3</v>
      </c>
    </row>
    <row r="300" spans="1:20" x14ac:dyDescent="0.25">
      <c r="A300" s="5">
        <v>44293</v>
      </c>
      <c r="B300">
        <v>41.401000000000003</v>
      </c>
      <c r="C300">
        <v>41.728000000000002</v>
      </c>
      <c r="D300">
        <v>37.19</v>
      </c>
      <c r="E300">
        <v>38.200000000000003</v>
      </c>
      <c r="F300">
        <v>102872.08900000001</v>
      </c>
      <c r="G300">
        <v>0</v>
      </c>
      <c r="L300" t="s">
        <v>7</v>
      </c>
      <c r="M300" t="s">
        <v>7</v>
      </c>
      <c r="N300" t="s">
        <v>7</v>
      </c>
      <c r="P300">
        <f t="shared" si="965"/>
        <v>-0.55486998677831456</v>
      </c>
      <c r="Q300">
        <f t="shared" si="966"/>
        <v>-57080.634663287601</v>
      </c>
      <c r="R300">
        <f t="shared" si="967"/>
        <v>-703541.68276471889</v>
      </c>
      <c r="S300">
        <f t="shared" si="968"/>
        <v>-7.0354168276471887</v>
      </c>
      <c r="T300">
        <f t="shared" si="969"/>
        <v>-7.0354168276471887E-3</v>
      </c>
    </row>
    <row r="301" spans="1:20" x14ac:dyDescent="0.25">
      <c r="A301" s="5">
        <v>44292</v>
      </c>
      <c r="B301">
        <v>42.853999999999999</v>
      </c>
      <c r="C301">
        <v>44.206000000000003</v>
      </c>
      <c r="D301">
        <v>40.378999999999998</v>
      </c>
      <c r="E301">
        <v>41.401000000000003</v>
      </c>
      <c r="F301">
        <v>96547.357000000004</v>
      </c>
      <c r="G301">
        <v>0</v>
      </c>
      <c r="L301" t="s">
        <v>7</v>
      </c>
      <c r="M301" t="s">
        <v>7</v>
      </c>
      <c r="N301" t="s">
        <v>7</v>
      </c>
      <c r="P301">
        <f t="shared" si="965"/>
        <v>-0.46590018291089408</v>
      </c>
      <c r="Q301">
        <f t="shared" si="966"/>
        <v>-44981.431285863393</v>
      </c>
      <c r="R301">
        <f t="shared" si="967"/>
        <v>-646461.04810143134</v>
      </c>
      <c r="S301">
        <f t="shared" si="968"/>
        <v>-6.4646104810143132</v>
      </c>
      <c r="T301">
        <f t="shared" si="969"/>
        <v>-6.4646104810143134E-3</v>
      </c>
    </row>
    <row r="302" spans="1:20" x14ac:dyDescent="0.25">
      <c r="A302" s="5">
        <v>44291</v>
      </c>
      <c r="B302">
        <v>41.320999999999998</v>
      </c>
      <c r="C302">
        <v>44.77</v>
      </c>
      <c r="D302">
        <v>40</v>
      </c>
      <c r="E302">
        <v>42.854999999999997</v>
      </c>
      <c r="F302">
        <v>155842.79199999999</v>
      </c>
      <c r="G302">
        <v>0</v>
      </c>
      <c r="L302" t="s">
        <v>8</v>
      </c>
      <c r="M302" t="s">
        <v>7</v>
      </c>
      <c r="N302" t="s">
        <v>7</v>
      </c>
      <c r="P302">
        <f t="shared" si="965"/>
        <v>0.19706498951781762</v>
      </c>
      <c r="Q302">
        <f t="shared" si="966"/>
        <v>30711.158171907427</v>
      </c>
      <c r="R302">
        <f t="shared" si="967"/>
        <v>-601479.61681556795</v>
      </c>
      <c r="S302">
        <f t="shared" si="968"/>
        <v>-6.0147961681556792</v>
      </c>
      <c r="T302">
        <f t="shared" si="969"/>
        <v>-6.0147961681556788E-3</v>
      </c>
    </row>
    <row r="303" spans="1:20" x14ac:dyDescent="0.25">
      <c r="A303" s="5">
        <v>44290</v>
      </c>
      <c r="B303">
        <v>39.167000000000002</v>
      </c>
      <c r="C303">
        <v>42.173999999999999</v>
      </c>
      <c r="D303">
        <v>38.85</v>
      </c>
      <c r="E303">
        <v>41.396000000000001</v>
      </c>
      <c r="F303">
        <v>81647.316999999995</v>
      </c>
      <c r="G303">
        <v>0</v>
      </c>
      <c r="L303" t="s">
        <v>7</v>
      </c>
      <c r="M303" t="s">
        <v>7</v>
      </c>
      <c r="N303" t="s">
        <v>7</v>
      </c>
      <c r="P303">
        <f t="shared" si="965"/>
        <v>0.53188929001203422</v>
      </c>
      <c r="Q303">
        <f t="shared" si="966"/>
        <v>43427.333470517493</v>
      </c>
      <c r="R303">
        <f t="shared" si="967"/>
        <v>-632190.77498747536</v>
      </c>
      <c r="S303">
        <f t="shared" si="968"/>
        <v>-6.3219077498747538</v>
      </c>
      <c r="T303">
        <f t="shared" si="969"/>
        <v>-6.3219077498747542E-3</v>
      </c>
    </row>
    <row r="304" spans="1:20" x14ac:dyDescent="0.25">
      <c r="A304" s="5">
        <v>44289</v>
      </c>
      <c r="B304">
        <v>43.470999999999997</v>
      </c>
      <c r="C304">
        <v>43.89</v>
      </c>
      <c r="D304">
        <v>39.164999999999999</v>
      </c>
      <c r="E304">
        <v>39.39</v>
      </c>
      <c r="F304">
        <v>98729.861000000004</v>
      </c>
      <c r="G304">
        <v>0</v>
      </c>
      <c r="L304" t="s">
        <v>7</v>
      </c>
      <c r="M304" t="s">
        <v>7</v>
      </c>
      <c r="N304" t="s">
        <v>7</v>
      </c>
      <c r="P304">
        <f t="shared" si="965"/>
        <v>-0.90476190476190421</v>
      </c>
      <c r="Q304">
        <f t="shared" si="966"/>
        <v>-89327.017095238043</v>
      </c>
      <c r="R304">
        <f t="shared" si="967"/>
        <v>-675618.1084579929</v>
      </c>
      <c r="S304">
        <f t="shared" si="968"/>
        <v>-6.7561810845799286</v>
      </c>
      <c r="T304">
        <f t="shared" si="969"/>
        <v>-6.756181084579929E-3</v>
      </c>
    </row>
    <row r="305" spans="1:20" x14ac:dyDescent="0.25">
      <c r="A305" s="5">
        <v>44288</v>
      </c>
      <c r="B305">
        <v>46.274999999999999</v>
      </c>
      <c r="C305">
        <v>47.698999999999998</v>
      </c>
      <c r="D305">
        <v>42.2</v>
      </c>
      <c r="E305">
        <v>43.466000000000001</v>
      </c>
      <c r="F305">
        <v>184169.71599999999</v>
      </c>
      <c r="G305">
        <v>0</v>
      </c>
      <c r="L305" t="s">
        <v>7</v>
      </c>
      <c r="M305" t="s">
        <v>8</v>
      </c>
      <c r="N305" t="s">
        <v>7</v>
      </c>
      <c r="P305">
        <f t="shared" si="965"/>
        <v>-0.53955264593562491</v>
      </c>
      <c r="Q305">
        <f t="shared" si="966"/>
        <v>-99369.257569012581</v>
      </c>
      <c r="R305">
        <f t="shared" si="967"/>
        <v>-586291.09136275481</v>
      </c>
      <c r="S305">
        <f t="shared" si="968"/>
        <v>-5.8629109136275481</v>
      </c>
      <c r="T305">
        <f t="shared" si="969"/>
        <v>-5.8629109136275484E-3</v>
      </c>
    </row>
    <row r="306" spans="1:20" x14ac:dyDescent="0.25">
      <c r="A306" s="5">
        <v>44287</v>
      </c>
      <c r="B306">
        <v>36.863999999999997</v>
      </c>
      <c r="C306">
        <v>49</v>
      </c>
      <c r="D306">
        <v>36.847000000000001</v>
      </c>
      <c r="E306">
        <v>46.22</v>
      </c>
      <c r="F306">
        <v>656842.46600000001</v>
      </c>
      <c r="G306">
        <v>0</v>
      </c>
      <c r="L306" t="s">
        <v>8</v>
      </c>
      <c r="M306" t="s">
        <v>8</v>
      </c>
      <c r="N306" t="s">
        <v>7</v>
      </c>
      <c r="P306">
        <f t="shared" si="965"/>
        <v>0.54249979428947559</v>
      </c>
      <c r="Q306">
        <f t="shared" si="966"/>
        <v>356336.90268559189</v>
      </c>
      <c r="R306">
        <f t="shared" si="967"/>
        <v>-486921.83379374229</v>
      </c>
      <c r="S306">
        <f t="shared" si="968"/>
        <v>-4.869218337937423</v>
      </c>
      <c r="T306">
        <f t="shared" si="969"/>
        <v>-4.8692183379374226E-3</v>
      </c>
    </row>
    <row r="307" spans="1:20" x14ac:dyDescent="0.25">
      <c r="A307" s="5">
        <v>44286</v>
      </c>
      <c r="B307">
        <v>39.67</v>
      </c>
      <c r="C307">
        <v>40.491</v>
      </c>
      <c r="D307">
        <v>36.055999999999997</v>
      </c>
      <c r="E307">
        <v>37.091000000000001</v>
      </c>
      <c r="F307">
        <v>96400.922000000006</v>
      </c>
      <c r="G307">
        <v>0</v>
      </c>
      <c r="L307" t="s">
        <v>7</v>
      </c>
      <c r="M307" t="s">
        <v>8</v>
      </c>
      <c r="N307" t="s">
        <v>7</v>
      </c>
      <c r="P307">
        <f t="shared" si="965"/>
        <v>-0.53325817361893879</v>
      </c>
      <c r="Q307">
        <f t="shared" si="966"/>
        <v>-51406.579600901779</v>
      </c>
      <c r="R307">
        <f t="shared" si="967"/>
        <v>-843258.73647933418</v>
      </c>
      <c r="S307">
        <f t="shared" si="968"/>
        <v>-8.432587364793342</v>
      </c>
      <c r="T307">
        <f t="shared" si="969"/>
        <v>-8.4325873647933414E-3</v>
      </c>
    </row>
    <row r="308" spans="1:20" x14ac:dyDescent="0.25">
      <c r="A308" s="5">
        <v>44285</v>
      </c>
      <c r="B308">
        <v>37.317999999999998</v>
      </c>
      <c r="C308">
        <v>41.265999999999998</v>
      </c>
      <c r="D308">
        <v>37</v>
      </c>
      <c r="E308">
        <v>39.716999999999999</v>
      </c>
      <c r="F308">
        <v>201602.13200000001</v>
      </c>
      <c r="G308">
        <v>0</v>
      </c>
      <c r="L308" t="s">
        <v>8</v>
      </c>
      <c r="M308" t="s">
        <v>8</v>
      </c>
      <c r="N308" t="s">
        <v>7</v>
      </c>
      <c r="P308">
        <f t="shared" si="965"/>
        <v>0.27379278012189401</v>
      </c>
      <c r="Q308">
        <f t="shared" si="966"/>
        <v>55197.208198781052</v>
      </c>
      <c r="R308">
        <f t="shared" si="967"/>
        <v>-791852.15687843238</v>
      </c>
      <c r="S308">
        <f t="shared" si="968"/>
        <v>-7.9185215687843238</v>
      </c>
      <c r="T308">
        <f t="shared" si="969"/>
        <v>-7.918521568784323E-3</v>
      </c>
    </row>
    <row r="309" spans="1:20" x14ac:dyDescent="0.25">
      <c r="A309" s="5">
        <v>44284</v>
      </c>
      <c r="B309">
        <v>35.978000000000002</v>
      </c>
      <c r="C309">
        <v>38.005000000000003</v>
      </c>
      <c r="D309">
        <v>35.1</v>
      </c>
      <c r="E309">
        <v>37.444000000000003</v>
      </c>
      <c r="F309">
        <v>108607.25199999999</v>
      </c>
      <c r="G309">
        <v>0</v>
      </c>
      <c r="L309" t="s">
        <v>7</v>
      </c>
      <c r="M309" t="s">
        <v>7</v>
      </c>
      <c r="N309" t="s">
        <v>7</v>
      </c>
      <c r="P309">
        <f t="shared" si="965"/>
        <v>0.61376936316695374</v>
      </c>
      <c r="Q309">
        <f t="shared" si="966"/>
        <v>66659.803895352859</v>
      </c>
      <c r="R309">
        <f t="shared" si="967"/>
        <v>-847049.36507721338</v>
      </c>
      <c r="S309">
        <f t="shared" si="968"/>
        <v>-8.4704936507721342</v>
      </c>
      <c r="T309">
        <f t="shared" si="969"/>
        <v>-8.4704936507721349E-3</v>
      </c>
    </row>
    <row r="310" spans="1:20" x14ac:dyDescent="0.25">
      <c r="A310" s="5">
        <v>44283</v>
      </c>
      <c r="B310">
        <v>37.439</v>
      </c>
      <c r="C310">
        <v>37.779000000000003</v>
      </c>
      <c r="D310">
        <v>35.411000000000001</v>
      </c>
      <c r="E310">
        <v>35.926000000000002</v>
      </c>
      <c r="F310">
        <v>89660.678</v>
      </c>
      <c r="G310">
        <v>0</v>
      </c>
      <c r="L310" t="s">
        <v>7</v>
      </c>
      <c r="M310" t="s">
        <v>7</v>
      </c>
      <c r="N310" t="s">
        <v>7</v>
      </c>
      <c r="P310">
        <f t="shared" si="965"/>
        <v>-0.56503378378378366</v>
      </c>
      <c r="Q310">
        <f t="shared" si="966"/>
        <v>-50661.312146959448</v>
      </c>
      <c r="R310">
        <f t="shared" si="967"/>
        <v>-913709.16897256626</v>
      </c>
      <c r="S310">
        <f t="shared" si="968"/>
        <v>-9.1370916897256631</v>
      </c>
      <c r="T310">
        <f t="shared" si="969"/>
        <v>-9.1370916897256637E-3</v>
      </c>
    </row>
    <row r="311" spans="1:20" x14ac:dyDescent="0.25">
      <c r="A311" s="5">
        <v>44282</v>
      </c>
      <c r="B311">
        <v>38.161999999999999</v>
      </c>
      <c r="C311">
        <v>38.694000000000003</v>
      </c>
      <c r="D311">
        <v>36.5</v>
      </c>
      <c r="E311">
        <v>37.468000000000004</v>
      </c>
      <c r="F311">
        <v>75061.778999999995</v>
      </c>
      <c r="G311">
        <v>0</v>
      </c>
      <c r="L311" t="s">
        <v>8</v>
      </c>
      <c r="M311" t="s">
        <v>7</v>
      </c>
      <c r="N311" t="s">
        <v>7</v>
      </c>
      <c r="P311">
        <f t="shared" si="965"/>
        <v>-0.11759343664539437</v>
      </c>
      <c r="Q311">
        <f t="shared" si="966"/>
        <v>-8826.7725533270932</v>
      </c>
      <c r="R311">
        <f t="shared" si="967"/>
        <v>-863047.85682560678</v>
      </c>
      <c r="S311">
        <f t="shared" si="968"/>
        <v>-8.6304785682560681</v>
      </c>
      <c r="T311">
        <f t="shared" si="969"/>
        <v>-8.6304785682560677E-3</v>
      </c>
    </row>
    <row r="312" spans="1:20" x14ac:dyDescent="0.25">
      <c r="A312" s="5">
        <v>44281</v>
      </c>
      <c r="B312">
        <v>34.375</v>
      </c>
      <c r="C312">
        <v>39.314999999999998</v>
      </c>
      <c r="D312">
        <v>34.100999999999999</v>
      </c>
      <c r="E312">
        <v>38.164000000000001</v>
      </c>
      <c r="F312">
        <v>130776.374</v>
      </c>
      <c r="G312">
        <v>0</v>
      </c>
      <c r="L312" t="s">
        <v>7</v>
      </c>
      <c r="M312" t="s">
        <v>7</v>
      </c>
      <c r="N312" t="s">
        <v>7</v>
      </c>
      <c r="P312">
        <f t="shared" si="965"/>
        <v>0.5584963559647117</v>
      </c>
      <c r="Q312">
        <f t="shared" si="966"/>
        <v>73038.12832527826</v>
      </c>
      <c r="R312">
        <f t="shared" si="967"/>
        <v>-854221.08427227964</v>
      </c>
      <c r="S312">
        <f t="shared" si="968"/>
        <v>-8.5422108427227972</v>
      </c>
      <c r="T312">
        <f t="shared" si="969"/>
        <v>-8.5422108427227975E-3</v>
      </c>
    </row>
    <row r="313" spans="1:20" x14ac:dyDescent="0.25">
      <c r="A313" s="5">
        <v>44280</v>
      </c>
      <c r="B313">
        <v>36.445999999999998</v>
      </c>
      <c r="C313">
        <v>42</v>
      </c>
      <c r="D313">
        <v>34.225000000000001</v>
      </c>
      <c r="E313">
        <v>34.359000000000002</v>
      </c>
      <c r="F313">
        <v>349141.571</v>
      </c>
      <c r="G313">
        <v>0</v>
      </c>
      <c r="L313" t="s">
        <v>8</v>
      </c>
      <c r="M313" t="s">
        <v>8</v>
      </c>
      <c r="N313" t="s">
        <v>7</v>
      </c>
      <c r="P313">
        <f t="shared" si="965"/>
        <v>-0.96553054662379412</v>
      </c>
      <c r="Q313">
        <f t="shared" si="966"/>
        <v>-337106.85189672024</v>
      </c>
      <c r="R313">
        <f t="shared" si="967"/>
        <v>-927259.21259755793</v>
      </c>
      <c r="S313">
        <f t="shared" si="968"/>
        <v>-9.2725921259755797</v>
      </c>
      <c r="T313">
        <f t="shared" si="969"/>
        <v>-9.2725921259755803E-3</v>
      </c>
    </row>
    <row r="314" spans="1:20" x14ac:dyDescent="0.25">
      <c r="A314" s="5">
        <v>44279</v>
      </c>
      <c r="B314">
        <v>36.799999999999997</v>
      </c>
      <c r="C314">
        <v>40</v>
      </c>
      <c r="D314">
        <v>34.231999999999999</v>
      </c>
      <c r="E314">
        <v>36.456000000000003</v>
      </c>
      <c r="F314">
        <v>184951.73199999999</v>
      </c>
      <c r="G314">
        <v>0</v>
      </c>
      <c r="L314" t="s">
        <v>7</v>
      </c>
      <c r="M314" t="s">
        <v>7</v>
      </c>
      <c r="N314" t="s">
        <v>7</v>
      </c>
      <c r="P314">
        <f t="shared" si="965"/>
        <v>-0.22884882108182958</v>
      </c>
      <c r="Q314">
        <f t="shared" si="966"/>
        <v>-42325.985825242489</v>
      </c>
      <c r="R314">
        <f t="shared" si="967"/>
        <v>-590152.36070083769</v>
      </c>
      <c r="S314">
        <f t="shared" si="968"/>
        <v>-5.901523607008377</v>
      </c>
      <c r="T314">
        <f t="shared" si="969"/>
        <v>-5.9015236070083773E-3</v>
      </c>
    </row>
    <row r="315" spans="1:20" x14ac:dyDescent="0.25">
      <c r="A315" s="5">
        <v>44278</v>
      </c>
      <c r="B315">
        <v>39.006</v>
      </c>
      <c r="C315">
        <v>40</v>
      </c>
      <c r="D315">
        <v>36.619</v>
      </c>
      <c r="E315">
        <v>36.798999999999999</v>
      </c>
      <c r="F315">
        <v>117563.33100000001</v>
      </c>
      <c r="G315">
        <v>0</v>
      </c>
      <c r="L315" t="s">
        <v>7</v>
      </c>
      <c r="M315" t="s">
        <v>7</v>
      </c>
      <c r="N315" t="s">
        <v>7</v>
      </c>
      <c r="P315">
        <f t="shared" si="965"/>
        <v>-0.8935226264418813</v>
      </c>
      <c r="Q315">
        <f t="shared" si="966"/>
        <v>-105045.49628837625</v>
      </c>
      <c r="R315">
        <f t="shared" si="967"/>
        <v>-547826.37487559521</v>
      </c>
      <c r="S315">
        <f t="shared" si="968"/>
        <v>-5.4782637487559525</v>
      </c>
      <c r="T315">
        <f t="shared" si="969"/>
        <v>-5.4782637487559528E-3</v>
      </c>
    </row>
    <row r="316" spans="1:20" x14ac:dyDescent="0.25">
      <c r="A316" s="5">
        <v>44277</v>
      </c>
      <c r="B316">
        <v>43.204999999999998</v>
      </c>
      <c r="C316">
        <v>43.487000000000002</v>
      </c>
      <c r="D316">
        <v>37.043999999999997</v>
      </c>
      <c r="E316">
        <v>39.005000000000003</v>
      </c>
      <c r="F316">
        <v>131525.32399999999</v>
      </c>
      <c r="G316">
        <v>0</v>
      </c>
      <c r="L316" t="s">
        <v>7</v>
      </c>
      <c r="M316" t="s">
        <v>7</v>
      </c>
      <c r="N316" t="s">
        <v>7</v>
      </c>
      <c r="P316">
        <f t="shared" si="965"/>
        <v>-0.3912773552692832</v>
      </c>
      <c r="Q316">
        <f t="shared" si="966"/>
        <v>-51462.880925655576</v>
      </c>
      <c r="R316">
        <f t="shared" si="967"/>
        <v>-442780.87858721899</v>
      </c>
      <c r="S316">
        <f t="shared" si="968"/>
        <v>-4.4278087858721902</v>
      </c>
      <c r="T316">
        <f t="shared" si="969"/>
        <v>-4.4278087858721903E-3</v>
      </c>
    </row>
    <row r="317" spans="1:20" x14ac:dyDescent="0.25">
      <c r="A317" s="5">
        <v>44276</v>
      </c>
      <c r="B317">
        <v>44.505000000000003</v>
      </c>
      <c r="C317">
        <v>46.158999999999999</v>
      </c>
      <c r="D317">
        <v>42.6</v>
      </c>
      <c r="E317">
        <v>43.341000000000001</v>
      </c>
      <c r="F317">
        <v>81756.881999999998</v>
      </c>
      <c r="G317">
        <v>0</v>
      </c>
      <c r="L317" t="s">
        <v>7</v>
      </c>
      <c r="M317" t="s">
        <v>8</v>
      </c>
      <c r="N317" t="s">
        <v>7</v>
      </c>
      <c r="P317">
        <f t="shared" si="965"/>
        <v>-0.5835908963191907</v>
      </c>
      <c r="Q317">
        <f t="shared" si="966"/>
        <v>-47712.572046642308</v>
      </c>
      <c r="R317">
        <f t="shared" si="967"/>
        <v>-391317.99766156339</v>
      </c>
      <c r="S317">
        <f t="shared" si="968"/>
        <v>-3.9131799766156341</v>
      </c>
      <c r="T317">
        <f t="shared" si="969"/>
        <v>-3.913179976615634E-3</v>
      </c>
    </row>
    <row r="318" spans="1:20" x14ac:dyDescent="0.25">
      <c r="A318" s="5">
        <v>44275</v>
      </c>
      <c r="B318">
        <v>43.976999999999997</v>
      </c>
      <c r="C318">
        <v>47.875999999999998</v>
      </c>
      <c r="D318">
        <v>43.779000000000003</v>
      </c>
      <c r="E318">
        <v>44.508000000000003</v>
      </c>
      <c r="F318">
        <v>135048.41399999999</v>
      </c>
      <c r="G318">
        <v>0</v>
      </c>
      <c r="L318" t="s">
        <v>8</v>
      </c>
      <c r="M318" t="s">
        <v>8</v>
      </c>
      <c r="N318" t="s">
        <v>7</v>
      </c>
      <c r="P318">
        <f t="shared" si="965"/>
        <v>-0.64412985111056864</v>
      </c>
      <c r="Q318">
        <f t="shared" si="966"/>
        <v>-86988.714802538423</v>
      </c>
      <c r="R318">
        <f t="shared" si="967"/>
        <v>-343605.42561492109</v>
      </c>
      <c r="S318">
        <f t="shared" si="968"/>
        <v>-3.4360542561492107</v>
      </c>
      <c r="T318">
        <f t="shared" si="969"/>
        <v>-3.4360542561492108E-3</v>
      </c>
    </row>
    <row r="319" spans="1:20" x14ac:dyDescent="0.25">
      <c r="A319" s="5">
        <v>44274</v>
      </c>
      <c r="B319">
        <v>42.503</v>
      </c>
      <c r="C319">
        <v>46.384999999999998</v>
      </c>
      <c r="D319">
        <v>41.7</v>
      </c>
      <c r="E319">
        <v>43.956000000000003</v>
      </c>
      <c r="F319">
        <v>161791.141</v>
      </c>
      <c r="G319">
        <v>0</v>
      </c>
      <c r="L319" t="s">
        <v>8</v>
      </c>
      <c r="M319" t="s">
        <v>7</v>
      </c>
      <c r="N319" t="s">
        <v>7</v>
      </c>
      <c r="P319">
        <f t="shared" si="965"/>
        <v>-3.6926360725719296E-2</v>
      </c>
      <c r="Q319">
        <f t="shared" si="966"/>
        <v>-5974.3580347917132</v>
      </c>
      <c r="R319">
        <f t="shared" si="967"/>
        <v>-256616.71081238266</v>
      </c>
      <c r="S319">
        <f t="shared" si="968"/>
        <v>-2.5661671081238264</v>
      </c>
      <c r="T319">
        <f t="shared" si="969"/>
        <v>-2.5661671081238266E-3</v>
      </c>
    </row>
    <row r="320" spans="1:20" x14ac:dyDescent="0.25">
      <c r="A320" s="5">
        <v>44273</v>
      </c>
      <c r="B320">
        <v>43.847999999999999</v>
      </c>
      <c r="C320">
        <v>45.686999999999998</v>
      </c>
      <c r="D320">
        <v>42.405000000000001</v>
      </c>
      <c r="E320">
        <v>42.503999999999998</v>
      </c>
      <c r="F320">
        <v>77043.445000000007</v>
      </c>
      <c r="G320">
        <v>0</v>
      </c>
      <c r="L320" t="s">
        <v>8</v>
      </c>
      <c r="M320" t="s">
        <v>7</v>
      </c>
      <c r="N320" t="s">
        <v>7</v>
      </c>
      <c r="P320">
        <f t="shared" si="965"/>
        <v>-0.93967093235832011</v>
      </c>
      <c r="Q320">
        <f t="shared" si="966"/>
        <v>-72395.485795246961</v>
      </c>
      <c r="R320">
        <f t="shared" si="967"/>
        <v>-250642.35277759095</v>
      </c>
      <c r="S320">
        <f t="shared" si="968"/>
        <v>-2.5064235277759095</v>
      </c>
      <c r="T320">
        <f t="shared" si="969"/>
        <v>-2.5064235277759096E-3</v>
      </c>
    </row>
    <row r="321" spans="1:20" x14ac:dyDescent="0.25">
      <c r="A321" s="5">
        <v>44272</v>
      </c>
      <c r="B321">
        <v>44.44</v>
      </c>
      <c r="C321">
        <v>44.564</v>
      </c>
      <c r="D321">
        <v>40.261000000000003</v>
      </c>
      <c r="E321">
        <v>43.75</v>
      </c>
      <c r="F321">
        <v>89560.53</v>
      </c>
      <c r="G321">
        <v>0</v>
      </c>
      <c r="L321" t="s">
        <v>7</v>
      </c>
      <c r="M321" t="s">
        <v>7</v>
      </c>
      <c r="N321" t="s">
        <v>7</v>
      </c>
      <c r="P321">
        <f t="shared" si="965"/>
        <v>0.62165930745991138</v>
      </c>
      <c r="Q321">
        <f t="shared" si="966"/>
        <v>55676.137055542618</v>
      </c>
      <c r="R321">
        <f t="shared" si="967"/>
        <v>-178246.86698234399</v>
      </c>
      <c r="S321">
        <f t="shared" si="968"/>
        <v>-1.7824686698234398</v>
      </c>
      <c r="T321">
        <f t="shared" si="969"/>
        <v>-1.7824686698234397E-3</v>
      </c>
    </row>
    <row r="322" spans="1:20" x14ac:dyDescent="0.25">
      <c r="A322" s="5">
        <v>44271</v>
      </c>
      <c r="B322">
        <v>44.79</v>
      </c>
      <c r="C322">
        <v>45.389000000000003</v>
      </c>
      <c r="D322">
        <v>42.018000000000001</v>
      </c>
      <c r="E322">
        <v>44.439</v>
      </c>
      <c r="F322">
        <v>82870.462</v>
      </c>
      <c r="G322">
        <v>0</v>
      </c>
      <c r="L322" t="s">
        <v>7</v>
      </c>
      <c r="M322" t="s">
        <v>7</v>
      </c>
      <c r="N322" t="s">
        <v>7</v>
      </c>
      <c r="P322">
        <f t="shared" si="965"/>
        <v>0.43636902996143445</v>
      </c>
      <c r="Q322">
        <f t="shared" si="966"/>
        <v>36162.103115395912</v>
      </c>
      <c r="R322">
        <f t="shared" si="967"/>
        <v>-233923.0040378866</v>
      </c>
      <c r="S322">
        <f t="shared" si="968"/>
        <v>-2.3392300403788662</v>
      </c>
      <c r="T322">
        <f t="shared" si="969"/>
        <v>-2.3392300403788664E-3</v>
      </c>
    </row>
    <row r="323" spans="1:20" x14ac:dyDescent="0.25">
      <c r="A323" s="5">
        <v>44270</v>
      </c>
      <c r="B323">
        <v>46.588000000000001</v>
      </c>
      <c r="C323">
        <v>47.98</v>
      </c>
      <c r="D323">
        <v>42.573</v>
      </c>
      <c r="E323">
        <v>44.79</v>
      </c>
      <c r="F323">
        <v>97113.263999999996</v>
      </c>
      <c r="G323">
        <v>0</v>
      </c>
      <c r="L323" t="s">
        <v>7</v>
      </c>
      <c r="M323" t="s">
        <v>7</v>
      </c>
      <c r="N323" t="s">
        <v>7</v>
      </c>
      <c r="P323">
        <f t="shared" si="965"/>
        <v>-0.17995191418531525</v>
      </c>
      <c r="Q323">
        <f t="shared" si="966"/>
        <v>-17475.717749583866</v>
      </c>
      <c r="R323">
        <f t="shared" si="967"/>
        <v>-270085.1071532825</v>
      </c>
      <c r="S323">
        <f t="shared" si="968"/>
        <v>-2.7008510715328251</v>
      </c>
      <c r="T323">
        <f t="shared" si="969"/>
        <v>-2.700851071532825E-3</v>
      </c>
    </row>
    <row r="324" spans="1:20" x14ac:dyDescent="0.25">
      <c r="A324" s="5">
        <v>44269</v>
      </c>
      <c r="B324">
        <v>49.015000000000001</v>
      </c>
      <c r="C324">
        <v>49.649000000000001</v>
      </c>
      <c r="D324">
        <v>44.2</v>
      </c>
      <c r="E324">
        <v>46.848999999999997</v>
      </c>
      <c r="F324">
        <v>122790.967</v>
      </c>
      <c r="G324">
        <v>0</v>
      </c>
      <c r="L324" t="s">
        <v>8</v>
      </c>
      <c r="M324" t="s">
        <v>8</v>
      </c>
      <c r="N324" t="s">
        <v>7</v>
      </c>
      <c r="P324">
        <f t="shared" si="965"/>
        <v>-2.7711506698478713E-2</v>
      </c>
      <c r="Q324">
        <f t="shared" si="966"/>
        <v>-3402.7227045331788</v>
      </c>
      <c r="R324">
        <f t="shared" si="967"/>
        <v>-252609.38940369865</v>
      </c>
      <c r="S324">
        <f t="shared" si="968"/>
        <v>-2.5260938940369866</v>
      </c>
      <c r="T324">
        <f t="shared" si="969"/>
        <v>-2.5260938940369865E-3</v>
      </c>
    </row>
    <row r="325" spans="1:20" x14ac:dyDescent="0.25">
      <c r="A325" s="5">
        <v>44268</v>
      </c>
      <c r="B325">
        <v>43.503999999999998</v>
      </c>
      <c r="C325">
        <v>49.298999999999999</v>
      </c>
      <c r="D325">
        <v>42.319000000000003</v>
      </c>
      <c r="E325">
        <v>49.015000000000001</v>
      </c>
      <c r="F325">
        <v>136153.58100000001</v>
      </c>
      <c r="G325">
        <v>0</v>
      </c>
      <c r="L325" t="s">
        <v>7</v>
      </c>
      <c r="M325" t="s">
        <v>7</v>
      </c>
      <c r="N325" t="s">
        <v>7</v>
      </c>
      <c r="P325">
        <f t="shared" si="965"/>
        <v>0.91862464183381121</v>
      </c>
      <c r="Q325">
        <f t="shared" si="966"/>
        <v>125074.03458051581</v>
      </c>
      <c r="R325">
        <f t="shared" si="967"/>
        <v>-249206.66669916548</v>
      </c>
      <c r="S325">
        <f t="shared" si="968"/>
        <v>-2.4920666669916547</v>
      </c>
      <c r="T325">
        <f t="shared" si="969"/>
        <v>-2.4920666669916549E-3</v>
      </c>
    </row>
    <row r="326" spans="1:20" x14ac:dyDescent="0.25">
      <c r="A326" s="5">
        <v>44267</v>
      </c>
      <c r="B326">
        <v>44.868000000000002</v>
      </c>
      <c r="C326">
        <v>49.012</v>
      </c>
      <c r="D326">
        <v>41.402999999999999</v>
      </c>
      <c r="E326">
        <v>43.692</v>
      </c>
      <c r="F326">
        <v>142165.57699999999</v>
      </c>
      <c r="G326">
        <v>0</v>
      </c>
      <c r="L326" t="s">
        <v>8</v>
      </c>
      <c r="M326" t="s">
        <v>7</v>
      </c>
      <c r="N326" t="s">
        <v>7</v>
      </c>
      <c r="P326">
        <f t="shared" ref="P326:P389" si="970">IF(C326=D326,0,((E326-D326)-(C326-E326))/(C326-D326))</f>
        <v>-0.39834406623735025</v>
      </c>
      <c r="Q326">
        <f t="shared" ref="Q326:Q389" si="971">F326*P326</f>
        <v>-56630.814021159116</v>
      </c>
      <c r="R326">
        <f t="shared" ref="R326:R389" si="972">R327+Q326</f>
        <v>-374280.70127968129</v>
      </c>
      <c r="S326">
        <f t="shared" ref="S326:S389" si="973">R326/100000</f>
        <v>-3.7428070127968129</v>
      </c>
      <c r="T326">
        <f t="shared" ref="T326:T389" si="974">S326/1000</f>
        <v>-3.742807012796813E-3</v>
      </c>
    </row>
    <row r="327" spans="1:20" x14ac:dyDescent="0.25">
      <c r="A327" s="5">
        <v>44266</v>
      </c>
      <c r="B327">
        <v>47.5</v>
      </c>
      <c r="C327">
        <v>47.755000000000003</v>
      </c>
      <c r="D327">
        <v>42.1</v>
      </c>
      <c r="E327">
        <v>44.801000000000002</v>
      </c>
      <c r="F327">
        <v>129463.36</v>
      </c>
      <c r="G327">
        <v>0</v>
      </c>
      <c r="L327" t="s">
        <v>7</v>
      </c>
      <c r="M327" t="s">
        <v>7</v>
      </c>
      <c r="N327" t="s">
        <v>7</v>
      </c>
      <c r="P327">
        <f t="shared" si="970"/>
        <v>-4.4739168877099923E-2</v>
      </c>
      <c r="Q327">
        <f t="shared" si="971"/>
        <v>-5792.0831264367835</v>
      </c>
      <c r="R327">
        <f t="shared" si="972"/>
        <v>-317649.88725852215</v>
      </c>
      <c r="S327">
        <f t="shared" si="973"/>
        <v>-3.1764988725852215</v>
      </c>
      <c r="T327">
        <f t="shared" si="974"/>
        <v>-3.1764988725852213E-3</v>
      </c>
    </row>
    <row r="328" spans="1:20" x14ac:dyDescent="0.25">
      <c r="A328" s="5">
        <v>44265</v>
      </c>
      <c r="B328">
        <v>49.771000000000001</v>
      </c>
      <c r="C328">
        <v>52.7</v>
      </c>
      <c r="D328">
        <v>47.2</v>
      </c>
      <c r="E328">
        <v>47.5</v>
      </c>
      <c r="F328">
        <v>92061.907999999996</v>
      </c>
      <c r="G328">
        <v>0</v>
      </c>
      <c r="L328" t="s">
        <v>8</v>
      </c>
      <c r="M328" t="s">
        <v>8</v>
      </c>
      <c r="N328" t="s">
        <v>7</v>
      </c>
      <c r="P328">
        <f t="shared" si="970"/>
        <v>-0.89090909090909198</v>
      </c>
      <c r="Q328">
        <f t="shared" si="971"/>
        <v>-82018.790763636454</v>
      </c>
      <c r="R328">
        <f t="shared" si="972"/>
        <v>-311857.80413208535</v>
      </c>
      <c r="S328">
        <f t="shared" si="973"/>
        <v>-3.1185780413208537</v>
      </c>
      <c r="T328">
        <f t="shared" si="974"/>
        <v>-3.1185780413208537E-3</v>
      </c>
    </row>
    <row r="329" spans="1:20" x14ac:dyDescent="0.25">
      <c r="A329" s="5">
        <v>44264</v>
      </c>
      <c r="B329">
        <v>49.033000000000001</v>
      </c>
      <c r="C329">
        <v>50.94</v>
      </c>
      <c r="D329">
        <v>45.99</v>
      </c>
      <c r="E329">
        <v>49.774999999999999</v>
      </c>
      <c r="F329">
        <v>76432.108999999997</v>
      </c>
      <c r="G329">
        <v>0</v>
      </c>
      <c r="L329" t="s">
        <v>7</v>
      </c>
      <c r="M329" t="s">
        <v>8</v>
      </c>
      <c r="N329" t="s">
        <v>7</v>
      </c>
      <c r="P329">
        <f t="shared" si="970"/>
        <v>0.52929292929292926</v>
      </c>
      <c r="Q329">
        <f t="shared" si="971"/>
        <v>40454.974864646458</v>
      </c>
      <c r="R329">
        <f t="shared" si="972"/>
        <v>-229839.01336844888</v>
      </c>
      <c r="S329">
        <f t="shared" si="973"/>
        <v>-2.2983901336844887</v>
      </c>
      <c r="T329">
        <f t="shared" si="974"/>
        <v>-2.2983901336844888E-3</v>
      </c>
    </row>
    <row r="330" spans="1:20" x14ac:dyDescent="0.25">
      <c r="A330" s="5">
        <v>44263</v>
      </c>
      <c r="B330">
        <v>51.811</v>
      </c>
      <c r="C330">
        <v>54.555</v>
      </c>
      <c r="D330">
        <v>46.970999999999997</v>
      </c>
      <c r="E330">
        <v>48.911999999999999</v>
      </c>
      <c r="F330">
        <v>136016.057</v>
      </c>
      <c r="G330">
        <v>0</v>
      </c>
      <c r="L330" t="s">
        <v>8</v>
      </c>
      <c r="M330" t="s">
        <v>8</v>
      </c>
      <c r="N330" t="s">
        <v>7</v>
      </c>
      <c r="P330">
        <f t="shared" si="970"/>
        <v>-0.48813291139240461</v>
      </c>
      <c r="Q330">
        <f t="shared" si="971"/>
        <v>-66393.913899525258</v>
      </c>
      <c r="R330">
        <f t="shared" si="972"/>
        <v>-270293.98823309533</v>
      </c>
      <c r="S330">
        <f t="shared" si="973"/>
        <v>-2.7029398823309534</v>
      </c>
      <c r="T330">
        <f t="shared" si="974"/>
        <v>-2.7029398823309532E-3</v>
      </c>
    </row>
    <row r="331" spans="1:20" x14ac:dyDescent="0.25">
      <c r="A331" s="5">
        <v>44262</v>
      </c>
      <c r="B331">
        <v>47.003</v>
      </c>
      <c r="C331">
        <v>52.024000000000001</v>
      </c>
      <c r="D331">
        <v>45.463000000000001</v>
      </c>
      <c r="E331">
        <v>51.81</v>
      </c>
      <c r="F331">
        <v>172876.54199999999</v>
      </c>
      <c r="G331">
        <v>0</v>
      </c>
      <c r="L331" t="s">
        <v>8</v>
      </c>
      <c r="M331" t="s">
        <v>7</v>
      </c>
      <c r="N331" t="s">
        <v>7</v>
      </c>
      <c r="P331">
        <f t="shared" si="970"/>
        <v>0.9347660417619269</v>
      </c>
      <c r="Q331">
        <f t="shared" si="971"/>
        <v>161599.1208788295</v>
      </c>
      <c r="R331">
        <f t="shared" si="972"/>
        <v>-203900.07433357008</v>
      </c>
      <c r="S331">
        <f t="shared" si="973"/>
        <v>-2.0390007433357007</v>
      </c>
      <c r="T331">
        <f t="shared" si="974"/>
        <v>-2.0390007433357007E-3</v>
      </c>
    </row>
    <row r="332" spans="1:20" x14ac:dyDescent="0.25">
      <c r="A332" s="5">
        <v>44261</v>
      </c>
      <c r="B332">
        <v>48.475000000000001</v>
      </c>
      <c r="C332">
        <v>49</v>
      </c>
      <c r="D332">
        <v>45.02</v>
      </c>
      <c r="E332">
        <v>47.005000000000003</v>
      </c>
      <c r="F332">
        <v>76564.665999999997</v>
      </c>
      <c r="G332">
        <v>0</v>
      </c>
      <c r="L332" t="s">
        <v>8</v>
      </c>
      <c r="M332" t="s">
        <v>7</v>
      </c>
      <c r="N332" t="s">
        <v>7</v>
      </c>
      <c r="P332">
        <f t="shared" si="970"/>
        <v>-2.5125628140698539E-3</v>
      </c>
      <c r="Q332">
        <f t="shared" si="971"/>
        <v>-192.37353266327847</v>
      </c>
      <c r="R332">
        <f t="shared" si="972"/>
        <v>-365499.19521239959</v>
      </c>
      <c r="S332">
        <f t="shared" si="973"/>
        <v>-3.654991952123996</v>
      </c>
      <c r="T332">
        <f t="shared" si="974"/>
        <v>-3.6549919521239958E-3</v>
      </c>
    </row>
    <row r="333" spans="1:20" x14ac:dyDescent="0.25">
      <c r="A333" s="5">
        <v>44260</v>
      </c>
      <c r="B333">
        <v>49.500999999999998</v>
      </c>
      <c r="C333">
        <v>49.79</v>
      </c>
      <c r="D333">
        <v>44.652000000000001</v>
      </c>
      <c r="E333">
        <v>48.475000000000001</v>
      </c>
      <c r="F333">
        <v>77934.043000000005</v>
      </c>
      <c r="G333">
        <v>0</v>
      </c>
      <c r="L333" t="s">
        <v>7</v>
      </c>
      <c r="M333" t="s">
        <v>7</v>
      </c>
      <c r="N333" t="s">
        <v>7</v>
      </c>
      <c r="P333">
        <f t="shared" si="970"/>
        <v>0.48812767613857599</v>
      </c>
      <c r="Q333">
        <f t="shared" si="971"/>
        <v>38041.763301673855</v>
      </c>
      <c r="R333">
        <f t="shared" si="972"/>
        <v>-365306.82167973631</v>
      </c>
      <c r="S333">
        <f t="shared" si="973"/>
        <v>-3.6530682167973629</v>
      </c>
      <c r="T333">
        <f t="shared" si="974"/>
        <v>-3.6530682167973628E-3</v>
      </c>
    </row>
    <row r="334" spans="1:20" x14ac:dyDescent="0.25">
      <c r="A334" s="5">
        <v>44259</v>
      </c>
      <c r="B334">
        <v>54.1</v>
      </c>
      <c r="C334">
        <v>56.887999999999998</v>
      </c>
      <c r="D334">
        <v>48.857999999999997</v>
      </c>
      <c r="E334">
        <v>49.5</v>
      </c>
      <c r="F334">
        <v>124454.012</v>
      </c>
      <c r="G334">
        <v>0</v>
      </c>
      <c r="L334" t="s">
        <v>7</v>
      </c>
      <c r="M334" t="s">
        <v>7</v>
      </c>
      <c r="N334" t="s">
        <v>8</v>
      </c>
      <c r="P334">
        <f t="shared" si="970"/>
        <v>-0.84009962640099556</v>
      </c>
      <c r="Q334">
        <f t="shared" si="971"/>
        <v>-104553.76898530503</v>
      </c>
      <c r="R334">
        <f t="shared" si="972"/>
        <v>-403348.58498141018</v>
      </c>
      <c r="S334">
        <f t="shared" si="973"/>
        <v>-4.0334858498141015</v>
      </c>
      <c r="T334">
        <f t="shared" si="974"/>
        <v>-4.0334858498141017E-3</v>
      </c>
    </row>
    <row r="335" spans="1:20" x14ac:dyDescent="0.25">
      <c r="A335" s="5">
        <v>44258</v>
      </c>
      <c r="B335">
        <v>53.078000000000003</v>
      </c>
      <c r="C335">
        <v>60.978999999999999</v>
      </c>
      <c r="D335">
        <v>52.002000000000002</v>
      </c>
      <c r="E335">
        <v>54.1</v>
      </c>
      <c r="F335">
        <v>237702.035</v>
      </c>
      <c r="G335">
        <v>0</v>
      </c>
      <c r="L335" t="s">
        <v>8</v>
      </c>
      <c r="M335" t="s">
        <v>8</v>
      </c>
      <c r="N335" t="s">
        <v>8</v>
      </c>
      <c r="P335">
        <f t="shared" si="970"/>
        <v>-0.53258326835245628</v>
      </c>
      <c r="Q335">
        <f t="shared" si="971"/>
        <v>-126596.12669432996</v>
      </c>
      <c r="R335">
        <f t="shared" si="972"/>
        <v>-298794.81599610514</v>
      </c>
      <c r="S335">
        <f t="shared" si="973"/>
        <v>-2.9879481599610513</v>
      </c>
      <c r="T335">
        <f t="shared" si="974"/>
        <v>-2.9879481599610512E-3</v>
      </c>
    </row>
    <row r="336" spans="1:20" x14ac:dyDescent="0.25">
      <c r="A336" s="5">
        <v>44257</v>
      </c>
      <c r="B336">
        <v>51.8</v>
      </c>
      <c r="C336">
        <v>64.900000000000006</v>
      </c>
      <c r="D336">
        <v>48</v>
      </c>
      <c r="E336">
        <v>53.335000000000001</v>
      </c>
      <c r="F336">
        <v>467120.04</v>
      </c>
      <c r="G336">
        <v>0</v>
      </c>
      <c r="P336">
        <f t="shared" si="970"/>
        <v>-0.36863905325443797</v>
      </c>
      <c r="Q336">
        <f t="shared" si="971"/>
        <v>-172198.68930177519</v>
      </c>
      <c r="R336">
        <f t="shared" si="972"/>
        <v>-172198.68930177519</v>
      </c>
      <c r="S336">
        <f t="shared" si="973"/>
        <v>-1.7219868930177518</v>
      </c>
      <c r="T336">
        <f t="shared" si="974"/>
        <v>-1.7219868930177518E-3</v>
      </c>
    </row>
    <row r="337" spans="1:20" x14ac:dyDescent="0.25">
      <c r="A337" s="5"/>
      <c r="C337"/>
      <c r="D337"/>
      <c r="P337">
        <f t="shared" si="970"/>
        <v>0</v>
      </c>
      <c r="Q337">
        <f t="shared" si="971"/>
        <v>0</v>
      </c>
      <c r="R337">
        <f t="shared" si="972"/>
        <v>0</v>
      </c>
      <c r="S337">
        <f t="shared" si="973"/>
        <v>0</v>
      </c>
      <c r="T337">
        <f t="shared" si="974"/>
        <v>0</v>
      </c>
    </row>
    <row r="338" spans="1:20" x14ac:dyDescent="0.25">
      <c r="A338" s="5"/>
      <c r="C338"/>
      <c r="D338"/>
      <c r="P338">
        <f t="shared" si="970"/>
        <v>0</v>
      </c>
      <c r="Q338">
        <f t="shared" si="971"/>
        <v>0</v>
      </c>
      <c r="R338">
        <f t="shared" si="972"/>
        <v>0</v>
      </c>
      <c r="S338">
        <f t="shared" si="973"/>
        <v>0</v>
      </c>
      <c r="T338">
        <f t="shared" si="974"/>
        <v>0</v>
      </c>
    </row>
    <row r="339" spans="1:20" x14ac:dyDescent="0.25">
      <c r="A339" s="5"/>
      <c r="C339"/>
      <c r="D339"/>
      <c r="P339">
        <f t="shared" si="970"/>
        <v>0</v>
      </c>
      <c r="Q339">
        <f t="shared" si="971"/>
        <v>0</v>
      </c>
      <c r="R339">
        <f t="shared" si="972"/>
        <v>0</v>
      </c>
      <c r="S339">
        <f t="shared" si="973"/>
        <v>0</v>
      </c>
      <c r="T339">
        <f t="shared" si="974"/>
        <v>0</v>
      </c>
    </row>
    <row r="340" spans="1:20" x14ac:dyDescent="0.25">
      <c r="A340" s="5"/>
      <c r="C340"/>
      <c r="D340"/>
      <c r="P340">
        <f t="shared" si="970"/>
        <v>0</v>
      </c>
      <c r="Q340">
        <f t="shared" si="971"/>
        <v>0</v>
      </c>
      <c r="R340">
        <f t="shared" si="972"/>
        <v>0</v>
      </c>
      <c r="S340">
        <f t="shared" si="973"/>
        <v>0</v>
      </c>
      <c r="T340">
        <f t="shared" si="974"/>
        <v>0</v>
      </c>
    </row>
    <row r="341" spans="1:20" x14ac:dyDescent="0.25">
      <c r="A341" s="5"/>
      <c r="C341"/>
      <c r="D341"/>
      <c r="P341">
        <f t="shared" si="970"/>
        <v>0</v>
      </c>
      <c r="Q341">
        <f t="shared" si="971"/>
        <v>0</v>
      </c>
      <c r="R341">
        <f t="shared" si="972"/>
        <v>0</v>
      </c>
      <c r="S341">
        <f t="shared" si="973"/>
        <v>0</v>
      </c>
      <c r="T341">
        <f t="shared" si="974"/>
        <v>0</v>
      </c>
    </row>
    <row r="342" spans="1:20" x14ac:dyDescent="0.25">
      <c r="A342" s="5"/>
      <c r="C342"/>
      <c r="D342"/>
      <c r="P342">
        <f t="shared" si="970"/>
        <v>0</v>
      </c>
      <c r="Q342">
        <f t="shared" si="971"/>
        <v>0</v>
      </c>
      <c r="R342">
        <f t="shared" si="972"/>
        <v>0</v>
      </c>
      <c r="S342">
        <f t="shared" si="973"/>
        <v>0</v>
      </c>
      <c r="T342">
        <f t="shared" si="974"/>
        <v>0</v>
      </c>
    </row>
    <row r="343" spans="1:20" x14ac:dyDescent="0.25">
      <c r="A343" s="5"/>
      <c r="C343"/>
      <c r="D343"/>
      <c r="P343">
        <f t="shared" si="970"/>
        <v>0</v>
      </c>
      <c r="Q343">
        <f t="shared" si="971"/>
        <v>0</v>
      </c>
      <c r="R343">
        <f t="shared" si="972"/>
        <v>0</v>
      </c>
      <c r="S343">
        <f t="shared" si="973"/>
        <v>0</v>
      </c>
      <c r="T343">
        <f t="shared" si="974"/>
        <v>0</v>
      </c>
    </row>
    <row r="344" spans="1:20" x14ac:dyDescent="0.25">
      <c r="A344" s="5"/>
      <c r="C344"/>
      <c r="D344"/>
      <c r="P344">
        <f t="shared" si="970"/>
        <v>0</v>
      </c>
      <c r="Q344">
        <f t="shared" si="971"/>
        <v>0</v>
      </c>
      <c r="R344">
        <f t="shared" si="972"/>
        <v>0</v>
      </c>
      <c r="S344">
        <f t="shared" si="973"/>
        <v>0</v>
      </c>
      <c r="T344">
        <f t="shared" si="974"/>
        <v>0</v>
      </c>
    </row>
    <row r="345" spans="1:20" x14ac:dyDescent="0.25">
      <c r="A345" s="5"/>
      <c r="C345"/>
      <c r="D345"/>
      <c r="P345">
        <f t="shared" si="970"/>
        <v>0</v>
      </c>
      <c r="Q345">
        <f t="shared" si="971"/>
        <v>0</v>
      </c>
      <c r="R345">
        <f t="shared" si="972"/>
        <v>0</v>
      </c>
      <c r="S345">
        <f t="shared" si="973"/>
        <v>0</v>
      </c>
      <c r="T345">
        <f t="shared" si="974"/>
        <v>0</v>
      </c>
    </row>
    <row r="346" spans="1:20" x14ac:dyDescent="0.25">
      <c r="A346" s="5"/>
      <c r="C346"/>
      <c r="D346"/>
      <c r="P346">
        <f t="shared" si="970"/>
        <v>0</v>
      </c>
      <c r="Q346">
        <f t="shared" si="971"/>
        <v>0</v>
      </c>
      <c r="R346">
        <f t="shared" si="972"/>
        <v>0</v>
      </c>
      <c r="S346">
        <f t="shared" si="973"/>
        <v>0</v>
      </c>
      <c r="T346">
        <f t="shared" si="974"/>
        <v>0</v>
      </c>
    </row>
    <row r="347" spans="1:20" x14ac:dyDescent="0.25">
      <c r="A347" s="5"/>
      <c r="C347"/>
      <c r="D347"/>
      <c r="P347">
        <f t="shared" si="970"/>
        <v>0</v>
      </c>
      <c r="Q347">
        <f t="shared" si="971"/>
        <v>0</v>
      </c>
      <c r="R347">
        <f t="shared" si="972"/>
        <v>0</v>
      </c>
      <c r="S347">
        <f t="shared" si="973"/>
        <v>0</v>
      </c>
      <c r="T347">
        <f t="shared" si="974"/>
        <v>0</v>
      </c>
    </row>
    <row r="348" spans="1:20" x14ac:dyDescent="0.25">
      <c r="A348" s="5"/>
      <c r="C348"/>
      <c r="D348"/>
      <c r="P348">
        <f t="shared" si="970"/>
        <v>0</v>
      </c>
      <c r="Q348">
        <f t="shared" si="971"/>
        <v>0</v>
      </c>
      <c r="R348">
        <f t="shared" si="972"/>
        <v>0</v>
      </c>
      <c r="S348">
        <f t="shared" si="973"/>
        <v>0</v>
      </c>
      <c r="T348">
        <f t="shared" si="974"/>
        <v>0</v>
      </c>
    </row>
    <row r="349" spans="1:20" x14ac:dyDescent="0.25">
      <c r="A349" s="5"/>
      <c r="C349"/>
      <c r="D349"/>
      <c r="P349">
        <f t="shared" si="970"/>
        <v>0</v>
      </c>
      <c r="Q349">
        <f t="shared" si="971"/>
        <v>0</v>
      </c>
      <c r="R349">
        <f t="shared" si="972"/>
        <v>0</v>
      </c>
      <c r="S349">
        <f t="shared" si="973"/>
        <v>0</v>
      </c>
      <c r="T349">
        <f t="shared" si="974"/>
        <v>0</v>
      </c>
    </row>
    <row r="350" spans="1:20" x14ac:dyDescent="0.25">
      <c r="A350" s="5"/>
      <c r="C350"/>
      <c r="D350"/>
      <c r="P350">
        <f t="shared" si="970"/>
        <v>0</v>
      </c>
      <c r="Q350">
        <f t="shared" si="971"/>
        <v>0</v>
      </c>
      <c r="R350">
        <f t="shared" si="972"/>
        <v>0</v>
      </c>
      <c r="S350">
        <f t="shared" si="973"/>
        <v>0</v>
      </c>
      <c r="T350">
        <f t="shared" si="974"/>
        <v>0</v>
      </c>
    </row>
    <row r="351" spans="1:20" x14ac:dyDescent="0.25">
      <c r="A351" s="5"/>
      <c r="C351"/>
      <c r="D351"/>
      <c r="P351">
        <f t="shared" si="970"/>
        <v>0</v>
      </c>
      <c r="Q351">
        <f t="shared" si="971"/>
        <v>0</v>
      </c>
      <c r="R351">
        <f t="shared" si="972"/>
        <v>0</v>
      </c>
      <c r="S351">
        <f t="shared" si="973"/>
        <v>0</v>
      </c>
      <c r="T351">
        <f t="shared" si="974"/>
        <v>0</v>
      </c>
    </row>
    <row r="352" spans="1:20" x14ac:dyDescent="0.25">
      <c r="A352" s="5"/>
      <c r="C352"/>
      <c r="D352"/>
      <c r="P352">
        <f t="shared" si="970"/>
        <v>0</v>
      </c>
      <c r="Q352">
        <f t="shared" si="971"/>
        <v>0</v>
      </c>
      <c r="R352">
        <f t="shared" si="972"/>
        <v>0</v>
      </c>
      <c r="S352">
        <f t="shared" si="973"/>
        <v>0</v>
      </c>
      <c r="T352">
        <f t="shared" si="974"/>
        <v>0</v>
      </c>
    </row>
    <row r="353" spans="1:20" x14ac:dyDescent="0.25">
      <c r="A353" s="5"/>
      <c r="C353"/>
      <c r="D353"/>
      <c r="P353">
        <f t="shared" si="970"/>
        <v>0</v>
      </c>
      <c r="Q353">
        <f t="shared" si="971"/>
        <v>0</v>
      </c>
      <c r="R353">
        <f t="shared" si="972"/>
        <v>0</v>
      </c>
      <c r="S353">
        <f t="shared" si="973"/>
        <v>0</v>
      </c>
      <c r="T353">
        <f t="shared" si="974"/>
        <v>0</v>
      </c>
    </row>
    <row r="354" spans="1:20" x14ac:dyDescent="0.25">
      <c r="A354" s="5"/>
      <c r="C354"/>
      <c r="D354"/>
      <c r="P354">
        <f t="shared" si="970"/>
        <v>0</v>
      </c>
      <c r="Q354">
        <f t="shared" si="971"/>
        <v>0</v>
      </c>
      <c r="R354">
        <f t="shared" si="972"/>
        <v>0</v>
      </c>
      <c r="S354">
        <f t="shared" si="973"/>
        <v>0</v>
      </c>
      <c r="T354">
        <f t="shared" si="974"/>
        <v>0</v>
      </c>
    </row>
    <row r="355" spans="1:20" x14ac:dyDescent="0.25">
      <c r="A355" s="5"/>
      <c r="C355"/>
      <c r="D355"/>
      <c r="P355">
        <f t="shared" si="970"/>
        <v>0</v>
      </c>
      <c r="Q355">
        <f t="shared" si="971"/>
        <v>0</v>
      </c>
      <c r="R355">
        <f t="shared" si="972"/>
        <v>0</v>
      </c>
      <c r="S355">
        <f t="shared" si="973"/>
        <v>0</v>
      </c>
      <c r="T355">
        <f t="shared" si="974"/>
        <v>0</v>
      </c>
    </row>
    <row r="356" spans="1:20" x14ac:dyDescent="0.25">
      <c r="A356" s="5"/>
      <c r="C356"/>
      <c r="D356"/>
      <c r="P356">
        <f t="shared" si="970"/>
        <v>0</v>
      </c>
      <c r="Q356">
        <f t="shared" si="971"/>
        <v>0</v>
      </c>
      <c r="R356">
        <f t="shared" si="972"/>
        <v>0</v>
      </c>
      <c r="S356">
        <f t="shared" si="973"/>
        <v>0</v>
      </c>
      <c r="T356">
        <f t="shared" si="974"/>
        <v>0</v>
      </c>
    </row>
    <row r="357" spans="1:20" x14ac:dyDescent="0.25">
      <c r="A357" s="5"/>
      <c r="C357"/>
      <c r="D357"/>
      <c r="P357">
        <f t="shared" si="970"/>
        <v>0</v>
      </c>
      <c r="Q357">
        <f t="shared" si="971"/>
        <v>0</v>
      </c>
      <c r="R357">
        <f t="shared" si="972"/>
        <v>0</v>
      </c>
      <c r="S357">
        <f t="shared" si="973"/>
        <v>0</v>
      </c>
      <c r="T357">
        <f t="shared" si="974"/>
        <v>0</v>
      </c>
    </row>
    <row r="358" spans="1:20" x14ac:dyDescent="0.25">
      <c r="A358" s="5"/>
      <c r="C358"/>
      <c r="D358"/>
      <c r="P358">
        <f t="shared" si="970"/>
        <v>0</v>
      </c>
      <c r="Q358">
        <f t="shared" si="971"/>
        <v>0</v>
      </c>
      <c r="R358">
        <f t="shared" si="972"/>
        <v>0</v>
      </c>
      <c r="S358">
        <f t="shared" si="973"/>
        <v>0</v>
      </c>
      <c r="T358">
        <f t="shared" si="974"/>
        <v>0</v>
      </c>
    </row>
    <row r="359" spans="1:20" x14ac:dyDescent="0.25">
      <c r="A359" s="5"/>
      <c r="C359"/>
      <c r="D359"/>
      <c r="P359">
        <f t="shared" si="970"/>
        <v>0</v>
      </c>
      <c r="Q359">
        <f t="shared" si="971"/>
        <v>0</v>
      </c>
      <c r="R359">
        <f t="shared" si="972"/>
        <v>0</v>
      </c>
      <c r="S359">
        <f t="shared" si="973"/>
        <v>0</v>
      </c>
      <c r="T359">
        <f t="shared" si="974"/>
        <v>0</v>
      </c>
    </row>
    <row r="360" spans="1:20" x14ac:dyDescent="0.25">
      <c r="A360" s="5"/>
      <c r="C360"/>
      <c r="D360"/>
      <c r="P360">
        <f t="shared" si="970"/>
        <v>0</v>
      </c>
      <c r="Q360">
        <f t="shared" si="971"/>
        <v>0</v>
      </c>
      <c r="R360">
        <f t="shared" si="972"/>
        <v>0</v>
      </c>
      <c r="S360">
        <f t="shared" si="973"/>
        <v>0</v>
      </c>
      <c r="T360">
        <f t="shared" si="974"/>
        <v>0</v>
      </c>
    </row>
    <row r="361" spans="1:20" x14ac:dyDescent="0.25">
      <c r="A361" s="5"/>
      <c r="C361"/>
      <c r="D361"/>
      <c r="P361">
        <f t="shared" si="970"/>
        <v>0</v>
      </c>
      <c r="Q361">
        <f t="shared" si="971"/>
        <v>0</v>
      </c>
      <c r="R361">
        <f t="shared" si="972"/>
        <v>0</v>
      </c>
      <c r="S361">
        <f t="shared" si="973"/>
        <v>0</v>
      </c>
      <c r="T361">
        <f t="shared" si="974"/>
        <v>0</v>
      </c>
    </row>
    <row r="362" spans="1:20" x14ac:dyDescent="0.25">
      <c r="A362" s="5"/>
      <c r="C362"/>
      <c r="D362"/>
      <c r="P362">
        <f t="shared" si="970"/>
        <v>0</v>
      </c>
      <c r="Q362">
        <f t="shared" si="971"/>
        <v>0</v>
      </c>
      <c r="R362">
        <f t="shared" si="972"/>
        <v>0</v>
      </c>
      <c r="S362">
        <f t="shared" si="973"/>
        <v>0</v>
      </c>
      <c r="T362">
        <f t="shared" si="974"/>
        <v>0</v>
      </c>
    </row>
    <row r="363" spans="1:20" x14ac:dyDescent="0.25">
      <c r="A363" s="5"/>
      <c r="C363"/>
      <c r="D363"/>
      <c r="P363">
        <f t="shared" si="970"/>
        <v>0</v>
      </c>
      <c r="Q363">
        <f t="shared" si="971"/>
        <v>0</v>
      </c>
      <c r="R363">
        <f t="shared" si="972"/>
        <v>0</v>
      </c>
      <c r="S363">
        <f t="shared" si="973"/>
        <v>0</v>
      </c>
      <c r="T363">
        <f t="shared" si="974"/>
        <v>0</v>
      </c>
    </row>
    <row r="364" spans="1:20" x14ac:dyDescent="0.25">
      <c r="A364" s="5"/>
      <c r="C364"/>
      <c r="D364"/>
      <c r="P364">
        <f t="shared" si="970"/>
        <v>0</v>
      </c>
      <c r="Q364">
        <f t="shared" si="971"/>
        <v>0</v>
      </c>
      <c r="R364">
        <f t="shared" si="972"/>
        <v>0</v>
      </c>
      <c r="S364">
        <f t="shared" si="973"/>
        <v>0</v>
      </c>
      <c r="T364">
        <f t="shared" si="974"/>
        <v>0</v>
      </c>
    </row>
    <row r="365" spans="1:20" x14ac:dyDescent="0.25">
      <c r="A365" s="5"/>
      <c r="C365"/>
      <c r="D365"/>
      <c r="P365">
        <f t="shared" si="970"/>
        <v>0</v>
      </c>
      <c r="Q365">
        <f t="shared" si="971"/>
        <v>0</v>
      </c>
      <c r="R365">
        <f t="shared" si="972"/>
        <v>0</v>
      </c>
      <c r="S365">
        <f t="shared" si="973"/>
        <v>0</v>
      </c>
      <c r="T365">
        <f t="shared" si="974"/>
        <v>0</v>
      </c>
    </row>
    <row r="366" spans="1:20" x14ac:dyDescent="0.25">
      <c r="A366" s="5"/>
      <c r="C366"/>
      <c r="D366"/>
      <c r="P366">
        <f t="shared" si="970"/>
        <v>0</v>
      </c>
      <c r="Q366">
        <f t="shared" si="971"/>
        <v>0</v>
      </c>
      <c r="R366">
        <f t="shared" si="972"/>
        <v>0</v>
      </c>
      <c r="S366">
        <f t="shared" si="973"/>
        <v>0</v>
      </c>
      <c r="T366">
        <f t="shared" si="974"/>
        <v>0</v>
      </c>
    </row>
    <row r="367" spans="1:20" x14ac:dyDescent="0.25">
      <c r="A367" s="5"/>
      <c r="C367"/>
      <c r="D367"/>
      <c r="P367">
        <f t="shared" si="970"/>
        <v>0</v>
      </c>
      <c r="Q367">
        <f t="shared" si="971"/>
        <v>0</v>
      </c>
      <c r="R367">
        <f t="shared" si="972"/>
        <v>0</v>
      </c>
      <c r="S367">
        <f t="shared" si="973"/>
        <v>0</v>
      </c>
      <c r="T367">
        <f t="shared" si="974"/>
        <v>0</v>
      </c>
    </row>
    <row r="368" spans="1:20" x14ac:dyDescent="0.25">
      <c r="A368" s="5"/>
      <c r="C368"/>
      <c r="D368"/>
      <c r="P368">
        <f t="shared" si="970"/>
        <v>0</v>
      </c>
      <c r="Q368">
        <f t="shared" si="971"/>
        <v>0</v>
      </c>
      <c r="R368">
        <f t="shared" si="972"/>
        <v>0</v>
      </c>
      <c r="S368">
        <f t="shared" si="973"/>
        <v>0</v>
      </c>
      <c r="T368">
        <f t="shared" si="974"/>
        <v>0</v>
      </c>
    </row>
    <row r="369" spans="1:20" x14ac:dyDescent="0.25">
      <c r="A369" s="5"/>
      <c r="C369"/>
      <c r="D369"/>
      <c r="P369">
        <f t="shared" si="970"/>
        <v>0</v>
      </c>
      <c r="Q369">
        <f t="shared" si="971"/>
        <v>0</v>
      </c>
      <c r="R369">
        <f t="shared" si="972"/>
        <v>0</v>
      </c>
      <c r="S369">
        <f t="shared" si="973"/>
        <v>0</v>
      </c>
      <c r="T369">
        <f t="shared" si="974"/>
        <v>0</v>
      </c>
    </row>
    <row r="370" spans="1:20" x14ac:dyDescent="0.25">
      <c r="A370" s="5"/>
      <c r="C370"/>
      <c r="D370"/>
      <c r="P370">
        <f t="shared" si="970"/>
        <v>0</v>
      </c>
      <c r="Q370">
        <f t="shared" si="971"/>
        <v>0</v>
      </c>
      <c r="R370">
        <f t="shared" si="972"/>
        <v>0</v>
      </c>
      <c r="S370">
        <f t="shared" si="973"/>
        <v>0</v>
      </c>
      <c r="T370">
        <f t="shared" si="974"/>
        <v>0</v>
      </c>
    </row>
    <row r="371" spans="1:20" x14ac:dyDescent="0.25">
      <c r="A371" s="5"/>
      <c r="C371"/>
      <c r="D371"/>
      <c r="P371">
        <f t="shared" si="970"/>
        <v>0</v>
      </c>
      <c r="Q371">
        <f t="shared" si="971"/>
        <v>0</v>
      </c>
      <c r="R371">
        <f t="shared" si="972"/>
        <v>0</v>
      </c>
      <c r="S371">
        <f t="shared" si="973"/>
        <v>0</v>
      </c>
      <c r="T371">
        <f t="shared" si="974"/>
        <v>0</v>
      </c>
    </row>
    <row r="372" spans="1:20" x14ac:dyDescent="0.25">
      <c r="A372" s="5"/>
      <c r="C372"/>
      <c r="D372"/>
      <c r="P372">
        <f t="shared" si="970"/>
        <v>0</v>
      </c>
      <c r="Q372">
        <f t="shared" si="971"/>
        <v>0</v>
      </c>
      <c r="R372">
        <f t="shared" si="972"/>
        <v>0</v>
      </c>
      <c r="S372">
        <f t="shared" si="973"/>
        <v>0</v>
      </c>
      <c r="T372">
        <f t="shared" si="974"/>
        <v>0</v>
      </c>
    </row>
    <row r="373" spans="1:20" x14ac:dyDescent="0.25">
      <c r="A373" s="5"/>
      <c r="C373"/>
      <c r="D373"/>
      <c r="P373">
        <f t="shared" si="970"/>
        <v>0</v>
      </c>
      <c r="Q373">
        <f t="shared" si="971"/>
        <v>0</v>
      </c>
      <c r="R373">
        <f t="shared" si="972"/>
        <v>0</v>
      </c>
      <c r="S373">
        <f t="shared" si="973"/>
        <v>0</v>
      </c>
      <c r="T373">
        <f t="shared" si="974"/>
        <v>0</v>
      </c>
    </row>
    <row r="374" spans="1:20" x14ac:dyDescent="0.25">
      <c r="A374" s="5"/>
      <c r="C374"/>
      <c r="D374"/>
      <c r="P374">
        <f t="shared" si="970"/>
        <v>0</v>
      </c>
      <c r="Q374">
        <f t="shared" si="971"/>
        <v>0</v>
      </c>
      <c r="R374">
        <f t="shared" si="972"/>
        <v>0</v>
      </c>
      <c r="S374">
        <f t="shared" si="973"/>
        <v>0</v>
      </c>
      <c r="T374">
        <f t="shared" si="974"/>
        <v>0</v>
      </c>
    </row>
    <row r="375" spans="1:20" x14ac:dyDescent="0.25">
      <c r="A375" s="5"/>
      <c r="C375"/>
      <c r="D375"/>
      <c r="P375">
        <f t="shared" si="970"/>
        <v>0</v>
      </c>
      <c r="Q375">
        <f t="shared" si="971"/>
        <v>0</v>
      </c>
      <c r="R375">
        <f t="shared" si="972"/>
        <v>0</v>
      </c>
      <c r="S375">
        <f t="shared" si="973"/>
        <v>0</v>
      </c>
      <c r="T375">
        <f t="shared" si="974"/>
        <v>0</v>
      </c>
    </row>
    <row r="376" spans="1:20" x14ac:dyDescent="0.25">
      <c r="A376" s="5"/>
      <c r="C376"/>
      <c r="D376"/>
      <c r="P376">
        <f t="shared" si="970"/>
        <v>0</v>
      </c>
      <c r="Q376">
        <f t="shared" si="971"/>
        <v>0</v>
      </c>
      <c r="R376">
        <f t="shared" si="972"/>
        <v>0</v>
      </c>
      <c r="S376">
        <f t="shared" si="973"/>
        <v>0</v>
      </c>
      <c r="T376">
        <f t="shared" si="974"/>
        <v>0</v>
      </c>
    </row>
    <row r="377" spans="1:20" x14ac:dyDescent="0.25">
      <c r="A377" s="5"/>
      <c r="C377"/>
      <c r="D377"/>
      <c r="P377">
        <f t="shared" si="970"/>
        <v>0</v>
      </c>
      <c r="Q377">
        <f t="shared" si="971"/>
        <v>0</v>
      </c>
      <c r="R377">
        <f t="shared" si="972"/>
        <v>0</v>
      </c>
      <c r="S377">
        <f t="shared" si="973"/>
        <v>0</v>
      </c>
      <c r="T377">
        <f t="shared" si="974"/>
        <v>0</v>
      </c>
    </row>
    <row r="378" spans="1:20" x14ac:dyDescent="0.25">
      <c r="A378" s="5"/>
      <c r="C378"/>
      <c r="D378"/>
      <c r="P378">
        <f t="shared" si="970"/>
        <v>0</v>
      </c>
      <c r="Q378">
        <f t="shared" si="971"/>
        <v>0</v>
      </c>
      <c r="R378">
        <f t="shared" si="972"/>
        <v>0</v>
      </c>
      <c r="S378">
        <f t="shared" si="973"/>
        <v>0</v>
      </c>
      <c r="T378">
        <f t="shared" si="974"/>
        <v>0</v>
      </c>
    </row>
    <row r="379" spans="1:20" x14ac:dyDescent="0.25">
      <c r="A379" s="5"/>
      <c r="C379"/>
      <c r="D379"/>
      <c r="P379">
        <f t="shared" si="970"/>
        <v>0</v>
      </c>
      <c r="Q379">
        <f t="shared" si="971"/>
        <v>0</v>
      </c>
      <c r="R379">
        <f t="shared" si="972"/>
        <v>0</v>
      </c>
      <c r="S379">
        <f t="shared" si="973"/>
        <v>0</v>
      </c>
      <c r="T379">
        <f t="shared" si="974"/>
        <v>0</v>
      </c>
    </row>
    <row r="380" spans="1:20" x14ac:dyDescent="0.25">
      <c r="A380" s="5"/>
      <c r="C380"/>
      <c r="D380"/>
      <c r="P380">
        <f t="shared" si="970"/>
        <v>0</v>
      </c>
      <c r="Q380">
        <f t="shared" si="971"/>
        <v>0</v>
      </c>
      <c r="R380">
        <f t="shared" si="972"/>
        <v>0</v>
      </c>
      <c r="S380">
        <f t="shared" si="973"/>
        <v>0</v>
      </c>
      <c r="T380">
        <f t="shared" si="974"/>
        <v>0</v>
      </c>
    </row>
    <row r="381" spans="1:20" x14ac:dyDescent="0.25">
      <c r="A381" s="5"/>
      <c r="C381"/>
      <c r="D381"/>
      <c r="P381">
        <f t="shared" si="970"/>
        <v>0</v>
      </c>
      <c r="Q381">
        <f t="shared" si="971"/>
        <v>0</v>
      </c>
      <c r="R381">
        <f t="shared" si="972"/>
        <v>0</v>
      </c>
      <c r="S381">
        <f t="shared" si="973"/>
        <v>0</v>
      </c>
      <c r="T381">
        <f t="shared" si="974"/>
        <v>0</v>
      </c>
    </row>
    <row r="382" spans="1:20" x14ac:dyDescent="0.25">
      <c r="A382" s="5"/>
      <c r="C382"/>
      <c r="D382"/>
      <c r="P382">
        <f t="shared" si="970"/>
        <v>0</v>
      </c>
      <c r="Q382">
        <f t="shared" si="971"/>
        <v>0</v>
      </c>
      <c r="R382">
        <f t="shared" si="972"/>
        <v>0</v>
      </c>
      <c r="S382">
        <f t="shared" si="973"/>
        <v>0</v>
      </c>
      <c r="T382">
        <f t="shared" si="974"/>
        <v>0</v>
      </c>
    </row>
    <row r="383" spans="1:20" x14ac:dyDescent="0.25">
      <c r="A383" s="5"/>
      <c r="C383"/>
      <c r="D383"/>
      <c r="P383">
        <f t="shared" si="970"/>
        <v>0</v>
      </c>
      <c r="Q383">
        <f t="shared" si="971"/>
        <v>0</v>
      </c>
      <c r="R383">
        <f t="shared" si="972"/>
        <v>0</v>
      </c>
      <c r="S383">
        <f t="shared" si="973"/>
        <v>0</v>
      </c>
      <c r="T383">
        <f t="shared" si="974"/>
        <v>0</v>
      </c>
    </row>
    <row r="384" spans="1:20" x14ac:dyDescent="0.25">
      <c r="A384" s="5"/>
      <c r="C384"/>
      <c r="D384"/>
      <c r="P384">
        <f t="shared" si="970"/>
        <v>0</v>
      </c>
      <c r="Q384">
        <f t="shared" si="971"/>
        <v>0</v>
      </c>
      <c r="R384">
        <f t="shared" si="972"/>
        <v>0</v>
      </c>
      <c r="S384">
        <f t="shared" si="973"/>
        <v>0</v>
      </c>
      <c r="T384">
        <f t="shared" si="974"/>
        <v>0</v>
      </c>
    </row>
    <row r="385" spans="1:20" x14ac:dyDescent="0.25">
      <c r="A385" s="5"/>
      <c r="C385"/>
      <c r="D385"/>
      <c r="P385">
        <f t="shared" si="970"/>
        <v>0</v>
      </c>
      <c r="Q385">
        <f t="shared" si="971"/>
        <v>0</v>
      </c>
      <c r="R385">
        <f t="shared" si="972"/>
        <v>0</v>
      </c>
      <c r="S385">
        <f t="shared" si="973"/>
        <v>0</v>
      </c>
      <c r="T385">
        <f t="shared" si="974"/>
        <v>0</v>
      </c>
    </row>
    <row r="386" spans="1:20" x14ac:dyDescent="0.25">
      <c r="A386" s="5"/>
      <c r="C386"/>
      <c r="D386"/>
      <c r="P386">
        <f t="shared" si="970"/>
        <v>0</v>
      </c>
      <c r="Q386">
        <f t="shared" si="971"/>
        <v>0</v>
      </c>
      <c r="R386">
        <f t="shared" si="972"/>
        <v>0</v>
      </c>
      <c r="S386">
        <f t="shared" si="973"/>
        <v>0</v>
      </c>
      <c r="T386">
        <f t="shared" si="974"/>
        <v>0</v>
      </c>
    </row>
    <row r="387" spans="1:20" x14ac:dyDescent="0.25">
      <c r="A387" s="5"/>
      <c r="C387"/>
      <c r="D387"/>
      <c r="P387">
        <f t="shared" si="970"/>
        <v>0</v>
      </c>
      <c r="Q387">
        <f t="shared" si="971"/>
        <v>0</v>
      </c>
      <c r="R387">
        <f t="shared" si="972"/>
        <v>0</v>
      </c>
      <c r="S387">
        <f t="shared" si="973"/>
        <v>0</v>
      </c>
      <c r="T387">
        <f t="shared" si="974"/>
        <v>0</v>
      </c>
    </row>
    <row r="388" spans="1:20" x14ac:dyDescent="0.25">
      <c r="A388" s="5"/>
      <c r="C388"/>
      <c r="D388"/>
      <c r="P388">
        <f t="shared" si="970"/>
        <v>0</v>
      </c>
      <c r="Q388">
        <f t="shared" si="971"/>
        <v>0</v>
      </c>
      <c r="R388">
        <f t="shared" si="972"/>
        <v>0</v>
      </c>
      <c r="S388">
        <f t="shared" si="973"/>
        <v>0</v>
      </c>
      <c r="T388">
        <f t="shared" si="974"/>
        <v>0</v>
      </c>
    </row>
    <row r="389" spans="1:20" x14ac:dyDescent="0.25">
      <c r="A389" s="5"/>
      <c r="C389"/>
      <c r="D389"/>
      <c r="P389">
        <f t="shared" si="970"/>
        <v>0</v>
      </c>
      <c r="Q389">
        <f t="shared" si="971"/>
        <v>0</v>
      </c>
      <c r="R389">
        <f t="shared" si="972"/>
        <v>0</v>
      </c>
      <c r="S389">
        <f t="shared" si="973"/>
        <v>0</v>
      </c>
      <c r="T389">
        <f t="shared" si="974"/>
        <v>0</v>
      </c>
    </row>
    <row r="390" spans="1:20" x14ac:dyDescent="0.25">
      <c r="A390" s="5"/>
      <c r="C390"/>
      <c r="D390"/>
      <c r="P390">
        <f t="shared" ref="P390:P453" si="975">IF(C390=D390,0,((E390-D390)-(C390-E390))/(C390-D390))</f>
        <v>0</v>
      </c>
      <c r="Q390">
        <f t="shared" ref="Q390:Q453" si="976">F390*P390</f>
        <v>0</v>
      </c>
      <c r="R390">
        <f t="shared" ref="R390:R453" si="977">R391+Q390</f>
        <v>0</v>
      </c>
      <c r="S390">
        <f t="shared" ref="S390:S453" si="978">R390/100000</f>
        <v>0</v>
      </c>
      <c r="T390">
        <f t="shared" ref="T390:T453" si="979">S390/1000</f>
        <v>0</v>
      </c>
    </row>
    <row r="391" spans="1:20" x14ac:dyDescent="0.25">
      <c r="A391" s="5"/>
      <c r="C391"/>
      <c r="D391"/>
      <c r="P391">
        <f t="shared" si="975"/>
        <v>0</v>
      </c>
      <c r="Q391">
        <f t="shared" si="976"/>
        <v>0</v>
      </c>
      <c r="R391">
        <f t="shared" si="977"/>
        <v>0</v>
      </c>
      <c r="S391">
        <f t="shared" si="978"/>
        <v>0</v>
      </c>
      <c r="T391">
        <f t="shared" si="979"/>
        <v>0</v>
      </c>
    </row>
    <row r="392" spans="1:20" x14ac:dyDescent="0.25">
      <c r="A392" s="5"/>
      <c r="C392"/>
      <c r="D392"/>
      <c r="P392">
        <f t="shared" si="975"/>
        <v>0</v>
      </c>
      <c r="Q392">
        <f t="shared" si="976"/>
        <v>0</v>
      </c>
      <c r="R392">
        <f t="shared" si="977"/>
        <v>0</v>
      </c>
      <c r="S392">
        <f t="shared" si="978"/>
        <v>0</v>
      </c>
      <c r="T392">
        <f t="shared" si="979"/>
        <v>0</v>
      </c>
    </row>
    <row r="393" spans="1:20" x14ac:dyDescent="0.25">
      <c r="A393" s="5"/>
      <c r="C393"/>
      <c r="D393"/>
      <c r="P393">
        <f t="shared" si="975"/>
        <v>0</v>
      </c>
      <c r="Q393">
        <f t="shared" si="976"/>
        <v>0</v>
      </c>
      <c r="R393">
        <f t="shared" si="977"/>
        <v>0</v>
      </c>
      <c r="S393">
        <f t="shared" si="978"/>
        <v>0</v>
      </c>
      <c r="T393">
        <f t="shared" si="979"/>
        <v>0</v>
      </c>
    </row>
    <row r="394" spans="1:20" x14ac:dyDescent="0.25">
      <c r="A394" s="5"/>
      <c r="C394"/>
      <c r="D394"/>
      <c r="P394">
        <f t="shared" si="975"/>
        <v>0</v>
      </c>
      <c r="Q394">
        <f t="shared" si="976"/>
        <v>0</v>
      </c>
      <c r="R394">
        <f t="shared" si="977"/>
        <v>0</v>
      </c>
      <c r="S394">
        <f t="shared" si="978"/>
        <v>0</v>
      </c>
      <c r="T394">
        <f t="shared" si="979"/>
        <v>0</v>
      </c>
    </row>
    <row r="395" spans="1:20" x14ac:dyDescent="0.25">
      <c r="A395" s="5"/>
      <c r="C395"/>
      <c r="D395"/>
      <c r="P395">
        <f t="shared" si="975"/>
        <v>0</v>
      </c>
      <c r="Q395">
        <f t="shared" si="976"/>
        <v>0</v>
      </c>
      <c r="R395">
        <f t="shared" si="977"/>
        <v>0</v>
      </c>
      <c r="S395">
        <f t="shared" si="978"/>
        <v>0</v>
      </c>
      <c r="T395">
        <f t="shared" si="979"/>
        <v>0</v>
      </c>
    </row>
    <row r="396" spans="1:20" x14ac:dyDescent="0.25">
      <c r="A396" s="5"/>
      <c r="C396"/>
      <c r="D396"/>
      <c r="P396">
        <f t="shared" si="975"/>
        <v>0</v>
      </c>
      <c r="Q396">
        <f t="shared" si="976"/>
        <v>0</v>
      </c>
      <c r="R396">
        <f t="shared" si="977"/>
        <v>0</v>
      </c>
      <c r="S396">
        <f t="shared" si="978"/>
        <v>0</v>
      </c>
      <c r="T396">
        <f t="shared" si="979"/>
        <v>0</v>
      </c>
    </row>
    <row r="397" spans="1:20" x14ac:dyDescent="0.25">
      <c r="A397" s="5"/>
      <c r="C397"/>
      <c r="D397"/>
      <c r="P397">
        <f t="shared" si="975"/>
        <v>0</v>
      </c>
      <c r="Q397">
        <f t="shared" si="976"/>
        <v>0</v>
      </c>
      <c r="R397">
        <f t="shared" si="977"/>
        <v>0</v>
      </c>
      <c r="S397">
        <f t="shared" si="978"/>
        <v>0</v>
      </c>
      <c r="T397">
        <f t="shared" si="979"/>
        <v>0</v>
      </c>
    </row>
    <row r="398" spans="1:20" x14ac:dyDescent="0.25">
      <c r="A398" s="5"/>
      <c r="C398"/>
      <c r="D398"/>
      <c r="P398">
        <f t="shared" si="975"/>
        <v>0</v>
      </c>
      <c r="Q398">
        <f t="shared" si="976"/>
        <v>0</v>
      </c>
      <c r="R398">
        <f t="shared" si="977"/>
        <v>0</v>
      </c>
      <c r="S398">
        <f t="shared" si="978"/>
        <v>0</v>
      </c>
      <c r="T398">
        <f t="shared" si="979"/>
        <v>0</v>
      </c>
    </row>
    <row r="399" spans="1:20" x14ac:dyDescent="0.25">
      <c r="A399" s="5"/>
      <c r="C399"/>
      <c r="D399"/>
      <c r="P399">
        <f t="shared" si="975"/>
        <v>0</v>
      </c>
      <c r="Q399">
        <f t="shared" si="976"/>
        <v>0</v>
      </c>
      <c r="R399">
        <f t="shared" si="977"/>
        <v>0</v>
      </c>
      <c r="S399">
        <f t="shared" si="978"/>
        <v>0</v>
      </c>
      <c r="T399">
        <f t="shared" si="979"/>
        <v>0</v>
      </c>
    </row>
    <row r="400" spans="1:20" x14ac:dyDescent="0.25">
      <c r="A400" s="5"/>
      <c r="C400"/>
      <c r="D400"/>
      <c r="P400">
        <f t="shared" si="975"/>
        <v>0</v>
      </c>
      <c r="Q400">
        <f t="shared" si="976"/>
        <v>0</v>
      </c>
      <c r="R400">
        <f t="shared" si="977"/>
        <v>0</v>
      </c>
      <c r="S400">
        <f t="shared" si="978"/>
        <v>0</v>
      </c>
      <c r="T400">
        <f t="shared" si="979"/>
        <v>0</v>
      </c>
    </row>
    <row r="401" spans="1:20" x14ac:dyDescent="0.25">
      <c r="A401" s="5"/>
      <c r="C401"/>
      <c r="D401"/>
      <c r="P401">
        <f t="shared" si="975"/>
        <v>0</v>
      </c>
      <c r="Q401">
        <f t="shared" si="976"/>
        <v>0</v>
      </c>
      <c r="R401">
        <f t="shared" si="977"/>
        <v>0</v>
      </c>
      <c r="S401">
        <f t="shared" si="978"/>
        <v>0</v>
      </c>
      <c r="T401">
        <f t="shared" si="979"/>
        <v>0</v>
      </c>
    </row>
    <row r="402" spans="1:20" x14ac:dyDescent="0.25">
      <c r="A402" s="5"/>
      <c r="C402"/>
      <c r="D402"/>
      <c r="P402">
        <f t="shared" si="975"/>
        <v>0</v>
      </c>
      <c r="Q402">
        <f t="shared" si="976"/>
        <v>0</v>
      </c>
      <c r="R402">
        <f t="shared" si="977"/>
        <v>0</v>
      </c>
      <c r="S402">
        <f t="shared" si="978"/>
        <v>0</v>
      </c>
      <c r="T402">
        <f t="shared" si="979"/>
        <v>0</v>
      </c>
    </row>
    <row r="403" spans="1:20" x14ac:dyDescent="0.25">
      <c r="A403" s="5"/>
      <c r="C403"/>
      <c r="D403"/>
      <c r="P403">
        <f t="shared" si="975"/>
        <v>0</v>
      </c>
      <c r="Q403">
        <f t="shared" si="976"/>
        <v>0</v>
      </c>
      <c r="R403">
        <f t="shared" si="977"/>
        <v>0</v>
      </c>
      <c r="S403">
        <f t="shared" si="978"/>
        <v>0</v>
      </c>
      <c r="T403">
        <f t="shared" si="979"/>
        <v>0</v>
      </c>
    </row>
    <row r="404" spans="1:20" x14ac:dyDescent="0.25">
      <c r="A404" s="5"/>
      <c r="C404"/>
      <c r="D404"/>
      <c r="P404">
        <f t="shared" si="975"/>
        <v>0</v>
      </c>
      <c r="Q404">
        <f t="shared" si="976"/>
        <v>0</v>
      </c>
      <c r="R404">
        <f t="shared" si="977"/>
        <v>0</v>
      </c>
      <c r="S404">
        <f t="shared" si="978"/>
        <v>0</v>
      </c>
      <c r="T404">
        <f t="shared" si="979"/>
        <v>0</v>
      </c>
    </row>
    <row r="405" spans="1:20" x14ac:dyDescent="0.25">
      <c r="A405" s="5"/>
      <c r="C405"/>
      <c r="D405"/>
      <c r="P405">
        <f t="shared" si="975"/>
        <v>0</v>
      </c>
      <c r="Q405">
        <f t="shared" si="976"/>
        <v>0</v>
      </c>
      <c r="R405">
        <f t="shared" si="977"/>
        <v>0</v>
      </c>
      <c r="S405">
        <f t="shared" si="978"/>
        <v>0</v>
      </c>
      <c r="T405">
        <f t="shared" si="979"/>
        <v>0</v>
      </c>
    </row>
    <row r="406" spans="1:20" x14ac:dyDescent="0.25">
      <c r="A406" s="5"/>
      <c r="C406"/>
      <c r="D406"/>
      <c r="P406">
        <f t="shared" si="975"/>
        <v>0</v>
      </c>
      <c r="Q406">
        <f t="shared" si="976"/>
        <v>0</v>
      </c>
      <c r="R406">
        <f t="shared" si="977"/>
        <v>0</v>
      </c>
      <c r="S406">
        <f t="shared" si="978"/>
        <v>0</v>
      </c>
      <c r="T406">
        <f t="shared" si="979"/>
        <v>0</v>
      </c>
    </row>
    <row r="407" spans="1:20" x14ac:dyDescent="0.25">
      <c r="A407" s="5"/>
      <c r="C407"/>
      <c r="D407"/>
      <c r="P407">
        <f t="shared" si="975"/>
        <v>0</v>
      </c>
      <c r="Q407">
        <f t="shared" si="976"/>
        <v>0</v>
      </c>
      <c r="R407">
        <f t="shared" si="977"/>
        <v>0</v>
      </c>
      <c r="S407">
        <f t="shared" si="978"/>
        <v>0</v>
      </c>
      <c r="T407">
        <f t="shared" si="979"/>
        <v>0</v>
      </c>
    </row>
    <row r="408" spans="1:20" x14ac:dyDescent="0.25">
      <c r="A408" s="5"/>
      <c r="C408"/>
      <c r="D408"/>
      <c r="P408">
        <f t="shared" si="975"/>
        <v>0</v>
      </c>
      <c r="Q408">
        <f t="shared" si="976"/>
        <v>0</v>
      </c>
      <c r="R408">
        <f t="shared" si="977"/>
        <v>0</v>
      </c>
      <c r="S408">
        <f t="shared" si="978"/>
        <v>0</v>
      </c>
      <c r="T408">
        <f t="shared" si="979"/>
        <v>0</v>
      </c>
    </row>
    <row r="409" spans="1:20" x14ac:dyDescent="0.25">
      <c r="A409" s="5"/>
      <c r="C409"/>
      <c r="D409"/>
      <c r="P409">
        <f t="shared" si="975"/>
        <v>0</v>
      </c>
      <c r="Q409">
        <f t="shared" si="976"/>
        <v>0</v>
      </c>
      <c r="R409">
        <f t="shared" si="977"/>
        <v>0</v>
      </c>
      <c r="S409">
        <f t="shared" si="978"/>
        <v>0</v>
      </c>
      <c r="T409">
        <f t="shared" si="979"/>
        <v>0</v>
      </c>
    </row>
    <row r="410" spans="1:20" x14ac:dyDescent="0.25">
      <c r="A410" s="5"/>
      <c r="C410"/>
      <c r="D410"/>
      <c r="P410">
        <f t="shared" si="975"/>
        <v>0</v>
      </c>
      <c r="Q410">
        <f t="shared" si="976"/>
        <v>0</v>
      </c>
      <c r="R410">
        <f t="shared" si="977"/>
        <v>0</v>
      </c>
      <c r="S410">
        <f t="shared" si="978"/>
        <v>0</v>
      </c>
      <c r="T410">
        <f t="shared" si="979"/>
        <v>0</v>
      </c>
    </row>
    <row r="411" spans="1:20" x14ac:dyDescent="0.25">
      <c r="A411" s="5"/>
      <c r="C411"/>
      <c r="D411"/>
      <c r="P411">
        <f t="shared" si="975"/>
        <v>0</v>
      </c>
      <c r="Q411">
        <f t="shared" si="976"/>
        <v>0</v>
      </c>
      <c r="R411">
        <f t="shared" si="977"/>
        <v>0</v>
      </c>
      <c r="S411">
        <f t="shared" si="978"/>
        <v>0</v>
      </c>
      <c r="T411">
        <f t="shared" si="979"/>
        <v>0</v>
      </c>
    </row>
    <row r="412" spans="1:20" x14ac:dyDescent="0.25">
      <c r="A412" s="5"/>
      <c r="C412"/>
      <c r="D412"/>
      <c r="P412">
        <f t="shared" si="975"/>
        <v>0</v>
      </c>
      <c r="Q412">
        <f t="shared" si="976"/>
        <v>0</v>
      </c>
      <c r="R412">
        <f t="shared" si="977"/>
        <v>0</v>
      </c>
      <c r="S412">
        <f t="shared" si="978"/>
        <v>0</v>
      </c>
      <c r="T412">
        <f t="shared" si="979"/>
        <v>0</v>
      </c>
    </row>
    <row r="413" spans="1:20" x14ac:dyDescent="0.25">
      <c r="A413" s="5"/>
      <c r="C413"/>
      <c r="D413"/>
      <c r="P413">
        <f t="shared" si="975"/>
        <v>0</v>
      </c>
      <c r="Q413">
        <f t="shared" si="976"/>
        <v>0</v>
      </c>
      <c r="R413">
        <f t="shared" si="977"/>
        <v>0</v>
      </c>
      <c r="S413">
        <f t="shared" si="978"/>
        <v>0</v>
      </c>
      <c r="T413">
        <f t="shared" si="979"/>
        <v>0</v>
      </c>
    </row>
    <row r="414" spans="1:20" x14ac:dyDescent="0.25">
      <c r="A414" s="5"/>
      <c r="C414"/>
      <c r="D414"/>
      <c r="P414">
        <f t="shared" si="975"/>
        <v>0</v>
      </c>
      <c r="Q414">
        <f t="shared" si="976"/>
        <v>0</v>
      </c>
      <c r="R414">
        <f t="shared" si="977"/>
        <v>0</v>
      </c>
      <c r="S414">
        <f t="shared" si="978"/>
        <v>0</v>
      </c>
      <c r="T414">
        <f t="shared" si="979"/>
        <v>0</v>
      </c>
    </row>
    <row r="415" spans="1:20" x14ac:dyDescent="0.25">
      <c r="A415" s="5"/>
      <c r="C415"/>
      <c r="D415"/>
      <c r="P415">
        <f t="shared" si="975"/>
        <v>0</v>
      </c>
      <c r="Q415">
        <f t="shared" si="976"/>
        <v>0</v>
      </c>
      <c r="R415">
        <f t="shared" si="977"/>
        <v>0</v>
      </c>
      <c r="S415">
        <f t="shared" si="978"/>
        <v>0</v>
      </c>
      <c r="T415">
        <f t="shared" si="979"/>
        <v>0</v>
      </c>
    </row>
    <row r="416" spans="1:20" x14ac:dyDescent="0.25">
      <c r="A416" s="5"/>
      <c r="C416"/>
      <c r="D416"/>
      <c r="P416">
        <f t="shared" si="975"/>
        <v>0</v>
      </c>
      <c r="Q416">
        <f t="shared" si="976"/>
        <v>0</v>
      </c>
      <c r="R416">
        <f t="shared" si="977"/>
        <v>0</v>
      </c>
      <c r="S416">
        <f t="shared" si="978"/>
        <v>0</v>
      </c>
      <c r="T416">
        <f t="shared" si="979"/>
        <v>0</v>
      </c>
    </row>
    <row r="417" spans="1:20" x14ac:dyDescent="0.25">
      <c r="A417" s="5"/>
      <c r="C417"/>
      <c r="D417"/>
      <c r="P417">
        <f t="shared" si="975"/>
        <v>0</v>
      </c>
      <c r="Q417">
        <f t="shared" si="976"/>
        <v>0</v>
      </c>
      <c r="R417">
        <f t="shared" si="977"/>
        <v>0</v>
      </c>
      <c r="S417">
        <f t="shared" si="978"/>
        <v>0</v>
      </c>
      <c r="T417">
        <f t="shared" si="979"/>
        <v>0</v>
      </c>
    </row>
    <row r="418" spans="1:20" x14ac:dyDescent="0.25">
      <c r="A418" s="5"/>
      <c r="C418"/>
      <c r="D418"/>
      <c r="P418">
        <f t="shared" si="975"/>
        <v>0</v>
      </c>
      <c r="Q418">
        <f t="shared" si="976"/>
        <v>0</v>
      </c>
      <c r="R418">
        <f t="shared" si="977"/>
        <v>0</v>
      </c>
      <c r="S418">
        <f t="shared" si="978"/>
        <v>0</v>
      </c>
      <c r="T418">
        <f t="shared" si="979"/>
        <v>0</v>
      </c>
    </row>
    <row r="419" spans="1:20" x14ac:dyDescent="0.25">
      <c r="A419" s="5"/>
      <c r="C419"/>
      <c r="D419"/>
      <c r="P419">
        <f t="shared" si="975"/>
        <v>0</v>
      </c>
      <c r="Q419">
        <f t="shared" si="976"/>
        <v>0</v>
      </c>
      <c r="R419">
        <f t="shared" si="977"/>
        <v>0</v>
      </c>
      <c r="S419">
        <f t="shared" si="978"/>
        <v>0</v>
      </c>
      <c r="T419">
        <f t="shared" si="979"/>
        <v>0</v>
      </c>
    </row>
    <row r="420" spans="1:20" x14ac:dyDescent="0.25">
      <c r="A420" s="5"/>
      <c r="C420"/>
      <c r="D420"/>
      <c r="P420">
        <f t="shared" si="975"/>
        <v>0</v>
      </c>
      <c r="Q420">
        <f t="shared" si="976"/>
        <v>0</v>
      </c>
      <c r="R420">
        <f t="shared" si="977"/>
        <v>0</v>
      </c>
      <c r="S420">
        <f t="shared" si="978"/>
        <v>0</v>
      </c>
      <c r="T420">
        <f t="shared" si="979"/>
        <v>0</v>
      </c>
    </row>
    <row r="421" spans="1:20" x14ac:dyDescent="0.25">
      <c r="A421" s="5"/>
      <c r="C421"/>
      <c r="D421"/>
      <c r="P421">
        <f t="shared" si="975"/>
        <v>0</v>
      </c>
      <c r="Q421">
        <f t="shared" si="976"/>
        <v>0</v>
      </c>
      <c r="R421">
        <f t="shared" si="977"/>
        <v>0</v>
      </c>
      <c r="S421">
        <f t="shared" si="978"/>
        <v>0</v>
      </c>
      <c r="T421">
        <f t="shared" si="979"/>
        <v>0</v>
      </c>
    </row>
    <row r="422" spans="1:20" x14ac:dyDescent="0.25">
      <c r="A422" s="5"/>
      <c r="C422"/>
      <c r="D422"/>
      <c r="P422">
        <f t="shared" si="975"/>
        <v>0</v>
      </c>
      <c r="Q422">
        <f t="shared" si="976"/>
        <v>0</v>
      </c>
      <c r="R422">
        <f t="shared" si="977"/>
        <v>0</v>
      </c>
      <c r="S422">
        <f t="shared" si="978"/>
        <v>0</v>
      </c>
      <c r="T422">
        <f t="shared" si="979"/>
        <v>0</v>
      </c>
    </row>
    <row r="423" spans="1:20" x14ac:dyDescent="0.25">
      <c r="A423" s="5"/>
      <c r="C423"/>
      <c r="D423"/>
      <c r="P423">
        <f t="shared" si="975"/>
        <v>0</v>
      </c>
      <c r="Q423">
        <f t="shared" si="976"/>
        <v>0</v>
      </c>
      <c r="R423">
        <f t="shared" si="977"/>
        <v>0</v>
      </c>
      <c r="S423">
        <f t="shared" si="978"/>
        <v>0</v>
      </c>
      <c r="T423">
        <f t="shared" si="979"/>
        <v>0</v>
      </c>
    </row>
    <row r="424" spans="1:20" x14ac:dyDescent="0.25">
      <c r="A424" s="5"/>
      <c r="C424"/>
      <c r="D424"/>
      <c r="P424">
        <f t="shared" si="975"/>
        <v>0</v>
      </c>
      <c r="Q424">
        <f t="shared" si="976"/>
        <v>0</v>
      </c>
      <c r="R424">
        <f t="shared" si="977"/>
        <v>0</v>
      </c>
      <c r="S424">
        <f t="shared" si="978"/>
        <v>0</v>
      </c>
      <c r="T424">
        <f t="shared" si="979"/>
        <v>0</v>
      </c>
    </row>
    <row r="425" spans="1:20" x14ac:dyDescent="0.25">
      <c r="A425" s="5"/>
      <c r="C425"/>
      <c r="D425"/>
      <c r="P425">
        <f t="shared" si="975"/>
        <v>0</v>
      </c>
      <c r="Q425">
        <f t="shared" si="976"/>
        <v>0</v>
      </c>
      <c r="R425">
        <f t="shared" si="977"/>
        <v>0</v>
      </c>
      <c r="S425">
        <f t="shared" si="978"/>
        <v>0</v>
      </c>
      <c r="T425">
        <f t="shared" si="979"/>
        <v>0</v>
      </c>
    </row>
    <row r="426" spans="1:20" x14ac:dyDescent="0.25">
      <c r="A426" s="5"/>
      <c r="C426"/>
      <c r="D426"/>
      <c r="P426">
        <f t="shared" si="975"/>
        <v>0</v>
      </c>
      <c r="Q426">
        <f t="shared" si="976"/>
        <v>0</v>
      </c>
      <c r="R426">
        <f t="shared" si="977"/>
        <v>0</v>
      </c>
      <c r="S426">
        <f t="shared" si="978"/>
        <v>0</v>
      </c>
      <c r="T426">
        <f t="shared" si="979"/>
        <v>0</v>
      </c>
    </row>
    <row r="427" spans="1:20" x14ac:dyDescent="0.25">
      <c r="A427" s="5"/>
      <c r="C427"/>
      <c r="D427"/>
      <c r="P427">
        <f t="shared" si="975"/>
        <v>0</v>
      </c>
      <c r="Q427">
        <f t="shared" si="976"/>
        <v>0</v>
      </c>
      <c r="R427">
        <f t="shared" si="977"/>
        <v>0</v>
      </c>
      <c r="S427">
        <f t="shared" si="978"/>
        <v>0</v>
      </c>
      <c r="T427">
        <f t="shared" si="979"/>
        <v>0</v>
      </c>
    </row>
    <row r="428" spans="1:20" x14ac:dyDescent="0.25">
      <c r="A428" s="5"/>
      <c r="C428"/>
      <c r="D428"/>
      <c r="P428">
        <f t="shared" si="975"/>
        <v>0</v>
      </c>
      <c r="Q428">
        <f t="shared" si="976"/>
        <v>0</v>
      </c>
      <c r="R428">
        <f t="shared" si="977"/>
        <v>0</v>
      </c>
      <c r="S428">
        <f t="shared" si="978"/>
        <v>0</v>
      </c>
      <c r="T428">
        <f t="shared" si="979"/>
        <v>0</v>
      </c>
    </row>
    <row r="429" spans="1:20" x14ac:dyDescent="0.25">
      <c r="A429" s="5"/>
      <c r="C429"/>
      <c r="D429"/>
      <c r="P429">
        <f t="shared" si="975"/>
        <v>0</v>
      </c>
      <c r="Q429">
        <f t="shared" si="976"/>
        <v>0</v>
      </c>
      <c r="R429">
        <f t="shared" si="977"/>
        <v>0</v>
      </c>
      <c r="S429">
        <f t="shared" si="978"/>
        <v>0</v>
      </c>
      <c r="T429">
        <f t="shared" si="979"/>
        <v>0</v>
      </c>
    </row>
    <row r="430" spans="1:20" x14ac:dyDescent="0.25">
      <c r="A430" s="5"/>
      <c r="C430"/>
      <c r="D430"/>
      <c r="P430">
        <f t="shared" si="975"/>
        <v>0</v>
      </c>
      <c r="Q430">
        <f t="shared" si="976"/>
        <v>0</v>
      </c>
      <c r="R430">
        <f t="shared" si="977"/>
        <v>0</v>
      </c>
      <c r="S430">
        <f t="shared" si="978"/>
        <v>0</v>
      </c>
      <c r="T430">
        <f t="shared" si="979"/>
        <v>0</v>
      </c>
    </row>
    <row r="431" spans="1:20" x14ac:dyDescent="0.25">
      <c r="A431" s="5"/>
      <c r="C431"/>
      <c r="D431"/>
      <c r="P431">
        <f t="shared" si="975"/>
        <v>0</v>
      </c>
      <c r="Q431">
        <f t="shared" si="976"/>
        <v>0</v>
      </c>
      <c r="R431">
        <f t="shared" si="977"/>
        <v>0</v>
      </c>
      <c r="S431">
        <f t="shared" si="978"/>
        <v>0</v>
      </c>
      <c r="T431">
        <f t="shared" si="979"/>
        <v>0</v>
      </c>
    </row>
    <row r="432" spans="1:20" x14ac:dyDescent="0.25">
      <c r="A432" s="5"/>
      <c r="C432"/>
      <c r="D432"/>
      <c r="P432">
        <f t="shared" si="975"/>
        <v>0</v>
      </c>
      <c r="Q432">
        <f t="shared" si="976"/>
        <v>0</v>
      </c>
      <c r="R432">
        <f t="shared" si="977"/>
        <v>0</v>
      </c>
      <c r="S432">
        <f t="shared" si="978"/>
        <v>0</v>
      </c>
      <c r="T432">
        <f t="shared" si="979"/>
        <v>0</v>
      </c>
    </row>
    <row r="433" spans="1:20" x14ac:dyDescent="0.25">
      <c r="A433" s="5"/>
      <c r="C433"/>
      <c r="D433"/>
      <c r="P433">
        <f t="shared" si="975"/>
        <v>0</v>
      </c>
      <c r="Q433">
        <f t="shared" si="976"/>
        <v>0</v>
      </c>
      <c r="R433">
        <f t="shared" si="977"/>
        <v>0</v>
      </c>
      <c r="S433">
        <f t="shared" si="978"/>
        <v>0</v>
      </c>
      <c r="T433">
        <f t="shared" si="979"/>
        <v>0</v>
      </c>
    </row>
    <row r="434" spans="1:20" x14ac:dyDescent="0.25">
      <c r="A434" s="5"/>
      <c r="C434"/>
      <c r="D434"/>
      <c r="P434">
        <f t="shared" si="975"/>
        <v>0</v>
      </c>
      <c r="Q434">
        <f t="shared" si="976"/>
        <v>0</v>
      </c>
      <c r="R434">
        <f t="shared" si="977"/>
        <v>0</v>
      </c>
      <c r="S434">
        <f t="shared" si="978"/>
        <v>0</v>
      </c>
      <c r="T434">
        <f t="shared" si="979"/>
        <v>0</v>
      </c>
    </row>
    <row r="435" spans="1:20" x14ac:dyDescent="0.25">
      <c r="A435" s="5"/>
      <c r="C435"/>
      <c r="D435"/>
      <c r="P435">
        <f t="shared" si="975"/>
        <v>0</v>
      </c>
      <c r="Q435">
        <f t="shared" si="976"/>
        <v>0</v>
      </c>
      <c r="R435">
        <f t="shared" si="977"/>
        <v>0</v>
      </c>
      <c r="S435">
        <f t="shared" si="978"/>
        <v>0</v>
      </c>
      <c r="T435">
        <f t="shared" si="979"/>
        <v>0</v>
      </c>
    </row>
    <row r="436" spans="1:20" x14ac:dyDescent="0.25">
      <c r="A436" s="5"/>
      <c r="C436"/>
      <c r="D436"/>
      <c r="P436">
        <f t="shared" si="975"/>
        <v>0</v>
      </c>
      <c r="Q436">
        <f t="shared" si="976"/>
        <v>0</v>
      </c>
      <c r="R436">
        <f t="shared" si="977"/>
        <v>0</v>
      </c>
      <c r="S436">
        <f t="shared" si="978"/>
        <v>0</v>
      </c>
      <c r="T436">
        <f t="shared" si="979"/>
        <v>0</v>
      </c>
    </row>
    <row r="437" spans="1:20" x14ac:dyDescent="0.25">
      <c r="A437" s="5"/>
      <c r="C437"/>
      <c r="D437"/>
      <c r="P437">
        <f t="shared" si="975"/>
        <v>0</v>
      </c>
      <c r="Q437">
        <f t="shared" si="976"/>
        <v>0</v>
      </c>
      <c r="R437">
        <f t="shared" si="977"/>
        <v>0</v>
      </c>
      <c r="S437">
        <f t="shared" si="978"/>
        <v>0</v>
      </c>
      <c r="T437">
        <f t="shared" si="979"/>
        <v>0</v>
      </c>
    </row>
    <row r="438" spans="1:20" x14ac:dyDescent="0.25">
      <c r="A438" s="5"/>
      <c r="C438"/>
      <c r="D438"/>
      <c r="P438">
        <f t="shared" si="975"/>
        <v>0</v>
      </c>
      <c r="Q438">
        <f t="shared" si="976"/>
        <v>0</v>
      </c>
      <c r="R438">
        <f t="shared" si="977"/>
        <v>0</v>
      </c>
      <c r="S438">
        <f t="shared" si="978"/>
        <v>0</v>
      </c>
      <c r="T438">
        <f t="shared" si="979"/>
        <v>0</v>
      </c>
    </row>
    <row r="439" spans="1:20" x14ac:dyDescent="0.25">
      <c r="A439" s="5"/>
      <c r="C439"/>
      <c r="D439"/>
      <c r="P439">
        <f t="shared" si="975"/>
        <v>0</v>
      </c>
      <c r="Q439">
        <f t="shared" si="976"/>
        <v>0</v>
      </c>
      <c r="R439">
        <f t="shared" si="977"/>
        <v>0</v>
      </c>
      <c r="S439">
        <f t="shared" si="978"/>
        <v>0</v>
      </c>
      <c r="T439">
        <f t="shared" si="979"/>
        <v>0</v>
      </c>
    </row>
    <row r="440" spans="1:20" x14ac:dyDescent="0.25">
      <c r="A440" s="5"/>
      <c r="C440"/>
      <c r="D440"/>
      <c r="P440">
        <f t="shared" si="975"/>
        <v>0</v>
      </c>
      <c r="Q440">
        <f t="shared" si="976"/>
        <v>0</v>
      </c>
      <c r="R440">
        <f t="shared" si="977"/>
        <v>0</v>
      </c>
      <c r="S440">
        <f t="shared" si="978"/>
        <v>0</v>
      </c>
      <c r="T440">
        <f t="shared" si="979"/>
        <v>0</v>
      </c>
    </row>
    <row r="441" spans="1:20" x14ac:dyDescent="0.25">
      <c r="A441" s="5"/>
      <c r="C441"/>
      <c r="D441"/>
      <c r="P441">
        <f t="shared" si="975"/>
        <v>0</v>
      </c>
      <c r="Q441">
        <f t="shared" si="976"/>
        <v>0</v>
      </c>
      <c r="R441">
        <f t="shared" si="977"/>
        <v>0</v>
      </c>
      <c r="S441">
        <f t="shared" si="978"/>
        <v>0</v>
      </c>
      <c r="T441">
        <f t="shared" si="979"/>
        <v>0</v>
      </c>
    </row>
    <row r="442" spans="1:20" x14ac:dyDescent="0.25">
      <c r="A442" s="5"/>
      <c r="C442"/>
      <c r="D442"/>
      <c r="P442">
        <f t="shared" si="975"/>
        <v>0</v>
      </c>
      <c r="Q442">
        <f t="shared" si="976"/>
        <v>0</v>
      </c>
      <c r="R442">
        <f t="shared" si="977"/>
        <v>0</v>
      </c>
      <c r="S442">
        <f t="shared" si="978"/>
        <v>0</v>
      </c>
      <c r="T442">
        <f t="shared" si="979"/>
        <v>0</v>
      </c>
    </row>
    <row r="443" spans="1:20" x14ac:dyDescent="0.25">
      <c r="A443" s="5"/>
      <c r="C443"/>
      <c r="D443"/>
      <c r="P443">
        <f t="shared" si="975"/>
        <v>0</v>
      </c>
      <c r="Q443">
        <f t="shared" si="976"/>
        <v>0</v>
      </c>
      <c r="R443">
        <f t="shared" si="977"/>
        <v>0</v>
      </c>
      <c r="S443">
        <f t="shared" si="978"/>
        <v>0</v>
      </c>
      <c r="T443">
        <f t="shared" si="979"/>
        <v>0</v>
      </c>
    </row>
    <row r="444" spans="1:20" x14ac:dyDescent="0.25">
      <c r="A444" s="5"/>
      <c r="C444"/>
      <c r="D444"/>
      <c r="P444">
        <f t="shared" si="975"/>
        <v>0</v>
      </c>
      <c r="Q444">
        <f t="shared" si="976"/>
        <v>0</v>
      </c>
      <c r="R444">
        <f t="shared" si="977"/>
        <v>0</v>
      </c>
      <c r="S444">
        <f t="shared" si="978"/>
        <v>0</v>
      </c>
      <c r="T444">
        <f t="shared" si="979"/>
        <v>0</v>
      </c>
    </row>
    <row r="445" spans="1:20" x14ac:dyDescent="0.25">
      <c r="A445" s="5"/>
      <c r="C445"/>
      <c r="D445"/>
      <c r="P445">
        <f t="shared" si="975"/>
        <v>0</v>
      </c>
      <c r="Q445">
        <f t="shared" si="976"/>
        <v>0</v>
      </c>
      <c r="R445">
        <f t="shared" si="977"/>
        <v>0</v>
      </c>
      <c r="S445">
        <f t="shared" si="978"/>
        <v>0</v>
      </c>
      <c r="T445">
        <f t="shared" si="979"/>
        <v>0</v>
      </c>
    </row>
    <row r="446" spans="1:20" x14ac:dyDescent="0.25">
      <c r="A446" s="5"/>
      <c r="C446"/>
      <c r="D446"/>
      <c r="P446">
        <f t="shared" si="975"/>
        <v>0</v>
      </c>
      <c r="Q446">
        <f t="shared" si="976"/>
        <v>0</v>
      </c>
      <c r="R446">
        <f t="shared" si="977"/>
        <v>0</v>
      </c>
      <c r="S446">
        <f t="shared" si="978"/>
        <v>0</v>
      </c>
      <c r="T446">
        <f t="shared" si="979"/>
        <v>0</v>
      </c>
    </row>
    <row r="447" spans="1:20" x14ac:dyDescent="0.25">
      <c r="A447" s="5"/>
      <c r="C447"/>
      <c r="D447"/>
      <c r="P447">
        <f t="shared" si="975"/>
        <v>0</v>
      </c>
      <c r="Q447">
        <f t="shared" si="976"/>
        <v>0</v>
      </c>
      <c r="R447">
        <f t="shared" si="977"/>
        <v>0</v>
      </c>
      <c r="S447">
        <f t="shared" si="978"/>
        <v>0</v>
      </c>
      <c r="T447">
        <f t="shared" si="979"/>
        <v>0</v>
      </c>
    </row>
    <row r="448" spans="1:20" x14ac:dyDescent="0.25">
      <c r="A448" s="5"/>
      <c r="C448"/>
      <c r="D448"/>
      <c r="P448">
        <f t="shared" si="975"/>
        <v>0</v>
      </c>
      <c r="Q448">
        <f t="shared" si="976"/>
        <v>0</v>
      </c>
      <c r="R448">
        <f t="shared" si="977"/>
        <v>0</v>
      </c>
      <c r="S448">
        <f t="shared" si="978"/>
        <v>0</v>
      </c>
      <c r="T448">
        <f t="shared" si="979"/>
        <v>0</v>
      </c>
    </row>
    <row r="449" spans="1:20" x14ac:dyDescent="0.25">
      <c r="A449" s="5"/>
      <c r="C449"/>
      <c r="D449"/>
      <c r="P449">
        <f t="shared" si="975"/>
        <v>0</v>
      </c>
      <c r="Q449">
        <f t="shared" si="976"/>
        <v>0</v>
      </c>
      <c r="R449">
        <f t="shared" si="977"/>
        <v>0</v>
      </c>
      <c r="S449">
        <f t="shared" si="978"/>
        <v>0</v>
      </c>
      <c r="T449">
        <f t="shared" si="979"/>
        <v>0</v>
      </c>
    </row>
    <row r="450" spans="1:20" x14ac:dyDescent="0.25">
      <c r="A450" s="5"/>
      <c r="C450"/>
      <c r="D450"/>
      <c r="P450">
        <f t="shared" si="975"/>
        <v>0</v>
      </c>
      <c r="Q450">
        <f t="shared" si="976"/>
        <v>0</v>
      </c>
      <c r="R450">
        <f t="shared" si="977"/>
        <v>0</v>
      </c>
      <c r="S450">
        <f t="shared" si="978"/>
        <v>0</v>
      </c>
      <c r="T450">
        <f t="shared" si="979"/>
        <v>0</v>
      </c>
    </row>
    <row r="451" spans="1:20" x14ac:dyDescent="0.25">
      <c r="A451" s="5"/>
      <c r="C451"/>
      <c r="D451"/>
      <c r="P451">
        <f t="shared" si="975"/>
        <v>0</v>
      </c>
      <c r="Q451">
        <f t="shared" si="976"/>
        <v>0</v>
      </c>
      <c r="R451">
        <f t="shared" si="977"/>
        <v>0</v>
      </c>
      <c r="S451">
        <f t="shared" si="978"/>
        <v>0</v>
      </c>
      <c r="T451">
        <f t="shared" si="979"/>
        <v>0</v>
      </c>
    </row>
    <row r="452" spans="1:20" x14ac:dyDescent="0.25">
      <c r="A452" s="5"/>
      <c r="C452"/>
      <c r="D452"/>
      <c r="P452">
        <f t="shared" si="975"/>
        <v>0</v>
      </c>
      <c r="Q452">
        <f t="shared" si="976"/>
        <v>0</v>
      </c>
      <c r="R452">
        <f t="shared" si="977"/>
        <v>0</v>
      </c>
      <c r="S452">
        <f t="shared" si="978"/>
        <v>0</v>
      </c>
      <c r="T452">
        <f t="shared" si="979"/>
        <v>0</v>
      </c>
    </row>
    <row r="453" spans="1:20" x14ac:dyDescent="0.25">
      <c r="A453" s="5"/>
      <c r="C453"/>
      <c r="D453"/>
      <c r="P453">
        <f t="shared" si="975"/>
        <v>0</v>
      </c>
      <c r="Q453">
        <f t="shared" si="976"/>
        <v>0</v>
      </c>
      <c r="R453">
        <f t="shared" si="977"/>
        <v>0</v>
      </c>
      <c r="S453">
        <f t="shared" si="978"/>
        <v>0</v>
      </c>
      <c r="T453">
        <f t="shared" si="979"/>
        <v>0</v>
      </c>
    </row>
    <row r="454" spans="1:20" x14ac:dyDescent="0.25">
      <c r="A454" s="5"/>
      <c r="C454"/>
      <c r="D454"/>
      <c r="P454">
        <f t="shared" ref="P454:P517" si="980">IF(C454=D454,0,((E454-D454)-(C454-E454))/(C454-D454))</f>
        <v>0</v>
      </c>
      <c r="Q454">
        <f t="shared" ref="Q454:Q517" si="981">F454*P454</f>
        <v>0</v>
      </c>
      <c r="R454">
        <f t="shared" ref="R454:R517" si="982">R455+Q454</f>
        <v>0</v>
      </c>
      <c r="S454">
        <f t="shared" ref="S454:S517" si="983">R454/100000</f>
        <v>0</v>
      </c>
      <c r="T454">
        <f t="shared" ref="T454:T517" si="984">S454/1000</f>
        <v>0</v>
      </c>
    </row>
    <row r="455" spans="1:20" x14ac:dyDescent="0.25">
      <c r="A455" s="5"/>
      <c r="C455"/>
      <c r="D455"/>
      <c r="P455">
        <f t="shared" si="980"/>
        <v>0</v>
      </c>
      <c r="Q455">
        <f t="shared" si="981"/>
        <v>0</v>
      </c>
      <c r="R455">
        <f t="shared" si="982"/>
        <v>0</v>
      </c>
      <c r="S455">
        <f t="shared" si="983"/>
        <v>0</v>
      </c>
      <c r="T455">
        <f t="shared" si="984"/>
        <v>0</v>
      </c>
    </row>
    <row r="456" spans="1:20" x14ac:dyDescent="0.25">
      <c r="A456" s="5"/>
      <c r="C456"/>
      <c r="D456"/>
      <c r="P456">
        <f t="shared" si="980"/>
        <v>0</v>
      </c>
      <c r="Q456">
        <f t="shared" si="981"/>
        <v>0</v>
      </c>
      <c r="R456">
        <f t="shared" si="982"/>
        <v>0</v>
      </c>
      <c r="S456">
        <f t="shared" si="983"/>
        <v>0</v>
      </c>
      <c r="T456">
        <f t="shared" si="984"/>
        <v>0</v>
      </c>
    </row>
    <row r="457" spans="1:20" x14ac:dyDescent="0.25">
      <c r="A457" s="5"/>
      <c r="C457"/>
      <c r="D457"/>
      <c r="P457">
        <f t="shared" si="980"/>
        <v>0</v>
      </c>
      <c r="Q457">
        <f t="shared" si="981"/>
        <v>0</v>
      </c>
      <c r="R457">
        <f t="shared" si="982"/>
        <v>0</v>
      </c>
      <c r="S457">
        <f t="shared" si="983"/>
        <v>0</v>
      </c>
      <c r="T457">
        <f t="shared" si="984"/>
        <v>0</v>
      </c>
    </row>
    <row r="458" spans="1:20" x14ac:dyDescent="0.25">
      <c r="A458" s="5"/>
      <c r="C458"/>
      <c r="D458"/>
      <c r="P458">
        <f t="shared" si="980"/>
        <v>0</v>
      </c>
      <c r="Q458">
        <f t="shared" si="981"/>
        <v>0</v>
      </c>
      <c r="R458">
        <f t="shared" si="982"/>
        <v>0</v>
      </c>
      <c r="S458">
        <f t="shared" si="983"/>
        <v>0</v>
      </c>
      <c r="T458">
        <f t="shared" si="984"/>
        <v>0</v>
      </c>
    </row>
    <row r="459" spans="1:20" x14ac:dyDescent="0.25">
      <c r="A459" s="5"/>
      <c r="C459"/>
      <c r="D459"/>
      <c r="P459">
        <f t="shared" si="980"/>
        <v>0</v>
      </c>
      <c r="Q459">
        <f t="shared" si="981"/>
        <v>0</v>
      </c>
      <c r="R459">
        <f t="shared" si="982"/>
        <v>0</v>
      </c>
      <c r="S459">
        <f t="shared" si="983"/>
        <v>0</v>
      </c>
      <c r="T459">
        <f t="shared" si="984"/>
        <v>0</v>
      </c>
    </row>
    <row r="460" spans="1:20" x14ac:dyDescent="0.25">
      <c r="A460" s="5"/>
      <c r="C460"/>
      <c r="D460"/>
      <c r="P460">
        <f t="shared" si="980"/>
        <v>0</v>
      </c>
      <c r="Q460">
        <f t="shared" si="981"/>
        <v>0</v>
      </c>
      <c r="R460">
        <f t="shared" si="982"/>
        <v>0</v>
      </c>
      <c r="S460">
        <f t="shared" si="983"/>
        <v>0</v>
      </c>
      <c r="T460">
        <f t="shared" si="984"/>
        <v>0</v>
      </c>
    </row>
    <row r="461" spans="1:20" x14ac:dyDescent="0.25">
      <c r="A461" s="5"/>
      <c r="C461"/>
      <c r="D461"/>
      <c r="P461">
        <f t="shared" si="980"/>
        <v>0</v>
      </c>
      <c r="Q461">
        <f t="shared" si="981"/>
        <v>0</v>
      </c>
      <c r="R461">
        <f t="shared" si="982"/>
        <v>0</v>
      </c>
      <c r="S461">
        <f t="shared" si="983"/>
        <v>0</v>
      </c>
      <c r="T461">
        <f t="shared" si="984"/>
        <v>0</v>
      </c>
    </row>
    <row r="462" spans="1:20" x14ac:dyDescent="0.25">
      <c r="A462" s="5"/>
      <c r="C462"/>
      <c r="D462"/>
      <c r="P462">
        <f t="shared" si="980"/>
        <v>0</v>
      </c>
      <c r="Q462">
        <f t="shared" si="981"/>
        <v>0</v>
      </c>
      <c r="R462">
        <f t="shared" si="982"/>
        <v>0</v>
      </c>
      <c r="S462">
        <f t="shared" si="983"/>
        <v>0</v>
      </c>
      <c r="T462">
        <f t="shared" si="984"/>
        <v>0</v>
      </c>
    </row>
    <row r="463" spans="1:20" x14ac:dyDescent="0.25">
      <c r="A463" s="5"/>
      <c r="C463"/>
      <c r="D463"/>
      <c r="P463">
        <f t="shared" si="980"/>
        <v>0</v>
      </c>
      <c r="Q463">
        <f t="shared" si="981"/>
        <v>0</v>
      </c>
      <c r="R463">
        <f t="shared" si="982"/>
        <v>0</v>
      </c>
      <c r="S463">
        <f t="shared" si="983"/>
        <v>0</v>
      </c>
      <c r="T463">
        <f t="shared" si="984"/>
        <v>0</v>
      </c>
    </row>
    <row r="464" spans="1:20" x14ac:dyDescent="0.25">
      <c r="A464" s="5"/>
      <c r="C464"/>
      <c r="D464"/>
      <c r="P464">
        <f t="shared" si="980"/>
        <v>0</v>
      </c>
      <c r="Q464">
        <f t="shared" si="981"/>
        <v>0</v>
      </c>
      <c r="R464">
        <f t="shared" si="982"/>
        <v>0</v>
      </c>
      <c r="S464">
        <f t="shared" si="983"/>
        <v>0</v>
      </c>
      <c r="T464">
        <f t="shared" si="984"/>
        <v>0</v>
      </c>
    </row>
    <row r="465" spans="1:20" x14ac:dyDescent="0.25">
      <c r="A465" s="5"/>
      <c r="C465"/>
      <c r="D465"/>
      <c r="P465">
        <f t="shared" si="980"/>
        <v>0</v>
      </c>
      <c r="Q465">
        <f t="shared" si="981"/>
        <v>0</v>
      </c>
      <c r="R465">
        <f t="shared" si="982"/>
        <v>0</v>
      </c>
      <c r="S465">
        <f t="shared" si="983"/>
        <v>0</v>
      </c>
      <c r="T465">
        <f t="shared" si="984"/>
        <v>0</v>
      </c>
    </row>
    <row r="466" spans="1:20" x14ac:dyDescent="0.25">
      <c r="A466" s="5"/>
      <c r="C466"/>
      <c r="D466"/>
      <c r="P466">
        <f t="shared" si="980"/>
        <v>0</v>
      </c>
      <c r="Q466">
        <f t="shared" si="981"/>
        <v>0</v>
      </c>
      <c r="R466">
        <f t="shared" si="982"/>
        <v>0</v>
      </c>
      <c r="S466">
        <f t="shared" si="983"/>
        <v>0</v>
      </c>
      <c r="T466">
        <f t="shared" si="984"/>
        <v>0</v>
      </c>
    </row>
    <row r="467" spans="1:20" x14ac:dyDescent="0.25">
      <c r="A467" s="5"/>
      <c r="C467"/>
      <c r="D467"/>
      <c r="P467">
        <f t="shared" si="980"/>
        <v>0</v>
      </c>
      <c r="Q467">
        <f t="shared" si="981"/>
        <v>0</v>
      </c>
      <c r="R467">
        <f t="shared" si="982"/>
        <v>0</v>
      </c>
      <c r="S467">
        <f t="shared" si="983"/>
        <v>0</v>
      </c>
      <c r="T467">
        <f t="shared" si="984"/>
        <v>0</v>
      </c>
    </row>
    <row r="468" spans="1:20" x14ac:dyDescent="0.25">
      <c r="A468" s="5"/>
      <c r="C468"/>
      <c r="D468"/>
      <c r="P468">
        <f t="shared" si="980"/>
        <v>0</v>
      </c>
      <c r="Q468">
        <f t="shared" si="981"/>
        <v>0</v>
      </c>
      <c r="R468">
        <f t="shared" si="982"/>
        <v>0</v>
      </c>
      <c r="S468">
        <f t="shared" si="983"/>
        <v>0</v>
      </c>
      <c r="T468">
        <f t="shared" si="984"/>
        <v>0</v>
      </c>
    </row>
    <row r="469" spans="1:20" x14ac:dyDescent="0.25">
      <c r="A469" s="5"/>
      <c r="C469"/>
      <c r="D469"/>
      <c r="P469">
        <f t="shared" si="980"/>
        <v>0</v>
      </c>
      <c r="Q469">
        <f t="shared" si="981"/>
        <v>0</v>
      </c>
      <c r="R469">
        <f t="shared" si="982"/>
        <v>0</v>
      </c>
      <c r="S469">
        <f t="shared" si="983"/>
        <v>0</v>
      </c>
      <c r="T469">
        <f t="shared" si="984"/>
        <v>0</v>
      </c>
    </row>
    <row r="470" spans="1:20" x14ac:dyDescent="0.25">
      <c r="A470" s="5"/>
      <c r="C470"/>
      <c r="D470"/>
      <c r="P470">
        <f t="shared" si="980"/>
        <v>0</v>
      </c>
      <c r="Q470">
        <f t="shared" si="981"/>
        <v>0</v>
      </c>
      <c r="R470">
        <f t="shared" si="982"/>
        <v>0</v>
      </c>
      <c r="S470">
        <f t="shared" si="983"/>
        <v>0</v>
      </c>
      <c r="T470">
        <f t="shared" si="984"/>
        <v>0</v>
      </c>
    </row>
    <row r="471" spans="1:20" x14ac:dyDescent="0.25">
      <c r="A471" s="5"/>
      <c r="C471"/>
      <c r="D471"/>
      <c r="P471">
        <f t="shared" si="980"/>
        <v>0</v>
      </c>
      <c r="Q471">
        <f t="shared" si="981"/>
        <v>0</v>
      </c>
      <c r="R471">
        <f t="shared" si="982"/>
        <v>0</v>
      </c>
      <c r="S471">
        <f t="shared" si="983"/>
        <v>0</v>
      </c>
      <c r="T471">
        <f t="shared" si="984"/>
        <v>0</v>
      </c>
    </row>
    <row r="472" spans="1:20" x14ac:dyDescent="0.25">
      <c r="A472" s="5"/>
      <c r="C472"/>
      <c r="D472"/>
      <c r="P472">
        <f t="shared" si="980"/>
        <v>0</v>
      </c>
      <c r="Q472">
        <f t="shared" si="981"/>
        <v>0</v>
      </c>
      <c r="R472">
        <f t="shared" si="982"/>
        <v>0</v>
      </c>
      <c r="S472">
        <f t="shared" si="983"/>
        <v>0</v>
      </c>
      <c r="T472">
        <f t="shared" si="984"/>
        <v>0</v>
      </c>
    </row>
    <row r="473" spans="1:20" x14ac:dyDescent="0.25">
      <c r="A473" s="5"/>
      <c r="C473"/>
      <c r="D473"/>
      <c r="P473">
        <f t="shared" si="980"/>
        <v>0</v>
      </c>
      <c r="Q473">
        <f t="shared" si="981"/>
        <v>0</v>
      </c>
      <c r="R473">
        <f t="shared" si="982"/>
        <v>0</v>
      </c>
      <c r="S473">
        <f t="shared" si="983"/>
        <v>0</v>
      </c>
      <c r="T473">
        <f t="shared" si="984"/>
        <v>0</v>
      </c>
    </row>
    <row r="474" spans="1:20" x14ac:dyDescent="0.25">
      <c r="A474" s="5"/>
      <c r="C474"/>
      <c r="D474"/>
      <c r="P474">
        <f t="shared" si="980"/>
        <v>0</v>
      </c>
      <c r="Q474">
        <f t="shared" si="981"/>
        <v>0</v>
      </c>
      <c r="R474">
        <f t="shared" si="982"/>
        <v>0</v>
      </c>
      <c r="S474">
        <f t="shared" si="983"/>
        <v>0</v>
      </c>
      <c r="T474">
        <f t="shared" si="984"/>
        <v>0</v>
      </c>
    </row>
    <row r="475" spans="1:20" x14ac:dyDescent="0.25">
      <c r="A475" s="5"/>
      <c r="C475"/>
      <c r="D475"/>
      <c r="P475">
        <f t="shared" si="980"/>
        <v>0</v>
      </c>
      <c r="Q475">
        <f t="shared" si="981"/>
        <v>0</v>
      </c>
      <c r="R475">
        <f t="shared" si="982"/>
        <v>0</v>
      </c>
      <c r="S475">
        <f t="shared" si="983"/>
        <v>0</v>
      </c>
      <c r="T475">
        <f t="shared" si="984"/>
        <v>0</v>
      </c>
    </row>
    <row r="476" spans="1:20" x14ac:dyDescent="0.25">
      <c r="A476" s="5"/>
      <c r="C476"/>
      <c r="D476"/>
      <c r="P476">
        <f t="shared" si="980"/>
        <v>0</v>
      </c>
      <c r="Q476">
        <f t="shared" si="981"/>
        <v>0</v>
      </c>
      <c r="R476">
        <f t="shared" si="982"/>
        <v>0</v>
      </c>
      <c r="S476">
        <f t="shared" si="983"/>
        <v>0</v>
      </c>
      <c r="T476">
        <f t="shared" si="984"/>
        <v>0</v>
      </c>
    </row>
    <row r="477" spans="1:20" x14ac:dyDescent="0.25">
      <c r="A477" s="5"/>
      <c r="C477"/>
      <c r="D477"/>
      <c r="P477">
        <f t="shared" si="980"/>
        <v>0</v>
      </c>
      <c r="Q477">
        <f t="shared" si="981"/>
        <v>0</v>
      </c>
      <c r="R477">
        <f t="shared" si="982"/>
        <v>0</v>
      </c>
      <c r="S477">
        <f t="shared" si="983"/>
        <v>0</v>
      </c>
      <c r="T477">
        <f t="shared" si="984"/>
        <v>0</v>
      </c>
    </row>
    <row r="478" spans="1:20" x14ac:dyDescent="0.25">
      <c r="A478" s="5"/>
      <c r="C478"/>
      <c r="D478"/>
      <c r="P478">
        <f t="shared" si="980"/>
        <v>0</v>
      </c>
      <c r="Q478">
        <f t="shared" si="981"/>
        <v>0</v>
      </c>
      <c r="R478">
        <f t="shared" si="982"/>
        <v>0</v>
      </c>
      <c r="S478">
        <f t="shared" si="983"/>
        <v>0</v>
      </c>
      <c r="T478">
        <f t="shared" si="984"/>
        <v>0</v>
      </c>
    </row>
    <row r="479" spans="1:20" x14ac:dyDescent="0.25">
      <c r="A479" s="5"/>
      <c r="C479"/>
      <c r="D479"/>
      <c r="P479">
        <f t="shared" si="980"/>
        <v>0</v>
      </c>
      <c r="Q479">
        <f t="shared" si="981"/>
        <v>0</v>
      </c>
      <c r="R479">
        <f t="shared" si="982"/>
        <v>0</v>
      </c>
      <c r="S479">
        <f t="shared" si="983"/>
        <v>0</v>
      </c>
      <c r="T479">
        <f t="shared" si="984"/>
        <v>0</v>
      </c>
    </row>
    <row r="480" spans="1:20" x14ac:dyDescent="0.25">
      <c r="A480" s="5"/>
      <c r="C480"/>
      <c r="D480"/>
      <c r="P480">
        <f t="shared" si="980"/>
        <v>0</v>
      </c>
      <c r="Q480">
        <f t="shared" si="981"/>
        <v>0</v>
      </c>
      <c r="R480">
        <f t="shared" si="982"/>
        <v>0</v>
      </c>
      <c r="S480">
        <f t="shared" si="983"/>
        <v>0</v>
      </c>
      <c r="T480">
        <f t="shared" si="984"/>
        <v>0</v>
      </c>
    </row>
    <row r="481" spans="1:20" x14ac:dyDescent="0.25">
      <c r="A481" s="5"/>
      <c r="C481"/>
      <c r="D481"/>
      <c r="P481">
        <f t="shared" si="980"/>
        <v>0</v>
      </c>
      <c r="Q481">
        <f t="shared" si="981"/>
        <v>0</v>
      </c>
      <c r="R481">
        <f t="shared" si="982"/>
        <v>0</v>
      </c>
      <c r="S481">
        <f t="shared" si="983"/>
        <v>0</v>
      </c>
      <c r="T481">
        <f t="shared" si="984"/>
        <v>0</v>
      </c>
    </row>
    <row r="482" spans="1:20" x14ac:dyDescent="0.25">
      <c r="A482" s="5"/>
      <c r="C482"/>
      <c r="D482"/>
      <c r="P482">
        <f t="shared" si="980"/>
        <v>0</v>
      </c>
      <c r="Q482">
        <f t="shared" si="981"/>
        <v>0</v>
      </c>
      <c r="R482">
        <f t="shared" si="982"/>
        <v>0</v>
      </c>
      <c r="S482">
        <f t="shared" si="983"/>
        <v>0</v>
      </c>
      <c r="T482">
        <f t="shared" si="984"/>
        <v>0</v>
      </c>
    </row>
    <row r="483" spans="1:20" x14ac:dyDescent="0.25">
      <c r="A483" s="5"/>
      <c r="C483"/>
      <c r="D483"/>
      <c r="P483">
        <f t="shared" si="980"/>
        <v>0</v>
      </c>
      <c r="Q483">
        <f t="shared" si="981"/>
        <v>0</v>
      </c>
      <c r="R483">
        <f t="shared" si="982"/>
        <v>0</v>
      </c>
      <c r="S483">
        <f t="shared" si="983"/>
        <v>0</v>
      </c>
      <c r="T483">
        <f t="shared" si="984"/>
        <v>0</v>
      </c>
    </row>
    <row r="484" spans="1:20" x14ac:dyDescent="0.25">
      <c r="A484" s="5"/>
      <c r="C484"/>
      <c r="D484"/>
      <c r="P484">
        <f t="shared" si="980"/>
        <v>0</v>
      </c>
      <c r="Q484">
        <f t="shared" si="981"/>
        <v>0</v>
      </c>
      <c r="R484">
        <f t="shared" si="982"/>
        <v>0</v>
      </c>
      <c r="S484">
        <f t="shared" si="983"/>
        <v>0</v>
      </c>
      <c r="T484">
        <f t="shared" si="984"/>
        <v>0</v>
      </c>
    </row>
    <row r="485" spans="1:20" x14ac:dyDescent="0.25">
      <c r="A485" s="5"/>
      <c r="C485"/>
      <c r="D485"/>
      <c r="P485">
        <f t="shared" si="980"/>
        <v>0</v>
      </c>
      <c r="Q485">
        <f t="shared" si="981"/>
        <v>0</v>
      </c>
      <c r="R485">
        <f t="shared" si="982"/>
        <v>0</v>
      </c>
      <c r="S485">
        <f t="shared" si="983"/>
        <v>0</v>
      </c>
      <c r="T485">
        <f t="shared" si="984"/>
        <v>0</v>
      </c>
    </row>
    <row r="486" spans="1:20" x14ac:dyDescent="0.25">
      <c r="A486" s="5"/>
      <c r="C486"/>
      <c r="D486"/>
      <c r="P486">
        <f t="shared" si="980"/>
        <v>0</v>
      </c>
      <c r="Q486">
        <f t="shared" si="981"/>
        <v>0</v>
      </c>
      <c r="R486">
        <f t="shared" si="982"/>
        <v>0</v>
      </c>
      <c r="S486">
        <f t="shared" si="983"/>
        <v>0</v>
      </c>
      <c r="T486">
        <f t="shared" si="984"/>
        <v>0</v>
      </c>
    </row>
    <row r="487" spans="1:20" x14ac:dyDescent="0.25">
      <c r="A487" s="5"/>
      <c r="C487"/>
      <c r="D487"/>
      <c r="P487">
        <f t="shared" si="980"/>
        <v>0</v>
      </c>
      <c r="Q487">
        <f t="shared" si="981"/>
        <v>0</v>
      </c>
      <c r="R487">
        <f t="shared" si="982"/>
        <v>0</v>
      </c>
      <c r="S487">
        <f t="shared" si="983"/>
        <v>0</v>
      </c>
      <c r="T487">
        <f t="shared" si="984"/>
        <v>0</v>
      </c>
    </row>
    <row r="488" spans="1:20" x14ac:dyDescent="0.25">
      <c r="A488" s="5"/>
      <c r="C488"/>
      <c r="D488"/>
      <c r="P488">
        <f t="shared" si="980"/>
        <v>0</v>
      </c>
      <c r="Q488">
        <f t="shared" si="981"/>
        <v>0</v>
      </c>
      <c r="R488">
        <f t="shared" si="982"/>
        <v>0</v>
      </c>
      <c r="S488">
        <f t="shared" si="983"/>
        <v>0</v>
      </c>
      <c r="T488">
        <f t="shared" si="984"/>
        <v>0</v>
      </c>
    </row>
    <row r="489" spans="1:20" x14ac:dyDescent="0.25">
      <c r="A489" s="5"/>
      <c r="C489"/>
      <c r="D489"/>
      <c r="P489">
        <f t="shared" si="980"/>
        <v>0</v>
      </c>
      <c r="Q489">
        <f t="shared" si="981"/>
        <v>0</v>
      </c>
      <c r="R489">
        <f t="shared" si="982"/>
        <v>0</v>
      </c>
      <c r="S489">
        <f t="shared" si="983"/>
        <v>0</v>
      </c>
      <c r="T489">
        <f t="shared" si="984"/>
        <v>0</v>
      </c>
    </row>
    <row r="490" spans="1:20" x14ac:dyDescent="0.25">
      <c r="A490" s="5"/>
      <c r="C490"/>
      <c r="D490"/>
      <c r="P490">
        <f t="shared" si="980"/>
        <v>0</v>
      </c>
      <c r="Q490">
        <f t="shared" si="981"/>
        <v>0</v>
      </c>
      <c r="R490">
        <f t="shared" si="982"/>
        <v>0</v>
      </c>
      <c r="S490">
        <f t="shared" si="983"/>
        <v>0</v>
      </c>
      <c r="T490">
        <f t="shared" si="984"/>
        <v>0</v>
      </c>
    </row>
    <row r="491" spans="1:20" x14ac:dyDescent="0.25">
      <c r="A491" s="5"/>
      <c r="C491"/>
      <c r="D491"/>
      <c r="P491">
        <f t="shared" si="980"/>
        <v>0</v>
      </c>
      <c r="Q491">
        <f t="shared" si="981"/>
        <v>0</v>
      </c>
      <c r="R491">
        <f t="shared" si="982"/>
        <v>0</v>
      </c>
      <c r="S491">
        <f t="shared" si="983"/>
        <v>0</v>
      </c>
      <c r="T491">
        <f t="shared" si="984"/>
        <v>0</v>
      </c>
    </row>
    <row r="492" spans="1:20" x14ac:dyDescent="0.25">
      <c r="A492" s="5"/>
      <c r="C492"/>
      <c r="D492"/>
      <c r="P492">
        <f t="shared" si="980"/>
        <v>0</v>
      </c>
      <c r="Q492">
        <f t="shared" si="981"/>
        <v>0</v>
      </c>
      <c r="R492">
        <f t="shared" si="982"/>
        <v>0</v>
      </c>
      <c r="S492">
        <f t="shared" si="983"/>
        <v>0</v>
      </c>
      <c r="T492">
        <f t="shared" si="984"/>
        <v>0</v>
      </c>
    </row>
    <row r="493" spans="1:20" x14ac:dyDescent="0.25">
      <c r="A493" s="5"/>
      <c r="C493"/>
      <c r="D493"/>
      <c r="P493">
        <f t="shared" si="980"/>
        <v>0</v>
      </c>
      <c r="Q493">
        <f t="shared" si="981"/>
        <v>0</v>
      </c>
      <c r="R493">
        <f t="shared" si="982"/>
        <v>0</v>
      </c>
      <c r="S493">
        <f t="shared" si="983"/>
        <v>0</v>
      </c>
      <c r="T493">
        <f t="shared" si="984"/>
        <v>0</v>
      </c>
    </row>
    <row r="494" spans="1:20" x14ac:dyDescent="0.25">
      <c r="A494" s="5"/>
      <c r="C494"/>
      <c r="D494"/>
      <c r="P494">
        <f t="shared" si="980"/>
        <v>0</v>
      </c>
      <c r="Q494">
        <f t="shared" si="981"/>
        <v>0</v>
      </c>
      <c r="R494">
        <f t="shared" si="982"/>
        <v>0</v>
      </c>
      <c r="S494">
        <f t="shared" si="983"/>
        <v>0</v>
      </c>
      <c r="T494">
        <f t="shared" si="984"/>
        <v>0</v>
      </c>
    </row>
    <row r="495" spans="1:20" x14ac:dyDescent="0.25">
      <c r="A495" s="5"/>
      <c r="C495"/>
      <c r="D495"/>
      <c r="P495">
        <f t="shared" si="980"/>
        <v>0</v>
      </c>
      <c r="Q495">
        <f t="shared" si="981"/>
        <v>0</v>
      </c>
      <c r="R495">
        <f t="shared" si="982"/>
        <v>0</v>
      </c>
      <c r="S495">
        <f t="shared" si="983"/>
        <v>0</v>
      </c>
      <c r="T495">
        <f t="shared" si="984"/>
        <v>0</v>
      </c>
    </row>
    <row r="496" spans="1:20" x14ac:dyDescent="0.25">
      <c r="A496" s="5"/>
      <c r="C496"/>
      <c r="D496"/>
      <c r="P496">
        <f t="shared" si="980"/>
        <v>0</v>
      </c>
      <c r="Q496">
        <f t="shared" si="981"/>
        <v>0</v>
      </c>
      <c r="R496">
        <f t="shared" si="982"/>
        <v>0</v>
      </c>
      <c r="S496">
        <f t="shared" si="983"/>
        <v>0</v>
      </c>
      <c r="T496">
        <f t="shared" si="984"/>
        <v>0</v>
      </c>
    </row>
    <row r="497" spans="1:20" x14ac:dyDescent="0.25">
      <c r="A497" s="5"/>
      <c r="C497"/>
      <c r="D497"/>
      <c r="P497">
        <f t="shared" si="980"/>
        <v>0</v>
      </c>
      <c r="Q497">
        <f t="shared" si="981"/>
        <v>0</v>
      </c>
      <c r="R497">
        <f t="shared" si="982"/>
        <v>0</v>
      </c>
      <c r="S497">
        <f t="shared" si="983"/>
        <v>0</v>
      </c>
      <c r="T497">
        <f t="shared" si="984"/>
        <v>0</v>
      </c>
    </row>
    <row r="498" spans="1:20" x14ac:dyDescent="0.25">
      <c r="A498" s="5"/>
      <c r="C498"/>
      <c r="D498"/>
      <c r="P498">
        <f t="shared" si="980"/>
        <v>0</v>
      </c>
      <c r="Q498">
        <f t="shared" si="981"/>
        <v>0</v>
      </c>
      <c r="R498">
        <f t="shared" si="982"/>
        <v>0</v>
      </c>
      <c r="S498">
        <f t="shared" si="983"/>
        <v>0</v>
      </c>
      <c r="T498">
        <f t="shared" si="984"/>
        <v>0</v>
      </c>
    </row>
    <row r="499" spans="1:20" x14ac:dyDescent="0.25">
      <c r="A499" s="5"/>
      <c r="C499"/>
      <c r="D499"/>
      <c r="P499">
        <f t="shared" si="980"/>
        <v>0</v>
      </c>
      <c r="Q499">
        <f t="shared" si="981"/>
        <v>0</v>
      </c>
      <c r="R499">
        <f t="shared" si="982"/>
        <v>0</v>
      </c>
      <c r="S499">
        <f t="shared" si="983"/>
        <v>0</v>
      </c>
      <c r="T499">
        <f t="shared" si="984"/>
        <v>0</v>
      </c>
    </row>
    <row r="500" spans="1:20" x14ac:dyDescent="0.25">
      <c r="A500" s="5"/>
      <c r="C500"/>
      <c r="D500"/>
      <c r="P500">
        <f t="shared" si="980"/>
        <v>0</v>
      </c>
      <c r="Q500">
        <f t="shared" si="981"/>
        <v>0</v>
      </c>
      <c r="R500">
        <f t="shared" si="982"/>
        <v>0</v>
      </c>
      <c r="S500">
        <f t="shared" si="983"/>
        <v>0</v>
      </c>
      <c r="T500">
        <f t="shared" si="984"/>
        <v>0</v>
      </c>
    </row>
    <row r="501" spans="1:20" x14ac:dyDescent="0.25">
      <c r="A501" s="5"/>
      <c r="C501"/>
      <c r="D501"/>
      <c r="P501">
        <f t="shared" si="980"/>
        <v>0</v>
      </c>
      <c r="Q501">
        <f t="shared" si="981"/>
        <v>0</v>
      </c>
      <c r="R501">
        <f t="shared" si="982"/>
        <v>0</v>
      </c>
      <c r="S501">
        <f t="shared" si="983"/>
        <v>0</v>
      </c>
      <c r="T501">
        <f t="shared" si="984"/>
        <v>0</v>
      </c>
    </row>
    <row r="502" spans="1:20" x14ac:dyDescent="0.25">
      <c r="A502" s="5"/>
      <c r="C502"/>
      <c r="D502"/>
      <c r="P502">
        <f t="shared" si="980"/>
        <v>0</v>
      </c>
      <c r="Q502">
        <f t="shared" si="981"/>
        <v>0</v>
      </c>
      <c r="R502">
        <f t="shared" si="982"/>
        <v>0</v>
      </c>
      <c r="S502">
        <f t="shared" si="983"/>
        <v>0</v>
      </c>
      <c r="T502">
        <f t="shared" si="984"/>
        <v>0</v>
      </c>
    </row>
    <row r="503" spans="1:20" x14ac:dyDescent="0.25">
      <c r="A503" s="5"/>
      <c r="C503"/>
      <c r="D503"/>
      <c r="P503">
        <f t="shared" si="980"/>
        <v>0</v>
      </c>
      <c r="Q503">
        <f t="shared" si="981"/>
        <v>0</v>
      </c>
      <c r="R503">
        <f t="shared" si="982"/>
        <v>0</v>
      </c>
      <c r="S503">
        <f t="shared" si="983"/>
        <v>0</v>
      </c>
      <c r="T503">
        <f t="shared" si="984"/>
        <v>0</v>
      </c>
    </row>
    <row r="504" spans="1:20" x14ac:dyDescent="0.25">
      <c r="A504" s="5"/>
      <c r="C504"/>
      <c r="D504"/>
      <c r="P504">
        <f t="shared" si="980"/>
        <v>0</v>
      </c>
      <c r="Q504">
        <f t="shared" si="981"/>
        <v>0</v>
      </c>
      <c r="R504">
        <f t="shared" si="982"/>
        <v>0</v>
      </c>
      <c r="S504">
        <f t="shared" si="983"/>
        <v>0</v>
      </c>
      <c r="T504">
        <f t="shared" si="984"/>
        <v>0</v>
      </c>
    </row>
    <row r="505" spans="1:20" x14ac:dyDescent="0.25">
      <c r="A505" s="5"/>
      <c r="C505"/>
      <c r="D505"/>
      <c r="P505">
        <f t="shared" si="980"/>
        <v>0</v>
      </c>
      <c r="Q505">
        <f t="shared" si="981"/>
        <v>0</v>
      </c>
      <c r="R505">
        <f t="shared" si="982"/>
        <v>0</v>
      </c>
      <c r="S505">
        <f t="shared" si="983"/>
        <v>0</v>
      </c>
      <c r="T505">
        <f t="shared" si="984"/>
        <v>0</v>
      </c>
    </row>
    <row r="506" spans="1:20" x14ac:dyDescent="0.25">
      <c r="A506" s="5"/>
      <c r="C506"/>
      <c r="D506"/>
      <c r="P506">
        <f t="shared" si="980"/>
        <v>0</v>
      </c>
      <c r="Q506">
        <f t="shared" si="981"/>
        <v>0</v>
      </c>
      <c r="R506">
        <f t="shared" si="982"/>
        <v>0</v>
      </c>
      <c r="S506">
        <f t="shared" si="983"/>
        <v>0</v>
      </c>
      <c r="T506">
        <f t="shared" si="984"/>
        <v>0</v>
      </c>
    </row>
    <row r="507" spans="1:20" x14ac:dyDescent="0.25">
      <c r="A507" s="5"/>
      <c r="C507"/>
      <c r="D507"/>
      <c r="P507">
        <f t="shared" si="980"/>
        <v>0</v>
      </c>
      <c r="Q507">
        <f t="shared" si="981"/>
        <v>0</v>
      </c>
      <c r="R507">
        <f t="shared" si="982"/>
        <v>0</v>
      </c>
      <c r="S507">
        <f t="shared" si="983"/>
        <v>0</v>
      </c>
      <c r="T507">
        <f t="shared" si="984"/>
        <v>0</v>
      </c>
    </row>
    <row r="508" spans="1:20" x14ac:dyDescent="0.25">
      <c r="A508" s="5"/>
      <c r="C508"/>
      <c r="D508"/>
      <c r="P508">
        <f t="shared" si="980"/>
        <v>0</v>
      </c>
      <c r="Q508">
        <f t="shared" si="981"/>
        <v>0</v>
      </c>
      <c r="R508">
        <f t="shared" si="982"/>
        <v>0</v>
      </c>
      <c r="S508">
        <f t="shared" si="983"/>
        <v>0</v>
      </c>
      <c r="T508">
        <f t="shared" si="984"/>
        <v>0</v>
      </c>
    </row>
    <row r="509" spans="1:20" x14ac:dyDescent="0.25">
      <c r="A509" s="5"/>
      <c r="C509"/>
      <c r="D509"/>
      <c r="P509">
        <f t="shared" si="980"/>
        <v>0</v>
      </c>
      <c r="Q509">
        <f t="shared" si="981"/>
        <v>0</v>
      </c>
      <c r="R509">
        <f t="shared" si="982"/>
        <v>0</v>
      </c>
      <c r="S509">
        <f t="shared" si="983"/>
        <v>0</v>
      </c>
      <c r="T509">
        <f t="shared" si="984"/>
        <v>0</v>
      </c>
    </row>
    <row r="510" spans="1:20" x14ac:dyDescent="0.25">
      <c r="A510" s="5"/>
      <c r="C510"/>
      <c r="D510"/>
      <c r="P510">
        <f t="shared" si="980"/>
        <v>0</v>
      </c>
      <c r="Q510">
        <f t="shared" si="981"/>
        <v>0</v>
      </c>
      <c r="R510">
        <f t="shared" si="982"/>
        <v>0</v>
      </c>
      <c r="S510">
        <f t="shared" si="983"/>
        <v>0</v>
      </c>
      <c r="T510">
        <f t="shared" si="984"/>
        <v>0</v>
      </c>
    </row>
    <row r="511" spans="1:20" x14ac:dyDescent="0.25">
      <c r="A511" s="5"/>
      <c r="C511"/>
      <c r="D511"/>
      <c r="P511">
        <f t="shared" si="980"/>
        <v>0</v>
      </c>
      <c r="Q511">
        <f t="shared" si="981"/>
        <v>0</v>
      </c>
      <c r="R511">
        <f t="shared" si="982"/>
        <v>0</v>
      </c>
      <c r="S511">
        <f t="shared" si="983"/>
        <v>0</v>
      </c>
      <c r="T511">
        <f t="shared" si="984"/>
        <v>0</v>
      </c>
    </row>
    <row r="512" spans="1:20" x14ac:dyDescent="0.25">
      <c r="A512" s="5"/>
      <c r="C512"/>
      <c r="D512"/>
      <c r="P512">
        <f t="shared" si="980"/>
        <v>0</v>
      </c>
      <c r="Q512">
        <f t="shared" si="981"/>
        <v>0</v>
      </c>
      <c r="R512">
        <f t="shared" si="982"/>
        <v>0</v>
      </c>
      <c r="S512">
        <f t="shared" si="983"/>
        <v>0</v>
      </c>
      <c r="T512">
        <f t="shared" si="984"/>
        <v>0</v>
      </c>
    </row>
    <row r="513" spans="1:20" x14ac:dyDescent="0.25">
      <c r="A513" s="5"/>
      <c r="C513"/>
      <c r="D513"/>
      <c r="P513">
        <f t="shared" si="980"/>
        <v>0</v>
      </c>
      <c r="Q513">
        <f t="shared" si="981"/>
        <v>0</v>
      </c>
      <c r="R513">
        <f t="shared" si="982"/>
        <v>0</v>
      </c>
      <c r="S513">
        <f t="shared" si="983"/>
        <v>0</v>
      </c>
      <c r="T513">
        <f t="shared" si="984"/>
        <v>0</v>
      </c>
    </row>
    <row r="514" spans="1:20" x14ac:dyDescent="0.25">
      <c r="A514" s="5"/>
      <c r="C514"/>
      <c r="D514"/>
      <c r="P514">
        <f t="shared" si="980"/>
        <v>0</v>
      </c>
      <c r="Q514">
        <f t="shared" si="981"/>
        <v>0</v>
      </c>
      <c r="R514">
        <f t="shared" si="982"/>
        <v>0</v>
      </c>
      <c r="S514">
        <f t="shared" si="983"/>
        <v>0</v>
      </c>
      <c r="T514">
        <f t="shared" si="984"/>
        <v>0</v>
      </c>
    </row>
    <row r="515" spans="1:20" x14ac:dyDescent="0.25">
      <c r="A515" s="5"/>
      <c r="C515"/>
      <c r="D515"/>
      <c r="P515">
        <f t="shared" si="980"/>
        <v>0</v>
      </c>
      <c r="Q515">
        <f t="shared" si="981"/>
        <v>0</v>
      </c>
      <c r="R515">
        <f t="shared" si="982"/>
        <v>0</v>
      </c>
      <c r="S515">
        <f t="shared" si="983"/>
        <v>0</v>
      </c>
      <c r="T515">
        <f t="shared" si="984"/>
        <v>0</v>
      </c>
    </row>
    <row r="516" spans="1:20" x14ac:dyDescent="0.25">
      <c r="A516" s="5"/>
      <c r="C516"/>
      <c r="D516"/>
      <c r="P516">
        <f t="shared" si="980"/>
        <v>0</v>
      </c>
      <c r="Q516">
        <f t="shared" si="981"/>
        <v>0</v>
      </c>
      <c r="R516">
        <f t="shared" si="982"/>
        <v>0</v>
      </c>
      <c r="S516">
        <f t="shared" si="983"/>
        <v>0</v>
      </c>
      <c r="T516">
        <f t="shared" si="984"/>
        <v>0</v>
      </c>
    </row>
    <row r="517" spans="1:20" x14ac:dyDescent="0.25">
      <c r="A517" s="5"/>
      <c r="C517"/>
      <c r="D517"/>
      <c r="P517">
        <f t="shared" si="980"/>
        <v>0</v>
      </c>
      <c r="Q517">
        <f t="shared" si="981"/>
        <v>0</v>
      </c>
      <c r="R517">
        <f t="shared" si="982"/>
        <v>0</v>
      </c>
      <c r="S517">
        <f t="shared" si="983"/>
        <v>0</v>
      </c>
      <c r="T517">
        <f t="shared" si="984"/>
        <v>0</v>
      </c>
    </row>
    <row r="518" spans="1:20" x14ac:dyDescent="0.25">
      <c r="A518" s="5"/>
      <c r="C518"/>
      <c r="D518"/>
      <c r="P518">
        <f t="shared" ref="P518:P581" si="985">IF(C518=D518,0,((E518-D518)-(C518-E518))/(C518-D518))</f>
        <v>0</v>
      </c>
      <c r="Q518">
        <f t="shared" ref="Q518:Q581" si="986">F518*P518</f>
        <v>0</v>
      </c>
      <c r="R518">
        <f t="shared" ref="R518:R581" si="987">R519+Q518</f>
        <v>0</v>
      </c>
      <c r="S518">
        <f t="shared" ref="S518:S581" si="988">R518/100000</f>
        <v>0</v>
      </c>
      <c r="T518">
        <f t="shared" ref="T518:T581" si="989">S518/1000</f>
        <v>0</v>
      </c>
    </row>
    <row r="519" spans="1:20" x14ac:dyDescent="0.25">
      <c r="A519" s="5"/>
      <c r="C519"/>
      <c r="D519"/>
      <c r="P519">
        <f t="shared" si="985"/>
        <v>0</v>
      </c>
      <c r="Q519">
        <f t="shared" si="986"/>
        <v>0</v>
      </c>
      <c r="R519">
        <f t="shared" si="987"/>
        <v>0</v>
      </c>
      <c r="S519">
        <f t="shared" si="988"/>
        <v>0</v>
      </c>
      <c r="T519">
        <f t="shared" si="989"/>
        <v>0</v>
      </c>
    </row>
    <row r="520" spans="1:20" x14ac:dyDescent="0.25">
      <c r="A520" s="5"/>
      <c r="C520"/>
      <c r="D520"/>
      <c r="P520">
        <f t="shared" si="985"/>
        <v>0</v>
      </c>
      <c r="Q520">
        <f t="shared" si="986"/>
        <v>0</v>
      </c>
      <c r="R520">
        <f t="shared" si="987"/>
        <v>0</v>
      </c>
      <c r="S520">
        <f t="shared" si="988"/>
        <v>0</v>
      </c>
      <c r="T520">
        <f t="shared" si="989"/>
        <v>0</v>
      </c>
    </row>
    <row r="521" spans="1:20" x14ac:dyDescent="0.25">
      <c r="A521" s="5"/>
      <c r="C521"/>
      <c r="D521"/>
      <c r="P521">
        <f t="shared" si="985"/>
        <v>0</v>
      </c>
      <c r="Q521">
        <f t="shared" si="986"/>
        <v>0</v>
      </c>
      <c r="R521">
        <f t="shared" si="987"/>
        <v>0</v>
      </c>
      <c r="S521">
        <f t="shared" si="988"/>
        <v>0</v>
      </c>
      <c r="T521">
        <f t="shared" si="989"/>
        <v>0</v>
      </c>
    </row>
    <row r="522" spans="1:20" x14ac:dyDescent="0.25">
      <c r="A522" s="5"/>
      <c r="C522"/>
      <c r="D522"/>
      <c r="P522">
        <f t="shared" si="985"/>
        <v>0</v>
      </c>
      <c r="Q522">
        <f t="shared" si="986"/>
        <v>0</v>
      </c>
      <c r="R522">
        <f t="shared" si="987"/>
        <v>0</v>
      </c>
      <c r="S522">
        <f t="shared" si="988"/>
        <v>0</v>
      </c>
      <c r="T522">
        <f t="shared" si="989"/>
        <v>0</v>
      </c>
    </row>
    <row r="523" spans="1:20" x14ac:dyDescent="0.25">
      <c r="A523" s="5"/>
      <c r="C523"/>
      <c r="D523"/>
      <c r="P523">
        <f t="shared" si="985"/>
        <v>0</v>
      </c>
      <c r="Q523">
        <f t="shared" si="986"/>
        <v>0</v>
      </c>
      <c r="R523">
        <f t="shared" si="987"/>
        <v>0</v>
      </c>
      <c r="S523">
        <f t="shared" si="988"/>
        <v>0</v>
      </c>
      <c r="T523">
        <f t="shared" si="989"/>
        <v>0</v>
      </c>
    </row>
    <row r="524" spans="1:20" x14ac:dyDescent="0.25">
      <c r="A524" s="5"/>
      <c r="C524"/>
      <c r="D524"/>
      <c r="P524">
        <f t="shared" si="985"/>
        <v>0</v>
      </c>
      <c r="Q524">
        <f t="shared" si="986"/>
        <v>0</v>
      </c>
      <c r="R524">
        <f t="shared" si="987"/>
        <v>0</v>
      </c>
      <c r="S524">
        <f t="shared" si="988"/>
        <v>0</v>
      </c>
      <c r="T524">
        <f t="shared" si="989"/>
        <v>0</v>
      </c>
    </row>
    <row r="525" spans="1:20" x14ac:dyDescent="0.25">
      <c r="A525" s="5"/>
      <c r="C525"/>
      <c r="D525"/>
      <c r="P525">
        <f t="shared" si="985"/>
        <v>0</v>
      </c>
      <c r="Q525">
        <f t="shared" si="986"/>
        <v>0</v>
      </c>
      <c r="R525">
        <f t="shared" si="987"/>
        <v>0</v>
      </c>
      <c r="S525">
        <f t="shared" si="988"/>
        <v>0</v>
      </c>
      <c r="T525">
        <f t="shared" si="989"/>
        <v>0</v>
      </c>
    </row>
    <row r="526" spans="1:20" x14ac:dyDescent="0.25">
      <c r="A526" s="5"/>
      <c r="C526"/>
      <c r="D526"/>
      <c r="P526">
        <f t="shared" si="985"/>
        <v>0</v>
      </c>
      <c r="Q526">
        <f t="shared" si="986"/>
        <v>0</v>
      </c>
      <c r="R526">
        <f t="shared" si="987"/>
        <v>0</v>
      </c>
      <c r="S526">
        <f t="shared" si="988"/>
        <v>0</v>
      </c>
      <c r="T526">
        <f t="shared" si="989"/>
        <v>0</v>
      </c>
    </row>
    <row r="527" spans="1:20" x14ac:dyDescent="0.25">
      <c r="A527" s="5"/>
      <c r="C527"/>
      <c r="D527"/>
      <c r="P527">
        <f t="shared" si="985"/>
        <v>0</v>
      </c>
      <c r="Q527">
        <f t="shared" si="986"/>
        <v>0</v>
      </c>
      <c r="R527">
        <f t="shared" si="987"/>
        <v>0</v>
      </c>
      <c r="S527">
        <f t="shared" si="988"/>
        <v>0</v>
      </c>
      <c r="T527">
        <f t="shared" si="989"/>
        <v>0</v>
      </c>
    </row>
    <row r="528" spans="1:20" x14ac:dyDescent="0.25">
      <c r="A528" s="5"/>
      <c r="C528"/>
      <c r="D528"/>
      <c r="P528">
        <f t="shared" si="985"/>
        <v>0</v>
      </c>
      <c r="Q528">
        <f t="shared" si="986"/>
        <v>0</v>
      </c>
      <c r="R528">
        <f t="shared" si="987"/>
        <v>0</v>
      </c>
      <c r="S528">
        <f t="shared" si="988"/>
        <v>0</v>
      </c>
      <c r="T528">
        <f t="shared" si="989"/>
        <v>0</v>
      </c>
    </row>
    <row r="529" spans="1:20" x14ac:dyDescent="0.25">
      <c r="A529" s="5"/>
      <c r="C529"/>
      <c r="D529"/>
      <c r="P529">
        <f t="shared" si="985"/>
        <v>0</v>
      </c>
      <c r="Q529">
        <f t="shared" si="986"/>
        <v>0</v>
      </c>
      <c r="R529">
        <f t="shared" si="987"/>
        <v>0</v>
      </c>
      <c r="S529">
        <f t="shared" si="988"/>
        <v>0</v>
      </c>
      <c r="T529">
        <f t="shared" si="989"/>
        <v>0</v>
      </c>
    </row>
    <row r="530" spans="1:20" x14ac:dyDescent="0.25">
      <c r="A530" s="5"/>
      <c r="C530"/>
      <c r="D530"/>
      <c r="P530">
        <f t="shared" si="985"/>
        <v>0</v>
      </c>
      <c r="Q530">
        <f t="shared" si="986"/>
        <v>0</v>
      </c>
      <c r="R530">
        <f t="shared" si="987"/>
        <v>0</v>
      </c>
      <c r="S530">
        <f t="shared" si="988"/>
        <v>0</v>
      </c>
      <c r="T530">
        <f t="shared" si="989"/>
        <v>0</v>
      </c>
    </row>
    <row r="531" spans="1:20" x14ac:dyDescent="0.25">
      <c r="A531" s="5"/>
      <c r="C531"/>
      <c r="D531"/>
      <c r="P531">
        <f t="shared" si="985"/>
        <v>0</v>
      </c>
      <c r="Q531">
        <f t="shared" si="986"/>
        <v>0</v>
      </c>
      <c r="R531">
        <f t="shared" si="987"/>
        <v>0</v>
      </c>
      <c r="S531">
        <f t="shared" si="988"/>
        <v>0</v>
      </c>
      <c r="T531">
        <f t="shared" si="989"/>
        <v>0</v>
      </c>
    </row>
    <row r="532" spans="1:20" x14ac:dyDescent="0.25">
      <c r="A532" s="5"/>
      <c r="C532"/>
      <c r="D532"/>
      <c r="P532">
        <f t="shared" si="985"/>
        <v>0</v>
      </c>
      <c r="Q532">
        <f t="shared" si="986"/>
        <v>0</v>
      </c>
      <c r="R532">
        <f t="shared" si="987"/>
        <v>0</v>
      </c>
      <c r="S532">
        <f t="shared" si="988"/>
        <v>0</v>
      </c>
      <c r="T532">
        <f t="shared" si="989"/>
        <v>0</v>
      </c>
    </row>
    <row r="533" spans="1:20" x14ac:dyDescent="0.25">
      <c r="A533" s="5"/>
      <c r="C533"/>
      <c r="D533"/>
      <c r="P533">
        <f t="shared" si="985"/>
        <v>0</v>
      </c>
      <c r="Q533">
        <f t="shared" si="986"/>
        <v>0</v>
      </c>
      <c r="R533">
        <f t="shared" si="987"/>
        <v>0</v>
      </c>
      <c r="S533">
        <f t="shared" si="988"/>
        <v>0</v>
      </c>
      <c r="T533">
        <f t="shared" si="989"/>
        <v>0</v>
      </c>
    </row>
    <row r="534" spans="1:20" x14ac:dyDescent="0.25">
      <c r="A534" s="5"/>
      <c r="C534"/>
      <c r="D534"/>
      <c r="P534">
        <f t="shared" si="985"/>
        <v>0</v>
      </c>
      <c r="Q534">
        <f t="shared" si="986"/>
        <v>0</v>
      </c>
      <c r="R534">
        <f t="shared" si="987"/>
        <v>0</v>
      </c>
      <c r="S534">
        <f t="shared" si="988"/>
        <v>0</v>
      </c>
      <c r="T534">
        <f t="shared" si="989"/>
        <v>0</v>
      </c>
    </row>
    <row r="535" spans="1:20" x14ac:dyDescent="0.25">
      <c r="A535" s="5"/>
      <c r="C535"/>
      <c r="D535"/>
      <c r="P535">
        <f t="shared" si="985"/>
        <v>0</v>
      </c>
      <c r="Q535">
        <f t="shared" si="986"/>
        <v>0</v>
      </c>
      <c r="R535">
        <f t="shared" si="987"/>
        <v>0</v>
      </c>
      <c r="S535">
        <f t="shared" si="988"/>
        <v>0</v>
      </c>
      <c r="T535">
        <f t="shared" si="989"/>
        <v>0</v>
      </c>
    </row>
    <row r="536" spans="1:20" x14ac:dyDescent="0.25">
      <c r="A536" s="5"/>
      <c r="C536"/>
      <c r="D536"/>
      <c r="P536">
        <f t="shared" si="985"/>
        <v>0</v>
      </c>
      <c r="Q536">
        <f t="shared" si="986"/>
        <v>0</v>
      </c>
      <c r="R536">
        <f t="shared" si="987"/>
        <v>0</v>
      </c>
      <c r="S536">
        <f t="shared" si="988"/>
        <v>0</v>
      </c>
      <c r="T536">
        <f t="shared" si="989"/>
        <v>0</v>
      </c>
    </row>
    <row r="537" spans="1:20" x14ac:dyDescent="0.25">
      <c r="A537" s="5"/>
      <c r="C537"/>
      <c r="D537"/>
      <c r="P537">
        <f t="shared" si="985"/>
        <v>0</v>
      </c>
      <c r="Q537">
        <f t="shared" si="986"/>
        <v>0</v>
      </c>
      <c r="R537">
        <f t="shared" si="987"/>
        <v>0</v>
      </c>
      <c r="S537">
        <f t="shared" si="988"/>
        <v>0</v>
      </c>
      <c r="T537">
        <f t="shared" si="989"/>
        <v>0</v>
      </c>
    </row>
    <row r="538" spans="1:20" x14ac:dyDescent="0.25">
      <c r="A538" s="5"/>
      <c r="C538"/>
      <c r="D538"/>
      <c r="P538">
        <f t="shared" si="985"/>
        <v>0</v>
      </c>
      <c r="Q538">
        <f t="shared" si="986"/>
        <v>0</v>
      </c>
      <c r="R538">
        <f t="shared" si="987"/>
        <v>0</v>
      </c>
      <c r="S538">
        <f t="shared" si="988"/>
        <v>0</v>
      </c>
      <c r="T538">
        <f t="shared" si="989"/>
        <v>0</v>
      </c>
    </row>
    <row r="539" spans="1:20" x14ac:dyDescent="0.25">
      <c r="A539" s="5"/>
      <c r="C539"/>
      <c r="D539"/>
      <c r="P539">
        <f t="shared" si="985"/>
        <v>0</v>
      </c>
      <c r="Q539">
        <f t="shared" si="986"/>
        <v>0</v>
      </c>
      <c r="R539">
        <f t="shared" si="987"/>
        <v>0</v>
      </c>
      <c r="S539">
        <f t="shared" si="988"/>
        <v>0</v>
      </c>
      <c r="T539">
        <f t="shared" si="989"/>
        <v>0</v>
      </c>
    </row>
    <row r="540" spans="1:20" x14ac:dyDescent="0.25">
      <c r="A540" s="5"/>
      <c r="C540"/>
      <c r="D540"/>
      <c r="P540">
        <f t="shared" si="985"/>
        <v>0</v>
      </c>
      <c r="Q540">
        <f t="shared" si="986"/>
        <v>0</v>
      </c>
      <c r="R540">
        <f t="shared" si="987"/>
        <v>0</v>
      </c>
      <c r="S540">
        <f t="shared" si="988"/>
        <v>0</v>
      </c>
      <c r="T540">
        <f t="shared" si="989"/>
        <v>0</v>
      </c>
    </row>
    <row r="541" spans="1:20" x14ac:dyDescent="0.25">
      <c r="A541" s="5"/>
      <c r="C541"/>
      <c r="D541"/>
      <c r="P541">
        <f t="shared" si="985"/>
        <v>0</v>
      </c>
      <c r="Q541">
        <f t="shared" si="986"/>
        <v>0</v>
      </c>
      <c r="R541">
        <f t="shared" si="987"/>
        <v>0</v>
      </c>
      <c r="S541">
        <f t="shared" si="988"/>
        <v>0</v>
      </c>
      <c r="T541">
        <f t="shared" si="989"/>
        <v>0</v>
      </c>
    </row>
    <row r="542" spans="1:20" x14ac:dyDescent="0.25">
      <c r="A542" s="5"/>
      <c r="C542"/>
      <c r="D542"/>
      <c r="P542">
        <f t="shared" si="985"/>
        <v>0</v>
      </c>
      <c r="Q542">
        <f t="shared" si="986"/>
        <v>0</v>
      </c>
      <c r="R542">
        <f t="shared" si="987"/>
        <v>0</v>
      </c>
      <c r="S542">
        <f t="shared" si="988"/>
        <v>0</v>
      </c>
      <c r="T542">
        <f t="shared" si="989"/>
        <v>0</v>
      </c>
    </row>
    <row r="543" spans="1:20" x14ac:dyDescent="0.25">
      <c r="A543" s="5"/>
      <c r="C543"/>
      <c r="D543"/>
      <c r="P543">
        <f t="shared" si="985"/>
        <v>0</v>
      </c>
      <c r="Q543">
        <f t="shared" si="986"/>
        <v>0</v>
      </c>
      <c r="R543">
        <f t="shared" si="987"/>
        <v>0</v>
      </c>
      <c r="S543">
        <f t="shared" si="988"/>
        <v>0</v>
      </c>
      <c r="T543">
        <f t="shared" si="989"/>
        <v>0</v>
      </c>
    </row>
    <row r="544" spans="1:20" x14ac:dyDescent="0.25">
      <c r="A544" s="5"/>
      <c r="C544"/>
      <c r="D544"/>
      <c r="P544">
        <f t="shared" si="985"/>
        <v>0</v>
      </c>
      <c r="Q544">
        <f t="shared" si="986"/>
        <v>0</v>
      </c>
      <c r="R544">
        <f t="shared" si="987"/>
        <v>0</v>
      </c>
      <c r="S544">
        <f t="shared" si="988"/>
        <v>0</v>
      </c>
      <c r="T544">
        <f t="shared" si="989"/>
        <v>0</v>
      </c>
    </row>
    <row r="545" spans="1:20" x14ac:dyDescent="0.25">
      <c r="A545" s="5"/>
      <c r="C545"/>
      <c r="D545"/>
      <c r="P545">
        <f t="shared" si="985"/>
        <v>0</v>
      </c>
      <c r="Q545">
        <f t="shared" si="986"/>
        <v>0</v>
      </c>
      <c r="R545">
        <f t="shared" si="987"/>
        <v>0</v>
      </c>
      <c r="S545">
        <f t="shared" si="988"/>
        <v>0</v>
      </c>
      <c r="T545">
        <f t="shared" si="989"/>
        <v>0</v>
      </c>
    </row>
    <row r="546" spans="1:20" x14ac:dyDescent="0.25">
      <c r="A546" s="5"/>
      <c r="C546"/>
      <c r="D546"/>
      <c r="P546">
        <f t="shared" si="985"/>
        <v>0</v>
      </c>
      <c r="Q546">
        <f t="shared" si="986"/>
        <v>0</v>
      </c>
      <c r="R546">
        <f t="shared" si="987"/>
        <v>0</v>
      </c>
      <c r="S546">
        <f t="shared" si="988"/>
        <v>0</v>
      </c>
      <c r="T546">
        <f t="shared" si="989"/>
        <v>0</v>
      </c>
    </row>
    <row r="547" spans="1:20" x14ac:dyDescent="0.25">
      <c r="A547" s="5"/>
      <c r="C547"/>
      <c r="D547"/>
      <c r="P547">
        <f t="shared" si="985"/>
        <v>0</v>
      </c>
      <c r="Q547">
        <f t="shared" si="986"/>
        <v>0</v>
      </c>
      <c r="R547">
        <f t="shared" si="987"/>
        <v>0</v>
      </c>
      <c r="S547">
        <f t="shared" si="988"/>
        <v>0</v>
      </c>
      <c r="T547">
        <f t="shared" si="989"/>
        <v>0</v>
      </c>
    </row>
    <row r="548" spans="1:20" x14ac:dyDescent="0.25">
      <c r="A548" s="5"/>
      <c r="C548"/>
      <c r="D548"/>
      <c r="P548">
        <f t="shared" si="985"/>
        <v>0</v>
      </c>
      <c r="Q548">
        <f t="shared" si="986"/>
        <v>0</v>
      </c>
      <c r="R548">
        <f t="shared" si="987"/>
        <v>0</v>
      </c>
      <c r="S548">
        <f t="shared" si="988"/>
        <v>0</v>
      </c>
      <c r="T548">
        <f t="shared" si="989"/>
        <v>0</v>
      </c>
    </row>
    <row r="549" spans="1:20" x14ac:dyDescent="0.25">
      <c r="A549" s="5"/>
      <c r="P549">
        <f t="shared" si="985"/>
        <v>0</v>
      </c>
      <c r="Q549">
        <f t="shared" si="986"/>
        <v>0</v>
      </c>
      <c r="R549">
        <f t="shared" si="987"/>
        <v>0</v>
      </c>
      <c r="S549">
        <f t="shared" si="988"/>
        <v>0</v>
      </c>
      <c r="T549">
        <f t="shared" si="989"/>
        <v>0</v>
      </c>
    </row>
    <row r="550" spans="1:20" x14ac:dyDescent="0.25">
      <c r="A550" s="5"/>
      <c r="P550">
        <f t="shared" si="985"/>
        <v>0</v>
      </c>
      <c r="Q550">
        <f t="shared" si="986"/>
        <v>0</v>
      </c>
      <c r="R550">
        <f t="shared" si="987"/>
        <v>0</v>
      </c>
      <c r="S550">
        <f t="shared" si="988"/>
        <v>0</v>
      </c>
      <c r="T550">
        <f t="shared" si="989"/>
        <v>0</v>
      </c>
    </row>
    <row r="551" spans="1:20" x14ac:dyDescent="0.25">
      <c r="A551" s="5"/>
      <c r="P551">
        <f t="shared" si="985"/>
        <v>0</v>
      </c>
      <c r="Q551">
        <f t="shared" si="986"/>
        <v>0</v>
      </c>
      <c r="R551">
        <f t="shared" si="987"/>
        <v>0</v>
      </c>
      <c r="S551">
        <f t="shared" si="988"/>
        <v>0</v>
      </c>
      <c r="T551">
        <f t="shared" si="989"/>
        <v>0</v>
      </c>
    </row>
    <row r="552" spans="1:20" x14ac:dyDescent="0.25">
      <c r="A552" s="5"/>
      <c r="P552">
        <f t="shared" si="985"/>
        <v>0</v>
      </c>
      <c r="Q552">
        <f t="shared" si="986"/>
        <v>0</v>
      </c>
      <c r="R552">
        <f t="shared" si="987"/>
        <v>0</v>
      </c>
      <c r="S552">
        <f t="shared" si="988"/>
        <v>0</v>
      </c>
      <c r="T552">
        <f t="shared" si="989"/>
        <v>0</v>
      </c>
    </row>
    <row r="553" spans="1:20" x14ac:dyDescent="0.25">
      <c r="A553" s="5"/>
      <c r="P553">
        <f t="shared" si="985"/>
        <v>0</v>
      </c>
      <c r="Q553">
        <f t="shared" si="986"/>
        <v>0</v>
      </c>
      <c r="R553">
        <f t="shared" si="987"/>
        <v>0</v>
      </c>
      <c r="S553">
        <f t="shared" si="988"/>
        <v>0</v>
      </c>
      <c r="T553">
        <f t="shared" si="989"/>
        <v>0</v>
      </c>
    </row>
    <row r="554" spans="1:20" x14ac:dyDescent="0.25">
      <c r="A554" s="5"/>
      <c r="P554">
        <f t="shared" si="985"/>
        <v>0</v>
      </c>
      <c r="Q554">
        <f t="shared" si="986"/>
        <v>0</v>
      </c>
      <c r="R554">
        <f t="shared" si="987"/>
        <v>0</v>
      </c>
      <c r="S554">
        <f t="shared" si="988"/>
        <v>0</v>
      </c>
      <c r="T554">
        <f t="shared" si="989"/>
        <v>0</v>
      </c>
    </row>
    <row r="555" spans="1:20" x14ac:dyDescent="0.25">
      <c r="A555" s="5"/>
      <c r="P555">
        <f t="shared" si="985"/>
        <v>0</v>
      </c>
      <c r="Q555">
        <f t="shared" si="986"/>
        <v>0</v>
      </c>
      <c r="R555">
        <f t="shared" si="987"/>
        <v>0</v>
      </c>
      <c r="S555">
        <f t="shared" si="988"/>
        <v>0</v>
      </c>
      <c r="T555">
        <f t="shared" si="989"/>
        <v>0</v>
      </c>
    </row>
    <row r="556" spans="1:20" x14ac:dyDescent="0.25">
      <c r="A556" s="5"/>
      <c r="P556">
        <f t="shared" si="985"/>
        <v>0</v>
      </c>
      <c r="Q556">
        <f t="shared" si="986"/>
        <v>0</v>
      </c>
      <c r="R556">
        <f t="shared" si="987"/>
        <v>0</v>
      </c>
      <c r="S556">
        <f t="shared" si="988"/>
        <v>0</v>
      </c>
      <c r="T556">
        <f t="shared" si="989"/>
        <v>0</v>
      </c>
    </row>
    <row r="557" spans="1:20" x14ac:dyDescent="0.25">
      <c r="A557" s="5"/>
      <c r="P557">
        <f t="shared" si="985"/>
        <v>0</v>
      </c>
      <c r="Q557">
        <f t="shared" si="986"/>
        <v>0</v>
      </c>
      <c r="R557">
        <f t="shared" si="987"/>
        <v>0</v>
      </c>
      <c r="S557">
        <f t="shared" si="988"/>
        <v>0</v>
      </c>
      <c r="T557">
        <f t="shared" si="989"/>
        <v>0</v>
      </c>
    </row>
    <row r="558" spans="1:20" x14ac:dyDescent="0.25">
      <c r="A558" s="5"/>
      <c r="P558">
        <f t="shared" si="985"/>
        <v>0</v>
      </c>
      <c r="Q558">
        <f t="shared" si="986"/>
        <v>0</v>
      </c>
      <c r="R558">
        <f t="shared" si="987"/>
        <v>0</v>
      </c>
      <c r="S558">
        <f t="shared" si="988"/>
        <v>0</v>
      </c>
      <c r="T558">
        <f t="shared" si="989"/>
        <v>0</v>
      </c>
    </row>
    <row r="559" spans="1:20" x14ac:dyDescent="0.25">
      <c r="A559" s="5"/>
      <c r="P559">
        <f t="shared" si="985"/>
        <v>0</v>
      </c>
      <c r="Q559">
        <f t="shared" si="986"/>
        <v>0</v>
      </c>
      <c r="R559">
        <f t="shared" si="987"/>
        <v>0</v>
      </c>
      <c r="S559">
        <f t="shared" si="988"/>
        <v>0</v>
      </c>
      <c r="T559">
        <f t="shared" si="989"/>
        <v>0</v>
      </c>
    </row>
    <row r="560" spans="1:20" x14ac:dyDescent="0.25">
      <c r="A560" s="5"/>
      <c r="P560">
        <f t="shared" si="985"/>
        <v>0</v>
      </c>
      <c r="Q560">
        <f t="shared" si="986"/>
        <v>0</v>
      </c>
      <c r="R560">
        <f t="shared" si="987"/>
        <v>0</v>
      </c>
      <c r="S560">
        <f t="shared" si="988"/>
        <v>0</v>
      </c>
      <c r="T560">
        <f t="shared" si="989"/>
        <v>0</v>
      </c>
    </row>
    <row r="561" spans="1:104" x14ac:dyDescent="0.25">
      <c r="A561" s="5"/>
      <c r="P561">
        <f t="shared" si="985"/>
        <v>0</v>
      </c>
      <c r="Q561">
        <f t="shared" si="986"/>
        <v>0</v>
      </c>
      <c r="R561">
        <f t="shared" si="987"/>
        <v>0</v>
      </c>
      <c r="S561">
        <f t="shared" si="988"/>
        <v>0</v>
      </c>
      <c r="T561">
        <f t="shared" si="989"/>
        <v>0</v>
      </c>
      <c r="CZ561" t="s">
        <v>7</v>
      </c>
    </row>
    <row r="562" spans="1:104" x14ac:dyDescent="0.25">
      <c r="A562" s="5"/>
      <c r="P562">
        <f t="shared" si="985"/>
        <v>0</v>
      </c>
      <c r="Q562">
        <f t="shared" si="986"/>
        <v>0</v>
      </c>
      <c r="R562">
        <f t="shared" si="987"/>
        <v>0</v>
      </c>
      <c r="S562">
        <f t="shared" si="988"/>
        <v>0</v>
      </c>
      <c r="T562">
        <f t="shared" si="989"/>
        <v>0</v>
      </c>
      <c r="CZ562" t="s">
        <v>7</v>
      </c>
    </row>
    <row r="563" spans="1:104" x14ac:dyDescent="0.25">
      <c r="A563" s="5"/>
      <c r="P563">
        <f t="shared" si="985"/>
        <v>0</v>
      </c>
      <c r="Q563">
        <f t="shared" si="986"/>
        <v>0</v>
      </c>
      <c r="R563">
        <f t="shared" si="987"/>
        <v>0</v>
      </c>
      <c r="S563">
        <f t="shared" si="988"/>
        <v>0</v>
      </c>
      <c r="T563">
        <f t="shared" si="989"/>
        <v>0</v>
      </c>
      <c r="CZ563" t="s">
        <v>7</v>
      </c>
    </row>
    <row r="564" spans="1:104" x14ac:dyDescent="0.25">
      <c r="A564" s="5"/>
      <c r="P564">
        <f t="shared" si="985"/>
        <v>0</v>
      </c>
      <c r="Q564">
        <f t="shared" si="986"/>
        <v>0</v>
      </c>
      <c r="R564">
        <f t="shared" si="987"/>
        <v>0</v>
      </c>
      <c r="S564">
        <f t="shared" si="988"/>
        <v>0</v>
      </c>
      <c r="T564">
        <f t="shared" si="989"/>
        <v>0</v>
      </c>
    </row>
    <row r="565" spans="1:104" x14ac:dyDescent="0.25">
      <c r="A565" s="5"/>
      <c r="C565"/>
      <c r="D565"/>
      <c r="P565">
        <f t="shared" si="985"/>
        <v>0</v>
      </c>
      <c r="Q565">
        <f t="shared" si="986"/>
        <v>0</v>
      </c>
      <c r="R565">
        <f t="shared" si="987"/>
        <v>0</v>
      </c>
      <c r="S565">
        <f t="shared" si="988"/>
        <v>0</v>
      </c>
      <c r="T565">
        <f t="shared" si="989"/>
        <v>0</v>
      </c>
    </row>
    <row r="566" spans="1:104" x14ac:dyDescent="0.25">
      <c r="A566" s="5"/>
      <c r="C566"/>
      <c r="D566"/>
      <c r="P566">
        <f t="shared" si="985"/>
        <v>0</v>
      </c>
      <c r="Q566">
        <f t="shared" si="986"/>
        <v>0</v>
      </c>
      <c r="R566">
        <f t="shared" si="987"/>
        <v>0</v>
      </c>
      <c r="S566">
        <f t="shared" si="988"/>
        <v>0</v>
      </c>
      <c r="T566">
        <f t="shared" si="989"/>
        <v>0</v>
      </c>
    </row>
    <row r="567" spans="1:104" x14ac:dyDescent="0.25">
      <c r="A567" s="5"/>
      <c r="C567"/>
      <c r="D567"/>
      <c r="P567">
        <f t="shared" si="985"/>
        <v>0</v>
      </c>
      <c r="Q567">
        <f t="shared" si="986"/>
        <v>0</v>
      </c>
      <c r="R567">
        <f t="shared" si="987"/>
        <v>0</v>
      </c>
      <c r="S567">
        <f t="shared" si="988"/>
        <v>0</v>
      </c>
      <c r="T567">
        <f t="shared" si="989"/>
        <v>0</v>
      </c>
    </row>
    <row r="568" spans="1:104" x14ac:dyDescent="0.25">
      <c r="A568" s="5"/>
      <c r="C568"/>
      <c r="D568"/>
      <c r="P568">
        <f t="shared" si="985"/>
        <v>0</v>
      </c>
      <c r="Q568">
        <f t="shared" si="986"/>
        <v>0</v>
      </c>
      <c r="R568">
        <f t="shared" si="987"/>
        <v>0</v>
      </c>
      <c r="S568">
        <f t="shared" si="988"/>
        <v>0</v>
      </c>
      <c r="T568">
        <f t="shared" si="989"/>
        <v>0</v>
      </c>
    </row>
    <row r="569" spans="1:104" x14ac:dyDescent="0.25">
      <c r="A569" s="5"/>
      <c r="C569"/>
      <c r="D569"/>
      <c r="P569">
        <f t="shared" si="985"/>
        <v>0</v>
      </c>
      <c r="Q569">
        <f t="shared" si="986"/>
        <v>0</v>
      </c>
      <c r="R569">
        <f t="shared" si="987"/>
        <v>0</v>
      </c>
      <c r="S569">
        <f t="shared" si="988"/>
        <v>0</v>
      </c>
      <c r="T569">
        <f t="shared" si="989"/>
        <v>0</v>
      </c>
    </row>
    <row r="570" spans="1:104" x14ac:dyDescent="0.25">
      <c r="A570" s="5"/>
      <c r="C570"/>
      <c r="D570"/>
      <c r="P570">
        <f t="shared" si="985"/>
        <v>0</v>
      </c>
      <c r="Q570">
        <f t="shared" si="986"/>
        <v>0</v>
      </c>
      <c r="R570">
        <f t="shared" si="987"/>
        <v>0</v>
      </c>
      <c r="S570">
        <f t="shared" si="988"/>
        <v>0</v>
      </c>
      <c r="T570">
        <f t="shared" si="989"/>
        <v>0</v>
      </c>
    </row>
    <row r="571" spans="1:104" x14ac:dyDescent="0.25">
      <c r="A571" s="5"/>
      <c r="C571"/>
      <c r="D571"/>
      <c r="P571">
        <f t="shared" si="985"/>
        <v>0</v>
      </c>
      <c r="Q571">
        <f t="shared" si="986"/>
        <v>0</v>
      </c>
      <c r="R571">
        <f t="shared" si="987"/>
        <v>0</v>
      </c>
      <c r="S571">
        <f t="shared" si="988"/>
        <v>0</v>
      </c>
      <c r="T571">
        <f t="shared" si="989"/>
        <v>0</v>
      </c>
    </row>
    <row r="572" spans="1:104" x14ac:dyDescent="0.25">
      <c r="A572" s="5"/>
      <c r="C572"/>
      <c r="D572"/>
      <c r="P572">
        <f t="shared" si="985"/>
        <v>0</v>
      </c>
      <c r="Q572">
        <f t="shared" si="986"/>
        <v>0</v>
      </c>
      <c r="R572">
        <f t="shared" si="987"/>
        <v>0</v>
      </c>
      <c r="S572">
        <f t="shared" si="988"/>
        <v>0</v>
      </c>
      <c r="T572">
        <f t="shared" si="989"/>
        <v>0</v>
      </c>
    </row>
    <row r="573" spans="1:104" x14ac:dyDescent="0.25">
      <c r="A573" s="5"/>
      <c r="C573"/>
      <c r="D573"/>
      <c r="P573">
        <f t="shared" si="985"/>
        <v>0</v>
      </c>
      <c r="Q573">
        <f t="shared" si="986"/>
        <v>0</v>
      </c>
      <c r="R573">
        <f t="shared" si="987"/>
        <v>0</v>
      </c>
      <c r="S573">
        <f t="shared" si="988"/>
        <v>0</v>
      </c>
      <c r="T573">
        <f t="shared" si="989"/>
        <v>0</v>
      </c>
    </row>
    <row r="574" spans="1:104" x14ac:dyDescent="0.25">
      <c r="A574" s="5"/>
      <c r="C574"/>
      <c r="D574"/>
      <c r="P574">
        <f t="shared" si="985"/>
        <v>0</v>
      </c>
      <c r="Q574">
        <f t="shared" si="986"/>
        <v>0</v>
      </c>
      <c r="R574">
        <f t="shared" si="987"/>
        <v>0</v>
      </c>
      <c r="S574">
        <f t="shared" si="988"/>
        <v>0</v>
      </c>
      <c r="T574">
        <f t="shared" si="989"/>
        <v>0</v>
      </c>
    </row>
    <row r="575" spans="1:104" x14ac:dyDescent="0.25">
      <c r="A575" s="5"/>
      <c r="C575"/>
      <c r="D575"/>
      <c r="P575">
        <f t="shared" si="985"/>
        <v>0</v>
      </c>
      <c r="Q575">
        <f t="shared" si="986"/>
        <v>0</v>
      </c>
      <c r="R575">
        <f t="shared" si="987"/>
        <v>0</v>
      </c>
      <c r="S575">
        <f t="shared" si="988"/>
        <v>0</v>
      </c>
      <c r="T575">
        <f t="shared" si="989"/>
        <v>0</v>
      </c>
    </row>
    <row r="576" spans="1:104" x14ac:dyDescent="0.25">
      <c r="A576" s="5"/>
      <c r="C576"/>
      <c r="D576"/>
      <c r="P576">
        <f t="shared" si="985"/>
        <v>0</v>
      </c>
      <c r="Q576">
        <f t="shared" si="986"/>
        <v>0</v>
      </c>
      <c r="R576">
        <f t="shared" si="987"/>
        <v>0</v>
      </c>
      <c r="S576">
        <f t="shared" si="988"/>
        <v>0</v>
      </c>
      <c r="T576">
        <f t="shared" si="989"/>
        <v>0</v>
      </c>
    </row>
    <row r="577" spans="1:20" x14ac:dyDescent="0.25">
      <c r="A577" s="5"/>
      <c r="C577"/>
      <c r="D577"/>
      <c r="P577">
        <f t="shared" si="985"/>
        <v>0</v>
      </c>
      <c r="Q577">
        <f t="shared" si="986"/>
        <v>0</v>
      </c>
      <c r="R577">
        <f t="shared" si="987"/>
        <v>0</v>
      </c>
      <c r="S577">
        <f t="shared" si="988"/>
        <v>0</v>
      </c>
      <c r="T577">
        <f t="shared" si="989"/>
        <v>0</v>
      </c>
    </row>
    <row r="578" spans="1:20" x14ac:dyDescent="0.25">
      <c r="A578" s="5"/>
      <c r="C578"/>
      <c r="D578"/>
      <c r="P578">
        <f t="shared" si="985"/>
        <v>0</v>
      </c>
      <c r="Q578">
        <f t="shared" si="986"/>
        <v>0</v>
      </c>
      <c r="R578">
        <f t="shared" si="987"/>
        <v>0</v>
      </c>
      <c r="S578">
        <f t="shared" si="988"/>
        <v>0</v>
      </c>
      <c r="T578">
        <f t="shared" si="989"/>
        <v>0</v>
      </c>
    </row>
    <row r="579" spans="1:20" x14ac:dyDescent="0.25">
      <c r="A579" s="5"/>
      <c r="C579"/>
      <c r="D579"/>
      <c r="P579">
        <f t="shared" si="985"/>
        <v>0</v>
      </c>
      <c r="Q579">
        <f t="shared" si="986"/>
        <v>0</v>
      </c>
      <c r="R579">
        <f t="shared" si="987"/>
        <v>0</v>
      </c>
      <c r="S579">
        <f t="shared" si="988"/>
        <v>0</v>
      </c>
      <c r="T579">
        <f t="shared" si="989"/>
        <v>0</v>
      </c>
    </row>
    <row r="580" spans="1:20" x14ac:dyDescent="0.25">
      <c r="A580" s="5"/>
      <c r="C580"/>
      <c r="D580"/>
      <c r="P580">
        <f t="shared" si="985"/>
        <v>0</v>
      </c>
      <c r="Q580">
        <f t="shared" si="986"/>
        <v>0</v>
      </c>
      <c r="R580">
        <f t="shared" si="987"/>
        <v>0</v>
      </c>
      <c r="S580">
        <f t="shared" si="988"/>
        <v>0</v>
      </c>
      <c r="T580">
        <f t="shared" si="989"/>
        <v>0</v>
      </c>
    </row>
    <row r="581" spans="1:20" x14ac:dyDescent="0.25">
      <c r="A581" s="5"/>
      <c r="C581"/>
      <c r="D581"/>
      <c r="P581">
        <f t="shared" si="985"/>
        <v>0</v>
      </c>
      <c r="Q581">
        <f t="shared" si="986"/>
        <v>0</v>
      </c>
      <c r="R581">
        <f t="shared" si="987"/>
        <v>0</v>
      </c>
      <c r="S581">
        <f t="shared" si="988"/>
        <v>0</v>
      </c>
      <c r="T581">
        <f t="shared" si="989"/>
        <v>0</v>
      </c>
    </row>
    <row r="582" spans="1:20" x14ac:dyDescent="0.25">
      <c r="A582" s="5"/>
      <c r="C582"/>
      <c r="D582"/>
      <c r="P582">
        <f t="shared" ref="P582:P645" si="990">IF(C582=D582,0,((E582-D582)-(C582-E582))/(C582-D582))</f>
        <v>0</v>
      </c>
      <c r="Q582">
        <f t="shared" ref="Q582:Q645" si="991">F582*P582</f>
        <v>0</v>
      </c>
      <c r="R582">
        <f t="shared" ref="R582:R645" si="992">R583+Q582</f>
        <v>0</v>
      </c>
      <c r="S582">
        <f t="shared" ref="S582:S645" si="993">R582/100000</f>
        <v>0</v>
      </c>
      <c r="T582">
        <f t="shared" ref="T582:T645" si="994">S582/1000</f>
        <v>0</v>
      </c>
    </row>
    <row r="583" spans="1:20" x14ac:dyDescent="0.25">
      <c r="A583" s="5"/>
      <c r="C583"/>
      <c r="D583"/>
      <c r="P583">
        <f t="shared" si="990"/>
        <v>0</v>
      </c>
      <c r="Q583">
        <f t="shared" si="991"/>
        <v>0</v>
      </c>
      <c r="R583">
        <f t="shared" si="992"/>
        <v>0</v>
      </c>
      <c r="S583">
        <f t="shared" si="993"/>
        <v>0</v>
      </c>
      <c r="T583">
        <f t="shared" si="994"/>
        <v>0</v>
      </c>
    </row>
    <row r="584" spans="1:20" x14ac:dyDescent="0.25">
      <c r="A584" s="5"/>
      <c r="C584"/>
      <c r="D584"/>
      <c r="P584">
        <f t="shared" si="990"/>
        <v>0</v>
      </c>
      <c r="Q584">
        <f t="shared" si="991"/>
        <v>0</v>
      </c>
      <c r="R584">
        <f t="shared" si="992"/>
        <v>0</v>
      </c>
      <c r="S584">
        <f t="shared" si="993"/>
        <v>0</v>
      </c>
      <c r="T584">
        <f t="shared" si="994"/>
        <v>0</v>
      </c>
    </row>
    <row r="585" spans="1:20" x14ac:dyDescent="0.25">
      <c r="A585" s="5"/>
      <c r="C585"/>
      <c r="D585"/>
      <c r="P585">
        <f t="shared" si="990"/>
        <v>0</v>
      </c>
      <c r="Q585">
        <f t="shared" si="991"/>
        <v>0</v>
      </c>
      <c r="R585">
        <f t="shared" si="992"/>
        <v>0</v>
      </c>
      <c r="S585">
        <f t="shared" si="993"/>
        <v>0</v>
      </c>
      <c r="T585">
        <f t="shared" si="994"/>
        <v>0</v>
      </c>
    </row>
    <row r="586" spans="1:20" x14ac:dyDescent="0.25">
      <c r="A586" s="5"/>
      <c r="C586"/>
      <c r="D586"/>
      <c r="P586">
        <f t="shared" si="990"/>
        <v>0</v>
      </c>
      <c r="Q586">
        <f t="shared" si="991"/>
        <v>0</v>
      </c>
      <c r="R586">
        <f t="shared" si="992"/>
        <v>0</v>
      </c>
      <c r="S586">
        <f t="shared" si="993"/>
        <v>0</v>
      </c>
      <c r="T586">
        <f t="shared" si="994"/>
        <v>0</v>
      </c>
    </row>
    <row r="587" spans="1:20" x14ac:dyDescent="0.25">
      <c r="A587" s="5"/>
      <c r="C587"/>
      <c r="D587"/>
      <c r="P587">
        <f t="shared" si="990"/>
        <v>0</v>
      </c>
      <c r="Q587">
        <f t="shared" si="991"/>
        <v>0</v>
      </c>
      <c r="R587">
        <f t="shared" si="992"/>
        <v>0</v>
      </c>
      <c r="S587">
        <f t="shared" si="993"/>
        <v>0</v>
      </c>
      <c r="T587">
        <f t="shared" si="994"/>
        <v>0</v>
      </c>
    </row>
    <row r="588" spans="1:20" x14ac:dyDescent="0.25">
      <c r="A588" s="5"/>
      <c r="C588"/>
      <c r="D588"/>
      <c r="P588">
        <f t="shared" si="990"/>
        <v>0</v>
      </c>
      <c r="Q588">
        <f t="shared" si="991"/>
        <v>0</v>
      </c>
      <c r="R588">
        <f t="shared" si="992"/>
        <v>0</v>
      </c>
      <c r="S588">
        <f t="shared" si="993"/>
        <v>0</v>
      </c>
      <c r="T588">
        <f t="shared" si="994"/>
        <v>0</v>
      </c>
    </row>
    <row r="589" spans="1:20" x14ac:dyDescent="0.25">
      <c r="A589" s="5"/>
      <c r="C589"/>
      <c r="D589"/>
      <c r="P589">
        <f t="shared" si="990"/>
        <v>0</v>
      </c>
      <c r="Q589">
        <f t="shared" si="991"/>
        <v>0</v>
      </c>
      <c r="R589">
        <f t="shared" si="992"/>
        <v>0</v>
      </c>
      <c r="S589">
        <f t="shared" si="993"/>
        <v>0</v>
      </c>
      <c r="T589">
        <f t="shared" si="994"/>
        <v>0</v>
      </c>
    </row>
    <row r="590" spans="1:20" x14ac:dyDescent="0.25">
      <c r="A590" s="5"/>
      <c r="C590"/>
      <c r="D590"/>
      <c r="P590">
        <f t="shared" si="990"/>
        <v>0</v>
      </c>
      <c r="Q590">
        <f t="shared" si="991"/>
        <v>0</v>
      </c>
      <c r="R590">
        <f t="shared" si="992"/>
        <v>0</v>
      </c>
      <c r="S590">
        <f t="shared" si="993"/>
        <v>0</v>
      </c>
      <c r="T590">
        <f t="shared" si="994"/>
        <v>0</v>
      </c>
    </row>
    <row r="591" spans="1:20" x14ac:dyDescent="0.25">
      <c r="A591" s="5"/>
      <c r="C591"/>
      <c r="D591"/>
      <c r="P591">
        <f t="shared" si="990"/>
        <v>0</v>
      </c>
      <c r="Q591">
        <f t="shared" si="991"/>
        <v>0</v>
      </c>
      <c r="R591">
        <f t="shared" si="992"/>
        <v>0</v>
      </c>
      <c r="S591">
        <f t="shared" si="993"/>
        <v>0</v>
      </c>
      <c r="T591">
        <f t="shared" si="994"/>
        <v>0</v>
      </c>
    </row>
    <row r="592" spans="1:20" x14ac:dyDescent="0.25">
      <c r="A592" s="5"/>
      <c r="C592"/>
      <c r="D592"/>
      <c r="P592">
        <f t="shared" si="990"/>
        <v>0</v>
      </c>
      <c r="Q592">
        <f t="shared" si="991"/>
        <v>0</v>
      </c>
      <c r="R592">
        <f t="shared" si="992"/>
        <v>0</v>
      </c>
      <c r="S592">
        <f t="shared" si="993"/>
        <v>0</v>
      </c>
      <c r="T592">
        <f t="shared" si="994"/>
        <v>0</v>
      </c>
    </row>
    <row r="593" spans="1:20" x14ac:dyDescent="0.25">
      <c r="A593" s="5"/>
      <c r="C593"/>
      <c r="D593"/>
      <c r="P593">
        <f t="shared" si="990"/>
        <v>0</v>
      </c>
      <c r="Q593">
        <f t="shared" si="991"/>
        <v>0</v>
      </c>
      <c r="R593">
        <f t="shared" si="992"/>
        <v>0</v>
      </c>
      <c r="S593">
        <f t="shared" si="993"/>
        <v>0</v>
      </c>
      <c r="T593">
        <f t="shared" si="994"/>
        <v>0</v>
      </c>
    </row>
    <row r="594" spans="1:20" x14ac:dyDescent="0.25">
      <c r="A594" s="5"/>
      <c r="C594"/>
      <c r="D594"/>
      <c r="P594">
        <f t="shared" si="990"/>
        <v>0</v>
      </c>
      <c r="Q594">
        <f t="shared" si="991"/>
        <v>0</v>
      </c>
      <c r="R594">
        <f t="shared" si="992"/>
        <v>0</v>
      </c>
      <c r="S594">
        <f t="shared" si="993"/>
        <v>0</v>
      </c>
      <c r="T594">
        <f t="shared" si="994"/>
        <v>0</v>
      </c>
    </row>
    <row r="595" spans="1:20" x14ac:dyDescent="0.25">
      <c r="A595" s="5"/>
      <c r="C595"/>
      <c r="D595"/>
      <c r="P595">
        <f t="shared" si="990"/>
        <v>0</v>
      </c>
      <c r="Q595">
        <f t="shared" si="991"/>
        <v>0</v>
      </c>
      <c r="R595">
        <f t="shared" si="992"/>
        <v>0</v>
      </c>
      <c r="S595">
        <f t="shared" si="993"/>
        <v>0</v>
      </c>
      <c r="T595">
        <f t="shared" si="994"/>
        <v>0</v>
      </c>
    </row>
    <row r="596" spans="1:20" x14ac:dyDescent="0.25">
      <c r="A596" s="5"/>
      <c r="C596"/>
      <c r="D596"/>
      <c r="P596">
        <f t="shared" si="990"/>
        <v>0</v>
      </c>
      <c r="Q596">
        <f t="shared" si="991"/>
        <v>0</v>
      </c>
      <c r="R596">
        <f t="shared" si="992"/>
        <v>0</v>
      </c>
      <c r="S596">
        <f t="shared" si="993"/>
        <v>0</v>
      </c>
      <c r="T596">
        <f t="shared" si="994"/>
        <v>0</v>
      </c>
    </row>
    <row r="597" spans="1:20" x14ac:dyDescent="0.25">
      <c r="A597" s="5"/>
      <c r="C597"/>
      <c r="D597"/>
      <c r="P597">
        <f t="shared" si="990"/>
        <v>0</v>
      </c>
      <c r="Q597">
        <f t="shared" si="991"/>
        <v>0</v>
      </c>
      <c r="R597">
        <f t="shared" si="992"/>
        <v>0</v>
      </c>
      <c r="S597">
        <f t="shared" si="993"/>
        <v>0</v>
      </c>
      <c r="T597">
        <f t="shared" si="994"/>
        <v>0</v>
      </c>
    </row>
    <row r="598" spans="1:20" x14ac:dyDescent="0.25">
      <c r="A598" s="5"/>
      <c r="C598"/>
      <c r="D598"/>
      <c r="P598">
        <f t="shared" si="990"/>
        <v>0</v>
      </c>
      <c r="Q598">
        <f t="shared" si="991"/>
        <v>0</v>
      </c>
      <c r="R598">
        <f t="shared" si="992"/>
        <v>0</v>
      </c>
      <c r="S598">
        <f t="shared" si="993"/>
        <v>0</v>
      </c>
      <c r="T598">
        <f t="shared" si="994"/>
        <v>0</v>
      </c>
    </row>
    <row r="599" spans="1:20" x14ac:dyDescent="0.25">
      <c r="A599" s="5"/>
      <c r="C599"/>
      <c r="D599"/>
      <c r="P599">
        <f t="shared" si="990"/>
        <v>0</v>
      </c>
      <c r="Q599">
        <f t="shared" si="991"/>
        <v>0</v>
      </c>
      <c r="R599">
        <f t="shared" si="992"/>
        <v>0</v>
      </c>
      <c r="S599">
        <f t="shared" si="993"/>
        <v>0</v>
      </c>
      <c r="T599">
        <f t="shared" si="994"/>
        <v>0</v>
      </c>
    </row>
    <row r="600" spans="1:20" x14ac:dyDescent="0.25">
      <c r="A600" s="5"/>
      <c r="C600"/>
      <c r="D600"/>
      <c r="P600">
        <f t="shared" si="990"/>
        <v>0</v>
      </c>
      <c r="Q600">
        <f t="shared" si="991"/>
        <v>0</v>
      </c>
      <c r="R600">
        <f t="shared" si="992"/>
        <v>0</v>
      </c>
      <c r="S600">
        <f t="shared" si="993"/>
        <v>0</v>
      </c>
      <c r="T600">
        <f t="shared" si="994"/>
        <v>0</v>
      </c>
    </row>
    <row r="601" spans="1:20" x14ac:dyDescent="0.25">
      <c r="A601" s="5"/>
      <c r="C601"/>
      <c r="D601"/>
      <c r="P601">
        <f t="shared" si="990"/>
        <v>0</v>
      </c>
      <c r="Q601">
        <f t="shared" si="991"/>
        <v>0</v>
      </c>
      <c r="R601">
        <f t="shared" si="992"/>
        <v>0</v>
      </c>
      <c r="S601">
        <f t="shared" si="993"/>
        <v>0</v>
      </c>
      <c r="T601">
        <f t="shared" si="994"/>
        <v>0</v>
      </c>
    </row>
    <row r="602" spans="1:20" x14ac:dyDescent="0.25">
      <c r="A602" s="5"/>
      <c r="C602"/>
      <c r="D602"/>
      <c r="P602">
        <f t="shared" si="990"/>
        <v>0</v>
      </c>
      <c r="Q602">
        <f t="shared" si="991"/>
        <v>0</v>
      </c>
      <c r="R602">
        <f t="shared" si="992"/>
        <v>0</v>
      </c>
      <c r="S602">
        <f t="shared" si="993"/>
        <v>0</v>
      </c>
      <c r="T602">
        <f t="shared" si="994"/>
        <v>0</v>
      </c>
    </row>
    <row r="603" spans="1:20" x14ac:dyDescent="0.25">
      <c r="A603" s="5"/>
      <c r="C603"/>
      <c r="D603"/>
      <c r="P603">
        <f t="shared" si="990"/>
        <v>0</v>
      </c>
      <c r="Q603">
        <f t="shared" si="991"/>
        <v>0</v>
      </c>
      <c r="R603">
        <f t="shared" si="992"/>
        <v>0</v>
      </c>
      <c r="S603">
        <f t="shared" si="993"/>
        <v>0</v>
      </c>
      <c r="T603">
        <f t="shared" si="994"/>
        <v>0</v>
      </c>
    </row>
    <row r="604" spans="1:20" x14ac:dyDescent="0.25">
      <c r="A604" s="5"/>
      <c r="C604"/>
      <c r="D604"/>
      <c r="P604">
        <f t="shared" si="990"/>
        <v>0</v>
      </c>
      <c r="Q604">
        <f t="shared" si="991"/>
        <v>0</v>
      </c>
      <c r="R604">
        <f t="shared" si="992"/>
        <v>0</v>
      </c>
      <c r="S604">
        <f t="shared" si="993"/>
        <v>0</v>
      </c>
      <c r="T604">
        <f t="shared" si="994"/>
        <v>0</v>
      </c>
    </row>
    <row r="605" spans="1:20" x14ac:dyDescent="0.25">
      <c r="A605" s="5"/>
      <c r="C605"/>
      <c r="D605"/>
      <c r="P605">
        <f t="shared" si="990"/>
        <v>0</v>
      </c>
      <c r="Q605">
        <f t="shared" si="991"/>
        <v>0</v>
      </c>
      <c r="R605">
        <f t="shared" si="992"/>
        <v>0</v>
      </c>
      <c r="S605">
        <f t="shared" si="993"/>
        <v>0</v>
      </c>
      <c r="T605">
        <f t="shared" si="994"/>
        <v>0</v>
      </c>
    </row>
    <row r="606" spans="1:20" x14ac:dyDescent="0.25">
      <c r="A606" s="5"/>
      <c r="C606"/>
      <c r="D606"/>
      <c r="P606">
        <f t="shared" si="990"/>
        <v>0</v>
      </c>
      <c r="Q606">
        <f t="shared" si="991"/>
        <v>0</v>
      </c>
      <c r="R606">
        <f t="shared" si="992"/>
        <v>0</v>
      </c>
      <c r="S606">
        <f t="shared" si="993"/>
        <v>0</v>
      </c>
      <c r="T606">
        <f t="shared" si="994"/>
        <v>0</v>
      </c>
    </row>
    <row r="607" spans="1:20" x14ac:dyDescent="0.25">
      <c r="A607" s="5"/>
      <c r="C607"/>
      <c r="D607"/>
      <c r="P607">
        <f t="shared" si="990"/>
        <v>0</v>
      </c>
      <c r="Q607">
        <f t="shared" si="991"/>
        <v>0</v>
      </c>
      <c r="R607">
        <f t="shared" si="992"/>
        <v>0</v>
      </c>
      <c r="S607">
        <f t="shared" si="993"/>
        <v>0</v>
      </c>
      <c r="T607">
        <f t="shared" si="994"/>
        <v>0</v>
      </c>
    </row>
    <row r="608" spans="1:20" x14ac:dyDescent="0.25">
      <c r="A608" s="5"/>
      <c r="C608"/>
      <c r="D608"/>
      <c r="P608">
        <f t="shared" si="990"/>
        <v>0</v>
      </c>
      <c r="Q608">
        <f t="shared" si="991"/>
        <v>0</v>
      </c>
      <c r="R608">
        <f t="shared" si="992"/>
        <v>0</v>
      </c>
      <c r="S608">
        <f t="shared" si="993"/>
        <v>0</v>
      </c>
      <c r="T608">
        <f t="shared" si="994"/>
        <v>0</v>
      </c>
    </row>
    <row r="609" spans="1:20" x14ac:dyDescent="0.25">
      <c r="A609" s="5"/>
      <c r="C609"/>
      <c r="D609"/>
      <c r="P609">
        <f t="shared" si="990"/>
        <v>0</v>
      </c>
      <c r="Q609">
        <f t="shared" si="991"/>
        <v>0</v>
      </c>
      <c r="R609">
        <f t="shared" si="992"/>
        <v>0</v>
      </c>
      <c r="S609">
        <f t="shared" si="993"/>
        <v>0</v>
      </c>
      <c r="T609">
        <f t="shared" si="994"/>
        <v>0</v>
      </c>
    </row>
    <row r="610" spans="1:20" x14ac:dyDescent="0.25">
      <c r="A610" s="5"/>
      <c r="C610"/>
      <c r="D610"/>
      <c r="P610">
        <f t="shared" si="990"/>
        <v>0</v>
      </c>
      <c r="Q610">
        <f t="shared" si="991"/>
        <v>0</v>
      </c>
      <c r="R610">
        <f t="shared" si="992"/>
        <v>0</v>
      </c>
      <c r="S610">
        <f t="shared" si="993"/>
        <v>0</v>
      </c>
      <c r="T610">
        <f t="shared" si="994"/>
        <v>0</v>
      </c>
    </row>
    <row r="611" spans="1:20" x14ac:dyDescent="0.25">
      <c r="A611" s="5"/>
      <c r="C611"/>
      <c r="D611"/>
      <c r="P611">
        <f t="shared" si="990"/>
        <v>0</v>
      </c>
      <c r="Q611">
        <f t="shared" si="991"/>
        <v>0</v>
      </c>
      <c r="R611">
        <f t="shared" si="992"/>
        <v>0</v>
      </c>
      <c r="S611">
        <f t="shared" si="993"/>
        <v>0</v>
      </c>
      <c r="T611">
        <f t="shared" si="994"/>
        <v>0</v>
      </c>
    </row>
    <row r="612" spans="1:20" x14ac:dyDescent="0.25">
      <c r="A612" s="5"/>
      <c r="C612"/>
      <c r="D612"/>
      <c r="P612">
        <f t="shared" si="990"/>
        <v>0</v>
      </c>
      <c r="Q612">
        <f t="shared" si="991"/>
        <v>0</v>
      </c>
      <c r="R612">
        <f t="shared" si="992"/>
        <v>0</v>
      </c>
      <c r="S612">
        <f t="shared" si="993"/>
        <v>0</v>
      </c>
      <c r="T612">
        <f t="shared" si="994"/>
        <v>0</v>
      </c>
    </row>
    <row r="613" spans="1:20" x14ac:dyDescent="0.25">
      <c r="A613" s="5"/>
      <c r="C613"/>
      <c r="D613"/>
      <c r="P613">
        <f t="shared" si="990"/>
        <v>0</v>
      </c>
      <c r="Q613">
        <f t="shared" si="991"/>
        <v>0</v>
      </c>
      <c r="R613">
        <f t="shared" si="992"/>
        <v>0</v>
      </c>
      <c r="S613">
        <f t="shared" si="993"/>
        <v>0</v>
      </c>
      <c r="T613">
        <f t="shared" si="994"/>
        <v>0</v>
      </c>
    </row>
    <row r="614" spans="1:20" x14ac:dyDescent="0.25">
      <c r="A614" s="5"/>
      <c r="C614"/>
      <c r="D614"/>
      <c r="P614">
        <f t="shared" si="990"/>
        <v>0</v>
      </c>
      <c r="Q614">
        <f t="shared" si="991"/>
        <v>0</v>
      </c>
      <c r="R614">
        <f t="shared" si="992"/>
        <v>0</v>
      </c>
      <c r="S614">
        <f t="shared" si="993"/>
        <v>0</v>
      </c>
      <c r="T614">
        <f t="shared" si="994"/>
        <v>0</v>
      </c>
    </row>
    <row r="615" spans="1:20" x14ac:dyDescent="0.25">
      <c r="A615" s="5"/>
      <c r="C615"/>
      <c r="D615"/>
      <c r="P615">
        <f t="shared" si="990"/>
        <v>0</v>
      </c>
      <c r="Q615">
        <f t="shared" si="991"/>
        <v>0</v>
      </c>
      <c r="R615">
        <f t="shared" si="992"/>
        <v>0</v>
      </c>
      <c r="S615">
        <f t="shared" si="993"/>
        <v>0</v>
      </c>
      <c r="T615">
        <f t="shared" si="994"/>
        <v>0</v>
      </c>
    </row>
    <row r="616" spans="1:20" x14ac:dyDescent="0.25">
      <c r="A616" s="5"/>
      <c r="C616"/>
      <c r="D616"/>
      <c r="P616">
        <f t="shared" si="990"/>
        <v>0</v>
      </c>
      <c r="Q616">
        <f t="shared" si="991"/>
        <v>0</v>
      </c>
      <c r="R616">
        <f t="shared" si="992"/>
        <v>0</v>
      </c>
      <c r="S616">
        <f t="shared" si="993"/>
        <v>0</v>
      </c>
      <c r="T616">
        <f t="shared" si="994"/>
        <v>0</v>
      </c>
    </row>
    <row r="617" spans="1:20" x14ac:dyDescent="0.25">
      <c r="A617" s="5"/>
      <c r="C617"/>
      <c r="D617"/>
      <c r="P617">
        <f t="shared" si="990"/>
        <v>0</v>
      </c>
      <c r="Q617">
        <f t="shared" si="991"/>
        <v>0</v>
      </c>
      <c r="R617">
        <f t="shared" si="992"/>
        <v>0</v>
      </c>
      <c r="S617">
        <f t="shared" si="993"/>
        <v>0</v>
      </c>
      <c r="T617">
        <f t="shared" si="994"/>
        <v>0</v>
      </c>
    </row>
    <row r="618" spans="1:20" x14ac:dyDescent="0.25">
      <c r="A618" s="5"/>
      <c r="C618"/>
      <c r="D618"/>
      <c r="P618">
        <f t="shared" si="990"/>
        <v>0</v>
      </c>
      <c r="Q618">
        <f t="shared" si="991"/>
        <v>0</v>
      </c>
      <c r="R618">
        <f t="shared" si="992"/>
        <v>0</v>
      </c>
      <c r="S618">
        <f t="shared" si="993"/>
        <v>0</v>
      </c>
      <c r="T618">
        <f t="shared" si="994"/>
        <v>0</v>
      </c>
    </row>
    <row r="619" spans="1:20" x14ac:dyDescent="0.25">
      <c r="A619" s="5"/>
      <c r="C619"/>
      <c r="D619"/>
      <c r="P619">
        <f t="shared" si="990"/>
        <v>0</v>
      </c>
      <c r="Q619">
        <f t="shared" si="991"/>
        <v>0</v>
      </c>
      <c r="R619">
        <f t="shared" si="992"/>
        <v>0</v>
      </c>
      <c r="S619">
        <f t="shared" si="993"/>
        <v>0</v>
      </c>
      <c r="T619">
        <f t="shared" si="994"/>
        <v>0</v>
      </c>
    </row>
    <row r="620" spans="1:20" x14ac:dyDescent="0.25">
      <c r="A620" s="5"/>
      <c r="C620"/>
      <c r="D620"/>
      <c r="P620">
        <f t="shared" si="990"/>
        <v>0</v>
      </c>
      <c r="Q620">
        <f t="shared" si="991"/>
        <v>0</v>
      </c>
      <c r="R620">
        <f t="shared" si="992"/>
        <v>0</v>
      </c>
      <c r="S620">
        <f t="shared" si="993"/>
        <v>0</v>
      </c>
      <c r="T620">
        <f t="shared" si="994"/>
        <v>0</v>
      </c>
    </row>
    <row r="621" spans="1:20" x14ac:dyDescent="0.25">
      <c r="A621" s="5"/>
      <c r="C621"/>
      <c r="D621"/>
      <c r="P621">
        <f t="shared" si="990"/>
        <v>0</v>
      </c>
      <c r="Q621">
        <f t="shared" si="991"/>
        <v>0</v>
      </c>
      <c r="R621">
        <f t="shared" si="992"/>
        <v>0</v>
      </c>
      <c r="S621">
        <f t="shared" si="993"/>
        <v>0</v>
      </c>
      <c r="T621">
        <f t="shared" si="994"/>
        <v>0</v>
      </c>
    </row>
    <row r="622" spans="1:20" x14ac:dyDescent="0.25">
      <c r="A622" s="5"/>
      <c r="C622"/>
      <c r="D622"/>
      <c r="P622">
        <f t="shared" si="990"/>
        <v>0</v>
      </c>
      <c r="Q622">
        <f t="shared" si="991"/>
        <v>0</v>
      </c>
      <c r="R622">
        <f t="shared" si="992"/>
        <v>0</v>
      </c>
      <c r="S622">
        <f t="shared" si="993"/>
        <v>0</v>
      </c>
      <c r="T622">
        <f t="shared" si="994"/>
        <v>0</v>
      </c>
    </row>
    <row r="623" spans="1:20" x14ac:dyDescent="0.25">
      <c r="A623" s="5"/>
      <c r="C623"/>
      <c r="D623"/>
      <c r="P623">
        <f t="shared" si="990"/>
        <v>0</v>
      </c>
      <c r="Q623">
        <f t="shared" si="991"/>
        <v>0</v>
      </c>
      <c r="R623">
        <f t="shared" si="992"/>
        <v>0</v>
      </c>
      <c r="S623">
        <f t="shared" si="993"/>
        <v>0</v>
      </c>
      <c r="T623">
        <f t="shared" si="994"/>
        <v>0</v>
      </c>
    </row>
    <row r="624" spans="1:20" x14ac:dyDescent="0.25">
      <c r="A624" s="5"/>
      <c r="C624"/>
      <c r="D624"/>
      <c r="P624">
        <f t="shared" si="990"/>
        <v>0</v>
      </c>
      <c r="Q624">
        <f t="shared" si="991"/>
        <v>0</v>
      </c>
      <c r="R624">
        <f t="shared" si="992"/>
        <v>0</v>
      </c>
      <c r="S624">
        <f t="shared" si="993"/>
        <v>0</v>
      </c>
      <c r="T624">
        <f t="shared" si="994"/>
        <v>0</v>
      </c>
    </row>
    <row r="625" spans="1:20" x14ac:dyDescent="0.25">
      <c r="A625" s="5"/>
      <c r="C625"/>
      <c r="D625"/>
      <c r="P625">
        <f t="shared" si="990"/>
        <v>0</v>
      </c>
      <c r="Q625">
        <f t="shared" si="991"/>
        <v>0</v>
      </c>
      <c r="R625">
        <f t="shared" si="992"/>
        <v>0</v>
      </c>
      <c r="S625">
        <f t="shared" si="993"/>
        <v>0</v>
      </c>
      <c r="T625">
        <f t="shared" si="994"/>
        <v>0</v>
      </c>
    </row>
    <row r="626" spans="1:20" x14ac:dyDescent="0.25">
      <c r="A626" s="5"/>
      <c r="C626"/>
      <c r="D626"/>
      <c r="P626">
        <f t="shared" si="990"/>
        <v>0</v>
      </c>
      <c r="Q626">
        <f t="shared" si="991"/>
        <v>0</v>
      </c>
      <c r="R626">
        <f t="shared" si="992"/>
        <v>0</v>
      </c>
      <c r="S626">
        <f t="shared" si="993"/>
        <v>0</v>
      </c>
      <c r="T626">
        <f t="shared" si="994"/>
        <v>0</v>
      </c>
    </row>
    <row r="627" spans="1:20" x14ac:dyDescent="0.25">
      <c r="A627" s="5"/>
      <c r="C627"/>
      <c r="D627"/>
      <c r="P627">
        <f t="shared" si="990"/>
        <v>0</v>
      </c>
      <c r="Q627">
        <f t="shared" si="991"/>
        <v>0</v>
      </c>
      <c r="R627">
        <f t="shared" si="992"/>
        <v>0</v>
      </c>
      <c r="S627">
        <f t="shared" si="993"/>
        <v>0</v>
      </c>
      <c r="T627">
        <f t="shared" si="994"/>
        <v>0</v>
      </c>
    </row>
    <row r="628" spans="1:20" x14ac:dyDescent="0.25">
      <c r="A628" s="5"/>
      <c r="C628"/>
      <c r="D628"/>
      <c r="P628">
        <f t="shared" si="990"/>
        <v>0</v>
      </c>
      <c r="Q628">
        <f t="shared" si="991"/>
        <v>0</v>
      </c>
      <c r="R628">
        <f t="shared" si="992"/>
        <v>0</v>
      </c>
      <c r="S628">
        <f t="shared" si="993"/>
        <v>0</v>
      </c>
      <c r="T628">
        <f t="shared" si="994"/>
        <v>0</v>
      </c>
    </row>
    <row r="629" spans="1:20" x14ac:dyDescent="0.25">
      <c r="A629" s="5"/>
      <c r="C629"/>
      <c r="D629"/>
      <c r="P629">
        <f t="shared" si="990"/>
        <v>0</v>
      </c>
      <c r="Q629">
        <f t="shared" si="991"/>
        <v>0</v>
      </c>
      <c r="R629">
        <f t="shared" si="992"/>
        <v>0</v>
      </c>
      <c r="S629">
        <f t="shared" si="993"/>
        <v>0</v>
      </c>
      <c r="T629">
        <f t="shared" si="994"/>
        <v>0</v>
      </c>
    </row>
    <row r="630" spans="1:20" x14ac:dyDescent="0.25">
      <c r="A630" s="5"/>
      <c r="C630"/>
      <c r="D630"/>
      <c r="P630">
        <f t="shared" si="990"/>
        <v>0</v>
      </c>
      <c r="Q630">
        <f t="shared" si="991"/>
        <v>0</v>
      </c>
      <c r="R630">
        <f t="shared" si="992"/>
        <v>0</v>
      </c>
      <c r="S630">
        <f t="shared" si="993"/>
        <v>0</v>
      </c>
      <c r="T630">
        <f t="shared" si="994"/>
        <v>0</v>
      </c>
    </row>
    <row r="631" spans="1:20" x14ac:dyDescent="0.25">
      <c r="A631" s="5"/>
      <c r="C631"/>
      <c r="D631"/>
      <c r="P631">
        <f t="shared" si="990"/>
        <v>0</v>
      </c>
      <c r="Q631">
        <f t="shared" si="991"/>
        <v>0</v>
      </c>
      <c r="R631">
        <f t="shared" si="992"/>
        <v>0</v>
      </c>
      <c r="S631">
        <f t="shared" si="993"/>
        <v>0</v>
      </c>
      <c r="T631">
        <f t="shared" si="994"/>
        <v>0</v>
      </c>
    </row>
    <row r="632" spans="1:20" x14ac:dyDescent="0.25">
      <c r="A632" s="5"/>
      <c r="C632"/>
      <c r="D632"/>
      <c r="P632">
        <f t="shared" si="990"/>
        <v>0</v>
      </c>
      <c r="Q632">
        <f t="shared" si="991"/>
        <v>0</v>
      </c>
      <c r="R632">
        <f t="shared" si="992"/>
        <v>0</v>
      </c>
      <c r="S632">
        <f t="shared" si="993"/>
        <v>0</v>
      </c>
      <c r="T632">
        <f t="shared" si="994"/>
        <v>0</v>
      </c>
    </row>
    <row r="633" spans="1:20" x14ac:dyDescent="0.25">
      <c r="A633" s="5"/>
      <c r="C633"/>
      <c r="D633"/>
      <c r="P633">
        <f t="shared" si="990"/>
        <v>0</v>
      </c>
      <c r="Q633">
        <f t="shared" si="991"/>
        <v>0</v>
      </c>
      <c r="R633">
        <f t="shared" si="992"/>
        <v>0</v>
      </c>
      <c r="S633">
        <f t="shared" si="993"/>
        <v>0</v>
      </c>
      <c r="T633">
        <f t="shared" si="994"/>
        <v>0</v>
      </c>
    </row>
    <row r="634" spans="1:20" x14ac:dyDescent="0.25">
      <c r="A634" s="5"/>
      <c r="C634"/>
      <c r="D634"/>
      <c r="P634">
        <f t="shared" si="990"/>
        <v>0</v>
      </c>
      <c r="Q634">
        <f t="shared" si="991"/>
        <v>0</v>
      </c>
      <c r="R634">
        <f t="shared" si="992"/>
        <v>0</v>
      </c>
      <c r="S634">
        <f t="shared" si="993"/>
        <v>0</v>
      </c>
      <c r="T634">
        <f t="shared" si="994"/>
        <v>0</v>
      </c>
    </row>
    <row r="635" spans="1:20" x14ac:dyDescent="0.25">
      <c r="A635" s="5"/>
      <c r="C635"/>
      <c r="D635"/>
      <c r="P635">
        <f t="shared" si="990"/>
        <v>0</v>
      </c>
      <c r="Q635">
        <f t="shared" si="991"/>
        <v>0</v>
      </c>
      <c r="R635">
        <f t="shared" si="992"/>
        <v>0</v>
      </c>
      <c r="S635">
        <f t="shared" si="993"/>
        <v>0</v>
      </c>
      <c r="T635">
        <f t="shared" si="994"/>
        <v>0</v>
      </c>
    </row>
    <row r="636" spans="1:20" x14ac:dyDescent="0.25">
      <c r="A636" s="5"/>
      <c r="C636"/>
      <c r="D636"/>
      <c r="P636">
        <f t="shared" si="990"/>
        <v>0</v>
      </c>
      <c r="Q636">
        <f t="shared" si="991"/>
        <v>0</v>
      </c>
      <c r="R636">
        <f t="shared" si="992"/>
        <v>0</v>
      </c>
      <c r="S636">
        <f t="shared" si="993"/>
        <v>0</v>
      </c>
      <c r="T636">
        <f t="shared" si="994"/>
        <v>0</v>
      </c>
    </row>
    <row r="637" spans="1:20" x14ac:dyDescent="0.25">
      <c r="A637" s="5"/>
      <c r="C637"/>
      <c r="D637"/>
      <c r="P637">
        <f t="shared" si="990"/>
        <v>0</v>
      </c>
      <c r="Q637">
        <f t="shared" si="991"/>
        <v>0</v>
      </c>
      <c r="R637">
        <f t="shared" si="992"/>
        <v>0</v>
      </c>
      <c r="S637">
        <f t="shared" si="993"/>
        <v>0</v>
      </c>
      <c r="T637">
        <f t="shared" si="994"/>
        <v>0</v>
      </c>
    </row>
    <row r="638" spans="1:20" x14ac:dyDescent="0.25">
      <c r="A638" s="5"/>
      <c r="C638"/>
      <c r="D638"/>
      <c r="P638">
        <f t="shared" si="990"/>
        <v>0</v>
      </c>
      <c r="Q638">
        <f t="shared" si="991"/>
        <v>0</v>
      </c>
      <c r="R638">
        <f t="shared" si="992"/>
        <v>0</v>
      </c>
      <c r="S638">
        <f t="shared" si="993"/>
        <v>0</v>
      </c>
      <c r="T638">
        <f t="shared" si="994"/>
        <v>0</v>
      </c>
    </row>
    <row r="639" spans="1:20" x14ac:dyDescent="0.25">
      <c r="A639" s="5"/>
      <c r="C639"/>
      <c r="D639"/>
      <c r="P639">
        <f t="shared" si="990"/>
        <v>0</v>
      </c>
      <c r="Q639">
        <f t="shared" si="991"/>
        <v>0</v>
      </c>
      <c r="R639">
        <f t="shared" si="992"/>
        <v>0</v>
      </c>
      <c r="S639">
        <f t="shared" si="993"/>
        <v>0</v>
      </c>
      <c r="T639">
        <f t="shared" si="994"/>
        <v>0</v>
      </c>
    </row>
    <row r="640" spans="1:20" x14ac:dyDescent="0.25">
      <c r="A640" s="5"/>
      <c r="C640"/>
      <c r="D640"/>
      <c r="P640">
        <f t="shared" si="990"/>
        <v>0</v>
      </c>
      <c r="Q640">
        <f t="shared" si="991"/>
        <v>0</v>
      </c>
      <c r="R640">
        <f t="shared" si="992"/>
        <v>0</v>
      </c>
      <c r="S640">
        <f t="shared" si="993"/>
        <v>0</v>
      </c>
      <c r="T640">
        <f t="shared" si="994"/>
        <v>0</v>
      </c>
    </row>
    <row r="641" spans="1:20" x14ac:dyDescent="0.25">
      <c r="A641" s="5"/>
      <c r="C641"/>
      <c r="D641"/>
      <c r="P641">
        <f t="shared" si="990"/>
        <v>0</v>
      </c>
      <c r="Q641">
        <f t="shared" si="991"/>
        <v>0</v>
      </c>
      <c r="R641">
        <f t="shared" si="992"/>
        <v>0</v>
      </c>
      <c r="S641">
        <f t="shared" si="993"/>
        <v>0</v>
      </c>
      <c r="T641">
        <f t="shared" si="994"/>
        <v>0</v>
      </c>
    </row>
    <row r="642" spans="1:20" x14ac:dyDescent="0.25">
      <c r="A642" s="5"/>
      <c r="C642"/>
      <c r="D642"/>
      <c r="P642">
        <f t="shared" si="990"/>
        <v>0</v>
      </c>
      <c r="Q642">
        <f t="shared" si="991"/>
        <v>0</v>
      </c>
      <c r="R642">
        <f t="shared" si="992"/>
        <v>0</v>
      </c>
      <c r="S642">
        <f t="shared" si="993"/>
        <v>0</v>
      </c>
      <c r="T642">
        <f t="shared" si="994"/>
        <v>0</v>
      </c>
    </row>
    <row r="643" spans="1:20" x14ac:dyDescent="0.25">
      <c r="A643" s="5"/>
      <c r="C643"/>
      <c r="D643"/>
      <c r="P643">
        <f t="shared" si="990"/>
        <v>0</v>
      </c>
      <c r="Q643">
        <f t="shared" si="991"/>
        <v>0</v>
      </c>
      <c r="R643">
        <f t="shared" si="992"/>
        <v>0</v>
      </c>
      <c r="S643">
        <f t="shared" si="993"/>
        <v>0</v>
      </c>
      <c r="T643">
        <f t="shared" si="994"/>
        <v>0</v>
      </c>
    </row>
    <row r="644" spans="1:20" x14ac:dyDescent="0.25">
      <c r="A644" s="5"/>
      <c r="C644"/>
      <c r="D644"/>
      <c r="P644">
        <f t="shared" si="990"/>
        <v>0</v>
      </c>
      <c r="Q644">
        <f t="shared" si="991"/>
        <v>0</v>
      </c>
      <c r="R644">
        <f t="shared" si="992"/>
        <v>0</v>
      </c>
      <c r="S644">
        <f t="shared" si="993"/>
        <v>0</v>
      </c>
      <c r="T644">
        <f t="shared" si="994"/>
        <v>0</v>
      </c>
    </row>
    <row r="645" spans="1:20" x14ac:dyDescent="0.25">
      <c r="A645" s="5"/>
      <c r="C645"/>
      <c r="D645"/>
      <c r="P645">
        <f t="shared" si="990"/>
        <v>0</v>
      </c>
      <c r="Q645">
        <f t="shared" si="991"/>
        <v>0</v>
      </c>
      <c r="R645">
        <f t="shared" si="992"/>
        <v>0</v>
      </c>
      <c r="S645">
        <f t="shared" si="993"/>
        <v>0</v>
      </c>
      <c r="T645">
        <f t="shared" si="994"/>
        <v>0</v>
      </c>
    </row>
    <row r="646" spans="1:20" x14ac:dyDescent="0.25">
      <c r="A646" s="5"/>
      <c r="C646"/>
      <c r="D646"/>
      <c r="P646">
        <f t="shared" ref="P646:P709" si="995">IF(C646=D646,0,((E646-D646)-(C646-E646))/(C646-D646))</f>
        <v>0</v>
      </c>
      <c r="Q646">
        <f t="shared" ref="Q646:Q709" si="996">F646*P646</f>
        <v>0</v>
      </c>
      <c r="R646">
        <f t="shared" ref="R646:R709" si="997">R647+Q646</f>
        <v>0</v>
      </c>
      <c r="S646">
        <f t="shared" ref="S646:S709" si="998">R646/100000</f>
        <v>0</v>
      </c>
      <c r="T646">
        <f t="shared" ref="T646:T709" si="999">S646/1000</f>
        <v>0</v>
      </c>
    </row>
    <row r="647" spans="1:20" x14ac:dyDescent="0.25">
      <c r="A647" s="5"/>
      <c r="C647"/>
      <c r="D647"/>
      <c r="P647">
        <f t="shared" si="995"/>
        <v>0</v>
      </c>
      <c r="Q647">
        <f t="shared" si="996"/>
        <v>0</v>
      </c>
      <c r="R647">
        <f t="shared" si="997"/>
        <v>0</v>
      </c>
      <c r="S647">
        <f t="shared" si="998"/>
        <v>0</v>
      </c>
      <c r="T647">
        <f t="shared" si="999"/>
        <v>0</v>
      </c>
    </row>
    <row r="648" spans="1:20" x14ac:dyDescent="0.25">
      <c r="A648" s="5"/>
      <c r="C648"/>
      <c r="D648"/>
      <c r="P648">
        <f t="shared" si="995"/>
        <v>0</v>
      </c>
      <c r="Q648">
        <f t="shared" si="996"/>
        <v>0</v>
      </c>
      <c r="R648">
        <f t="shared" si="997"/>
        <v>0</v>
      </c>
      <c r="S648">
        <f t="shared" si="998"/>
        <v>0</v>
      </c>
      <c r="T648">
        <f t="shared" si="999"/>
        <v>0</v>
      </c>
    </row>
    <row r="649" spans="1:20" x14ac:dyDescent="0.25">
      <c r="A649" s="5"/>
      <c r="C649"/>
      <c r="D649"/>
      <c r="P649">
        <f t="shared" si="995"/>
        <v>0</v>
      </c>
      <c r="Q649">
        <f t="shared" si="996"/>
        <v>0</v>
      </c>
      <c r="R649">
        <f t="shared" si="997"/>
        <v>0</v>
      </c>
      <c r="S649">
        <f t="shared" si="998"/>
        <v>0</v>
      </c>
      <c r="T649">
        <f t="shared" si="999"/>
        <v>0</v>
      </c>
    </row>
    <row r="650" spans="1:20" x14ac:dyDescent="0.25">
      <c r="A650" s="5"/>
      <c r="C650"/>
      <c r="D650"/>
      <c r="P650">
        <f t="shared" si="995"/>
        <v>0</v>
      </c>
      <c r="Q650">
        <f t="shared" si="996"/>
        <v>0</v>
      </c>
      <c r="R650">
        <f t="shared" si="997"/>
        <v>0</v>
      </c>
      <c r="S650">
        <f t="shared" si="998"/>
        <v>0</v>
      </c>
      <c r="T650">
        <f t="shared" si="999"/>
        <v>0</v>
      </c>
    </row>
    <row r="651" spans="1:20" x14ac:dyDescent="0.25">
      <c r="A651" s="5"/>
      <c r="C651"/>
      <c r="D651"/>
      <c r="P651">
        <f t="shared" si="995"/>
        <v>0</v>
      </c>
      <c r="Q651">
        <f t="shared" si="996"/>
        <v>0</v>
      </c>
      <c r="R651">
        <f t="shared" si="997"/>
        <v>0</v>
      </c>
      <c r="S651">
        <f t="shared" si="998"/>
        <v>0</v>
      </c>
      <c r="T651">
        <f t="shared" si="999"/>
        <v>0</v>
      </c>
    </row>
    <row r="652" spans="1:20" x14ac:dyDescent="0.25">
      <c r="A652" s="5"/>
      <c r="C652"/>
      <c r="D652"/>
      <c r="P652">
        <f t="shared" si="995"/>
        <v>0</v>
      </c>
      <c r="Q652">
        <f t="shared" si="996"/>
        <v>0</v>
      </c>
      <c r="R652">
        <f t="shared" si="997"/>
        <v>0</v>
      </c>
      <c r="S652">
        <f t="shared" si="998"/>
        <v>0</v>
      </c>
      <c r="T652">
        <f t="shared" si="999"/>
        <v>0</v>
      </c>
    </row>
    <row r="653" spans="1:20" x14ac:dyDescent="0.25">
      <c r="A653" s="5"/>
      <c r="C653"/>
      <c r="D653"/>
      <c r="P653">
        <f t="shared" si="995"/>
        <v>0</v>
      </c>
      <c r="Q653">
        <f t="shared" si="996"/>
        <v>0</v>
      </c>
      <c r="R653">
        <f t="shared" si="997"/>
        <v>0</v>
      </c>
      <c r="S653">
        <f t="shared" si="998"/>
        <v>0</v>
      </c>
      <c r="T653">
        <f t="shared" si="999"/>
        <v>0</v>
      </c>
    </row>
    <row r="654" spans="1:20" x14ac:dyDescent="0.25">
      <c r="A654" s="5"/>
      <c r="C654"/>
      <c r="D654"/>
      <c r="P654">
        <f t="shared" si="995"/>
        <v>0</v>
      </c>
      <c r="Q654">
        <f t="shared" si="996"/>
        <v>0</v>
      </c>
      <c r="R654">
        <f t="shared" si="997"/>
        <v>0</v>
      </c>
      <c r="S654">
        <f t="shared" si="998"/>
        <v>0</v>
      </c>
      <c r="T654">
        <f t="shared" si="999"/>
        <v>0</v>
      </c>
    </row>
    <row r="655" spans="1:20" x14ac:dyDescent="0.25">
      <c r="A655" s="5"/>
      <c r="C655"/>
      <c r="D655"/>
      <c r="P655">
        <f t="shared" si="995"/>
        <v>0</v>
      </c>
      <c r="Q655">
        <f t="shared" si="996"/>
        <v>0</v>
      </c>
      <c r="R655">
        <f t="shared" si="997"/>
        <v>0</v>
      </c>
      <c r="S655">
        <f t="shared" si="998"/>
        <v>0</v>
      </c>
      <c r="T655">
        <f t="shared" si="999"/>
        <v>0</v>
      </c>
    </row>
    <row r="656" spans="1:20" x14ac:dyDescent="0.25">
      <c r="A656" s="5"/>
      <c r="C656"/>
      <c r="D656"/>
      <c r="P656">
        <f t="shared" si="995"/>
        <v>0</v>
      </c>
      <c r="Q656">
        <f t="shared" si="996"/>
        <v>0</v>
      </c>
      <c r="R656">
        <f t="shared" si="997"/>
        <v>0</v>
      </c>
      <c r="S656">
        <f t="shared" si="998"/>
        <v>0</v>
      </c>
      <c r="T656">
        <f t="shared" si="999"/>
        <v>0</v>
      </c>
    </row>
    <row r="657" spans="1:20" x14ac:dyDescent="0.25">
      <c r="A657" s="5"/>
      <c r="C657"/>
      <c r="D657"/>
      <c r="P657">
        <f t="shared" si="995"/>
        <v>0</v>
      </c>
      <c r="Q657">
        <f t="shared" si="996"/>
        <v>0</v>
      </c>
      <c r="R657">
        <f t="shared" si="997"/>
        <v>0</v>
      </c>
      <c r="S657">
        <f t="shared" si="998"/>
        <v>0</v>
      </c>
      <c r="T657">
        <f t="shared" si="999"/>
        <v>0</v>
      </c>
    </row>
    <row r="658" spans="1:20" x14ac:dyDescent="0.25">
      <c r="A658" s="5"/>
      <c r="C658"/>
      <c r="D658"/>
      <c r="P658">
        <f t="shared" si="995"/>
        <v>0</v>
      </c>
      <c r="Q658">
        <f t="shared" si="996"/>
        <v>0</v>
      </c>
      <c r="R658">
        <f t="shared" si="997"/>
        <v>0</v>
      </c>
      <c r="S658">
        <f t="shared" si="998"/>
        <v>0</v>
      </c>
      <c r="T658">
        <f t="shared" si="999"/>
        <v>0</v>
      </c>
    </row>
    <row r="659" spans="1:20" x14ac:dyDescent="0.25">
      <c r="A659" s="5"/>
      <c r="C659"/>
      <c r="D659"/>
      <c r="P659">
        <f t="shared" si="995"/>
        <v>0</v>
      </c>
      <c r="Q659">
        <f t="shared" si="996"/>
        <v>0</v>
      </c>
      <c r="R659">
        <f t="shared" si="997"/>
        <v>0</v>
      </c>
      <c r="S659">
        <f t="shared" si="998"/>
        <v>0</v>
      </c>
      <c r="T659">
        <f t="shared" si="999"/>
        <v>0</v>
      </c>
    </row>
    <row r="660" spans="1:20" x14ac:dyDescent="0.25">
      <c r="A660" s="5"/>
      <c r="C660"/>
      <c r="D660"/>
      <c r="P660">
        <f t="shared" si="995"/>
        <v>0</v>
      </c>
      <c r="Q660">
        <f t="shared" si="996"/>
        <v>0</v>
      </c>
      <c r="R660">
        <f t="shared" si="997"/>
        <v>0</v>
      </c>
      <c r="S660">
        <f t="shared" si="998"/>
        <v>0</v>
      </c>
      <c r="T660">
        <f t="shared" si="999"/>
        <v>0</v>
      </c>
    </row>
    <row r="661" spans="1:20" x14ac:dyDescent="0.25">
      <c r="A661" s="5"/>
      <c r="P661">
        <f t="shared" si="995"/>
        <v>0</v>
      </c>
      <c r="Q661">
        <f t="shared" si="996"/>
        <v>0</v>
      </c>
      <c r="R661">
        <f t="shared" si="997"/>
        <v>0</v>
      </c>
      <c r="S661">
        <f t="shared" si="998"/>
        <v>0</v>
      </c>
      <c r="T661">
        <f t="shared" si="999"/>
        <v>0</v>
      </c>
    </row>
    <row r="662" spans="1:20" x14ac:dyDescent="0.25">
      <c r="A662" s="5"/>
      <c r="P662">
        <f t="shared" si="995"/>
        <v>0</v>
      </c>
      <c r="Q662">
        <f t="shared" si="996"/>
        <v>0</v>
      </c>
      <c r="R662">
        <f t="shared" si="997"/>
        <v>0</v>
      </c>
      <c r="S662">
        <f t="shared" si="998"/>
        <v>0</v>
      </c>
      <c r="T662">
        <f t="shared" si="999"/>
        <v>0</v>
      </c>
    </row>
    <row r="663" spans="1:20" x14ac:dyDescent="0.25">
      <c r="A663" s="5"/>
      <c r="P663">
        <f t="shared" si="995"/>
        <v>0</v>
      </c>
      <c r="Q663">
        <f t="shared" si="996"/>
        <v>0</v>
      </c>
      <c r="R663">
        <f t="shared" si="997"/>
        <v>0</v>
      </c>
      <c r="S663">
        <f t="shared" si="998"/>
        <v>0</v>
      </c>
      <c r="T663">
        <f t="shared" si="999"/>
        <v>0</v>
      </c>
    </row>
    <row r="664" spans="1:20" x14ac:dyDescent="0.25">
      <c r="A664" s="5"/>
      <c r="C664" s="4"/>
      <c r="D664" s="4"/>
      <c r="P664">
        <f t="shared" si="995"/>
        <v>0</v>
      </c>
      <c r="Q664">
        <f t="shared" si="996"/>
        <v>0</v>
      </c>
      <c r="R664">
        <f t="shared" si="997"/>
        <v>0</v>
      </c>
      <c r="S664">
        <f t="shared" si="998"/>
        <v>0</v>
      </c>
      <c r="T664">
        <f t="shared" si="999"/>
        <v>0</v>
      </c>
    </row>
    <row r="665" spans="1:20" x14ac:dyDescent="0.25">
      <c r="A665" s="5"/>
      <c r="C665" s="4"/>
      <c r="D665" s="4"/>
      <c r="P665">
        <f t="shared" si="995"/>
        <v>0</v>
      </c>
      <c r="Q665">
        <f t="shared" si="996"/>
        <v>0</v>
      </c>
      <c r="R665">
        <f t="shared" si="997"/>
        <v>0</v>
      </c>
      <c r="S665">
        <f t="shared" si="998"/>
        <v>0</v>
      </c>
      <c r="T665">
        <f t="shared" si="999"/>
        <v>0</v>
      </c>
    </row>
    <row r="666" spans="1:20" x14ac:dyDescent="0.25">
      <c r="A666" s="5"/>
      <c r="C666" s="4"/>
      <c r="D666" s="4"/>
      <c r="P666">
        <f t="shared" si="995"/>
        <v>0</v>
      </c>
      <c r="Q666">
        <f t="shared" si="996"/>
        <v>0</v>
      </c>
      <c r="R666">
        <f t="shared" si="997"/>
        <v>0</v>
      </c>
      <c r="S666">
        <f t="shared" si="998"/>
        <v>0</v>
      </c>
      <c r="T666">
        <f t="shared" si="999"/>
        <v>0</v>
      </c>
    </row>
    <row r="667" spans="1:20" x14ac:dyDescent="0.25">
      <c r="A667" s="5"/>
      <c r="C667" s="4"/>
      <c r="D667" s="4"/>
      <c r="P667">
        <f t="shared" si="995"/>
        <v>0</v>
      </c>
      <c r="Q667">
        <f t="shared" si="996"/>
        <v>0</v>
      </c>
      <c r="R667">
        <f t="shared" si="997"/>
        <v>0</v>
      </c>
      <c r="S667">
        <f t="shared" si="998"/>
        <v>0</v>
      </c>
      <c r="T667">
        <f t="shared" si="999"/>
        <v>0</v>
      </c>
    </row>
    <row r="668" spans="1:20" x14ac:dyDescent="0.25">
      <c r="A668" s="5"/>
      <c r="C668" s="4"/>
      <c r="D668" s="4"/>
      <c r="P668">
        <f t="shared" si="995"/>
        <v>0</v>
      </c>
      <c r="Q668">
        <f t="shared" si="996"/>
        <v>0</v>
      </c>
      <c r="R668">
        <f t="shared" si="997"/>
        <v>0</v>
      </c>
      <c r="S668">
        <f t="shared" si="998"/>
        <v>0</v>
      </c>
      <c r="T668">
        <f t="shared" si="999"/>
        <v>0</v>
      </c>
    </row>
    <row r="669" spans="1:20" x14ac:dyDescent="0.25">
      <c r="A669" s="5"/>
      <c r="C669" s="4"/>
      <c r="D669" s="4"/>
      <c r="P669">
        <f t="shared" si="995"/>
        <v>0</v>
      </c>
      <c r="Q669">
        <f t="shared" si="996"/>
        <v>0</v>
      </c>
      <c r="R669">
        <f t="shared" si="997"/>
        <v>0</v>
      </c>
      <c r="S669">
        <f t="shared" si="998"/>
        <v>0</v>
      </c>
      <c r="T669">
        <f t="shared" si="999"/>
        <v>0</v>
      </c>
    </row>
    <row r="670" spans="1:20" x14ac:dyDescent="0.25">
      <c r="A670" s="5"/>
      <c r="C670" s="4"/>
      <c r="D670" s="4"/>
      <c r="P670">
        <f t="shared" si="995"/>
        <v>0</v>
      </c>
      <c r="Q670">
        <f t="shared" si="996"/>
        <v>0</v>
      </c>
      <c r="R670">
        <f t="shared" si="997"/>
        <v>0</v>
      </c>
      <c r="S670">
        <f t="shared" si="998"/>
        <v>0</v>
      </c>
      <c r="T670">
        <f t="shared" si="999"/>
        <v>0</v>
      </c>
    </row>
    <row r="671" spans="1:20" x14ac:dyDescent="0.25">
      <c r="A671" s="5"/>
      <c r="C671" s="4"/>
      <c r="D671" s="4"/>
      <c r="P671">
        <f t="shared" si="995"/>
        <v>0</v>
      </c>
      <c r="Q671">
        <f t="shared" si="996"/>
        <v>0</v>
      </c>
      <c r="R671">
        <f t="shared" si="997"/>
        <v>0</v>
      </c>
      <c r="S671">
        <f t="shared" si="998"/>
        <v>0</v>
      </c>
      <c r="T671">
        <f t="shared" si="999"/>
        <v>0</v>
      </c>
    </row>
    <row r="672" spans="1:20" x14ac:dyDescent="0.25">
      <c r="A672" s="5"/>
      <c r="C672" s="4"/>
      <c r="D672" s="4"/>
      <c r="P672">
        <f t="shared" si="995"/>
        <v>0</v>
      </c>
      <c r="Q672">
        <f t="shared" si="996"/>
        <v>0</v>
      </c>
      <c r="R672">
        <f t="shared" si="997"/>
        <v>0</v>
      </c>
      <c r="S672">
        <f t="shared" si="998"/>
        <v>0</v>
      </c>
      <c r="T672">
        <f t="shared" si="999"/>
        <v>0</v>
      </c>
    </row>
    <row r="673" spans="1:20" x14ac:dyDescent="0.25">
      <c r="A673" s="5"/>
      <c r="C673" s="4"/>
      <c r="D673" s="4"/>
      <c r="P673">
        <f t="shared" si="995"/>
        <v>0</v>
      </c>
      <c r="Q673">
        <f t="shared" si="996"/>
        <v>0</v>
      </c>
      <c r="R673">
        <f t="shared" si="997"/>
        <v>0</v>
      </c>
      <c r="S673">
        <f t="shared" si="998"/>
        <v>0</v>
      </c>
      <c r="T673">
        <f t="shared" si="999"/>
        <v>0</v>
      </c>
    </row>
    <row r="674" spans="1:20" x14ac:dyDescent="0.25">
      <c r="A674" s="5"/>
      <c r="C674" s="4"/>
      <c r="D674" s="4"/>
      <c r="P674">
        <f t="shared" si="995"/>
        <v>0</v>
      </c>
      <c r="Q674">
        <f t="shared" si="996"/>
        <v>0</v>
      </c>
      <c r="R674">
        <f t="shared" si="997"/>
        <v>0</v>
      </c>
      <c r="S674">
        <f t="shared" si="998"/>
        <v>0</v>
      </c>
      <c r="T674">
        <f t="shared" si="999"/>
        <v>0</v>
      </c>
    </row>
    <row r="675" spans="1:20" x14ac:dyDescent="0.25">
      <c r="A675" s="5"/>
      <c r="C675" s="4"/>
      <c r="D675" s="4"/>
      <c r="P675">
        <f t="shared" si="995"/>
        <v>0</v>
      </c>
      <c r="Q675">
        <f t="shared" si="996"/>
        <v>0</v>
      </c>
      <c r="R675">
        <f t="shared" si="997"/>
        <v>0</v>
      </c>
      <c r="S675">
        <f t="shared" si="998"/>
        <v>0</v>
      </c>
      <c r="T675">
        <f t="shared" si="999"/>
        <v>0</v>
      </c>
    </row>
    <row r="676" spans="1:20" x14ac:dyDescent="0.25">
      <c r="A676" s="5"/>
      <c r="C676" s="4"/>
      <c r="D676" s="4"/>
      <c r="P676">
        <f t="shared" si="995"/>
        <v>0</v>
      </c>
      <c r="Q676">
        <f t="shared" si="996"/>
        <v>0</v>
      </c>
      <c r="R676">
        <f t="shared" si="997"/>
        <v>0</v>
      </c>
      <c r="S676">
        <f t="shared" si="998"/>
        <v>0</v>
      </c>
      <c r="T676">
        <f t="shared" si="999"/>
        <v>0</v>
      </c>
    </row>
    <row r="677" spans="1:20" x14ac:dyDescent="0.25">
      <c r="A677" s="5"/>
      <c r="C677" s="4"/>
      <c r="D677" s="4"/>
      <c r="P677">
        <f t="shared" si="995"/>
        <v>0</v>
      </c>
      <c r="Q677">
        <f t="shared" si="996"/>
        <v>0</v>
      </c>
      <c r="R677">
        <f t="shared" si="997"/>
        <v>0</v>
      </c>
      <c r="S677">
        <f t="shared" si="998"/>
        <v>0</v>
      </c>
      <c r="T677">
        <f t="shared" si="999"/>
        <v>0</v>
      </c>
    </row>
    <row r="678" spans="1:20" x14ac:dyDescent="0.25">
      <c r="A678" s="5"/>
      <c r="C678" s="4"/>
      <c r="D678" s="4"/>
      <c r="P678">
        <f t="shared" si="995"/>
        <v>0</v>
      </c>
      <c r="Q678">
        <f t="shared" si="996"/>
        <v>0</v>
      </c>
      <c r="R678">
        <f t="shared" si="997"/>
        <v>0</v>
      </c>
      <c r="S678">
        <f t="shared" si="998"/>
        <v>0</v>
      </c>
      <c r="T678">
        <f t="shared" si="999"/>
        <v>0</v>
      </c>
    </row>
    <row r="679" spans="1:20" x14ac:dyDescent="0.25">
      <c r="A679" s="5"/>
      <c r="C679" s="4"/>
      <c r="D679" s="4"/>
      <c r="P679">
        <f t="shared" si="995"/>
        <v>0</v>
      </c>
      <c r="Q679">
        <f t="shared" si="996"/>
        <v>0</v>
      </c>
      <c r="R679">
        <f t="shared" si="997"/>
        <v>0</v>
      </c>
      <c r="S679">
        <f t="shared" si="998"/>
        <v>0</v>
      </c>
      <c r="T679">
        <f t="shared" si="999"/>
        <v>0</v>
      </c>
    </row>
    <row r="680" spans="1:20" x14ac:dyDescent="0.25">
      <c r="A680" s="5"/>
      <c r="C680" s="4"/>
      <c r="D680" s="4"/>
      <c r="P680">
        <f t="shared" si="995"/>
        <v>0</v>
      </c>
      <c r="Q680">
        <f t="shared" si="996"/>
        <v>0</v>
      </c>
      <c r="R680">
        <f t="shared" si="997"/>
        <v>0</v>
      </c>
      <c r="S680">
        <f t="shared" si="998"/>
        <v>0</v>
      </c>
      <c r="T680">
        <f t="shared" si="999"/>
        <v>0</v>
      </c>
    </row>
    <row r="681" spans="1:20" x14ac:dyDescent="0.25">
      <c r="A681" s="5"/>
      <c r="C681" s="4"/>
      <c r="D681" s="4"/>
      <c r="P681">
        <f t="shared" si="995"/>
        <v>0</v>
      </c>
      <c r="Q681">
        <f t="shared" si="996"/>
        <v>0</v>
      </c>
      <c r="R681">
        <f t="shared" si="997"/>
        <v>0</v>
      </c>
      <c r="S681">
        <f t="shared" si="998"/>
        <v>0</v>
      </c>
      <c r="T681">
        <f t="shared" si="999"/>
        <v>0</v>
      </c>
    </row>
    <row r="682" spans="1:20" x14ac:dyDescent="0.25">
      <c r="A682" s="5"/>
      <c r="C682" s="4"/>
      <c r="D682" s="4"/>
      <c r="P682">
        <f t="shared" si="995"/>
        <v>0</v>
      </c>
      <c r="Q682">
        <f t="shared" si="996"/>
        <v>0</v>
      </c>
      <c r="R682">
        <f t="shared" si="997"/>
        <v>0</v>
      </c>
      <c r="S682">
        <f t="shared" si="998"/>
        <v>0</v>
      </c>
      <c r="T682">
        <f t="shared" si="999"/>
        <v>0</v>
      </c>
    </row>
    <row r="683" spans="1:20" x14ac:dyDescent="0.25">
      <c r="A683" s="5"/>
      <c r="C683" s="4"/>
      <c r="D683" s="4"/>
      <c r="P683">
        <f t="shared" si="995"/>
        <v>0</v>
      </c>
      <c r="Q683">
        <f t="shared" si="996"/>
        <v>0</v>
      </c>
      <c r="R683">
        <f t="shared" si="997"/>
        <v>0</v>
      </c>
      <c r="S683">
        <f t="shared" si="998"/>
        <v>0</v>
      </c>
      <c r="T683">
        <f t="shared" si="999"/>
        <v>0</v>
      </c>
    </row>
    <row r="684" spans="1:20" x14ac:dyDescent="0.25">
      <c r="A684" s="5"/>
      <c r="C684" s="4"/>
      <c r="D684" s="4"/>
      <c r="P684">
        <f t="shared" si="995"/>
        <v>0</v>
      </c>
      <c r="Q684">
        <f t="shared" si="996"/>
        <v>0</v>
      </c>
      <c r="R684">
        <f t="shared" si="997"/>
        <v>0</v>
      </c>
      <c r="S684">
        <f t="shared" si="998"/>
        <v>0</v>
      </c>
      <c r="T684">
        <f t="shared" si="999"/>
        <v>0</v>
      </c>
    </row>
    <row r="685" spans="1:20" x14ac:dyDescent="0.25">
      <c r="A685" s="5"/>
      <c r="C685" s="4"/>
      <c r="D685" s="4"/>
      <c r="P685">
        <f t="shared" si="995"/>
        <v>0</v>
      </c>
      <c r="Q685">
        <f t="shared" si="996"/>
        <v>0</v>
      </c>
      <c r="R685">
        <f t="shared" si="997"/>
        <v>0</v>
      </c>
      <c r="S685">
        <f t="shared" si="998"/>
        <v>0</v>
      </c>
      <c r="T685">
        <f t="shared" si="999"/>
        <v>0</v>
      </c>
    </row>
    <row r="686" spans="1:20" x14ac:dyDescent="0.25">
      <c r="A686" s="5"/>
      <c r="C686" s="4"/>
      <c r="D686" s="4"/>
      <c r="P686">
        <f t="shared" si="995"/>
        <v>0</v>
      </c>
      <c r="Q686">
        <f t="shared" si="996"/>
        <v>0</v>
      </c>
      <c r="R686">
        <f t="shared" si="997"/>
        <v>0</v>
      </c>
      <c r="S686">
        <f t="shared" si="998"/>
        <v>0</v>
      </c>
      <c r="T686">
        <f t="shared" si="999"/>
        <v>0</v>
      </c>
    </row>
    <row r="687" spans="1:20" x14ac:dyDescent="0.25">
      <c r="A687" s="5"/>
      <c r="C687" s="4"/>
      <c r="D687" s="4"/>
      <c r="P687">
        <f t="shared" si="995"/>
        <v>0</v>
      </c>
      <c r="Q687">
        <f t="shared" si="996"/>
        <v>0</v>
      </c>
      <c r="R687">
        <f t="shared" si="997"/>
        <v>0</v>
      </c>
      <c r="S687">
        <f t="shared" si="998"/>
        <v>0</v>
      </c>
      <c r="T687">
        <f t="shared" si="999"/>
        <v>0</v>
      </c>
    </row>
    <row r="688" spans="1:20" x14ac:dyDescent="0.25">
      <c r="A688" s="5"/>
      <c r="C688" s="4"/>
      <c r="D688" s="4"/>
      <c r="P688">
        <f t="shared" si="995"/>
        <v>0</v>
      </c>
      <c r="Q688">
        <f t="shared" si="996"/>
        <v>0</v>
      </c>
      <c r="R688">
        <f t="shared" si="997"/>
        <v>0</v>
      </c>
      <c r="S688">
        <f t="shared" si="998"/>
        <v>0</v>
      </c>
      <c r="T688">
        <f t="shared" si="999"/>
        <v>0</v>
      </c>
    </row>
    <row r="689" spans="1:20" x14ac:dyDescent="0.25">
      <c r="A689" s="5"/>
      <c r="C689" s="4"/>
      <c r="D689" s="4"/>
      <c r="P689">
        <f t="shared" si="995"/>
        <v>0</v>
      </c>
      <c r="Q689">
        <f t="shared" si="996"/>
        <v>0</v>
      </c>
      <c r="R689">
        <f t="shared" si="997"/>
        <v>0</v>
      </c>
      <c r="S689">
        <f t="shared" si="998"/>
        <v>0</v>
      </c>
      <c r="T689">
        <f t="shared" si="999"/>
        <v>0</v>
      </c>
    </row>
    <row r="690" spans="1:20" x14ac:dyDescent="0.25">
      <c r="A690" s="5"/>
      <c r="C690" s="4"/>
      <c r="D690" s="4"/>
      <c r="P690">
        <f t="shared" si="995"/>
        <v>0</v>
      </c>
      <c r="Q690">
        <f t="shared" si="996"/>
        <v>0</v>
      </c>
      <c r="R690">
        <f t="shared" si="997"/>
        <v>0</v>
      </c>
      <c r="S690">
        <f t="shared" si="998"/>
        <v>0</v>
      </c>
      <c r="T690">
        <f t="shared" si="999"/>
        <v>0</v>
      </c>
    </row>
    <row r="691" spans="1:20" x14ac:dyDescent="0.25">
      <c r="A691" s="5"/>
      <c r="C691" s="4"/>
      <c r="D691" s="4"/>
      <c r="P691">
        <f t="shared" si="995"/>
        <v>0</v>
      </c>
      <c r="Q691">
        <f t="shared" si="996"/>
        <v>0</v>
      </c>
      <c r="R691">
        <f t="shared" si="997"/>
        <v>0</v>
      </c>
      <c r="S691">
        <f t="shared" si="998"/>
        <v>0</v>
      </c>
      <c r="T691">
        <f t="shared" si="999"/>
        <v>0</v>
      </c>
    </row>
    <row r="692" spans="1:20" x14ac:dyDescent="0.25">
      <c r="A692" s="5"/>
      <c r="C692" s="4"/>
      <c r="D692" s="4"/>
      <c r="P692">
        <f t="shared" si="995"/>
        <v>0</v>
      </c>
      <c r="Q692">
        <f t="shared" si="996"/>
        <v>0</v>
      </c>
      <c r="R692">
        <f t="shared" si="997"/>
        <v>0</v>
      </c>
      <c r="S692">
        <f t="shared" si="998"/>
        <v>0</v>
      </c>
      <c r="T692">
        <f t="shared" si="999"/>
        <v>0</v>
      </c>
    </row>
    <row r="693" spans="1:20" x14ac:dyDescent="0.25">
      <c r="A693" s="5"/>
      <c r="C693" s="4"/>
      <c r="D693" s="4"/>
      <c r="P693">
        <f t="shared" si="995"/>
        <v>0</v>
      </c>
      <c r="Q693">
        <f t="shared" si="996"/>
        <v>0</v>
      </c>
      <c r="R693">
        <f t="shared" si="997"/>
        <v>0</v>
      </c>
      <c r="S693">
        <f t="shared" si="998"/>
        <v>0</v>
      </c>
      <c r="T693">
        <f t="shared" si="999"/>
        <v>0</v>
      </c>
    </row>
    <row r="694" spans="1:20" x14ac:dyDescent="0.25">
      <c r="A694" s="5"/>
      <c r="C694" s="4"/>
      <c r="D694" s="4"/>
      <c r="P694">
        <f t="shared" si="995"/>
        <v>0</v>
      </c>
      <c r="Q694">
        <f t="shared" si="996"/>
        <v>0</v>
      </c>
      <c r="R694">
        <f t="shared" si="997"/>
        <v>0</v>
      </c>
      <c r="S694">
        <f t="shared" si="998"/>
        <v>0</v>
      </c>
      <c r="T694">
        <f t="shared" si="999"/>
        <v>0</v>
      </c>
    </row>
    <row r="695" spans="1:20" x14ac:dyDescent="0.25">
      <c r="A695" s="5"/>
      <c r="C695" s="4"/>
      <c r="D695" s="4"/>
      <c r="P695">
        <f t="shared" si="995"/>
        <v>0</v>
      </c>
      <c r="Q695">
        <f t="shared" si="996"/>
        <v>0</v>
      </c>
      <c r="R695">
        <f t="shared" si="997"/>
        <v>0</v>
      </c>
      <c r="S695">
        <f t="shared" si="998"/>
        <v>0</v>
      </c>
      <c r="T695">
        <f t="shared" si="999"/>
        <v>0</v>
      </c>
    </row>
    <row r="696" spans="1:20" x14ac:dyDescent="0.25">
      <c r="A696" s="5"/>
      <c r="C696" s="4"/>
      <c r="D696" s="4"/>
      <c r="P696">
        <f t="shared" si="995"/>
        <v>0</v>
      </c>
      <c r="Q696">
        <f t="shared" si="996"/>
        <v>0</v>
      </c>
      <c r="R696">
        <f t="shared" si="997"/>
        <v>0</v>
      </c>
      <c r="S696">
        <f t="shared" si="998"/>
        <v>0</v>
      </c>
      <c r="T696">
        <f t="shared" si="999"/>
        <v>0</v>
      </c>
    </row>
    <row r="697" spans="1:20" x14ac:dyDescent="0.25">
      <c r="A697" s="5"/>
      <c r="C697" s="4"/>
      <c r="D697" s="4"/>
      <c r="P697">
        <f t="shared" si="995"/>
        <v>0</v>
      </c>
      <c r="Q697">
        <f t="shared" si="996"/>
        <v>0</v>
      </c>
      <c r="R697">
        <f t="shared" si="997"/>
        <v>0</v>
      </c>
      <c r="S697">
        <f t="shared" si="998"/>
        <v>0</v>
      </c>
      <c r="T697">
        <f t="shared" si="999"/>
        <v>0</v>
      </c>
    </row>
    <row r="698" spans="1:20" x14ac:dyDescent="0.25">
      <c r="A698" s="5"/>
      <c r="C698" s="4"/>
      <c r="D698" s="4"/>
      <c r="P698">
        <f t="shared" si="995"/>
        <v>0</v>
      </c>
      <c r="Q698">
        <f t="shared" si="996"/>
        <v>0</v>
      </c>
      <c r="R698">
        <f t="shared" si="997"/>
        <v>0</v>
      </c>
      <c r="S698">
        <f t="shared" si="998"/>
        <v>0</v>
      </c>
      <c r="T698">
        <f t="shared" si="999"/>
        <v>0</v>
      </c>
    </row>
    <row r="699" spans="1:20" x14ac:dyDescent="0.25">
      <c r="A699" s="5"/>
      <c r="C699" s="4"/>
      <c r="D699" s="4"/>
      <c r="P699">
        <f t="shared" si="995"/>
        <v>0</v>
      </c>
      <c r="Q699">
        <f t="shared" si="996"/>
        <v>0</v>
      </c>
      <c r="R699">
        <f t="shared" si="997"/>
        <v>0</v>
      </c>
      <c r="S699">
        <f t="shared" si="998"/>
        <v>0</v>
      </c>
      <c r="T699">
        <f t="shared" si="999"/>
        <v>0</v>
      </c>
    </row>
    <row r="700" spans="1:20" x14ac:dyDescent="0.25">
      <c r="A700" s="5"/>
      <c r="C700" s="4"/>
      <c r="D700" s="4"/>
      <c r="P700">
        <f t="shared" si="995"/>
        <v>0</v>
      </c>
      <c r="Q700">
        <f t="shared" si="996"/>
        <v>0</v>
      </c>
      <c r="R700">
        <f t="shared" si="997"/>
        <v>0</v>
      </c>
      <c r="S700">
        <f t="shared" si="998"/>
        <v>0</v>
      </c>
      <c r="T700">
        <f t="shared" si="999"/>
        <v>0</v>
      </c>
    </row>
    <row r="701" spans="1:20" x14ac:dyDescent="0.25">
      <c r="A701" s="5"/>
      <c r="C701" s="4"/>
      <c r="D701" s="4"/>
      <c r="P701">
        <f t="shared" si="995"/>
        <v>0</v>
      </c>
      <c r="Q701">
        <f t="shared" si="996"/>
        <v>0</v>
      </c>
      <c r="R701">
        <f t="shared" si="997"/>
        <v>0</v>
      </c>
      <c r="S701">
        <f t="shared" si="998"/>
        <v>0</v>
      </c>
      <c r="T701">
        <f t="shared" si="999"/>
        <v>0</v>
      </c>
    </row>
    <row r="702" spans="1:20" x14ac:dyDescent="0.25">
      <c r="A702" s="5"/>
      <c r="C702" s="4"/>
      <c r="D702" s="4"/>
      <c r="P702">
        <f t="shared" si="995"/>
        <v>0</v>
      </c>
      <c r="Q702">
        <f t="shared" si="996"/>
        <v>0</v>
      </c>
      <c r="R702">
        <f t="shared" si="997"/>
        <v>0</v>
      </c>
      <c r="S702">
        <f t="shared" si="998"/>
        <v>0</v>
      </c>
      <c r="T702">
        <f t="shared" si="999"/>
        <v>0</v>
      </c>
    </row>
    <row r="703" spans="1:20" x14ac:dyDescent="0.25">
      <c r="A703" s="5"/>
      <c r="C703" s="4"/>
      <c r="D703" s="4"/>
      <c r="P703">
        <f t="shared" si="995"/>
        <v>0</v>
      </c>
      <c r="Q703">
        <f t="shared" si="996"/>
        <v>0</v>
      </c>
      <c r="R703">
        <f t="shared" si="997"/>
        <v>0</v>
      </c>
      <c r="S703">
        <f t="shared" si="998"/>
        <v>0</v>
      </c>
      <c r="T703">
        <f t="shared" si="999"/>
        <v>0</v>
      </c>
    </row>
    <row r="704" spans="1:20" x14ac:dyDescent="0.25">
      <c r="A704" s="5"/>
      <c r="C704" s="4"/>
      <c r="D704" s="4"/>
      <c r="P704">
        <f t="shared" si="995"/>
        <v>0</v>
      </c>
      <c r="Q704">
        <f t="shared" si="996"/>
        <v>0</v>
      </c>
      <c r="R704">
        <f t="shared" si="997"/>
        <v>0</v>
      </c>
      <c r="S704">
        <f t="shared" si="998"/>
        <v>0</v>
      </c>
      <c r="T704">
        <f t="shared" si="999"/>
        <v>0</v>
      </c>
    </row>
    <row r="705" spans="1:20" x14ac:dyDescent="0.25">
      <c r="A705" s="5"/>
      <c r="C705" s="4"/>
      <c r="D705" s="4"/>
      <c r="P705">
        <f t="shared" si="995"/>
        <v>0</v>
      </c>
      <c r="Q705">
        <f t="shared" si="996"/>
        <v>0</v>
      </c>
      <c r="R705">
        <f t="shared" si="997"/>
        <v>0</v>
      </c>
      <c r="S705">
        <f t="shared" si="998"/>
        <v>0</v>
      </c>
      <c r="T705">
        <f t="shared" si="999"/>
        <v>0</v>
      </c>
    </row>
    <row r="706" spans="1:20" x14ac:dyDescent="0.25">
      <c r="A706" s="5"/>
      <c r="C706" s="4"/>
      <c r="D706" s="4"/>
      <c r="P706">
        <f t="shared" si="995"/>
        <v>0</v>
      </c>
      <c r="Q706">
        <f t="shared" si="996"/>
        <v>0</v>
      </c>
      <c r="R706">
        <f t="shared" si="997"/>
        <v>0</v>
      </c>
      <c r="S706">
        <f t="shared" si="998"/>
        <v>0</v>
      </c>
      <c r="T706">
        <f t="shared" si="999"/>
        <v>0</v>
      </c>
    </row>
    <row r="707" spans="1:20" x14ac:dyDescent="0.25">
      <c r="A707" s="5"/>
      <c r="C707" s="4"/>
      <c r="D707" s="4"/>
      <c r="P707">
        <f t="shared" si="995"/>
        <v>0</v>
      </c>
      <c r="Q707">
        <f t="shared" si="996"/>
        <v>0</v>
      </c>
      <c r="R707">
        <f t="shared" si="997"/>
        <v>0</v>
      </c>
      <c r="S707">
        <f t="shared" si="998"/>
        <v>0</v>
      </c>
      <c r="T707">
        <f t="shared" si="999"/>
        <v>0</v>
      </c>
    </row>
    <row r="708" spans="1:20" x14ac:dyDescent="0.25">
      <c r="A708" s="5"/>
      <c r="C708" s="4"/>
      <c r="D708" s="4"/>
      <c r="P708">
        <f t="shared" si="995"/>
        <v>0</v>
      </c>
      <c r="Q708">
        <f t="shared" si="996"/>
        <v>0</v>
      </c>
      <c r="R708">
        <f t="shared" si="997"/>
        <v>0</v>
      </c>
      <c r="S708">
        <f t="shared" si="998"/>
        <v>0</v>
      </c>
      <c r="T708">
        <f t="shared" si="999"/>
        <v>0</v>
      </c>
    </row>
    <row r="709" spans="1:20" x14ac:dyDescent="0.25">
      <c r="A709" s="5"/>
      <c r="C709" s="4"/>
      <c r="D709" s="4"/>
      <c r="P709">
        <f t="shared" si="995"/>
        <v>0</v>
      </c>
      <c r="Q709">
        <f t="shared" si="996"/>
        <v>0</v>
      </c>
      <c r="R709">
        <f t="shared" si="997"/>
        <v>0</v>
      </c>
      <c r="S709">
        <f t="shared" si="998"/>
        <v>0</v>
      </c>
      <c r="T709">
        <f t="shared" si="999"/>
        <v>0</v>
      </c>
    </row>
    <row r="710" spans="1:20" x14ac:dyDescent="0.25">
      <c r="A710" s="5"/>
      <c r="C710" s="4"/>
      <c r="D710" s="4"/>
      <c r="P710">
        <f t="shared" ref="P710:P766" si="1000">IF(C710=D710,0,((E710-D710)-(C710-E710))/(C710-D710))</f>
        <v>0</v>
      </c>
      <c r="Q710">
        <f t="shared" ref="Q710:Q766" si="1001">F710*P710</f>
        <v>0</v>
      </c>
      <c r="R710">
        <f t="shared" ref="R710:R766" si="1002">R711+Q710</f>
        <v>0</v>
      </c>
      <c r="S710">
        <f t="shared" ref="S710:S766" si="1003">R710/100000</f>
        <v>0</v>
      </c>
      <c r="T710">
        <f t="shared" ref="T710:T766" si="1004">S710/1000</f>
        <v>0</v>
      </c>
    </row>
    <row r="711" spans="1:20" x14ac:dyDescent="0.25">
      <c r="A711" s="5"/>
      <c r="C711" s="4"/>
      <c r="D711" s="4"/>
      <c r="P711">
        <f t="shared" si="1000"/>
        <v>0</v>
      </c>
      <c r="Q711">
        <f t="shared" si="1001"/>
        <v>0</v>
      </c>
      <c r="R711">
        <f t="shared" si="1002"/>
        <v>0</v>
      </c>
      <c r="S711">
        <f t="shared" si="1003"/>
        <v>0</v>
      </c>
      <c r="T711">
        <f t="shared" si="1004"/>
        <v>0</v>
      </c>
    </row>
    <row r="712" spans="1:20" x14ac:dyDescent="0.25">
      <c r="A712" s="5"/>
      <c r="C712" s="4"/>
      <c r="D712" s="4"/>
      <c r="P712">
        <f t="shared" si="1000"/>
        <v>0</v>
      </c>
      <c r="Q712">
        <f t="shared" si="1001"/>
        <v>0</v>
      </c>
      <c r="R712">
        <f t="shared" si="1002"/>
        <v>0</v>
      </c>
      <c r="S712">
        <f t="shared" si="1003"/>
        <v>0</v>
      </c>
      <c r="T712">
        <f t="shared" si="1004"/>
        <v>0</v>
      </c>
    </row>
    <row r="713" spans="1:20" x14ac:dyDescent="0.25">
      <c r="A713" s="5"/>
      <c r="C713" s="4"/>
      <c r="D713" s="4"/>
      <c r="P713">
        <f t="shared" si="1000"/>
        <v>0</v>
      </c>
      <c r="Q713">
        <f t="shared" si="1001"/>
        <v>0</v>
      </c>
      <c r="R713">
        <f t="shared" si="1002"/>
        <v>0</v>
      </c>
      <c r="S713">
        <f t="shared" si="1003"/>
        <v>0</v>
      </c>
      <c r="T713">
        <f t="shared" si="1004"/>
        <v>0</v>
      </c>
    </row>
    <row r="714" spans="1:20" x14ac:dyDescent="0.25">
      <c r="A714" s="5"/>
      <c r="C714" s="4"/>
      <c r="D714" s="4"/>
      <c r="P714">
        <f t="shared" si="1000"/>
        <v>0</v>
      </c>
      <c r="Q714">
        <f t="shared" si="1001"/>
        <v>0</v>
      </c>
      <c r="R714">
        <f t="shared" si="1002"/>
        <v>0</v>
      </c>
      <c r="S714">
        <f t="shared" si="1003"/>
        <v>0</v>
      </c>
      <c r="T714">
        <f t="shared" si="1004"/>
        <v>0</v>
      </c>
    </row>
    <row r="715" spans="1:20" x14ac:dyDescent="0.25">
      <c r="A715" s="5"/>
      <c r="C715" s="4"/>
      <c r="D715" s="4"/>
      <c r="P715">
        <f t="shared" si="1000"/>
        <v>0</v>
      </c>
      <c r="Q715">
        <f t="shared" si="1001"/>
        <v>0</v>
      </c>
      <c r="R715">
        <f t="shared" si="1002"/>
        <v>0</v>
      </c>
      <c r="S715">
        <f t="shared" si="1003"/>
        <v>0</v>
      </c>
      <c r="T715">
        <f t="shared" si="1004"/>
        <v>0</v>
      </c>
    </row>
    <row r="716" spans="1:20" x14ac:dyDescent="0.25">
      <c r="A716" s="5"/>
      <c r="C716" s="4"/>
      <c r="D716" s="4"/>
      <c r="P716">
        <f t="shared" si="1000"/>
        <v>0</v>
      </c>
      <c r="Q716">
        <f t="shared" si="1001"/>
        <v>0</v>
      </c>
      <c r="R716">
        <f t="shared" si="1002"/>
        <v>0</v>
      </c>
      <c r="S716">
        <f t="shared" si="1003"/>
        <v>0</v>
      </c>
      <c r="T716">
        <f t="shared" si="1004"/>
        <v>0</v>
      </c>
    </row>
    <row r="717" spans="1:20" x14ac:dyDescent="0.25">
      <c r="A717" s="5"/>
      <c r="C717" s="4"/>
      <c r="D717" s="4"/>
      <c r="P717">
        <f t="shared" si="1000"/>
        <v>0</v>
      </c>
      <c r="Q717">
        <f t="shared" si="1001"/>
        <v>0</v>
      </c>
      <c r="R717">
        <f t="shared" si="1002"/>
        <v>0</v>
      </c>
      <c r="S717">
        <f t="shared" si="1003"/>
        <v>0</v>
      </c>
      <c r="T717">
        <f t="shared" si="1004"/>
        <v>0</v>
      </c>
    </row>
    <row r="718" spans="1:20" x14ac:dyDescent="0.25">
      <c r="A718" s="5"/>
      <c r="C718" s="4"/>
      <c r="D718" s="4"/>
      <c r="P718">
        <f t="shared" si="1000"/>
        <v>0</v>
      </c>
      <c r="Q718">
        <f t="shared" si="1001"/>
        <v>0</v>
      </c>
      <c r="R718">
        <f t="shared" si="1002"/>
        <v>0</v>
      </c>
      <c r="S718">
        <f t="shared" si="1003"/>
        <v>0</v>
      </c>
      <c r="T718">
        <f t="shared" si="1004"/>
        <v>0</v>
      </c>
    </row>
    <row r="719" spans="1:20" x14ac:dyDescent="0.25">
      <c r="A719" s="5"/>
      <c r="C719" s="4"/>
      <c r="D719" s="4"/>
      <c r="P719">
        <f t="shared" si="1000"/>
        <v>0</v>
      </c>
      <c r="Q719">
        <f t="shared" si="1001"/>
        <v>0</v>
      </c>
      <c r="R719">
        <f t="shared" si="1002"/>
        <v>0</v>
      </c>
      <c r="S719">
        <f t="shared" si="1003"/>
        <v>0</v>
      </c>
      <c r="T719">
        <f t="shared" si="1004"/>
        <v>0</v>
      </c>
    </row>
    <row r="720" spans="1:20" x14ac:dyDescent="0.25">
      <c r="A720" s="5"/>
      <c r="C720" s="4"/>
      <c r="D720" s="4"/>
      <c r="P720">
        <f t="shared" si="1000"/>
        <v>0</v>
      </c>
      <c r="Q720">
        <f t="shared" si="1001"/>
        <v>0</v>
      </c>
      <c r="R720">
        <f t="shared" si="1002"/>
        <v>0</v>
      </c>
      <c r="S720">
        <f t="shared" si="1003"/>
        <v>0</v>
      </c>
      <c r="T720">
        <f t="shared" si="1004"/>
        <v>0</v>
      </c>
    </row>
    <row r="721" spans="1:20" x14ac:dyDescent="0.25">
      <c r="A721" s="5"/>
      <c r="C721" s="4"/>
      <c r="D721" s="4"/>
      <c r="P721">
        <f t="shared" si="1000"/>
        <v>0</v>
      </c>
      <c r="Q721">
        <f t="shared" si="1001"/>
        <v>0</v>
      </c>
      <c r="R721">
        <f t="shared" si="1002"/>
        <v>0</v>
      </c>
      <c r="S721">
        <f t="shared" si="1003"/>
        <v>0</v>
      </c>
      <c r="T721">
        <f t="shared" si="1004"/>
        <v>0</v>
      </c>
    </row>
    <row r="722" spans="1:20" x14ac:dyDescent="0.25">
      <c r="A722" s="5"/>
      <c r="C722" s="4"/>
      <c r="D722" s="4"/>
      <c r="P722">
        <f t="shared" si="1000"/>
        <v>0</v>
      </c>
      <c r="Q722">
        <f t="shared" si="1001"/>
        <v>0</v>
      </c>
      <c r="R722">
        <f t="shared" si="1002"/>
        <v>0</v>
      </c>
      <c r="S722">
        <f t="shared" si="1003"/>
        <v>0</v>
      </c>
      <c r="T722">
        <f t="shared" si="1004"/>
        <v>0</v>
      </c>
    </row>
    <row r="723" spans="1:20" x14ac:dyDescent="0.25">
      <c r="A723" s="5"/>
      <c r="C723" s="4"/>
      <c r="D723" s="4"/>
      <c r="P723">
        <f t="shared" si="1000"/>
        <v>0</v>
      </c>
      <c r="Q723">
        <f t="shared" si="1001"/>
        <v>0</v>
      </c>
      <c r="R723">
        <f t="shared" si="1002"/>
        <v>0</v>
      </c>
      <c r="S723">
        <f t="shared" si="1003"/>
        <v>0</v>
      </c>
      <c r="T723">
        <f t="shared" si="1004"/>
        <v>0</v>
      </c>
    </row>
    <row r="724" spans="1:20" x14ac:dyDescent="0.25">
      <c r="A724" s="5"/>
      <c r="C724" s="4"/>
      <c r="D724" s="4"/>
      <c r="P724">
        <f t="shared" si="1000"/>
        <v>0</v>
      </c>
      <c r="Q724">
        <f t="shared" si="1001"/>
        <v>0</v>
      </c>
      <c r="R724">
        <f t="shared" si="1002"/>
        <v>0</v>
      </c>
      <c r="S724">
        <f t="shared" si="1003"/>
        <v>0</v>
      </c>
      <c r="T724">
        <f t="shared" si="1004"/>
        <v>0</v>
      </c>
    </row>
    <row r="725" spans="1:20" x14ac:dyDescent="0.25">
      <c r="A725" s="5"/>
      <c r="C725" s="4"/>
      <c r="D725" s="4"/>
      <c r="P725">
        <f t="shared" si="1000"/>
        <v>0</v>
      </c>
      <c r="Q725">
        <f t="shared" si="1001"/>
        <v>0</v>
      </c>
      <c r="R725">
        <f t="shared" si="1002"/>
        <v>0</v>
      </c>
      <c r="S725">
        <f t="shared" si="1003"/>
        <v>0</v>
      </c>
      <c r="T725">
        <f t="shared" si="1004"/>
        <v>0</v>
      </c>
    </row>
    <row r="726" spans="1:20" x14ac:dyDescent="0.25">
      <c r="A726" s="5"/>
      <c r="C726" s="4"/>
      <c r="D726" s="4"/>
      <c r="P726">
        <f t="shared" si="1000"/>
        <v>0</v>
      </c>
      <c r="Q726">
        <f t="shared" si="1001"/>
        <v>0</v>
      </c>
      <c r="R726">
        <f t="shared" si="1002"/>
        <v>0</v>
      </c>
      <c r="S726">
        <f t="shared" si="1003"/>
        <v>0</v>
      </c>
      <c r="T726">
        <f t="shared" si="1004"/>
        <v>0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Z476" sqref="FZ47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$A$475</v>
      </c>
      <c r="D111" s="1" t="str">
        <f>ADDRESS(C121-1,D121,1,1)</f>
        <v>$FZ$475</v>
      </c>
      <c r="E111"/>
    </row>
    <row r="112" spans="1:5" x14ac:dyDescent="0.25">
      <c r="A112" s="7">
        <v>12164.144957890772</v>
      </c>
      <c r="C112" s="1" t="str">
        <f>ADDRESS(C121,1,1,1)</f>
        <v>$A$476</v>
      </c>
      <c r="D112" s="1" t="str">
        <f>ADDRESS(C121,D121-1,1,1)</f>
        <v>$FY$476</v>
      </c>
      <c r="E112"/>
    </row>
    <row r="113" spans="1:5" x14ac:dyDescent="0.25">
      <c r="A113" s="7">
        <v>11925.63231165762</v>
      </c>
      <c r="C113" s="1" t="str">
        <f>ADDRESS(C121+1,1,1,1)</f>
        <v>$A$477</v>
      </c>
      <c r="D113" s="1" t="str">
        <f>ADDRESS(C121-1,D121+1,1,1)</f>
        <v>$GA$475</v>
      </c>
    </row>
    <row r="114" spans="1:5" x14ac:dyDescent="0.25">
      <c r="A114" s="7">
        <v>11691.796383978059</v>
      </c>
      <c r="C114" s="1" t="str">
        <f>ADDRESS(C121,D121,1,1)</f>
        <v>$FZ$476</v>
      </c>
      <c r="D114" s="1" t="str">
        <f>ADDRESS(C121+1,D121+1,1,1)</f>
        <v>$GA$477</v>
      </c>
    </row>
    <row r="115" spans="1:5" x14ac:dyDescent="0.25">
      <c r="A115" s="7">
        <v>11462.545474488292</v>
      </c>
      <c r="C115" s="1" t="str">
        <f>ADDRESS(C121+1,D121,1,1)</f>
        <v>$FZ$477</v>
      </c>
    </row>
    <row r="116" spans="1:5" x14ac:dyDescent="0.25">
      <c r="A116" s="7">
        <v>11237.789680870874</v>
      </c>
      <c r="C116" s="1">
        <f>C117-1</f>
        <v>475</v>
      </c>
    </row>
    <row r="117" spans="1:5" x14ac:dyDescent="0.25">
      <c r="A117" s="7">
        <v>11017.440863598895</v>
      </c>
      <c r="C117" s="1">
        <f>C121</f>
        <v>476</v>
      </c>
      <c r="D117" s="1">
        <f>D121</f>
        <v>182</v>
      </c>
    </row>
    <row r="118" spans="1:5" x14ac:dyDescent="0.25">
      <c r="A118" s="7">
        <v>10801.412611371465</v>
      </c>
      <c r="C118" s="1">
        <f>C117+1</f>
        <v>477</v>
      </c>
      <c r="D118" s="1">
        <f>D117+1</f>
        <v>183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476</v>
      </c>
      <c r="D121" s="19">
        <v>182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R476</v>
      </c>
      <c r="D123" s="1" t="str">
        <f>"C"&amp;D121</f>
        <v>C182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9.0078068568460168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140" x14ac:dyDescent="0.25">
      <c r="A369" s="7">
        <v>74.961357735566622</v>
      </c>
      <c r="B369"/>
      <c r="C369"/>
      <c r="D369"/>
      <c r="E369"/>
    </row>
    <row r="370" spans="1:140" x14ac:dyDescent="0.25">
      <c r="A370" s="7">
        <v>73.491527191731976</v>
      </c>
      <c r="B370"/>
      <c r="C370"/>
      <c r="D370"/>
      <c r="E370"/>
    </row>
    <row r="371" spans="1:140" x14ac:dyDescent="0.25">
      <c r="A371" s="7">
        <v>72.050516854639184</v>
      </c>
      <c r="B371"/>
      <c r="C371"/>
      <c r="D371"/>
      <c r="E371"/>
    </row>
    <row r="372" spans="1:140" x14ac:dyDescent="0.25">
      <c r="A372" s="7">
        <v>70.637761622195271</v>
      </c>
      <c r="B372"/>
      <c r="C372"/>
      <c r="D372"/>
      <c r="E372"/>
    </row>
    <row r="373" spans="1:140" x14ac:dyDescent="0.25">
      <c r="A373" s="7">
        <v>69.252707472740454</v>
      </c>
      <c r="B373"/>
      <c r="C373"/>
      <c r="D373"/>
      <c r="E373"/>
    </row>
    <row r="374" spans="1:140" x14ac:dyDescent="0.25">
      <c r="A374" s="7">
        <v>67.894811247784759</v>
      </c>
      <c r="B374"/>
      <c r="C374"/>
      <c r="D374"/>
      <c r="E374"/>
    </row>
    <row r="375" spans="1:140" x14ac:dyDescent="0.25">
      <c r="A375" s="7">
        <v>66.563540439004669</v>
      </c>
      <c r="B375"/>
      <c r="C375"/>
      <c r="D375"/>
      <c r="E375"/>
    </row>
    <row r="376" spans="1:140" x14ac:dyDescent="0.25">
      <c r="A376" s="7">
        <v>65.258372979416336</v>
      </c>
      <c r="B376"/>
      <c r="C376"/>
      <c r="D376"/>
      <c r="E376"/>
    </row>
    <row r="377" spans="1:140" x14ac:dyDescent="0.25">
      <c r="A377" s="7">
        <v>63.978797038643471</v>
      </c>
      <c r="B377"/>
      <c r="C377"/>
      <c r="D377"/>
      <c r="E377"/>
    </row>
    <row r="378" spans="1:140" x14ac:dyDescent="0.25">
      <c r="A378" s="7">
        <v>62.724310822199477</v>
      </c>
      <c r="B378"/>
      <c r="C378"/>
      <c r="D378"/>
      <c r="E378"/>
    </row>
    <row r="379" spans="1:140" x14ac:dyDescent="0.25">
      <c r="A379" s="7">
        <v>61.494422374705366</v>
      </c>
      <c r="B379"/>
      <c r="C379"/>
      <c r="D379"/>
      <c r="E379"/>
    </row>
    <row r="380" spans="1:140" x14ac:dyDescent="0.25">
      <c r="A380" s="7">
        <v>60.288649386966043</v>
      </c>
      <c r="B380"/>
      <c r="C380"/>
      <c r="D380"/>
      <c r="E380" t="s">
        <v>8</v>
      </c>
    </row>
    <row r="381" spans="1:140" x14ac:dyDescent="0.25">
      <c r="A381" s="7">
        <v>59.106519006829451</v>
      </c>
      <c r="B381"/>
      <c r="C381"/>
      <c r="D381"/>
      <c r="E381" t="s">
        <v>8</v>
      </c>
      <c r="F381" s="27" t="s">
        <v>7</v>
      </c>
    </row>
    <row r="382" spans="1:140" x14ac:dyDescent="0.25">
      <c r="A382" s="7">
        <v>57.947567653754362</v>
      </c>
      <c r="B382"/>
      <c r="C382"/>
      <c r="D382"/>
      <c r="E382" t="s">
        <v>8</v>
      </c>
      <c r="F382" s="27" t="s">
        <v>7</v>
      </c>
    </row>
    <row r="383" spans="1:140" x14ac:dyDescent="0.25">
      <c r="A383" s="7">
        <v>56.811340837014079</v>
      </c>
      <c r="B383"/>
      <c r="C383"/>
      <c r="D383"/>
      <c r="E383" t="s">
        <v>8</v>
      </c>
      <c r="F383" s="27" t="s">
        <v>7</v>
      </c>
      <c r="EI383" s="27" t="s">
        <v>8</v>
      </c>
    </row>
    <row r="384" spans="1:140" x14ac:dyDescent="0.25">
      <c r="A384" s="7">
        <v>55.69739297746478</v>
      </c>
      <c r="B384"/>
      <c r="C384"/>
      <c r="D384"/>
      <c r="E384" t="s">
        <v>8</v>
      </c>
      <c r="F384" s="27" t="s">
        <v>7</v>
      </c>
      <c r="EI384" s="27" t="s">
        <v>8</v>
      </c>
      <c r="EJ384" s="27" t="s">
        <v>7</v>
      </c>
    </row>
    <row r="385" spans="1:141" x14ac:dyDescent="0.25">
      <c r="A385" s="7">
        <v>54.605287232808607</v>
      </c>
      <c r="B385"/>
      <c r="C385"/>
      <c r="D385"/>
      <c r="E385" t="s">
        <v>8</v>
      </c>
      <c r="F385" s="27" t="s">
        <v>7</v>
      </c>
      <c r="EI385" s="27" t="s">
        <v>8</v>
      </c>
      <c r="EJ385" s="27" t="s">
        <v>7</v>
      </c>
    </row>
    <row r="386" spans="1:141" x14ac:dyDescent="0.25">
      <c r="A386" s="7">
        <v>53.534595326282947</v>
      </c>
      <c r="B386"/>
      <c r="C386"/>
      <c r="D386"/>
      <c r="E386" t="s">
        <v>8</v>
      </c>
      <c r="F386" s="27" t="s">
        <v>7</v>
      </c>
      <c r="G386" s="27" t="s">
        <v>8</v>
      </c>
      <c r="AC386" s="27" t="s">
        <v>8</v>
      </c>
      <c r="EI386" s="27" t="s">
        <v>8</v>
      </c>
      <c r="EJ386" s="27" t="s">
        <v>7</v>
      </c>
    </row>
    <row r="387" spans="1:141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G387" s="27" t="s">
        <v>8</v>
      </c>
      <c r="H387" s="27" t="s">
        <v>7</v>
      </c>
      <c r="I387" s="27" t="s">
        <v>8</v>
      </c>
      <c r="AC387" s="27" t="s">
        <v>8</v>
      </c>
      <c r="AD387" s="27" t="s">
        <v>7</v>
      </c>
      <c r="EI387" s="27" t="s">
        <v>8</v>
      </c>
      <c r="EJ387" s="27" t="s">
        <v>7</v>
      </c>
    </row>
    <row r="388" spans="1:141" x14ac:dyDescent="0.25">
      <c r="A388" s="7">
        <v>51.455781743832127</v>
      </c>
      <c r="B388"/>
      <c r="C388"/>
      <c r="D388"/>
      <c r="E388" t="s">
        <v>8</v>
      </c>
      <c r="F388" s="27" t="s">
        <v>7</v>
      </c>
      <c r="G388" s="27" t="s">
        <v>8</v>
      </c>
      <c r="H388" s="27" t="s">
        <v>7</v>
      </c>
      <c r="I388" s="27" t="s">
        <v>8</v>
      </c>
      <c r="J388" s="27" t="s">
        <v>7</v>
      </c>
      <c r="AC388" s="27" t="s">
        <v>8</v>
      </c>
      <c r="AD388" s="27" t="s">
        <v>7</v>
      </c>
      <c r="EI388" s="27" t="s">
        <v>8</v>
      </c>
      <c r="EJ388" s="27" t="s">
        <v>7</v>
      </c>
    </row>
    <row r="389" spans="1:141" x14ac:dyDescent="0.25">
      <c r="A389" s="7">
        <v>50.446844846894244</v>
      </c>
      <c r="B389"/>
      <c r="C389"/>
      <c r="D389"/>
      <c r="E389" t="s">
        <v>8</v>
      </c>
      <c r="F389" s="27" t="s">
        <v>7</v>
      </c>
      <c r="G389" s="27" t="s">
        <v>8</v>
      </c>
      <c r="H389" s="27" t="s">
        <v>7</v>
      </c>
      <c r="I389" s="27" t="s">
        <v>8</v>
      </c>
      <c r="J389" s="27" t="s">
        <v>7</v>
      </c>
      <c r="AC389" s="27" t="s">
        <v>8</v>
      </c>
      <c r="AD389" s="27" t="s">
        <v>7</v>
      </c>
      <c r="EI389" s="27" t="s">
        <v>8</v>
      </c>
      <c r="EJ389" s="27" t="s">
        <v>7</v>
      </c>
    </row>
    <row r="390" spans="1:141" x14ac:dyDescent="0.25">
      <c r="A390" s="7">
        <v>49.457691026366902</v>
      </c>
      <c r="B390"/>
      <c r="C390"/>
      <c r="D390"/>
      <c r="E390" t="s">
        <v>8</v>
      </c>
      <c r="F390" s="27" t="s">
        <v>7</v>
      </c>
      <c r="G390" s="27" t="s">
        <v>8</v>
      </c>
      <c r="H390" s="27" t="s">
        <v>7</v>
      </c>
      <c r="I390" s="27" t="s">
        <v>8</v>
      </c>
      <c r="J390" s="27" t="s">
        <v>7</v>
      </c>
      <c r="M390" s="27" t="s">
        <v>8</v>
      </c>
      <c r="AC390" s="27" t="s">
        <v>8</v>
      </c>
      <c r="AD390" s="27" t="s">
        <v>7</v>
      </c>
      <c r="EI390" s="27" t="s">
        <v>8</v>
      </c>
      <c r="EJ390" s="27" t="s">
        <v>7</v>
      </c>
    </row>
    <row r="391" spans="1:141" x14ac:dyDescent="0.25">
      <c r="A391" s="7">
        <v>48.487932378791079</v>
      </c>
      <c r="B391"/>
      <c r="C391"/>
      <c r="D391"/>
      <c r="E391" t="s">
        <v>8</v>
      </c>
      <c r="F391" s="27" t="s">
        <v>7</v>
      </c>
      <c r="G391" s="27" t="s">
        <v>8</v>
      </c>
      <c r="H391" s="27" t="s">
        <v>7</v>
      </c>
      <c r="I391" s="27" t="s">
        <v>8</v>
      </c>
      <c r="J391" s="27" t="s">
        <v>7</v>
      </c>
      <c r="K391" s="27" t="s">
        <v>8</v>
      </c>
      <c r="M391" s="27" t="s">
        <v>8</v>
      </c>
      <c r="N391" s="27" t="s">
        <v>7</v>
      </c>
      <c r="W391" s="27" t="s">
        <v>8</v>
      </c>
      <c r="AC391" s="27" t="s">
        <v>8</v>
      </c>
      <c r="AD391" s="27" t="s">
        <v>7</v>
      </c>
      <c r="EI391" s="27" t="s">
        <v>8</v>
      </c>
      <c r="EJ391" s="27" t="s">
        <v>7</v>
      </c>
    </row>
    <row r="392" spans="1:141" x14ac:dyDescent="0.25">
      <c r="A392" s="7">
        <v>47.537188606657921</v>
      </c>
      <c r="B392"/>
      <c r="C392"/>
      <c r="D392"/>
      <c r="E392" t="s">
        <v>8</v>
      </c>
      <c r="F392" s="27" t="s">
        <v>7</v>
      </c>
      <c r="G392" s="27" t="s">
        <v>8</v>
      </c>
      <c r="H392" s="27" t="s">
        <v>7</v>
      </c>
      <c r="I392" s="27" t="s">
        <v>8</v>
      </c>
      <c r="J392" s="27" t="s">
        <v>7</v>
      </c>
      <c r="K392" s="27" t="s">
        <v>8</v>
      </c>
      <c r="L392" s="27" t="s">
        <v>7</v>
      </c>
      <c r="M392" s="27" t="s">
        <v>8</v>
      </c>
      <c r="N392" s="27" t="s">
        <v>7</v>
      </c>
      <c r="O392" s="27" t="s">
        <v>8</v>
      </c>
      <c r="W392" s="27" t="s">
        <v>8</v>
      </c>
      <c r="X392" s="27" t="s">
        <v>7</v>
      </c>
      <c r="AC392" s="27" t="s">
        <v>8</v>
      </c>
      <c r="AD392" s="27" t="s">
        <v>7</v>
      </c>
      <c r="AQ392" s="27" t="s">
        <v>8</v>
      </c>
      <c r="EI392" s="27" t="s">
        <v>8</v>
      </c>
      <c r="EJ392" s="27" t="s">
        <v>7</v>
      </c>
    </row>
    <row r="393" spans="1:141" x14ac:dyDescent="0.25">
      <c r="A393" s="7">
        <v>46.605086869272469</v>
      </c>
      <c r="B393"/>
      <c r="C393"/>
      <c r="D393"/>
      <c r="E393" t="s">
        <v>8</v>
      </c>
      <c r="F393" s="27" t="s">
        <v>7</v>
      </c>
      <c r="G393" s="27" t="s">
        <v>8</v>
      </c>
      <c r="H393" s="27" t="s">
        <v>7</v>
      </c>
      <c r="J393" s="27" t="s">
        <v>7</v>
      </c>
      <c r="K393" s="27" t="s">
        <v>8</v>
      </c>
      <c r="L393" s="27" t="s">
        <v>7</v>
      </c>
      <c r="M393" s="27" t="s">
        <v>8</v>
      </c>
      <c r="N393" s="27" t="s">
        <v>7</v>
      </c>
      <c r="O393" s="27" t="s">
        <v>8</v>
      </c>
      <c r="P393" s="27" t="s">
        <v>7</v>
      </c>
      <c r="W393" s="27" t="s">
        <v>8</v>
      </c>
      <c r="X393" s="27" t="s">
        <v>7</v>
      </c>
      <c r="AC393" s="27" t="s">
        <v>8</v>
      </c>
      <c r="AD393" s="27" t="s">
        <v>7</v>
      </c>
      <c r="AQ393" s="27" t="s">
        <v>8</v>
      </c>
      <c r="AR393" s="27" t="s">
        <v>7</v>
      </c>
      <c r="EI393" s="27" t="s">
        <v>8</v>
      </c>
      <c r="EJ393" s="27" t="s">
        <v>7</v>
      </c>
    </row>
    <row r="394" spans="1:141" x14ac:dyDescent="0.25">
      <c r="A394" s="7">
        <v>45.691261636541633</v>
      </c>
      <c r="B394"/>
      <c r="C394"/>
      <c r="D394"/>
      <c r="E394" t="s">
        <v>8</v>
      </c>
      <c r="F394" s="27" t="s">
        <v>7</v>
      </c>
      <c r="G394" s="27" t="s">
        <v>8</v>
      </c>
      <c r="J394" s="27" t="s">
        <v>7</v>
      </c>
      <c r="K394" s="27" t="s">
        <v>8</v>
      </c>
      <c r="L394" s="27" t="s">
        <v>7</v>
      </c>
      <c r="M394" s="27" t="s">
        <v>8</v>
      </c>
      <c r="N394" s="27" t="s">
        <v>7</v>
      </c>
      <c r="O394" s="27" t="s">
        <v>8</v>
      </c>
      <c r="P394" s="27" t="s">
        <v>7</v>
      </c>
      <c r="W394" s="27" t="s">
        <v>8</v>
      </c>
      <c r="X394" s="27" t="s">
        <v>7</v>
      </c>
      <c r="AC394" s="27" t="s">
        <v>8</v>
      </c>
      <c r="AD394" s="27" t="s">
        <v>7</v>
      </c>
      <c r="AQ394" s="27" t="s">
        <v>8</v>
      </c>
      <c r="AR394" s="27" t="s">
        <v>7</v>
      </c>
      <c r="EI394" s="27" t="s">
        <v>8</v>
      </c>
      <c r="EJ394" s="27" t="s">
        <v>7</v>
      </c>
    </row>
    <row r="395" spans="1:141" x14ac:dyDescent="0.25">
      <c r="A395" s="7">
        <v>44.795354545629053</v>
      </c>
      <c r="B395"/>
      <c r="C395"/>
      <c r="D395"/>
      <c r="E395" t="s">
        <v>8</v>
      </c>
      <c r="F395" s="27" t="s">
        <v>7</v>
      </c>
      <c r="J395" s="27" t="s">
        <v>7</v>
      </c>
      <c r="K395" s="27" t="s">
        <v>8</v>
      </c>
      <c r="L395" s="27" t="s">
        <v>7</v>
      </c>
      <c r="M395" s="27" t="s">
        <v>8</v>
      </c>
      <c r="N395" s="27" t="s">
        <v>7</v>
      </c>
      <c r="O395" s="27" t="s">
        <v>8</v>
      </c>
      <c r="P395" s="27" t="s">
        <v>7</v>
      </c>
      <c r="W395" s="27" t="s">
        <v>8</v>
      </c>
      <c r="X395" s="27" t="s">
        <v>7</v>
      </c>
      <c r="AA395" s="27" t="s">
        <v>8</v>
      </c>
      <c r="AC395" s="27" t="s">
        <v>8</v>
      </c>
      <c r="AD395" s="27" t="s">
        <v>7</v>
      </c>
      <c r="AQ395" s="27" t="s">
        <v>8</v>
      </c>
      <c r="AR395" s="27" t="s">
        <v>7</v>
      </c>
      <c r="DW395" s="27" t="s">
        <v>8</v>
      </c>
      <c r="EI395" s="27" t="s">
        <v>8</v>
      </c>
      <c r="EJ395" s="27" t="s">
        <v>7</v>
      </c>
    </row>
    <row r="396" spans="1:141" x14ac:dyDescent="0.25">
      <c r="A396" s="7">
        <v>43.917014260420636</v>
      </c>
      <c r="B396"/>
      <c r="C396"/>
      <c r="D396"/>
      <c r="E396" t="s">
        <v>8</v>
      </c>
      <c r="J396" s="27" t="s">
        <v>7</v>
      </c>
      <c r="K396" s="27" t="s">
        <v>8</v>
      </c>
      <c r="L396" s="27" t="s">
        <v>7</v>
      </c>
      <c r="M396" s="27" t="s">
        <v>8</v>
      </c>
      <c r="N396" s="27" t="s">
        <v>7</v>
      </c>
      <c r="O396" s="27" t="s">
        <v>8</v>
      </c>
      <c r="P396" s="27" t="s">
        <v>7</v>
      </c>
      <c r="W396" s="27" t="s">
        <v>8</v>
      </c>
      <c r="X396" s="27" t="s">
        <v>7</v>
      </c>
      <c r="Y396" s="27" t="s">
        <v>8</v>
      </c>
      <c r="AA396" s="27" t="s">
        <v>8</v>
      </c>
      <c r="AB396" s="27" t="s">
        <v>7</v>
      </c>
      <c r="AC396" s="27" t="s">
        <v>8</v>
      </c>
      <c r="AD396" s="27" t="s">
        <v>7</v>
      </c>
      <c r="AQ396" s="27" t="s">
        <v>8</v>
      </c>
      <c r="AR396" s="27" t="s">
        <v>7</v>
      </c>
      <c r="DW396" s="27" t="s">
        <v>8</v>
      </c>
      <c r="DX396" s="27" t="s">
        <v>7</v>
      </c>
      <c r="EI396" s="27" t="s">
        <v>8</v>
      </c>
      <c r="EJ396" s="27" t="s">
        <v>7</v>
      </c>
    </row>
    <row r="397" spans="1:141" x14ac:dyDescent="0.25">
      <c r="A397" s="7">
        <v>43.055896333745721</v>
      </c>
      <c r="B397"/>
      <c r="C397"/>
      <c r="D397"/>
      <c r="E397" t="s">
        <v>8</v>
      </c>
      <c r="J397" s="27" t="s">
        <v>7</v>
      </c>
      <c r="K397" s="27" t="s">
        <v>8</v>
      </c>
      <c r="L397" s="27" t="s">
        <v>7</v>
      </c>
      <c r="N397" s="27" t="s">
        <v>7</v>
      </c>
      <c r="O397" s="27" t="s">
        <v>8</v>
      </c>
      <c r="P397" s="27" t="s">
        <v>7</v>
      </c>
      <c r="W397" s="27" t="s">
        <v>8</v>
      </c>
      <c r="X397" s="27" t="s">
        <v>7</v>
      </c>
      <c r="Y397" s="27" t="s">
        <v>8</v>
      </c>
      <c r="Z397" s="27" t="s">
        <v>7</v>
      </c>
      <c r="AA397" s="27" t="s">
        <v>8</v>
      </c>
      <c r="AB397" s="27" t="s">
        <v>7</v>
      </c>
      <c r="AC397" s="27" t="s">
        <v>8</v>
      </c>
      <c r="AD397" s="27" t="s">
        <v>7</v>
      </c>
      <c r="AQ397" s="27" t="s">
        <v>8</v>
      </c>
      <c r="AR397" s="27" t="s">
        <v>7</v>
      </c>
      <c r="DW397" s="27" t="s">
        <v>8</v>
      </c>
      <c r="DX397" s="27" t="s">
        <v>7</v>
      </c>
      <c r="EI397" s="27" t="s">
        <v>8</v>
      </c>
      <c r="EJ397" s="27" t="s">
        <v>7</v>
      </c>
    </row>
    <row r="398" spans="1:141" x14ac:dyDescent="0.25">
      <c r="A398" s="7">
        <v>42.211663072299729</v>
      </c>
      <c r="B398"/>
      <c r="C398"/>
      <c r="D398"/>
      <c r="E398" t="s">
        <v>8</v>
      </c>
      <c r="J398" s="27" t="s">
        <v>7</v>
      </c>
      <c r="N398" s="27" t="s">
        <v>7</v>
      </c>
      <c r="O398" s="27" t="s">
        <v>8</v>
      </c>
      <c r="P398" s="27" t="s">
        <v>7</v>
      </c>
      <c r="W398" s="27" t="s">
        <v>8</v>
      </c>
      <c r="X398" s="27" t="s">
        <v>7</v>
      </c>
      <c r="Y398" s="27" t="s">
        <v>8</v>
      </c>
      <c r="Z398" s="27" t="s">
        <v>7</v>
      </c>
      <c r="AA398" s="27" t="s">
        <v>8</v>
      </c>
      <c r="AB398" s="27" t="s">
        <v>7</v>
      </c>
      <c r="AC398" s="27" t="s">
        <v>8</v>
      </c>
      <c r="AD398" s="27" t="s">
        <v>7</v>
      </c>
      <c r="AQ398" s="27" t="s">
        <v>8</v>
      </c>
      <c r="AR398" s="27" t="s">
        <v>7</v>
      </c>
      <c r="DW398" s="27" t="s">
        <v>8</v>
      </c>
      <c r="DX398" s="27" t="s">
        <v>7</v>
      </c>
      <c r="EI398" s="27" t="s">
        <v>8</v>
      </c>
      <c r="EJ398" s="27" t="s">
        <v>7</v>
      </c>
    </row>
    <row r="399" spans="1:141" x14ac:dyDescent="0.25">
      <c r="A399" s="7">
        <v>41.383983404215421</v>
      </c>
      <c r="B399"/>
      <c r="C399"/>
      <c r="D399"/>
      <c r="E399" t="s">
        <v>8</v>
      </c>
      <c r="N399" s="27" t="s">
        <v>7</v>
      </c>
      <c r="O399" s="27" t="s">
        <v>8</v>
      </c>
      <c r="P399" s="27" t="s">
        <v>7</v>
      </c>
      <c r="Q399" s="27" t="s">
        <v>8</v>
      </c>
      <c r="W399" s="27" t="s">
        <v>8</v>
      </c>
      <c r="X399" s="27" t="s">
        <v>7</v>
      </c>
      <c r="Y399" s="27" t="s">
        <v>8</v>
      </c>
      <c r="Z399" s="27" t="s">
        <v>7</v>
      </c>
      <c r="AA399" s="27" t="s">
        <v>8</v>
      </c>
      <c r="AB399" s="27" t="s">
        <v>7</v>
      </c>
      <c r="AC399" s="27" t="s">
        <v>8</v>
      </c>
      <c r="AD399" s="27" t="s">
        <v>7</v>
      </c>
      <c r="AQ399" s="27" t="s">
        <v>8</v>
      </c>
      <c r="AR399" s="27" t="s">
        <v>7</v>
      </c>
      <c r="DW399" s="27" t="s">
        <v>8</v>
      </c>
      <c r="DX399" s="27" t="s">
        <v>7</v>
      </c>
      <c r="EI399" s="27" t="s">
        <v>8</v>
      </c>
      <c r="EJ399" s="27" t="s">
        <v>7</v>
      </c>
    </row>
    <row r="400" spans="1:141" x14ac:dyDescent="0.25">
      <c r="A400" s="7">
        <v>40.572532749230803</v>
      </c>
      <c r="B400"/>
      <c r="C400"/>
      <c r="D400"/>
      <c r="E400" t="s">
        <v>8</v>
      </c>
      <c r="N400" s="27" t="s">
        <v>7</v>
      </c>
      <c r="P400" s="27" t="s">
        <v>7</v>
      </c>
      <c r="Q400" s="27" t="s">
        <v>8</v>
      </c>
      <c r="R400" s="27" t="s">
        <v>7</v>
      </c>
      <c r="U400" s="27" t="s">
        <v>8</v>
      </c>
      <c r="W400" s="27" t="s">
        <v>8</v>
      </c>
      <c r="X400" s="27" t="s">
        <v>7</v>
      </c>
      <c r="Y400" s="27" t="s">
        <v>8</v>
      </c>
      <c r="Z400" s="27" t="s">
        <v>7</v>
      </c>
      <c r="AA400" s="27" t="s">
        <v>8</v>
      </c>
      <c r="AB400" s="27" t="s">
        <v>7</v>
      </c>
      <c r="AD400" s="27" t="s">
        <v>7</v>
      </c>
      <c r="AQ400" s="27" t="s">
        <v>8</v>
      </c>
      <c r="AR400" s="27" t="s">
        <v>7</v>
      </c>
      <c r="DW400" s="27" t="s">
        <v>8</v>
      </c>
      <c r="DX400" s="27" t="s">
        <v>7</v>
      </c>
      <c r="EI400" s="27" t="s">
        <v>8</v>
      </c>
      <c r="EJ400" s="27" t="s">
        <v>7</v>
      </c>
      <c r="EK400" s="27" t="s">
        <v>8</v>
      </c>
    </row>
    <row r="401" spans="1:151" x14ac:dyDescent="0.25">
      <c r="A401" s="7">
        <v>39.776992891402749</v>
      </c>
      <c r="B401"/>
      <c r="C401"/>
      <c r="D401"/>
      <c r="E401" t="s">
        <v>8</v>
      </c>
      <c r="P401" s="27" t="s">
        <v>7</v>
      </c>
      <c r="Q401" s="27" t="s">
        <v>8</v>
      </c>
      <c r="R401" s="27" t="s">
        <v>7</v>
      </c>
      <c r="U401" s="27" t="s">
        <v>8</v>
      </c>
      <c r="V401" s="27" t="s">
        <v>7</v>
      </c>
      <c r="W401" s="27" t="s">
        <v>8</v>
      </c>
      <c r="X401" s="27" t="s">
        <v>7</v>
      </c>
      <c r="Y401" s="27" t="s">
        <v>8</v>
      </c>
      <c r="Z401" s="27" t="s">
        <v>7</v>
      </c>
      <c r="AA401" s="27" t="s">
        <v>8</v>
      </c>
      <c r="AD401" s="27" t="s">
        <v>7</v>
      </c>
      <c r="AQ401" s="27" t="s">
        <v>8</v>
      </c>
      <c r="AR401" s="27" t="s">
        <v>7</v>
      </c>
      <c r="DW401" s="27" t="s">
        <v>8</v>
      </c>
      <c r="DX401" s="27" t="s">
        <v>7</v>
      </c>
      <c r="EI401" s="27" t="s">
        <v>8</v>
      </c>
      <c r="EJ401" s="27" t="s">
        <v>7</v>
      </c>
      <c r="EK401" s="27" t="s">
        <v>8</v>
      </c>
      <c r="EL401" s="27" t="s">
        <v>7</v>
      </c>
    </row>
    <row r="402" spans="1:151" x14ac:dyDescent="0.25">
      <c r="A402" s="7">
        <v>38.997051854316418</v>
      </c>
      <c r="B402"/>
      <c r="C402"/>
      <c r="D402"/>
      <c r="E402" t="s">
        <v>8</v>
      </c>
      <c r="P402" s="27" t="s">
        <v>7</v>
      </c>
      <c r="Q402" s="27" t="s">
        <v>8</v>
      </c>
      <c r="R402" s="27" t="s">
        <v>7</v>
      </c>
      <c r="U402" s="27" t="s">
        <v>8</v>
      </c>
      <c r="V402" s="27" t="s">
        <v>7</v>
      </c>
      <c r="W402" s="27" t="s">
        <v>8</v>
      </c>
      <c r="X402" s="27" t="s">
        <v>7</v>
      </c>
      <c r="Z402" s="27" t="s">
        <v>7</v>
      </c>
      <c r="AA402" s="27" t="s">
        <v>8</v>
      </c>
      <c r="AD402" s="27" t="s">
        <v>7</v>
      </c>
      <c r="AQ402" s="27" t="s">
        <v>8</v>
      </c>
      <c r="AR402" s="27" t="s">
        <v>7</v>
      </c>
      <c r="DW402" s="27" t="s">
        <v>8</v>
      </c>
      <c r="DX402" s="27" t="s">
        <v>7</v>
      </c>
      <c r="EI402" s="27" t="s">
        <v>8</v>
      </c>
      <c r="EJ402" s="27" t="s">
        <v>7</v>
      </c>
      <c r="EK402" s="27" t="s">
        <v>8</v>
      </c>
      <c r="EL402" s="27" t="s">
        <v>7</v>
      </c>
    </row>
    <row r="403" spans="1:151" x14ac:dyDescent="0.25">
      <c r="A403" s="7">
        <v>38.232403778741585</v>
      </c>
      <c r="B403"/>
      <c r="C403"/>
      <c r="D403"/>
      <c r="E403" t="s">
        <v>8</v>
      </c>
      <c r="P403" s="27" t="s">
        <v>7</v>
      </c>
      <c r="Q403" s="27" t="s">
        <v>8</v>
      </c>
      <c r="R403" s="27" t="s">
        <v>7</v>
      </c>
      <c r="S403" s="27" t="s">
        <v>8</v>
      </c>
      <c r="U403" s="27" t="s">
        <v>8</v>
      </c>
      <c r="V403" s="27" t="s">
        <v>7</v>
      </c>
      <c r="W403" s="27" t="s">
        <v>8</v>
      </c>
      <c r="Z403" s="27" t="s">
        <v>7</v>
      </c>
      <c r="AA403" s="27" t="s">
        <v>8</v>
      </c>
      <c r="AD403" s="27" t="s">
        <v>7</v>
      </c>
      <c r="AK403" s="27" t="s">
        <v>8</v>
      </c>
      <c r="AQ403" s="27" t="s">
        <v>8</v>
      </c>
      <c r="AR403" s="27" t="s">
        <v>7</v>
      </c>
      <c r="AS403" s="27" t="s">
        <v>8</v>
      </c>
      <c r="DW403" s="27" t="s">
        <v>8</v>
      </c>
      <c r="DX403" s="27" t="s">
        <v>7</v>
      </c>
      <c r="EI403" s="27" t="s">
        <v>8</v>
      </c>
      <c r="EJ403" s="27" t="s">
        <v>7</v>
      </c>
      <c r="EK403" s="27" t="s">
        <v>8</v>
      </c>
      <c r="EL403" s="27" t="s">
        <v>7</v>
      </c>
    </row>
    <row r="404" spans="1:151" x14ac:dyDescent="0.25">
      <c r="A404" s="7">
        <v>37.48274880268783</v>
      </c>
      <c r="B404"/>
      <c r="C404"/>
      <c r="D404"/>
      <c r="E404" t="s">
        <v>8</v>
      </c>
      <c r="P404" s="27" t="s">
        <v>7</v>
      </c>
      <c r="Q404" s="27" t="s">
        <v>8</v>
      </c>
      <c r="R404" s="27" t="s">
        <v>7</v>
      </c>
      <c r="S404" s="27" t="s">
        <v>8</v>
      </c>
      <c r="T404" s="27" t="s">
        <v>7</v>
      </c>
      <c r="U404" s="27" t="s">
        <v>8</v>
      </c>
      <c r="V404" s="27" t="s">
        <v>7</v>
      </c>
      <c r="W404" s="27" t="s">
        <v>8</v>
      </c>
      <c r="Z404" s="27" t="s">
        <v>7</v>
      </c>
      <c r="AD404" s="27" t="s">
        <v>7</v>
      </c>
      <c r="AK404" s="27" t="s">
        <v>8</v>
      </c>
      <c r="AL404" s="27" t="s">
        <v>7</v>
      </c>
      <c r="AM404" s="27" t="s">
        <v>8</v>
      </c>
      <c r="AQ404" s="27" t="s">
        <v>8</v>
      </c>
      <c r="AR404" s="27" t="s">
        <v>7</v>
      </c>
      <c r="AS404" s="27" t="s">
        <v>8</v>
      </c>
      <c r="AT404" s="27" t="s">
        <v>7</v>
      </c>
      <c r="AU404" s="27" t="s">
        <v>8</v>
      </c>
      <c r="DW404" s="27" t="s">
        <v>8</v>
      </c>
      <c r="DX404" s="27" t="s">
        <v>7</v>
      </c>
      <c r="EI404" s="27" t="s">
        <v>8</v>
      </c>
      <c r="EJ404" s="27" t="s">
        <v>7</v>
      </c>
      <c r="EK404" s="27" t="s">
        <v>8</v>
      </c>
      <c r="EL404" s="27" t="s">
        <v>7</v>
      </c>
    </row>
    <row r="405" spans="1:151" x14ac:dyDescent="0.25">
      <c r="A405" s="7">
        <v>36.747792943811596</v>
      </c>
      <c r="B405"/>
      <c r="C405"/>
      <c r="D405"/>
      <c r="E405" t="s">
        <v>8</v>
      </c>
      <c r="P405" s="27" t="s">
        <v>7</v>
      </c>
      <c r="Q405" s="27" t="s">
        <v>8</v>
      </c>
      <c r="R405" s="27" t="s">
        <v>7</v>
      </c>
      <c r="S405" s="27" t="s">
        <v>8</v>
      </c>
      <c r="T405" s="27" t="s">
        <v>7</v>
      </c>
      <c r="U405" s="27" t="s">
        <v>8</v>
      </c>
      <c r="V405" s="27" t="s">
        <v>7</v>
      </c>
      <c r="AD405" s="27" t="s">
        <v>7</v>
      </c>
      <c r="AK405" s="27" t="s">
        <v>8</v>
      </c>
      <c r="AL405" s="27" t="s">
        <v>7</v>
      </c>
      <c r="AM405" s="27" t="s">
        <v>8</v>
      </c>
      <c r="AN405" s="27" t="s">
        <v>7</v>
      </c>
      <c r="AQ405" s="27" t="s">
        <v>8</v>
      </c>
      <c r="AR405" s="27" t="s">
        <v>7</v>
      </c>
      <c r="AS405" s="27" t="s">
        <v>8</v>
      </c>
      <c r="AT405" s="27" t="s">
        <v>7</v>
      </c>
      <c r="AU405" s="27" t="s">
        <v>8</v>
      </c>
      <c r="AV405" s="27" t="s">
        <v>7</v>
      </c>
      <c r="DW405" s="27" t="s">
        <v>8</v>
      </c>
      <c r="DX405" s="27" t="s">
        <v>7</v>
      </c>
      <c r="EI405" s="27" t="s">
        <v>8</v>
      </c>
      <c r="EJ405" s="27" t="s">
        <v>7</v>
      </c>
      <c r="EK405" s="27" t="s">
        <v>8</v>
      </c>
      <c r="EL405" s="27" t="s">
        <v>7</v>
      </c>
    </row>
    <row r="406" spans="1:151" x14ac:dyDescent="0.25">
      <c r="A406" s="7">
        <v>36.027247984129012</v>
      </c>
      <c r="B406"/>
      <c r="C406"/>
      <c r="D406"/>
      <c r="E406" t="s">
        <v>8</v>
      </c>
      <c r="P406" s="27" t="s">
        <v>7</v>
      </c>
      <c r="Q406" s="27" t="s">
        <v>8</v>
      </c>
      <c r="R406" s="27" t="s">
        <v>7</v>
      </c>
      <c r="S406" s="27" t="s">
        <v>8</v>
      </c>
      <c r="T406" s="27" t="s">
        <v>7</v>
      </c>
      <c r="U406" s="27" t="s">
        <v>8</v>
      </c>
      <c r="AD406" s="27" t="s">
        <v>7</v>
      </c>
      <c r="AI406" s="27" t="s">
        <v>8</v>
      </c>
      <c r="AK406" s="27" t="s">
        <v>8</v>
      </c>
      <c r="AL406" s="27" t="s">
        <v>7</v>
      </c>
      <c r="AM406" s="27" t="s">
        <v>8</v>
      </c>
      <c r="AN406" s="27" t="s">
        <v>7</v>
      </c>
      <c r="AQ406" s="27" t="s">
        <v>8</v>
      </c>
      <c r="AR406" s="27" t="s">
        <v>7</v>
      </c>
      <c r="AS406" s="27" t="s">
        <v>8</v>
      </c>
      <c r="AT406" s="27" t="s">
        <v>7</v>
      </c>
      <c r="AU406" s="27" t="s">
        <v>8</v>
      </c>
      <c r="AV406" s="27" t="s">
        <v>7</v>
      </c>
      <c r="DW406" s="27" t="s">
        <v>8</v>
      </c>
      <c r="DX406" s="27" t="s">
        <v>7</v>
      </c>
      <c r="EI406" s="27" t="s">
        <v>8</v>
      </c>
      <c r="EJ406" s="27" t="s">
        <v>7</v>
      </c>
      <c r="EK406" s="27" t="s">
        <v>8</v>
      </c>
      <c r="EL406" s="27" t="s">
        <v>7</v>
      </c>
      <c r="EO406" s="27" t="s">
        <v>8</v>
      </c>
    </row>
    <row r="407" spans="1:151" x14ac:dyDescent="0.25">
      <c r="A407" s="7">
        <v>35.320831356989224</v>
      </c>
      <c r="B407"/>
      <c r="C407"/>
      <c r="D407"/>
      <c r="E407" t="s">
        <v>8</v>
      </c>
      <c r="P407" s="27" t="s">
        <v>7</v>
      </c>
      <c r="Q407" s="27" t="s">
        <v>8</v>
      </c>
      <c r="R407" s="27" t="s">
        <v>7</v>
      </c>
      <c r="S407" s="27" t="s">
        <v>8</v>
      </c>
      <c r="T407" s="27" t="s">
        <v>7</v>
      </c>
      <c r="AD407" s="27" t="s">
        <v>7</v>
      </c>
      <c r="AE407" s="27" t="s">
        <v>8</v>
      </c>
      <c r="AI407" s="27" t="s">
        <v>8</v>
      </c>
      <c r="AJ407" s="27" t="s">
        <v>7</v>
      </c>
      <c r="AK407" s="27" t="s">
        <v>8</v>
      </c>
      <c r="AL407" s="27" t="s">
        <v>7</v>
      </c>
      <c r="AN407" s="27" t="s">
        <v>7</v>
      </c>
      <c r="AQ407" s="27" t="s">
        <v>8</v>
      </c>
      <c r="AR407" s="27" t="s">
        <v>7</v>
      </c>
      <c r="AS407" s="27" t="s">
        <v>8</v>
      </c>
      <c r="AT407" s="27" t="s">
        <v>7</v>
      </c>
      <c r="AU407" s="27" t="s">
        <v>8</v>
      </c>
      <c r="AV407" s="27" t="s">
        <v>7</v>
      </c>
      <c r="DW407" s="27" t="s">
        <v>8</v>
      </c>
      <c r="DX407" s="27" t="s">
        <v>7</v>
      </c>
      <c r="EI407" s="27" t="s">
        <v>8</v>
      </c>
      <c r="EJ407" s="27" t="s">
        <v>7</v>
      </c>
      <c r="EK407" s="27" t="s">
        <v>8</v>
      </c>
      <c r="EL407" s="27" t="s">
        <v>7</v>
      </c>
      <c r="EO407" s="27" t="s">
        <v>8</v>
      </c>
      <c r="EP407" s="27" t="s">
        <v>7</v>
      </c>
    </row>
    <row r="408" spans="1:151" x14ac:dyDescent="0.25">
      <c r="A408" s="7">
        <v>34.628266036263945</v>
      </c>
      <c r="B408"/>
      <c r="C408"/>
      <c r="D408"/>
      <c r="E408" t="s">
        <v>8</v>
      </c>
      <c r="P408" s="27" t="s">
        <v>7</v>
      </c>
      <c r="R408" s="27" t="s">
        <v>7</v>
      </c>
      <c r="AD408" s="27" t="s">
        <v>7</v>
      </c>
      <c r="AE408" s="27" t="s">
        <v>8</v>
      </c>
      <c r="AF408" s="27" t="s">
        <v>7</v>
      </c>
      <c r="AI408" s="27" t="s">
        <v>8</v>
      </c>
      <c r="AJ408" s="27" t="s">
        <v>7</v>
      </c>
      <c r="AK408" s="27" t="s">
        <v>8</v>
      </c>
      <c r="AN408" s="27" t="s">
        <v>7</v>
      </c>
      <c r="AO408" s="27" t="s">
        <v>8</v>
      </c>
      <c r="AQ408" s="27" t="s">
        <v>8</v>
      </c>
      <c r="AR408" s="27" t="s">
        <v>7</v>
      </c>
      <c r="AS408" s="27" t="s">
        <v>8</v>
      </c>
      <c r="AT408" s="27" t="s">
        <v>7</v>
      </c>
      <c r="AU408" s="27" t="s">
        <v>8</v>
      </c>
      <c r="AV408" s="27" t="s">
        <v>7</v>
      </c>
      <c r="DW408" s="27" t="s">
        <v>8</v>
      </c>
      <c r="DX408" s="27" t="s">
        <v>7</v>
      </c>
      <c r="EI408" s="27" t="s">
        <v>8</v>
      </c>
      <c r="EJ408" s="27" t="s">
        <v>7</v>
      </c>
      <c r="EK408" s="27" t="s">
        <v>8</v>
      </c>
      <c r="EL408" s="27" t="s">
        <v>7</v>
      </c>
      <c r="EO408" s="27" t="s">
        <v>8</v>
      </c>
      <c r="EP408" s="27" t="s">
        <v>7</v>
      </c>
    </row>
    <row r="409" spans="1:151" x14ac:dyDescent="0.25">
      <c r="A409" s="7">
        <v>33.949280427709752</v>
      </c>
      <c r="B409"/>
      <c r="C409"/>
      <c r="D409"/>
      <c r="E409" t="s">
        <v>8</v>
      </c>
      <c r="AD409" s="27" t="s">
        <v>7</v>
      </c>
      <c r="AE409" s="27" t="s">
        <v>8</v>
      </c>
      <c r="AF409" s="27" t="s">
        <v>7</v>
      </c>
      <c r="AI409" s="27" t="s">
        <v>8</v>
      </c>
      <c r="AJ409" s="27" t="s">
        <v>7</v>
      </c>
      <c r="AK409" s="27" t="s">
        <v>8</v>
      </c>
      <c r="AN409" s="27" t="s">
        <v>7</v>
      </c>
      <c r="AO409" s="27" t="s">
        <v>8</v>
      </c>
      <c r="AP409" s="27" t="s">
        <v>7</v>
      </c>
      <c r="AQ409" s="27" t="s">
        <v>8</v>
      </c>
      <c r="AR409" s="27" t="s">
        <v>7</v>
      </c>
      <c r="AT409" s="27" t="s">
        <v>7</v>
      </c>
      <c r="AU409" s="27" t="s">
        <v>8</v>
      </c>
      <c r="AV409" s="27" t="s">
        <v>7</v>
      </c>
      <c r="CU409" s="27" t="s">
        <v>8</v>
      </c>
      <c r="DW409" s="27" t="s">
        <v>8</v>
      </c>
      <c r="DX409" s="27" t="s">
        <v>7</v>
      </c>
      <c r="EI409" s="27" t="s">
        <v>8</v>
      </c>
      <c r="EJ409" s="27" t="s">
        <v>7</v>
      </c>
      <c r="EK409" s="27" t="s">
        <v>8</v>
      </c>
      <c r="EL409" s="27" t="s">
        <v>7</v>
      </c>
      <c r="EO409" s="27" t="s">
        <v>8</v>
      </c>
      <c r="EP409" s="27" t="s">
        <v>7</v>
      </c>
    </row>
    <row r="410" spans="1:151" x14ac:dyDescent="0.25">
      <c r="A410" s="7">
        <v>33.28360826246054</v>
      </c>
      <c r="B410"/>
      <c r="C410"/>
      <c r="D410"/>
      <c r="E410" t="s">
        <v>8</v>
      </c>
      <c r="AD410" s="27" t="s">
        <v>7</v>
      </c>
      <c r="AE410" s="27" t="s">
        <v>8</v>
      </c>
      <c r="AF410" s="27" t="s">
        <v>7</v>
      </c>
      <c r="AI410" s="27" t="s">
        <v>8</v>
      </c>
      <c r="AJ410" s="27" t="s">
        <v>7</v>
      </c>
      <c r="AK410" s="27" t="s">
        <v>8</v>
      </c>
      <c r="AN410" s="27" t="s">
        <v>7</v>
      </c>
      <c r="AO410" s="27" t="s">
        <v>8</v>
      </c>
      <c r="AP410" s="27" t="s">
        <v>7</v>
      </c>
      <c r="AQ410" s="27" t="s">
        <v>8</v>
      </c>
      <c r="AT410" s="27" t="s">
        <v>7</v>
      </c>
      <c r="AU410" s="27" t="s">
        <v>8</v>
      </c>
      <c r="AV410" s="27" t="s">
        <v>7</v>
      </c>
      <c r="CU410" s="27" t="s">
        <v>8</v>
      </c>
      <c r="CV410" s="27" t="s">
        <v>7</v>
      </c>
      <c r="DW410" s="27" t="s">
        <v>8</v>
      </c>
      <c r="DX410" s="27" t="s">
        <v>7</v>
      </c>
      <c r="EE410" s="27" t="s">
        <v>8</v>
      </c>
      <c r="EI410" s="27" t="s">
        <v>8</v>
      </c>
      <c r="EJ410" s="27" t="s">
        <v>7</v>
      </c>
      <c r="EK410" s="27" t="s">
        <v>8</v>
      </c>
      <c r="EL410" s="27" t="s">
        <v>7</v>
      </c>
      <c r="EM410" s="27" t="s">
        <v>8</v>
      </c>
      <c r="EO410" s="27" t="s">
        <v>8</v>
      </c>
      <c r="EP410" s="27" t="s">
        <v>7</v>
      </c>
    </row>
    <row r="411" spans="1:151" x14ac:dyDescent="0.25">
      <c r="A411" s="7">
        <v>32.630988492608374</v>
      </c>
      <c r="B411"/>
      <c r="C411"/>
      <c r="D411"/>
      <c r="E411" t="s">
        <v>8</v>
      </c>
      <c r="AD411" s="27" t="s">
        <v>7</v>
      </c>
      <c r="AE411" s="27" t="s">
        <v>8</v>
      </c>
      <c r="AF411" s="27" t="s">
        <v>7</v>
      </c>
      <c r="AI411" s="27" t="s">
        <v>8</v>
      </c>
      <c r="AJ411" s="27" t="s">
        <v>7</v>
      </c>
      <c r="AK411" s="27" t="s">
        <v>8</v>
      </c>
      <c r="AN411" s="27" t="s">
        <v>7</v>
      </c>
      <c r="AO411" s="27" t="s">
        <v>8</v>
      </c>
      <c r="AP411" s="27" t="s">
        <v>7</v>
      </c>
      <c r="AQ411" s="27" t="s">
        <v>8</v>
      </c>
      <c r="AT411" s="27" t="s">
        <v>7</v>
      </c>
      <c r="AU411" s="27" t="s">
        <v>8</v>
      </c>
      <c r="AV411" s="27" t="s">
        <v>7</v>
      </c>
      <c r="CU411" s="27" t="s">
        <v>8</v>
      </c>
      <c r="CV411" s="27" t="s">
        <v>7</v>
      </c>
      <c r="DW411" s="27" t="s">
        <v>8</v>
      </c>
      <c r="DX411" s="27" t="s">
        <v>7</v>
      </c>
      <c r="EE411" s="27" t="s">
        <v>8</v>
      </c>
      <c r="EF411" s="27" t="s">
        <v>7</v>
      </c>
      <c r="EI411" s="27" t="s">
        <v>8</v>
      </c>
      <c r="EJ411" s="27" t="s">
        <v>7</v>
      </c>
      <c r="EK411" s="27" t="s">
        <v>8</v>
      </c>
      <c r="EL411" s="27" t="s">
        <v>7</v>
      </c>
      <c r="EM411" s="27" t="s">
        <v>8</v>
      </c>
      <c r="EN411" s="27" t="s">
        <v>7</v>
      </c>
      <c r="EO411" s="27" t="s">
        <v>8</v>
      </c>
      <c r="EP411" s="27" t="s">
        <v>7</v>
      </c>
    </row>
    <row r="412" spans="1:151" x14ac:dyDescent="0.25">
      <c r="A412" s="7">
        <v>31.99116518883174</v>
      </c>
      <c r="B412"/>
      <c r="C412"/>
      <c r="D412"/>
      <c r="E412" t="s">
        <v>8</v>
      </c>
      <c r="AD412" s="27" t="s">
        <v>7</v>
      </c>
      <c r="AE412" s="27" t="s">
        <v>8</v>
      </c>
      <c r="AF412" s="27" t="s">
        <v>7</v>
      </c>
      <c r="AI412" s="27" t="s">
        <v>8</v>
      </c>
      <c r="AJ412" s="27" t="s">
        <v>7</v>
      </c>
      <c r="AK412" s="27" t="s">
        <v>8</v>
      </c>
      <c r="AN412" s="27" t="s">
        <v>7</v>
      </c>
      <c r="AO412" s="27" t="s">
        <v>8</v>
      </c>
      <c r="AP412" s="27" t="s">
        <v>7</v>
      </c>
      <c r="AQ412" s="27" t="s">
        <v>8</v>
      </c>
      <c r="AT412" s="27" t="s">
        <v>7</v>
      </c>
      <c r="AU412" s="27" t="s">
        <v>8</v>
      </c>
      <c r="AV412" s="27" t="s">
        <v>7</v>
      </c>
      <c r="CS412" s="27" t="s">
        <v>8</v>
      </c>
      <c r="CU412" s="27" t="s">
        <v>8</v>
      </c>
      <c r="CV412" s="27" t="s">
        <v>7</v>
      </c>
      <c r="DW412" s="27" t="s">
        <v>8</v>
      </c>
      <c r="DX412" s="27" t="s">
        <v>7</v>
      </c>
      <c r="EE412" s="27" t="s">
        <v>8</v>
      </c>
      <c r="EF412" s="27" t="s">
        <v>7</v>
      </c>
      <c r="EI412" s="27" t="s">
        <v>8</v>
      </c>
      <c r="EJ412" s="27" t="s">
        <v>7</v>
      </c>
      <c r="EK412" s="27" t="s">
        <v>8</v>
      </c>
      <c r="EL412" s="27" t="s">
        <v>7</v>
      </c>
      <c r="EM412" s="27" t="s">
        <v>8</v>
      </c>
      <c r="EN412" s="27" t="s">
        <v>7</v>
      </c>
      <c r="EO412" s="27" t="s">
        <v>8</v>
      </c>
      <c r="EP412" s="27" t="s">
        <v>7</v>
      </c>
    </row>
    <row r="413" spans="1:151" x14ac:dyDescent="0.25">
      <c r="A413" s="7">
        <v>31.363887440031117</v>
      </c>
      <c r="B413"/>
      <c r="C413"/>
      <c r="D413"/>
      <c r="E413" t="s">
        <v>8</v>
      </c>
      <c r="AD413" s="27" t="s">
        <v>7</v>
      </c>
      <c r="AE413" s="27" t="s">
        <v>8</v>
      </c>
      <c r="AF413" s="27" t="s">
        <v>7</v>
      </c>
      <c r="AI413" s="27" t="s">
        <v>8</v>
      </c>
      <c r="AJ413" s="27" t="s">
        <v>7</v>
      </c>
      <c r="AK413" s="27" t="s">
        <v>8</v>
      </c>
      <c r="AN413" s="27" t="s">
        <v>7</v>
      </c>
      <c r="AP413" s="27" t="s">
        <v>7</v>
      </c>
      <c r="AT413" s="27" t="s">
        <v>7</v>
      </c>
      <c r="AU413" s="27" t="s">
        <v>8</v>
      </c>
      <c r="AV413" s="27" t="s">
        <v>7</v>
      </c>
      <c r="AW413" s="27" t="s">
        <v>8</v>
      </c>
      <c r="CS413" s="27" t="s">
        <v>8</v>
      </c>
      <c r="CT413" s="27" t="s">
        <v>7</v>
      </c>
      <c r="CU413" s="27" t="s">
        <v>8</v>
      </c>
      <c r="CV413" s="27" t="s">
        <v>7</v>
      </c>
      <c r="DU413" s="27" t="s">
        <v>8</v>
      </c>
      <c r="DW413" s="27" t="s">
        <v>8</v>
      </c>
      <c r="DX413" s="27" t="s">
        <v>7</v>
      </c>
      <c r="EE413" s="27" t="s">
        <v>8</v>
      </c>
      <c r="EF413" s="27" t="s">
        <v>7</v>
      </c>
      <c r="EI413" s="27" t="s">
        <v>8</v>
      </c>
      <c r="EJ413" s="27" t="s">
        <v>7</v>
      </c>
      <c r="EK413" s="27" t="s">
        <v>8</v>
      </c>
      <c r="EL413" s="27" t="s">
        <v>7</v>
      </c>
      <c r="EM413" s="27" t="s">
        <v>8</v>
      </c>
      <c r="EN413" s="27" t="s">
        <v>7</v>
      </c>
      <c r="EO413" s="27" t="s">
        <v>8</v>
      </c>
      <c r="EP413" s="27" t="s">
        <v>7</v>
      </c>
    </row>
    <row r="414" spans="1:151" x14ac:dyDescent="0.25">
      <c r="A414" s="7">
        <v>30.748909254932467</v>
      </c>
      <c r="B414"/>
      <c r="C414"/>
      <c r="D414"/>
      <c r="E414" t="s">
        <v>8</v>
      </c>
      <c r="AD414" s="27" t="s">
        <v>7</v>
      </c>
      <c r="AE414" s="27" t="s">
        <v>8</v>
      </c>
      <c r="AF414" s="27" t="s">
        <v>7</v>
      </c>
      <c r="AI414" s="27" t="s">
        <v>8</v>
      </c>
      <c r="AJ414" s="27" t="s">
        <v>7</v>
      </c>
      <c r="AT414" s="27" t="s">
        <v>7</v>
      </c>
      <c r="AU414" s="27" t="s">
        <v>8</v>
      </c>
      <c r="AV414" s="27" t="s">
        <v>7</v>
      </c>
      <c r="AW414" s="27" t="s">
        <v>8</v>
      </c>
      <c r="AX414" s="27" t="s">
        <v>7</v>
      </c>
      <c r="CS414" s="27" t="s">
        <v>8</v>
      </c>
      <c r="CT414" s="27" t="s">
        <v>7</v>
      </c>
      <c r="CU414" s="27" t="s">
        <v>8</v>
      </c>
      <c r="CV414" s="27" t="s">
        <v>7</v>
      </c>
      <c r="CW414" s="27" t="s">
        <v>8</v>
      </c>
      <c r="DU414" s="27" t="s">
        <v>8</v>
      </c>
      <c r="DV414" s="27" t="s">
        <v>7</v>
      </c>
      <c r="DW414" s="27" t="s">
        <v>8</v>
      </c>
      <c r="DX414" s="27" t="s">
        <v>7</v>
      </c>
      <c r="EE414" s="27" t="s">
        <v>8</v>
      </c>
      <c r="EF414" s="27" t="s">
        <v>7</v>
      </c>
      <c r="EI414" s="27" t="s">
        <v>8</v>
      </c>
      <c r="EJ414" s="27" t="s">
        <v>7</v>
      </c>
      <c r="EK414" s="27" t="s">
        <v>8</v>
      </c>
      <c r="EL414" s="27" t="s">
        <v>7</v>
      </c>
      <c r="EN414" s="27" t="s">
        <v>7</v>
      </c>
      <c r="EP414" s="27" t="s">
        <v>7</v>
      </c>
    </row>
    <row r="415" spans="1:151" x14ac:dyDescent="0.25">
      <c r="A415" s="7">
        <v>30.145989465620065</v>
      </c>
      <c r="B415"/>
      <c r="C415"/>
      <c r="D415"/>
      <c r="E415" t="s">
        <v>8</v>
      </c>
      <c r="AD415" s="27" t="s">
        <v>7</v>
      </c>
      <c r="AF415" s="27" t="s">
        <v>7</v>
      </c>
      <c r="AI415" s="27" t="s">
        <v>8</v>
      </c>
      <c r="AT415" s="27" t="s">
        <v>7</v>
      </c>
      <c r="AV415" s="27" t="s">
        <v>7</v>
      </c>
      <c r="AW415" s="27" t="s">
        <v>8</v>
      </c>
      <c r="AX415" s="27" t="s">
        <v>7</v>
      </c>
      <c r="CS415" s="27" t="s">
        <v>8</v>
      </c>
      <c r="CT415" s="27" t="s">
        <v>7</v>
      </c>
      <c r="CU415" s="27" t="s">
        <v>8</v>
      </c>
      <c r="CV415" s="27" t="s">
        <v>7</v>
      </c>
      <c r="CW415" s="27" t="s">
        <v>8</v>
      </c>
      <c r="CX415" s="27" t="s">
        <v>7</v>
      </c>
      <c r="DU415" s="27" t="s">
        <v>8</v>
      </c>
      <c r="DV415" s="27" t="s">
        <v>7</v>
      </c>
      <c r="DW415" s="27" t="s">
        <v>8</v>
      </c>
      <c r="DX415" s="27" t="s">
        <v>7</v>
      </c>
      <c r="DY415" s="27" t="s">
        <v>8</v>
      </c>
      <c r="EE415" s="27" t="s">
        <v>8</v>
      </c>
      <c r="EF415" s="27" t="s">
        <v>7</v>
      </c>
      <c r="EI415" s="27" t="s">
        <v>8</v>
      </c>
      <c r="EJ415" s="27" t="s">
        <v>7</v>
      </c>
      <c r="EK415" s="27" t="s">
        <v>8</v>
      </c>
      <c r="EP415" s="27" t="s">
        <v>7</v>
      </c>
      <c r="EQ415" s="27" t="s">
        <v>8</v>
      </c>
    </row>
    <row r="416" spans="1:151" x14ac:dyDescent="0.25">
      <c r="A416" s="7">
        <v>29.55489163296085</v>
      </c>
      <c r="B416"/>
      <c r="C416"/>
      <c r="D416"/>
      <c r="E416" t="s">
        <v>8</v>
      </c>
      <c r="AF416" s="27" t="s">
        <v>7</v>
      </c>
      <c r="AI416" s="27" t="s">
        <v>8</v>
      </c>
      <c r="AV416" s="27" t="s">
        <v>7</v>
      </c>
      <c r="AW416" s="27" t="s">
        <v>8</v>
      </c>
      <c r="AX416" s="27" t="s">
        <v>7</v>
      </c>
      <c r="CS416" s="27" t="s">
        <v>8</v>
      </c>
      <c r="CT416" s="27" t="s">
        <v>7</v>
      </c>
      <c r="CU416" s="27" t="s">
        <v>8</v>
      </c>
      <c r="CV416" s="27" t="s">
        <v>7</v>
      </c>
      <c r="CW416" s="27" t="s">
        <v>8</v>
      </c>
      <c r="CX416" s="27" t="s">
        <v>7</v>
      </c>
      <c r="DU416" s="27" t="s">
        <v>8</v>
      </c>
      <c r="DV416" s="27" t="s">
        <v>7</v>
      </c>
      <c r="DW416" s="27" t="s">
        <v>8</v>
      </c>
      <c r="DX416" s="27" t="s">
        <v>7</v>
      </c>
      <c r="DY416" s="27" t="s">
        <v>8</v>
      </c>
      <c r="DZ416" s="27" t="s">
        <v>7</v>
      </c>
      <c r="EC416" s="27" t="s">
        <v>8</v>
      </c>
      <c r="EE416" s="27" t="s">
        <v>8</v>
      </c>
      <c r="EF416" s="27" t="s">
        <v>7</v>
      </c>
      <c r="EI416" s="27" t="s">
        <v>8</v>
      </c>
      <c r="EJ416" s="27" t="s">
        <v>7</v>
      </c>
      <c r="EP416" s="27" t="s">
        <v>7</v>
      </c>
      <c r="EQ416" s="27" t="s">
        <v>8</v>
      </c>
      <c r="ER416" s="27" t="s">
        <v>7</v>
      </c>
      <c r="ES416" s="27" t="s">
        <v>8</v>
      </c>
      <c r="EU416" s="27" t="s">
        <v>8</v>
      </c>
    </row>
    <row r="417" spans="1:158" x14ac:dyDescent="0.25">
      <c r="A417" s="7">
        <v>28.975383953883185</v>
      </c>
      <c r="B417"/>
      <c r="C417"/>
      <c r="D417"/>
      <c r="E417" t="s">
        <v>8</v>
      </c>
      <c r="AF417" s="27" t="s">
        <v>7</v>
      </c>
      <c r="AI417" s="27" t="s">
        <v>8</v>
      </c>
      <c r="AV417" s="27" t="s">
        <v>7</v>
      </c>
      <c r="AW417" s="27" t="s">
        <v>8</v>
      </c>
      <c r="AX417" s="27" t="s">
        <v>7</v>
      </c>
      <c r="CS417" s="27" t="s">
        <v>8</v>
      </c>
      <c r="CT417" s="27" t="s">
        <v>7</v>
      </c>
      <c r="CU417" s="27" t="s">
        <v>8</v>
      </c>
      <c r="CV417" s="27" t="s">
        <v>7</v>
      </c>
      <c r="CW417" s="27" t="s">
        <v>8</v>
      </c>
      <c r="CX417" s="27" t="s">
        <v>7</v>
      </c>
      <c r="DU417" s="27" t="s">
        <v>8</v>
      </c>
      <c r="DV417" s="27" t="s">
        <v>7</v>
      </c>
      <c r="DW417" s="27" t="s">
        <v>8</v>
      </c>
      <c r="DX417" s="27" t="s">
        <v>7</v>
      </c>
      <c r="DY417" s="27" t="s">
        <v>8</v>
      </c>
      <c r="DZ417" s="27" t="s">
        <v>7</v>
      </c>
      <c r="EC417" s="27" t="s">
        <v>8</v>
      </c>
      <c r="ED417" s="27" t="s">
        <v>7</v>
      </c>
      <c r="EE417" s="27" t="s">
        <v>8</v>
      </c>
      <c r="EF417" s="27" t="s">
        <v>7</v>
      </c>
      <c r="EI417" s="27" t="s">
        <v>8</v>
      </c>
      <c r="EP417" s="27" t="s">
        <v>7</v>
      </c>
      <c r="EQ417" s="27" t="s">
        <v>8</v>
      </c>
      <c r="ER417" s="27" t="s">
        <v>7</v>
      </c>
      <c r="ES417" s="27" t="s">
        <v>8</v>
      </c>
      <c r="ET417" s="27" t="s">
        <v>7</v>
      </c>
      <c r="EU417" s="27" t="s">
        <v>8</v>
      </c>
      <c r="EV417" s="27" t="s">
        <v>7</v>
      </c>
    </row>
    <row r="418" spans="1:158" x14ac:dyDescent="0.25">
      <c r="A418" s="7">
        <v>28.407239170473709</v>
      </c>
      <c r="B418"/>
      <c r="C418"/>
      <c r="D418"/>
      <c r="E418" t="s">
        <v>8</v>
      </c>
      <c r="AF418" s="27" t="s">
        <v>7</v>
      </c>
      <c r="AI418" s="27" t="s">
        <v>8</v>
      </c>
      <c r="AV418" s="27" t="s">
        <v>7</v>
      </c>
      <c r="AW418" s="27" t="s">
        <v>8</v>
      </c>
      <c r="AX418" s="27" t="s">
        <v>7</v>
      </c>
      <c r="CS418" s="27" t="s">
        <v>8</v>
      </c>
      <c r="CT418" s="27" t="s">
        <v>7</v>
      </c>
      <c r="CU418" s="27" t="s">
        <v>8</v>
      </c>
      <c r="CV418" s="27" t="s">
        <v>7</v>
      </c>
      <c r="CW418" s="27" t="s">
        <v>8</v>
      </c>
      <c r="CX418" s="27" t="s">
        <v>7</v>
      </c>
      <c r="DU418" s="27" t="s">
        <v>8</v>
      </c>
      <c r="DV418" s="27" t="s">
        <v>7</v>
      </c>
      <c r="DW418" s="27" t="s">
        <v>8</v>
      </c>
      <c r="DX418" s="27" t="s">
        <v>7</v>
      </c>
      <c r="DY418" s="27" t="s">
        <v>8</v>
      </c>
      <c r="DZ418" s="27" t="s">
        <v>7</v>
      </c>
      <c r="EA418" s="27" t="s">
        <v>8</v>
      </c>
      <c r="EC418" s="27" t="s">
        <v>8</v>
      </c>
      <c r="ED418" s="27" t="s">
        <v>7</v>
      </c>
      <c r="EE418" s="27" t="s">
        <v>8</v>
      </c>
      <c r="EF418" s="27" t="s">
        <v>7</v>
      </c>
      <c r="EI418" s="27" t="s">
        <v>8</v>
      </c>
      <c r="EP418" s="27" t="s">
        <v>7</v>
      </c>
      <c r="EQ418" s="27" t="s">
        <v>8</v>
      </c>
      <c r="ER418" s="27" t="s">
        <v>7</v>
      </c>
      <c r="ES418" s="27" t="s">
        <v>8</v>
      </c>
      <c r="ET418" s="27" t="s">
        <v>7</v>
      </c>
      <c r="EU418" s="27" t="s">
        <v>8</v>
      </c>
      <c r="EV418" s="27" t="s">
        <v>7</v>
      </c>
      <c r="FA418" s="27" t="s">
        <v>8</v>
      </c>
    </row>
    <row r="419" spans="1:158" x14ac:dyDescent="0.25">
      <c r="A419" s="7">
        <v>27.850234480856578</v>
      </c>
      <c r="B419"/>
      <c r="C419"/>
      <c r="D419"/>
      <c r="E419" t="s">
        <v>8</v>
      </c>
      <c r="AF419" s="27" t="s">
        <v>7</v>
      </c>
      <c r="AI419" s="27" t="s">
        <v>8</v>
      </c>
      <c r="AV419" s="27" t="s">
        <v>7</v>
      </c>
      <c r="AW419" s="27" t="s">
        <v>8</v>
      </c>
      <c r="AX419" s="27" t="s">
        <v>7</v>
      </c>
      <c r="CS419" s="27" t="s">
        <v>8</v>
      </c>
      <c r="CT419" s="27" t="s">
        <v>7</v>
      </c>
      <c r="CU419" s="27" t="s">
        <v>8</v>
      </c>
      <c r="CV419" s="27" t="s">
        <v>7</v>
      </c>
      <c r="CW419" s="27" t="s">
        <v>8</v>
      </c>
      <c r="CX419" s="27" t="s">
        <v>7</v>
      </c>
      <c r="DG419" s="27" t="s">
        <v>8</v>
      </c>
      <c r="DU419" s="27" t="s">
        <v>8</v>
      </c>
      <c r="DV419" s="27" t="s">
        <v>7</v>
      </c>
      <c r="DW419" s="27" t="s">
        <v>8</v>
      </c>
      <c r="DX419" s="27" t="s">
        <v>7</v>
      </c>
      <c r="DY419" s="27" t="s">
        <v>8</v>
      </c>
      <c r="DZ419" s="27" t="s">
        <v>7</v>
      </c>
      <c r="EA419" s="27" t="s">
        <v>8</v>
      </c>
      <c r="EB419" s="27" t="s">
        <v>7</v>
      </c>
      <c r="EC419" s="27" t="s">
        <v>8</v>
      </c>
      <c r="ED419" s="27" t="s">
        <v>7</v>
      </c>
      <c r="EE419" s="27" t="s">
        <v>8</v>
      </c>
      <c r="EF419" s="27" t="s">
        <v>7</v>
      </c>
      <c r="EI419" s="27" t="s">
        <v>8</v>
      </c>
      <c r="EP419" s="27" t="s">
        <v>7</v>
      </c>
      <c r="EQ419" s="27" t="s">
        <v>8</v>
      </c>
      <c r="ER419" s="27" t="s">
        <v>7</v>
      </c>
      <c r="ES419" s="27" t="s">
        <v>8</v>
      </c>
      <c r="ET419" s="27" t="s">
        <v>7</v>
      </c>
      <c r="EU419" s="27" t="s">
        <v>8</v>
      </c>
      <c r="EV419" s="27" t="s">
        <v>7</v>
      </c>
      <c r="FA419" s="27" t="s">
        <v>8</v>
      </c>
      <c r="FB419" s="27" t="s">
        <v>7</v>
      </c>
    </row>
    <row r="420" spans="1:158" x14ac:dyDescent="0.25">
      <c r="A420" s="7">
        <v>27.304151451820175</v>
      </c>
      <c r="B420"/>
      <c r="C420"/>
      <c r="D420"/>
      <c r="E420" t="s">
        <v>8</v>
      </c>
      <c r="AF420" s="27" t="s">
        <v>7</v>
      </c>
      <c r="AG420" s="27" t="s">
        <v>8</v>
      </c>
      <c r="AI420" s="27" t="s">
        <v>8</v>
      </c>
      <c r="AV420" s="27" t="s">
        <v>7</v>
      </c>
      <c r="AX420" s="27" t="s">
        <v>7</v>
      </c>
      <c r="CS420" s="27" t="s">
        <v>8</v>
      </c>
      <c r="CT420" s="27" t="s">
        <v>7</v>
      </c>
      <c r="CU420" s="27" t="s">
        <v>8</v>
      </c>
      <c r="CV420" s="27" t="s">
        <v>7</v>
      </c>
      <c r="CW420" s="27" t="s">
        <v>8</v>
      </c>
      <c r="CX420" s="27" t="s">
        <v>7</v>
      </c>
      <c r="DE420" s="27" t="s">
        <v>8</v>
      </c>
      <c r="DG420" s="27" t="s">
        <v>8</v>
      </c>
      <c r="DH420" s="27" t="s">
        <v>7</v>
      </c>
      <c r="DU420" s="27" t="s">
        <v>8</v>
      </c>
      <c r="DV420" s="27" t="s">
        <v>7</v>
      </c>
      <c r="DW420" s="27" t="s">
        <v>8</v>
      </c>
      <c r="DX420" s="27" t="s">
        <v>7</v>
      </c>
      <c r="DY420" s="27" t="s">
        <v>8</v>
      </c>
      <c r="DZ420" s="27" t="s">
        <v>7</v>
      </c>
      <c r="EA420" s="27" t="s">
        <v>8</v>
      </c>
      <c r="EB420" s="27" t="s">
        <v>7</v>
      </c>
      <c r="EC420" s="27" t="s">
        <v>8</v>
      </c>
      <c r="ED420" s="27" t="s">
        <v>7</v>
      </c>
      <c r="EE420" s="27" t="s">
        <v>8</v>
      </c>
      <c r="EF420" s="27" t="s">
        <v>7</v>
      </c>
      <c r="EG420" s="27" t="s">
        <v>8</v>
      </c>
      <c r="EI420" s="27" t="s">
        <v>8</v>
      </c>
      <c r="EP420" s="27" t="s">
        <v>7</v>
      </c>
      <c r="ER420" s="27" t="s">
        <v>7</v>
      </c>
      <c r="ES420" s="27" t="s">
        <v>8</v>
      </c>
      <c r="ET420" s="27" t="s">
        <v>7</v>
      </c>
      <c r="EU420" s="27" t="s">
        <v>8</v>
      </c>
      <c r="EV420" s="27" t="s">
        <v>7</v>
      </c>
      <c r="FA420" s="27" t="s">
        <v>8</v>
      </c>
      <c r="FB420" s="27" t="s">
        <v>7</v>
      </c>
    </row>
    <row r="421" spans="1:158" x14ac:dyDescent="0.25">
      <c r="A421" s="7">
        <v>26.768775933157034</v>
      </c>
      <c r="B421"/>
      <c r="C421"/>
      <c r="D421"/>
      <c r="E421" t="s">
        <v>8</v>
      </c>
      <c r="AF421" s="27" t="s">
        <v>7</v>
      </c>
      <c r="AG421" s="27" t="s">
        <v>8</v>
      </c>
      <c r="AH421" s="27" t="s">
        <v>7</v>
      </c>
      <c r="AI421" s="27" t="s">
        <v>8</v>
      </c>
      <c r="AX421" s="27" t="s">
        <v>7</v>
      </c>
      <c r="AY421" s="27" t="s">
        <v>8</v>
      </c>
      <c r="CS421" s="27" t="s">
        <v>8</v>
      </c>
      <c r="CT421" s="27" t="s">
        <v>7</v>
      </c>
      <c r="CU421" s="27" t="s">
        <v>8</v>
      </c>
      <c r="CV421" s="27" t="s">
        <v>7</v>
      </c>
      <c r="CW421" s="27" t="s">
        <v>8</v>
      </c>
      <c r="CX421" s="27" t="s">
        <v>7</v>
      </c>
      <c r="CY421" s="27" t="s">
        <v>8</v>
      </c>
      <c r="DE421" s="27" t="s">
        <v>8</v>
      </c>
      <c r="DF421" s="27" t="s">
        <v>7</v>
      </c>
      <c r="DG421" s="27" t="s">
        <v>8</v>
      </c>
      <c r="DH421" s="27" t="s">
        <v>7</v>
      </c>
      <c r="DU421" s="27" t="s">
        <v>8</v>
      </c>
      <c r="DV421" s="27" t="s">
        <v>7</v>
      </c>
      <c r="DW421" s="27" t="s">
        <v>8</v>
      </c>
      <c r="DX421" s="27" t="s">
        <v>7</v>
      </c>
      <c r="DY421" s="27" t="s">
        <v>8</v>
      </c>
      <c r="DZ421" s="27" t="s">
        <v>7</v>
      </c>
      <c r="EA421" s="27" t="s">
        <v>8</v>
      </c>
      <c r="EB421" s="27" t="s">
        <v>7</v>
      </c>
      <c r="EC421" s="27" t="s">
        <v>8</v>
      </c>
      <c r="ED421" s="27" t="s">
        <v>7</v>
      </c>
      <c r="EF421" s="27" t="s">
        <v>7</v>
      </c>
      <c r="EG421" s="27" t="s">
        <v>8</v>
      </c>
      <c r="EH421" s="27" t="s">
        <v>7</v>
      </c>
      <c r="EI421" s="27" t="s">
        <v>8</v>
      </c>
      <c r="ER421" s="27" t="s">
        <v>7</v>
      </c>
      <c r="ES421" s="27" t="s">
        <v>8</v>
      </c>
      <c r="ET421" s="27" t="s">
        <v>7</v>
      </c>
      <c r="EU421" s="27" t="s">
        <v>8</v>
      </c>
      <c r="EV421" s="27" t="s">
        <v>7</v>
      </c>
      <c r="EW421" s="27" t="s">
        <v>8</v>
      </c>
      <c r="EY421" s="27" t="s">
        <v>8</v>
      </c>
      <c r="FA421" s="27" t="s">
        <v>8</v>
      </c>
      <c r="FB421" s="27" t="s">
        <v>7</v>
      </c>
    </row>
    <row r="422" spans="1:158" x14ac:dyDescent="0.25">
      <c r="A422" s="7">
        <v>26.243897973683367</v>
      </c>
      <c r="B422"/>
      <c r="C422"/>
      <c r="D422"/>
      <c r="E422" t="s">
        <v>8</v>
      </c>
      <c r="AF422" s="27" t="s">
        <v>7</v>
      </c>
      <c r="AG422" s="27" t="s">
        <v>8</v>
      </c>
      <c r="AH422" s="27" t="s">
        <v>7</v>
      </c>
      <c r="AI422" s="27" t="s">
        <v>8</v>
      </c>
      <c r="AX422" s="27" t="s">
        <v>7</v>
      </c>
      <c r="AY422" s="27" t="s">
        <v>8</v>
      </c>
      <c r="AZ422" s="27" t="s">
        <v>7</v>
      </c>
      <c r="CS422" s="27" t="s">
        <v>8</v>
      </c>
      <c r="CT422" s="27" t="s">
        <v>7</v>
      </c>
      <c r="CU422" s="27" t="s">
        <v>8</v>
      </c>
      <c r="CV422" s="27" t="s">
        <v>7</v>
      </c>
      <c r="CX422" s="27" t="s">
        <v>7</v>
      </c>
      <c r="CY422" s="27" t="s">
        <v>8</v>
      </c>
      <c r="CZ422" s="27" t="s">
        <v>7</v>
      </c>
      <c r="DE422" s="27" t="s">
        <v>8</v>
      </c>
      <c r="DF422" s="27" t="s">
        <v>7</v>
      </c>
      <c r="DG422" s="27" t="s">
        <v>8</v>
      </c>
      <c r="DH422" s="27" t="s">
        <v>7</v>
      </c>
      <c r="DU422" s="27" t="s">
        <v>8</v>
      </c>
      <c r="DV422" s="27" t="s">
        <v>7</v>
      </c>
      <c r="DW422" s="27" t="s">
        <v>8</v>
      </c>
      <c r="DX422" s="27" t="s">
        <v>7</v>
      </c>
      <c r="DZ422" s="27" t="s">
        <v>7</v>
      </c>
      <c r="EB422" s="27" t="s">
        <v>7</v>
      </c>
      <c r="EC422" s="27" t="s">
        <v>8</v>
      </c>
      <c r="EF422" s="27" t="s">
        <v>7</v>
      </c>
      <c r="EG422" s="27" t="s">
        <v>8</v>
      </c>
      <c r="EH422" s="27" t="s">
        <v>7</v>
      </c>
      <c r="EI422" s="27" t="s">
        <v>8</v>
      </c>
      <c r="ER422" s="27" t="s">
        <v>7</v>
      </c>
      <c r="ES422" s="27" t="s">
        <v>8</v>
      </c>
      <c r="ET422" s="27" t="s">
        <v>7</v>
      </c>
      <c r="EU422" s="27" t="s">
        <v>8</v>
      </c>
      <c r="EV422" s="27" t="s">
        <v>7</v>
      </c>
      <c r="EW422" s="27" t="s">
        <v>8</v>
      </c>
      <c r="EX422" s="27" t="s">
        <v>7</v>
      </c>
      <c r="EY422" s="27" t="s">
        <v>8</v>
      </c>
      <c r="EZ422" s="27" t="s">
        <v>7</v>
      </c>
      <c r="FA422" s="27" t="s">
        <v>8</v>
      </c>
      <c r="FB422" s="27" t="s">
        <v>7</v>
      </c>
    </row>
    <row r="423" spans="1:158" x14ac:dyDescent="0.25">
      <c r="A423" s="7">
        <v>25.729311738905263</v>
      </c>
      <c r="B423"/>
      <c r="C423"/>
      <c r="D423"/>
      <c r="E423" t="s">
        <v>8</v>
      </c>
      <c r="AF423" s="27" t="s">
        <v>7</v>
      </c>
      <c r="AG423" s="27" t="s">
        <v>8</v>
      </c>
      <c r="AH423" s="27" t="s">
        <v>7</v>
      </c>
      <c r="AI423" s="27" t="s">
        <v>8</v>
      </c>
      <c r="AX423" s="27" t="s">
        <v>7</v>
      </c>
      <c r="AY423" s="27" t="s">
        <v>8</v>
      </c>
      <c r="AZ423" s="27" t="s">
        <v>7</v>
      </c>
      <c r="CS423" s="27" t="s">
        <v>8</v>
      </c>
      <c r="CT423" s="27" t="s">
        <v>7</v>
      </c>
      <c r="CU423" s="27" t="s">
        <v>8</v>
      </c>
      <c r="CX423" s="27" t="s">
        <v>7</v>
      </c>
      <c r="CY423" s="27" t="s">
        <v>8</v>
      </c>
      <c r="CZ423" s="27" t="s">
        <v>7</v>
      </c>
      <c r="DA423" s="27" t="s">
        <v>8</v>
      </c>
      <c r="DC423" s="27" t="s">
        <v>8</v>
      </c>
      <c r="DE423" s="27" t="s">
        <v>8</v>
      </c>
      <c r="DF423" s="27" t="s">
        <v>7</v>
      </c>
      <c r="DG423" s="27" t="s">
        <v>8</v>
      </c>
      <c r="DH423" s="27" t="s">
        <v>7</v>
      </c>
      <c r="DM423" s="27" t="s">
        <v>8</v>
      </c>
      <c r="DU423" s="27" t="s">
        <v>8</v>
      </c>
      <c r="DV423" s="27" t="s">
        <v>7</v>
      </c>
      <c r="DW423" s="27" t="s">
        <v>8</v>
      </c>
      <c r="EB423" s="27" t="s">
        <v>7</v>
      </c>
      <c r="EC423" s="27" t="s">
        <v>8</v>
      </c>
      <c r="EF423" s="27" t="s">
        <v>7</v>
      </c>
      <c r="EG423" s="27" t="s">
        <v>8</v>
      </c>
      <c r="EH423" s="27" t="s">
        <v>7</v>
      </c>
      <c r="EI423" s="27" t="s">
        <v>8</v>
      </c>
      <c r="ER423" s="27" t="s">
        <v>7</v>
      </c>
      <c r="ES423" s="27" t="s">
        <v>8</v>
      </c>
      <c r="ET423" s="27" t="s">
        <v>7</v>
      </c>
      <c r="EU423" s="27" t="s">
        <v>8</v>
      </c>
      <c r="EV423" s="27" t="s">
        <v>7</v>
      </c>
      <c r="EW423" s="27" t="s">
        <v>8</v>
      </c>
      <c r="EX423" s="27" t="s">
        <v>7</v>
      </c>
      <c r="EY423" s="27" t="s">
        <v>8</v>
      </c>
      <c r="EZ423" s="27" t="s">
        <v>7</v>
      </c>
      <c r="FA423" s="27" t="s">
        <v>8</v>
      </c>
      <c r="FB423" s="27" t="s">
        <v>7</v>
      </c>
    </row>
    <row r="424" spans="1:158" x14ac:dyDescent="0.25">
      <c r="A424" s="7">
        <v>25.224815430299277</v>
      </c>
      <c r="B424"/>
      <c r="C424"/>
      <c r="D424"/>
      <c r="E424" t="s">
        <v>8</v>
      </c>
      <c r="AF424" s="27" t="s">
        <v>7</v>
      </c>
      <c r="AG424" s="27" t="s">
        <v>8</v>
      </c>
      <c r="AH424" s="27" t="s">
        <v>7</v>
      </c>
      <c r="AI424" s="27" t="s">
        <v>8</v>
      </c>
      <c r="AX424" s="27" t="s">
        <v>7</v>
      </c>
      <c r="AY424" s="27" t="s">
        <v>8</v>
      </c>
      <c r="AZ424" s="27" t="s">
        <v>7</v>
      </c>
      <c r="CS424" s="27" t="s">
        <v>8</v>
      </c>
      <c r="CT424" s="27" t="s">
        <v>7</v>
      </c>
      <c r="CU424" s="27" t="s">
        <v>8</v>
      </c>
      <c r="CX424" s="27" t="s">
        <v>7</v>
      </c>
      <c r="CY424" s="27" t="s">
        <v>8</v>
      </c>
      <c r="CZ424" s="27" t="s">
        <v>7</v>
      </c>
      <c r="DA424" s="27" t="s">
        <v>8</v>
      </c>
      <c r="DB424" s="27" t="s">
        <v>7</v>
      </c>
      <c r="DC424" s="27" t="s">
        <v>8</v>
      </c>
      <c r="DD424" s="27" t="s">
        <v>7</v>
      </c>
      <c r="DE424" s="27" t="s">
        <v>8</v>
      </c>
      <c r="DF424" s="27" t="s">
        <v>7</v>
      </c>
      <c r="DG424" s="27" t="s">
        <v>8</v>
      </c>
      <c r="DH424" s="27" t="s">
        <v>7</v>
      </c>
      <c r="DM424" s="27" t="s">
        <v>8</v>
      </c>
      <c r="DN424" s="27" t="s">
        <v>7</v>
      </c>
      <c r="DU424" s="27" t="s">
        <v>8</v>
      </c>
      <c r="DV424" s="27" t="s">
        <v>7</v>
      </c>
      <c r="DW424" s="27" t="s">
        <v>8</v>
      </c>
      <c r="EB424" s="27" t="s">
        <v>7</v>
      </c>
      <c r="EF424" s="27" t="s">
        <v>7</v>
      </c>
      <c r="EH424" s="27" t="s">
        <v>7</v>
      </c>
      <c r="EI424" s="27" t="s">
        <v>8</v>
      </c>
      <c r="ER424" s="27" t="s">
        <v>7</v>
      </c>
      <c r="ET424" s="27" t="s">
        <v>7</v>
      </c>
      <c r="EV424" s="27" t="s">
        <v>7</v>
      </c>
      <c r="EW424" s="27" t="s">
        <v>8</v>
      </c>
      <c r="EX424" s="27" t="s">
        <v>7</v>
      </c>
      <c r="EY424" s="27" t="s">
        <v>8</v>
      </c>
      <c r="EZ424" s="27" t="s">
        <v>7</v>
      </c>
      <c r="FB424" s="27" t="s">
        <v>7</v>
      </c>
    </row>
    <row r="425" spans="1:158" x14ac:dyDescent="0.25">
      <c r="A425" s="7">
        <v>24.73021120617576</v>
      </c>
      <c r="B425"/>
      <c r="C425"/>
      <c r="D425"/>
      <c r="E425" t="s">
        <v>8</v>
      </c>
      <c r="AF425" s="27" t="s">
        <v>7</v>
      </c>
      <c r="AG425" s="27" t="s">
        <v>8</v>
      </c>
      <c r="AH425" s="27" t="s">
        <v>7</v>
      </c>
      <c r="AI425" s="27" t="s">
        <v>8</v>
      </c>
      <c r="AX425" s="27" t="s">
        <v>7</v>
      </c>
      <c r="AY425" s="27" t="s">
        <v>8</v>
      </c>
      <c r="AZ425" s="27" t="s">
        <v>7</v>
      </c>
      <c r="CS425" s="27" t="s">
        <v>8</v>
      </c>
      <c r="CT425" s="27" t="s">
        <v>7</v>
      </c>
      <c r="CU425" s="27" t="s">
        <v>8</v>
      </c>
      <c r="CX425" s="27" t="s">
        <v>7</v>
      </c>
      <c r="CY425" s="27" t="s">
        <v>8</v>
      </c>
      <c r="CZ425" s="27" t="s">
        <v>7</v>
      </c>
      <c r="DA425" s="27" t="s">
        <v>8</v>
      </c>
      <c r="DB425" s="27" t="s">
        <v>7</v>
      </c>
      <c r="DC425" s="27" t="s">
        <v>8</v>
      </c>
      <c r="DD425" s="27" t="s">
        <v>7</v>
      </c>
      <c r="DE425" s="27" t="s">
        <v>8</v>
      </c>
      <c r="DF425" s="27" t="s">
        <v>7</v>
      </c>
      <c r="DG425" s="27" t="s">
        <v>8</v>
      </c>
      <c r="DH425" s="27" t="s">
        <v>7</v>
      </c>
      <c r="DM425" s="27" t="s">
        <v>8</v>
      </c>
      <c r="DN425" s="27" t="s">
        <v>7</v>
      </c>
      <c r="DU425" s="27" t="s">
        <v>8</v>
      </c>
      <c r="DV425" s="27" t="s">
        <v>7</v>
      </c>
      <c r="DW425" s="27" t="s">
        <v>8</v>
      </c>
      <c r="EH425" s="27" t="s">
        <v>7</v>
      </c>
      <c r="EV425" s="27" t="s">
        <v>7</v>
      </c>
      <c r="EX425" s="27" t="s">
        <v>7</v>
      </c>
      <c r="EY425" s="27" t="s">
        <v>8</v>
      </c>
      <c r="FB425" s="27" t="s">
        <v>7</v>
      </c>
    </row>
    <row r="426" spans="1:158" x14ac:dyDescent="0.25">
      <c r="A426" s="7">
        <v>24.24530510409388</v>
      </c>
      <c r="B426"/>
      <c r="C426"/>
      <c r="D426"/>
      <c r="E426" t="s">
        <v>8</v>
      </c>
      <c r="AF426" s="27" t="s">
        <v>7</v>
      </c>
      <c r="AG426" s="27" t="s">
        <v>8</v>
      </c>
      <c r="AH426" s="27" t="s">
        <v>7</v>
      </c>
      <c r="AX426" s="27" t="s">
        <v>7</v>
      </c>
      <c r="AY426" s="27" t="s">
        <v>8</v>
      </c>
      <c r="AZ426" s="27" t="s">
        <v>7</v>
      </c>
      <c r="CS426" s="27" t="s">
        <v>8</v>
      </c>
      <c r="CT426" s="27" t="s">
        <v>7</v>
      </c>
      <c r="CU426" s="27" t="s">
        <v>8</v>
      </c>
      <c r="CX426" s="27" t="s">
        <v>7</v>
      </c>
      <c r="CY426" s="27" t="s">
        <v>8</v>
      </c>
      <c r="CZ426" s="27" t="s">
        <v>7</v>
      </c>
      <c r="DB426" s="27" t="s">
        <v>7</v>
      </c>
      <c r="DC426" s="27" t="s">
        <v>8</v>
      </c>
      <c r="DD426" s="27" t="s">
        <v>7</v>
      </c>
      <c r="DE426" s="27" t="s">
        <v>8</v>
      </c>
      <c r="DF426" s="27" t="s">
        <v>7</v>
      </c>
      <c r="DH426" s="27" t="s">
        <v>7</v>
      </c>
      <c r="DM426" s="27" t="s">
        <v>8</v>
      </c>
      <c r="DN426" s="27" t="s">
        <v>7</v>
      </c>
      <c r="DU426" s="27" t="s">
        <v>8</v>
      </c>
      <c r="DV426" s="27" t="s">
        <v>7</v>
      </c>
      <c r="DW426" s="27" t="s">
        <v>8</v>
      </c>
      <c r="EX426" s="27" t="s">
        <v>7</v>
      </c>
      <c r="EY426" s="27" t="s">
        <v>8</v>
      </c>
      <c r="FB426" s="27" t="s">
        <v>7</v>
      </c>
    </row>
    <row r="427" spans="1:158" x14ac:dyDescent="0.25">
      <c r="A427" s="7">
        <v>23.769906964797922</v>
      </c>
      <c r="B427"/>
      <c r="C427"/>
      <c r="D427"/>
      <c r="E427" t="s">
        <v>8</v>
      </c>
      <c r="AF427" s="27" t="s">
        <v>7</v>
      </c>
      <c r="AX427" s="27" t="s">
        <v>7</v>
      </c>
      <c r="AZ427" s="27" t="s">
        <v>7</v>
      </c>
      <c r="CS427" s="27" t="s">
        <v>8</v>
      </c>
      <c r="CT427" s="27" t="s">
        <v>7</v>
      </c>
      <c r="CU427" s="27" t="s">
        <v>8</v>
      </c>
      <c r="CX427" s="27" t="s">
        <v>7</v>
      </c>
      <c r="CY427" s="27" t="s">
        <v>8</v>
      </c>
      <c r="DB427" s="27" t="s">
        <v>7</v>
      </c>
      <c r="DC427" s="27" t="s">
        <v>8</v>
      </c>
      <c r="DD427" s="27" t="s">
        <v>7</v>
      </c>
      <c r="DE427" s="27" t="s">
        <v>8</v>
      </c>
      <c r="DH427" s="27" t="s">
        <v>7</v>
      </c>
      <c r="DM427" s="27" t="s">
        <v>8</v>
      </c>
      <c r="DN427" s="27" t="s">
        <v>7</v>
      </c>
      <c r="DU427" s="27" t="s">
        <v>8</v>
      </c>
      <c r="DV427" s="27" t="s">
        <v>7</v>
      </c>
      <c r="DW427" s="27" t="s">
        <v>8</v>
      </c>
      <c r="EX427" s="27" t="s">
        <v>7</v>
      </c>
      <c r="EY427" s="27" t="s">
        <v>8</v>
      </c>
      <c r="FB427" s="27" t="s">
        <v>7</v>
      </c>
    </row>
    <row r="428" spans="1:158" x14ac:dyDescent="0.25">
      <c r="A428" s="7">
        <v>23.303830357645023</v>
      </c>
      <c r="B428"/>
      <c r="C428"/>
      <c r="D428"/>
      <c r="E428" t="s">
        <v>8</v>
      </c>
      <c r="AZ428" s="27" t="s">
        <v>7</v>
      </c>
      <c r="CS428" s="27" t="s">
        <v>8</v>
      </c>
      <c r="CT428" s="27" t="s">
        <v>7</v>
      </c>
      <c r="CU428" s="27" t="s">
        <v>8</v>
      </c>
      <c r="CX428" s="27" t="s">
        <v>7</v>
      </c>
      <c r="CY428" s="27" t="s">
        <v>8</v>
      </c>
      <c r="DB428" s="27" t="s">
        <v>7</v>
      </c>
      <c r="DC428" s="27" t="s">
        <v>8</v>
      </c>
      <c r="DD428" s="27" t="s">
        <v>7</v>
      </c>
      <c r="DE428" s="27" t="s">
        <v>8</v>
      </c>
      <c r="DH428" s="27" t="s">
        <v>7</v>
      </c>
      <c r="DM428" s="27" t="s">
        <v>8</v>
      </c>
      <c r="DN428" s="27" t="s">
        <v>7</v>
      </c>
      <c r="DU428" s="27" t="s">
        <v>8</v>
      </c>
      <c r="DV428" s="27" t="s">
        <v>7</v>
      </c>
      <c r="DW428" s="27" t="s">
        <v>8</v>
      </c>
      <c r="EX428" s="27" t="s">
        <v>7</v>
      </c>
      <c r="EY428" s="27" t="s">
        <v>8</v>
      </c>
      <c r="FB428" s="27" t="s">
        <v>7</v>
      </c>
    </row>
    <row r="429" spans="1:158" x14ac:dyDescent="0.25">
      <c r="A429" s="7">
        <v>22.84689250749512</v>
      </c>
      <c r="B429"/>
      <c r="C429"/>
      <c r="D429"/>
      <c r="E429" t="s">
        <v>8</v>
      </c>
      <c r="AZ429" s="27" t="s">
        <v>7</v>
      </c>
      <c r="CS429" s="27" t="s">
        <v>8</v>
      </c>
      <c r="CT429" s="27" t="s">
        <v>7</v>
      </c>
      <c r="CU429" s="27" t="s">
        <v>8</v>
      </c>
      <c r="CX429" s="27" t="s">
        <v>7</v>
      </c>
      <c r="CY429" s="27" t="s">
        <v>8</v>
      </c>
      <c r="DB429" s="27" t="s">
        <v>7</v>
      </c>
      <c r="DC429" s="27" t="s">
        <v>8</v>
      </c>
      <c r="DD429" s="27" t="s">
        <v>7</v>
      </c>
      <c r="DE429" s="27" t="s">
        <v>8</v>
      </c>
      <c r="DH429" s="27" t="s">
        <v>7</v>
      </c>
      <c r="DM429" s="27" t="s">
        <v>8</v>
      </c>
      <c r="DN429" s="27" t="s">
        <v>7</v>
      </c>
      <c r="DU429" s="27" t="s">
        <v>8</v>
      </c>
      <c r="DV429" s="27" t="s">
        <v>7</v>
      </c>
      <c r="DW429" s="27" t="s">
        <v>8</v>
      </c>
      <c r="EX429" s="27" t="s">
        <v>7</v>
      </c>
      <c r="FB429" s="27" t="s">
        <v>7</v>
      </c>
    </row>
    <row r="430" spans="1:158" x14ac:dyDescent="0.25">
      <c r="A430" s="7">
        <v>22.398914223034431</v>
      </c>
      <c r="B430"/>
      <c r="C430"/>
      <c r="D430"/>
      <c r="E430" t="s">
        <v>8</v>
      </c>
      <c r="AZ430" s="27" t="s">
        <v>7</v>
      </c>
      <c r="CS430" s="27" t="s">
        <v>8</v>
      </c>
      <c r="CT430" s="27" t="s">
        <v>7</v>
      </c>
      <c r="CU430" s="27" t="s">
        <v>8</v>
      </c>
      <c r="CX430" s="27" t="s">
        <v>7</v>
      </c>
      <c r="DB430" s="27" t="s">
        <v>7</v>
      </c>
      <c r="DC430" s="27" t="s">
        <v>8</v>
      </c>
      <c r="DD430" s="27" t="s">
        <v>7</v>
      </c>
      <c r="DE430" s="27" t="s">
        <v>8</v>
      </c>
      <c r="DH430" s="27" t="s">
        <v>7</v>
      </c>
      <c r="DM430" s="27" t="s">
        <v>8</v>
      </c>
      <c r="DN430" s="27" t="s">
        <v>7</v>
      </c>
      <c r="DU430" s="27" t="s">
        <v>8</v>
      </c>
      <c r="DV430" s="27" t="s">
        <v>7</v>
      </c>
      <c r="FB430" s="27" t="s">
        <v>7</v>
      </c>
    </row>
    <row r="431" spans="1:158" x14ac:dyDescent="0.25">
      <c r="A431" s="7">
        <v>21.959719826504344</v>
      </c>
      <c r="B431"/>
      <c r="C431"/>
      <c r="D431"/>
      <c r="E431" t="s">
        <v>8</v>
      </c>
      <c r="AZ431" s="27" t="s">
        <v>7</v>
      </c>
      <c r="CS431" s="27" t="s">
        <v>8</v>
      </c>
      <c r="CT431" s="27" t="s">
        <v>7</v>
      </c>
      <c r="CU431" s="27" t="s">
        <v>8</v>
      </c>
      <c r="DB431" s="27" t="s">
        <v>7</v>
      </c>
      <c r="DC431" s="27" t="s">
        <v>8</v>
      </c>
      <c r="DD431" s="27" t="s">
        <v>7</v>
      </c>
      <c r="DH431" s="27" t="s">
        <v>7</v>
      </c>
      <c r="DM431" s="27" t="s">
        <v>8</v>
      </c>
      <c r="DN431" s="27" t="s">
        <v>7</v>
      </c>
      <c r="DU431" s="27" t="s">
        <v>8</v>
      </c>
      <c r="FB431" s="27" t="s">
        <v>7</v>
      </c>
    </row>
    <row r="432" spans="1:158" x14ac:dyDescent="0.25">
      <c r="A432" s="7">
        <v>21.52913708480818</v>
      </c>
      <c r="B432"/>
      <c r="C432"/>
      <c r="D432"/>
      <c r="E432" t="s">
        <v>8</v>
      </c>
      <c r="AZ432" s="27" t="s">
        <v>7</v>
      </c>
      <c r="CS432" s="27" t="s">
        <v>8</v>
      </c>
      <c r="CT432" s="27" t="s">
        <v>7</v>
      </c>
      <c r="DB432" s="27" t="s">
        <v>7</v>
      </c>
      <c r="DC432" s="27" t="s">
        <v>8</v>
      </c>
      <c r="DH432" s="27" t="s">
        <v>7</v>
      </c>
      <c r="DM432" s="27" t="s">
        <v>8</v>
      </c>
      <c r="DN432" s="27" t="s">
        <v>7</v>
      </c>
      <c r="DU432" s="27" t="s">
        <v>8</v>
      </c>
      <c r="FB432" s="27" t="s">
        <v>7</v>
      </c>
    </row>
    <row r="433" spans="1:180" x14ac:dyDescent="0.25">
      <c r="A433" s="7">
        <v>21.106997141968804</v>
      </c>
      <c r="B433"/>
      <c r="C433"/>
      <c r="D433"/>
      <c r="E433" t="s">
        <v>8</v>
      </c>
      <c r="AZ433" s="27" t="s">
        <v>7</v>
      </c>
      <c r="CS433" s="27" t="s">
        <v>8</v>
      </c>
      <c r="DB433" s="27" t="s">
        <v>7</v>
      </c>
      <c r="DC433" s="27" t="s">
        <v>8</v>
      </c>
      <c r="DH433" s="27" t="s">
        <v>7</v>
      </c>
      <c r="DM433" s="27" t="s">
        <v>8</v>
      </c>
      <c r="DN433" s="27" t="s">
        <v>7</v>
      </c>
      <c r="DU433" s="27" t="s">
        <v>8</v>
      </c>
      <c r="FB433" s="27" t="s">
        <v>7</v>
      </c>
    </row>
    <row r="434" spans="1:180" x14ac:dyDescent="0.25">
      <c r="A434" s="7">
        <v>20.693134452910591</v>
      </c>
      <c r="B434"/>
      <c r="C434"/>
      <c r="D434"/>
      <c r="E434" t="s">
        <v>8</v>
      </c>
      <c r="AZ434" s="27" t="s">
        <v>7</v>
      </c>
      <c r="CS434" s="27" t="s">
        <v>8</v>
      </c>
      <c r="DB434" s="27" t="s">
        <v>7</v>
      </c>
      <c r="DC434" s="27" t="s">
        <v>8</v>
      </c>
      <c r="DH434" s="27" t="s">
        <v>7</v>
      </c>
      <c r="DM434" s="27" t="s">
        <v>8</v>
      </c>
      <c r="DN434" s="27" t="s">
        <v>7</v>
      </c>
      <c r="DU434" s="27" t="s">
        <v>8</v>
      </c>
      <c r="FB434" s="27" t="s">
        <v>7</v>
      </c>
    </row>
    <row r="435" spans="1:180" x14ac:dyDescent="0.25">
      <c r="A435" s="7">
        <v>20.287386718539796</v>
      </c>
      <c r="B435"/>
      <c r="C435"/>
      <c r="D435"/>
      <c r="E435" t="s">
        <v>8</v>
      </c>
      <c r="AZ435" s="27" t="s">
        <v>7</v>
      </c>
      <c r="BI435" s="27" t="s">
        <v>8</v>
      </c>
      <c r="CS435" s="27" t="s">
        <v>8</v>
      </c>
      <c r="DB435" s="27" t="s">
        <v>7</v>
      </c>
      <c r="DH435" s="27" t="s">
        <v>7</v>
      </c>
      <c r="DI435" s="27" t="s">
        <v>8</v>
      </c>
      <c r="DM435" s="27" t="s">
        <v>8</v>
      </c>
      <c r="DN435" s="27" t="s">
        <v>7</v>
      </c>
      <c r="DO435" s="27" t="s">
        <v>8</v>
      </c>
      <c r="DS435" s="27" t="s">
        <v>8</v>
      </c>
      <c r="DU435" s="27" t="s">
        <v>8</v>
      </c>
      <c r="FB435" s="27" t="s">
        <v>7</v>
      </c>
      <c r="FG435" s="27" t="s">
        <v>8</v>
      </c>
    </row>
    <row r="436" spans="1:180" x14ac:dyDescent="0.25">
      <c r="A436" s="7">
        <v>19.889594822097838</v>
      </c>
      <c r="B436"/>
      <c r="C436"/>
      <c r="D436"/>
      <c r="E436" t="s">
        <v>8</v>
      </c>
      <c r="AZ436" s="27" t="s">
        <v>7</v>
      </c>
      <c r="BI436" s="27" t="s">
        <v>8</v>
      </c>
      <c r="BJ436" s="27" t="s">
        <v>7</v>
      </c>
      <c r="CS436" s="27" t="s">
        <v>8</v>
      </c>
      <c r="DH436" s="27" t="s">
        <v>7</v>
      </c>
      <c r="DI436" s="27" t="s">
        <v>8</v>
      </c>
      <c r="DJ436" s="27" t="s">
        <v>7</v>
      </c>
      <c r="DM436" s="27" t="s">
        <v>8</v>
      </c>
      <c r="DN436" s="27" t="s">
        <v>7</v>
      </c>
      <c r="DO436" s="27" t="s">
        <v>8</v>
      </c>
      <c r="DP436" s="27" t="s">
        <v>7</v>
      </c>
      <c r="DS436" s="27" t="s">
        <v>8</v>
      </c>
      <c r="DT436" s="27" t="s">
        <v>7</v>
      </c>
      <c r="DU436" s="27" t="s">
        <v>8</v>
      </c>
      <c r="FB436" s="27" t="s">
        <v>7</v>
      </c>
      <c r="FG436" s="27" t="s">
        <v>8</v>
      </c>
      <c r="FH436" s="27" t="s">
        <v>7</v>
      </c>
    </row>
    <row r="437" spans="1:180" x14ac:dyDescent="0.25">
      <c r="A437" s="7">
        <v>19.499602766762585</v>
      </c>
      <c r="B437"/>
      <c r="C437"/>
      <c r="D437"/>
      <c r="E437" t="s">
        <v>8</v>
      </c>
      <c r="AZ437" s="27" t="s">
        <v>7</v>
      </c>
      <c r="BA437" s="27" t="s">
        <v>8</v>
      </c>
      <c r="BI437" s="27" t="s">
        <v>8</v>
      </c>
      <c r="BJ437" s="27" t="s">
        <v>7</v>
      </c>
      <c r="CS437" s="27" t="s">
        <v>8</v>
      </c>
      <c r="DH437" s="27" t="s">
        <v>7</v>
      </c>
      <c r="DI437" s="27" t="s">
        <v>8</v>
      </c>
      <c r="DJ437" s="27" t="s">
        <v>7</v>
      </c>
      <c r="DM437" s="27" t="s">
        <v>8</v>
      </c>
      <c r="DN437" s="27" t="s">
        <v>7</v>
      </c>
      <c r="DO437" s="27" t="s">
        <v>8</v>
      </c>
      <c r="DP437" s="27" t="s">
        <v>7</v>
      </c>
      <c r="DS437" s="27" t="s">
        <v>8</v>
      </c>
      <c r="DT437" s="27" t="s">
        <v>7</v>
      </c>
      <c r="DU437" s="27" t="s">
        <v>8</v>
      </c>
      <c r="FB437" s="27" t="s">
        <v>7</v>
      </c>
      <c r="FG437" s="27" t="s">
        <v>8</v>
      </c>
      <c r="FH437" s="27" t="s">
        <v>7</v>
      </c>
      <c r="FM437" s="27" t="s">
        <v>8</v>
      </c>
    </row>
    <row r="438" spans="1:180" x14ac:dyDescent="0.25">
      <c r="A438" s="7">
        <v>19.117257614473122</v>
      </c>
      <c r="B438"/>
      <c r="C438"/>
      <c r="D438"/>
      <c r="E438" t="s">
        <v>8</v>
      </c>
      <c r="AZ438" s="27" t="s">
        <v>7</v>
      </c>
      <c r="BA438" s="27" t="s">
        <v>8</v>
      </c>
      <c r="BB438" s="27" t="s">
        <v>7</v>
      </c>
      <c r="BI438" s="27" t="s">
        <v>8</v>
      </c>
      <c r="BJ438" s="27" t="s">
        <v>7</v>
      </c>
      <c r="CS438" s="27" t="s">
        <v>8</v>
      </c>
      <c r="DH438" s="27" t="s">
        <v>7</v>
      </c>
      <c r="DI438" s="27" t="s">
        <v>8</v>
      </c>
      <c r="DJ438" s="27" t="s">
        <v>7</v>
      </c>
      <c r="DK438" s="27" t="s">
        <v>8</v>
      </c>
      <c r="DM438" s="27" t="s">
        <v>8</v>
      </c>
      <c r="DN438" s="27" t="s">
        <v>7</v>
      </c>
      <c r="DO438" s="27" t="s">
        <v>8</v>
      </c>
      <c r="DP438" s="27" t="s">
        <v>7</v>
      </c>
      <c r="DS438" s="27" t="s">
        <v>8</v>
      </c>
      <c r="DT438" s="27" t="s">
        <v>7</v>
      </c>
      <c r="DU438" s="27" t="s">
        <v>8</v>
      </c>
      <c r="FB438" s="27" t="s">
        <v>7</v>
      </c>
      <c r="FG438" s="27" t="s">
        <v>8</v>
      </c>
      <c r="FH438" s="27" t="s">
        <v>7</v>
      </c>
      <c r="FM438" s="27" t="s">
        <v>8</v>
      </c>
      <c r="FN438" s="27" t="s">
        <v>7</v>
      </c>
    </row>
    <row r="439" spans="1:180" x14ac:dyDescent="0.25">
      <c r="A439" s="7">
        <v>18.74240942595404</v>
      </c>
      <c r="B439"/>
      <c r="C439"/>
      <c r="D439"/>
      <c r="E439" t="s">
        <v>8</v>
      </c>
      <c r="AZ439" s="27" t="s">
        <v>7</v>
      </c>
      <c r="BA439" s="27" t="s">
        <v>8</v>
      </c>
      <c r="BB439" s="27" t="s">
        <v>7</v>
      </c>
      <c r="BI439" s="27" t="s">
        <v>8</v>
      </c>
      <c r="BJ439" s="27" t="s">
        <v>7</v>
      </c>
      <c r="CS439" s="27" t="s">
        <v>8</v>
      </c>
      <c r="DH439" s="27" t="s">
        <v>7</v>
      </c>
      <c r="DI439" s="27" t="s">
        <v>8</v>
      </c>
      <c r="DJ439" s="27" t="s">
        <v>7</v>
      </c>
      <c r="DK439" s="27" t="s">
        <v>8</v>
      </c>
      <c r="DL439" s="27" t="s">
        <v>7</v>
      </c>
      <c r="DM439" s="27" t="s">
        <v>8</v>
      </c>
      <c r="DN439" s="27" t="s">
        <v>7</v>
      </c>
      <c r="DO439" s="27" t="s">
        <v>8</v>
      </c>
      <c r="DP439" s="27" t="s">
        <v>7</v>
      </c>
      <c r="DS439" s="27" t="s">
        <v>8</v>
      </c>
      <c r="DT439" s="27" t="s">
        <v>7</v>
      </c>
      <c r="DU439" s="27" t="s">
        <v>8</v>
      </c>
      <c r="FB439" s="27" t="s">
        <v>7</v>
      </c>
      <c r="FG439" s="27" t="s">
        <v>8</v>
      </c>
      <c r="FH439" s="27" t="s">
        <v>7</v>
      </c>
      <c r="FM439" s="27" t="s">
        <v>8</v>
      </c>
      <c r="FN439" s="27" t="s">
        <v>7</v>
      </c>
    </row>
    <row r="440" spans="1:180" x14ac:dyDescent="0.25">
      <c r="A440" s="7">
        <v>18.374911201915726</v>
      </c>
      <c r="B440"/>
      <c r="C440"/>
      <c r="D440"/>
      <c r="E440" t="s">
        <v>8</v>
      </c>
      <c r="AZ440" s="27" t="s">
        <v>7</v>
      </c>
      <c r="BA440" s="27" t="s">
        <v>8</v>
      </c>
      <c r="BB440" s="27" t="s">
        <v>7</v>
      </c>
      <c r="BI440" s="27" t="s">
        <v>8</v>
      </c>
      <c r="BJ440" s="27" t="s">
        <v>7</v>
      </c>
      <c r="CS440" s="27" t="s">
        <v>8</v>
      </c>
      <c r="DH440" s="27" t="s">
        <v>7</v>
      </c>
      <c r="DI440" s="27" t="s">
        <v>8</v>
      </c>
      <c r="DJ440" s="27" t="s">
        <v>7</v>
      </c>
      <c r="DK440" s="27" t="s">
        <v>8</v>
      </c>
      <c r="DL440" s="27" t="s">
        <v>7</v>
      </c>
      <c r="DM440" s="27" t="s">
        <v>8</v>
      </c>
      <c r="DN440" s="27" t="s">
        <v>7</v>
      </c>
      <c r="DO440" s="27" t="s">
        <v>8</v>
      </c>
      <c r="DP440" s="27" t="s">
        <v>7</v>
      </c>
      <c r="DS440" s="27" t="s">
        <v>8</v>
      </c>
      <c r="DT440" s="27" t="s">
        <v>7</v>
      </c>
      <c r="DU440" s="27" t="s">
        <v>8</v>
      </c>
      <c r="FB440" s="27" t="s">
        <v>7</v>
      </c>
      <c r="FG440" s="27" t="s">
        <v>8</v>
      </c>
      <c r="FH440" s="27" t="s">
        <v>7</v>
      </c>
      <c r="FM440" s="27" t="s">
        <v>8</v>
      </c>
      <c r="FN440" s="27" t="s">
        <v>7</v>
      </c>
    </row>
    <row r="441" spans="1:180" x14ac:dyDescent="0.25">
      <c r="A441" s="7">
        <v>18.014618825407574</v>
      </c>
      <c r="B441"/>
      <c r="C441"/>
      <c r="D441"/>
      <c r="E441" t="s">
        <v>8</v>
      </c>
      <c r="AZ441" s="27" t="s">
        <v>7</v>
      </c>
      <c r="BA441" s="27" t="s">
        <v>8</v>
      </c>
      <c r="BB441" s="27" t="s">
        <v>7</v>
      </c>
      <c r="BI441" s="27" t="s">
        <v>8</v>
      </c>
      <c r="BJ441" s="27" t="s">
        <v>7</v>
      </c>
      <c r="CS441" s="27" t="s">
        <v>8</v>
      </c>
      <c r="DH441" s="27" t="s">
        <v>7</v>
      </c>
      <c r="DI441" s="27" t="s">
        <v>8</v>
      </c>
      <c r="DJ441" s="27" t="s">
        <v>7</v>
      </c>
      <c r="DL441" s="27" t="s">
        <v>7</v>
      </c>
      <c r="DM441" s="27" t="s">
        <v>8</v>
      </c>
      <c r="DN441" s="27" t="s">
        <v>7</v>
      </c>
      <c r="DO441" s="27" t="s">
        <v>8</v>
      </c>
      <c r="DP441" s="27" t="s">
        <v>7</v>
      </c>
      <c r="DQ441" s="27" t="s">
        <v>8</v>
      </c>
      <c r="DS441" s="27" t="s">
        <v>8</v>
      </c>
      <c r="DT441" s="27" t="s">
        <v>7</v>
      </c>
      <c r="FB441" s="27" t="s">
        <v>7</v>
      </c>
      <c r="FG441" s="27" t="s">
        <v>8</v>
      </c>
      <c r="FH441" s="27" t="s">
        <v>7</v>
      </c>
      <c r="FM441" s="27" t="s">
        <v>8</v>
      </c>
      <c r="FN441" s="27" t="s">
        <v>7</v>
      </c>
    </row>
    <row r="442" spans="1:180" x14ac:dyDescent="0.25">
      <c r="A442" s="7">
        <v>17.661391005301542</v>
      </c>
      <c r="B442"/>
      <c r="C442"/>
      <c r="D442"/>
      <c r="E442" t="s">
        <v>8</v>
      </c>
      <c r="AZ442" s="27" t="s">
        <v>7</v>
      </c>
      <c r="BA442" s="27" t="s">
        <v>8</v>
      </c>
      <c r="BB442" s="27" t="s">
        <v>7</v>
      </c>
      <c r="BI442" s="27" t="s">
        <v>8</v>
      </c>
      <c r="BJ442" s="27" t="s">
        <v>7</v>
      </c>
      <c r="CS442" s="27" t="s">
        <v>8</v>
      </c>
      <c r="DH442" s="27" t="s">
        <v>7</v>
      </c>
      <c r="DL442" s="27" t="s">
        <v>7</v>
      </c>
      <c r="DM442" s="27" t="s">
        <v>8</v>
      </c>
      <c r="DN442" s="27" t="s">
        <v>7</v>
      </c>
      <c r="DO442" s="27" t="s">
        <v>8</v>
      </c>
      <c r="DP442" s="27" t="s">
        <v>7</v>
      </c>
      <c r="DQ442" s="27" t="s">
        <v>8</v>
      </c>
      <c r="DR442" s="27" t="s">
        <v>7</v>
      </c>
      <c r="DS442" s="27" t="s">
        <v>8</v>
      </c>
      <c r="FB442" s="27" t="s">
        <v>7</v>
      </c>
      <c r="FG442" s="27" t="s">
        <v>8</v>
      </c>
      <c r="FH442" s="27" t="s">
        <v>7</v>
      </c>
      <c r="FK442" s="27" t="s">
        <v>8</v>
      </c>
      <c r="FM442" s="27" t="s">
        <v>8</v>
      </c>
      <c r="FN442" s="27" t="s">
        <v>7</v>
      </c>
      <c r="FW442" s="27" t="s">
        <v>8</v>
      </c>
    </row>
    <row r="443" spans="1:180" x14ac:dyDescent="0.25">
      <c r="A443" s="7">
        <v>17.315089220883866</v>
      </c>
      <c r="B443"/>
      <c r="C443"/>
      <c r="D443"/>
      <c r="E443" t="s">
        <v>8</v>
      </c>
      <c r="AZ443" s="27" t="s">
        <v>7</v>
      </c>
      <c r="BA443" s="27" t="s">
        <v>8</v>
      </c>
      <c r="BB443" s="27" t="s">
        <v>7</v>
      </c>
      <c r="BI443" s="27" t="s">
        <v>8</v>
      </c>
      <c r="BJ443" s="27" t="s">
        <v>7</v>
      </c>
      <c r="CS443" s="27" t="s">
        <v>8</v>
      </c>
      <c r="DL443" s="27" t="s">
        <v>7</v>
      </c>
      <c r="DM443" s="27" t="s">
        <v>8</v>
      </c>
      <c r="DN443" s="27" t="s">
        <v>7</v>
      </c>
      <c r="DO443" s="27" t="s">
        <v>8</v>
      </c>
      <c r="DP443" s="27" t="s">
        <v>7</v>
      </c>
      <c r="DQ443" s="27" t="s">
        <v>8</v>
      </c>
      <c r="DR443" s="27" t="s">
        <v>7</v>
      </c>
      <c r="DS443" s="27" t="s">
        <v>8</v>
      </c>
      <c r="FB443" s="27" t="s">
        <v>7</v>
      </c>
      <c r="FG443" s="27" t="s">
        <v>8</v>
      </c>
      <c r="FH443" s="27" t="s">
        <v>7</v>
      </c>
      <c r="FI443" s="27" t="s">
        <v>8</v>
      </c>
      <c r="FK443" s="27" t="s">
        <v>8</v>
      </c>
      <c r="FL443" s="27" t="s">
        <v>7</v>
      </c>
      <c r="FM443" s="27" t="s">
        <v>8</v>
      </c>
      <c r="FN443" s="27" t="s">
        <v>7</v>
      </c>
      <c r="FW443" s="27" t="s">
        <v>8</v>
      </c>
      <c r="FX443" s="27" t="s">
        <v>7</v>
      </c>
    </row>
    <row r="444" spans="1:180" x14ac:dyDescent="0.25">
      <c r="A444" s="7">
        <v>16.975577667533202</v>
      </c>
      <c r="B444"/>
      <c r="C444"/>
      <c r="D444"/>
      <c r="E444" t="s">
        <v>8</v>
      </c>
      <c r="AZ444" s="27" t="s">
        <v>7</v>
      </c>
      <c r="BA444" s="27" t="s">
        <v>8</v>
      </c>
      <c r="BB444" s="27" t="s">
        <v>7</v>
      </c>
      <c r="BI444" s="27" t="s">
        <v>8</v>
      </c>
      <c r="BJ444" s="27" t="s">
        <v>7</v>
      </c>
      <c r="BK444" s="27" t="s">
        <v>8</v>
      </c>
      <c r="CS444" s="27" t="s">
        <v>8</v>
      </c>
      <c r="DL444" s="27" t="s">
        <v>7</v>
      </c>
      <c r="DN444" s="27" t="s">
        <v>7</v>
      </c>
      <c r="DO444" s="27" t="s">
        <v>8</v>
      </c>
      <c r="DP444" s="27" t="s">
        <v>7</v>
      </c>
      <c r="DQ444" s="27" t="s">
        <v>8</v>
      </c>
      <c r="DR444" s="27" t="s">
        <v>7</v>
      </c>
      <c r="DS444" s="27" t="s">
        <v>8</v>
      </c>
      <c r="FB444" s="27" t="s">
        <v>7</v>
      </c>
      <c r="FG444" s="27" t="s">
        <v>8</v>
      </c>
      <c r="FH444" s="27" t="s">
        <v>7</v>
      </c>
      <c r="FI444" s="27" t="s">
        <v>8</v>
      </c>
      <c r="FJ444" s="27" t="s">
        <v>7</v>
      </c>
      <c r="FK444" s="27" t="s">
        <v>8</v>
      </c>
      <c r="FL444" s="27" t="s">
        <v>7</v>
      </c>
      <c r="FM444" s="27" t="s">
        <v>8</v>
      </c>
      <c r="FN444" s="27" t="s">
        <v>7</v>
      </c>
      <c r="FW444" s="27" t="s">
        <v>8</v>
      </c>
      <c r="FX444" s="27" t="s">
        <v>7</v>
      </c>
    </row>
    <row r="445" spans="1:180" x14ac:dyDescent="0.25">
      <c r="A445" s="7">
        <v>16.642723203463923</v>
      </c>
      <c r="B445"/>
      <c r="C445"/>
      <c r="D445"/>
      <c r="E445" t="s">
        <v>8</v>
      </c>
      <c r="AZ445" s="27" t="s">
        <v>7</v>
      </c>
      <c r="BA445" s="27" t="s">
        <v>8</v>
      </c>
      <c r="BB445" s="27" t="s">
        <v>7</v>
      </c>
      <c r="BI445" s="27" t="s">
        <v>8</v>
      </c>
      <c r="BJ445" s="27" t="s">
        <v>7</v>
      </c>
      <c r="BK445" s="27" t="s">
        <v>8</v>
      </c>
      <c r="BL445" s="27" t="s">
        <v>7</v>
      </c>
      <c r="CS445" s="27" t="s">
        <v>8</v>
      </c>
      <c r="DN445" s="27" t="s">
        <v>7</v>
      </c>
      <c r="DO445" s="27" t="s">
        <v>8</v>
      </c>
      <c r="DP445" s="27" t="s">
        <v>7</v>
      </c>
      <c r="DQ445" s="27" t="s">
        <v>8</v>
      </c>
      <c r="DR445" s="27" t="s">
        <v>7</v>
      </c>
      <c r="DS445" s="27" t="s">
        <v>8</v>
      </c>
      <c r="FB445" s="27" t="s">
        <v>7</v>
      </c>
      <c r="FG445" s="27" t="s">
        <v>8</v>
      </c>
      <c r="FH445" s="27" t="s">
        <v>7</v>
      </c>
      <c r="FI445" s="27" t="s">
        <v>8</v>
      </c>
      <c r="FJ445" s="27" t="s">
        <v>7</v>
      </c>
      <c r="FK445" s="27" t="s">
        <v>8</v>
      </c>
      <c r="FL445" s="27" t="s">
        <v>7</v>
      </c>
      <c r="FN445" s="27" t="s">
        <v>7</v>
      </c>
      <c r="FO445" s="27" t="s">
        <v>8</v>
      </c>
      <c r="FW445" s="27" t="s">
        <v>8</v>
      </c>
      <c r="FX445" s="27" t="s">
        <v>7</v>
      </c>
    </row>
    <row r="446" spans="1:180" x14ac:dyDescent="0.25">
      <c r="A446" s="7">
        <v>16.316395297513651</v>
      </c>
      <c r="B446"/>
      <c r="C446"/>
      <c r="D446"/>
      <c r="E446" t="s">
        <v>8</v>
      </c>
      <c r="AZ446" s="27" t="s">
        <v>7</v>
      </c>
      <c r="BA446" s="27" t="s">
        <v>8</v>
      </c>
      <c r="BB446" s="27" t="s">
        <v>7</v>
      </c>
      <c r="BI446" s="27" t="s">
        <v>8</v>
      </c>
      <c r="BJ446" s="27" t="s">
        <v>7</v>
      </c>
      <c r="BK446" s="27" t="s">
        <v>8</v>
      </c>
      <c r="BL446" s="27" t="s">
        <v>7</v>
      </c>
      <c r="CS446" s="27" t="s">
        <v>8</v>
      </c>
      <c r="DN446" s="27" t="s">
        <v>7</v>
      </c>
      <c r="DO446" s="27" t="s">
        <v>8</v>
      </c>
      <c r="DP446" s="27" t="s">
        <v>7</v>
      </c>
      <c r="DR446" s="27" t="s">
        <v>7</v>
      </c>
      <c r="DS446" s="27" t="s">
        <v>8</v>
      </c>
      <c r="FB446" s="27" t="s">
        <v>7</v>
      </c>
      <c r="FC446" s="27" t="s">
        <v>8</v>
      </c>
      <c r="FG446" s="27" t="s">
        <v>8</v>
      </c>
      <c r="FH446" s="27" t="s">
        <v>7</v>
      </c>
      <c r="FI446" s="27" t="s">
        <v>8</v>
      </c>
      <c r="FJ446" s="27" t="s">
        <v>7</v>
      </c>
      <c r="FK446" s="27" t="s">
        <v>8</v>
      </c>
      <c r="FN446" s="27" t="s">
        <v>7</v>
      </c>
      <c r="FO446" s="27" t="s">
        <v>8</v>
      </c>
      <c r="FP446" s="27" t="s">
        <v>7</v>
      </c>
      <c r="FW446" s="27" t="s">
        <v>8</v>
      </c>
      <c r="FX446" s="27" t="s">
        <v>7</v>
      </c>
    </row>
    <row r="447" spans="1:180" x14ac:dyDescent="0.25">
      <c r="A447" s="7">
        <v>15.996465977954561</v>
      </c>
      <c r="B447"/>
      <c r="C447"/>
      <c r="D447"/>
      <c r="E447" t="s">
        <v>8</v>
      </c>
      <c r="AZ447" s="27" t="s">
        <v>7</v>
      </c>
      <c r="BA447" s="27" t="s">
        <v>8</v>
      </c>
      <c r="BB447" s="27" t="s">
        <v>7</v>
      </c>
      <c r="BI447" s="27" t="s">
        <v>8</v>
      </c>
      <c r="BJ447" s="27" t="s">
        <v>7</v>
      </c>
      <c r="BK447" s="27" t="s">
        <v>8</v>
      </c>
      <c r="BL447" s="27" t="s">
        <v>7</v>
      </c>
      <c r="BM447" s="27" t="s">
        <v>8</v>
      </c>
      <c r="CS447" s="27" t="s">
        <v>8</v>
      </c>
      <c r="DN447" s="27" t="s">
        <v>7</v>
      </c>
      <c r="DR447" s="27" t="s">
        <v>7</v>
      </c>
      <c r="DS447" s="27" t="s">
        <v>8</v>
      </c>
      <c r="FB447" s="27" t="s">
        <v>7</v>
      </c>
      <c r="FC447" s="27" t="s">
        <v>8</v>
      </c>
      <c r="FD447" s="27" t="s">
        <v>7</v>
      </c>
      <c r="FG447" s="27" t="s">
        <v>8</v>
      </c>
      <c r="FH447" s="27" t="s">
        <v>7</v>
      </c>
      <c r="FI447" s="27" t="s">
        <v>8</v>
      </c>
      <c r="FJ447" s="27" t="s">
        <v>7</v>
      </c>
      <c r="FK447" s="27" t="s">
        <v>8</v>
      </c>
      <c r="FN447" s="27" t="s">
        <v>7</v>
      </c>
      <c r="FO447" s="27" t="s">
        <v>8</v>
      </c>
      <c r="FP447" s="27" t="s">
        <v>7</v>
      </c>
      <c r="FQ447" s="27" t="s">
        <v>8</v>
      </c>
      <c r="FW447" s="27" t="s">
        <v>8</v>
      </c>
      <c r="FX447" s="27" t="s">
        <v>7</v>
      </c>
    </row>
    <row r="448" spans="1:180" x14ac:dyDescent="0.25">
      <c r="A448" s="7">
        <v>15.682809782308393</v>
      </c>
      <c r="B448"/>
      <c r="C448"/>
      <c r="D448"/>
      <c r="E448" t="s">
        <v>8</v>
      </c>
      <c r="AZ448" s="27" t="s">
        <v>7</v>
      </c>
      <c r="BA448" s="27" t="s">
        <v>8</v>
      </c>
      <c r="BB448" s="27" t="s">
        <v>7</v>
      </c>
      <c r="BI448" s="27" t="s">
        <v>8</v>
      </c>
      <c r="BJ448" s="27" t="s">
        <v>7</v>
      </c>
      <c r="BK448" s="27" t="s">
        <v>8</v>
      </c>
      <c r="BL448" s="27" t="s">
        <v>7</v>
      </c>
      <c r="BM448" s="27" t="s">
        <v>8</v>
      </c>
      <c r="BN448" s="27" t="s">
        <v>7</v>
      </c>
      <c r="CS448" s="27" t="s">
        <v>8</v>
      </c>
      <c r="DR448" s="27" t="s">
        <v>7</v>
      </c>
      <c r="DS448" s="27" t="s">
        <v>8</v>
      </c>
      <c r="FB448" s="27" t="s">
        <v>7</v>
      </c>
      <c r="FC448" s="27" t="s">
        <v>8</v>
      </c>
      <c r="FD448" s="27" t="s">
        <v>7</v>
      </c>
      <c r="FE448" s="27" t="s">
        <v>8</v>
      </c>
      <c r="FG448" s="27" t="s">
        <v>8</v>
      </c>
      <c r="FH448" s="27" t="s">
        <v>7</v>
      </c>
      <c r="FI448" s="27" t="s">
        <v>8</v>
      </c>
      <c r="FJ448" s="27" t="s">
        <v>7</v>
      </c>
      <c r="FK448" s="27" t="s">
        <v>8</v>
      </c>
      <c r="FN448" s="27" t="s">
        <v>7</v>
      </c>
      <c r="FO448" s="27" t="s">
        <v>8</v>
      </c>
      <c r="FP448" s="27" t="s">
        <v>7</v>
      </c>
      <c r="FQ448" s="27" t="s">
        <v>8</v>
      </c>
      <c r="FR448" s="27" t="s">
        <v>7</v>
      </c>
      <c r="FW448" s="27" t="s">
        <v>8</v>
      </c>
      <c r="FX448" s="27" t="s">
        <v>7</v>
      </c>
    </row>
    <row r="449" spans="1:180" x14ac:dyDescent="0.25">
      <c r="A449" s="7">
        <v>15.375303708145482</v>
      </c>
      <c r="B449"/>
      <c r="C449"/>
      <c r="D449"/>
      <c r="E449" t="s">
        <v>8</v>
      </c>
      <c r="AZ449" s="27" t="s">
        <v>7</v>
      </c>
      <c r="BA449" s="27" t="s">
        <v>8</v>
      </c>
      <c r="BB449" s="27" t="s">
        <v>7</v>
      </c>
      <c r="BC449" s="27" t="s">
        <v>8</v>
      </c>
      <c r="BI449" s="27" t="s">
        <v>8</v>
      </c>
      <c r="BJ449" s="27" t="s">
        <v>7</v>
      </c>
      <c r="BK449" s="27" t="s">
        <v>8</v>
      </c>
      <c r="BL449" s="27" t="s">
        <v>7</v>
      </c>
      <c r="BM449" s="27" t="s">
        <v>8</v>
      </c>
      <c r="BN449" s="27" t="s">
        <v>7</v>
      </c>
      <c r="CS449" s="27" t="s">
        <v>8</v>
      </c>
      <c r="DR449" s="27" t="s">
        <v>7</v>
      </c>
      <c r="DS449" s="27" t="s">
        <v>8</v>
      </c>
      <c r="FB449" s="27" t="s">
        <v>7</v>
      </c>
      <c r="FC449" s="27" t="s">
        <v>8</v>
      </c>
      <c r="FD449" s="27" t="s">
        <v>7</v>
      </c>
      <c r="FE449" s="27" t="s">
        <v>8</v>
      </c>
      <c r="FF449" s="27" t="s">
        <v>7</v>
      </c>
      <c r="FG449" s="27" t="s">
        <v>8</v>
      </c>
      <c r="FH449" s="27" t="s">
        <v>7</v>
      </c>
      <c r="FI449" s="27" t="s">
        <v>8</v>
      </c>
      <c r="FJ449" s="27" t="s">
        <v>7</v>
      </c>
      <c r="FK449" s="27" t="s">
        <v>8</v>
      </c>
      <c r="FN449" s="27" t="s">
        <v>7</v>
      </c>
      <c r="FO449" s="27" t="s">
        <v>8</v>
      </c>
      <c r="FP449" s="27" t="s">
        <v>7</v>
      </c>
      <c r="FQ449" s="27" t="s">
        <v>8</v>
      </c>
      <c r="FR449" s="27" t="s">
        <v>7</v>
      </c>
      <c r="FW449" s="27" t="s">
        <v>8</v>
      </c>
      <c r="FX449" s="27" t="s">
        <v>7</v>
      </c>
    </row>
    <row r="450" spans="1:180" x14ac:dyDescent="0.25">
      <c r="A450" s="7">
        <v>15.073827164848511</v>
      </c>
      <c r="B450"/>
      <c r="C450"/>
      <c r="D450"/>
      <c r="E450" t="s">
        <v>8</v>
      </c>
      <c r="AZ450" s="27" t="s">
        <v>7</v>
      </c>
      <c r="BA450" s="27" t="s">
        <v>8</v>
      </c>
      <c r="BB450" s="27" t="s">
        <v>7</v>
      </c>
      <c r="BC450" s="27" t="s">
        <v>8</v>
      </c>
      <c r="BD450" s="27" t="s">
        <v>7</v>
      </c>
      <c r="BE450" s="27" t="s">
        <v>8</v>
      </c>
      <c r="BI450" s="27" t="s">
        <v>8</v>
      </c>
      <c r="BJ450" s="27" t="s">
        <v>7</v>
      </c>
      <c r="BK450" s="27" t="s">
        <v>8</v>
      </c>
      <c r="BL450" s="27" t="s">
        <v>7</v>
      </c>
      <c r="BM450" s="27" t="s">
        <v>8</v>
      </c>
      <c r="BN450" s="27" t="s">
        <v>7</v>
      </c>
      <c r="CS450" s="27" t="s">
        <v>8</v>
      </c>
      <c r="DR450" s="27" t="s">
        <v>7</v>
      </c>
      <c r="DS450" s="27" t="s">
        <v>8</v>
      </c>
      <c r="FB450" s="27" t="s">
        <v>7</v>
      </c>
      <c r="FC450" s="27" t="s">
        <v>8</v>
      </c>
      <c r="FD450" s="27" t="s">
        <v>7</v>
      </c>
      <c r="FE450" s="27" t="s">
        <v>8</v>
      </c>
      <c r="FF450" s="27" t="s">
        <v>7</v>
      </c>
      <c r="FG450" s="27" t="s">
        <v>8</v>
      </c>
      <c r="FH450" s="27" t="s">
        <v>7</v>
      </c>
      <c r="FI450" s="27" t="s">
        <v>8</v>
      </c>
      <c r="FJ450" s="27" t="s">
        <v>7</v>
      </c>
      <c r="FK450" s="27" t="s">
        <v>8</v>
      </c>
      <c r="FN450" s="27" t="s">
        <v>7</v>
      </c>
      <c r="FO450" s="27" t="s">
        <v>8</v>
      </c>
      <c r="FP450" s="27" t="s">
        <v>7</v>
      </c>
      <c r="FR450" s="27" t="s">
        <v>7</v>
      </c>
      <c r="FU450" s="27" t="s">
        <v>8</v>
      </c>
      <c r="FW450" s="27" t="s">
        <v>8</v>
      </c>
      <c r="FX450" s="27" t="s">
        <v>7</v>
      </c>
    </row>
    <row r="451" spans="1:180" x14ac:dyDescent="0.25">
      <c r="A451" s="7">
        <v>14.77826192632207</v>
      </c>
      <c r="B451"/>
      <c r="C451"/>
      <c r="D451"/>
      <c r="E451" t="s">
        <v>8</v>
      </c>
      <c r="AZ451" s="27" t="s">
        <v>7</v>
      </c>
      <c r="BA451" s="27" t="s">
        <v>8</v>
      </c>
      <c r="BB451" s="27" t="s">
        <v>7</v>
      </c>
      <c r="BC451" s="27" t="s">
        <v>8</v>
      </c>
      <c r="BD451" s="27" t="s">
        <v>7</v>
      </c>
      <c r="BE451" s="27" t="s">
        <v>8</v>
      </c>
      <c r="BF451" s="27" t="s">
        <v>7</v>
      </c>
      <c r="BI451" s="27" t="s">
        <v>8</v>
      </c>
      <c r="BJ451" s="27" t="s">
        <v>7</v>
      </c>
      <c r="BL451" s="27" t="s">
        <v>7</v>
      </c>
      <c r="BM451" s="27" t="s">
        <v>8</v>
      </c>
      <c r="BN451" s="27" t="s">
        <v>7</v>
      </c>
      <c r="CS451" s="27" t="s">
        <v>8</v>
      </c>
      <c r="DR451" s="27" t="s">
        <v>7</v>
      </c>
      <c r="FB451" s="27" t="s">
        <v>7</v>
      </c>
      <c r="FD451" s="27" t="s">
        <v>7</v>
      </c>
      <c r="FE451" s="27" t="s">
        <v>8</v>
      </c>
      <c r="FF451" s="27" t="s">
        <v>7</v>
      </c>
      <c r="FG451" s="27" t="s">
        <v>8</v>
      </c>
      <c r="FH451" s="27" t="s">
        <v>7</v>
      </c>
      <c r="FI451" s="27" t="s">
        <v>8</v>
      </c>
      <c r="FJ451" s="27" t="s">
        <v>7</v>
      </c>
      <c r="FK451" s="27" t="s">
        <v>8</v>
      </c>
      <c r="FN451" s="27" t="s">
        <v>7</v>
      </c>
      <c r="FO451" s="27" t="s">
        <v>8</v>
      </c>
      <c r="FR451" s="27" t="s">
        <v>7</v>
      </c>
      <c r="FU451" s="27" t="s">
        <v>8</v>
      </c>
      <c r="FV451" s="27" t="s">
        <v>7</v>
      </c>
      <c r="FW451" s="27" t="s">
        <v>8</v>
      </c>
      <c r="FX451" s="27" t="s">
        <v>7</v>
      </c>
    </row>
    <row r="452" spans="1:180" x14ac:dyDescent="0.25">
      <c r="A452" s="7">
        <v>14.488492084629481</v>
      </c>
      <c r="B452"/>
      <c r="C452"/>
      <c r="D452"/>
      <c r="E452" t="s">
        <v>8</v>
      </c>
      <c r="AZ452" s="27" t="s">
        <v>7</v>
      </c>
      <c r="BA452" s="27" t="s">
        <v>8</v>
      </c>
      <c r="BB452" s="27" t="s">
        <v>7</v>
      </c>
      <c r="BC452" s="27" t="s">
        <v>8</v>
      </c>
      <c r="BD452" s="27" t="s">
        <v>7</v>
      </c>
      <c r="BE452" s="27" t="s">
        <v>8</v>
      </c>
      <c r="BF452" s="27" t="s">
        <v>7</v>
      </c>
      <c r="BI452" s="27" t="s">
        <v>8</v>
      </c>
      <c r="BL452" s="27" t="s">
        <v>7</v>
      </c>
      <c r="BM452" s="27" t="s">
        <v>8</v>
      </c>
      <c r="BN452" s="27" t="s">
        <v>7</v>
      </c>
      <c r="BO452" s="27" t="s">
        <v>8</v>
      </c>
      <c r="CS452" s="27" t="s">
        <v>8</v>
      </c>
      <c r="FD452" s="27" t="s">
        <v>7</v>
      </c>
      <c r="FE452" s="27" t="s">
        <v>8</v>
      </c>
      <c r="FF452" s="27" t="s">
        <v>7</v>
      </c>
      <c r="FG452" s="27" t="s">
        <v>8</v>
      </c>
      <c r="FH452" s="27" t="s">
        <v>7</v>
      </c>
      <c r="FI452" s="27" t="s">
        <v>8</v>
      </c>
      <c r="FJ452" s="27" t="s">
        <v>7</v>
      </c>
      <c r="FK452" s="27" t="s">
        <v>8</v>
      </c>
      <c r="FN452" s="27" t="s">
        <v>7</v>
      </c>
      <c r="FO452" s="27" t="s">
        <v>8</v>
      </c>
      <c r="FR452" s="27" t="s">
        <v>7</v>
      </c>
      <c r="FU452" s="27" t="s">
        <v>8</v>
      </c>
      <c r="FV452" s="27" t="s">
        <v>7</v>
      </c>
      <c r="FW452" s="27" t="s">
        <v>8</v>
      </c>
      <c r="FX452" s="27" t="s">
        <v>7</v>
      </c>
    </row>
    <row r="453" spans="1:180" x14ac:dyDescent="0.25">
      <c r="A453" s="7">
        <v>14.204404004538707</v>
      </c>
      <c r="B453"/>
      <c r="C453"/>
      <c r="D453"/>
      <c r="E453" t="s">
        <v>8</v>
      </c>
      <c r="AZ453" s="27" t="s">
        <v>7</v>
      </c>
      <c r="BA453" s="27" t="s">
        <v>8</v>
      </c>
      <c r="BB453" s="27" t="s">
        <v>7</v>
      </c>
      <c r="BC453" s="27" t="s">
        <v>8</v>
      </c>
      <c r="BD453" s="27" t="s">
        <v>7</v>
      </c>
      <c r="BE453" s="27" t="s">
        <v>8</v>
      </c>
      <c r="BF453" s="27" t="s">
        <v>7</v>
      </c>
      <c r="BI453" s="27" t="s">
        <v>8</v>
      </c>
      <c r="BL453" s="27" t="s">
        <v>7</v>
      </c>
      <c r="BM453" s="27" t="s">
        <v>8</v>
      </c>
      <c r="BN453" s="27" t="s">
        <v>7</v>
      </c>
      <c r="BO453" s="27" t="s">
        <v>8</v>
      </c>
      <c r="BP453" s="27" t="s">
        <v>7</v>
      </c>
      <c r="CS453" s="27" t="s">
        <v>8</v>
      </c>
      <c r="FD453" s="27" t="s">
        <v>7</v>
      </c>
      <c r="FE453" s="27" t="s">
        <v>8</v>
      </c>
      <c r="FF453" s="27" t="s">
        <v>7</v>
      </c>
      <c r="FG453" s="27" t="s">
        <v>8</v>
      </c>
      <c r="FH453" s="27" t="s">
        <v>7</v>
      </c>
      <c r="FI453" s="27" t="s">
        <v>8</v>
      </c>
      <c r="FJ453" s="27" t="s">
        <v>7</v>
      </c>
      <c r="FN453" s="27" t="s">
        <v>7</v>
      </c>
      <c r="FR453" s="27" t="s">
        <v>7</v>
      </c>
      <c r="FU453" s="27" t="s">
        <v>8</v>
      </c>
      <c r="FV453" s="27" t="s">
        <v>7</v>
      </c>
      <c r="FW453" s="27" t="s">
        <v>8</v>
      </c>
      <c r="FX453" s="27" t="s">
        <v>7</v>
      </c>
    </row>
    <row r="454" spans="1:180" x14ac:dyDescent="0.25">
      <c r="A454" s="7">
        <v>13.925886278959517</v>
      </c>
      <c r="B454"/>
      <c r="C454"/>
      <c r="D454"/>
      <c r="E454" t="s">
        <v>8</v>
      </c>
      <c r="AZ454" s="27" t="s">
        <v>7</v>
      </c>
      <c r="BA454" s="27" t="s">
        <v>8</v>
      </c>
      <c r="BB454" s="27" t="s">
        <v>7</v>
      </c>
      <c r="BC454" s="27" t="s">
        <v>8</v>
      </c>
      <c r="BD454" s="27" t="s">
        <v>7</v>
      </c>
      <c r="BE454" s="27" t="s">
        <v>8</v>
      </c>
      <c r="BF454" s="27" t="s">
        <v>7</v>
      </c>
      <c r="BI454" s="27" t="s">
        <v>8</v>
      </c>
      <c r="BL454" s="27" t="s">
        <v>7</v>
      </c>
      <c r="BM454" s="27" t="s">
        <v>8</v>
      </c>
      <c r="BN454" s="27" t="s">
        <v>7</v>
      </c>
      <c r="BO454" s="27" t="s">
        <v>8</v>
      </c>
      <c r="BP454" s="27" t="s">
        <v>7</v>
      </c>
      <c r="BQ454" s="27" t="s">
        <v>8</v>
      </c>
      <c r="CS454" s="27" t="s">
        <v>8</v>
      </c>
      <c r="FD454" s="27" t="s">
        <v>7</v>
      </c>
      <c r="FE454" s="27" t="s">
        <v>8</v>
      </c>
      <c r="FF454" s="27" t="s">
        <v>7</v>
      </c>
      <c r="FH454" s="27" t="s">
        <v>7</v>
      </c>
      <c r="FI454" s="27" t="s">
        <v>8</v>
      </c>
      <c r="FR454" s="27" t="s">
        <v>7</v>
      </c>
      <c r="FU454" s="27" t="s">
        <v>8</v>
      </c>
      <c r="FV454" s="27" t="s">
        <v>7</v>
      </c>
      <c r="FW454" s="27" t="s">
        <v>8</v>
      </c>
      <c r="FX454" s="27" t="s">
        <v>7</v>
      </c>
    </row>
    <row r="455" spans="1:180" x14ac:dyDescent="0.25">
      <c r="A455" s="7">
        <v>13.652829685254428</v>
      </c>
      <c r="B455"/>
      <c r="C455"/>
      <c r="D455"/>
      <c r="E455" t="s">
        <v>8</v>
      </c>
      <c r="AZ455" s="27" t="s">
        <v>7</v>
      </c>
      <c r="BA455" s="27" t="s">
        <v>8</v>
      </c>
      <c r="BB455" s="27" t="s">
        <v>7</v>
      </c>
      <c r="BC455" s="27" t="s">
        <v>8</v>
      </c>
      <c r="BD455" s="27" t="s">
        <v>7</v>
      </c>
      <c r="BE455" s="27" t="s">
        <v>8</v>
      </c>
      <c r="BF455" s="27" t="s">
        <v>7</v>
      </c>
      <c r="BI455" s="27" t="s">
        <v>8</v>
      </c>
      <c r="BL455" s="27" t="s">
        <v>7</v>
      </c>
      <c r="BM455" s="27" t="s">
        <v>8</v>
      </c>
      <c r="BN455" s="27" t="s">
        <v>7</v>
      </c>
      <c r="BO455" s="27" t="s">
        <v>8</v>
      </c>
      <c r="BP455" s="27" t="s">
        <v>7</v>
      </c>
      <c r="BQ455" s="27" t="s">
        <v>8</v>
      </c>
      <c r="BR455" s="27" t="s">
        <v>7</v>
      </c>
      <c r="CS455" s="27" t="s">
        <v>8</v>
      </c>
      <c r="FD455" s="27" t="s">
        <v>7</v>
      </c>
      <c r="FH455" s="27" t="s">
        <v>7</v>
      </c>
      <c r="FR455" s="27" t="s">
        <v>7</v>
      </c>
      <c r="FU455" s="27" t="s">
        <v>8</v>
      </c>
      <c r="FV455" s="27" t="s">
        <v>7</v>
      </c>
      <c r="FW455" s="27" t="s">
        <v>8</v>
      </c>
      <c r="FX455" s="27" t="s">
        <v>7</v>
      </c>
    </row>
    <row r="456" spans="1:180" x14ac:dyDescent="0.25">
      <c r="A456" s="7">
        <v>13.385127142406303</v>
      </c>
      <c r="B456"/>
      <c r="C456"/>
      <c r="D456"/>
      <c r="E456" t="s">
        <v>8</v>
      </c>
      <c r="AZ456" s="27" t="s">
        <v>7</v>
      </c>
      <c r="BA456" s="27" t="s">
        <v>8</v>
      </c>
      <c r="BB456" s="27" t="s">
        <v>7</v>
      </c>
      <c r="BD456" s="27" t="s">
        <v>7</v>
      </c>
      <c r="BE456" s="27" t="s">
        <v>8</v>
      </c>
      <c r="BF456" s="27" t="s">
        <v>7</v>
      </c>
      <c r="BI456" s="27" t="s">
        <v>8</v>
      </c>
      <c r="BL456" s="27" t="s">
        <v>7</v>
      </c>
      <c r="BM456" s="27" t="s">
        <v>8</v>
      </c>
      <c r="BN456" s="27" t="s">
        <v>7</v>
      </c>
      <c r="BO456" s="27" t="s">
        <v>8</v>
      </c>
      <c r="BP456" s="27" t="s">
        <v>7</v>
      </c>
      <c r="BQ456" s="27" t="s">
        <v>8</v>
      </c>
      <c r="BR456" s="27" t="s">
        <v>7</v>
      </c>
      <c r="CS456" s="27" t="s">
        <v>8</v>
      </c>
      <c r="FR456" s="27" t="s">
        <v>7</v>
      </c>
      <c r="FU456" s="27" t="s">
        <v>8</v>
      </c>
      <c r="FV456" s="27" t="s">
        <v>7</v>
      </c>
      <c r="FW456" s="27" t="s">
        <v>8</v>
      </c>
      <c r="FX456" s="27" t="s">
        <v>7</v>
      </c>
    </row>
    <row r="457" spans="1:180" x14ac:dyDescent="0.25">
      <c r="A457" s="7">
        <v>13.122673669025787</v>
      </c>
      <c r="B457"/>
      <c r="C457"/>
      <c r="D457"/>
      <c r="E457" t="s">
        <v>8</v>
      </c>
      <c r="AZ457" s="27" t="s">
        <v>7</v>
      </c>
      <c r="BA457" s="27" t="s">
        <v>8</v>
      </c>
      <c r="BD457" s="27" t="s">
        <v>7</v>
      </c>
      <c r="BE457" s="27" t="s">
        <v>8</v>
      </c>
      <c r="BF457" s="27" t="s">
        <v>7</v>
      </c>
      <c r="BI457" s="27" t="s">
        <v>8</v>
      </c>
      <c r="BL457" s="27" t="s">
        <v>7</v>
      </c>
      <c r="BM457" s="27" t="s">
        <v>8</v>
      </c>
      <c r="BN457" s="27" t="s">
        <v>7</v>
      </c>
      <c r="BO457" s="27" t="s">
        <v>8</v>
      </c>
      <c r="BP457" s="27" t="s">
        <v>7</v>
      </c>
      <c r="BQ457" s="27" t="s">
        <v>8</v>
      </c>
      <c r="BR457" s="27" t="s">
        <v>7</v>
      </c>
      <c r="CS457" s="27" t="s">
        <v>8</v>
      </c>
      <c r="FR457" s="27" t="s">
        <v>7</v>
      </c>
      <c r="FS457" s="27" t="s">
        <v>8</v>
      </c>
      <c r="FU457" s="27" t="s">
        <v>8</v>
      </c>
      <c r="FV457" s="27" t="s">
        <v>7</v>
      </c>
      <c r="FX457" s="27" t="s">
        <v>7</v>
      </c>
    </row>
    <row r="458" spans="1:180" x14ac:dyDescent="0.25">
      <c r="A458" s="7">
        <v>12.865366342182144</v>
      </c>
      <c r="B458"/>
      <c r="C458"/>
      <c r="D458"/>
      <c r="E458" t="s">
        <v>8</v>
      </c>
      <c r="AZ458" s="27" t="s">
        <v>7</v>
      </c>
      <c r="BA458" s="27" t="s">
        <v>8</v>
      </c>
      <c r="BD458" s="27" t="s">
        <v>7</v>
      </c>
      <c r="BE458" s="27" t="s">
        <v>8</v>
      </c>
      <c r="BF458" s="27" t="s">
        <v>7</v>
      </c>
      <c r="BG458" s="27" t="s">
        <v>8</v>
      </c>
      <c r="BI458" s="27" t="s">
        <v>8</v>
      </c>
      <c r="BL458" s="27" t="s">
        <v>7</v>
      </c>
      <c r="BM458" s="27" t="s">
        <v>8</v>
      </c>
      <c r="BN458" s="27" t="s">
        <v>7</v>
      </c>
      <c r="BO458" s="27" t="s">
        <v>8</v>
      </c>
      <c r="BP458" s="27" t="s">
        <v>7</v>
      </c>
      <c r="BQ458" s="27" t="s">
        <v>8</v>
      </c>
      <c r="BR458" s="27" t="s">
        <v>7</v>
      </c>
      <c r="CS458" s="27" t="s">
        <v>8</v>
      </c>
      <c r="FR458" s="27" t="s">
        <v>7</v>
      </c>
      <c r="FS458" s="27" t="s">
        <v>8</v>
      </c>
      <c r="FT458" s="27" t="s">
        <v>7</v>
      </c>
      <c r="FU458" s="27" t="s">
        <v>8</v>
      </c>
      <c r="FX458" s="27" t="s">
        <v>7</v>
      </c>
    </row>
    <row r="459" spans="1:180" x14ac:dyDescent="0.25">
      <c r="A459" s="7">
        <v>12.613104257041318</v>
      </c>
      <c r="B459"/>
      <c r="C459"/>
      <c r="D459"/>
      <c r="E459" t="s">
        <v>8</v>
      </c>
      <c r="AZ459" s="27" t="s">
        <v>7</v>
      </c>
      <c r="BA459" s="27" t="s">
        <v>8</v>
      </c>
      <c r="BD459" s="27" t="s">
        <v>7</v>
      </c>
      <c r="BE459" s="27" t="s">
        <v>8</v>
      </c>
      <c r="BF459" s="27" t="s">
        <v>7</v>
      </c>
      <c r="BG459" s="27" t="s">
        <v>8</v>
      </c>
      <c r="BH459" s="27" t="s">
        <v>7</v>
      </c>
      <c r="BI459" s="27" t="s">
        <v>8</v>
      </c>
      <c r="BL459" s="27" t="s">
        <v>7</v>
      </c>
      <c r="BM459" s="27" t="s">
        <v>8</v>
      </c>
      <c r="BN459" s="27" t="s">
        <v>7</v>
      </c>
      <c r="BO459" s="27" t="s">
        <v>8</v>
      </c>
      <c r="BP459" s="27" t="s">
        <v>7</v>
      </c>
      <c r="BQ459" s="27" t="s">
        <v>8</v>
      </c>
      <c r="BR459" s="27" t="s">
        <v>7</v>
      </c>
      <c r="CS459" s="27" t="s">
        <v>8</v>
      </c>
      <c r="FR459" s="27" t="s">
        <v>7</v>
      </c>
      <c r="FS459" s="27" t="s">
        <v>8</v>
      </c>
      <c r="FT459" s="27" t="s">
        <v>7</v>
      </c>
      <c r="FU459" s="27" t="s">
        <v>8</v>
      </c>
      <c r="FX459" s="27" t="s">
        <v>7</v>
      </c>
    </row>
    <row r="460" spans="1:180" x14ac:dyDescent="0.25">
      <c r="A460" s="7">
        <v>12.36578848729541</v>
      </c>
      <c r="B460"/>
      <c r="C460"/>
      <c r="D460"/>
      <c r="E460" t="s">
        <v>8</v>
      </c>
      <c r="AZ460" s="27" t="s">
        <v>7</v>
      </c>
      <c r="BA460" s="27" t="s">
        <v>8</v>
      </c>
      <c r="BD460" s="27" t="s">
        <v>7</v>
      </c>
      <c r="BE460" s="27" t="s">
        <v>8</v>
      </c>
      <c r="BF460" s="27" t="s">
        <v>7</v>
      </c>
      <c r="BG460" s="27" t="s">
        <v>8</v>
      </c>
      <c r="BH460" s="27" t="s">
        <v>7</v>
      </c>
      <c r="BI460" s="27" t="s">
        <v>8</v>
      </c>
      <c r="BL460" s="27" t="s">
        <v>7</v>
      </c>
      <c r="BM460" s="27" t="s">
        <v>8</v>
      </c>
      <c r="BN460" s="27" t="s">
        <v>7</v>
      </c>
      <c r="BO460" s="27" t="s">
        <v>8</v>
      </c>
      <c r="BP460" s="27" t="s">
        <v>7</v>
      </c>
      <c r="BQ460" s="27" t="s">
        <v>8</v>
      </c>
      <c r="BR460" s="27" t="s">
        <v>7</v>
      </c>
      <c r="CS460" s="27" t="s">
        <v>8</v>
      </c>
      <c r="FR460" s="27" t="s">
        <v>7</v>
      </c>
      <c r="FS460" s="27" t="s">
        <v>8</v>
      </c>
      <c r="FT460" s="27" t="s">
        <v>7</v>
      </c>
      <c r="FU460" s="27" t="s">
        <v>8</v>
      </c>
      <c r="FX460" s="27" t="s">
        <v>7</v>
      </c>
    </row>
    <row r="461" spans="1:180" x14ac:dyDescent="0.25">
      <c r="A461" s="7">
        <v>12.123322046368049</v>
      </c>
      <c r="B461"/>
      <c r="C461"/>
      <c r="D461"/>
      <c r="E461" t="s">
        <v>8</v>
      </c>
      <c r="AZ461" s="27" t="s">
        <v>7</v>
      </c>
      <c r="BA461" s="27" t="s">
        <v>8</v>
      </c>
      <c r="BD461" s="27" t="s">
        <v>7</v>
      </c>
      <c r="BE461" s="27" t="s">
        <v>8</v>
      </c>
      <c r="BF461" s="27" t="s">
        <v>7</v>
      </c>
      <c r="BG461" s="27" t="s">
        <v>8</v>
      </c>
      <c r="BH461" s="27" t="s">
        <v>7</v>
      </c>
      <c r="BI461" s="27" t="s">
        <v>8</v>
      </c>
      <c r="BL461" s="27" t="s">
        <v>7</v>
      </c>
      <c r="BM461" s="27" t="s">
        <v>8</v>
      </c>
      <c r="BN461" s="27" t="s">
        <v>7</v>
      </c>
      <c r="BO461" s="27" t="s">
        <v>8</v>
      </c>
      <c r="BP461" s="27" t="s">
        <v>7</v>
      </c>
      <c r="BQ461" s="27" t="s">
        <v>8</v>
      </c>
      <c r="BR461" s="27" t="s">
        <v>7</v>
      </c>
      <c r="CQ461" s="27" t="s">
        <v>8</v>
      </c>
      <c r="CS461" s="27" t="s">
        <v>8</v>
      </c>
      <c r="FR461" s="27" t="s">
        <v>7</v>
      </c>
      <c r="FS461" s="27" t="s">
        <v>8</v>
      </c>
      <c r="FT461" s="27" t="s">
        <v>7</v>
      </c>
      <c r="FU461" s="27" t="s">
        <v>8</v>
      </c>
      <c r="FX461" s="27" t="s">
        <v>7</v>
      </c>
    </row>
    <row r="462" spans="1:180" x14ac:dyDescent="0.25">
      <c r="A462" s="7">
        <v>11.88560984938044</v>
      </c>
      <c r="B462"/>
      <c r="C462"/>
      <c r="D462"/>
      <c r="E462" t="s">
        <v>8</v>
      </c>
      <c r="AZ462" s="27" t="s">
        <v>7</v>
      </c>
      <c r="BA462" s="27" t="s">
        <v>8</v>
      </c>
      <c r="BD462" s="27" t="s">
        <v>7</v>
      </c>
      <c r="BE462" s="27" t="s">
        <v>8</v>
      </c>
      <c r="BF462" s="27" t="s">
        <v>7</v>
      </c>
      <c r="BG462" s="27" t="s">
        <v>8</v>
      </c>
      <c r="BH462" s="27" t="s">
        <v>7</v>
      </c>
      <c r="BI462" s="27" t="s">
        <v>8</v>
      </c>
      <c r="BL462" s="27" t="s">
        <v>7</v>
      </c>
      <c r="BM462" s="27" t="s">
        <v>8</v>
      </c>
      <c r="BN462" s="27" t="s">
        <v>7</v>
      </c>
      <c r="BP462" s="27" t="s">
        <v>7</v>
      </c>
      <c r="BQ462" s="27" t="s">
        <v>8</v>
      </c>
      <c r="BR462" s="27" t="s">
        <v>7</v>
      </c>
      <c r="CO462" s="27" t="s">
        <v>8</v>
      </c>
      <c r="CQ462" s="27" t="s">
        <v>8</v>
      </c>
      <c r="CR462" s="27" t="s">
        <v>7</v>
      </c>
      <c r="CS462" s="27" t="s">
        <v>8</v>
      </c>
      <c r="FR462" s="27" t="s">
        <v>7</v>
      </c>
      <c r="FS462" s="27" t="s">
        <v>8</v>
      </c>
      <c r="FT462" s="27" t="s">
        <v>7</v>
      </c>
      <c r="FX462" s="27" t="s">
        <v>7</v>
      </c>
    </row>
    <row r="463" spans="1:180" x14ac:dyDescent="0.25">
      <c r="A463" s="7">
        <v>11.652558675863176</v>
      </c>
      <c r="B463"/>
      <c r="C463"/>
      <c r="D463"/>
      <c r="E463" t="s">
        <v>8</v>
      </c>
      <c r="AZ463" s="27" t="s">
        <v>7</v>
      </c>
      <c r="BA463" s="27" t="s">
        <v>8</v>
      </c>
      <c r="BD463" s="27" t="s">
        <v>7</v>
      </c>
      <c r="BE463" s="27" t="s">
        <v>8</v>
      </c>
      <c r="BF463" s="27" t="s">
        <v>7</v>
      </c>
      <c r="BG463" s="27" t="s">
        <v>8</v>
      </c>
      <c r="BH463" s="27" t="s">
        <v>7</v>
      </c>
      <c r="BL463" s="27" t="s">
        <v>7</v>
      </c>
      <c r="BP463" s="27" t="s">
        <v>7</v>
      </c>
      <c r="BQ463" s="27" t="s">
        <v>8</v>
      </c>
      <c r="BR463" s="27" t="s">
        <v>7</v>
      </c>
      <c r="CO463" s="27" t="s">
        <v>8</v>
      </c>
      <c r="CP463" s="27" t="s">
        <v>7</v>
      </c>
      <c r="CQ463" s="27" t="s">
        <v>8</v>
      </c>
      <c r="CR463" s="27" t="s">
        <v>7</v>
      </c>
      <c r="CS463" s="27" t="s">
        <v>8</v>
      </c>
      <c r="FR463" s="27" t="s">
        <v>7</v>
      </c>
      <c r="FS463" s="27" t="s">
        <v>8</v>
      </c>
      <c r="FX463" s="27" t="s">
        <v>7</v>
      </c>
    </row>
    <row r="464" spans="1:180" x14ac:dyDescent="0.25">
      <c r="A464" s="7">
        <v>11.424077133199193</v>
      </c>
      <c r="B464"/>
      <c r="C464"/>
      <c r="D464"/>
      <c r="E464" t="s">
        <v>8</v>
      </c>
      <c r="AZ464" s="27" t="s">
        <v>7</v>
      </c>
      <c r="BA464" s="27" t="s">
        <v>8</v>
      </c>
      <c r="BD464" s="27" t="s">
        <v>7</v>
      </c>
      <c r="BE464" s="27" t="s">
        <v>8</v>
      </c>
      <c r="BF464" s="27" t="s">
        <v>7</v>
      </c>
      <c r="BG464" s="27" t="s">
        <v>8</v>
      </c>
      <c r="BP464" s="27" t="s">
        <v>7</v>
      </c>
      <c r="BR464" s="27" t="s">
        <v>7</v>
      </c>
      <c r="CO464" s="27" t="s">
        <v>8</v>
      </c>
      <c r="CP464" s="27" t="s">
        <v>7</v>
      </c>
      <c r="CQ464" s="27" t="s">
        <v>8</v>
      </c>
      <c r="CR464" s="27" t="s">
        <v>7</v>
      </c>
      <c r="CS464" s="27" t="s">
        <v>8</v>
      </c>
      <c r="FR464" s="27" t="s">
        <v>7</v>
      </c>
      <c r="FS464" s="27" t="s">
        <v>8</v>
      </c>
      <c r="FX464" s="27" t="s">
        <v>7</v>
      </c>
    </row>
    <row r="465" spans="1:182" x14ac:dyDescent="0.25">
      <c r="A465" s="7">
        <v>11.200075620783522</v>
      </c>
      <c r="B465"/>
      <c r="C465"/>
      <c r="D465"/>
      <c r="E465" t="s">
        <v>8</v>
      </c>
      <c r="AZ465" s="27" t="s">
        <v>7</v>
      </c>
      <c r="BA465" s="27" t="s">
        <v>8</v>
      </c>
      <c r="BD465" s="27" t="s">
        <v>7</v>
      </c>
      <c r="BE465" s="27" t="s">
        <v>8</v>
      </c>
      <c r="BF465" s="27" t="s">
        <v>7</v>
      </c>
      <c r="BG465" s="27" t="s">
        <v>8</v>
      </c>
      <c r="BR465" s="27" t="s">
        <v>7</v>
      </c>
      <c r="CO465" s="27" t="s">
        <v>8</v>
      </c>
      <c r="CP465" s="27" t="s">
        <v>7</v>
      </c>
      <c r="CQ465" s="27" t="s">
        <v>8</v>
      </c>
      <c r="CR465" s="27" t="s">
        <v>7</v>
      </c>
      <c r="CS465" s="27" t="s">
        <v>8</v>
      </c>
      <c r="FR465" s="27" t="s">
        <v>7</v>
      </c>
      <c r="FX465" s="27" t="s">
        <v>7</v>
      </c>
    </row>
    <row r="466" spans="1:182" x14ac:dyDescent="0.25">
      <c r="A466" s="7">
        <v>10.980466294885806</v>
      </c>
      <c r="B466"/>
      <c r="C466"/>
      <c r="D466"/>
      <c r="E466" t="s">
        <v>8</v>
      </c>
      <c r="AZ466" s="27" t="s">
        <v>7</v>
      </c>
      <c r="BA466" s="27" t="s">
        <v>8</v>
      </c>
      <c r="BD466" s="27" t="s">
        <v>7</v>
      </c>
      <c r="BE466" s="27" t="s">
        <v>8</v>
      </c>
      <c r="BF466" s="27" t="s">
        <v>7</v>
      </c>
      <c r="BG466" s="27" t="s">
        <v>8</v>
      </c>
      <c r="BR466" s="27" t="s">
        <v>7</v>
      </c>
      <c r="BU466" s="27" t="s">
        <v>8</v>
      </c>
      <c r="CO466" s="27" t="s">
        <v>8</v>
      </c>
      <c r="CP466" s="27" t="s">
        <v>7</v>
      </c>
      <c r="CQ466" s="27" t="s">
        <v>8</v>
      </c>
      <c r="CR466" s="27" t="s">
        <v>7</v>
      </c>
      <c r="CS466" s="27" t="s">
        <v>8</v>
      </c>
      <c r="FX466" s="27" t="s">
        <v>7</v>
      </c>
    </row>
    <row r="467" spans="1:182" x14ac:dyDescent="0.25">
      <c r="A467" s="7">
        <v>10.765163034201771</v>
      </c>
      <c r="B467"/>
      <c r="C467"/>
      <c r="D467"/>
      <c r="E467" t="s">
        <v>8</v>
      </c>
      <c r="AZ467" s="27" t="s">
        <v>7</v>
      </c>
      <c r="BA467" s="27" t="s">
        <v>8</v>
      </c>
      <c r="BD467" s="27" t="s">
        <v>7</v>
      </c>
      <c r="BE467" s="27" t="s">
        <v>8</v>
      </c>
      <c r="BF467" s="27" t="s">
        <v>7</v>
      </c>
      <c r="BR467" s="27" t="s">
        <v>7</v>
      </c>
      <c r="BU467" s="27" t="s">
        <v>8</v>
      </c>
      <c r="BV467" s="27" t="s">
        <v>7</v>
      </c>
      <c r="CA467" s="27" t="s">
        <v>8</v>
      </c>
      <c r="CO467" s="27" t="s">
        <v>8</v>
      </c>
      <c r="CP467" s="27" t="s">
        <v>7</v>
      </c>
      <c r="CR467" s="27" t="s">
        <v>7</v>
      </c>
      <c r="CS467" s="27" t="s">
        <v>8</v>
      </c>
      <c r="FX467" s="27" t="s">
        <v>7</v>
      </c>
    </row>
    <row r="468" spans="1:182" x14ac:dyDescent="0.25">
      <c r="A468" s="7">
        <v>10.554081406080169</v>
      </c>
      <c r="B468"/>
      <c r="C468"/>
      <c r="D468"/>
      <c r="E468" t="s">
        <v>8</v>
      </c>
      <c r="AZ468" s="27" t="s">
        <v>7</v>
      </c>
      <c r="BA468" s="27" t="s">
        <v>8</v>
      </c>
      <c r="BD468" s="27" t="s">
        <v>7</v>
      </c>
      <c r="BE468" s="27" t="s">
        <v>8</v>
      </c>
      <c r="BR468" s="27" t="s">
        <v>7</v>
      </c>
      <c r="BU468" s="27" t="s">
        <v>8</v>
      </c>
      <c r="BV468" s="27" t="s">
        <v>7</v>
      </c>
      <c r="CA468" s="27" t="s">
        <v>8</v>
      </c>
      <c r="CB468" s="27" t="s">
        <v>7</v>
      </c>
      <c r="CO468" s="27" t="s">
        <v>8</v>
      </c>
      <c r="CR468" s="27" t="s">
        <v>7</v>
      </c>
      <c r="CS468" s="27" t="s">
        <v>8</v>
      </c>
      <c r="FX468" s="27" t="s">
        <v>7</v>
      </c>
      <c r="FY468" s="27" t="s">
        <v>8</v>
      </c>
    </row>
    <row r="469" spans="1:182" x14ac:dyDescent="0.25">
      <c r="A469" s="7">
        <v>10.34713863341193</v>
      </c>
      <c r="B469"/>
      <c r="C469"/>
      <c r="D469"/>
      <c r="E469" t="s">
        <v>8</v>
      </c>
      <c r="AZ469" s="27" t="s">
        <v>7</v>
      </c>
      <c r="BA469" s="27" t="s">
        <v>8</v>
      </c>
      <c r="BD469" s="27" t="s">
        <v>7</v>
      </c>
      <c r="BE469" s="27" t="s">
        <v>8</v>
      </c>
      <c r="BR469" s="27" t="s">
        <v>7</v>
      </c>
      <c r="BU469" s="27" t="s">
        <v>8</v>
      </c>
      <c r="BV469" s="27" t="s">
        <v>7</v>
      </c>
      <c r="CA469" s="27" t="s">
        <v>8</v>
      </c>
      <c r="CB469" s="27" t="s">
        <v>7</v>
      </c>
      <c r="CM469" s="27" t="s">
        <v>8</v>
      </c>
      <c r="CO469" s="27" t="s">
        <v>8</v>
      </c>
      <c r="CR469" s="27" t="s">
        <v>7</v>
      </c>
      <c r="FX469" s="27" t="s">
        <v>7</v>
      </c>
      <c r="FY469" s="27" t="s">
        <v>8</v>
      </c>
      <c r="FZ469" s="27" t="s">
        <v>7</v>
      </c>
    </row>
    <row r="470" spans="1:182" x14ac:dyDescent="0.25">
      <c r="A470" s="7">
        <v>10.14425356216856</v>
      </c>
      <c r="B470"/>
      <c r="C470"/>
      <c r="D470"/>
      <c r="E470" t="s">
        <v>8</v>
      </c>
      <c r="AZ470" s="27" t="s">
        <v>7</v>
      </c>
      <c r="BA470" s="27" t="s">
        <v>8</v>
      </c>
      <c r="BD470" s="27" t="s">
        <v>7</v>
      </c>
      <c r="BE470" s="27" t="s">
        <v>8</v>
      </c>
      <c r="BR470" s="27" t="s">
        <v>7</v>
      </c>
      <c r="BU470" s="27" t="s">
        <v>8</v>
      </c>
      <c r="BV470" s="27" t="s">
        <v>7</v>
      </c>
      <c r="CA470" s="27" t="s">
        <v>8</v>
      </c>
      <c r="CB470" s="27" t="s">
        <v>7</v>
      </c>
      <c r="CM470" s="27" t="s">
        <v>8</v>
      </c>
      <c r="CN470" s="27" t="s">
        <v>7</v>
      </c>
      <c r="CO470" s="27" t="s">
        <v>8</v>
      </c>
      <c r="FX470" s="27" t="s">
        <v>7</v>
      </c>
      <c r="FY470" s="27" t="s">
        <v>8</v>
      </c>
      <c r="FZ470" s="27" t="s">
        <v>7</v>
      </c>
    </row>
    <row r="471" spans="1:182" x14ac:dyDescent="0.25">
      <c r="A471" s="7">
        <v>9.9453466295770188</v>
      </c>
      <c r="B471"/>
      <c r="C471"/>
      <c r="D471"/>
      <c r="E471" t="s">
        <v>8</v>
      </c>
      <c r="AZ471" s="27" t="s">
        <v>7</v>
      </c>
      <c r="BA471" s="27" t="s">
        <v>8</v>
      </c>
      <c r="BD471" s="27" t="s">
        <v>7</v>
      </c>
      <c r="BE471" s="27" t="s">
        <v>8</v>
      </c>
      <c r="BR471" s="27" t="s">
        <v>7</v>
      </c>
      <c r="BU471" s="27" t="s">
        <v>8</v>
      </c>
      <c r="BV471" s="27" t="s">
        <v>7</v>
      </c>
      <c r="BY471" s="27" t="s">
        <v>8</v>
      </c>
      <c r="CA471" s="27" t="s">
        <v>8</v>
      </c>
      <c r="CB471" s="27" t="s">
        <v>7</v>
      </c>
      <c r="CM471" s="27" t="s">
        <v>8</v>
      </c>
      <c r="CN471" s="27" t="s">
        <v>7</v>
      </c>
      <c r="CO471" s="27" t="s">
        <v>8</v>
      </c>
      <c r="FX471" s="27" t="s">
        <v>7</v>
      </c>
      <c r="FY471" s="27" t="s">
        <v>8</v>
      </c>
      <c r="FZ471" s="27" t="s">
        <v>7</v>
      </c>
    </row>
    <row r="472" spans="1:182" x14ac:dyDescent="0.25">
      <c r="A472" s="7">
        <v>9.7503398329186464</v>
      </c>
      <c r="B472"/>
      <c r="C472"/>
      <c r="D472"/>
      <c r="E472" t="s">
        <v>8</v>
      </c>
      <c r="AZ472" s="27" t="s">
        <v>7</v>
      </c>
      <c r="BA472" s="27" t="s">
        <v>8</v>
      </c>
      <c r="BD472" s="27" t="s">
        <v>7</v>
      </c>
      <c r="BE472" s="27" t="s">
        <v>8</v>
      </c>
      <c r="BR472" s="27" t="s">
        <v>7</v>
      </c>
      <c r="BU472" s="27" t="s">
        <v>8</v>
      </c>
      <c r="BV472" s="27" t="s">
        <v>7</v>
      </c>
      <c r="BY472" s="27" t="s">
        <v>8</v>
      </c>
      <c r="BZ472" s="27" t="s">
        <v>7</v>
      </c>
      <c r="CA472" s="27" t="s">
        <v>8</v>
      </c>
      <c r="CB472" s="27" t="s">
        <v>7</v>
      </c>
      <c r="CM472" s="27" t="s">
        <v>8</v>
      </c>
      <c r="CN472" s="27" t="s">
        <v>7</v>
      </c>
      <c r="CO472" s="27" t="s">
        <v>8</v>
      </c>
      <c r="FX472" s="27" t="s">
        <v>7</v>
      </c>
      <c r="FY472" s="27" t="s">
        <v>8</v>
      </c>
      <c r="FZ472" s="27" t="s">
        <v>7</v>
      </c>
    </row>
    <row r="473" spans="1:182" x14ac:dyDescent="0.25">
      <c r="A473" s="7">
        <v>9.5591566989398498</v>
      </c>
      <c r="B473"/>
      <c r="C473"/>
      <c r="D473"/>
      <c r="E473" t="s">
        <v>8</v>
      </c>
      <c r="AZ473" s="27" t="s">
        <v>7</v>
      </c>
      <c r="BA473" s="27" t="s">
        <v>8</v>
      </c>
      <c r="BD473" s="27" t="s">
        <v>7</v>
      </c>
      <c r="BE473" s="27" t="s">
        <v>8</v>
      </c>
      <c r="BR473" s="27" t="s">
        <v>7</v>
      </c>
      <c r="BS473" s="27" t="s">
        <v>8</v>
      </c>
      <c r="BU473" s="27" t="s">
        <v>8</v>
      </c>
      <c r="BV473" s="27" t="s">
        <v>7</v>
      </c>
      <c r="BY473" s="27" t="s">
        <v>8</v>
      </c>
      <c r="BZ473" s="27" t="s">
        <v>7</v>
      </c>
      <c r="CA473" s="27" t="s">
        <v>8</v>
      </c>
      <c r="CB473" s="27" t="s">
        <v>7</v>
      </c>
      <c r="CM473" s="27" t="s">
        <v>8</v>
      </c>
      <c r="CN473" s="27" t="s">
        <v>7</v>
      </c>
      <c r="CO473" s="27" t="s">
        <v>8</v>
      </c>
      <c r="FX473" s="27" t="s">
        <v>7</v>
      </c>
      <c r="FY473" s="27" t="s">
        <v>8</v>
      </c>
      <c r="FZ473" s="27" t="s">
        <v>7</v>
      </c>
    </row>
    <row r="474" spans="1:182" x14ac:dyDescent="0.25">
      <c r="A474" s="7">
        <v>9.3717222538625968</v>
      </c>
      <c r="B474"/>
      <c r="C474"/>
      <c r="D474"/>
      <c r="E474" t="s">
        <v>8</v>
      </c>
      <c r="AZ474" s="27" t="s">
        <v>7</v>
      </c>
      <c r="BA474" s="27" t="s">
        <v>8</v>
      </c>
      <c r="BD474" s="27" t="s">
        <v>7</v>
      </c>
      <c r="BE474" s="27" t="s">
        <v>8</v>
      </c>
      <c r="BR474" s="27" t="s">
        <v>7</v>
      </c>
      <c r="BS474" s="27" t="s">
        <v>8</v>
      </c>
      <c r="BT474" s="27" t="s">
        <v>7</v>
      </c>
      <c r="BU474" s="27" t="s">
        <v>8</v>
      </c>
      <c r="BV474" s="27" t="s">
        <v>7</v>
      </c>
      <c r="BW474" s="27" t="s">
        <v>8</v>
      </c>
      <c r="BY474" s="27" t="s">
        <v>8</v>
      </c>
      <c r="BZ474" s="27" t="s">
        <v>7</v>
      </c>
      <c r="CA474" s="27" t="s">
        <v>8</v>
      </c>
      <c r="CB474" s="27" t="s">
        <v>7</v>
      </c>
      <c r="CM474" s="27" t="s">
        <v>8</v>
      </c>
      <c r="CN474" s="27" t="s">
        <v>7</v>
      </c>
      <c r="CO474" s="27" t="s">
        <v>8</v>
      </c>
      <c r="FX474" s="27" t="s">
        <v>7</v>
      </c>
      <c r="FY474" s="27" t="s">
        <v>8</v>
      </c>
      <c r="FZ474" s="27" t="s">
        <v>7</v>
      </c>
    </row>
    <row r="475" spans="1:182" x14ac:dyDescent="0.25">
      <c r="A475" s="7">
        <v>9.1879629939829375</v>
      </c>
      <c r="B475"/>
      <c r="C475"/>
      <c r="D475"/>
      <c r="E475" t="s">
        <v>8</v>
      </c>
      <c r="AZ475" s="27" t="s">
        <v>7</v>
      </c>
      <c r="BA475" s="27" t="s">
        <v>8</v>
      </c>
      <c r="BD475" s="27" t="s">
        <v>7</v>
      </c>
      <c r="BE475" s="27" t="s">
        <v>8</v>
      </c>
      <c r="BR475" s="27" t="s">
        <v>7</v>
      </c>
      <c r="BS475" s="27" t="s">
        <v>8</v>
      </c>
      <c r="BT475" s="27" t="s">
        <v>7</v>
      </c>
      <c r="BU475" s="27" t="s">
        <v>8</v>
      </c>
      <c r="BV475" s="27" t="s">
        <v>7</v>
      </c>
      <c r="BW475" s="27" t="s">
        <v>8</v>
      </c>
      <c r="BX475" s="27" t="s">
        <v>7</v>
      </c>
      <c r="BY475" s="27" t="s">
        <v>8</v>
      </c>
      <c r="BZ475" s="27" t="s">
        <v>7</v>
      </c>
      <c r="CA475" s="27" t="s">
        <v>8</v>
      </c>
      <c r="CB475" s="27" t="s">
        <v>7</v>
      </c>
      <c r="CC475" s="27" t="s">
        <v>8</v>
      </c>
      <c r="CK475" s="27" t="s">
        <v>8</v>
      </c>
      <c r="CM475" s="27" t="s">
        <v>8</v>
      </c>
      <c r="CN475" s="27" t="s">
        <v>7</v>
      </c>
      <c r="CO475" s="27" t="s">
        <v>8</v>
      </c>
      <c r="FX475" s="27" t="s">
        <v>7</v>
      </c>
      <c r="FY475" s="27" t="s">
        <v>8</v>
      </c>
      <c r="FZ475" s="27" t="s">
        <v>7</v>
      </c>
    </row>
    <row r="476" spans="1:182" x14ac:dyDescent="0.25">
      <c r="A476" s="7">
        <v>9.0078068568460168</v>
      </c>
      <c r="B476"/>
      <c r="C476"/>
      <c r="D476"/>
      <c r="E476" t="s">
        <v>8</v>
      </c>
      <c r="AZ476" s="27" t="s">
        <v>7</v>
      </c>
      <c r="BA476" s="27" t="s">
        <v>8</v>
      </c>
      <c r="BD476" s="27" t="s">
        <v>7</v>
      </c>
      <c r="BE476" s="27" t="s">
        <v>8</v>
      </c>
      <c r="BR476" s="27" t="s">
        <v>7</v>
      </c>
      <c r="BS476" s="27" t="s">
        <v>8</v>
      </c>
      <c r="BT476" s="27" t="s">
        <v>7</v>
      </c>
      <c r="BU476" s="27" t="s">
        <v>8</v>
      </c>
      <c r="BV476" s="27" t="s">
        <v>7</v>
      </c>
      <c r="BW476" s="27" t="s">
        <v>8</v>
      </c>
      <c r="BX476" s="27" t="s">
        <v>7</v>
      </c>
      <c r="BY476" s="27" t="s">
        <v>8</v>
      </c>
      <c r="BZ476" s="27" t="s">
        <v>7</v>
      </c>
      <c r="CB476" s="27" t="s">
        <v>7</v>
      </c>
      <c r="CC476" s="27" t="s">
        <v>8</v>
      </c>
      <c r="CD476" s="27" t="s">
        <v>7</v>
      </c>
      <c r="CK476" s="27" t="s">
        <v>8</v>
      </c>
      <c r="CL476" s="27" t="s">
        <v>7</v>
      </c>
      <c r="CM476" s="27" t="s">
        <v>8</v>
      </c>
      <c r="CN476" s="27" t="s">
        <v>7</v>
      </c>
      <c r="FX476" s="27" t="s">
        <v>7</v>
      </c>
      <c r="FY476" s="27" t="s">
        <v>8</v>
      </c>
      <c r="FZ476" s="27" t="s">
        <v>7</v>
      </c>
    </row>
    <row r="477" spans="1:182" x14ac:dyDescent="0.25">
      <c r="A477" s="7">
        <v>8.8311831929862912</v>
      </c>
      <c r="B477"/>
      <c r="C477"/>
      <c r="D477"/>
      <c r="E477" t="s">
        <v>8</v>
      </c>
      <c r="AZ477" s="27" t="s">
        <v>7</v>
      </c>
      <c r="BA477" s="27" t="s">
        <v>8</v>
      </c>
      <c r="BD477" s="27" t="s">
        <v>7</v>
      </c>
      <c r="BE477" s="27" t="s">
        <v>8</v>
      </c>
      <c r="BR477" s="27" t="s">
        <v>7</v>
      </c>
      <c r="BS477" s="27" t="s">
        <v>8</v>
      </c>
      <c r="BT477" s="27" t="s">
        <v>7</v>
      </c>
      <c r="BU477" s="27" t="s">
        <v>8</v>
      </c>
      <c r="BV477" s="27" t="s">
        <v>7</v>
      </c>
      <c r="BX477" s="27" t="s">
        <v>7</v>
      </c>
      <c r="BY477" s="27" t="s">
        <v>8</v>
      </c>
      <c r="CB477" s="27" t="s">
        <v>7</v>
      </c>
      <c r="CC477" s="27" t="s">
        <v>8</v>
      </c>
      <c r="CD477" s="27" t="s">
        <v>7</v>
      </c>
      <c r="CK477" s="27" t="s">
        <v>8</v>
      </c>
      <c r="CL477" s="27" t="s">
        <v>7</v>
      </c>
      <c r="CM477" s="27" t="s">
        <v>8</v>
      </c>
      <c r="FX477" s="27" t="s">
        <v>7</v>
      </c>
      <c r="FY477" s="27" t="s">
        <v>8</v>
      </c>
    </row>
    <row r="478" spans="1:182" x14ac:dyDescent="0.25">
      <c r="A478" s="7">
        <v>8.6580227382218542</v>
      </c>
      <c r="B478"/>
      <c r="C478"/>
      <c r="D478"/>
      <c r="E478" t="s">
        <v>8</v>
      </c>
      <c r="AZ478" s="27" t="s">
        <v>7</v>
      </c>
      <c r="BA478" s="27" t="s">
        <v>8</v>
      </c>
      <c r="BD478" s="27" t="s">
        <v>7</v>
      </c>
      <c r="BE478" s="27" t="s">
        <v>8</v>
      </c>
      <c r="BR478" s="27" t="s">
        <v>7</v>
      </c>
      <c r="BS478" s="27" t="s">
        <v>8</v>
      </c>
      <c r="BT478" s="27" t="s">
        <v>7</v>
      </c>
      <c r="BU478" s="27" t="s">
        <v>8</v>
      </c>
      <c r="BX478" s="27" t="s">
        <v>7</v>
      </c>
      <c r="CB478" s="27" t="s">
        <v>7</v>
      </c>
      <c r="CD478" s="27" t="s">
        <v>7</v>
      </c>
      <c r="CK478" s="27" t="s">
        <v>8</v>
      </c>
      <c r="CL478" s="27" t="s">
        <v>7</v>
      </c>
      <c r="CM478" s="27" t="s">
        <v>8</v>
      </c>
      <c r="FX478" s="27" t="s">
        <v>7</v>
      </c>
      <c r="FY478" s="27" t="s">
        <v>8</v>
      </c>
    </row>
    <row r="479" spans="1:182" x14ac:dyDescent="0.25">
      <c r="A479" s="7">
        <v>8.4882575864920131</v>
      </c>
      <c r="B479"/>
      <c r="C479"/>
      <c r="D479"/>
      <c r="E479" t="s">
        <v>8</v>
      </c>
      <c r="AZ479" s="27" t="s">
        <v>7</v>
      </c>
      <c r="BA479" s="27" t="s">
        <v>8</v>
      </c>
      <c r="BD479" s="27" t="s">
        <v>7</v>
      </c>
      <c r="BE479" s="27" t="s">
        <v>8</v>
      </c>
      <c r="BR479" s="27" t="s">
        <v>7</v>
      </c>
      <c r="BS479" s="27" t="s">
        <v>8</v>
      </c>
      <c r="BT479" s="27" t="s">
        <v>7</v>
      </c>
      <c r="BU479" s="27" t="s">
        <v>8</v>
      </c>
      <c r="CD479" s="27" t="s">
        <v>7</v>
      </c>
      <c r="CK479" s="27" t="s">
        <v>8</v>
      </c>
      <c r="CL479" s="27" t="s">
        <v>7</v>
      </c>
      <c r="CM479" s="27" t="s">
        <v>8</v>
      </c>
      <c r="FX479" s="27" t="s">
        <v>7</v>
      </c>
      <c r="FY479" s="27" t="s">
        <v>8</v>
      </c>
    </row>
    <row r="480" spans="1:182" x14ac:dyDescent="0.25">
      <c r="A480" s="7">
        <v>8.3218211632274635</v>
      </c>
      <c r="B480"/>
      <c r="C480"/>
      <c r="D480"/>
      <c r="E480" t="s">
        <v>8</v>
      </c>
      <c r="AZ480" s="27" t="s">
        <v>7</v>
      </c>
      <c r="BA480" s="27" t="s">
        <v>8</v>
      </c>
      <c r="BD480" s="27" t="s">
        <v>7</v>
      </c>
      <c r="BR480" s="27" t="s">
        <v>7</v>
      </c>
      <c r="BS480" s="27" t="s">
        <v>8</v>
      </c>
      <c r="BT480" s="27" t="s">
        <v>7</v>
      </c>
      <c r="BU480" s="27" t="s">
        <v>8</v>
      </c>
      <c r="CD480" s="27" t="s">
        <v>7</v>
      </c>
      <c r="CK480" s="27" t="s">
        <v>8</v>
      </c>
      <c r="CL480" s="27" t="s">
        <v>7</v>
      </c>
      <c r="CM480" s="27" t="s">
        <v>8</v>
      </c>
      <c r="FX480" s="27" t="s">
        <v>7</v>
      </c>
    </row>
    <row r="481" spans="1:90" x14ac:dyDescent="0.25">
      <c r="A481" s="7">
        <v>8.1586481992426112</v>
      </c>
      <c r="B481"/>
      <c r="C481"/>
      <c r="D481"/>
      <c r="E481" t="s">
        <v>8</v>
      </c>
      <c r="AZ481" s="27" t="s">
        <v>7</v>
      </c>
      <c r="BA481" s="27" t="s">
        <v>8</v>
      </c>
      <c r="BR481" s="27" t="s">
        <v>7</v>
      </c>
      <c r="BS481" s="27" t="s">
        <v>8</v>
      </c>
      <c r="BT481" s="27" t="s">
        <v>7</v>
      </c>
      <c r="BU481" s="27" t="s">
        <v>8</v>
      </c>
      <c r="CD481" s="27" t="s">
        <v>7</v>
      </c>
      <c r="CE481" s="27" t="s">
        <v>8</v>
      </c>
      <c r="CK481" s="27" t="s">
        <v>8</v>
      </c>
      <c r="CL481" s="27" t="s">
        <v>7</v>
      </c>
    </row>
    <row r="482" spans="1:90" x14ac:dyDescent="0.25">
      <c r="A482" s="7">
        <v>7.9986747051398144</v>
      </c>
      <c r="B482"/>
      <c r="C482"/>
      <c r="D482"/>
      <c r="E482" t="s">
        <v>8</v>
      </c>
      <c r="AZ482" s="27" t="s">
        <v>7</v>
      </c>
      <c r="BA482" s="27" t="s">
        <v>8</v>
      </c>
      <c r="BR482" s="27" t="s">
        <v>7</v>
      </c>
      <c r="BS482" s="27" t="s">
        <v>8</v>
      </c>
      <c r="BT482" s="27" t="s">
        <v>7</v>
      </c>
      <c r="BU482" s="27" t="s">
        <v>8</v>
      </c>
      <c r="CD482" s="27" t="s">
        <v>7</v>
      </c>
      <c r="CE482" s="27" t="s">
        <v>8</v>
      </c>
      <c r="CF482" s="27" t="s">
        <v>7</v>
      </c>
      <c r="CK482" s="27" t="s">
        <v>8</v>
      </c>
    </row>
    <row r="483" spans="1:90" x14ac:dyDescent="0.25">
      <c r="A483" s="7">
        <v>7.8418379462155041</v>
      </c>
      <c r="B483"/>
      <c r="C483"/>
      <c r="D483"/>
      <c r="E483" t="s">
        <v>8</v>
      </c>
      <c r="AZ483" s="27" t="s">
        <v>7</v>
      </c>
      <c r="BA483" s="27" t="s">
        <v>8</v>
      </c>
      <c r="BR483" s="27" t="s">
        <v>7</v>
      </c>
      <c r="BS483" s="27" t="s">
        <v>8</v>
      </c>
      <c r="BT483" s="27" t="s">
        <v>7</v>
      </c>
      <c r="BU483" s="27" t="s">
        <v>8</v>
      </c>
      <c r="CD483" s="27" t="s">
        <v>7</v>
      </c>
      <c r="CE483" s="27" t="s">
        <v>8</v>
      </c>
      <c r="CF483" s="27" t="s">
        <v>7</v>
      </c>
      <c r="CG483" s="27" t="s">
        <v>8</v>
      </c>
      <c r="CI483" s="27" t="s">
        <v>8</v>
      </c>
      <c r="CK483" s="27" t="s">
        <v>8</v>
      </c>
    </row>
    <row r="484" spans="1:90" x14ac:dyDescent="0.25">
      <c r="A484" s="7">
        <v>7.688076417858337</v>
      </c>
      <c r="B484"/>
      <c r="C484"/>
      <c r="D484"/>
      <c r="E484" t="s">
        <v>8</v>
      </c>
      <c r="AZ484" s="27" t="s">
        <v>7</v>
      </c>
      <c r="BA484" s="27" t="s">
        <v>8</v>
      </c>
      <c r="BR484" s="27" t="s">
        <v>7</v>
      </c>
      <c r="BT484" s="27" t="s">
        <v>7</v>
      </c>
      <c r="BU484" s="27" t="s">
        <v>8</v>
      </c>
      <c r="CD484" s="27" t="s">
        <v>7</v>
      </c>
      <c r="CF484" s="27" t="s">
        <v>7</v>
      </c>
      <c r="CG484" s="27" t="s">
        <v>8</v>
      </c>
      <c r="CH484" s="27" t="s">
        <v>7</v>
      </c>
      <c r="CI484" s="27" t="s">
        <v>8</v>
      </c>
      <c r="CJ484" s="27" t="s">
        <v>7</v>
      </c>
      <c r="CK484" s="27" t="s">
        <v>8</v>
      </c>
    </row>
    <row r="485" spans="1:90" x14ac:dyDescent="0.25">
      <c r="A485" s="7">
        <v>7.5373298214297417</v>
      </c>
      <c r="B485"/>
      <c r="C485"/>
      <c r="D485"/>
      <c r="E485" t="s">
        <v>8</v>
      </c>
      <c r="AZ485" s="27" t="s">
        <v>7</v>
      </c>
      <c r="BA485" s="27" t="s">
        <v>8</v>
      </c>
      <c r="BT485" s="27" t="s">
        <v>7</v>
      </c>
      <c r="BU485" s="27" t="s">
        <v>8</v>
      </c>
      <c r="CF485" s="27" t="s">
        <v>7</v>
      </c>
      <c r="CG485" s="27" t="s">
        <v>8</v>
      </c>
      <c r="CH485" s="27" t="s">
        <v>7</v>
      </c>
      <c r="CI485" s="27" t="s">
        <v>8</v>
      </c>
      <c r="CJ485" s="27" t="s">
        <v>7</v>
      </c>
      <c r="CK485" s="27" t="s">
        <v>8</v>
      </c>
    </row>
    <row r="486" spans="1:90" x14ac:dyDescent="0.25">
      <c r="A486" s="7">
        <v>7.389539040617394</v>
      </c>
      <c r="B486"/>
      <c r="C486"/>
      <c r="D486"/>
      <c r="E486" t="s">
        <v>8</v>
      </c>
      <c r="AZ486" s="27" t="s">
        <v>7</v>
      </c>
      <c r="BA486" s="27" t="s">
        <v>8</v>
      </c>
      <c r="BT486" s="27" t="s">
        <v>7</v>
      </c>
      <c r="BU486" s="27" t="s">
        <v>8</v>
      </c>
      <c r="CF486" s="27" t="s">
        <v>7</v>
      </c>
      <c r="CH486" s="27" t="s">
        <v>7</v>
      </c>
      <c r="CI486" s="27" t="s">
        <v>8</v>
      </c>
      <c r="CJ486" s="27" t="s">
        <v>7</v>
      </c>
    </row>
    <row r="487" spans="1:90" x14ac:dyDescent="0.25">
      <c r="A487" s="7">
        <v>7.2446461182523469</v>
      </c>
      <c r="B487"/>
      <c r="C487"/>
      <c r="D487"/>
      <c r="E487" t="s">
        <v>8</v>
      </c>
      <c r="AZ487" s="27" t="s">
        <v>7</v>
      </c>
      <c r="BA487" s="27" t="s">
        <v>8</v>
      </c>
      <c r="BT487" s="27" t="s">
        <v>7</v>
      </c>
      <c r="BU487" s="27" t="s">
        <v>8</v>
      </c>
      <c r="CH487" s="18" t="s">
        <v>7</v>
      </c>
      <c r="CI487" s="27" t="s">
        <v>8</v>
      </c>
    </row>
    <row r="488" spans="1:90" x14ac:dyDescent="0.25">
      <c r="A488" s="7">
        <v>7.1025942335807324</v>
      </c>
      <c r="B488"/>
      <c r="C488"/>
      <c r="D488"/>
      <c r="E488" t="s">
        <v>8</v>
      </c>
      <c r="AZ488" s="27" t="s">
        <v>7</v>
      </c>
      <c r="BA488" s="27" t="s">
        <v>8</v>
      </c>
      <c r="BT488" s="27" t="s">
        <v>7</v>
      </c>
      <c r="CH488" s="27" t="s">
        <v>7</v>
      </c>
      <c r="CI488" s="27" t="s">
        <v>8</v>
      </c>
    </row>
    <row r="489" spans="1:90" x14ac:dyDescent="0.25">
      <c r="A489" s="7">
        <v>6.9633276799811101</v>
      </c>
      <c r="B489"/>
      <c r="C489"/>
      <c r="D489"/>
      <c r="E489" t="s">
        <v>8</v>
      </c>
      <c r="AZ489" s="27" t="s">
        <v>7</v>
      </c>
      <c r="BA489" s="27" t="s">
        <v>8</v>
      </c>
      <c r="CH489" s="27" t="s">
        <v>7</v>
      </c>
      <c r="CI489" s="27" t="s">
        <v>8</v>
      </c>
    </row>
    <row r="490" spans="1:90" x14ac:dyDescent="0.25">
      <c r="A490" s="7">
        <v>6.8267918431187349</v>
      </c>
      <c r="B490"/>
      <c r="C490"/>
      <c r="D490"/>
      <c r="E490" t="s">
        <v>8</v>
      </c>
      <c r="AZ490" s="27" t="s">
        <v>7</v>
      </c>
      <c r="BA490" s="27" t="s">
        <v>8</v>
      </c>
      <c r="CH490" s="27" t="s">
        <v>7</v>
      </c>
      <c r="CI490" s="27" t="s">
        <v>8</v>
      </c>
    </row>
    <row r="491" spans="1:90" x14ac:dyDescent="0.25">
      <c r="A491" s="7">
        <v>6.692933179528171</v>
      </c>
      <c r="B491"/>
      <c r="C491"/>
      <c r="D491"/>
      <c r="E491" t="s">
        <v>8</v>
      </c>
      <c r="AZ491" s="27" t="s">
        <v>7</v>
      </c>
      <c r="BA491" s="27" t="s">
        <v>8</v>
      </c>
      <c r="CH491" s="27" t="s">
        <v>7</v>
      </c>
    </row>
    <row r="492" spans="1:90" x14ac:dyDescent="0.25">
      <c r="A492" s="7">
        <v>6.5616991956158541</v>
      </c>
      <c r="B492"/>
      <c r="C492"/>
      <c r="D492"/>
      <c r="E492" t="s">
        <v>8</v>
      </c>
      <c r="AZ492" s="27" t="s">
        <v>7</v>
      </c>
      <c r="BA492" s="27" t="s">
        <v>8</v>
      </c>
    </row>
    <row r="493" spans="1:90" x14ac:dyDescent="0.25">
      <c r="A493" s="7">
        <v>6.4330384270743668</v>
      </c>
      <c r="B493"/>
      <c r="C493"/>
      <c r="D493"/>
      <c r="E493" t="s">
        <v>8</v>
      </c>
      <c r="AZ493" s="27" t="s">
        <v>7</v>
      </c>
      <c r="BA493" s="27" t="s">
        <v>8</v>
      </c>
    </row>
    <row r="494" spans="1:90" x14ac:dyDescent="0.25">
      <c r="A494" s="7">
        <v>6.3069004187003594</v>
      </c>
      <c r="B494"/>
      <c r="C494"/>
      <c r="D494"/>
      <c r="E494" t="s">
        <v>8</v>
      </c>
      <c r="AZ494" s="27" t="s">
        <v>7</v>
      </c>
      <c r="BA494" s="27" t="s">
        <v>8</v>
      </c>
    </row>
    <row r="495" spans="1:90" x14ac:dyDescent="0.25">
      <c r="A495" s="7">
        <v>6.1832357046081956</v>
      </c>
      <c r="B495"/>
      <c r="C495"/>
      <c r="D495"/>
      <c r="E495" t="s">
        <v>8</v>
      </c>
      <c r="AZ495" s="27" t="s">
        <v>7</v>
      </c>
      <c r="BA495" s="27" t="s">
        <v>8</v>
      </c>
    </row>
    <row r="496" spans="1:90" x14ac:dyDescent="0.25">
      <c r="A496" s="7">
        <v>6.0619957888315641</v>
      </c>
      <c r="B496"/>
      <c r="C496"/>
      <c r="D496"/>
      <c r="E496" t="s">
        <v>8</v>
      </c>
      <c r="AZ496" s="27" t="s">
        <v>7</v>
      </c>
      <c r="BA496" s="27" t="s">
        <v>8</v>
      </c>
    </row>
    <row r="497" spans="1:53" x14ac:dyDescent="0.25">
      <c r="A497" s="7">
        <v>5.9431331263054545</v>
      </c>
      <c r="B497"/>
      <c r="C497"/>
      <c r="D497"/>
      <c r="E497" t="s">
        <v>8</v>
      </c>
      <c r="AZ497" s="27" t="s">
        <v>7</v>
      </c>
      <c r="BA497" s="27" t="s">
        <v>8</v>
      </c>
    </row>
    <row r="498" spans="1:53" x14ac:dyDescent="0.25">
      <c r="A498" s="7">
        <v>5.8266011042210337</v>
      </c>
      <c r="B498"/>
      <c r="C498"/>
      <c r="D498"/>
      <c r="E498" t="s">
        <v>8</v>
      </c>
      <c r="AZ498" s="27" t="s">
        <v>7</v>
      </c>
      <c r="BA498" s="27" t="s">
        <v>8</v>
      </c>
    </row>
    <row r="499" spans="1:53" x14ac:dyDescent="0.25">
      <c r="A499" s="7">
        <v>5.7123540237461112</v>
      </c>
      <c r="B499"/>
      <c r="C499"/>
      <c r="D499"/>
      <c r="E499" t="s">
        <v>8</v>
      </c>
      <c r="AZ499" s="27" t="s">
        <v>7</v>
      </c>
      <c r="BA499" s="27" t="s">
        <v>8</v>
      </c>
    </row>
    <row r="500" spans="1:53" x14ac:dyDescent="0.25">
      <c r="A500" s="7">
        <v>5.6003470821040304</v>
      </c>
      <c r="B500"/>
      <c r="C500"/>
      <c r="D500"/>
      <c r="E500" t="s">
        <v>8</v>
      </c>
      <c r="AZ500" s="27" t="s">
        <v>7</v>
      </c>
      <c r="BA500" s="27" t="s">
        <v>8</v>
      </c>
    </row>
    <row r="501" spans="1:53" x14ac:dyDescent="0.25">
      <c r="A501" s="7">
        <v>5.4905363550039512</v>
      </c>
      <c r="B501"/>
      <c r="C501"/>
      <c r="D501"/>
      <c r="E501" t="s">
        <v>8</v>
      </c>
      <c r="AZ501" s="27" t="s">
        <v>7</v>
      </c>
      <c r="BA501" s="27" t="s">
        <v>8</v>
      </c>
    </row>
    <row r="502" spans="1:53" x14ac:dyDescent="0.25">
      <c r="A502" s="7">
        <v>5.3828787794156385</v>
      </c>
      <c r="B502"/>
      <c r="C502"/>
      <c r="D502"/>
      <c r="E502" t="s">
        <v>8</v>
      </c>
      <c r="AZ502" s="27" t="s">
        <v>7</v>
      </c>
      <c r="BA502" s="27" t="s">
        <v>8</v>
      </c>
    </row>
    <row r="503" spans="1:53" x14ac:dyDescent="0.25">
      <c r="A503" s="7">
        <v>5.2773321366819985</v>
      </c>
      <c r="B503"/>
      <c r="C503"/>
      <c r="D503"/>
      <c r="E503" t="s">
        <v>8</v>
      </c>
      <c r="AZ503" s="27" t="s">
        <v>7</v>
      </c>
      <c r="BA503" s="27" t="s">
        <v>8</v>
      </c>
    </row>
    <row r="504" spans="1:53" x14ac:dyDescent="0.25">
      <c r="A504" s="7">
        <v>5.1738550359627435</v>
      </c>
      <c r="B504"/>
      <c r="C504"/>
      <c r="D504"/>
      <c r="E504" t="s">
        <v>8</v>
      </c>
      <c r="AZ504" s="27" t="s">
        <v>7</v>
      </c>
      <c r="BA504" s="27" t="s">
        <v>8</v>
      </c>
    </row>
    <row r="505" spans="1:53" x14ac:dyDescent="0.25">
      <c r="A505" s="7">
        <v>5.07240689800269</v>
      </c>
      <c r="B505"/>
      <c r="C505"/>
      <c r="D505"/>
      <c r="E505" t="s">
        <v>8</v>
      </c>
      <c r="AZ505" s="27" t="s">
        <v>7</v>
      </c>
      <c r="BA505" s="27" t="s">
        <v>8</v>
      </c>
    </row>
    <row r="506" spans="1:53" x14ac:dyDescent="0.25">
      <c r="A506" s="7">
        <v>4.9729479392183231</v>
      </c>
      <c r="B506"/>
      <c r="C506"/>
      <c r="D506"/>
      <c r="E506" t="s">
        <v>8</v>
      </c>
      <c r="AZ506" s="27" t="s">
        <v>7</v>
      </c>
      <c r="BA506" s="27" t="s">
        <v>8</v>
      </c>
    </row>
    <row r="507" spans="1:53" x14ac:dyDescent="0.25">
      <c r="A507" s="7">
        <v>4.8754391560963954</v>
      </c>
      <c r="B507"/>
      <c r="C507"/>
      <c r="D507"/>
      <c r="E507" t="s">
        <v>8</v>
      </c>
      <c r="AZ507" s="27" t="s">
        <v>7</v>
      </c>
      <c r="BA507" s="27" t="s">
        <v>8</v>
      </c>
    </row>
    <row r="508" spans="1:53" x14ac:dyDescent="0.25">
      <c r="A508" s="7">
        <v>4.7798423098984264</v>
      </c>
      <c r="B508"/>
      <c r="C508"/>
      <c r="D508"/>
      <c r="E508" t="s">
        <v>8</v>
      </c>
      <c r="AZ508" s="27" t="s">
        <v>7</v>
      </c>
      <c r="BA508" s="27" t="s">
        <v>8</v>
      </c>
    </row>
    <row r="509" spans="1:53" x14ac:dyDescent="0.25">
      <c r="A509" s="7">
        <v>4.6861199116651235</v>
      </c>
      <c r="B509"/>
      <c r="C509"/>
      <c r="D509"/>
      <c r="E509" t="s">
        <v>8</v>
      </c>
      <c r="AZ509" s="27" t="s">
        <v>7</v>
      </c>
      <c r="BA509" s="27" t="s">
        <v>8</v>
      </c>
    </row>
    <row r="510" spans="1:53" x14ac:dyDescent="0.25">
      <c r="A510" s="7">
        <v>4.5942352075148269</v>
      </c>
      <c r="B510"/>
      <c r="C510"/>
      <c r="D510"/>
      <c r="E510" t="s">
        <v>8</v>
      </c>
      <c r="AZ510" s="27" t="s">
        <v>7</v>
      </c>
      <c r="BA510" s="27" t="s">
        <v>8</v>
      </c>
    </row>
    <row r="511" spans="1:53" x14ac:dyDescent="0.25">
      <c r="A511" s="7">
        <v>4.5041521642302227</v>
      </c>
      <c r="B511"/>
      <c r="C511"/>
      <c r="D511"/>
      <c r="E511" t="s">
        <v>8</v>
      </c>
      <c r="AZ511" s="27" t="s">
        <v>7</v>
      </c>
      <c r="BA511" s="27" t="s">
        <v>8</v>
      </c>
    </row>
    <row r="512" spans="1:53" x14ac:dyDescent="0.25">
      <c r="A512" s="7">
        <v>4.4158354551276693</v>
      </c>
      <c r="B512"/>
      <c r="C512"/>
      <c r="D512"/>
      <c r="E512" t="s">
        <v>8</v>
      </c>
      <c r="AZ512" s="27" t="s">
        <v>7</v>
      </c>
      <c r="BA512" s="27" t="s">
        <v>8</v>
      </c>
    </row>
    <row r="513" spans="1:53" x14ac:dyDescent="0.25">
      <c r="A513" s="7">
        <v>4.3292504462035977</v>
      </c>
      <c r="B513"/>
      <c r="C513"/>
      <c r="D513"/>
      <c r="E513" t="s">
        <v>8</v>
      </c>
      <c r="AZ513" s="27" t="s">
        <v>7</v>
      </c>
      <c r="BA513" s="27" t="s">
        <v>8</v>
      </c>
    </row>
    <row r="514" spans="1:53" x14ac:dyDescent="0.25">
      <c r="A514" s="7">
        <v>4.2443631825525463</v>
      </c>
      <c r="B514"/>
      <c r="C514"/>
      <c r="D514"/>
      <c r="E514" t="s">
        <v>8</v>
      </c>
      <c r="AZ514" s="27" t="s">
        <v>7</v>
      </c>
      <c r="BA514" s="27" t="s">
        <v>8</v>
      </c>
    </row>
    <row r="515" spans="1:53" x14ac:dyDescent="0.25">
      <c r="A515" s="7">
        <v>4.1611403750515157</v>
      </c>
      <c r="B515"/>
      <c r="C515"/>
      <c r="D515"/>
      <c r="E515" t="s">
        <v>8</v>
      </c>
      <c r="AZ515" s="27" t="s">
        <v>7</v>
      </c>
      <c r="BA515" s="27" t="s">
        <v>8</v>
      </c>
    </row>
    <row r="516" spans="1:53" x14ac:dyDescent="0.25">
      <c r="A516" s="7">
        <v>4.0795493873054074</v>
      </c>
      <c r="B516"/>
      <c r="C516"/>
      <c r="D516"/>
      <c r="E516" t="s">
        <v>8</v>
      </c>
      <c r="AZ516" s="27" t="s">
        <v>7</v>
      </c>
      <c r="BA516" s="27" t="s">
        <v>8</v>
      </c>
    </row>
    <row r="517" spans="1:53" x14ac:dyDescent="0.25">
      <c r="A517" s="7">
        <v>3.9995582228484383</v>
      </c>
      <c r="B517"/>
      <c r="C517"/>
      <c r="D517"/>
      <c r="E517" t="s">
        <v>8</v>
      </c>
      <c r="AZ517" s="27" t="s">
        <v>7</v>
      </c>
      <c r="BA517" s="27" t="s">
        <v>8</v>
      </c>
    </row>
    <row r="518" spans="1:53" x14ac:dyDescent="0.25">
      <c r="A518" s="7">
        <v>3.9211355125965079</v>
      </c>
      <c r="B518"/>
      <c r="C518"/>
      <c r="D518"/>
      <c r="E518" t="s">
        <v>8</v>
      </c>
      <c r="AZ518" s="27" t="s">
        <v>7</v>
      </c>
      <c r="BA518" s="27" t="s">
        <v>8</v>
      </c>
    </row>
    <row r="519" spans="1:53" x14ac:dyDescent="0.25">
      <c r="A519" s="7">
        <v>3.844250502545596</v>
      </c>
      <c r="B519"/>
      <c r="C519"/>
      <c r="D519"/>
      <c r="E519" t="s">
        <v>8</v>
      </c>
      <c r="AZ519" s="27" t="s">
        <v>7</v>
      </c>
      <c r="BA519" s="27" t="s">
        <v>8</v>
      </c>
    </row>
    <row r="520" spans="1:53" x14ac:dyDescent="0.25">
      <c r="A520" s="7">
        <v>3.7688730417113687</v>
      </c>
      <c r="B520"/>
      <c r="C520"/>
      <c r="D520"/>
      <c r="E520" t="s">
        <v>8</v>
      </c>
      <c r="AZ520" s="27" t="s">
        <v>7</v>
      </c>
      <c r="BA520" s="27" t="s">
        <v>8</v>
      </c>
    </row>
    <row r="521" spans="1:53" x14ac:dyDescent="0.25">
      <c r="A521" s="7">
        <v>3.6949735703052635</v>
      </c>
      <c r="B521"/>
      <c r="C521"/>
      <c r="D521"/>
      <c r="E521" t="s">
        <v>8</v>
      </c>
      <c r="AZ521" s="27" t="s">
        <v>7</v>
      </c>
      <c r="BA521" s="27" t="s">
        <v>8</v>
      </c>
    </row>
    <row r="522" spans="1:53" x14ac:dyDescent="0.25">
      <c r="A522" s="7">
        <v>3.6225231081424152</v>
      </c>
      <c r="B522"/>
      <c r="C522"/>
      <c r="D522"/>
      <c r="E522" t="s">
        <v>8</v>
      </c>
      <c r="AZ522" s="27" t="s">
        <v>7</v>
      </c>
      <c r="BA522" s="27" t="s">
        <v>8</v>
      </c>
    </row>
    <row r="523" spans="1:53" x14ac:dyDescent="0.25">
      <c r="A523" s="7">
        <v>3.5514932432768775</v>
      </c>
      <c r="B523"/>
      <c r="C523"/>
      <c r="D523"/>
      <c r="E523" t="s">
        <v>8</v>
      </c>
      <c r="AZ523" s="27" t="s">
        <v>7</v>
      </c>
      <c r="BA523" s="27" t="s">
        <v>8</v>
      </c>
    </row>
    <row r="524" spans="1:53" x14ac:dyDescent="0.25">
      <c r="A524" s="7">
        <v>3.4818561208596837</v>
      </c>
      <c r="B524"/>
      <c r="C524"/>
      <c r="D524"/>
      <c r="E524" t="s">
        <v>8</v>
      </c>
      <c r="AZ524" s="27" t="s">
        <v>7</v>
      </c>
      <c r="BA524" s="27" t="s">
        <v>8</v>
      </c>
    </row>
    <row r="525" spans="1:53" x14ac:dyDescent="0.25">
      <c r="A525" s="7">
        <v>3.4135844322153761</v>
      </c>
      <c r="B525"/>
      <c r="C525"/>
      <c r="D525"/>
      <c r="E525" t="s">
        <v>8</v>
      </c>
      <c r="AZ525" s="27" t="s">
        <v>7</v>
      </c>
      <c r="BA525" s="27" t="s">
        <v>8</v>
      </c>
    </row>
    <row r="526" spans="1:53" x14ac:dyDescent="0.25">
      <c r="A526" s="7">
        <v>3.3466514041327216</v>
      </c>
      <c r="B526"/>
      <c r="C526"/>
      <c r="D526"/>
      <c r="E526" t="s">
        <v>8</v>
      </c>
      <c r="AZ526" s="27" t="s">
        <v>7</v>
      </c>
      <c r="BA526" s="27" t="s">
        <v>8</v>
      </c>
    </row>
    <row r="527" spans="1:53" x14ac:dyDescent="0.25">
      <c r="A527" s="7">
        <v>3.2810307883654133</v>
      </c>
      <c r="B527"/>
      <c r="C527"/>
      <c r="D527"/>
      <c r="E527" t="s">
        <v>8</v>
      </c>
      <c r="AZ527" s="27" t="s">
        <v>7</v>
      </c>
      <c r="BA527" s="27" t="s">
        <v>8</v>
      </c>
    </row>
    <row r="528" spans="1:53" x14ac:dyDescent="0.25">
      <c r="A528" s="7">
        <v>3.2166968513386403</v>
      </c>
      <c r="B528"/>
      <c r="C528"/>
      <c r="D528"/>
      <c r="E528" t="s">
        <v>8</v>
      </c>
      <c r="AZ528" s="27" t="s">
        <v>7</v>
      </c>
      <c r="BA528" s="27" t="s">
        <v>8</v>
      </c>
    </row>
    <row r="529" spans="1:53" x14ac:dyDescent="0.25">
      <c r="A529" s="7">
        <v>3.1536243640574906</v>
      </c>
      <c r="B529"/>
      <c r="C529"/>
      <c r="D529"/>
      <c r="E529" t="s">
        <v>8</v>
      </c>
      <c r="AZ529" s="27" t="s">
        <v>7</v>
      </c>
      <c r="BA529" s="27" t="s">
        <v>8</v>
      </c>
    </row>
    <row r="530" spans="1:53" x14ac:dyDescent="0.25">
      <c r="A530" s="7">
        <v>3.0917885922132262</v>
      </c>
      <c r="B530"/>
      <c r="C530"/>
      <c r="D530"/>
      <c r="E530" t="s">
        <v>8</v>
      </c>
      <c r="AZ530" s="27" t="s">
        <v>7</v>
      </c>
    </row>
    <row r="531" spans="1:53" x14ac:dyDescent="0.25">
      <c r="A531" s="7">
        <v>3.0311652864835552</v>
      </c>
      <c r="B531"/>
      <c r="C531"/>
      <c r="D531"/>
      <c r="E531" t="s">
        <v>8</v>
      </c>
    </row>
    <row r="532" spans="1:53" x14ac:dyDescent="0.25">
      <c r="A532" s="7">
        <v>2.9717306730230932</v>
      </c>
      <c r="B532"/>
      <c r="C532"/>
      <c r="D532"/>
      <c r="E532" t="s">
        <v>8</v>
      </c>
    </row>
    <row r="533" spans="1:53" x14ac:dyDescent="0.25">
      <c r="A533" s="7">
        <v>2.9134614441402875</v>
      </c>
      <c r="B533"/>
      <c r="C533"/>
      <c r="D533"/>
      <c r="E533" t="s">
        <v>8</v>
      </c>
    </row>
    <row r="534" spans="1:53" x14ac:dyDescent="0.25">
      <c r="A534" s="7">
        <v>2.8563347491571447</v>
      </c>
      <c r="B534"/>
      <c r="C534"/>
      <c r="D534"/>
      <c r="E534" t="s">
        <v>8</v>
      </c>
    </row>
    <row r="535" spans="1:53" x14ac:dyDescent="0.25">
      <c r="A535" s="7">
        <v>2.8003281854481812</v>
      </c>
      <c r="B535"/>
      <c r="C535"/>
      <c r="D535"/>
      <c r="E535" t="s">
        <v>8</v>
      </c>
    </row>
    <row r="536" spans="1:53" x14ac:dyDescent="0.25">
      <c r="A536" s="7">
        <v>2.7454197896550796</v>
      </c>
      <c r="B536"/>
      <c r="C536"/>
      <c r="D536"/>
      <c r="E536" t="s">
        <v>8</v>
      </c>
    </row>
    <row r="537" spans="1:53" x14ac:dyDescent="0.25">
      <c r="A537" s="7">
        <v>2.6915880290736074</v>
      </c>
      <c r="B537"/>
      <c r="C537"/>
      <c r="D537"/>
      <c r="E537" t="s">
        <v>8</v>
      </c>
    </row>
    <row r="538" spans="1:53" x14ac:dyDescent="0.25">
      <c r="A538" s="7">
        <v>2.6388117932094191</v>
      </c>
      <c r="B538"/>
      <c r="C538"/>
      <c r="D538"/>
      <c r="E538" t="s">
        <v>8</v>
      </c>
    </row>
    <row r="539" spans="1:53" x14ac:dyDescent="0.25">
      <c r="A539" s="7">
        <v>2.5870703854994304</v>
      </c>
      <c r="B539"/>
      <c r="C539"/>
      <c r="D539"/>
      <c r="E539" t="s">
        <v>8</v>
      </c>
    </row>
    <row r="540" spans="1:53" x14ac:dyDescent="0.25">
      <c r="A540" s="7">
        <v>2.53634351519552</v>
      </c>
      <c r="B540"/>
      <c r="C540"/>
      <c r="D540"/>
      <c r="E540" t="s">
        <v>8</v>
      </c>
    </row>
    <row r="541" spans="1:53" x14ac:dyDescent="0.25">
      <c r="A541" s="7">
        <v>2.4866112894073726</v>
      </c>
      <c r="B541"/>
      <c r="C541"/>
      <c r="D541"/>
      <c r="E541" t="s">
        <v>8</v>
      </c>
    </row>
    <row r="542" spans="1:53" x14ac:dyDescent="0.25">
      <c r="A542" s="7">
        <v>2.4378542053013459</v>
      </c>
      <c r="B542"/>
      <c r="C542"/>
      <c r="D542"/>
      <c r="E542" t="s">
        <v>8</v>
      </c>
    </row>
    <row r="543" spans="1:53" x14ac:dyDescent="0.25">
      <c r="A543" s="7">
        <v>2.3900531424522997</v>
      </c>
      <c r="B543"/>
      <c r="C543"/>
      <c r="D543"/>
      <c r="E543" t="s">
        <v>8</v>
      </c>
    </row>
    <row r="544" spans="1:53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37" operator="equal">
      <formula>$U$1</formula>
    </cfRule>
    <cfRule type="cellIs" dxfId="89" priority="738" operator="equal">
      <formula>$S$1</formula>
    </cfRule>
  </conditionalFormatting>
  <conditionalFormatting sqref="D27">
    <cfRule type="cellIs" dxfId="88" priority="735" operator="equal">
      <formula>$S$1</formula>
    </cfRule>
    <cfRule type="cellIs" dxfId="87" priority="736" operator="equal">
      <formula>$U$1</formula>
    </cfRule>
  </conditionalFormatting>
  <conditionalFormatting sqref="C164">
    <cfRule type="cellIs" dxfId="86" priority="733" operator="equal">
      <formula>$U$1</formula>
    </cfRule>
    <cfRule type="cellIs" dxfId="85" priority="734" operator="equal">
      <formula>$S$1</formula>
    </cfRule>
  </conditionalFormatting>
  <conditionalFormatting sqref="D164">
    <cfRule type="cellIs" dxfId="84" priority="731" operator="equal">
      <formula>$S$1</formula>
    </cfRule>
    <cfRule type="cellIs" dxfId="83" priority="732" operator="equal">
      <formula>$U$1</formula>
    </cfRule>
  </conditionalFormatting>
  <conditionalFormatting sqref="C55">
    <cfRule type="cellIs" dxfId="82" priority="729" operator="equal">
      <formula>$U$1</formula>
    </cfRule>
    <cfRule type="cellIs" dxfId="81" priority="730" operator="equal">
      <formula>$S$1</formula>
    </cfRule>
  </conditionalFormatting>
  <conditionalFormatting sqref="D55">
    <cfRule type="cellIs" dxfId="80" priority="727" operator="equal">
      <formula>$S$1</formula>
    </cfRule>
    <cfRule type="cellIs" dxfId="79" priority="728" operator="equal">
      <formula>$U$1</formula>
    </cfRule>
  </conditionalFormatting>
  <conditionalFormatting sqref="C89">
    <cfRule type="cellIs" dxfId="78" priority="725" operator="equal">
      <formula>$U$1</formula>
    </cfRule>
    <cfRule type="cellIs" dxfId="77" priority="726" operator="equal">
      <formula>$S$1</formula>
    </cfRule>
  </conditionalFormatting>
  <conditionalFormatting sqref="D89">
    <cfRule type="cellIs" dxfId="76" priority="723" operator="equal">
      <formula>$S$1</formula>
    </cfRule>
    <cfRule type="cellIs" dxfId="75" priority="724" operator="equal">
      <formula>$U$1</formula>
    </cfRule>
  </conditionalFormatting>
  <conditionalFormatting sqref="C136">
    <cfRule type="cellIs" dxfId="74" priority="721" operator="equal">
      <formula>$U$1</formula>
    </cfRule>
    <cfRule type="cellIs" dxfId="73" priority="722" operator="equal">
      <formula>$S$1</formula>
    </cfRule>
  </conditionalFormatting>
  <conditionalFormatting sqref="D136">
    <cfRule type="cellIs" dxfId="72" priority="719" operator="equal">
      <formula>$S$1</formula>
    </cfRule>
    <cfRule type="cellIs" dxfId="71" priority="720" operator="equal">
      <formula>$U$1</formula>
    </cfRule>
  </conditionalFormatting>
  <conditionalFormatting sqref="C1">
    <cfRule type="cellIs" dxfId="70" priority="71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61" zoomScale="90" zoomScaleNormal="90" workbookViewId="0">
      <pane xSplit="4" topLeftCell="G1" activePane="topRight" state="frozen"/>
      <selection activeCell="A109" sqref="A109"/>
      <selection pane="topRight" activeCell="CI192" sqref="CI19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$A$191</v>
      </c>
      <c r="D111" s="1" t="str">
        <f>ADDRESS(C121-1,D121,1,1)</f>
        <v>$CI$191</v>
      </c>
      <c r="E111"/>
    </row>
    <row r="112" spans="1:5" x14ac:dyDescent="0.25">
      <c r="A112" s="30">
        <v>515.50191262726139</v>
      </c>
      <c r="C112" s="1" t="str">
        <f>ADDRESS(C121,1,1,1)</f>
        <v>$A$192</v>
      </c>
      <c r="D112" s="1" t="str">
        <f>ADDRESS(C121,D121-1,1,1)</f>
        <v>$CH$192</v>
      </c>
      <c r="E112"/>
    </row>
    <row r="113" spans="1:5" x14ac:dyDescent="0.25">
      <c r="A113" s="30">
        <v>490.95420250215363</v>
      </c>
      <c r="C113" s="1" t="str">
        <f>ADDRESS(C121+1,1,1,1)</f>
        <v>$A$193</v>
      </c>
      <c r="D113" s="1" t="str">
        <f>ADDRESS(C121-1,D121+1,1,1)</f>
        <v>$CJ$191</v>
      </c>
    </row>
    <row r="114" spans="1:5" x14ac:dyDescent="0.25">
      <c r="A114" s="30">
        <v>467.57543095443202</v>
      </c>
      <c r="C114" s="1" t="str">
        <f>ADDRESS(C121,D121,1,1)</f>
        <v>$CI$192</v>
      </c>
      <c r="D114" s="1" t="str">
        <f>ADDRESS(C121+1,D121+1,1,1)</f>
        <v>$CJ$193</v>
      </c>
    </row>
    <row r="115" spans="1:5" x14ac:dyDescent="0.25">
      <c r="A115" s="30">
        <v>445.30993424231622</v>
      </c>
      <c r="C115" s="1" t="str">
        <f>ADDRESS(C121+1,D121,1,1)</f>
        <v>$CI$193</v>
      </c>
    </row>
    <row r="116" spans="1:5" x14ac:dyDescent="0.25">
      <c r="A116" s="30">
        <v>424.10469927839637</v>
      </c>
      <c r="C116" s="1">
        <f>C117-1</f>
        <v>191</v>
      </c>
    </row>
    <row r="117" spans="1:5" x14ac:dyDescent="0.25">
      <c r="A117" s="30">
        <v>403.9092374079965</v>
      </c>
      <c r="C117" s="1">
        <f>C121</f>
        <v>192</v>
      </c>
      <c r="D117" s="1">
        <f>D121</f>
        <v>87</v>
      </c>
    </row>
    <row r="118" spans="1:5" x14ac:dyDescent="0.25">
      <c r="A118" s="30">
        <v>384.6754641980919</v>
      </c>
      <c r="C118" s="1">
        <f>C117+1</f>
        <v>193</v>
      </c>
      <c r="D118" s="1">
        <f>D117+1</f>
        <v>88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192</v>
      </c>
      <c r="D121" s="19">
        <v>87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R192</v>
      </c>
      <c r="D123" s="1" t="str">
        <f>"C"&amp;D121</f>
        <v>C87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10.401269646942135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70" x14ac:dyDescent="0.25">
      <c r="A145" s="30">
        <v>103.03467644609493</v>
      </c>
      <c r="E145"/>
    </row>
    <row r="146" spans="1:70" x14ac:dyDescent="0.25">
      <c r="A146" s="30">
        <v>98.128263281995174</v>
      </c>
      <c r="E146"/>
    </row>
    <row r="147" spans="1:70" x14ac:dyDescent="0.25">
      <c r="A147" s="30">
        <v>93.455488839995397</v>
      </c>
      <c r="E147"/>
    </row>
    <row r="148" spans="1:70" x14ac:dyDescent="0.25">
      <c r="A148" s="30">
        <v>89.005227466662276</v>
      </c>
      <c r="E148"/>
    </row>
    <row r="149" spans="1:70" x14ac:dyDescent="0.25">
      <c r="A149" s="30">
        <v>84.766883301583121</v>
      </c>
      <c r="E149"/>
    </row>
    <row r="150" spans="1:70" x14ac:dyDescent="0.25">
      <c r="A150" s="30">
        <v>80.730365049126775</v>
      </c>
      <c r="E150"/>
    </row>
    <row r="151" spans="1:70" x14ac:dyDescent="0.25">
      <c r="A151" s="30">
        <v>76.886061951549308</v>
      </c>
      <c r="E151"/>
    </row>
    <row r="152" spans="1:70" x14ac:dyDescent="0.25">
      <c r="A152" s="30">
        <v>73.22482090623744</v>
      </c>
      <c r="E152"/>
    </row>
    <row r="153" spans="1:70" x14ac:dyDescent="0.25">
      <c r="A153" s="30">
        <v>69.737924672607079</v>
      </c>
      <c r="C153" s="7"/>
      <c r="D153"/>
      <c r="E153"/>
    </row>
    <row r="154" spans="1:70" x14ac:dyDescent="0.25">
      <c r="A154" s="30">
        <v>66.417071116768639</v>
      </c>
      <c r="E154"/>
    </row>
    <row r="155" spans="1:70" x14ac:dyDescent="0.25">
      <c r="A155" s="30">
        <v>63.254353444541557</v>
      </c>
      <c r="E155"/>
    </row>
    <row r="156" spans="1:70" x14ac:dyDescent="0.25">
      <c r="A156" s="30">
        <v>60.242241375753864</v>
      </c>
      <c r="C156"/>
      <c r="D156"/>
      <c r="E156" t="s">
        <v>8</v>
      </c>
    </row>
    <row r="157" spans="1:70" x14ac:dyDescent="0.25">
      <c r="A157" s="30">
        <v>57.373563215003678</v>
      </c>
      <c r="E157" t="s">
        <v>8</v>
      </c>
      <c r="F157" s="27" t="s">
        <v>7</v>
      </c>
    </row>
    <row r="158" spans="1:70" x14ac:dyDescent="0.25">
      <c r="A158" s="30">
        <v>54.641488776193974</v>
      </c>
      <c r="E158" t="s">
        <v>8</v>
      </c>
      <c r="F158" s="27" t="s">
        <v>7</v>
      </c>
      <c r="BQ158" s="27" t="s">
        <v>8</v>
      </c>
    </row>
    <row r="159" spans="1:70" x14ac:dyDescent="0.25">
      <c r="A159" s="30">
        <v>52.039513120184736</v>
      </c>
      <c r="E159" t="s">
        <v>8</v>
      </c>
      <c r="F159" s="27" t="s">
        <v>7</v>
      </c>
      <c r="G159" s="27" t="s">
        <v>8</v>
      </c>
      <c r="Q159" s="27" t="s">
        <v>8</v>
      </c>
      <c r="BQ159" s="27" t="s">
        <v>8</v>
      </c>
      <c r="BR159" s="27" t="s">
        <v>7</v>
      </c>
    </row>
    <row r="160" spans="1:70" x14ac:dyDescent="0.25">
      <c r="A160" s="30">
        <v>49.561441066842605</v>
      </c>
      <c r="C160"/>
      <c r="E160" t="s">
        <v>8</v>
      </c>
      <c r="F160" s="27" t="s">
        <v>7</v>
      </c>
      <c r="G160" s="27" t="s">
        <v>8</v>
      </c>
      <c r="H160" s="27" t="s">
        <v>7</v>
      </c>
      <c r="I160" s="27" t="s">
        <v>8</v>
      </c>
      <c r="Q160" s="27" t="s">
        <v>8</v>
      </c>
      <c r="R160" s="27" t="s">
        <v>7</v>
      </c>
      <c r="BQ160" s="27" t="s">
        <v>8</v>
      </c>
      <c r="BR160" s="27" t="s">
        <v>7</v>
      </c>
    </row>
    <row r="161" spans="1:78" x14ac:dyDescent="0.25">
      <c r="A161" s="30">
        <v>47.201372444612005</v>
      </c>
      <c r="E161" t="s">
        <v>8</v>
      </c>
      <c r="F161" s="27" t="s">
        <v>7</v>
      </c>
      <c r="G161" s="27" t="s">
        <v>8</v>
      </c>
      <c r="H161" s="27" t="s">
        <v>7</v>
      </c>
      <c r="I161" s="27" t="s">
        <v>8</v>
      </c>
      <c r="J161" s="27" t="s">
        <v>7</v>
      </c>
      <c r="K161" s="27" t="s">
        <v>8</v>
      </c>
      <c r="O161" s="27" t="s">
        <v>8</v>
      </c>
      <c r="Q161" s="27" t="s">
        <v>8</v>
      </c>
      <c r="R161" s="27" t="s">
        <v>7</v>
      </c>
      <c r="W161" s="31" t="s">
        <v>8</v>
      </c>
      <c r="BQ161" s="27" t="s">
        <v>8</v>
      </c>
      <c r="BR161" s="27" t="s">
        <v>7</v>
      </c>
    </row>
    <row r="162" spans="1:78" x14ac:dyDescent="0.25">
      <c r="A162" s="30">
        <v>44.95368804248762</v>
      </c>
      <c r="E162" t="s">
        <v>8</v>
      </c>
      <c r="F162" s="27" t="s">
        <v>7</v>
      </c>
      <c r="H162" s="27" t="s">
        <v>7</v>
      </c>
      <c r="I162" s="27" t="s">
        <v>8</v>
      </c>
      <c r="J162" s="27" t="s">
        <v>7</v>
      </c>
      <c r="K162" s="27" t="s">
        <v>8</v>
      </c>
      <c r="L162" s="27" t="s">
        <v>7</v>
      </c>
      <c r="O162" s="27" t="s">
        <v>8</v>
      </c>
      <c r="P162" s="27" t="s">
        <v>7</v>
      </c>
      <c r="Q162" s="27" t="s">
        <v>8</v>
      </c>
      <c r="R162" s="27" t="s">
        <v>7</v>
      </c>
      <c r="W162" s="27" t="s">
        <v>8</v>
      </c>
      <c r="X162" s="31" t="s">
        <v>7</v>
      </c>
      <c r="BK162" s="27" t="s">
        <v>8</v>
      </c>
      <c r="BQ162" s="27" t="s">
        <v>8</v>
      </c>
      <c r="BR162" s="27" t="s">
        <v>7</v>
      </c>
    </row>
    <row r="163" spans="1:78" x14ac:dyDescent="0.25">
      <c r="A163" s="30">
        <v>42.81303623094059</v>
      </c>
      <c r="E163" t="s">
        <v>8</v>
      </c>
      <c r="H163" s="27" t="s">
        <v>7</v>
      </c>
      <c r="J163" s="27" t="s">
        <v>7</v>
      </c>
      <c r="K163" s="27" t="s">
        <v>8</v>
      </c>
      <c r="L163" s="27" t="s">
        <v>7</v>
      </c>
      <c r="O163" s="27" t="s">
        <v>8</v>
      </c>
      <c r="P163" s="27" t="s">
        <v>7</v>
      </c>
      <c r="Q163" s="27" t="s">
        <v>8</v>
      </c>
      <c r="R163" s="27" t="s">
        <v>7</v>
      </c>
      <c r="W163" s="27" t="s">
        <v>8</v>
      </c>
      <c r="X163" s="27" t="s">
        <v>7</v>
      </c>
      <c r="Y163" s="31"/>
      <c r="BK163" s="27" t="s">
        <v>8</v>
      </c>
      <c r="BL163" s="27" t="s">
        <v>7</v>
      </c>
      <c r="BQ163" s="27" t="s">
        <v>8</v>
      </c>
      <c r="BR163" s="27" t="s">
        <v>7</v>
      </c>
    </row>
    <row r="164" spans="1:78" x14ac:dyDescent="0.25">
      <c r="A164" s="30">
        <v>40.774320219943419</v>
      </c>
      <c r="E164" t="s">
        <v>8</v>
      </c>
      <c r="J164" s="27" t="s">
        <v>7</v>
      </c>
      <c r="L164" s="27" t="s">
        <v>7</v>
      </c>
      <c r="M164" s="27" t="s">
        <v>8</v>
      </c>
      <c r="O164" s="27" t="s">
        <v>8</v>
      </c>
      <c r="P164" s="27" t="s">
        <v>7</v>
      </c>
      <c r="Q164" s="27" t="s">
        <v>8</v>
      </c>
      <c r="R164" s="27" t="s">
        <v>7</v>
      </c>
      <c r="W164" s="27" t="s">
        <v>8</v>
      </c>
      <c r="X164" s="27" t="s">
        <v>7</v>
      </c>
      <c r="Z164" s="31"/>
      <c r="BK164" s="27" t="s">
        <v>8</v>
      </c>
      <c r="BL164" s="27" t="s">
        <v>7</v>
      </c>
      <c r="BQ164" s="27" t="s">
        <v>8</v>
      </c>
      <c r="BR164" s="27" t="s">
        <v>7</v>
      </c>
      <c r="BS164" s="27" t="s">
        <v>8</v>
      </c>
    </row>
    <row r="165" spans="1:78" x14ac:dyDescent="0.25">
      <c r="A165" s="30">
        <v>38.832685923755633</v>
      </c>
      <c r="E165" t="s">
        <v>8</v>
      </c>
      <c r="L165" s="27" t="s">
        <v>7</v>
      </c>
      <c r="M165" s="27" t="s">
        <v>8</v>
      </c>
      <c r="N165" s="27" t="s">
        <v>7</v>
      </c>
      <c r="O165" s="27" t="s">
        <v>8</v>
      </c>
      <c r="P165" s="27" t="s">
        <v>7</v>
      </c>
      <c r="R165" s="27" t="s">
        <v>7</v>
      </c>
      <c r="W165" s="27" t="s">
        <v>8</v>
      </c>
      <c r="X165" s="27" t="s">
        <v>7</v>
      </c>
      <c r="AA165" s="31"/>
      <c r="BK165" s="27" t="s">
        <v>8</v>
      </c>
      <c r="BL165" s="27" t="s">
        <v>7</v>
      </c>
      <c r="BQ165" s="27" t="s">
        <v>8</v>
      </c>
      <c r="BR165" s="27" t="s">
        <v>7</v>
      </c>
      <c r="BS165" s="27" t="s">
        <v>8</v>
      </c>
      <c r="BT165" s="27" t="s">
        <v>7</v>
      </c>
    </row>
    <row r="166" spans="1:78" x14ac:dyDescent="0.25">
      <c r="A166" s="30">
        <v>36.983510403576794</v>
      </c>
      <c r="E166" t="s">
        <v>8</v>
      </c>
      <c r="L166" s="27" t="s">
        <v>7</v>
      </c>
      <c r="M166" s="27" t="s">
        <v>8</v>
      </c>
      <c r="N166" s="27" t="s">
        <v>7</v>
      </c>
      <c r="O166" s="27" t="s">
        <v>8</v>
      </c>
      <c r="R166" s="27" t="s">
        <v>7</v>
      </c>
      <c r="U166" s="27" t="s">
        <v>8</v>
      </c>
      <c r="W166" s="27" t="s">
        <v>8</v>
      </c>
      <c r="X166" s="27" t="s">
        <v>7</v>
      </c>
      <c r="AB166" s="31"/>
      <c r="BK166" s="27" t="s">
        <v>8</v>
      </c>
      <c r="BL166" s="27" t="s">
        <v>7</v>
      </c>
      <c r="BQ166" s="27" t="s">
        <v>8</v>
      </c>
      <c r="BR166" s="27" t="s">
        <v>7</v>
      </c>
      <c r="BS166" s="27" t="s">
        <v>8</v>
      </c>
      <c r="BT166" s="27" t="s">
        <v>7</v>
      </c>
    </row>
    <row r="167" spans="1:78" x14ac:dyDescent="0.25">
      <c r="A167" s="30">
        <v>35.222390860549325</v>
      </c>
      <c r="E167" t="s">
        <v>8</v>
      </c>
      <c r="L167" s="27" t="s">
        <v>7</v>
      </c>
      <c r="N167" s="27" t="s">
        <v>7</v>
      </c>
      <c r="R167" s="27" t="s">
        <v>7</v>
      </c>
      <c r="S167" s="27" t="s">
        <v>8</v>
      </c>
      <c r="U167" s="27" t="s">
        <v>8</v>
      </c>
      <c r="V167" s="27" t="s">
        <v>7</v>
      </c>
      <c r="W167" s="27" t="s">
        <v>8</v>
      </c>
      <c r="X167" s="27" t="s">
        <v>7</v>
      </c>
      <c r="AC167" s="31"/>
      <c r="BK167" s="27" t="s">
        <v>8</v>
      </c>
      <c r="BL167" s="27" t="s">
        <v>7</v>
      </c>
      <c r="BQ167" s="27" t="s">
        <v>8</v>
      </c>
      <c r="BR167" s="27" t="s">
        <v>7</v>
      </c>
      <c r="BS167" s="27" t="s">
        <v>8</v>
      </c>
      <c r="BT167" s="27" t="s">
        <v>7</v>
      </c>
      <c r="BU167" s="27" t="s">
        <v>8</v>
      </c>
    </row>
    <row r="168" spans="1:78" x14ac:dyDescent="0.25">
      <c r="A168" s="30">
        <v>33.545134152904119</v>
      </c>
      <c r="E168" t="s">
        <v>8</v>
      </c>
      <c r="R168" s="27" t="s">
        <v>7</v>
      </c>
      <c r="S168" s="27" t="s">
        <v>8</v>
      </c>
      <c r="T168" s="27" t="s">
        <v>7</v>
      </c>
      <c r="U168" s="27" t="s">
        <v>8</v>
      </c>
      <c r="V168" s="27" t="s">
        <v>7</v>
      </c>
      <c r="W168" s="27" t="s">
        <v>8</v>
      </c>
      <c r="X168" s="27" t="s">
        <v>7</v>
      </c>
      <c r="AD168" s="31"/>
      <c r="AW168" s="27" t="s">
        <v>8</v>
      </c>
      <c r="BK168" s="27" t="s">
        <v>8</v>
      </c>
      <c r="BL168" s="27" t="s">
        <v>7</v>
      </c>
      <c r="BO168" s="27" t="s">
        <v>8</v>
      </c>
      <c r="BQ168" s="27" t="s">
        <v>8</v>
      </c>
      <c r="BR168" s="27" t="s">
        <v>7</v>
      </c>
      <c r="BS168" s="27" t="s">
        <v>8</v>
      </c>
      <c r="BT168" s="27" t="s">
        <v>7</v>
      </c>
      <c r="BU168" s="27" t="s">
        <v>8</v>
      </c>
      <c r="BV168" s="27" t="s">
        <v>7</v>
      </c>
    </row>
    <row r="169" spans="1:78" x14ac:dyDescent="0.25">
      <c r="A169" s="30">
        <v>31.947746812289637</v>
      </c>
      <c r="E169" t="s">
        <v>8</v>
      </c>
      <c r="R169" s="27" t="s">
        <v>7</v>
      </c>
      <c r="S169" s="27" t="s">
        <v>8</v>
      </c>
      <c r="T169" s="27" t="s">
        <v>7</v>
      </c>
      <c r="U169" s="27" t="s">
        <v>8</v>
      </c>
      <c r="V169" s="27" t="s">
        <v>7</v>
      </c>
      <c r="X169" s="27" t="s">
        <v>7</v>
      </c>
      <c r="AE169" s="31"/>
      <c r="AU169" s="27" t="s">
        <v>8</v>
      </c>
      <c r="AW169" s="27" t="s">
        <v>8</v>
      </c>
      <c r="AX169" s="27" t="s">
        <v>7</v>
      </c>
      <c r="BK169" s="27" t="s">
        <v>8</v>
      </c>
      <c r="BL169" s="27" t="s">
        <v>7</v>
      </c>
      <c r="BO169" s="27" t="s">
        <v>8</v>
      </c>
      <c r="BP169" s="27" t="s">
        <v>7</v>
      </c>
      <c r="BQ169" s="27" t="s">
        <v>8</v>
      </c>
      <c r="BR169" s="27" t="s">
        <v>7</v>
      </c>
      <c r="BS169" s="27" t="s">
        <v>8</v>
      </c>
      <c r="BT169" s="27" t="s">
        <v>7</v>
      </c>
      <c r="BU169" s="27" t="s">
        <v>8</v>
      </c>
      <c r="BV169" s="27" t="s">
        <v>7</v>
      </c>
    </row>
    <row r="170" spans="1:78" x14ac:dyDescent="0.25">
      <c r="A170" s="30">
        <v>30.426425535513939</v>
      </c>
      <c r="E170" t="s">
        <v>8</v>
      </c>
      <c r="R170" s="27" t="s">
        <v>7</v>
      </c>
      <c r="T170" s="27" t="s">
        <v>7</v>
      </c>
      <c r="U170" s="27" t="s">
        <v>8</v>
      </c>
      <c r="X170" s="27" t="s">
        <v>7</v>
      </c>
      <c r="AF170" s="31"/>
      <c r="AU170" s="27" t="s">
        <v>8</v>
      </c>
      <c r="AV170" s="27" t="s">
        <v>7</v>
      </c>
      <c r="AW170" s="27" t="s">
        <v>8</v>
      </c>
      <c r="AX170" s="27" t="s">
        <v>7</v>
      </c>
      <c r="AY170" s="27" t="s">
        <v>8</v>
      </c>
      <c r="BI170" s="27" t="s">
        <v>8</v>
      </c>
      <c r="BK170" s="27" t="s">
        <v>8</v>
      </c>
      <c r="BL170" s="27" t="s">
        <v>7</v>
      </c>
      <c r="BM170" s="27" t="s">
        <v>8</v>
      </c>
      <c r="BO170" s="27" t="s">
        <v>8</v>
      </c>
      <c r="BP170" s="27" t="s">
        <v>7</v>
      </c>
      <c r="BQ170" s="27" t="s">
        <v>8</v>
      </c>
      <c r="BR170" s="27" t="s">
        <v>7</v>
      </c>
      <c r="BT170" s="27" t="s">
        <v>7</v>
      </c>
      <c r="BV170" s="27" t="s">
        <v>7</v>
      </c>
    </row>
    <row r="171" spans="1:78" x14ac:dyDescent="0.25">
      <c r="A171" s="30">
        <v>28.977548129060892</v>
      </c>
      <c r="E171" t="s">
        <v>8</v>
      </c>
      <c r="T171" s="27" t="s">
        <v>7</v>
      </c>
      <c r="U171" s="27" t="s">
        <v>8</v>
      </c>
      <c r="X171" s="27" t="s">
        <v>7</v>
      </c>
      <c r="AG171" s="31"/>
      <c r="AU171" s="27" t="s">
        <v>8</v>
      </c>
      <c r="AV171" s="27" t="s">
        <v>7</v>
      </c>
      <c r="AW171" s="27" t="s">
        <v>8</v>
      </c>
      <c r="AX171" s="27" t="s">
        <v>7</v>
      </c>
      <c r="AY171" s="27" t="s">
        <v>8</v>
      </c>
      <c r="AZ171" s="27" t="s">
        <v>7</v>
      </c>
      <c r="BI171" s="27" t="s">
        <v>8</v>
      </c>
      <c r="BJ171" s="27" t="s">
        <v>7</v>
      </c>
      <c r="BK171" s="27" t="s">
        <v>8</v>
      </c>
      <c r="BL171" s="27" t="s">
        <v>7</v>
      </c>
      <c r="BM171" s="27" t="s">
        <v>8</v>
      </c>
      <c r="BN171" s="27" t="s">
        <v>7</v>
      </c>
      <c r="BO171" s="27" t="s">
        <v>8</v>
      </c>
      <c r="BP171" s="27" t="s">
        <v>7</v>
      </c>
      <c r="BQ171" s="27" t="s">
        <v>8</v>
      </c>
      <c r="BV171" s="27" t="s">
        <v>7</v>
      </c>
      <c r="BW171" s="27" t="s">
        <v>8</v>
      </c>
    </row>
    <row r="172" spans="1:78" x14ac:dyDescent="0.25">
      <c r="A172" s="30">
        <v>27.597664884819896</v>
      </c>
      <c r="E172" t="s">
        <v>8</v>
      </c>
      <c r="T172" s="27" t="s">
        <v>7</v>
      </c>
      <c r="U172" s="27" t="s">
        <v>8</v>
      </c>
      <c r="X172" s="27" t="s">
        <v>7</v>
      </c>
      <c r="AH172" s="31"/>
      <c r="AU172" s="27" t="s">
        <v>8</v>
      </c>
      <c r="AV172" s="27" t="s">
        <v>7</v>
      </c>
      <c r="AW172" s="27" t="s">
        <v>8</v>
      </c>
      <c r="AX172" s="27" t="s">
        <v>7</v>
      </c>
      <c r="AY172" s="27" t="s">
        <v>8</v>
      </c>
      <c r="AZ172" s="27" t="s">
        <v>7</v>
      </c>
      <c r="BC172" s="32" t="s">
        <v>8</v>
      </c>
      <c r="BI172" s="27" t="s">
        <v>8</v>
      </c>
      <c r="BJ172" s="27" t="s">
        <v>7</v>
      </c>
      <c r="BK172" s="27" t="s">
        <v>8</v>
      </c>
      <c r="BL172" s="27" t="s">
        <v>7</v>
      </c>
      <c r="BM172" s="27" t="s">
        <v>8</v>
      </c>
      <c r="BN172" s="27" t="s">
        <v>7</v>
      </c>
      <c r="BO172" s="27" t="s">
        <v>8</v>
      </c>
      <c r="BP172" s="27" t="s">
        <v>7</v>
      </c>
      <c r="BQ172" s="27" t="s">
        <v>8</v>
      </c>
      <c r="BV172" s="27" t="s">
        <v>7</v>
      </c>
      <c r="BW172" s="27" t="s">
        <v>8</v>
      </c>
      <c r="BX172" s="27" t="s">
        <v>7</v>
      </c>
      <c r="BY172" s="27" t="s">
        <v>8</v>
      </c>
    </row>
    <row r="173" spans="1:78" x14ac:dyDescent="0.25">
      <c r="A173" s="30">
        <v>26.283490366495137</v>
      </c>
      <c r="E173" t="s">
        <v>8</v>
      </c>
      <c r="T173" s="27" t="s">
        <v>7</v>
      </c>
      <c r="U173" s="27" t="s">
        <v>8</v>
      </c>
      <c r="X173" s="27" t="s">
        <v>7</v>
      </c>
      <c r="AI173" s="31"/>
      <c r="AU173" s="27" t="s">
        <v>8</v>
      </c>
      <c r="AV173" s="27" t="s">
        <v>7</v>
      </c>
      <c r="AW173" s="27" t="s">
        <v>8</v>
      </c>
      <c r="AX173" s="27" t="s">
        <v>7</v>
      </c>
      <c r="AZ173" s="27" t="s">
        <v>7</v>
      </c>
      <c r="BA173" s="27" t="s">
        <v>8</v>
      </c>
      <c r="BC173" s="27" t="s">
        <v>8</v>
      </c>
      <c r="BD173" s="32" t="s">
        <v>7</v>
      </c>
      <c r="BI173" s="27" t="s">
        <v>8</v>
      </c>
      <c r="BJ173" s="27" t="s">
        <v>7</v>
      </c>
      <c r="BK173" s="27" t="s">
        <v>8</v>
      </c>
      <c r="BL173" s="27" t="s">
        <v>7</v>
      </c>
      <c r="BN173" s="27" t="s">
        <v>7</v>
      </c>
      <c r="BO173" s="27" t="s">
        <v>8</v>
      </c>
      <c r="BP173" s="27" t="s">
        <v>7</v>
      </c>
      <c r="BQ173" s="27" t="s">
        <v>8</v>
      </c>
      <c r="BV173" s="27" t="s">
        <v>7</v>
      </c>
      <c r="BW173" s="27" t="s">
        <v>8</v>
      </c>
      <c r="BX173" s="27" t="s">
        <v>7</v>
      </c>
      <c r="BY173" s="27" t="s">
        <v>8</v>
      </c>
      <c r="BZ173" s="27" t="s">
        <v>7</v>
      </c>
    </row>
    <row r="174" spans="1:78" x14ac:dyDescent="0.25">
      <c r="A174" s="30">
        <v>25.031895587138223</v>
      </c>
      <c r="E174" t="s">
        <v>8</v>
      </c>
      <c r="T174" s="27" t="s">
        <v>7</v>
      </c>
      <c r="U174" s="27" t="s">
        <v>8</v>
      </c>
      <c r="X174" s="27" t="s">
        <v>7</v>
      </c>
      <c r="AJ174" s="31"/>
      <c r="AU174" s="27" t="s">
        <v>8</v>
      </c>
      <c r="AV174" s="27" t="s">
        <v>7</v>
      </c>
      <c r="AW174" s="27" t="s">
        <v>8</v>
      </c>
      <c r="AZ174" s="27" t="s">
        <v>7</v>
      </c>
      <c r="BA174" s="27" t="s">
        <v>8</v>
      </c>
      <c r="BB174" s="27" t="s">
        <v>7</v>
      </c>
      <c r="BC174" s="27" t="s">
        <v>8</v>
      </c>
      <c r="BD174" s="27" t="s">
        <v>7</v>
      </c>
      <c r="BE174" s="32" t="s">
        <v>8</v>
      </c>
      <c r="BI174" s="27" t="s">
        <v>8</v>
      </c>
      <c r="BJ174" s="27" t="s">
        <v>7</v>
      </c>
      <c r="BK174" s="27" t="s">
        <v>8</v>
      </c>
      <c r="BN174" s="27" t="s">
        <v>7</v>
      </c>
      <c r="BP174" s="27" t="s">
        <v>7</v>
      </c>
      <c r="BV174" s="27" t="s">
        <v>7</v>
      </c>
      <c r="BX174" s="27" t="s">
        <v>7</v>
      </c>
      <c r="BY174" s="27" t="s">
        <v>8</v>
      </c>
      <c r="BZ174" s="27" t="s">
        <v>7</v>
      </c>
    </row>
    <row r="175" spans="1:78" x14ac:dyDescent="0.25">
      <c r="A175" s="30">
        <v>23.839900559179259</v>
      </c>
      <c r="E175" t="s">
        <v>8</v>
      </c>
      <c r="T175" s="27" t="s">
        <v>7</v>
      </c>
      <c r="X175" s="27" t="s">
        <v>7</v>
      </c>
      <c r="AK175" s="31"/>
      <c r="AU175" s="27" t="s">
        <v>8</v>
      </c>
      <c r="AV175" s="27" t="s">
        <v>7</v>
      </c>
      <c r="AW175" s="27" t="s">
        <v>8</v>
      </c>
      <c r="AZ175" s="27" t="s">
        <v>7</v>
      </c>
      <c r="BA175" s="27" t="s">
        <v>8</v>
      </c>
      <c r="BB175" s="27" t="s">
        <v>7</v>
      </c>
      <c r="BC175" s="27" t="s">
        <v>8</v>
      </c>
      <c r="BD175" s="27" t="s">
        <v>7</v>
      </c>
      <c r="BE175" s="27" t="s">
        <v>8</v>
      </c>
      <c r="BF175" s="32" t="s">
        <v>7</v>
      </c>
      <c r="BI175" s="27" t="s">
        <v>8</v>
      </c>
      <c r="BJ175" s="27" t="s">
        <v>7</v>
      </c>
      <c r="BK175" s="27" t="s">
        <v>8</v>
      </c>
      <c r="BX175" s="27" t="s">
        <v>7</v>
      </c>
      <c r="BZ175" s="27" t="s">
        <v>7</v>
      </c>
    </row>
    <row r="176" spans="1:78" x14ac:dyDescent="0.25">
      <c r="A176" s="30">
        <v>22.704667199218342</v>
      </c>
      <c r="E176" t="s">
        <v>8</v>
      </c>
      <c r="X176" s="27" t="s">
        <v>7</v>
      </c>
      <c r="AL176" s="31"/>
      <c r="AU176" s="27" t="s">
        <v>8</v>
      </c>
      <c r="AV176" s="27" t="s">
        <v>7</v>
      </c>
      <c r="AW176" s="27" t="s">
        <v>8</v>
      </c>
      <c r="AZ176" s="27" t="s">
        <v>7</v>
      </c>
      <c r="BB176" s="27" t="s">
        <v>7</v>
      </c>
      <c r="BC176" s="27" t="s">
        <v>8</v>
      </c>
      <c r="BD176" s="27" t="s">
        <v>7</v>
      </c>
      <c r="BE176" s="27" t="s">
        <v>8</v>
      </c>
      <c r="BF176" s="27" t="s">
        <v>7</v>
      </c>
      <c r="BI176" s="27" t="s">
        <v>8</v>
      </c>
      <c r="BJ176" s="27" t="s">
        <v>7</v>
      </c>
      <c r="BZ176" s="27" t="s">
        <v>7</v>
      </c>
    </row>
    <row r="177" spans="1:87" x14ac:dyDescent="0.25">
      <c r="A177" s="30">
        <v>21.623492570684135</v>
      </c>
      <c r="E177" t="s">
        <v>8</v>
      </c>
      <c r="X177" s="27" t="s">
        <v>7</v>
      </c>
      <c r="AM177" s="31"/>
      <c r="AU177" s="27" t="s">
        <v>8</v>
      </c>
      <c r="AV177" s="27" t="s">
        <v>7</v>
      </c>
      <c r="BB177" s="27" t="s">
        <v>7</v>
      </c>
      <c r="BC177" s="27" t="s">
        <v>8</v>
      </c>
      <c r="BD177" s="27" t="s">
        <v>7</v>
      </c>
      <c r="BE177" s="27" t="s">
        <v>8</v>
      </c>
      <c r="BF177" s="27" t="s">
        <v>7</v>
      </c>
      <c r="BI177" s="27" t="s">
        <v>8</v>
      </c>
      <c r="BZ177" s="27" t="s">
        <v>7</v>
      </c>
    </row>
    <row r="178" spans="1:87" x14ac:dyDescent="0.25">
      <c r="A178" s="30">
        <v>20.593802448270605</v>
      </c>
      <c r="C178" s="7"/>
      <c r="D178"/>
      <c r="E178" t="s">
        <v>8</v>
      </c>
      <c r="X178" s="27" t="s">
        <v>7</v>
      </c>
      <c r="AN178" s="31"/>
      <c r="AU178" s="27" t="s">
        <v>8</v>
      </c>
      <c r="BB178" s="27" t="s">
        <v>7</v>
      </c>
      <c r="BD178" s="27" t="s">
        <v>7</v>
      </c>
      <c r="BE178" s="27" t="s">
        <v>8</v>
      </c>
      <c r="BF178" s="27" t="s">
        <v>7</v>
      </c>
      <c r="BG178" s="27" t="s">
        <v>8</v>
      </c>
      <c r="BI178" s="27" t="s">
        <v>8</v>
      </c>
      <c r="BZ178" s="27" t="s">
        <v>7</v>
      </c>
    </row>
    <row r="179" spans="1:87" x14ac:dyDescent="0.25">
      <c r="A179" s="30">
        <v>19.613145188829147</v>
      </c>
      <c r="E179" t="s">
        <v>8</v>
      </c>
      <c r="X179" s="27" t="s">
        <v>7</v>
      </c>
      <c r="Y179" s="27" t="s">
        <v>8</v>
      </c>
      <c r="AE179" s="27" t="s">
        <v>8</v>
      </c>
      <c r="AO179" s="31"/>
      <c r="AU179" s="27" t="s">
        <v>8</v>
      </c>
      <c r="BD179" s="27" t="s">
        <v>7</v>
      </c>
      <c r="BE179" s="27" t="s">
        <v>8</v>
      </c>
      <c r="BF179" s="27" t="s">
        <v>7</v>
      </c>
      <c r="BG179" s="27" t="s">
        <v>8</v>
      </c>
      <c r="BH179" s="27" t="s">
        <v>7</v>
      </c>
      <c r="BI179" s="27" t="s">
        <v>8</v>
      </c>
      <c r="BZ179" s="27" t="s">
        <v>7</v>
      </c>
      <c r="CA179" s="27" t="s">
        <v>8</v>
      </c>
      <c r="CE179" s="27" t="s">
        <v>8</v>
      </c>
    </row>
    <row r="180" spans="1:87" x14ac:dyDescent="0.25">
      <c r="A180" s="30">
        <v>18.679185894122998</v>
      </c>
      <c r="E180" t="s">
        <v>8</v>
      </c>
      <c r="X180" s="27" t="s">
        <v>7</v>
      </c>
      <c r="Y180" s="27" t="s">
        <v>8</v>
      </c>
      <c r="Z180" s="27" t="s">
        <v>7</v>
      </c>
      <c r="AE180" s="27" t="s">
        <v>8</v>
      </c>
      <c r="AF180" s="27" t="s">
        <v>7</v>
      </c>
      <c r="AP180" s="31"/>
      <c r="AU180" s="27" t="s">
        <v>8</v>
      </c>
      <c r="BD180" s="27" t="s">
        <v>7</v>
      </c>
      <c r="BE180" s="27" t="s">
        <v>8</v>
      </c>
      <c r="BF180" s="27" t="s">
        <v>7</v>
      </c>
      <c r="BG180" s="27" t="s">
        <v>8</v>
      </c>
      <c r="BH180" s="27" t="s">
        <v>7</v>
      </c>
      <c r="BI180" s="27" t="s">
        <v>8</v>
      </c>
      <c r="BZ180" s="27" t="s">
        <v>7</v>
      </c>
      <c r="CA180" s="27" t="s">
        <v>8</v>
      </c>
      <c r="CB180" s="27" t="s">
        <v>7</v>
      </c>
      <c r="CE180" s="27" t="s">
        <v>8</v>
      </c>
      <c r="CF180" s="27" t="s">
        <v>7</v>
      </c>
    </row>
    <row r="181" spans="1:87" x14ac:dyDescent="0.25">
      <c r="A181" s="30">
        <v>17.78970085154571</v>
      </c>
      <c r="C181"/>
      <c r="D181"/>
      <c r="E181" t="s">
        <v>8</v>
      </c>
      <c r="X181" s="27" t="s">
        <v>7</v>
      </c>
      <c r="Y181" s="27" t="s">
        <v>8</v>
      </c>
      <c r="Z181" s="27" t="s">
        <v>7</v>
      </c>
      <c r="AE181" s="27" t="s">
        <v>8</v>
      </c>
      <c r="AF181" s="27" t="s">
        <v>7</v>
      </c>
      <c r="AQ181" s="31"/>
      <c r="AU181" s="27" t="s">
        <v>8</v>
      </c>
      <c r="BD181" s="27" t="s">
        <v>7</v>
      </c>
      <c r="BE181" s="27" t="s">
        <v>8</v>
      </c>
      <c r="BF181" s="27" t="s">
        <v>7</v>
      </c>
      <c r="BG181" s="27" t="s">
        <v>8</v>
      </c>
      <c r="BH181" s="27" t="s">
        <v>7</v>
      </c>
      <c r="BI181" s="27" t="s">
        <v>8</v>
      </c>
      <c r="BZ181" s="27" t="s">
        <v>7</v>
      </c>
      <c r="CA181" s="27" t="s">
        <v>8</v>
      </c>
      <c r="CB181" s="27" t="s">
        <v>7</v>
      </c>
      <c r="CE181" s="27" t="s">
        <v>8</v>
      </c>
      <c r="CF181" s="27" t="s">
        <v>7</v>
      </c>
    </row>
    <row r="182" spans="1:87" x14ac:dyDescent="0.25">
      <c r="A182" s="30">
        <v>16.942572239567344</v>
      </c>
      <c r="E182" t="s">
        <v>8</v>
      </c>
      <c r="X182" s="27" t="s">
        <v>7</v>
      </c>
      <c r="Y182" s="27" t="s">
        <v>8</v>
      </c>
      <c r="Z182" s="27" t="s">
        <v>7</v>
      </c>
      <c r="AE182" s="27" t="s">
        <v>8</v>
      </c>
      <c r="AF182" s="27" t="s">
        <v>7</v>
      </c>
      <c r="AR182" s="31"/>
      <c r="AU182" s="27" t="s">
        <v>8</v>
      </c>
      <c r="BD182" s="27" t="s">
        <v>7</v>
      </c>
      <c r="BF182" s="27" t="s">
        <v>7</v>
      </c>
      <c r="BG182" s="27" t="s">
        <v>8</v>
      </c>
      <c r="BH182" s="27" t="s">
        <v>7</v>
      </c>
      <c r="BI182" s="27" t="s">
        <v>8</v>
      </c>
      <c r="BZ182" s="27" t="s">
        <v>7</v>
      </c>
      <c r="CA182" s="27" t="s">
        <v>8</v>
      </c>
      <c r="CB182" s="27" t="s">
        <v>7</v>
      </c>
      <c r="CC182" s="27" t="s">
        <v>8</v>
      </c>
      <c r="CE182" s="27" t="s">
        <v>8</v>
      </c>
      <c r="CF182" s="27" t="s">
        <v>7</v>
      </c>
      <c r="CG182" s="27" t="s">
        <v>8</v>
      </c>
    </row>
    <row r="183" spans="1:87" x14ac:dyDescent="0.25">
      <c r="A183" s="30">
        <v>16.135783085302233</v>
      </c>
      <c r="E183" t="s">
        <v>8</v>
      </c>
      <c r="X183" s="27" t="s">
        <v>7</v>
      </c>
      <c r="Y183" s="27" t="s">
        <v>8</v>
      </c>
      <c r="Z183" s="27" t="s">
        <v>7</v>
      </c>
      <c r="AE183" s="27" t="s">
        <v>8</v>
      </c>
      <c r="AF183" s="27" t="s">
        <v>7</v>
      </c>
      <c r="AS183" s="31"/>
      <c r="AU183" s="27" t="s">
        <v>8</v>
      </c>
      <c r="BF183" s="27" t="s">
        <v>7</v>
      </c>
      <c r="BH183" s="27" t="s">
        <v>7</v>
      </c>
      <c r="BI183" s="27" t="s">
        <v>8</v>
      </c>
      <c r="BZ183" s="27" t="s">
        <v>7</v>
      </c>
      <c r="CA183" s="27" t="s">
        <v>8</v>
      </c>
      <c r="CB183" s="27" t="s">
        <v>7</v>
      </c>
      <c r="CC183" s="27" t="s">
        <v>8</v>
      </c>
      <c r="CD183" s="27" t="s">
        <v>7</v>
      </c>
      <c r="CE183" s="27" t="s">
        <v>8</v>
      </c>
      <c r="CF183" s="27" t="s">
        <v>7</v>
      </c>
      <c r="CG183" s="27" t="s">
        <v>8</v>
      </c>
      <c r="CH183" s="27" t="s">
        <v>7</v>
      </c>
    </row>
    <row r="184" spans="1:87" x14ac:dyDescent="0.25">
      <c r="A184" s="30">
        <v>15.367412462192602</v>
      </c>
      <c r="E184" t="s">
        <v>8</v>
      </c>
      <c r="X184" s="27" t="s">
        <v>7</v>
      </c>
      <c r="Y184" s="27" t="s">
        <v>8</v>
      </c>
      <c r="Z184" s="27" t="s">
        <v>7</v>
      </c>
      <c r="AA184" s="27" t="s">
        <v>8</v>
      </c>
      <c r="AE184" s="27" t="s">
        <v>8</v>
      </c>
      <c r="AF184" s="27" t="s">
        <v>7</v>
      </c>
      <c r="AG184" s="27" t="s">
        <v>8</v>
      </c>
      <c r="AT184" s="31"/>
      <c r="AU184" s="27" t="s">
        <v>8</v>
      </c>
      <c r="BH184" s="27" t="s">
        <v>7</v>
      </c>
      <c r="BI184" s="32" t="s">
        <v>8</v>
      </c>
      <c r="BZ184" s="27" t="s">
        <v>7</v>
      </c>
      <c r="CA184" s="27" t="s">
        <v>8</v>
      </c>
      <c r="CB184" s="27" t="s">
        <v>7</v>
      </c>
      <c r="CC184" s="27" t="s">
        <v>8</v>
      </c>
      <c r="CD184" s="27" t="s">
        <v>7</v>
      </c>
      <c r="CE184" s="27" t="s">
        <v>8</v>
      </c>
      <c r="CF184" s="27" t="s">
        <v>7</v>
      </c>
      <c r="CG184" s="27" t="s">
        <v>8</v>
      </c>
      <c r="CH184" s="27" t="s">
        <v>7</v>
      </c>
    </row>
    <row r="185" spans="1:87" x14ac:dyDescent="0.25">
      <c r="A185" s="30">
        <v>14.635630916373906</v>
      </c>
      <c r="C185"/>
      <c r="E185" t="s">
        <v>8</v>
      </c>
      <c r="X185" s="27" t="s">
        <v>7</v>
      </c>
      <c r="Y185" s="27" t="s">
        <v>8</v>
      </c>
      <c r="Z185" s="27" t="s">
        <v>7</v>
      </c>
      <c r="AA185" s="27" t="s">
        <v>8</v>
      </c>
      <c r="AB185" s="27" t="s">
        <v>7</v>
      </c>
      <c r="AC185" s="27" t="s">
        <v>8</v>
      </c>
      <c r="AE185" s="27" t="s">
        <v>8</v>
      </c>
      <c r="AF185" s="27" t="s">
        <v>7</v>
      </c>
      <c r="AG185" s="27" t="s">
        <v>8</v>
      </c>
      <c r="AH185" s="27" t="s">
        <v>7</v>
      </c>
      <c r="AI185" s="27" t="s">
        <v>8</v>
      </c>
      <c r="AU185" s="31" t="s">
        <v>8</v>
      </c>
      <c r="BH185" s="32" t="s">
        <v>7</v>
      </c>
      <c r="BZ185" s="27" t="s">
        <v>7</v>
      </c>
      <c r="CA185" s="27" t="s">
        <v>8</v>
      </c>
      <c r="CB185" s="27" t="s">
        <v>7</v>
      </c>
      <c r="CC185" s="27" t="s">
        <v>8</v>
      </c>
      <c r="CD185" s="27" t="s">
        <v>7</v>
      </c>
      <c r="CF185" s="27" t="s">
        <v>7</v>
      </c>
      <c r="CG185" s="27" t="s">
        <v>8</v>
      </c>
      <c r="CH185" s="27" t="s">
        <v>7</v>
      </c>
    </row>
    <row r="186" spans="1:87" x14ac:dyDescent="0.25">
      <c r="A186" s="30">
        <v>13.938696110832291</v>
      </c>
      <c r="E186" t="s">
        <v>8</v>
      </c>
      <c r="X186" s="27" t="s">
        <v>7</v>
      </c>
      <c r="Y186" s="27" t="s">
        <v>8</v>
      </c>
      <c r="Z186" s="27" t="s">
        <v>7</v>
      </c>
      <c r="AA186" s="27" t="s">
        <v>8</v>
      </c>
      <c r="AB186" s="27" t="s">
        <v>7</v>
      </c>
      <c r="AC186" s="27" t="s">
        <v>8</v>
      </c>
      <c r="AD186" s="27" t="s">
        <v>7</v>
      </c>
      <c r="AE186" s="27" t="s">
        <v>8</v>
      </c>
      <c r="AF186" s="27" t="s">
        <v>7</v>
      </c>
      <c r="AG186" s="27" t="s">
        <v>8</v>
      </c>
      <c r="AH186" s="27" t="s">
        <v>7</v>
      </c>
      <c r="AI186" s="27" t="s">
        <v>8</v>
      </c>
      <c r="AJ186" s="27" t="s">
        <v>7</v>
      </c>
      <c r="AK186" s="27" t="s">
        <v>8</v>
      </c>
      <c r="AU186" s="27" t="s">
        <v>8</v>
      </c>
      <c r="BG186" s="32"/>
      <c r="BZ186" s="27" t="s">
        <v>7</v>
      </c>
      <c r="CB186" s="27" t="s">
        <v>7</v>
      </c>
      <c r="CF186" s="27" t="s">
        <v>7</v>
      </c>
      <c r="CG186" s="27" t="s">
        <v>8</v>
      </c>
      <c r="CH186" s="27" t="s">
        <v>7</v>
      </c>
    </row>
    <row r="187" spans="1:8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X187" s="27" t="s">
        <v>7</v>
      </c>
      <c r="Y187" s="27" t="s">
        <v>8</v>
      </c>
      <c r="Z187" s="27" t="s">
        <v>7</v>
      </c>
      <c r="AB187" s="27" t="s">
        <v>7</v>
      </c>
      <c r="AC187" s="27" t="s">
        <v>8</v>
      </c>
      <c r="AD187" s="27" t="s">
        <v>7</v>
      </c>
      <c r="AE187" s="27" t="s">
        <v>8</v>
      </c>
      <c r="AF187" s="27" t="s">
        <v>7</v>
      </c>
      <c r="AG187" s="27" t="s">
        <v>8</v>
      </c>
      <c r="AH187" s="27" t="s">
        <v>7</v>
      </c>
      <c r="AI187" s="27" t="s">
        <v>8</v>
      </c>
      <c r="AJ187" s="27" t="s">
        <v>7</v>
      </c>
      <c r="AK187" s="27" t="s">
        <v>8</v>
      </c>
      <c r="AL187" s="27" t="s">
        <v>7</v>
      </c>
      <c r="AU187" s="27" t="s">
        <v>8</v>
      </c>
      <c r="BF187" s="32"/>
      <c r="CF187" s="27" t="s">
        <v>7</v>
      </c>
      <c r="CG187" s="27" t="s">
        <v>8</v>
      </c>
      <c r="CH187" s="27" t="s">
        <v>7</v>
      </c>
    </row>
    <row r="188" spans="1:87" x14ac:dyDescent="0.25">
      <c r="A188" s="30">
        <v>12.64280826379346</v>
      </c>
      <c r="E188" t="s">
        <v>8</v>
      </c>
      <c r="X188" s="27" t="s">
        <v>7</v>
      </c>
      <c r="Y188" s="27" t="s">
        <v>8</v>
      </c>
      <c r="AB188" s="27" t="s">
        <v>7</v>
      </c>
      <c r="AC188" s="27" t="s">
        <v>8</v>
      </c>
      <c r="AD188" s="27" t="s">
        <v>7</v>
      </c>
      <c r="AE188" s="27" t="s">
        <v>8</v>
      </c>
      <c r="AF188" s="27" t="s">
        <v>7</v>
      </c>
      <c r="AG188" s="27" t="s">
        <v>8</v>
      </c>
      <c r="AH188" s="27" t="s">
        <v>7</v>
      </c>
      <c r="AI188" s="27" t="s">
        <v>8</v>
      </c>
      <c r="AJ188" s="27" t="s">
        <v>7</v>
      </c>
      <c r="AK188" s="27" t="s">
        <v>8</v>
      </c>
      <c r="AL188" s="27" t="s">
        <v>7</v>
      </c>
      <c r="AU188" s="27" t="s">
        <v>8</v>
      </c>
      <c r="BE188" s="32"/>
      <c r="CF188" s="27" t="s">
        <v>7</v>
      </c>
      <c r="CG188" s="27" t="s">
        <v>8</v>
      </c>
      <c r="CH188" s="27" t="s">
        <v>7</v>
      </c>
    </row>
    <row r="189" spans="1:87" x14ac:dyDescent="0.25">
      <c r="A189" s="30">
        <v>12.04076977504139</v>
      </c>
      <c r="E189" t="s">
        <v>8</v>
      </c>
      <c r="X189" s="27" t="s">
        <v>7</v>
      </c>
      <c r="Y189" s="27" t="s">
        <v>8</v>
      </c>
      <c r="AB189" s="27" t="s">
        <v>7</v>
      </c>
      <c r="AC189" s="27" t="s">
        <v>8</v>
      </c>
      <c r="AD189" s="27" t="s">
        <v>7</v>
      </c>
      <c r="AE189" s="27" t="s">
        <v>8</v>
      </c>
      <c r="AF189" s="27" t="s">
        <v>7</v>
      </c>
      <c r="AH189" s="27" t="s">
        <v>7</v>
      </c>
      <c r="AJ189" s="27" t="s">
        <v>7</v>
      </c>
      <c r="AK189" s="27" t="s">
        <v>8</v>
      </c>
      <c r="AL189" s="27" t="s">
        <v>7</v>
      </c>
      <c r="AS189" s="27" t="s">
        <v>8</v>
      </c>
      <c r="AU189" s="27" t="s">
        <v>8</v>
      </c>
      <c r="BD189" s="32"/>
      <c r="CF189" s="27" t="s">
        <v>7</v>
      </c>
      <c r="CG189" s="27" t="s">
        <v>8</v>
      </c>
      <c r="CH189" s="27" t="s">
        <v>7</v>
      </c>
    </row>
    <row r="190" spans="1:87" x14ac:dyDescent="0.25">
      <c r="A190" s="30">
        <v>11.467399785753704</v>
      </c>
      <c r="E190" t="s">
        <v>8</v>
      </c>
      <c r="X190" s="27" t="s">
        <v>7</v>
      </c>
      <c r="Y190" s="27" t="s">
        <v>8</v>
      </c>
      <c r="AB190" s="27" t="s">
        <v>7</v>
      </c>
      <c r="AC190" s="27" t="s">
        <v>8</v>
      </c>
      <c r="AD190" s="27" t="s">
        <v>7</v>
      </c>
      <c r="AE190" s="27" t="s">
        <v>8</v>
      </c>
      <c r="AJ190" s="27" t="s">
        <v>7</v>
      </c>
      <c r="AL190" s="27" t="s">
        <v>7</v>
      </c>
      <c r="AS190" s="27" t="s">
        <v>8</v>
      </c>
      <c r="AT190" s="27" t="s">
        <v>7</v>
      </c>
      <c r="AU190" s="27" t="s">
        <v>8</v>
      </c>
      <c r="BC190" s="32"/>
      <c r="CF190" s="27" t="s">
        <v>7</v>
      </c>
      <c r="CH190" s="27" t="s">
        <v>7</v>
      </c>
    </row>
    <row r="191" spans="1:87" x14ac:dyDescent="0.25">
      <c r="A191" s="30">
        <v>10.921333129289241</v>
      </c>
      <c r="E191" t="s">
        <v>8</v>
      </c>
      <c r="X191" s="27" t="s">
        <v>7</v>
      </c>
      <c r="Y191" s="27" t="s">
        <v>8</v>
      </c>
      <c r="AB191" s="27" t="s">
        <v>7</v>
      </c>
      <c r="AC191" s="27" t="s">
        <v>8</v>
      </c>
      <c r="AD191" s="27" t="s">
        <v>7</v>
      </c>
      <c r="AL191" s="27" t="s">
        <v>7</v>
      </c>
      <c r="AO191" s="27" t="s">
        <v>8</v>
      </c>
      <c r="AS191" s="33" t="s">
        <v>8</v>
      </c>
      <c r="AT191" s="27" t="s">
        <v>7</v>
      </c>
      <c r="AU191" s="27" t="s">
        <v>8</v>
      </c>
      <c r="BB191" s="32"/>
      <c r="CH191" s="27" t="s">
        <v>7</v>
      </c>
    </row>
    <row r="192" spans="1:87" x14ac:dyDescent="0.25">
      <c r="A192" s="30">
        <v>10.401269646942135</v>
      </c>
      <c r="E192" t="s">
        <v>8</v>
      </c>
      <c r="X192" s="27" t="s">
        <v>7</v>
      </c>
      <c r="Y192" s="27" t="s">
        <v>8</v>
      </c>
      <c r="AB192" s="27" t="s">
        <v>7</v>
      </c>
      <c r="AC192" s="27" t="s">
        <v>8</v>
      </c>
      <c r="AL192" s="27" t="s">
        <v>7</v>
      </c>
      <c r="AO192" s="27" t="s">
        <v>8</v>
      </c>
      <c r="AP192" s="27" t="s">
        <v>7</v>
      </c>
      <c r="AQ192" s="27" t="s">
        <v>8</v>
      </c>
      <c r="AS192" s="27" t="s">
        <v>8</v>
      </c>
      <c r="AT192" s="27" t="s">
        <v>7</v>
      </c>
      <c r="BA192" s="32"/>
      <c r="CH192" s="27" t="s">
        <v>7</v>
      </c>
      <c r="CI192" s="27" t="s">
        <v>8</v>
      </c>
    </row>
    <row r="193" spans="1:87" x14ac:dyDescent="0.25">
      <c r="A193" s="30">
        <v>9.9059710923258422</v>
      </c>
      <c r="E193" t="s">
        <v>8</v>
      </c>
      <c r="X193" s="27" t="s">
        <v>7</v>
      </c>
      <c r="Y193" s="27" t="s">
        <v>8</v>
      </c>
      <c r="AB193" s="27" t="s">
        <v>7</v>
      </c>
      <c r="AC193" s="27" t="s">
        <v>8</v>
      </c>
      <c r="AL193" s="27" t="s">
        <v>7</v>
      </c>
      <c r="AO193" s="33" t="s">
        <v>8</v>
      </c>
      <c r="AP193" s="27" t="s">
        <v>7</v>
      </c>
      <c r="AQ193" s="27" t="s">
        <v>8</v>
      </c>
      <c r="AR193" s="27" t="s">
        <v>7</v>
      </c>
      <c r="AS193" s="27" t="s">
        <v>8</v>
      </c>
      <c r="AZ193" s="32"/>
      <c r="CH193" s="27" t="s">
        <v>7</v>
      </c>
      <c r="CI193" s="27" t="s">
        <v>8</v>
      </c>
    </row>
    <row r="194" spans="1:87" x14ac:dyDescent="0.25">
      <c r="A194" s="30">
        <v>9.4342581831674686</v>
      </c>
      <c r="E194" t="s">
        <v>8</v>
      </c>
      <c r="X194" s="27" t="s">
        <v>7</v>
      </c>
      <c r="Y194" s="27" t="s">
        <v>8</v>
      </c>
      <c r="AB194" s="27" t="s">
        <v>7</v>
      </c>
      <c r="AC194" s="27" t="s">
        <v>8</v>
      </c>
      <c r="AL194" s="27" t="s">
        <v>7</v>
      </c>
      <c r="AM194" s="27" t="s">
        <v>8</v>
      </c>
      <c r="AO194" s="27" t="s">
        <v>8</v>
      </c>
      <c r="AP194" s="27" t="s">
        <v>7</v>
      </c>
      <c r="AQ194" s="27" t="s">
        <v>8</v>
      </c>
      <c r="AR194" s="27" t="s">
        <v>7</v>
      </c>
      <c r="AS194" s="27" t="s">
        <v>8</v>
      </c>
      <c r="AY194" s="32"/>
      <c r="CH194" s="27" t="s">
        <v>7</v>
      </c>
      <c r="CI194" s="27" t="s">
        <v>8</v>
      </c>
    </row>
    <row r="195" spans="1:87" x14ac:dyDescent="0.25">
      <c r="A195" s="30">
        <v>8.9850077934928265</v>
      </c>
      <c r="E195" t="s">
        <v>8</v>
      </c>
      <c r="X195" s="27" t="s">
        <v>7</v>
      </c>
      <c r="Y195" s="27" t="s">
        <v>8</v>
      </c>
      <c r="AB195" s="27" t="s">
        <v>7</v>
      </c>
      <c r="AC195" s="27" t="s">
        <v>8</v>
      </c>
      <c r="AL195" s="27" t="s">
        <v>7</v>
      </c>
      <c r="AM195" s="27" t="s">
        <v>8</v>
      </c>
      <c r="AN195" s="27" t="s">
        <v>7</v>
      </c>
      <c r="AO195" s="27" t="s">
        <v>8</v>
      </c>
      <c r="AP195" s="27" t="s">
        <v>7</v>
      </c>
      <c r="AQ195" s="27" t="s">
        <v>8</v>
      </c>
      <c r="AR195" s="27" t="s">
        <v>7</v>
      </c>
      <c r="AS195" s="27" t="s">
        <v>8</v>
      </c>
      <c r="AX195" s="32"/>
      <c r="CH195" s="27" t="s">
        <v>7</v>
      </c>
      <c r="CI195" s="27" t="s">
        <v>8</v>
      </c>
    </row>
    <row r="196" spans="1:87" x14ac:dyDescent="0.25">
      <c r="A196" s="30">
        <v>8.5571502795169767</v>
      </c>
      <c r="E196" t="s">
        <v>8</v>
      </c>
      <c r="X196" s="27" t="s">
        <v>7</v>
      </c>
      <c r="Y196" s="27" t="s">
        <v>8</v>
      </c>
      <c r="AB196" s="27" t="s">
        <v>7</v>
      </c>
      <c r="AL196" s="27" t="s">
        <v>7</v>
      </c>
      <c r="AM196" s="27" t="s">
        <v>8</v>
      </c>
      <c r="AN196" s="27" t="s">
        <v>7</v>
      </c>
      <c r="AO196" s="27" t="s">
        <v>8</v>
      </c>
      <c r="AP196" s="27" t="s">
        <v>7</v>
      </c>
      <c r="AR196" s="27" t="s">
        <v>7</v>
      </c>
      <c r="AS196" s="27" t="s">
        <v>8</v>
      </c>
      <c r="AW196" s="32"/>
      <c r="CH196" s="27" t="s">
        <v>7</v>
      </c>
    </row>
    <row r="197" spans="1:87" x14ac:dyDescent="0.25">
      <c r="A197" s="30">
        <v>8.1496669328733109</v>
      </c>
      <c r="E197" t="s">
        <v>8</v>
      </c>
      <c r="X197" s="27" t="s">
        <v>7</v>
      </c>
      <c r="Y197" s="27" t="s">
        <v>8</v>
      </c>
      <c r="AL197" s="27" t="s">
        <v>7</v>
      </c>
      <c r="AM197" s="27" t="s">
        <v>8</v>
      </c>
      <c r="AN197" s="27" t="s">
        <v>7</v>
      </c>
      <c r="AO197" s="27" t="s">
        <v>8</v>
      </c>
      <c r="AR197" s="34" t="s">
        <v>7</v>
      </c>
      <c r="AS197" s="27" t="s">
        <v>8</v>
      </c>
      <c r="AV197" s="32"/>
    </row>
    <row r="198" spans="1:87" x14ac:dyDescent="0.25">
      <c r="A198" s="30">
        <v>7.7615875551174378</v>
      </c>
      <c r="E198" t="s">
        <v>8</v>
      </c>
      <c r="X198" s="27" t="s">
        <v>7</v>
      </c>
      <c r="Y198" s="27" t="s">
        <v>8</v>
      </c>
      <c r="AL198" s="27" t="s">
        <v>7</v>
      </c>
      <c r="AN198" s="27" t="s">
        <v>7</v>
      </c>
      <c r="AO198" s="27" t="s">
        <v>8</v>
      </c>
      <c r="AR198" s="27" t="s">
        <v>7</v>
      </c>
      <c r="AS198" s="27" t="s">
        <v>8</v>
      </c>
      <c r="AU198" s="32"/>
    </row>
    <row r="199" spans="1:87" x14ac:dyDescent="0.25">
      <c r="A199" s="30">
        <v>7.3919881477308929</v>
      </c>
      <c r="E199" t="s">
        <v>8</v>
      </c>
      <c r="X199" s="27" t="s">
        <v>7</v>
      </c>
      <c r="Y199" s="27" t="s">
        <v>8</v>
      </c>
      <c r="AN199" s="27" t="s">
        <v>7</v>
      </c>
      <c r="AO199" s="27" t="s">
        <v>8</v>
      </c>
      <c r="AR199" s="18" t="s">
        <v>7</v>
      </c>
      <c r="AS199" s="27" t="s">
        <v>8</v>
      </c>
      <c r="AT199" s="32"/>
    </row>
    <row r="200" spans="1:87" x14ac:dyDescent="0.25">
      <c r="A200" s="30">
        <v>7.0399887121246598</v>
      </c>
      <c r="E200" t="s">
        <v>8</v>
      </c>
      <c r="X200" s="27" t="s">
        <v>7</v>
      </c>
      <c r="Y200" s="27" t="s">
        <v>8</v>
      </c>
      <c r="AN200" s="27" t="s">
        <v>7</v>
      </c>
      <c r="AR200" s="27" t="s">
        <v>7</v>
      </c>
      <c r="AS200" s="32" t="s">
        <v>8</v>
      </c>
    </row>
    <row r="201" spans="1:87" x14ac:dyDescent="0.25">
      <c r="A201" s="30">
        <v>6.7047511544044376</v>
      </c>
      <c r="E201" t="s">
        <v>8</v>
      </c>
      <c r="X201" s="27" t="s">
        <v>7</v>
      </c>
      <c r="Y201" s="27" t="s">
        <v>8</v>
      </c>
      <c r="AR201" s="32" t="s">
        <v>7</v>
      </c>
    </row>
    <row r="202" spans="1:87" x14ac:dyDescent="0.25">
      <c r="A202" s="30">
        <v>6.3854772899089882</v>
      </c>
      <c r="E202" t="s">
        <v>8</v>
      </c>
      <c r="X202" s="27" t="s">
        <v>7</v>
      </c>
      <c r="Y202" s="27" t="s">
        <v>8</v>
      </c>
    </row>
    <row r="203" spans="1:87" x14ac:dyDescent="0.25">
      <c r="A203" s="30">
        <v>6.0814069427704647</v>
      </c>
      <c r="C203" s="7"/>
      <c r="D203"/>
      <c r="E203" t="s">
        <v>8</v>
      </c>
      <c r="X203" s="27" t="s">
        <v>7</v>
      </c>
      <c r="Y203" s="27" t="s">
        <v>8</v>
      </c>
    </row>
    <row r="204" spans="1:87" x14ac:dyDescent="0.25">
      <c r="A204" s="30">
        <v>5.7918161359718709</v>
      </c>
      <c r="E204" t="s">
        <v>8</v>
      </c>
      <c r="X204" s="27" t="s">
        <v>7</v>
      </c>
      <c r="Y204" s="27" t="s">
        <v>8</v>
      </c>
    </row>
    <row r="205" spans="1:87" x14ac:dyDescent="0.25">
      <c r="A205" s="30">
        <v>5.5160153675922574</v>
      </c>
      <c r="E205" t="s">
        <v>8</v>
      </c>
      <c r="X205" s="27" t="s">
        <v>7</v>
      </c>
      <c r="Y205" s="27" t="s">
        <v>8</v>
      </c>
    </row>
    <row r="206" spans="1:87" x14ac:dyDescent="0.25">
      <c r="A206" s="30">
        <v>5.2533479691354827</v>
      </c>
      <c r="C206"/>
      <c r="D206"/>
      <c r="E206" t="s">
        <v>8</v>
      </c>
      <c r="X206" s="27" t="s">
        <v>7</v>
      </c>
      <c r="Y206" s="27" t="s">
        <v>8</v>
      </c>
    </row>
    <row r="207" spans="1:87" x14ac:dyDescent="0.25">
      <c r="A207" s="30">
        <v>5.0031885420337927</v>
      </c>
      <c r="E207" t="s">
        <v>8</v>
      </c>
      <c r="X207" s="27" t="s">
        <v>7</v>
      </c>
      <c r="Y207" s="27" t="s">
        <v>8</v>
      </c>
    </row>
    <row r="208" spans="1:87" x14ac:dyDescent="0.25">
      <c r="A208" s="30">
        <v>4.7649414686036122</v>
      </c>
      <c r="E208" t="s">
        <v>8</v>
      </c>
      <c r="X208" s="27" t="s">
        <v>7</v>
      </c>
      <c r="Y208" s="27" t="s">
        <v>8</v>
      </c>
    </row>
    <row r="209" spans="1:25" x14ac:dyDescent="0.25">
      <c r="A209" s="30">
        <v>4.5380394939082018</v>
      </c>
      <c r="E209" t="s">
        <v>8</v>
      </c>
      <c r="X209" s="27" t="s">
        <v>7</v>
      </c>
      <c r="Y209" s="27" t="s">
        <v>8</v>
      </c>
    </row>
    <row r="210" spans="1:25" x14ac:dyDescent="0.25">
      <c r="A210" s="30">
        <v>4.3219423751506678</v>
      </c>
      <c r="C210"/>
      <c r="E210" t="s">
        <v>8</v>
      </c>
      <c r="X210" s="27" t="s">
        <v>7</v>
      </c>
      <c r="Y210" s="27" t="s">
        <v>8</v>
      </c>
    </row>
    <row r="211" spans="1:25" x14ac:dyDescent="0.25">
      <c r="A211" s="30">
        <v>4.1161355953815884</v>
      </c>
      <c r="E211" t="s">
        <v>8</v>
      </c>
      <c r="X211" s="27" t="s">
        <v>7</v>
      </c>
      <c r="Y211" s="27" t="s">
        <v>8</v>
      </c>
    </row>
    <row r="212" spans="1:25" x14ac:dyDescent="0.25">
      <c r="A212" s="30">
        <v>3.9201291384586554</v>
      </c>
      <c r="E212" t="s">
        <v>8</v>
      </c>
      <c r="X212" s="27" t="s">
        <v>7</v>
      </c>
      <c r="Y212" s="27" t="s">
        <v>8</v>
      </c>
    </row>
    <row r="213" spans="1:25" x14ac:dyDescent="0.25">
      <c r="A213" s="30">
        <v>3.7334563223415764</v>
      </c>
      <c r="E213" t="s">
        <v>8</v>
      </c>
      <c r="X213" s="27" t="s">
        <v>7</v>
      </c>
      <c r="Y213" s="27" t="s">
        <v>8</v>
      </c>
    </row>
    <row r="214" spans="1:25" x14ac:dyDescent="0.25">
      <c r="A214" s="30">
        <v>3.5556726879443583</v>
      </c>
      <c r="E214" t="s">
        <v>8</v>
      </c>
      <c r="X214" s="27" t="s">
        <v>7</v>
      </c>
      <c r="Y214" s="27" t="s">
        <v>8</v>
      </c>
    </row>
    <row r="215" spans="1:25" x14ac:dyDescent="0.25">
      <c r="A215" s="30">
        <v>3.3863549408993889</v>
      </c>
      <c r="E215" t="s">
        <v>8</v>
      </c>
      <c r="X215" s="27" t="s">
        <v>7</v>
      </c>
      <c r="Y215" s="27" t="s">
        <v>8</v>
      </c>
    </row>
    <row r="216" spans="1:25" x14ac:dyDescent="0.25">
      <c r="A216" s="30">
        <v>3.2250999437137038</v>
      </c>
      <c r="E216" t="s">
        <v>8</v>
      </c>
      <c r="X216" s="27" t="s">
        <v>7</v>
      </c>
      <c r="Y216" s="27" t="s">
        <v>8</v>
      </c>
    </row>
    <row r="217" spans="1:25" x14ac:dyDescent="0.25">
      <c r="A217" s="30">
        <v>3.0715237559178128</v>
      </c>
      <c r="E217" t="s">
        <v>8</v>
      </c>
      <c r="X217" s="27" t="s">
        <v>7</v>
      </c>
    </row>
    <row r="218" spans="1:25" x14ac:dyDescent="0.25">
      <c r="A218" s="30">
        <v>2.9252607199217264</v>
      </c>
      <c r="E218" t="s">
        <v>8</v>
      </c>
    </row>
    <row r="219" spans="1:25" x14ac:dyDescent="0.25">
      <c r="A219" s="30">
        <v>2.7859625904016441</v>
      </c>
      <c r="E219" t="s">
        <v>8</v>
      </c>
    </row>
    <row r="220" spans="1:25" x14ac:dyDescent="0.25">
      <c r="A220" s="30">
        <v>2.6532977051444226</v>
      </c>
      <c r="E220" t="s">
        <v>8</v>
      </c>
    </row>
    <row r="221" spans="1:25" x14ac:dyDescent="0.25">
      <c r="A221" s="30">
        <v>2.5269501953756404</v>
      </c>
      <c r="E221" t="s">
        <v>8</v>
      </c>
    </row>
    <row r="222" spans="1:25" x14ac:dyDescent="0.25">
      <c r="A222" s="30">
        <v>2.4066192336910861</v>
      </c>
      <c r="E222" t="s">
        <v>8</v>
      </c>
    </row>
    <row r="223" spans="1:25" x14ac:dyDescent="0.25">
      <c r="A223" s="30">
        <v>2.2920183178010345</v>
      </c>
      <c r="E223" t="s">
        <v>8</v>
      </c>
    </row>
    <row r="224" spans="1:2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52" operator="equal">
      <formula>$U$1</formula>
    </cfRule>
    <cfRule type="cellIs" dxfId="67" priority="753" operator="equal">
      <formula>$S$1</formula>
    </cfRule>
  </conditionalFormatting>
  <conditionalFormatting sqref="D136">
    <cfRule type="cellIs" dxfId="66" priority="750" operator="equal">
      <formula>$S$1</formula>
    </cfRule>
    <cfRule type="cellIs" dxfId="65" priority="751" operator="equal">
      <formula>$U$1</formula>
    </cfRule>
  </conditionalFormatting>
  <conditionalFormatting sqref="C162">
    <cfRule type="cellIs" dxfId="64" priority="748" operator="equal">
      <formula>$U$1</formula>
    </cfRule>
    <cfRule type="cellIs" dxfId="63" priority="749" operator="equal">
      <formula>$S$1</formula>
    </cfRule>
  </conditionalFormatting>
  <conditionalFormatting sqref="D162">
    <cfRule type="cellIs" dxfId="62" priority="746" operator="equal">
      <formula>$S$1</formula>
    </cfRule>
    <cfRule type="cellIs" dxfId="61" priority="747" operator="equal">
      <formula>$U$1</formula>
    </cfRule>
  </conditionalFormatting>
  <conditionalFormatting sqref="C187">
    <cfRule type="cellIs" dxfId="60" priority="744" operator="equal">
      <formula>$U$1</formula>
    </cfRule>
    <cfRule type="cellIs" dxfId="59" priority="745" operator="equal">
      <formula>$S$1</formula>
    </cfRule>
  </conditionalFormatting>
  <conditionalFormatting sqref="D187">
    <cfRule type="cellIs" dxfId="58" priority="742" operator="equal">
      <formula>$S$1</formula>
    </cfRule>
    <cfRule type="cellIs" dxfId="57" priority="743" operator="equal">
      <formula>$U$1</formula>
    </cfRule>
  </conditionalFormatting>
  <conditionalFormatting sqref="C212">
    <cfRule type="cellIs" dxfId="56" priority="740" operator="equal">
      <formula>$U$1</formula>
    </cfRule>
    <cfRule type="cellIs" dxfId="55" priority="741" operator="equal">
      <formula>$S$1</formula>
    </cfRule>
  </conditionalFormatting>
  <conditionalFormatting sqref="D212">
    <cfRule type="cellIs" dxfId="54" priority="738" operator="equal">
      <formula>$S$1</formula>
    </cfRule>
    <cfRule type="cellIs" dxfId="53" priority="739" operator="equal">
      <formula>$U$1</formula>
    </cfRule>
  </conditionalFormatting>
  <conditionalFormatting sqref="C237">
    <cfRule type="cellIs" dxfId="52" priority="736" operator="equal">
      <formula>$U$1</formula>
    </cfRule>
    <cfRule type="cellIs" dxfId="51" priority="737" operator="equal">
      <formula>$S$1</formula>
    </cfRule>
  </conditionalFormatting>
  <conditionalFormatting sqref="D237">
    <cfRule type="cellIs" dxfId="50" priority="734" operator="equal">
      <formula>$S$1</formula>
    </cfRule>
    <cfRule type="cellIs" dxfId="49" priority="735" operator="equal">
      <formula>$U$1</formula>
    </cfRule>
  </conditionalFormatting>
  <conditionalFormatting sqref="C106">
    <cfRule type="cellIs" dxfId="48" priority="732" operator="equal">
      <formula>$U$1</formula>
    </cfRule>
    <cfRule type="cellIs" dxfId="47" priority="733" operator="equal">
      <formula>$S$1</formula>
    </cfRule>
  </conditionalFormatting>
  <conditionalFormatting sqref="D106">
    <cfRule type="cellIs" dxfId="46" priority="730" operator="equal">
      <formula>$S$1</formula>
    </cfRule>
    <cfRule type="cellIs" dxfId="45" priority="731" operator="equal">
      <formula>$U$1</formula>
    </cfRule>
  </conditionalFormatting>
  <conditionalFormatting sqref="C81">
    <cfRule type="cellIs" dxfId="44" priority="728" operator="equal">
      <formula>$U$1</formula>
    </cfRule>
    <cfRule type="cellIs" dxfId="43" priority="729" operator="equal">
      <formula>$S$1</formula>
    </cfRule>
  </conditionalFormatting>
  <conditionalFormatting sqref="D81">
    <cfRule type="cellIs" dxfId="42" priority="726" operator="equal">
      <formula>$S$1</formula>
    </cfRule>
    <cfRule type="cellIs" dxfId="41" priority="727" operator="equal">
      <formula>$U$1</formula>
    </cfRule>
  </conditionalFormatting>
  <conditionalFormatting sqref="C56">
    <cfRule type="cellIs" dxfId="40" priority="724" operator="equal">
      <formula>$U$1</formula>
    </cfRule>
    <cfRule type="cellIs" dxfId="39" priority="725" operator="equal">
      <formula>$S$1</formula>
    </cfRule>
  </conditionalFormatting>
  <conditionalFormatting sqref="D56">
    <cfRule type="cellIs" dxfId="38" priority="722" operator="equal">
      <formula>$S$1</formula>
    </cfRule>
    <cfRule type="cellIs" dxfId="37" priority="723" operator="equal">
      <formula>$U$1</formula>
    </cfRule>
  </conditionalFormatting>
  <conditionalFormatting sqref="C31">
    <cfRule type="cellIs" dxfId="36" priority="720" operator="equal">
      <formula>$U$1</formula>
    </cfRule>
    <cfRule type="cellIs" dxfId="35" priority="721" operator="equal">
      <formula>$S$1</formula>
    </cfRule>
  </conditionalFormatting>
  <conditionalFormatting sqref="D31">
    <cfRule type="cellIs" dxfId="34" priority="718" operator="equal">
      <formula>$S$1</formula>
    </cfRule>
    <cfRule type="cellIs" dxfId="33" priority="71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76" zoomScale="90" zoomScaleNormal="90" workbookViewId="0">
      <pane xSplit="4" topLeftCell="G1" activePane="topRight" state="frozen"/>
      <selection activeCell="A109" sqref="A109"/>
      <selection pane="topRight" activeCell="AL98" sqref="AL9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32" x14ac:dyDescent="0.25">
      <c r="A65" s="30">
        <v>207.96505671840671</v>
      </c>
      <c r="E65"/>
    </row>
    <row r="66" spans="1:32" x14ac:dyDescent="0.25">
      <c r="A66" s="30">
        <v>189.05914247127882</v>
      </c>
      <c r="E66"/>
    </row>
    <row r="67" spans="1:32" x14ac:dyDescent="0.25">
      <c r="A67" s="30">
        <v>171.87194770116255</v>
      </c>
      <c r="C67" s="1" t="s">
        <v>15</v>
      </c>
      <c r="E67"/>
    </row>
    <row r="68" spans="1:32" x14ac:dyDescent="0.25">
      <c r="A68" s="30">
        <v>156.24722518287504</v>
      </c>
      <c r="C68" s="7">
        <v>0.11167815779424731</v>
      </c>
      <c r="D68"/>
      <c r="E68"/>
    </row>
    <row r="69" spans="1:32" x14ac:dyDescent="0.25">
      <c r="A69" s="30">
        <v>142.04293198443185</v>
      </c>
      <c r="E69"/>
    </row>
    <row r="70" spans="1:32" x14ac:dyDescent="0.25">
      <c r="A70" s="30">
        <v>129.1299381676653</v>
      </c>
      <c r="C70" s="1" t="s">
        <v>11</v>
      </c>
      <c r="D70" s="1" t="s">
        <v>12</v>
      </c>
      <c r="E70"/>
    </row>
    <row r="71" spans="1:32" x14ac:dyDescent="0.25">
      <c r="A71" s="30">
        <v>117.39085287969573</v>
      </c>
      <c r="C71"/>
      <c r="D71"/>
      <c r="E71"/>
    </row>
    <row r="72" spans="1:32" x14ac:dyDescent="0.25">
      <c r="A72" s="30">
        <v>106.71895716335975</v>
      </c>
      <c r="E72"/>
    </row>
    <row r="73" spans="1:32" x14ac:dyDescent="0.25">
      <c r="A73" s="30">
        <v>97.017233784872488</v>
      </c>
      <c r="C73" s="1" t="s">
        <v>13</v>
      </c>
      <c r="E73"/>
    </row>
    <row r="74" spans="1:32" x14ac:dyDescent="0.25">
      <c r="A74" s="30">
        <v>88.197485258974979</v>
      </c>
      <c r="C74" s="1">
        <f>C63</f>
        <v>0</v>
      </c>
      <c r="E74"/>
    </row>
    <row r="75" spans="1:32" x14ac:dyDescent="0.25">
      <c r="A75" s="30">
        <v>80.179532053613613</v>
      </c>
      <c r="C75"/>
      <c r="D75"/>
      <c r="E75"/>
    </row>
    <row r="76" spans="1:32" x14ac:dyDescent="0.25">
      <c r="A76" s="30">
        <v>72.890483685103277</v>
      </c>
      <c r="C76" s="1" t="s">
        <v>14</v>
      </c>
      <c r="E76"/>
    </row>
    <row r="77" spans="1:32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32" x14ac:dyDescent="0.25">
      <c r="A78" s="30">
        <v>60.240069161242367</v>
      </c>
      <c r="E78" t="s">
        <v>8</v>
      </c>
    </row>
    <row r="79" spans="1:32" x14ac:dyDescent="0.25">
      <c r="A79" s="30">
        <v>54.763699237493057</v>
      </c>
      <c r="E79" t="s">
        <v>8</v>
      </c>
      <c r="F79" s="27" t="s">
        <v>7</v>
      </c>
      <c r="AE79" s="27" t="s">
        <v>8</v>
      </c>
    </row>
    <row r="80" spans="1:32" x14ac:dyDescent="0.25">
      <c r="A80" s="30">
        <v>49.785181124993684</v>
      </c>
      <c r="E80" t="s">
        <v>8</v>
      </c>
      <c r="F80" s="27" t="s">
        <v>7</v>
      </c>
      <c r="G80" s="27" t="s">
        <v>8</v>
      </c>
      <c r="AE80" s="27" t="s">
        <v>8</v>
      </c>
      <c r="AF80" s="27" t="s">
        <v>7</v>
      </c>
    </row>
    <row r="81" spans="1:38" x14ac:dyDescent="0.25">
      <c r="A81" s="30">
        <v>45.259255568176073</v>
      </c>
      <c r="E81" t="s">
        <v>8</v>
      </c>
      <c r="F81" s="27" t="s">
        <v>7</v>
      </c>
      <c r="G81" s="27" t="s">
        <v>8</v>
      </c>
      <c r="H81" s="27" t="s">
        <v>7</v>
      </c>
      <c r="I81" s="32" t="s">
        <v>8</v>
      </c>
      <c r="AE81" s="27" t="s">
        <v>8</v>
      </c>
      <c r="AF81" s="27" t="s">
        <v>7</v>
      </c>
    </row>
    <row r="82" spans="1:38" x14ac:dyDescent="0.25">
      <c r="A82" s="30">
        <v>41.144777789250973</v>
      </c>
      <c r="E82" t="s">
        <v>8</v>
      </c>
      <c r="F82" s="27" t="s">
        <v>7</v>
      </c>
      <c r="G82" s="27" t="s">
        <v>8</v>
      </c>
      <c r="H82" s="27" t="s">
        <v>7</v>
      </c>
      <c r="I82" s="27" t="s">
        <v>8</v>
      </c>
      <c r="J82" s="32" t="s">
        <v>7</v>
      </c>
      <c r="AC82" s="27" t="s">
        <v>8</v>
      </c>
      <c r="AE82" s="27" t="s">
        <v>8</v>
      </c>
      <c r="AF82" s="27" t="s">
        <v>7</v>
      </c>
    </row>
    <row r="83" spans="1:38" x14ac:dyDescent="0.25">
      <c r="A83" s="30">
        <v>37.404343444773609</v>
      </c>
      <c r="E83" t="s">
        <v>8</v>
      </c>
      <c r="F83" s="27" t="s">
        <v>7</v>
      </c>
      <c r="H83" s="27" t="s">
        <v>7</v>
      </c>
      <c r="I83" s="27" t="s">
        <v>8</v>
      </c>
      <c r="J83" s="27" t="s">
        <v>7</v>
      </c>
      <c r="K83" s="32"/>
      <c r="AC83" s="27" t="s">
        <v>8</v>
      </c>
      <c r="AD83" s="27" t="s">
        <v>7</v>
      </c>
      <c r="AE83" s="27" t="s">
        <v>8</v>
      </c>
      <c r="AF83" s="27" t="s">
        <v>7</v>
      </c>
    </row>
    <row r="84" spans="1:38" x14ac:dyDescent="0.25">
      <c r="A84" s="30">
        <v>34.003948586157826</v>
      </c>
      <c r="E84" t="s">
        <v>8</v>
      </c>
      <c r="H84" s="27" t="s">
        <v>7</v>
      </c>
      <c r="I84" s="27" t="s">
        <v>8</v>
      </c>
      <c r="J84" s="27" t="s">
        <v>7</v>
      </c>
      <c r="L84" s="32"/>
      <c r="AC84" s="27" t="s">
        <v>8</v>
      </c>
      <c r="AD84" s="27" t="s">
        <v>7</v>
      </c>
      <c r="AE84" s="27" t="s">
        <v>8</v>
      </c>
      <c r="AF84" s="27" t="s">
        <v>7</v>
      </c>
    </row>
    <row r="85" spans="1:38" x14ac:dyDescent="0.25">
      <c r="A85" s="30">
        <v>30.912680532870748</v>
      </c>
      <c r="E85" t="s">
        <v>8</v>
      </c>
      <c r="H85" s="27" t="s">
        <v>7</v>
      </c>
      <c r="I85" s="27" t="s">
        <v>8</v>
      </c>
      <c r="J85" s="27" t="s">
        <v>7</v>
      </c>
      <c r="M85" s="32"/>
      <c r="U85" s="27" t="s">
        <v>8</v>
      </c>
      <c r="W85" s="27" t="s">
        <v>8</v>
      </c>
      <c r="AA85" s="27" t="s">
        <v>8</v>
      </c>
      <c r="AC85" s="27" t="s">
        <v>8</v>
      </c>
      <c r="AD85" s="27" t="s">
        <v>7</v>
      </c>
      <c r="AE85" s="27" t="s">
        <v>8</v>
      </c>
      <c r="AF85" s="27" t="s">
        <v>7</v>
      </c>
    </row>
    <row r="86" spans="1:38" x14ac:dyDescent="0.25">
      <c r="A86" s="30">
        <v>28.102436848064315</v>
      </c>
      <c r="E86" t="s">
        <v>8</v>
      </c>
      <c r="H86" s="27" t="s">
        <v>7</v>
      </c>
      <c r="I86" s="27" t="s">
        <v>8</v>
      </c>
      <c r="J86" s="27" t="s">
        <v>7</v>
      </c>
      <c r="N86" s="32"/>
      <c r="U86" s="27" t="s">
        <v>8</v>
      </c>
      <c r="V86" s="27" t="s">
        <v>7</v>
      </c>
      <c r="W86" s="27" t="s">
        <v>8</v>
      </c>
      <c r="X86" s="27" t="s">
        <v>7</v>
      </c>
      <c r="AA86" s="27" t="s">
        <v>8</v>
      </c>
      <c r="AB86" s="27" t="s">
        <v>7</v>
      </c>
      <c r="AC86" s="27" t="s">
        <v>8</v>
      </c>
      <c r="AD86" s="27" t="s">
        <v>7</v>
      </c>
      <c r="AE86" s="27" t="s">
        <v>8</v>
      </c>
      <c r="AF86" s="27" t="s">
        <v>7</v>
      </c>
    </row>
    <row r="87" spans="1:38" x14ac:dyDescent="0.25">
      <c r="A87" s="30">
        <v>25.547669861876649</v>
      </c>
      <c r="E87" t="s">
        <v>8</v>
      </c>
      <c r="H87" s="27" t="s">
        <v>7</v>
      </c>
      <c r="J87" s="27" t="s">
        <v>7</v>
      </c>
      <c r="O87" s="32"/>
      <c r="U87" s="27" t="s">
        <v>8</v>
      </c>
      <c r="V87" s="27" t="s">
        <v>7</v>
      </c>
      <c r="W87" s="27" t="s">
        <v>8</v>
      </c>
      <c r="X87" s="27" t="s">
        <v>7</v>
      </c>
      <c r="Y87" s="27" t="s">
        <v>8</v>
      </c>
      <c r="AA87" s="27" t="s">
        <v>8</v>
      </c>
      <c r="AB87" s="27" t="s">
        <v>7</v>
      </c>
      <c r="AC87" s="27" t="s">
        <v>8</v>
      </c>
      <c r="AD87" s="27" t="s">
        <v>7</v>
      </c>
      <c r="AF87" s="27" t="s">
        <v>7</v>
      </c>
    </row>
    <row r="88" spans="1:38" x14ac:dyDescent="0.25">
      <c r="A88" s="30">
        <v>23.225154419887861</v>
      </c>
      <c r="E88" t="s">
        <v>8</v>
      </c>
      <c r="J88" s="27" t="s">
        <v>7</v>
      </c>
      <c r="P88" s="32"/>
      <c r="U88" s="27" t="s">
        <v>8</v>
      </c>
      <c r="V88" s="27" t="s">
        <v>7</v>
      </c>
      <c r="X88" s="27" t="s">
        <v>7</v>
      </c>
      <c r="Y88" s="27" t="s">
        <v>8</v>
      </c>
      <c r="Z88" s="27" t="s">
        <v>7</v>
      </c>
      <c r="AA88" s="27" t="s">
        <v>8</v>
      </c>
      <c r="AB88" s="27" t="s">
        <v>7</v>
      </c>
      <c r="AF88" s="27" t="s">
        <v>7</v>
      </c>
    </row>
    <row r="89" spans="1:38" x14ac:dyDescent="0.25">
      <c r="A89" s="30">
        <v>21.113776745352599</v>
      </c>
      <c r="E89" t="s">
        <v>8</v>
      </c>
      <c r="J89" s="27" t="s">
        <v>7</v>
      </c>
      <c r="Q89" s="32"/>
      <c r="U89" s="27" t="s">
        <v>8</v>
      </c>
      <c r="X89" s="27" t="s">
        <v>7</v>
      </c>
      <c r="Y89" s="27" t="s">
        <v>8</v>
      </c>
      <c r="Z89" s="27" t="s">
        <v>7</v>
      </c>
      <c r="AA89" s="27" t="s">
        <v>8</v>
      </c>
      <c r="AF89" s="27" t="s">
        <v>7</v>
      </c>
    </row>
    <row r="90" spans="1:38" x14ac:dyDescent="0.25">
      <c r="A90" s="30">
        <v>19.194342495775089</v>
      </c>
      <c r="E90" t="s">
        <v>8</v>
      </c>
      <c r="J90" s="27" t="s">
        <v>7</v>
      </c>
      <c r="K90" s="27" t="s">
        <v>8</v>
      </c>
      <c r="O90" s="27" t="s">
        <v>8</v>
      </c>
      <c r="R90" s="32"/>
      <c r="U90" s="27" t="s">
        <v>8</v>
      </c>
      <c r="X90" s="27" t="s">
        <v>7</v>
      </c>
      <c r="Y90" s="27" t="s">
        <v>8</v>
      </c>
      <c r="Z90" s="27" t="s">
        <v>7</v>
      </c>
      <c r="AA90" s="27" t="s">
        <v>8</v>
      </c>
      <c r="AF90" s="27" t="s">
        <v>7</v>
      </c>
      <c r="AG90" s="27" t="s">
        <v>8</v>
      </c>
      <c r="AI90" s="27" t="s">
        <v>8</v>
      </c>
    </row>
    <row r="91" spans="1:38" x14ac:dyDescent="0.25">
      <c r="A91" s="30">
        <v>17.449402268886445</v>
      </c>
      <c r="E91" t="s">
        <v>8</v>
      </c>
      <c r="J91" s="27" t="s">
        <v>7</v>
      </c>
      <c r="K91" s="27" t="s">
        <v>8</v>
      </c>
      <c r="L91" s="27" t="s">
        <v>7</v>
      </c>
      <c r="O91" s="27" t="s">
        <v>8</v>
      </c>
      <c r="P91" s="27" t="s">
        <v>7</v>
      </c>
      <c r="S91" s="32"/>
      <c r="U91" s="27" t="s">
        <v>8</v>
      </c>
      <c r="X91" s="27" t="s">
        <v>7</v>
      </c>
      <c r="Z91" s="27" t="s">
        <v>7</v>
      </c>
      <c r="AA91" s="27" t="s">
        <v>8</v>
      </c>
      <c r="AF91" s="27" t="s">
        <v>7</v>
      </c>
      <c r="AG91" s="27" t="s">
        <v>8</v>
      </c>
      <c r="AH91" s="27" t="s">
        <v>7</v>
      </c>
      <c r="AI91" s="27" t="s">
        <v>8</v>
      </c>
      <c r="AJ91" s="27" t="s">
        <v>7</v>
      </c>
      <c r="AK91" s="27" t="s">
        <v>8</v>
      </c>
    </row>
    <row r="92" spans="1:38" x14ac:dyDescent="0.25">
      <c r="A92" s="30">
        <v>15.863092971714948</v>
      </c>
      <c r="C92" s="1" t="s">
        <v>15</v>
      </c>
      <c r="E92" t="s">
        <v>8</v>
      </c>
      <c r="J92" s="27" t="s">
        <v>7</v>
      </c>
      <c r="K92" s="27" t="s">
        <v>8</v>
      </c>
      <c r="L92" s="27" t="s">
        <v>7</v>
      </c>
      <c r="O92" s="27" t="s">
        <v>8</v>
      </c>
      <c r="P92" s="27" t="s">
        <v>7</v>
      </c>
      <c r="Q92" s="27" t="s">
        <v>8</v>
      </c>
      <c r="T92" s="32"/>
      <c r="U92" s="27" t="s">
        <v>8</v>
      </c>
      <c r="Z92" s="27" t="s">
        <v>7</v>
      </c>
      <c r="AF92" s="27" t="s">
        <v>7</v>
      </c>
      <c r="AG92" s="27" t="s">
        <v>8</v>
      </c>
      <c r="AH92" s="27" t="s">
        <v>7</v>
      </c>
      <c r="AI92" s="27" t="s">
        <v>8</v>
      </c>
      <c r="AJ92" s="27" t="s">
        <v>7</v>
      </c>
      <c r="AK92" s="27" t="s">
        <v>8</v>
      </c>
      <c r="AL92" s="27" t="s">
        <v>7</v>
      </c>
    </row>
    <row r="93" spans="1:38" x14ac:dyDescent="0.25">
      <c r="A93" s="30">
        <v>14.420993610649951</v>
      </c>
      <c r="C93" s="7">
        <v>0.11167815779424731</v>
      </c>
      <c r="D93"/>
      <c r="E93" t="s">
        <v>8</v>
      </c>
      <c r="J93" s="27" t="s">
        <v>7</v>
      </c>
      <c r="K93" s="27" t="s">
        <v>8</v>
      </c>
      <c r="L93" s="27" t="s">
        <v>7</v>
      </c>
      <c r="M93" s="27" t="s">
        <v>8</v>
      </c>
      <c r="O93" s="27" t="s">
        <v>8</v>
      </c>
      <c r="P93" s="27" t="s">
        <v>7</v>
      </c>
      <c r="Q93" s="27" t="s">
        <v>8</v>
      </c>
      <c r="R93" s="27" t="s">
        <v>7</v>
      </c>
      <c r="U93" s="32" t="s">
        <v>8</v>
      </c>
      <c r="AF93" s="27" t="s">
        <v>7</v>
      </c>
      <c r="AH93" s="27" t="s">
        <v>7</v>
      </c>
      <c r="AJ93" s="27" t="s">
        <v>7</v>
      </c>
      <c r="AK93" s="27" t="s">
        <v>8</v>
      </c>
      <c r="AL93" s="27" t="s">
        <v>7</v>
      </c>
    </row>
    <row r="94" spans="1:38" x14ac:dyDescent="0.25">
      <c r="A94" s="30">
        <v>13.109994191499954</v>
      </c>
      <c r="E94" t="s">
        <v>8</v>
      </c>
      <c r="J94" s="27" t="s">
        <v>7</v>
      </c>
      <c r="K94" s="27" t="s">
        <v>8</v>
      </c>
      <c r="L94" s="27" t="s">
        <v>7</v>
      </c>
      <c r="M94" s="27" t="s">
        <v>8</v>
      </c>
      <c r="N94" s="27" t="s">
        <v>7</v>
      </c>
      <c r="O94" s="27" t="s">
        <v>8</v>
      </c>
      <c r="P94" s="27" t="s">
        <v>7</v>
      </c>
      <c r="Q94" s="27" t="s">
        <v>8</v>
      </c>
      <c r="R94" s="27" t="s">
        <v>7</v>
      </c>
      <c r="U94" s="27" t="s">
        <v>8</v>
      </c>
      <c r="V94" s="32"/>
      <c r="AJ94" s="27" t="s">
        <v>7</v>
      </c>
      <c r="AK94" s="27" t="s">
        <v>8</v>
      </c>
      <c r="AL94" s="27" t="s">
        <v>7</v>
      </c>
    </row>
    <row r="95" spans="1:38" x14ac:dyDescent="0.25">
      <c r="A95" s="30">
        <v>11.918176537727231</v>
      </c>
      <c r="C95" s="1" t="s">
        <v>11</v>
      </c>
      <c r="D95" s="1" t="s">
        <v>12</v>
      </c>
      <c r="E95" t="s">
        <v>8</v>
      </c>
      <c r="J95" s="27" t="s">
        <v>7</v>
      </c>
      <c r="K95" s="27" t="s">
        <v>8</v>
      </c>
      <c r="L95" s="27" t="s">
        <v>7</v>
      </c>
      <c r="M95" s="27" t="s">
        <v>8</v>
      </c>
      <c r="N95" s="27" t="s">
        <v>7</v>
      </c>
      <c r="O95" s="27" t="s">
        <v>8</v>
      </c>
      <c r="P95" s="27" t="s">
        <v>7</v>
      </c>
      <c r="R95" s="27" t="s">
        <v>7</v>
      </c>
      <c r="U95" s="27" t="s">
        <v>8</v>
      </c>
      <c r="W95" s="32"/>
      <c r="AJ95" s="27" t="s">
        <v>7</v>
      </c>
      <c r="AL95" s="27" t="s">
        <v>7</v>
      </c>
    </row>
    <row r="96" spans="1:38" x14ac:dyDescent="0.25">
      <c r="A96" s="30">
        <v>10.834705943388391</v>
      </c>
      <c r="C96"/>
      <c r="D96"/>
      <c r="E96" t="s">
        <v>8</v>
      </c>
      <c r="J96" s="27" t="s">
        <v>7</v>
      </c>
      <c r="K96" s="27" t="s">
        <v>8</v>
      </c>
      <c r="L96" s="27" t="s">
        <v>7</v>
      </c>
      <c r="M96" s="27" t="s">
        <v>8</v>
      </c>
      <c r="N96" s="27" t="s">
        <v>7</v>
      </c>
      <c r="R96" s="27" t="s">
        <v>7</v>
      </c>
      <c r="S96" s="27" t="s">
        <v>8</v>
      </c>
      <c r="U96" s="27" t="s">
        <v>8</v>
      </c>
      <c r="AL96" s="27" t="s">
        <v>7</v>
      </c>
    </row>
    <row r="97" spans="1:38" x14ac:dyDescent="0.25">
      <c r="A97" s="30">
        <v>9.849732675807628</v>
      </c>
      <c r="E97" t="s">
        <v>8</v>
      </c>
      <c r="J97" s="27" t="s">
        <v>7</v>
      </c>
      <c r="K97" s="27" t="s">
        <v>8</v>
      </c>
      <c r="L97" s="27" t="s">
        <v>7</v>
      </c>
      <c r="M97" s="27" t="s">
        <v>8</v>
      </c>
      <c r="R97" s="27" t="s">
        <v>7</v>
      </c>
      <c r="S97" s="27" t="s">
        <v>8</v>
      </c>
      <c r="T97" s="27" t="s">
        <v>7</v>
      </c>
      <c r="U97" s="27" t="s">
        <v>8</v>
      </c>
      <c r="AL97" s="27" t="s">
        <v>7</v>
      </c>
    </row>
    <row r="98" spans="1:38" x14ac:dyDescent="0.25">
      <c r="A98" s="30">
        <v>8.9543024325523888</v>
      </c>
      <c r="C98" s="1" t="s">
        <v>13</v>
      </c>
      <c r="E98" t="s">
        <v>8</v>
      </c>
      <c r="J98" s="27" t="s">
        <v>7</v>
      </c>
      <c r="K98" s="27" t="s">
        <v>8</v>
      </c>
      <c r="L98" s="27" t="s">
        <v>7</v>
      </c>
      <c r="R98" s="27" t="s">
        <v>7</v>
      </c>
      <c r="S98" s="27" t="s">
        <v>8</v>
      </c>
      <c r="T98" s="27" t="s">
        <v>7</v>
      </c>
      <c r="U98" s="27" t="s">
        <v>8</v>
      </c>
      <c r="AL98" s="27" t="s">
        <v>7</v>
      </c>
    </row>
    <row r="99" spans="1:38" x14ac:dyDescent="0.25">
      <c r="A99" s="30">
        <v>8.140274938683989</v>
      </c>
      <c r="C99" s="1">
        <f>C88</f>
        <v>0</v>
      </c>
      <c r="E99" t="s">
        <v>8</v>
      </c>
      <c r="J99" s="27" t="s">
        <v>7</v>
      </c>
      <c r="K99" s="27" t="s">
        <v>8</v>
      </c>
      <c r="R99" s="27" t="s">
        <v>7</v>
      </c>
      <c r="S99" s="27" t="s">
        <v>8</v>
      </c>
      <c r="T99" s="32" t="s">
        <v>7</v>
      </c>
      <c r="U99" s="27" t="s">
        <v>8</v>
      </c>
    </row>
    <row r="100" spans="1:38" x14ac:dyDescent="0.25">
      <c r="A100" s="30">
        <v>7.4002499442581717</v>
      </c>
      <c r="C100"/>
      <c r="D100"/>
      <c r="E100" t="s">
        <v>8</v>
      </c>
      <c r="J100" s="27" t="s">
        <v>7</v>
      </c>
      <c r="K100" s="27" t="s">
        <v>8</v>
      </c>
      <c r="R100" s="27" t="s">
        <v>7</v>
      </c>
      <c r="S100" s="32"/>
      <c r="T100" s="18" t="s">
        <v>7</v>
      </c>
      <c r="U100" s="27" t="s">
        <v>8</v>
      </c>
    </row>
    <row r="101" spans="1:38" x14ac:dyDescent="0.25">
      <c r="A101" s="30">
        <v>6.72749994932561</v>
      </c>
      <c r="C101" s="1" t="s">
        <v>14</v>
      </c>
      <c r="E101" t="s">
        <v>8</v>
      </c>
      <c r="J101" s="27" t="s">
        <v>7</v>
      </c>
      <c r="K101" s="27" t="s">
        <v>8</v>
      </c>
      <c r="R101" s="32"/>
      <c r="T101" s="27" t="s">
        <v>7</v>
      </c>
    </row>
    <row r="102" spans="1:3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J102" s="27" t="s">
        <v>7</v>
      </c>
      <c r="K102" s="27" t="s">
        <v>8</v>
      </c>
      <c r="Q102" s="32"/>
    </row>
    <row r="103" spans="1:38" x14ac:dyDescent="0.25">
      <c r="A103" s="30">
        <v>5.5599173134922388</v>
      </c>
      <c r="E103" t="s">
        <v>8</v>
      </c>
      <c r="J103" s="27" t="s">
        <v>7</v>
      </c>
      <c r="K103" s="27" t="s">
        <v>8</v>
      </c>
      <c r="P103" s="32"/>
    </row>
    <row r="104" spans="1:38" x14ac:dyDescent="0.25">
      <c r="A104" s="30">
        <v>5.0544702849929442</v>
      </c>
      <c r="E104" t="s">
        <v>8</v>
      </c>
      <c r="J104" s="27" t="s">
        <v>7</v>
      </c>
      <c r="K104" s="27" t="s">
        <v>8</v>
      </c>
      <c r="O104" s="32"/>
    </row>
    <row r="105" spans="1:38" x14ac:dyDescent="0.25">
      <c r="A105" s="30">
        <v>4.594972986357222</v>
      </c>
      <c r="E105" t="s">
        <v>8</v>
      </c>
      <c r="J105" s="27" t="s">
        <v>7</v>
      </c>
      <c r="K105" s="27" t="s">
        <v>8</v>
      </c>
      <c r="N105" s="32"/>
    </row>
    <row r="106" spans="1:38" x14ac:dyDescent="0.25">
      <c r="A106" s="30">
        <v>4.1772481694156562</v>
      </c>
      <c r="E106" t="s">
        <v>8</v>
      </c>
      <c r="J106" s="27" t="s">
        <v>7</v>
      </c>
      <c r="K106" s="27" t="s">
        <v>8</v>
      </c>
      <c r="M106" s="32"/>
    </row>
    <row r="107" spans="1:38" x14ac:dyDescent="0.25">
      <c r="A107" s="30">
        <v>3.7974983358324148</v>
      </c>
      <c r="E107" t="s">
        <v>8</v>
      </c>
      <c r="J107" s="27" t="s">
        <v>7</v>
      </c>
      <c r="K107" s="27" t="s">
        <v>8</v>
      </c>
      <c r="L107" s="32"/>
    </row>
    <row r="108" spans="1:38" x14ac:dyDescent="0.25">
      <c r="A108" s="30">
        <v>3.4522712143931042</v>
      </c>
      <c r="E108" t="s">
        <v>8</v>
      </c>
      <c r="J108" s="27" t="s">
        <v>7</v>
      </c>
      <c r="K108" s="32" t="s">
        <v>8</v>
      </c>
    </row>
    <row r="109" spans="1:38" x14ac:dyDescent="0.25">
      <c r="A109" s="30">
        <v>3.1384283767210035</v>
      </c>
      <c r="E109" t="s">
        <v>8</v>
      </c>
      <c r="J109" s="32" t="s">
        <v>7</v>
      </c>
    </row>
    <row r="110" spans="1:38" x14ac:dyDescent="0.25">
      <c r="A110" s="30">
        <v>2.8531167061100029</v>
      </c>
      <c r="E110" t="s">
        <v>8</v>
      </c>
    </row>
    <row r="111" spans="1:38" x14ac:dyDescent="0.25">
      <c r="A111" s="30">
        <v>2.5937424601000023</v>
      </c>
      <c r="C111" s="1" t="str">
        <f>ADDRESS(C121-1,1,1,1)</f>
        <v>$A$97</v>
      </c>
      <c r="D111" s="1" t="str">
        <f>ADDRESS(C121-1,D121,1,1)</f>
        <v>$AL$97</v>
      </c>
      <c r="E111" t="s">
        <v>8</v>
      </c>
    </row>
    <row r="112" spans="1:38" x14ac:dyDescent="0.25">
      <c r="A112" s="30">
        <v>2.3579476910000019</v>
      </c>
      <c r="C112" s="1" t="str">
        <f>ADDRESS(C121,1,1,1)</f>
        <v>$A$98</v>
      </c>
      <c r="D112" s="1" t="str">
        <f>ADDRESS(C121,D121-1,1,1)</f>
        <v>$AK$98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$A$99</v>
      </c>
      <c r="D113" s="1" t="str">
        <f>ADDRESS(C121-1,D121+1,1,1)</f>
        <v>$AM$97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$AL$98</v>
      </c>
      <c r="D114" s="1" t="str">
        <f>ADDRESS(C121+1,D121+1,1,1)</f>
        <v>$AM$99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$AL$99</v>
      </c>
      <c r="E115" s="1" t="s">
        <v>8</v>
      </c>
    </row>
    <row r="116" spans="1:5" x14ac:dyDescent="0.25">
      <c r="A116" s="30">
        <v>1.6105100000000008</v>
      </c>
      <c r="C116" s="1">
        <f>C117-1</f>
        <v>97</v>
      </c>
      <c r="E116" s="1" t="s">
        <v>8</v>
      </c>
    </row>
    <row r="117" spans="1:5" x14ac:dyDescent="0.25">
      <c r="A117" s="30">
        <v>1.4641000000000006</v>
      </c>
      <c r="C117" s="1">
        <f>C121</f>
        <v>98</v>
      </c>
      <c r="D117" s="1">
        <f>D121</f>
        <v>38</v>
      </c>
      <c r="E117" s="1" t="s">
        <v>8</v>
      </c>
    </row>
    <row r="118" spans="1:5" x14ac:dyDescent="0.25">
      <c r="A118" s="30">
        <v>1.3310000000000004</v>
      </c>
      <c r="C118" s="1">
        <f>C117+1</f>
        <v>99</v>
      </c>
      <c r="D118" s="1">
        <f>D117+1</f>
        <v>39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98</v>
      </c>
      <c r="D121" s="19">
        <v>38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R98</v>
      </c>
      <c r="D123" s="1" t="str">
        <f>"C"&amp;D121</f>
        <v>C38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8.9543024325523888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36" operator="equal">
      <formula>$U$1</formula>
    </cfRule>
    <cfRule type="cellIs" dxfId="30" priority="737" operator="equal">
      <formula>$S$1</formula>
    </cfRule>
  </conditionalFormatting>
  <conditionalFormatting sqref="D136">
    <cfRule type="cellIs" dxfId="29" priority="734" operator="equal">
      <formula>$S$1</formula>
    </cfRule>
    <cfRule type="cellIs" dxfId="28" priority="735" operator="equal">
      <formula>$U$1</formula>
    </cfRule>
  </conditionalFormatting>
  <conditionalFormatting sqref="C102">
    <cfRule type="cellIs" dxfId="27" priority="732" operator="equal">
      <formula>$U$1</formula>
    </cfRule>
    <cfRule type="cellIs" dxfId="26" priority="733" operator="equal">
      <formula>$S$1</formula>
    </cfRule>
  </conditionalFormatting>
  <conditionalFormatting sqref="D102">
    <cfRule type="cellIs" dxfId="25" priority="730" operator="equal">
      <formula>$S$1</formula>
    </cfRule>
    <cfRule type="cellIs" dxfId="24" priority="731" operator="equal">
      <formula>$U$1</formula>
    </cfRule>
  </conditionalFormatting>
  <conditionalFormatting sqref="C77">
    <cfRule type="cellIs" dxfId="23" priority="728" operator="equal">
      <formula>$U$1</formula>
    </cfRule>
    <cfRule type="cellIs" dxfId="22" priority="729" operator="equal">
      <formula>$S$1</formula>
    </cfRule>
  </conditionalFormatting>
  <conditionalFormatting sqref="D77">
    <cfRule type="cellIs" dxfId="21" priority="726" operator="equal">
      <formula>$S$1</formula>
    </cfRule>
    <cfRule type="cellIs" dxfId="20" priority="727" operator="equal">
      <formula>$U$1</formula>
    </cfRule>
  </conditionalFormatting>
  <conditionalFormatting sqref="C52">
    <cfRule type="cellIs" dxfId="19" priority="724" operator="equal">
      <formula>$U$1</formula>
    </cfRule>
    <cfRule type="cellIs" dxfId="18" priority="725" operator="equal">
      <formula>$S$1</formula>
    </cfRule>
  </conditionalFormatting>
  <conditionalFormatting sqref="D52">
    <cfRule type="cellIs" dxfId="17" priority="722" operator="equal">
      <formula>$S$1</formula>
    </cfRule>
    <cfRule type="cellIs" dxfId="16" priority="723" operator="equal">
      <formula>$U$1</formula>
    </cfRule>
  </conditionalFormatting>
  <conditionalFormatting sqref="C26">
    <cfRule type="cellIs" dxfId="15" priority="720" operator="equal">
      <formula>$U$1</formula>
    </cfRule>
    <cfRule type="cellIs" dxfId="14" priority="721" operator="equal">
      <formula>$S$1</formula>
    </cfRule>
  </conditionalFormatting>
  <conditionalFormatting sqref="D26">
    <cfRule type="cellIs" dxfId="13" priority="718" operator="equal">
      <formula>$S$1</formula>
    </cfRule>
    <cfRule type="cellIs" dxfId="12" priority="71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6.7047511544044376</v>
      </c>
      <c r="F3" s="30">
        <v>7.0399887121246598</v>
      </c>
      <c r="G3" s="30">
        <v>12.04076977504139</v>
      </c>
      <c r="H3" s="25">
        <f>IF(G3="","",(3*(G3-F3))+E3)</f>
        <v>21.70709434315463</v>
      </c>
      <c r="I3" s="7"/>
      <c r="J3" s="7">
        <f>(E3+G3)/2</f>
        <v>9.3727604647229139</v>
      </c>
      <c r="K3" s="7">
        <f>H3/2</f>
        <v>10.853547171577315</v>
      </c>
      <c r="M3" s="26">
        <f>IF(OR(J3="",H3=""),"",H3/J3)</f>
        <v>2.3159766458190774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2022-01-28T01:14:06Z</dcterms:modified>
</cp:coreProperties>
</file>